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_Points" sheetId="4" state="visible" r:id="rId4"/>
    <sheet xmlns:r="http://schemas.openxmlformats.org/officeDocument/2006/relationships" name="Product_Specs" sheetId="5" state="visible" r:id="rId5"/>
    <sheet xmlns:r="http://schemas.openxmlformats.org/officeDocument/2006/relationships" name="Mortality" sheetId="6" state="visible" r:id="rId6"/>
    <sheet xmlns:r="http://schemas.openxmlformats.org/officeDocument/2006/relationships" name="Discount" sheetId="7" state="visible" r:id="rId7"/>
    <sheet xmlns:r="http://schemas.openxmlformats.org/officeDocument/2006/relationships" name="Surr_Charges" sheetId="8" state="visible" r:id="rId8"/>
    <sheet xmlns:r="http://schemas.openxmlformats.org/officeDocument/2006/relationships" name="Scenarios" sheetId="9" state="visible" r:id="rId9"/>
    <sheet xmlns:r="http://schemas.openxmlformats.org/officeDocument/2006/relationships" name="Projection" sheetId="10" state="visible" r:id="rId10"/>
    <sheet xmlns:r="http://schemas.openxmlformats.org/officeDocument/2006/relationships" name="Summary" sheetId="11" state="visible" r:id="rId11"/>
    <sheet xmlns:r="http://schemas.openxmlformats.org/officeDocument/2006/relationships" name="Checks" sheetId="12" state="visible" r:id="rId12"/>
    <sheet xmlns:r="http://schemas.openxmlformats.org/officeDocument/2006/relationships" name="Lifelib_Reference" sheetId="13" state="visible" r:id="rId13"/>
    <sheet xmlns:r="http://schemas.openxmlformats.org/officeDocument/2006/relationships" name="Batch_Results" sheetId="14" state="visible" r:id="rId14"/>
  </sheets>
  <definedNames>
    <definedName name="PointID">'Control'!$C$4</definedName>
    <definedName name="ScenID">'Control'!$C$5</definedName>
    <definedName name="SpecID">'Control'!$C$9</definedName>
    <definedName name="AgeAtEntry">'Control'!$C$10</definedName>
    <definedName name="TermInput">'Control'!$C$12</definedName>
    <definedName name="PolicyCount">'Control'!$C$13</definedName>
    <definedName name="SumAssured">'Control'!$C$14</definedName>
    <definedName name="Duration0">'Control'!$C$15</definedName>
    <definedName name="PremiumPPInput">'Control'!$C$16</definedName>
    <definedName name="AvPPInit">'Control'!$C$17</definedName>
    <definedName name="PremiumType">'Control'!$C$21</definedName>
    <definedName name="HasSurrCharge">'Control'!$C$22</definedName>
    <definedName name="SurrChargeID">'Control'!$C$23</definedName>
    <definedName name="LoadPremRate">'Control'!$C$24</definedName>
    <definedName name="IsWL">'Control'!$C$25</definedName>
    <definedName name="MortLastAge">'Control'!$C$29</definedName>
    <definedName name="PolicyTerm">'Control'!$C$30</definedName>
    <definedName name="PolsIfInit">'Control'!$C$31</definedName>
    <definedName name="ProjLen">'Control'!$C$32</definedName>
    <definedName name="BatchLimit">'Control'!$C$36</definedName>
    <definedName name="BatchTol">'Control'!$C$37</definedName>
    <definedName name="ExpenseAcq">'Assumptions'!$C$4</definedName>
    <definedName name="ExpenseMaint">'Assumptions'!$C$5</definedName>
    <definedName name="InflationRate">'Assumptions'!$C$6</definedName>
    <definedName name="CommissionRate">'Assumptions'!$C$7</definedName>
    <definedName name="CoiMultiple">'Assumptions'!$C$8</definedName>
    <definedName name="MaintFeeRateAnn">'Assumptions'!$C$9</definedName>
    <definedName name="LapseBase">'Assumptions'!$C$13</definedName>
    <definedName name="LapseStep">'Assumptions'!$C$14</definedName>
    <definedName name="LapseFloor">'Assumptions'!$C$15</definedName>
    <definedName name="Mu">'Assumptions'!$C$19</definedName>
    <definedName name="Sigma">'Assumptions'!$C$20</definedName>
    <definedName name="MP_ID">Model_Points!$A$2:$A$5</definedName>
    <definedName name="MP_Spec">Model_Points!$B$2:$B$5</definedName>
    <definedName name="MP_Age">Model_Points!$C$2:$C$5</definedName>
    <definedName name="MP_Sex">Model_Points!$D$2:$D$5</definedName>
    <definedName name="MP_Term">Model_Points!$E$2:$E$5</definedName>
    <definedName name="MP_Count">Model_Points!$F$2:$F$5</definedName>
    <definedName name="MP_SumAssured">Model_Points!$G$2:$G$5</definedName>
    <definedName name="MP_DurMth">Model_Points!$H$2:$H$5</definedName>
    <definedName name="MP_Premium">Model_Points!$I$2:$I$5</definedName>
    <definedName name="MP_AvInit">Model_Points!$J$2:$J$5</definedName>
    <definedName name="PS_ID">Product_Specs!$A$2:$A$5</definedName>
    <definedName name="PS_PremType">Product_Specs!$B$2:$B$5</definedName>
    <definedName name="PS_HasSurr">Product_Specs!$C$2:$C$5</definedName>
    <definedName name="PS_SurrID">Product_Specs!$D$2:$D$5</definedName>
    <definedName name="PS_LoadPrem">Product_Specs!$E$2:$E$5</definedName>
    <definedName name="PS_IsWL">Product_Specs!$F$2:$F$5</definedName>
    <definedName name="MortAges">Mortality!$A$2:$A$104</definedName>
    <definedName name="MortRates">Mortality!$B$2:$G$104</definedName>
    <definedName name="DiscRateAnn">Discount!$B$2:$B$152</definedName>
    <definedName name="SurrTypes">Surr_Charges!$B$1:$D$1</definedName>
    <definedName name="SurrRates">Surr_Charges!$B$2:$D$12</definedName>
    <definedName name="SurrDurMax">Surr_Charges!$A$12</definedName>
    <definedName name="NormRand">Scenarios!$B$3:$BQH$12</definedName>
    <definedName name="Proj_T">Projection!$A$4:$A$1144</definedName>
    <definedName name="Proj_DurMth">Projection!$B$4:$B$1144</definedName>
    <definedName name="Proj_PolsIf">Projection!$J$4:$J$1144</definedName>
    <definedName name="Proj_Maturities">Projection!$K$4:$K$1144</definedName>
    <definedName name="Proj_NewBiz">Projection!$M$4:$M$1144</definedName>
    <definedName name="Proj_Deaths">Projection!$O$4:$O$1144</definedName>
    <definedName name="Proj_Lapses">Projection!$P$4:$P$1144</definedName>
    <definedName name="Proj_Premiums">Projection!$AE$4:$AE$1144</definedName>
    <definedName name="Proj_ClaimsTotal">Projection!$AN$4:$AN$1144</definedName>
    <definedName name="Proj_ClaimsDeath">Projection!$AH$4:$AH$1144</definedName>
    <definedName name="Proj_ClaimsLapse">Projection!$AL$4:$AL$1144</definedName>
    <definedName name="Proj_ClaimsMat">Projection!$AM$4:$AM$1144</definedName>
    <definedName name="Proj_Expenses">Projection!$AT$4:$AT$1144</definedName>
    <definedName name="Proj_Commissions">Projection!$AU$4:$AU$1144</definedName>
    <definedName name="Proj_InvIncome">Projection!$AR$4:$AR$1144</definedName>
    <definedName name="Proj_AvChange">Projection!$AV$4:$AV$1144</definedName>
    <definedName name="Proj_NetCF">Projection!$AW$4:$AW$1144</definedName>
    <definedName name="Proj_MarginDiff">Projection!$AZ$4:$AZ$1144</definedName>
    <definedName name="Proj_AvRollDiff">Projection!$BA$4:$BA$1144</definedName>
    <definedName name="Proj_DiscFactor">Projection!$BC$4:$BC$1144</definedName>
    <definedName name="Proj_PVNetCF">Projection!$BD$4:$BD$1144</definedName>
    <definedName name="PV_Premiums">'Summary'!$C$10</definedName>
    <definedName name="PV_ClaimsDeath">'Summary'!$C$11</definedName>
    <definedName name="PV_ClaimsLapse">'Summary'!$C$12</definedName>
    <definedName name="PV_ClaimsMat">'Summary'!$C$13</definedName>
    <definedName name="PV_Claims">'Summary'!$C$14</definedName>
    <definedName name="PV_Expenses">'Summary'!$C$15</definedName>
    <definedName name="PV_Commissions">'Summary'!$C$16</definedName>
    <definedName name="PV_InvIncome">'Summary'!$C$17</definedName>
    <definedName name="PV_AvChange">'Summary'!$C$18</definedName>
    <definedName name="PV_PolsIf">'Summary'!$C$19</definedName>
    <definedName name="PV_NetCF">'Summary'!$C$20</definedName>
    <definedName name="AllChecksPass">'Checks'!$C$11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%"/>
    <numFmt numFmtId="165" formatCode="0.000000"/>
    <numFmt numFmtId="166" formatCode="0.0000000"/>
    <numFmt numFmtId="167" formatCode="0.00000000"/>
    <numFmt numFmtId="168" formatCode="0.000000%"/>
    <numFmt numFmtId="169" formatCode="0.000000000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i val="1"/>
      <sz val="11"/>
    </font>
    <font>
      <name val="Calibri"/>
      <b val="1"/>
      <sz val="10"/>
    </font>
    <font>
      <name val="Calibri"/>
      <sz val="10"/>
    </font>
    <font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color rgb="00006100"/>
      <sz val="10"/>
    </font>
    <font>
      <name val="Calibri"/>
      <b val="1"/>
      <color rgb="00FFFFFF"/>
      <sz val="10"/>
    </font>
    <font>
      <i val="1"/>
      <color rgb="007F7F7F"/>
      <sz val="9"/>
    </font>
    <font>
      <i val="1"/>
      <color rgb="007F7F7F"/>
      <sz val="8"/>
    </font>
    <font>
      <b val="1"/>
      <sz val="10"/>
    </font>
    <font>
      <name val="Calibri"/>
      <b val="1"/>
      <color rgb="00006100"/>
      <sz val="10"/>
    </font>
    <font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1" fontId="6" fillId="0" borderId="1" pivotButton="0" quotePrefix="0" xfId="0"/>
    <xf numFmtId="0" fontId="10" fillId="0" borderId="0" pivotButton="0" quotePrefix="0" xfId="0"/>
    <xf numFmtId="0" fontId="8" fillId="0" borderId="1" pivotButton="0" quotePrefix="0" xfId="0"/>
    <xf numFmtId="1" fontId="8" fillId="0" borderId="1" pivotButton="0" quotePrefix="0" xfId="0"/>
    <xf numFmtId="4" fontId="8" fillId="0" borderId="1" pivotButton="0" quotePrefix="0" xfId="0"/>
    <xf numFmtId="164" fontId="8" fillId="0" borderId="1" pivotButton="0" quotePrefix="0" xfId="0"/>
    <xf numFmtId="1" fontId="7" fillId="0" borderId="1" pivotButton="0" quotePrefix="0" xfId="0"/>
    <xf numFmtId="165" fontId="7" fillId="0" borderId="1" pivotButton="0" quotePrefix="0" xfId="0"/>
    <xf numFmtId="166" fontId="6" fillId="0" borderId="1" pivotButton="0" quotePrefix="0" xfId="0"/>
    <xf numFmtId="4" fontId="6" fillId="0" borderId="1" pivotButton="0" quotePrefix="0" xfId="0"/>
    <xf numFmtId="164" fontId="6" fillId="0" borderId="1" pivotButton="0" quotePrefix="0" xfId="0"/>
    <xf numFmtId="2" fontId="6" fillId="0" borderId="1" pivotButton="0" quotePrefix="0" xfId="0"/>
    <xf numFmtId="164" fontId="6" fillId="0" borderId="0" pivotButton="0" quotePrefix="0" xfId="0"/>
    <xf numFmtId="165" fontId="6" fillId="0" borderId="0" pivotButton="0" quotePrefix="0" xfId="0"/>
    <xf numFmtId="0" fontId="11" fillId="0" borderId="0" pivotButton="0" quotePrefix="0" xfId="0"/>
    <xf numFmtId="0" fontId="9" fillId="2" borderId="0" pivotButton="0" quotePrefix="0" xfId="0"/>
    <xf numFmtId="1" fontId="7" fillId="0" borderId="0" pivotButton="0" quotePrefix="0" xfId="0"/>
    <xf numFmtId="1" fontId="8" fillId="0" borderId="0" pivotButton="0" quotePrefix="0" xfId="0"/>
    <xf numFmtId="4" fontId="8" fillId="0" borderId="0" pivotButton="0" quotePrefix="0" xfId="0"/>
    <xf numFmtId="165" fontId="8" fillId="0" borderId="0" pivotButton="0" quotePrefix="0" xfId="0"/>
    <xf numFmtId="167" fontId="7" fillId="0" borderId="0" pivotButton="0" quotePrefix="0" xfId="0"/>
    <xf numFmtId="164" fontId="8" fillId="0" borderId="0" pivotButton="0" quotePrefix="0" xfId="0"/>
    <xf numFmtId="165" fontId="7" fillId="0" borderId="0" pivotButton="0" quotePrefix="0" xfId="0"/>
    <xf numFmtId="4" fontId="7" fillId="0" borderId="0" pivotButton="0" quotePrefix="0" xfId="0"/>
    <xf numFmtId="167" fontId="8" fillId="0" borderId="0" pivotButton="0" quotePrefix="0" xfId="0"/>
    <xf numFmtId="168" fontId="8" fillId="0" borderId="0" pivotButton="0" quotePrefix="0" xfId="0"/>
    <xf numFmtId="169" fontId="7" fillId="0" borderId="0" pivotButton="0" quotePrefix="0" xfId="0"/>
    <xf numFmtId="165" fontId="8" fillId="0" borderId="1" pivotButton="0" quotePrefix="0" xfId="0"/>
    <xf numFmtId="0" fontId="12" fillId="0" borderId="0" pivotButton="0" quotePrefix="0" xfId="0"/>
    <xf numFmtId="4" fontId="13" fillId="0" borderId="1" pivotButton="0" quotePrefix="0" xfId="0"/>
    <xf numFmtId="0" fontId="8" fillId="0" borderId="1" applyAlignment="1" pivotButton="0" quotePrefix="0" xfId="0">
      <alignment horizontal="center"/>
    </xf>
    <xf numFmtId="0" fontId="14" fillId="0" borderId="0" pivotButton="0" quotePrefix="0" xfId="0"/>
    <xf numFmtId="0" fontId="13" fillId="0" borderId="0" applyAlignment="1" pivotButton="0" quotePrefix="0" xfId="0">
      <alignment horizontal="center"/>
    </xf>
    <xf numFmtId="4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C39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80" customWidth="1" min="3" max="3"/>
  </cols>
  <sheetData>
    <row r="2">
      <c r="B2" s="1" t="inlineStr">
        <is>
          <t>CashValue_SE — Universal Life / Savings Cash Flow Projection</t>
        </is>
      </c>
    </row>
    <row r="3">
      <c r="B3" s="2" t="inlineStr">
        <is>
          <t>Monthly account-value roll-forward with stochastic investment returns, product-spec tariffs and margin analysis</t>
        </is>
      </c>
    </row>
    <row r="5" ht="54" customHeight="1">
      <c r="B5" s="3" t="inlineStr">
        <is>
          <t>Purpose</t>
        </is>
      </c>
      <c r="C5" s="4" t="inlineStr">
        <is>
          <t>Projects the account value, decrements, cash flows and margins for the model point and investment scenario selected on the Control sheet. A formula-for-formula replication of the open-source lifelib model 'CashValue_SE' (MIT licence), verified cell-by-cell against it.</t>
        </is>
      </c>
    </row>
    <row r="6" ht="54" customHeight="1">
      <c r="B6" s="3" t="inlineStr">
        <is>
          <t>Products</t>
        </is>
      </c>
      <c r="C6" s="4" t="inlineStr">
        <is>
          <t>Four sample products via the Product_Specs join: A single-premium 10-year endowment; B single-premium 20-year with surrender charges; C level-premium whole-of-life; D level-premium whole-of-life with surrender charges and 5% premium loading.</t>
        </is>
      </c>
    </row>
    <row r="7" ht="54" customHeight="1">
      <c r="B7" s="3" t="inlineStr">
        <is>
          <t>Account value</t>
        </is>
      </c>
      <c r="C7" s="4" t="inlineStr">
        <is>
          <t>Per-policy AV at four within-month timings: BEF_PREM (after prior month's investment) → + premium into AV → BEF_FEE → − maintenance fee − cost of insurance → BEF_INV → + month's investment income (MID_MTH holds AV plus half of it, the death/surrender basis).</t>
        </is>
      </c>
    </row>
    <row r="8" ht="54" customHeight="1">
      <c r="B8" s="3" t="inlineStr">
        <is>
          <t>Investment returns</t>
        </is>
      </c>
      <c r="C8" s="4" t="inlineStr">
        <is>
          <t>Lognormal monthly returns exp((μ−½σ²)Δt + σ√Δt·Z) − 1 with μ = 2%, σ = 3% p.a., Δt = 1/12, over the stored standard-normal draws on the Scenarios sheet (10 scenarios × months; scenario chosen on Control).</t>
        </is>
      </c>
    </row>
    <row r="9" ht="54" customHeight="1">
      <c r="B9" s="3" t="inlineStr">
        <is>
          <t>Margins</t>
        </is>
      </c>
      <c r="C9" s="4" t="inlineStr">
        <is>
          <t>net cash flow decomposes exactly into expense margin (premium loading + surrender charges + maintenance fees − commissions − expenses) and mortality margin (cost of insurance − death strain) — asserted per month on Checks.</t>
        </is>
      </c>
    </row>
    <row r="10" ht="54" customHeight="1">
      <c r="B10" s="3" t="inlineStr">
        <is>
          <t>Projection grain</t>
        </is>
      </c>
      <c r="C10" s="4" t="inlineStr">
        <is>
          <t>Monthly steps t = 0 … 1140 (whole-of-life runs to the mortality table's terminal age, 115); row t = 1141 is a helper row so forward references at the final month resolve, and is excluded from every named range. Flows are structurally zero after maturity.</t>
        </is>
      </c>
    </row>
    <row r="11" ht="54" customHeight="1">
      <c r="B11" s="3" t="inlineStr">
        <is>
          <t>Batch run</t>
        </is>
      </c>
      <c r="C11" s="4" t="inlineStr">
        <is>
          <t>The RunAllModelPoints macro reconciles every model point × scenario combination (40 runs) against lifelib values on Lifelib_Reference.</t>
        </is>
      </c>
    </row>
    <row r="12" ht="54" customHeight="1">
      <c r="B12" s="3" t="inlineStr">
        <is>
          <t>Source model</t>
        </is>
      </c>
      <c r="C12" s="4" t="inlineStr">
        <is>
          <t>lifelib savings.CashValue_SE v0.13.0 — https://lifelib.io (MIT licence)</t>
        </is>
      </c>
    </row>
    <row r="13" ht="54" customHeight="1">
      <c r="B13" s="3" t="inlineStr">
        <is>
          <t>Verification</t>
        </is>
      </c>
      <c r="C13" s="4" t="inlineStr">
        <is>
          <t>verification/verify_cashvalue_se.py compares every mapped cell against the Python model for six (point, scenario) profiles including both whole-of-life products; the batch covers all 40 combinations.</t>
        </is>
      </c>
    </row>
    <row r="15">
      <c r="B15" s="3" t="inlineStr">
        <is>
          <t>Sheet index</t>
        </is>
      </c>
    </row>
    <row r="16">
      <c r="B16" s="5" t="inlineStr">
        <is>
          <t>Control</t>
        </is>
      </c>
      <c r="C16" s="6" t="inlineStr">
        <is>
          <t>Run control — model point and scenario selection, batch settings</t>
        </is>
      </c>
    </row>
    <row r="17">
      <c r="B17" s="5" t="inlineStr">
        <is>
          <t>Assumptions</t>
        </is>
      </c>
      <c r="C17" s="6" t="inlineStr">
        <is>
          <t>Basis assumptions (expenses, inflation, COI, fees, returns)</t>
        </is>
      </c>
    </row>
    <row r="18">
      <c r="B18" s="5" t="inlineStr">
        <is>
          <t>Model_Points</t>
        </is>
      </c>
      <c r="C18" s="6" t="inlineStr">
        <is>
          <t>Model point samples (input data)</t>
        </is>
      </c>
    </row>
    <row r="19">
      <c r="B19" s="5" t="inlineStr">
        <is>
          <t>Product_Specs</t>
        </is>
      </c>
      <c r="C19" s="6" t="inlineStr">
        <is>
          <t>Product specification table (input data)</t>
        </is>
      </c>
    </row>
    <row r="20">
      <c r="B20" s="5" t="inlineStr">
        <is>
          <t>Mortality</t>
        </is>
      </c>
      <c r="C20" s="6" t="inlineStr">
        <is>
          <t>Mortality table by age and duration (input data)</t>
        </is>
      </c>
    </row>
    <row r="21">
      <c r="B21" s="5" t="inlineStr">
        <is>
          <t>Discount</t>
        </is>
      </c>
      <c r="C21" s="6" t="inlineStr">
        <is>
          <t>Annual spot discount rates (input data)</t>
        </is>
      </c>
    </row>
    <row r="22">
      <c r="B22" s="5" t="inlineStr">
        <is>
          <t>Surr_Charges</t>
        </is>
      </c>
      <c r="C22" s="6" t="inlineStr">
        <is>
          <t>Surrender charge table (input data)</t>
        </is>
      </c>
    </row>
    <row r="23">
      <c r="B23" s="5" t="inlineStr">
        <is>
          <t>Scenarios</t>
        </is>
      </c>
      <c r="C23" s="6" t="inlineStr">
        <is>
          <t>Standard-normal draws by scenario and month (input data)</t>
        </is>
      </c>
    </row>
    <row r="24">
      <c r="B24" s="5" t="inlineStr">
        <is>
          <t>Projection</t>
        </is>
      </c>
      <c r="C24" s="6" t="inlineStr">
        <is>
          <t>Monthly engine — AV roll-forward, decrements, cash flows, margins</t>
        </is>
      </c>
    </row>
    <row r="25">
      <c r="B25" s="5" t="inlineStr">
        <is>
          <t>Summary</t>
        </is>
      </c>
      <c r="C25" s="6" t="inlineStr">
        <is>
          <t>Present values and results for the selected run</t>
        </is>
      </c>
    </row>
    <row r="26">
      <c r="B26" s="5" t="inlineStr">
        <is>
          <t>Checks</t>
        </is>
      </c>
      <c r="C26" s="6" t="inlineStr">
        <is>
          <t>Internal consistency checks (all must be TRUE)</t>
        </is>
      </c>
    </row>
    <row r="27">
      <c r="B27" s="5" t="inlineStr">
        <is>
          <t>Lifelib_Reference</t>
        </is>
      </c>
      <c r="C27" s="6" t="inlineStr">
        <is>
          <t>lifelib results for all runs (reconciliation target)</t>
        </is>
      </c>
    </row>
    <row r="28">
      <c r="B28" s="5" t="inlineStr">
        <is>
          <t>Batch_Results</t>
        </is>
      </c>
      <c r="C28" s="6" t="inlineStr">
        <is>
          <t>All-runs batch reconciliation vs lifelib (macro)</t>
        </is>
      </c>
    </row>
    <row r="30">
      <c r="B30" s="3" t="inlineStr">
        <is>
          <t>Version control</t>
        </is>
      </c>
    </row>
    <row r="31">
      <c r="B31" s="5" t="inlineStr">
        <is>
          <t>Version</t>
        </is>
      </c>
      <c r="C31" s="6" t="inlineStr">
        <is>
          <t>0.2.0</t>
        </is>
      </c>
    </row>
    <row r="32">
      <c r="B32" s="5" t="inlineStr">
        <is>
          <t>Date</t>
        </is>
      </c>
      <c r="C32" s="6" t="inlineStr">
        <is>
          <t>2026-07-14</t>
        </is>
      </c>
    </row>
    <row r="33">
      <c r="B33" s="5" t="inlineStr">
        <is>
          <t>Prepared by</t>
        </is>
      </c>
      <c r="C33" s="6" t="inlineStr">
        <is>
          <t>XL Marinade project</t>
        </is>
      </c>
    </row>
    <row r="34">
      <c r="B34" s="5" t="inlineStr">
        <is>
          <t>Review status</t>
        </is>
      </c>
      <c r="C34" s="6" t="inlineStr">
        <is>
          <t>Verified against lifelib; adversarial actuarial audit remediated (see verification/reports)</t>
        </is>
      </c>
    </row>
    <row r="36">
      <c r="B36" s="3" t="inlineStr">
        <is>
          <t>Conventions</t>
        </is>
      </c>
    </row>
    <row r="37">
      <c r="B37" s="7" t="inlineStr">
        <is>
          <t>Blue — hardcoded input</t>
        </is>
      </c>
    </row>
    <row r="38">
      <c r="B38" s="8" t="inlineStr">
        <is>
          <t>Black — calculated on this sheet</t>
        </is>
      </c>
    </row>
    <row r="39">
      <c r="B39" s="9" t="inlineStr">
        <is>
          <t>Green — link from another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D37"/>
  <sheetViews>
    <sheetView showGridLines="0" workbookViewId="0">
      <selection activeCell="A1" sqref="A1"/>
    </sheetView>
  </sheetViews>
  <sheetFormatPr baseColWidth="8" defaultRowHeight="15"/>
  <cols>
    <col width="38" customWidth="1" min="2" max="2"/>
    <col width="14" customWidth="1" min="3" max="3"/>
    <col width="66" customWidth="1" min="4" max="4"/>
  </cols>
  <sheetData>
    <row r="2">
      <c r="B2" s="3" t="inlineStr">
        <is>
          <t>Run selection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>
        <is>
          <t>Notes / lifelib cell</t>
        </is>
      </c>
    </row>
    <row r="4">
      <c r="B4" s="5" t="inlineStr">
        <is>
          <t>Selected model point ID</t>
        </is>
      </c>
      <c r="C4" s="11" t="n">
        <v>1</v>
      </c>
      <c r="D4" s="12" t="inlineStr">
        <is>
          <t>point_id — choose 1 to 4</t>
        </is>
      </c>
    </row>
    <row r="5">
      <c r="B5" s="5" t="inlineStr">
        <is>
          <t>Selected investment scenario</t>
        </is>
      </c>
      <c r="C5" s="11" t="n">
        <v>1</v>
      </c>
      <c r="D5" s="12" t="inlineStr">
        <is>
          <t>scen_id — choose 1 to 10</t>
        </is>
      </c>
    </row>
    <row r="7">
      <c r="B7" s="3" t="inlineStr">
        <is>
          <t>Selected model point (Model_Points ⋈ Product_Specs)</t>
        </is>
      </c>
    </row>
    <row r="8">
      <c r="B8" s="10" t="inlineStr">
        <is>
          <t>Item</t>
        </is>
      </c>
      <c r="C8" s="10" t="inlineStr">
        <is>
          <t>Value</t>
        </is>
      </c>
      <c r="D8" s="10" t="inlineStr">
        <is>
          <t>Notes / lifelib cell</t>
        </is>
      </c>
    </row>
    <row r="9">
      <c r="B9" s="5" t="inlineStr">
        <is>
          <t>Product spec</t>
        </is>
      </c>
      <c r="C9" s="13">
        <f>INDEX(MP_Spec,MATCH(PointID,MP_ID,0))</f>
        <v/>
      </c>
      <c r="D9" s="12" t="inlineStr">
        <is>
          <t>spec_id — join key into Product_Specs</t>
        </is>
      </c>
    </row>
    <row r="10">
      <c r="B10" s="5" t="inlineStr">
        <is>
          <t>Age at entry</t>
        </is>
      </c>
      <c r="C10" s="14">
        <f>INDEX(MP_Age,MATCH(PointID,MP_ID,0))</f>
        <v/>
      </c>
      <c r="D10" s="12" t="inlineStr">
        <is>
          <t>age_at_entry()</t>
        </is>
      </c>
    </row>
    <row r="11">
      <c r="B11" s="5" t="inlineStr">
        <is>
          <t>Sex</t>
        </is>
      </c>
      <c r="C11" s="13">
        <f>INDEX(MP_Sex,MATCH(PointID,MP_ID,0))</f>
        <v/>
      </c>
      <c r="D11" s="12" t="inlineStr">
        <is>
          <t>sex()</t>
        </is>
      </c>
    </row>
    <row r="12">
      <c r="B12" s="5" t="inlineStr">
        <is>
          <t>Policy term input (years)</t>
        </is>
      </c>
      <c r="C12" s="14">
        <f>INDEX(MP_Term,MATCH(PointID,MP_ID,0))</f>
        <v/>
      </c>
      <c r="D12" s="12" t="inlineStr">
        <is>
          <t>model point policy_term; ignored when the product is whole-of-life (is_wl flag on Product_Specs — the sample data uses 9999 as a placeholder here)</t>
        </is>
      </c>
    </row>
    <row r="13">
      <c r="B13" s="5" t="inlineStr">
        <is>
          <t>Policies in model point</t>
        </is>
      </c>
      <c r="C13" s="14">
        <f>INDEX(MP_Count,MATCH(PointID,MP_ID,0))</f>
        <v/>
      </c>
      <c r="D13" s="12" t="inlineStr">
        <is>
          <t>policy_count</t>
        </is>
      </c>
    </row>
    <row r="14">
      <c r="B14" s="5" t="inlineStr">
        <is>
          <t>Sum assured</t>
        </is>
      </c>
      <c r="C14" s="15">
        <f>INDEX(MP_SumAssured,MATCH(PointID,MP_ID,0))</f>
        <v/>
      </c>
      <c r="D14" s="12" t="inlineStr">
        <is>
          <t>sum_assured()</t>
        </is>
      </c>
    </row>
    <row r="15">
      <c r="B15" s="5" t="inlineStr">
        <is>
          <t>Months in force at valuation date</t>
        </is>
      </c>
      <c r="C15" s="14">
        <f>INDEX(MP_DurMth,MATCH(PointID,MP_ID,0))</f>
        <v/>
      </c>
      <c r="D15" s="12" t="inlineStr">
        <is>
          <t>duration_mth(0)</t>
        </is>
      </c>
    </row>
    <row r="16">
      <c r="B16" s="5" t="inlineStr">
        <is>
          <t>Premium per policy</t>
        </is>
      </c>
      <c r="C16" s="15">
        <f>INDEX(MP_Premium,MATCH(PointID,MP_ID,0))</f>
        <v/>
      </c>
      <c r="D16" s="12" t="inlineStr">
        <is>
          <t>model point premium_pp (single or monthly level)</t>
        </is>
      </c>
    </row>
    <row r="17">
      <c r="B17" s="5" t="inlineStr">
        <is>
          <t>Initial account value per policy</t>
        </is>
      </c>
      <c r="C17" s="15">
        <f>INDEX(MP_AvInit,MATCH(PointID,MP_ID,0))</f>
        <v/>
      </c>
      <c r="D17" s="12" t="inlineStr">
        <is>
          <t>av_pp_init()</t>
        </is>
      </c>
    </row>
    <row r="19">
      <c r="B19" s="3" t="inlineStr">
        <is>
          <t>Product spec (from Product_Specs)</t>
        </is>
      </c>
    </row>
    <row r="20">
      <c r="B20" s="10" t="inlineStr">
        <is>
          <t>Item</t>
        </is>
      </c>
      <c r="C20" s="10" t="inlineStr">
        <is>
          <t>Value</t>
        </is>
      </c>
      <c r="D20" s="10" t="inlineStr">
        <is>
          <t>Notes / lifelib cell</t>
        </is>
      </c>
    </row>
    <row r="21">
      <c r="B21" s="5" t="inlineStr">
        <is>
          <t>Premium type</t>
        </is>
      </c>
      <c r="C21" s="13">
        <f>INDEX(PS_PremType,MATCH(SpecID,PS_ID,0))</f>
        <v/>
      </c>
      <c r="D21" s="12" t="inlineStr">
        <is>
          <t>premium_type() — SINGLE or LEVEL</t>
        </is>
      </c>
    </row>
    <row r="22">
      <c r="B22" s="5" t="inlineStr">
        <is>
          <t>Has surrender charge</t>
        </is>
      </c>
      <c r="C22" s="13">
        <f>INDEX(PS_HasSurr,MATCH(SpecID,PS_ID,0))</f>
        <v/>
      </c>
      <c r="D22" s="12" t="inlineStr">
        <is>
          <t>has_surr_charge()</t>
        </is>
      </c>
    </row>
    <row r="23">
      <c r="B23" s="5" t="inlineStr">
        <is>
          <t>Surrender charge table</t>
        </is>
      </c>
      <c r="C23" s="13">
        <f>INDEX(PS_SurrID,MATCH(SpecID,PS_ID,0))</f>
        <v/>
      </c>
      <c r="D23" s="12" t="inlineStr">
        <is>
          <t>surr_charge_id()</t>
        </is>
      </c>
    </row>
    <row r="24">
      <c r="B24" s="5" t="inlineStr">
        <is>
          <t>Premium loading rate</t>
        </is>
      </c>
      <c r="C24" s="16">
        <f>INDEX(PS_LoadPrem,MATCH(SpecID,PS_ID,0))</f>
        <v/>
      </c>
      <c r="D24" s="12" t="inlineStr">
        <is>
          <t>load_prem_rate() — share of premium NOT credited to AV</t>
        </is>
      </c>
    </row>
    <row r="25">
      <c r="B25" s="5" t="inlineStr">
        <is>
          <t>Whole of life</t>
        </is>
      </c>
      <c r="C25" s="13">
        <f>INDEX(PS_IsWL,MATCH(SpecID,PS_ID,0))</f>
        <v/>
      </c>
      <c r="D25" s="12" t="inlineStr">
        <is>
          <t>is_wl()</t>
        </is>
      </c>
    </row>
    <row r="27">
      <c r="B27" s="3" t="inlineStr">
        <is>
          <t>Derived</t>
        </is>
      </c>
    </row>
    <row r="28">
      <c r="B28" s="10" t="inlineStr">
        <is>
          <t>Item</t>
        </is>
      </c>
      <c r="C28" s="10" t="inlineStr">
        <is>
          <t>Value</t>
        </is>
      </c>
      <c r="D28" s="10" t="inlineStr">
        <is>
          <t>Notes / lifelib cell</t>
        </is>
      </c>
    </row>
    <row r="29">
      <c r="B29" s="5" t="inlineStr">
        <is>
          <t>Mortality table terminal age</t>
        </is>
      </c>
      <c r="C29" s="14">
        <f>Mortality!$J$2</f>
        <v/>
      </c>
      <c r="D29" s="12" t="inlineStr">
        <is>
          <t>mort_table_last_age() — first age with q = 1 in every duration band</t>
        </is>
      </c>
    </row>
    <row r="30">
      <c r="B30" s="5" t="inlineStr">
        <is>
          <t>Policy term (years)</t>
        </is>
      </c>
      <c r="C30" s="17">
        <f>IF(IsWL,MortLastAge-AgeAtEntry,TermInput)</f>
        <v/>
      </c>
      <c r="D30" s="12" t="inlineStr">
        <is>
          <t>policy_term() — whole-of-life runs to the terminal age</t>
        </is>
      </c>
    </row>
    <row r="31">
      <c r="B31" s="5" t="inlineStr">
        <is>
          <t>Policies in force at t = 0</t>
        </is>
      </c>
      <c r="C31" s="18">
        <f>IF(Duration0&gt;0,PolicyCount,0)</f>
        <v/>
      </c>
      <c r="D31" s="12" t="inlineStr">
        <is>
          <t>pols_if_init()</t>
        </is>
      </c>
    </row>
    <row r="32">
      <c r="B32" s="5" t="inlineStr">
        <is>
          <t>Projection length (months)</t>
        </is>
      </c>
      <c r="C32" s="17">
        <f>MAX(12*PolicyTerm-Duration0+1,0)</f>
        <v/>
      </c>
      <c r="D32" s="12" t="inlineStr">
        <is>
          <t>proj_len()</t>
        </is>
      </c>
    </row>
    <row r="34">
      <c r="B34" s="3" t="inlineStr">
        <is>
          <t>Batch run (RunAllModelPoints macro)</t>
        </is>
      </c>
    </row>
    <row r="35">
      <c r="B35" s="10" t="inlineStr">
        <is>
          <t>Item</t>
        </is>
      </c>
      <c r="C35" s="10" t="inlineStr">
        <is>
          <t>Value</t>
        </is>
      </c>
      <c r="D35" s="10" t="inlineStr">
        <is>
          <t>Notes</t>
        </is>
      </c>
    </row>
    <row r="36">
      <c r="B36" s="5" t="inlineStr">
        <is>
          <t>Runs to execute (blank = all 40)</t>
        </is>
      </c>
      <c r="C36" s="11" t="n"/>
      <c r="D36" s="12" t="inlineStr">
        <is>
          <t>Model point × scenario combinations</t>
        </is>
      </c>
    </row>
    <row r="37">
      <c r="B37" s="5" t="inlineStr">
        <is>
          <t>Reconciliation tolerance (relative)</t>
        </is>
      </c>
      <c r="C37" s="19" t="n">
        <v>1e-06</v>
      </c>
      <c r="D37" s="12" t="inlineStr">
        <is>
          <t>A run reconciles when |workbook − lifelib| ≤ tol × max(1, |lifelib|)</t>
        </is>
      </c>
    </row>
  </sheetData>
  <dataValidations count="2">
    <dataValidation sqref="C4" showDropDown="0" showInputMessage="0" showErrorMessage="0" allowBlank="0" type="whole" operator="between">
      <formula1>1</formula1>
      <formula2>4</formula2>
    </dataValidation>
    <dataValidation sqref="C5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14" customWidth="1" min="3" max="3"/>
    <col width="64" customWidth="1" min="4" max="4"/>
  </cols>
  <sheetData>
    <row r="2">
      <c r="B2" s="3" t="inlineStr">
        <is>
          <t>Basis assumptions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>
        <is>
          <t>Notes / lifelib cell</t>
        </is>
      </c>
    </row>
    <row r="4">
      <c r="B4" s="5" t="inlineStr">
        <is>
          <t>Acquisition expense per policy</t>
        </is>
      </c>
      <c r="C4" s="20" t="n">
        <v>5000</v>
      </c>
      <c r="D4" s="12" t="inlineStr">
        <is>
          <t>expense_acq() — incurred at issue</t>
        </is>
      </c>
    </row>
    <row r="5">
      <c r="B5" s="5" t="inlineStr">
        <is>
          <t>Maintenance expense p.a. per policy</t>
        </is>
      </c>
      <c r="C5" s="20" t="n">
        <v>500</v>
      </c>
      <c r="D5" s="12" t="inlineStr">
        <is>
          <t>expense_maint() — incurred monthly as 1/12</t>
        </is>
      </c>
    </row>
    <row r="6">
      <c r="B6" s="5" t="inlineStr">
        <is>
          <t>Expense inflation p.a.</t>
        </is>
      </c>
      <c r="C6" s="21" t="n">
        <v>0.01</v>
      </c>
      <c r="D6" s="12" t="inlineStr">
        <is>
          <t>inflation_rate()</t>
        </is>
      </c>
    </row>
    <row r="7">
      <c r="B7" s="5" t="inlineStr">
        <is>
          <t>Commission rate on premium</t>
        </is>
      </c>
      <c r="C7" s="21" t="n">
        <v>0.05</v>
      </c>
      <c r="D7" s="12" t="inlineStr">
        <is>
          <t>commissions(t) = 5% × premiums(t)</t>
        </is>
      </c>
    </row>
    <row r="8">
      <c r="B8" s="5" t="inlineStr">
        <is>
          <t>Cost-of-insurance multiple</t>
        </is>
      </c>
      <c r="C8" s="22" t="n">
        <v>1.1</v>
      </c>
      <c r="D8" s="12" t="inlineStr">
        <is>
          <t>coi_rate(t) = 1.1 × monthly mortality rate</t>
        </is>
      </c>
    </row>
    <row r="9">
      <c r="B9" s="5" t="inlineStr">
        <is>
          <t>Maintenance fee p.a. of account value</t>
        </is>
      </c>
      <c r="C9" s="21" t="n">
        <v>0.01</v>
      </c>
      <c r="D9" s="12" t="inlineStr">
        <is>
          <t>maint_fee_rate() = 1% / 12 monthly</t>
        </is>
      </c>
    </row>
    <row r="11">
      <c r="B11" s="3" t="inlineStr">
        <is>
          <t>Lapse basis (annual rate by policy year)</t>
        </is>
      </c>
    </row>
    <row r="12">
      <c r="B12" s="10" t="inlineStr">
        <is>
          <t>Item</t>
        </is>
      </c>
      <c r="C12" s="10" t="inlineStr">
        <is>
          <t>Value</t>
        </is>
      </c>
      <c r="D12" s="10" t="inlineStr">
        <is>
          <t>Notes / lifelib cell</t>
        </is>
      </c>
    </row>
    <row r="13">
      <c r="B13" s="5" t="inlineStr">
        <is>
          <t>Lapse rate, year 1</t>
        </is>
      </c>
      <c r="C13" s="21" t="n">
        <v>0.1</v>
      </c>
      <c r="D13" s="12" t="inlineStr">
        <is>
          <t>lapse_rate(t) = MAX(base − step × duration, floor)</t>
        </is>
      </c>
    </row>
    <row r="14">
      <c r="B14" s="5" t="inlineStr">
        <is>
          <t>Reduction per policy year</t>
        </is>
      </c>
      <c r="C14" s="21" t="n">
        <v>0.02</v>
      </c>
      <c r="D14" s="12" t="inlineStr"/>
    </row>
    <row r="15">
      <c r="B15" s="5" t="inlineStr">
        <is>
          <t>Minimum lapse rate</t>
        </is>
      </c>
      <c r="C15" s="21" t="n">
        <v>0.02</v>
      </c>
      <c r="D15" s="12" t="inlineStr"/>
    </row>
    <row r="17">
      <c r="B17" s="3" t="inlineStr">
        <is>
          <t>Investment return model (lognormal)</t>
        </is>
      </c>
    </row>
    <row r="18">
      <c r="B18" s="10" t="inlineStr">
        <is>
          <t>Item</t>
        </is>
      </c>
      <c r="C18" s="10" t="inlineStr">
        <is>
          <t>Value</t>
        </is>
      </c>
      <c r="D18" s="10" t="inlineStr">
        <is>
          <t>Notes / lifelib cell</t>
        </is>
      </c>
    </row>
    <row r="19">
      <c r="B19" s="5" t="inlineStr">
        <is>
          <t>Expected return μ p.a.</t>
        </is>
      </c>
      <c r="C19" s="21" t="n">
        <v>0.02</v>
      </c>
      <c r="D19" s="12" t="inlineStr">
        <is>
          <t>inv_return_table(): exp((μ−½σ²)Δt + σ√Δt·Z) − 1</t>
        </is>
      </c>
    </row>
    <row r="20">
      <c r="B20" s="5" t="inlineStr">
        <is>
          <t>Volatility σ p.a.</t>
        </is>
      </c>
      <c r="C20" s="21" t="n">
        <v>0.03</v>
      </c>
      <c r="D20" s="12" t="inlineStr">
        <is>
          <t>Δt = 1/12; Z from the Scenarios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6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</cols>
  <sheetData>
    <row r="1">
      <c r="A1" s="10" t="inlineStr">
        <is>
          <t>point_id</t>
        </is>
      </c>
      <c r="B1" s="10" t="inlineStr">
        <is>
          <t>spec_id</t>
        </is>
      </c>
      <c r="C1" s="10" t="inlineStr">
        <is>
          <t>age_at_entry</t>
        </is>
      </c>
      <c r="D1" s="10" t="inlineStr">
        <is>
          <t>sex</t>
        </is>
      </c>
      <c r="E1" s="10" t="inlineStr">
        <is>
          <t>policy_term</t>
        </is>
      </c>
      <c r="F1" s="10" t="inlineStr">
        <is>
          <t>policy_count</t>
        </is>
      </c>
      <c r="G1" s="10" t="inlineStr">
        <is>
          <t>sum_assured</t>
        </is>
      </c>
      <c r="H1" s="10" t="inlineStr">
        <is>
          <t>duration_mth</t>
        </is>
      </c>
      <c r="I1" s="10" t="inlineStr">
        <is>
          <t>premium_pp</t>
        </is>
      </c>
      <c r="J1" s="10" t="inlineStr">
        <is>
          <t>av_pp_init</t>
        </is>
      </c>
    </row>
    <row r="2">
      <c r="A2" s="7" t="n">
        <v>1</v>
      </c>
      <c r="B2" s="7" t="inlineStr">
        <is>
          <t>A</t>
        </is>
      </c>
      <c r="C2" s="7" t="n">
        <v>20</v>
      </c>
      <c r="D2" s="7" t="inlineStr">
        <is>
          <t>M</t>
        </is>
      </c>
      <c r="E2" s="7" t="n">
        <v>10</v>
      </c>
      <c r="F2" s="7" t="n">
        <v>100</v>
      </c>
      <c r="G2" s="7" t="n">
        <v>500000</v>
      </c>
      <c r="H2" s="7" t="n">
        <v>0</v>
      </c>
      <c r="I2" s="7" t="n">
        <v>500000</v>
      </c>
      <c r="J2" s="7" t="n">
        <v>0</v>
      </c>
    </row>
    <row r="3">
      <c r="A3" s="7" t="n">
        <v>2</v>
      </c>
      <c r="B3" s="7" t="inlineStr">
        <is>
          <t>B</t>
        </is>
      </c>
      <c r="C3" s="7" t="n">
        <v>50</v>
      </c>
      <c r="D3" s="7" t="inlineStr">
        <is>
          <t>M</t>
        </is>
      </c>
      <c r="E3" s="7" t="n">
        <v>20</v>
      </c>
      <c r="F3" s="7" t="n">
        <v>100</v>
      </c>
      <c r="G3" s="7" t="n">
        <v>500000</v>
      </c>
      <c r="H3" s="7" t="n">
        <v>0</v>
      </c>
      <c r="I3" s="7" t="n">
        <v>500000</v>
      </c>
      <c r="J3" s="7" t="n">
        <v>0</v>
      </c>
    </row>
    <row r="4">
      <c r="A4" s="7" t="n">
        <v>3</v>
      </c>
      <c r="B4" s="7" t="inlineStr">
        <is>
          <t>C</t>
        </is>
      </c>
      <c r="C4" s="7" t="n">
        <v>20</v>
      </c>
      <c r="D4" s="7" t="inlineStr">
        <is>
          <t>M</t>
        </is>
      </c>
      <c r="E4" s="7" t="n">
        <v>9999</v>
      </c>
      <c r="F4" s="7" t="n">
        <v>100</v>
      </c>
      <c r="G4" s="7" t="n">
        <v>500000</v>
      </c>
      <c r="H4" s="7" t="n">
        <v>0</v>
      </c>
      <c r="I4" s="7" t="n">
        <v>1000</v>
      </c>
      <c r="J4" s="7" t="n">
        <v>0</v>
      </c>
    </row>
    <row r="5">
      <c r="A5" s="7" t="n">
        <v>4</v>
      </c>
      <c r="B5" s="7" t="inlineStr">
        <is>
          <t>D</t>
        </is>
      </c>
      <c r="C5" s="7" t="n">
        <v>50</v>
      </c>
      <c r="D5" s="7" t="inlineStr">
        <is>
          <t>M</t>
        </is>
      </c>
      <c r="E5" s="7" t="n">
        <v>9999</v>
      </c>
      <c r="F5" s="7" t="n">
        <v>100</v>
      </c>
      <c r="G5" s="7" t="n">
        <v>500000</v>
      </c>
      <c r="H5" s="7" t="n">
        <v>0</v>
      </c>
      <c r="I5" s="7" t="n">
        <v>1000</v>
      </c>
      <c r="J5" s="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3" customWidth="1" min="4" max="4"/>
    <col width="13" customWidth="1" min="5" max="5"/>
    <col width="8" customWidth="1" min="6" max="6"/>
  </cols>
  <sheetData>
    <row r="1">
      <c r="A1" s="10" t="inlineStr">
        <is>
          <t>spec_id</t>
        </is>
      </c>
      <c r="B1" s="10" t="inlineStr">
        <is>
          <t>premium_type</t>
        </is>
      </c>
      <c r="C1" s="10" t="inlineStr">
        <is>
          <t>has_surr_charge</t>
        </is>
      </c>
      <c r="D1" s="10" t="inlineStr">
        <is>
          <t>surr_charge_id</t>
        </is>
      </c>
      <c r="E1" s="10" t="inlineStr">
        <is>
          <t>load_prem_rate</t>
        </is>
      </c>
      <c r="F1" s="10" t="inlineStr">
        <is>
          <t>is_wl</t>
        </is>
      </c>
    </row>
    <row r="2">
      <c r="A2" s="7" t="inlineStr">
        <is>
          <t>A</t>
        </is>
      </c>
      <c r="B2" s="7" t="inlineStr">
        <is>
          <t>SINGLE</t>
        </is>
      </c>
      <c r="C2" s="7" t="b">
        <v>0</v>
      </c>
      <c r="D2" s="7" t="inlineStr"/>
      <c r="E2" s="23" t="n">
        <v>0.1</v>
      </c>
      <c r="F2" s="7" t="b">
        <v>0</v>
      </c>
    </row>
    <row r="3">
      <c r="A3" s="7" t="inlineStr">
        <is>
          <t>B</t>
        </is>
      </c>
      <c r="B3" s="7" t="inlineStr">
        <is>
          <t>SINGLE</t>
        </is>
      </c>
      <c r="C3" s="7" t="b">
        <v>1</v>
      </c>
      <c r="D3" s="7" t="inlineStr">
        <is>
          <t>type_1</t>
        </is>
      </c>
      <c r="E3" s="23" t="n">
        <v>0</v>
      </c>
      <c r="F3" s="7" t="b">
        <v>0</v>
      </c>
    </row>
    <row r="4">
      <c r="A4" s="7" t="inlineStr">
        <is>
          <t>C</t>
        </is>
      </c>
      <c r="B4" s="7" t="inlineStr">
        <is>
          <t>LEVEL</t>
        </is>
      </c>
      <c r="C4" s="7" t="b">
        <v>0</v>
      </c>
      <c r="D4" s="7" t="inlineStr"/>
      <c r="E4" s="23" t="n">
        <v>0.1</v>
      </c>
      <c r="F4" s="7" t="b">
        <v>1</v>
      </c>
    </row>
    <row r="5">
      <c r="A5" s="7" t="inlineStr">
        <is>
          <t>D</t>
        </is>
      </c>
      <c r="B5" s="7" t="inlineStr">
        <is>
          <t>LEVEL</t>
        </is>
      </c>
      <c r="C5" s="7" t="b">
        <v>1</v>
      </c>
      <c r="D5" s="7" t="inlineStr">
        <is>
          <t>type_3</t>
        </is>
      </c>
      <c r="E5" s="23" t="n">
        <v>0.05</v>
      </c>
      <c r="F5" s="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J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9" max="9"/>
    <col width="11" customWidth="1" min="10" max="10"/>
  </cols>
  <sheetData>
    <row r="1">
      <c r="A1" s="10" t="inlineStr">
        <is>
          <t>Attained age</t>
        </is>
      </c>
      <c r="B1" s="10" t="inlineStr">
        <is>
          <t>Duration 0</t>
        </is>
      </c>
      <c r="C1" s="10" t="inlineStr">
        <is>
          <t>Duration 1</t>
        </is>
      </c>
      <c r="D1" s="10" t="inlineStr">
        <is>
          <t>Duration 2</t>
        </is>
      </c>
      <c r="E1" s="10" t="inlineStr">
        <is>
          <t>Duration 3</t>
        </is>
      </c>
      <c r="F1" s="10" t="inlineStr">
        <is>
          <t>Duration 4</t>
        </is>
      </c>
      <c r="G1" s="10" t="inlineStr">
        <is>
          <t>Duration 5</t>
        </is>
      </c>
      <c r="I1" s="10" t="inlineStr">
        <is>
          <t>All q = 1?</t>
        </is>
      </c>
      <c r="J1" s="10" t="inlineStr">
        <is>
          <t>Terminal age</t>
        </is>
      </c>
    </row>
    <row r="2">
      <c r="A2" s="7" t="n">
        <v>18</v>
      </c>
      <c r="B2" s="24" t="n">
        <v>0.0002310671048780701</v>
      </c>
      <c r="C2" s="24" t="n">
        <v>0.0002541738153658771</v>
      </c>
      <c r="D2" s="24" t="n">
        <v>0.0002795911969024648</v>
      </c>
      <c r="E2" s="24" t="n">
        <v>0.0003075503165927113</v>
      </c>
      <c r="F2" s="24" t="n">
        <v>0.0003383053482519825</v>
      </c>
      <c r="G2" s="24" t="n">
        <v>0.0003721358830771808</v>
      </c>
      <c r="I2" s="8">
        <f>IF(COUNTIF(B2:G2,1)=6,A2,"")</f>
        <v/>
      </c>
      <c r="J2" s="8">
        <f>MIN(I2:I104)</f>
        <v/>
      </c>
    </row>
    <row r="3">
      <c r="A3" s="7" t="n">
        <v>19</v>
      </c>
      <c r="B3" s="24" t="n">
        <v>0.0002353200126583699</v>
      </c>
      <c r="C3" s="24" t="n">
        <v>0.000258852013924207</v>
      </c>
      <c r="D3" s="24" t="n">
        <v>0.0002847372153166277</v>
      </c>
      <c r="E3" s="24" t="n">
        <v>0.0003132109368482905</v>
      </c>
      <c r="F3" s="24" t="n">
        <v>0.0003445320305331195</v>
      </c>
      <c r="G3" s="24" t="n">
        <v>0.0003789852335864315</v>
      </c>
      <c r="I3" s="8">
        <f>IF(COUNTIF(B3:G3,1)=6,A3,"")</f>
        <v/>
      </c>
      <c r="J3" s="25" t="inlineStr">
        <is>
          <t>mort_table_last_age()</t>
        </is>
      </c>
    </row>
    <row r="4">
      <c r="A4" s="7" t="n">
        <v>20</v>
      </c>
      <c r="B4" s="24" t="n">
        <v>0.0002399363756770145</v>
      </c>
      <c r="C4" s="24" t="n">
        <v>0.0002639300132447159</v>
      </c>
      <c r="D4" s="24" t="n">
        <v>0.0002903230145691875</v>
      </c>
      <c r="E4" s="24" t="n">
        <v>0.0003193553160261063</v>
      </c>
      <c r="F4" s="24" t="n">
        <v>0.000351290847628717</v>
      </c>
      <c r="G4" s="24" t="n">
        <v>0.0003864199323915887</v>
      </c>
      <c r="I4" s="8">
        <f>IF(COUNTIF(B4:G4,1)=6,A4,"")</f>
        <v/>
      </c>
    </row>
    <row r="5">
      <c r="A5" s="7" t="n">
        <v>21</v>
      </c>
      <c r="B5" s="24" t="n">
        <v>0.000244937423152777</v>
      </c>
      <c r="C5" s="24" t="n">
        <v>0.0002694311654680547</v>
      </c>
      <c r="D5" s="24" t="n">
        <v>0.0002963742820148602</v>
      </c>
      <c r="E5" s="24" t="n">
        <v>0.0003260117102163462</v>
      </c>
      <c r="F5" s="24" t="n">
        <v>0.0003586128812379809</v>
      </c>
      <c r="G5" s="24" t="n">
        <v>0.000394474169361779</v>
      </c>
      <c r="I5" s="8">
        <f>IF(COUNTIF(B5:G5,1)=6,A5,"")</f>
        <v/>
      </c>
    </row>
    <row r="6">
      <c r="A6" s="7" t="n">
        <v>22</v>
      </c>
      <c r="B6" s="24" t="n">
        <v>0.0002503462740334557</v>
      </c>
      <c r="C6" s="24" t="n">
        <v>0.0002753809014368013</v>
      </c>
      <c r="D6" s="24" t="n">
        <v>0.0003029189915804814</v>
      </c>
      <c r="E6" s="24" t="n">
        <v>0.0003332108907385296</v>
      </c>
      <c r="F6" s="24" t="n">
        <v>0.0003665319798123826</v>
      </c>
      <c r="G6" s="24" t="n">
        <v>0.0004031851777936208</v>
      </c>
      <c r="I6" s="8">
        <f>IF(COUNTIF(B6:G6,1)=6,A6,"")</f>
        <v/>
      </c>
    </row>
    <row r="7">
      <c r="A7" s="7" t="n">
        <v>23</v>
      </c>
      <c r="B7" s="24" t="n">
        <v>0.0002561881183155183</v>
      </c>
      <c r="C7" s="24" t="n">
        <v>0.0002818069301470701</v>
      </c>
      <c r="D7" s="24" t="n">
        <v>0.0003099876231617771</v>
      </c>
      <c r="E7" s="24" t="n">
        <v>0.0003409863854779549</v>
      </c>
      <c r="F7" s="24" t="n">
        <v>0.0003750850240257504</v>
      </c>
      <c r="G7" s="24" t="n">
        <v>0.0004125935264283255</v>
      </c>
      <c r="I7" s="8">
        <f>IF(COUNTIF(B7:G7,1)=6,A7,"")</f>
        <v/>
      </c>
    </row>
    <row r="8">
      <c r="A8" s="7" t="n">
        <v>24</v>
      </c>
      <c r="B8" s="24" t="n">
        <v>0.0002624904157144116</v>
      </c>
      <c r="C8" s="24" t="n">
        <v>0.0002887394572858528</v>
      </c>
      <c r="D8" s="24" t="n">
        <v>0.0003176134030144381</v>
      </c>
      <c r="E8" s="24" t="n">
        <v>0.0003493747433158819</v>
      </c>
      <c r="F8" s="24" t="n">
        <v>0.0003843122176474701</v>
      </c>
      <c r="G8" s="24" t="n">
        <v>0.0004227434394122172</v>
      </c>
      <c r="I8" s="8">
        <f>IF(COUNTIF(B8:G8,1)=6,A8,"")</f>
        <v/>
      </c>
    </row>
    <row r="9">
      <c r="A9" s="7" t="n">
        <v>25</v>
      </c>
      <c r="B9" s="24" t="n">
        <v>0.0002692831139799757</v>
      </c>
      <c r="C9" s="24" t="n">
        <v>0.0002962114253779732</v>
      </c>
      <c r="D9" s="24" t="n">
        <v>0.0003258325679157706</v>
      </c>
      <c r="E9" s="24" t="n">
        <v>0.0003584158247073477</v>
      </c>
      <c r="F9" s="24" t="n">
        <v>0.0003942574071780824</v>
      </c>
      <c r="G9" s="24" t="n">
        <v>0.0004336831478958907</v>
      </c>
      <c r="I9" s="8">
        <f>IF(COUNTIF(B9:G9,1)=6,A9,"")</f>
        <v/>
      </c>
    </row>
    <row r="10">
      <c r="A10" s="7" t="n">
        <v>26</v>
      </c>
      <c r="B10" s="24" t="n">
        <v>0.0002765988893708184</v>
      </c>
      <c r="C10" s="24" t="n">
        <v>0.0003042587783079002</v>
      </c>
      <c r="D10" s="24" t="n">
        <v>0.0003346846561386903</v>
      </c>
      <c r="E10" s="24" t="n">
        <v>0.0003681531217525593</v>
      </c>
      <c r="F10" s="24" t="n">
        <v>0.0004049684339278153</v>
      </c>
      <c r="G10" s="24" t="n">
        <v>0.0004454652773205969</v>
      </c>
      <c r="I10" s="8">
        <f>IF(COUNTIF(B10:G10,1)=6,A10,"")</f>
        <v/>
      </c>
    </row>
    <row r="11">
      <c r="A11" s="7" t="n">
        <v>27</v>
      </c>
      <c r="B11" s="24" t="n">
        <v>0.0002844734120632121</v>
      </c>
      <c r="C11" s="24" t="n">
        <v>0.0003129207532695333</v>
      </c>
      <c r="D11" s="24" t="n">
        <v>0.0003442128285964867</v>
      </c>
      <c r="E11" s="24" t="n">
        <v>0.0003786341114561354</v>
      </c>
      <c r="F11" s="24" t="n">
        <v>0.000416497522601749</v>
      </c>
      <c r="G11" s="24" t="n">
        <v>0.0004581472748619239</v>
      </c>
      <c r="I11" s="8">
        <f>IF(COUNTIF(B11:G11,1)=6,A11,"")</f>
        <v/>
      </c>
    </row>
    <row r="12">
      <c r="A12" s="7" t="n">
        <v>28</v>
      </c>
      <c r="B12" s="24" t="n">
        <v>0.0002929456395766907</v>
      </c>
      <c r="C12" s="24" t="n">
        <v>0.0003222402035343598</v>
      </c>
      <c r="D12" s="24" t="n">
        <v>0.0003544642238877958</v>
      </c>
      <c r="E12" s="24" t="n">
        <v>0.0003899106462765754</v>
      </c>
      <c r="F12" s="24" t="n">
        <v>0.000428901710904233</v>
      </c>
      <c r="G12" s="24" t="n">
        <v>0.0004717918819946564</v>
      </c>
      <c r="I12" s="8">
        <f>IF(COUNTIF(B12:G12,1)=6,A12,"")</f>
        <v/>
      </c>
    </row>
    <row r="13">
      <c r="A13" s="7" t="n">
        <v>29</v>
      </c>
      <c r="B13" s="24" t="n">
        <v>0.0003020581416539583</v>
      </c>
      <c r="C13" s="24" t="n">
        <v>0.0003322639558193541</v>
      </c>
      <c r="D13" s="24" t="n">
        <v>0.0003654903514012896</v>
      </c>
      <c r="E13" s="24" t="n">
        <v>0.0004020393865414186</v>
      </c>
      <c r="F13" s="24" t="n">
        <v>0.0004422433251955605</v>
      </c>
      <c r="G13" s="24" t="n">
        <v>0.0004864676577151166</v>
      </c>
      <c r="I13" s="8">
        <f>IF(COUNTIF(B13:G13,1)=6,A13,"")</f>
        <v/>
      </c>
    </row>
    <row r="14">
      <c r="A14" s="7" t="n">
        <v>30</v>
      </c>
      <c r="B14" s="24" t="n">
        <v>0.0003118574604420908</v>
      </c>
      <c r="C14" s="24" t="n">
        <v>0.0003430432064863</v>
      </c>
      <c r="D14" s="24" t="n">
        <v>0.00037734752713493</v>
      </c>
      <c r="E14" s="24" t="n">
        <v>0.000415082279848423</v>
      </c>
      <c r="F14" s="24" t="n">
        <v>0.0004565905078332653</v>
      </c>
      <c r="G14" s="24" t="n">
        <v>0.0005022495586165919</v>
      </c>
      <c r="I14" s="8">
        <f>IF(COUNTIF(B14:G14,1)=6,A14,"")</f>
        <v/>
      </c>
    </row>
    <row r="15">
      <c r="A15" s="7" t="n">
        <v>31</v>
      </c>
      <c r="B15" s="24" t="n">
        <v>0.0003223945102916596</v>
      </c>
      <c r="C15" s="24" t="n">
        <v>0.0003546339613208256</v>
      </c>
      <c r="D15" s="24" t="n">
        <v>0.0003900973574529082</v>
      </c>
      <c r="E15" s="24" t="n">
        <v>0.0004291070931981991</v>
      </c>
      <c r="F15" s="24" t="n">
        <v>0.000472017802518019</v>
      </c>
      <c r="G15" s="24" t="n">
        <v>0.000519219582769821</v>
      </c>
      <c r="I15" s="8">
        <f>IF(COUNTIF(B15:G15,1)=6,A15,"")</f>
        <v/>
      </c>
    </row>
    <row r="16">
      <c r="A16" s="7" t="n">
        <v>32</v>
      </c>
      <c r="B16" s="24" t="n">
        <v>0.0003337250220279336</v>
      </c>
      <c r="C16" s="24" t="n">
        <v>0.000367097524230727</v>
      </c>
      <c r="D16" s="24" t="n">
        <v>0.0004038072766537997</v>
      </c>
      <c r="E16" s="24" t="n">
        <v>0.0004441880043191797</v>
      </c>
      <c r="F16" s="24" t="n">
        <v>0.0004886068047510977</v>
      </c>
      <c r="G16" s="24" t="n">
        <v>0.0005374674852262075</v>
      </c>
      <c r="I16" s="8">
        <f>IF(COUNTIF(B16:G16,1)=6,A16,"")</f>
        <v/>
      </c>
    </row>
    <row r="17">
      <c r="A17" s="7" t="n">
        <v>33</v>
      </c>
      <c r="B17" s="24" t="n">
        <v>0.0003459100371627477</v>
      </c>
      <c r="C17" s="24" t="n">
        <v>0.0003805010408790224</v>
      </c>
      <c r="D17" s="24" t="n">
        <v>0.0004185511449669247</v>
      </c>
      <c r="E17" s="24" t="n">
        <v>0.0004604062594636172</v>
      </c>
      <c r="F17" s="24" t="n">
        <v>0.000506446885409979</v>
      </c>
      <c r="G17" s="24" t="n">
        <v>0.0005570915739509769</v>
      </c>
      <c r="I17" s="8">
        <f>IF(COUNTIF(B17:G17,1)=6,A17,"")</f>
        <v/>
      </c>
    </row>
    <row r="18">
      <c r="A18" s="7" t="n">
        <v>34</v>
      </c>
      <c r="B18" s="24" t="n">
        <v>0.0003590164582175236</v>
      </c>
      <c r="C18" s="24" t="n">
        <v>0.000394918104039276</v>
      </c>
      <c r="D18" s="24" t="n">
        <v>0.0004344099144432036</v>
      </c>
      <c r="E18" s="24" t="n">
        <v>0.0004778509058875241</v>
      </c>
      <c r="F18" s="24" t="n">
        <v>0.0005256359964762765</v>
      </c>
      <c r="G18" s="24" t="n">
        <v>0.0005781995961239042</v>
      </c>
      <c r="I18" s="8">
        <f>IF(COUNTIF(B18:G18,1)=6,A18,"")</f>
        <v/>
      </c>
    </row>
    <row r="19">
      <c r="A19" s="7" t="n">
        <v>35</v>
      </c>
      <c r="B19" s="24" t="n">
        <v>0.0003731176621295971</v>
      </c>
      <c r="C19" s="24" t="n">
        <v>0.0004104294283425568</v>
      </c>
      <c r="D19" s="24" t="n">
        <v>0.0004514723711768126</v>
      </c>
      <c r="E19" s="24" t="n">
        <v>0.0004966196082944939</v>
      </c>
      <c r="F19" s="24" t="n">
        <v>0.0005462815691239433</v>
      </c>
      <c r="G19" s="24" t="n">
        <v>0.0006009097260363377</v>
      </c>
      <c r="I19" s="8">
        <f>IF(COUNTIF(B19:G19,1)=6,A19,"")</f>
        <v/>
      </c>
    </row>
    <row r="20">
      <c r="A20" s="7" t="n">
        <v>36</v>
      </c>
      <c r="B20" s="24" t="n">
        <v>0.0003882941846297993</v>
      </c>
      <c r="C20" s="24" t="n">
        <v>0.0004271236030927793</v>
      </c>
      <c r="D20" s="24" t="n">
        <v>0.0004698359634020572</v>
      </c>
      <c r="E20" s="24" t="n">
        <v>0.000516819559742263</v>
      </c>
      <c r="F20" s="24" t="n">
        <v>0.0005685015157164894</v>
      </c>
      <c r="G20" s="24" t="n">
        <v>0.0006253516672881384</v>
      </c>
      <c r="I20" s="8">
        <f>IF(COUNTIF(B20:G20,1)=6,A20,"")</f>
        <v/>
      </c>
    </row>
    <row r="21">
      <c r="A21" s="7" t="n">
        <v>37</v>
      </c>
      <c r="B21" s="24" t="n">
        <v>0.0004046344845257716</v>
      </c>
      <c r="C21" s="24" t="n">
        <v>0.0004450979329783488</v>
      </c>
      <c r="D21" s="24" t="n">
        <v>0.0004896077262761837</v>
      </c>
      <c r="E21" s="24" t="n">
        <v>0.0005385684989038021</v>
      </c>
      <c r="F21" s="24" t="n">
        <v>0.0005924253487941823</v>
      </c>
      <c r="G21" s="24" t="n">
        <v>0.0006516678836736005</v>
      </c>
      <c r="I21" s="8">
        <f>IF(COUNTIF(B21:G21,1)=6,A21,"")</f>
        <v/>
      </c>
    </row>
    <row r="22">
      <c r="A22" s="7" t="n">
        <v>38</v>
      </c>
      <c r="B22" s="24" t="n">
        <v>0.0004222357980220614</v>
      </c>
      <c r="C22" s="24" t="n">
        <v>0.0004644593778242676</v>
      </c>
      <c r="D22" s="24" t="n">
        <v>0.0005109053156066944</v>
      </c>
      <c r="E22" s="24" t="n">
        <v>0.0005619958471673638</v>
      </c>
      <c r="F22" s="24" t="n">
        <v>0.0006181954318841003</v>
      </c>
      <c r="G22" s="24" t="n">
        <v>0.0006800149750725104</v>
      </c>
      <c r="I22" s="8">
        <f>IF(COUNTIF(B22:G22,1)=6,A22,"")</f>
        <v/>
      </c>
    </row>
    <row r="23">
      <c r="A23" s="7" t="n">
        <v>39</v>
      </c>
      <c r="B23" s="24" t="n">
        <v>0.0004412050945770665</v>
      </c>
      <c r="C23" s="24" t="n">
        <v>0.0004853256040347732</v>
      </c>
      <c r="D23" s="24" t="n">
        <v>0.0005338581644382506</v>
      </c>
      <c r="E23" s="24" t="n">
        <v>0.0005872439808820756</v>
      </c>
      <c r="F23" s="24" t="n">
        <v>0.0006459683789702832</v>
      </c>
      <c r="G23" s="24" t="n">
        <v>0.0007105652168673116</v>
      </c>
      <c r="I23" s="8">
        <f>IF(COUNTIF(B23:G23,1)=6,A23,"")</f>
        <v/>
      </c>
    </row>
    <row r="24">
      <c r="A24" s="7" t="n">
        <v>40</v>
      </c>
      <c r="B24" s="24" t="n">
        <v>0.0004616601473642979</v>
      </c>
      <c r="C24" s="24" t="n">
        <v>0.0005078261621007278</v>
      </c>
      <c r="D24" s="24" t="n">
        <v>0.0005586087783108006</v>
      </c>
      <c r="E24" s="24" t="n">
        <v>0.0006144696561418807</v>
      </c>
      <c r="F24" s="24" t="n">
        <v>0.0006759166217560689</v>
      </c>
      <c r="G24" s="24" t="n">
        <v>0.0007435082839316758</v>
      </c>
      <c r="I24" s="8">
        <f>IF(COUNTIF(B24:G24,1)=6,A24,"")</f>
        <v/>
      </c>
    </row>
    <row r="25">
      <c r="A25" s="7" t="n">
        <v>41</v>
      </c>
      <c r="B25" s="24" t="n">
        <v>0.0004837307332014202</v>
      </c>
      <c r="C25" s="24" t="n">
        <v>0.0005321038065215623</v>
      </c>
      <c r="D25" s="24" t="n">
        <v>0.0005853141871737187</v>
      </c>
      <c r="E25" s="24" t="n">
        <v>0.0006438456058910905</v>
      </c>
      <c r="F25" s="24" t="n">
        <v>0.0007082301664801996</v>
      </c>
      <c r="G25" s="24" t="n">
        <v>0.0007790531831282197</v>
      </c>
      <c r="I25" s="8">
        <f>IF(COUNTIF(B25:G25,1)=6,A25,"")</f>
        <v/>
      </c>
    </row>
    <row r="26">
      <c r="A26" s="7" t="n">
        <v>42</v>
      </c>
      <c r="B26" s="24" t="n">
        <v>0.0005075599788701063</v>
      </c>
      <c r="C26" s="24" t="n">
        <v>0.0005583159767571169</v>
      </c>
      <c r="D26" s="24" t="n">
        <v>0.0006141475744328287</v>
      </c>
      <c r="E26" s="24" t="n">
        <v>0.0006755623318761115</v>
      </c>
      <c r="F26" s="24" t="n">
        <v>0.0007431185650637228</v>
      </c>
      <c r="G26" s="24" t="n">
        <v>0.0008174304215700951</v>
      </c>
      <c r="I26" s="8">
        <f>IF(COUNTIF(B26:G26,1)=6,A26,"")</f>
        <v/>
      </c>
    </row>
    <row r="27">
      <c r="A27" s="7" t="n">
        <v>43</v>
      </c>
      <c r="B27" s="24" t="n">
        <v>0.0005333058731135947</v>
      </c>
      <c r="C27" s="24" t="n">
        <v>0.0005866364604249543</v>
      </c>
      <c r="D27" s="24" t="n">
        <v>0.0006453001064674498</v>
      </c>
      <c r="E27" s="24" t="n">
        <v>0.0007098301171141948</v>
      </c>
      <c r="F27" s="24" t="n">
        <v>0.0007808131288256143</v>
      </c>
      <c r="G27" s="24" t="n">
        <v>0.0008588944417081758</v>
      </c>
      <c r="I27" s="8">
        <f>IF(COUNTIF(B27:G27,1)=6,A27,"")</f>
        <v/>
      </c>
    </row>
    <row r="28">
      <c r="A28" s="7" t="n">
        <v>44</v>
      </c>
      <c r="B28" s="24" t="n">
        <v>0.0005611429663144072</v>
      </c>
      <c r="C28" s="24" t="n">
        <v>0.000617257262945848</v>
      </c>
      <c r="D28" s="24" t="n">
        <v>0.0006789829892404329</v>
      </c>
      <c r="E28" s="24" t="n">
        <v>0.0007468812881644762</v>
      </c>
      <c r="F28" s="24" t="n">
        <v>0.0008215694169809239</v>
      </c>
      <c r="G28" s="24" t="n">
        <v>0.0009037263586790164</v>
      </c>
      <c r="I28" s="8">
        <f>IF(COUNTIF(B28:G28,1)=6,A28,"")</f>
        <v/>
      </c>
    </row>
    <row r="29">
      <c r="A29" s="7" t="n">
        <v>45</v>
      </c>
      <c r="B29" s="24" t="n">
        <v>0.0005912642829769909</v>
      </c>
      <c r="C29" s="24" t="n">
        <v>0.00065039071127469</v>
      </c>
      <c r="D29" s="24" t="n">
        <v>0.0007154297824021591</v>
      </c>
      <c r="E29" s="24" t="n">
        <v>0.0007869727606423751</v>
      </c>
      <c r="F29" s="24" t="n">
        <v>0.0008656700367066127</v>
      </c>
      <c r="G29" s="24" t="n">
        <v>0.0009522370403772741</v>
      </c>
      <c r="I29" s="8">
        <f>IF(COUNTIF(B29:G29,1)=6,A29,"")</f>
        <v/>
      </c>
    </row>
    <row r="30">
      <c r="A30" s="7" t="n">
        <v>46</v>
      </c>
      <c r="B30" s="24" t="n">
        <v>0.0006238834757334444</v>
      </c>
      <c r="C30" s="24" t="n">
        <v>0.0006862718233067889</v>
      </c>
      <c r="D30" s="24" t="n">
        <v>0.0007548990056374678</v>
      </c>
      <c r="E30" s="24" t="n">
        <v>0.0008303889062012146</v>
      </c>
      <c r="F30" s="24" t="n">
        <v>0.0009134277968213361</v>
      </c>
      <c r="G30" s="24" t="n">
        <v>0.00100477057650347</v>
      </c>
      <c r="I30" s="8">
        <f>IF(COUNTIF(B30:G30,1)=6,A30,"")</f>
        <v/>
      </c>
    </row>
    <row r="31">
      <c r="A31" s="7" t="n">
        <v>47</v>
      </c>
      <c r="B31" s="24" t="n">
        <v>0.0006592372537298736</v>
      </c>
      <c r="C31" s="24" t="n">
        <v>0.000725160979102861</v>
      </c>
      <c r="D31" s="24" t="n">
        <v>0.0007976770770131472</v>
      </c>
      <c r="E31" s="24" t="n">
        <v>0.0008774447847144619</v>
      </c>
      <c r="F31" s="24" t="n">
        <v>0.0009651892631859082</v>
      </c>
      <c r="G31" s="24" t="n">
        <v>0.001061708189504499</v>
      </c>
      <c r="I31" s="8">
        <f>IF(COUNTIF(B31:G31,1)=6,A31,"")</f>
        <v/>
      </c>
    </row>
    <row r="32">
      <c r="A32" s="7" t="n">
        <v>48</v>
      </c>
      <c r="B32" s="24" t="n">
        <v>0.0006975881230237241</v>
      </c>
      <c r="C32" s="24" t="n">
        <v>0.0007673469353260965</v>
      </c>
      <c r="D32" s="24" t="n">
        <v>0.0008440816288587063</v>
      </c>
      <c r="E32" s="24" t="n">
        <v>0.000928489791744577</v>
      </c>
      <c r="F32" s="24" t="n">
        <v>0.001021338770919035</v>
      </c>
      <c r="G32" s="24" t="n">
        <v>0.001123472648010938</v>
      </c>
      <c r="I32" s="8">
        <f>IF(COUNTIF(B32:G32,1)=6,A32,"")</f>
        <v/>
      </c>
    </row>
    <row r="33">
      <c r="A33" s="7" t="n">
        <v>49</v>
      </c>
      <c r="B33" s="24" t="n">
        <v>0.0007392274821309431</v>
      </c>
      <c r="C33" s="24" t="n">
        <v>0.0008131502303440375</v>
      </c>
      <c r="D33" s="24" t="n">
        <v>0.0008944652533784413</v>
      </c>
      <c r="E33" s="24" t="n">
        <v>0.0009839117787162855</v>
      </c>
      <c r="F33" s="24" t="n">
        <v>0.001082302956587914</v>
      </c>
      <c r="G33" s="24" t="n">
        <v>0.001190533252246706</v>
      </c>
      <c r="I33" s="8">
        <f>IF(COUNTIF(B33:G33,1)=6,A33,"")</f>
        <v/>
      </c>
    </row>
    <row r="34">
      <c r="A34" s="7" t="n">
        <v>50</v>
      </c>
      <c r="B34" s="24" t="n">
        <v>0.0007844791222255886</v>
      </c>
      <c r="C34" s="24" t="n">
        <v>0.0008629270344481476</v>
      </c>
      <c r="D34" s="24" t="n">
        <v>0.0009492197378929624</v>
      </c>
      <c r="E34" s="24" t="n">
        <v>0.001044141711682259</v>
      </c>
      <c r="F34" s="24" t="n">
        <v>0.001148555882850485</v>
      </c>
      <c r="G34" s="24" t="n">
        <v>0.001263411471135533</v>
      </c>
      <c r="I34" s="8">
        <f>IF(COUNTIF(B34:G34,1)=6,A34,"")</f>
        <v/>
      </c>
    </row>
    <row r="35">
      <c r="A35" s="7" t="n">
        <v>51</v>
      </c>
      <c r="B35" s="24" t="n">
        <v>0.0008337031888533204</v>
      </c>
      <c r="C35" s="24" t="n">
        <v>0.0009170735077386526</v>
      </c>
      <c r="D35" s="24" t="n">
        <v>0.001008780858512518</v>
      </c>
      <c r="E35" s="24" t="n">
        <v>0.00110965894436377</v>
      </c>
      <c r="F35" s="24" t="n">
        <v>0.001220624838800147</v>
      </c>
      <c r="G35" s="24" t="n">
        <v>0.001342687322680162</v>
      </c>
      <c r="I35" s="8">
        <f>IF(COUNTIF(B35:G35,1)=6,A35,"")</f>
        <v/>
      </c>
    </row>
    <row r="36">
      <c r="A36" s="7" t="n">
        <v>52</v>
      </c>
      <c r="B36" s="24" t="n">
        <v>0.0008873006705383532</v>
      </c>
      <c r="C36" s="24" t="n">
        <v>0.0009760307375921886</v>
      </c>
      <c r="D36" s="24" t="n">
        <v>0.001073633811351408</v>
      </c>
      <c r="E36" s="24" t="n">
        <v>0.001180997192486548</v>
      </c>
      <c r="F36" s="24" t="n">
        <v>0.001299096911735203</v>
      </c>
      <c r="G36" s="24" t="n">
        <v>0.001429006602908724</v>
      </c>
      <c r="I36" s="8">
        <f>IF(COUNTIF(B36:G36,1)=6,A36,"")</f>
        <v/>
      </c>
    </row>
    <row r="37">
      <c r="A37" s="7" t="n">
        <v>53</v>
      </c>
      <c r="B37" s="24" t="n">
        <v>0.0009457184895330499</v>
      </c>
      <c r="C37" s="24" t="n">
        <v>0.001040290338486355</v>
      </c>
      <c r="D37" s="24" t="n">
        <v>0.001144319372334991</v>
      </c>
      <c r="E37" s="24" t="n">
        <v>0.00125875130956849</v>
      </c>
      <c r="F37" s="24" t="n">
        <v>0.001384626440525339</v>
      </c>
      <c r="G37" s="24" t="n">
        <v>0.001523089084577873</v>
      </c>
      <c r="I37" s="8">
        <f>IF(COUNTIF(B37:G37,1)=6,A37,"")</f>
        <v/>
      </c>
    </row>
    <row r="38">
      <c r="A38" s="7" t="n">
        <v>54</v>
      </c>
      <c r="B38" s="24" t="n">
        <v>0.001009455281406362</v>
      </c>
      <c r="C38" s="24" t="n">
        <v>0.001110400809546999</v>
      </c>
      <c r="D38" s="24" t="n">
        <v>0.001221440890501699</v>
      </c>
      <c r="E38" s="24" t="n">
        <v>0.001343584979551869</v>
      </c>
      <c r="F38" s="24" t="n">
        <v>0.001477943477507056</v>
      </c>
      <c r="G38" s="24" t="n">
        <v>0.001625737825257762</v>
      </c>
      <c r="I38" s="8">
        <f>IF(COUNTIF(B38:G38,1)=6,A38,"")</f>
        <v/>
      </c>
    </row>
    <row r="39">
      <c r="A39" s="7" t="n">
        <v>55</v>
      </c>
      <c r="B39" s="24" t="n">
        <v>0.00107906796345734</v>
      </c>
      <c r="C39" s="24" t="n">
        <v>0.001186974759803075</v>
      </c>
      <c r="D39" s="24" t="n">
        <v>0.001305672235783382</v>
      </c>
      <c r="E39" s="24" t="n">
        <v>0.00143623945936172</v>
      </c>
      <c r="F39" s="24" t="n">
        <v>0.001579863405297893</v>
      </c>
      <c r="G39" s="24" t="n">
        <v>0.001737849745827682</v>
      </c>
      <c r="I39" s="8">
        <f>IF(COUNTIF(B39:G39,1)=6,A39,"")</f>
        <v/>
      </c>
    </row>
    <row r="40">
      <c r="A40" s="7" t="n">
        <v>56</v>
      </c>
      <c r="B40" s="24" t="n">
        <v>0.001155179207384984</v>
      </c>
      <c r="C40" s="24" t="n">
        <v>0.001270697128123482</v>
      </c>
      <c r="D40" s="24" t="n">
        <v>0.00139776684093583</v>
      </c>
      <c r="E40" s="24" t="n">
        <v>0.001537543525029414</v>
      </c>
      <c r="F40" s="24" t="n">
        <v>0.001691297877532355</v>
      </c>
      <c r="G40" s="24" t="n">
        <v>0.001860427665285591</v>
      </c>
      <c r="I40" s="8">
        <f>IF(COUNTIF(B40:G40,1)=6,A40,"")</f>
        <v/>
      </c>
    </row>
    <row r="41">
      <c r="A41" s="7" t="n">
        <v>57</v>
      </c>
      <c r="B41" s="24" t="n">
        <v>0.00123848594961408</v>
      </c>
      <c r="C41" s="24" t="n">
        <v>0.001362334544575489</v>
      </c>
      <c r="D41" s="24" t="n">
        <v>0.001498567999033038</v>
      </c>
      <c r="E41" s="24" t="n">
        <v>0.001648424798936341</v>
      </c>
      <c r="F41" s="24" t="n">
        <v>0.001813267278829976</v>
      </c>
      <c r="G41" s="24" t="n">
        <v>0.001994594006712974</v>
      </c>
      <c r="I41" s="8">
        <f>IF(COUNTIF(B41:G41,1)=6,A41,"")</f>
        <v/>
      </c>
    </row>
    <row r="42">
      <c r="A42" s="7" t="n">
        <v>58</v>
      </c>
      <c r="B42" s="24" t="n">
        <v>0.001329769093601377</v>
      </c>
      <c r="C42" s="24" t="n">
        <v>0.001462746002961515</v>
      </c>
      <c r="D42" s="24" t="n">
        <v>0.001609020603257667</v>
      </c>
      <c r="E42" s="24" t="n">
        <v>0.001769922663583434</v>
      </c>
      <c r="F42" s="24" t="n">
        <v>0.001946914929941777</v>
      </c>
      <c r="G42" s="24" t="n">
        <v>0.002141606422935955</v>
      </c>
      <c r="I42" s="8">
        <f>IF(COUNTIF(B42:G42,1)=6,A42,"")</f>
        <v/>
      </c>
    </row>
    <row r="43">
      <c r="A43" s="7" t="n">
        <v>59</v>
      </c>
      <c r="B43" s="24" t="n">
        <v>0.001429904582839669</v>
      </c>
      <c r="C43" s="24" t="n">
        <v>0.001572895041123636</v>
      </c>
      <c r="D43" s="24" t="n">
        <v>0.001730184545236</v>
      </c>
      <c r="E43" s="24" t="n">
        <v>0.0019032029997596</v>
      </c>
      <c r="F43" s="24" t="n">
        <v>0.00209352329973556</v>
      </c>
      <c r="G43" s="24" t="n">
        <v>0.002302875629709116</v>
      </c>
      <c r="I43" s="8">
        <f>IF(COUNTIF(B43:G43,1)=6,A43,"")</f>
        <v/>
      </c>
    </row>
    <row r="44">
      <c r="A44" s="7" t="n">
        <v>60</v>
      </c>
      <c r="B44" s="24" t="n">
        <v>0.001539876051743219</v>
      </c>
      <c r="C44" s="24" t="n">
        <v>0.001693863656917541</v>
      </c>
      <c r="D44" s="24" t="n">
        <v>0.001863250022609295</v>
      </c>
      <c r="E44" s="24" t="n">
        <v>0.002049575024870224</v>
      </c>
      <c r="F44" s="24" t="n">
        <v>0.002254532527357247</v>
      </c>
      <c r="G44" s="24" t="n">
        <v>0.002479985780092972</v>
      </c>
      <c r="I44" s="8">
        <f>IF(COUNTIF(B44:G44,1)=6,A44,"")</f>
        <v/>
      </c>
    </row>
    <row r="45">
      <c r="A45" s="7" t="n">
        <v>61</v>
      </c>
      <c r="B45" s="24" t="n">
        <v>0.00166078929485154</v>
      </c>
      <c r="C45" s="24" t="n">
        <v>0.001826868224336694</v>
      </c>
      <c r="D45" s="24" t="n">
        <v>0.002009555046770363</v>
      </c>
      <c r="E45" s="24" t="n">
        <v>0.0022105105514474</v>
      </c>
      <c r="F45" s="24" t="n">
        <v>0.00243156160659214</v>
      </c>
      <c r="G45" s="24" t="n">
        <v>0.002674717767251354</v>
      </c>
      <c r="I45" s="8">
        <f>IF(COUNTIF(B45:G45,1)=6,A45,"")</f>
        <v/>
      </c>
    </row>
    <row r="46">
      <c r="A46" s="7" t="n">
        <v>62</v>
      </c>
      <c r="B46" s="24" t="n">
        <v>0.001793888833675047</v>
      </c>
      <c r="C46" s="24" t="n">
        <v>0.001973277717042552</v>
      </c>
      <c r="D46" s="24" t="n">
        <v>0.002170605488746808</v>
      </c>
      <c r="E46" s="24" t="n">
        <v>0.002387666037621488</v>
      </c>
      <c r="F46" s="24" t="n">
        <v>0.002626432641383637</v>
      </c>
      <c r="G46" s="24" t="n">
        <v>0.002889075905522001</v>
      </c>
      <c r="I46" s="8">
        <f>IF(COUNTIF(B46:G46,1)=6,A46,"")</f>
        <v/>
      </c>
    </row>
    <row r="47">
      <c r="A47" s="7" t="n">
        <v>63</v>
      </c>
      <c r="B47" s="24" t="n">
        <v>0.001940576906029566</v>
      </c>
      <c r="C47" s="24" t="n">
        <v>0.002134634596632523</v>
      </c>
      <c r="D47" s="24" t="n">
        <v>0.002348098056295775</v>
      </c>
      <c r="E47" s="24" t="n">
        <v>0.002582907861925353</v>
      </c>
      <c r="F47" s="24" t="n">
        <v>0.002841198648117888</v>
      </c>
      <c r="G47" s="24" t="n">
        <v>0.003125318512929678</v>
      </c>
      <c r="I47" s="8">
        <f>IF(COUNTIF(B47:G47,1)=6,A47,"")</f>
        <v/>
      </c>
    </row>
    <row r="48">
      <c r="A48" s="7" t="n">
        <v>64</v>
      </c>
      <c r="B48" s="24" t="n">
        <v>0.002102435256054419</v>
      </c>
      <c r="C48" s="24" t="n">
        <v>0.002312678781659861</v>
      </c>
      <c r="D48" s="24" t="n">
        <v>0.002543946659825847</v>
      </c>
      <c r="E48" s="24" t="n">
        <v>0.002798341325808432</v>
      </c>
      <c r="F48" s="24" t="n">
        <v>0.003078175458389276</v>
      </c>
      <c r="G48" s="24" t="n">
        <v>0.003385993004228204</v>
      </c>
      <c r="I48" s="8">
        <f>IF(COUNTIF(B48:G48,1)=6,A48,"")</f>
        <v/>
      </c>
    </row>
    <row r="49">
      <c r="A49" s="7" t="n">
        <v>65</v>
      </c>
      <c r="B49" s="24" t="n">
        <v>0.002281250165694602</v>
      </c>
      <c r="C49" s="24" t="n">
        <v>0.002509375182264062</v>
      </c>
      <c r="D49" s="24" t="n">
        <v>0.002760312700490468</v>
      </c>
      <c r="E49" s="24" t="n">
        <v>0.003036343970539515</v>
      </c>
      <c r="F49" s="24" t="n">
        <v>0.003339978367593467</v>
      </c>
      <c r="G49" s="24" t="n">
        <v>0.003673976204352814</v>
      </c>
      <c r="I49" s="8">
        <f>IF(COUNTIF(B49:G49,1)=6,A49,"")</f>
        <v/>
      </c>
    </row>
    <row r="50">
      <c r="A50" s="7" t="n">
        <v>66</v>
      </c>
      <c r="B50" s="24" t="n">
        <v>0.002479041241928696</v>
      </c>
      <c r="C50" s="24" t="n">
        <v>0.002726945366121566</v>
      </c>
      <c r="D50" s="24" t="n">
        <v>0.002999639902733722</v>
      </c>
      <c r="E50" s="24" t="n">
        <v>0.003299603893007094</v>
      </c>
      <c r="F50" s="24" t="n">
        <v>0.003629564282307804</v>
      </c>
      <c r="G50" s="24" t="n">
        <v>0.003992520710538585</v>
      </c>
      <c r="I50" s="8">
        <f>IF(COUNTIF(B50:G50,1)=6,A50,"")</f>
        <v/>
      </c>
    </row>
    <row r="51">
      <c r="A51" s="7" t="n">
        <v>67</v>
      </c>
      <c r="B51" s="24" t="n">
        <v>0.002698094560439211</v>
      </c>
      <c r="C51" s="24" t="n">
        <v>0.002967904016483132</v>
      </c>
      <c r="D51" s="24" t="n">
        <v>0.003264694418131445</v>
      </c>
      <c r="E51" s="24" t="n">
        <v>0.00359116385994459</v>
      </c>
      <c r="F51" s="24" t="n">
        <v>0.003950280245939049</v>
      </c>
      <c r="G51" s="24" t="n">
        <v>0.004345308270532955</v>
      </c>
      <c r="I51" s="8">
        <f>IF(COUNTIF(B51:G51,1)=6,A51,"")</f>
        <v/>
      </c>
    </row>
    <row r="52">
      <c r="A52" s="7" t="n">
        <v>68</v>
      </c>
      <c r="B52" s="24" t="n">
        <v>0.002941000868128997</v>
      </c>
      <c r="C52" s="24" t="n">
        <v>0.003235100954941897</v>
      </c>
      <c r="D52" s="24" t="n">
        <v>0.003558611050436087</v>
      </c>
      <c r="E52" s="24" t="n">
        <v>0.003914472155479696</v>
      </c>
      <c r="F52" s="24" t="n">
        <v>0.004305919371027666</v>
      </c>
      <c r="G52" s="24" t="n">
        <v>0.004736511308130433</v>
      </c>
      <c r="I52" s="8">
        <f>IF(COUNTIF(B52:G52,1)=6,A52,"")</f>
        <v/>
      </c>
    </row>
    <row r="53">
      <c r="A53" s="7" t="n">
        <v>69</v>
      </c>
      <c r="B53" s="24" t="n">
        <v>0.003210699666725728</v>
      </c>
      <c r="C53" s="24" t="n">
        <v>0.003531769633398301</v>
      </c>
      <c r="D53" s="24" t="n">
        <v>0.003884946596738132</v>
      </c>
      <c r="E53" s="24" t="n">
        <v>0.004273441256411946</v>
      </c>
      <c r="F53" s="24" t="n">
        <v>0.004700785382053141</v>
      </c>
      <c r="G53" s="24" t="n">
        <v>0.005170863920258455</v>
      </c>
      <c r="I53" s="8">
        <f>IF(COUNTIF(B53:G53,1)=6,A53,"")</f>
        <v/>
      </c>
    </row>
    <row r="54">
      <c r="A54" s="7" t="n">
        <v>70</v>
      </c>
      <c r="B54" s="24" t="n">
        <v>0.003510530141071987</v>
      </c>
      <c r="C54" s="24" t="n">
        <v>0.003861583155179186</v>
      </c>
      <c r="D54" s="24" t="n">
        <v>0.004247741470697105</v>
      </c>
      <c r="E54" s="24" t="n">
        <v>0.004672515617766815</v>
      </c>
      <c r="F54" s="24" t="n">
        <v>0.005139767179543497</v>
      </c>
      <c r="G54" s="24" t="n">
        <v>0.005653743897497847</v>
      </c>
      <c r="I54" s="8">
        <f>IF(COUNTIF(B54:G54,1)=6,A54,"")</f>
        <v/>
      </c>
    </row>
    <row r="55">
      <c r="A55" s="7" t="n">
        <v>71</v>
      </c>
      <c r="B55" s="24" t="n">
        <v>0.003844290062620606</v>
      </c>
      <c r="C55" s="24" t="n">
        <v>0.004228719068882667</v>
      </c>
      <c r="D55" s="24" t="n">
        <v>0.004651590975770933</v>
      </c>
      <c r="E55" s="24" t="n">
        <v>0.005116750073348027</v>
      </c>
      <c r="F55" s="24" t="n">
        <v>0.00562842508068283</v>
      </c>
      <c r="G55" s="24" t="n">
        <v>0.006191267588751114</v>
      </c>
      <c r="I55" s="8">
        <f>IF(COUNTIF(B55:G55,1)=6,A55,"")</f>
        <v/>
      </c>
    </row>
    <row r="56">
      <c r="A56" s="7" t="n">
        <v>72</v>
      </c>
      <c r="B56" s="24" t="n">
        <v>0.004216303995988054</v>
      </c>
      <c r="C56" s="24" t="n">
        <v>0.004637934395586859</v>
      </c>
      <c r="D56" s="24" t="n">
        <v>0.005101727835145545</v>
      </c>
      <c r="E56" s="24" t="n">
        <v>0.0056119006186601</v>
      </c>
      <c r="F56" s="24" t="n">
        <v>0.00617309068052611</v>
      </c>
      <c r="G56" s="24" t="n">
        <v>0.006790399748578721</v>
      </c>
      <c r="I56" s="8">
        <f>IF(COUNTIF(B56:G56,1)=6,A56,"")</f>
        <v/>
      </c>
    </row>
    <row r="57">
      <c r="A57" s="7" t="n">
        <v>73</v>
      </c>
      <c r="B57" s="24" t="n">
        <v>0.004631502369963116</v>
      </c>
      <c r="C57" s="24" t="n">
        <v>0.005094652606959428</v>
      </c>
      <c r="D57" s="24" t="n">
        <v>0.005604117867655371</v>
      </c>
      <c r="E57" s="24" t="n">
        <v>0.006164529654420908</v>
      </c>
      <c r="F57" s="24" t="n">
        <v>0.006780982619863</v>
      </c>
      <c r="G57" s="24" t="n">
        <v>0.007459080881849301</v>
      </c>
      <c r="I57" s="8">
        <f>IF(COUNTIF(B57:G57,1)=6,A57,"")</f>
        <v/>
      </c>
    </row>
    <row r="58">
      <c r="A58" s="7" t="n">
        <v>74</v>
      </c>
      <c r="B58" s="24" t="n">
        <v>0.005095513251082814</v>
      </c>
      <c r="C58" s="24" t="n">
        <v>0.005605064576191096</v>
      </c>
      <c r="D58" s="24" t="n">
        <v>0.006165571033810205</v>
      </c>
      <c r="E58" s="24" t="n">
        <v>0.006782128137191226</v>
      </c>
      <c r="F58" s="24" t="n">
        <v>0.00746034095091035</v>
      </c>
      <c r="G58" s="24" t="n">
        <v>0.008206375046001385</v>
      </c>
      <c r="I58" s="8">
        <f>IF(COUNTIF(B58:G58,1)=6,A58,"")</f>
        <v/>
      </c>
    </row>
    <row r="59">
      <c r="A59" s="7" t="n">
        <v>75</v>
      </c>
      <c r="B59" s="24" t="n">
        <v>0.00561476898612035</v>
      </c>
      <c r="C59" s="24" t="n">
        <v>0.006176245884732386</v>
      </c>
      <c r="D59" s="24" t="n">
        <v>0.006793870473205625</v>
      </c>
      <c r="E59" s="24" t="n">
        <v>0.007473257520526189</v>
      </c>
      <c r="F59" s="24" t="n">
        <v>0.008220583272578809</v>
      </c>
      <c r="G59" s="24" t="n">
        <v>0.00904264159983669</v>
      </c>
      <c r="I59" s="8">
        <f>IF(COUNTIF(B59:G59,1)=6,A59,"")</f>
        <v/>
      </c>
    </row>
    <row r="60">
      <c r="A60" s="7" t="n">
        <v>76</v>
      </c>
      <c r="B60" s="24" t="n">
        <v>0.006196630269622466</v>
      </c>
      <c r="C60" s="24" t="n">
        <v>0.006816293296584713</v>
      </c>
      <c r="D60" s="24" t="n">
        <v>0.007497922626243185</v>
      </c>
      <c r="E60" s="24" t="n">
        <v>0.008247714888867504</v>
      </c>
      <c r="F60" s="24" t="n">
        <v>0.009072486377754254</v>
      </c>
      <c r="G60" s="24" t="n">
        <v>0.00997973501552968</v>
      </c>
      <c r="I60" s="8">
        <f>IF(COUNTIF(B60:G60,1)=6,A60,"")</f>
        <v/>
      </c>
    </row>
    <row r="61">
      <c r="A61" s="7" t="n">
        <v>77</v>
      </c>
      <c r="B61" s="24" t="n">
        <v>0.006849530656051229</v>
      </c>
      <c r="C61" s="24" t="n">
        <v>0.007534483721656353</v>
      </c>
      <c r="D61" s="24" t="n">
        <v>0.008287932093821988</v>
      </c>
      <c r="E61" s="24" t="n">
        <v>0.009116725303204188</v>
      </c>
      <c r="F61" s="24" t="n">
        <v>0.01002839783352461</v>
      </c>
      <c r="G61" s="24" t="n">
        <v>0.01103123761687707</v>
      </c>
      <c r="I61" s="8">
        <f>IF(COUNTIF(B61:G61,1)=6,A61,"")</f>
        <v/>
      </c>
    </row>
    <row r="62">
      <c r="A62" s="7" t="n">
        <v>78</v>
      </c>
      <c r="B62" s="24" t="n">
        <v>0.0075831450876836</v>
      </c>
      <c r="C62" s="24" t="n">
        <v>0.008341459596451961</v>
      </c>
      <c r="D62" s="24" t="n">
        <v>0.009175605556097158</v>
      </c>
      <c r="E62" s="24" t="n">
        <v>0.01009316611170687</v>
      </c>
      <c r="F62" s="24" t="n">
        <v>0.01110248272287756</v>
      </c>
      <c r="G62" s="24" t="n">
        <v>0.01221273099516532</v>
      </c>
      <c r="I62" s="8">
        <f>IF(COUNTIF(B62:G62,1)=6,A62,"")</f>
        <v/>
      </c>
    </row>
    <row r="63">
      <c r="A63" s="7" t="n">
        <v>79</v>
      </c>
      <c r="B63" s="24" t="n">
        <v>0.008408586666725113</v>
      </c>
      <c r="C63" s="24" t="n">
        <v>0.009249445333397626</v>
      </c>
      <c r="D63" s="24" t="n">
        <v>0.01017438986673739</v>
      </c>
      <c r="E63" s="24" t="n">
        <v>0.01119182885341113</v>
      </c>
      <c r="F63" s="24" t="n">
        <v>0.01231101173875224</v>
      </c>
      <c r="G63" s="24" t="n">
        <v>0.01354211291262747</v>
      </c>
      <c r="I63" s="8">
        <f>IF(COUNTIF(B63:G63,1)=6,A63,"")</f>
        <v/>
      </c>
    </row>
    <row r="64">
      <c r="A64" s="7" t="n">
        <v>80</v>
      </c>
      <c r="B64" s="24" t="n">
        <v>0.009338636684281934</v>
      </c>
      <c r="C64" s="24" t="n">
        <v>0.01027250035271013</v>
      </c>
      <c r="D64" s="24" t="n">
        <v>0.01129975038798114</v>
      </c>
      <c r="E64" s="24" t="n">
        <v>0.01242972542677926</v>
      </c>
      <c r="F64" s="24" t="n">
        <v>0.01367269796945719</v>
      </c>
      <c r="G64" s="24" t="n">
        <v>0.01503996776640291</v>
      </c>
      <c r="I64" s="8">
        <f>IF(COUNTIF(B64:G64,1)=6,A64,"")</f>
        <v/>
      </c>
    </row>
    <row r="65">
      <c r="A65" s="7" t="n">
        <v>81</v>
      </c>
      <c r="B65" s="24" t="n">
        <v>0.01038801385549308</v>
      </c>
      <c r="C65" s="24" t="n">
        <v>0.01142681524104239</v>
      </c>
      <c r="D65" s="24" t="n">
        <v>0.01256949676514663</v>
      </c>
      <c r="E65" s="24" t="n">
        <v>0.01382644644166129</v>
      </c>
      <c r="F65" s="24" t="n">
        <v>0.01520909108582742</v>
      </c>
      <c r="G65" s="24" t="n">
        <v>0.01673000019441017</v>
      </c>
      <c r="I65" s="8">
        <f>IF(COUNTIF(B65:G65,1)=6,A65,"")</f>
        <v/>
      </c>
    </row>
    <row r="66">
      <c r="A66" s="7" t="n">
        <v>82</v>
      </c>
      <c r="B66" s="24" t="n">
        <v>0.01157368983020542</v>
      </c>
      <c r="C66" s="24" t="n">
        <v>0.01273105881322597</v>
      </c>
      <c r="D66" s="24" t="n">
        <v>0.01400416469454857</v>
      </c>
      <c r="E66" s="24" t="n">
        <v>0.01540458116400342</v>
      </c>
      <c r="F66" s="24" t="n">
        <v>0.01694503928040377</v>
      </c>
      <c r="G66" s="24" t="n">
        <v>0.01863954320844415</v>
      </c>
      <c r="I66" s="8">
        <f>IF(COUNTIF(B66:G66,1)=6,A66,"")</f>
        <v/>
      </c>
    </row>
    <row r="67">
      <c r="A67" s="7" t="n">
        <v>83</v>
      </c>
      <c r="B67" s="24" t="n">
        <v>0.01291525938959877</v>
      </c>
      <c r="C67" s="24" t="n">
        <v>0.01420678532855865</v>
      </c>
      <c r="D67" s="24" t="n">
        <v>0.01562746386141452</v>
      </c>
      <c r="E67" s="24" t="n">
        <v>0.01719021024755597</v>
      </c>
      <c r="F67" s="24" t="n">
        <v>0.01890923127231157</v>
      </c>
      <c r="G67" s="24" t="n">
        <v>0.02080015439954273</v>
      </c>
      <c r="I67" s="8">
        <f>IF(COUNTIF(B67:G67,1)=6,A67,"")</f>
        <v/>
      </c>
    </row>
    <row r="68">
      <c r="A68" s="7" t="n">
        <v>84</v>
      </c>
      <c r="B68" s="24" t="n">
        <v>0.01443537534660213</v>
      </c>
      <c r="C68" s="24" t="n">
        <v>0.01587891288126235</v>
      </c>
      <c r="D68" s="24" t="n">
        <v>0.01746680416938859</v>
      </c>
      <c r="E68" s="24" t="n">
        <v>0.01921348458632744</v>
      </c>
      <c r="F68" s="24" t="n">
        <v>0.02113483304496019</v>
      </c>
      <c r="G68" s="24" t="n">
        <v>0.02324831634945621</v>
      </c>
      <c r="I68" s="8">
        <f>IF(COUNTIF(B68:G68,1)=6,A68,"")</f>
        <v/>
      </c>
    </row>
    <row r="69">
      <c r="A69" s="7" t="n">
        <v>85</v>
      </c>
      <c r="B69" s="24" t="n">
        <v>0.01616026009703804</v>
      </c>
      <c r="C69" s="24" t="n">
        <v>0.01777628610674184</v>
      </c>
      <c r="D69" s="24" t="n">
        <v>0.01955391471741603</v>
      </c>
      <c r="E69" s="24" t="n">
        <v>0.02150930618915763</v>
      </c>
      <c r="F69" s="24" t="n">
        <v>0.0236602368080734</v>
      </c>
      <c r="G69" s="24" t="n">
        <v>0.02602626048888074</v>
      </c>
      <c r="I69" s="8">
        <f>IF(COUNTIF(B69:G69,1)=6,A69,"")</f>
        <v/>
      </c>
    </row>
    <row r="70">
      <c r="A70" s="7" t="n">
        <v>86</v>
      </c>
      <c r="B70" s="24" t="n">
        <v>0.01812030808631169</v>
      </c>
      <c r="C70" s="24" t="n">
        <v>0.01993233889494286</v>
      </c>
      <c r="D70" s="24" t="n">
        <v>0.02192557278443714</v>
      </c>
      <c r="E70" s="24" t="n">
        <v>0.02411813006288086</v>
      </c>
      <c r="F70" s="24" t="n">
        <v>0.02652994306916895</v>
      </c>
      <c r="G70" s="24" t="n">
        <v>0.02918293737608585</v>
      </c>
      <c r="I70" s="8">
        <f>IF(COUNTIF(B70:G70,1)=6,A70,"")</f>
        <v/>
      </c>
    </row>
    <row r="71">
      <c r="A71" s="7" t="n">
        <v>87</v>
      </c>
      <c r="B71" s="24" t="n">
        <v>0.02035079624486606</v>
      </c>
      <c r="C71" s="24" t="n">
        <v>0.02238587586935267</v>
      </c>
      <c r="D71" s="24" t="n">
        <v>0.02462446345628793</v>
      </c>
      <c r="E71" s="24" t="n">
        <v>0.02708690980191673</v>
      </c>
      <c r="F71" s="24" t="n">
        <v>0.0297956007821084</v>
      </c>
      <c r="G71" s="24" t="n">
        <v>0.03277516086031924</v>
      </c>
      <c r="I71" s="8">
        <f>IF(COUNTIF(B71:G71,1)=6,A71,"")</f>
        <v/>
      </c>
    </row>
    <row r="72">
      <c r="A72" s="7" t="n">
        <v>88</v>
      </c>
      <c r="B72" s="24" t="n">
        <v>0.02289272280409473</v>
      </c>
      <c r="C72" s="24" t="n">
        <v>0.0251819950845042</v>
      </c>
      <c r="D72" s="24" t="n">
        <v>0.02770019459295462</v>
      </c>
      <c r="E72" s="24" t="n">
        <v>0.03047021405225009</v>
      </c>
      <c r="F72" s="24" t="n">
        <v>0.0335172354574751</v>
      </c>
      <c r="G72" s="24" t="n">
        <v>0.03686895900322261</v>
      </c>
      <c r="I72" s="8">
        <f>IF(COUNTIF(B72:G72,1)=6,A72,"")</f>
        <v/>
      </c>
    </row>
    <row r="73">
      <c r="A73" s="7" t="n">
        <v>89</v>
      </c>
      <c r="B73" s="24" t="n">
        <v>0.02579379895447039</v>
      </c>
      <c r="C73" s="24" t="n">
        <v>0.02837317884991743</v>
      </c>
      <c r="D73" s="24" t="n">
        <v>0.03121049673490918</v>
      </c>
      <c r="E73" s="24" t="n">
        <v>0.0343315464084001</v>
      </c>
      <c r="F73" s="24" t="n">
        <v>0.03776470104924012</v>
      </c>
      <c r="G73" s="24" t="n">
        <v>0.04154117115416413</v>
      </c>
      <c r="I73" s="8">
        <f>IF(COUNTIF(B73:G73,1)=6,A73,"")</f>
        <v/>
      </c>
    </row>
    <row r="74">
      <c r="A74" s="7" t="n">
        <v>90</v>
      </c>
      <c r="B74" s="24" t="n">
        <v>0.0291096226976437</v>
      </c>
      <c r="C74" s="24" t="n">
        <v>0.03202058496740807</v>
      </c>
      <c r="D74" s="24" t="n">
        <v>0.03522264346414888</v>
      </c>
      <c r="E74" s="24" t="n">
        <v>0.03874490781056377</v>
      </c>
      <c r="F74" s="24" t="n">
        <v>0.04261939859162015</v>
      </c>
      <c r="G74" s="24" t="n">
        <v>0.04688133845078217</v>
      </c>
      <c r="I74" s="8">
        <f>IF(COUNTIF(B74:G74,1)=6,A74,"")</f>
        <v/>
      </c>
    </row>
    <row r="75">
      <c r="A75" s="7" t="n">
        <v>91</v>
      </c>
      <c r="B75" s="24" t="n">
        <v>0.03290507015568574</v>
      </c>
      <c r="C75" s="24" t="n">
        <v>0.03619557717125432</v>
      </c>
      <c r="D75" s="24" t="n">
        <v>0.03981513488837975</v>
      </c>
      <c r="E75" s="24" t="n">
        <v>0.04379664837721773</v>
      </c>
      <c r="F75" s="24" t="n">
        <v>0.04817631321493951</v>
      </c>
      <c r="G75" s="24" t="n">
        <v>0.05299394453643346</v>
      </c>
      <c r="I75" s="8">
        <f>IF(COUNTIF(B75:G75,1)=6,A75,"")</f>
        <v/>
      </c>
    </row>
    <row r="76">
      <c r="A76" s="7" t="n">
        <v>92</v>
      </c>
      <c r="B76" s="24" t="n">
        <v>0.03725594675567852</v>
      </c>
      <c r="C76" s="24" t="n">
        <v>0.04098154143124638</v>
      </c>
      <c r="D76" s="24" t="n">
        <v>0.04507969557437102</v>
      </c>
      <c r="E76" s="24" t="n">
        <v>0.04958766513180812</v>
      </c>
      <c r="F76" s="24" t="n">
        <v>0.05454643164498894</v>
      </c>
      <c r="G76" s="24" t="n">
        <v>0.06000107480948783</v>
      </c>
      <c r="I76" s="8">
        <f>IF(COUNTIF(B76:G76,1)=6,A76,"")</f>
        <v/>
      </c>
    </row>
    <row r="77">
      <c r="A77" s="7" t="n">
        <v>93</v>
      </c>
      <c r="B77" s="24" t="n">
        <v>0.04225094937882418</v>
      </c>
      <c r="C77" s="24" t="n">
        <v>0.0464760443167066</v>
      </c>
      <c r="D77" s="24" t="n">
        <v>0.05112364874837726</v>
      </c>
      <c r="E77" s="24" t="n">
        <v>0.05623601362321499</v>
      </c>
      <c r="F77" s="24" t="n">
        <v>0.0618596149855365</v>
      </c>
      <c r="G77" s="24" t="n">
        <v>0.06804557648409015</v>
      </c>
      <c r="I77" s="8">
        <f>IF(COUNTIF(B77:G77,1)=6,A77,"")</f>
        <v/>
      </c>
    </row>
    <row r="78">
      <c r="A78" s="7" t="n">
        <v>94</v>
      </c>
      <c r="B78" s="24" t="n">
        <v>0.04799400108452031</v>
      </c>
      <c r="C78" s="24" t="n">
        <v>0.05279340119297234</v>
      </c>
      <c r="D78" s="24" t="n">
        <v>0.05807274131226958</v>
      </c>
      <c r="E78" s="24" t="n">
        <v>0.06388001544349654</v>
      </c>
      <c r="F78" s="24" t="n">
        <v>0.07026801698784621</v>
      </c>
      <c r="G78" s="24" t="n">
        <v>0.07729481868663084</v>
      </c>
      <c r="I78" s="8">
        <f>IF(COUNTIF(B78:G78,1)=6,A78,"")</f>
        <v/>
      </c>
    </row>
    <row r="79">
      <c r="A79" s="7" t="n">
        <v>95</v>
      </c>
      <c r="B79" s="24" t="n">
        <v>0.05460703280218726</v>
      </c>
      <c r="C79" s="24" t="n">
        <v>0.06006773608240599</v>
      </c>
      <c r="D79" s="24" t="n">
        <v>0.0660745096906466</v>
      </c>
      <c r="E79" s="24" t="n">
        <v>0.07268196065971126</v>
      </c>
      <c r="F79" s="24" t="n">
        <v>0.0799501567256824</v>
      </c>
      <c r="G79" s="24" t="n">
        <v>0.08794517239825064</v>
      </c>
      <c r="I79" s="8">
        <f>IF(COUNTIF(B79:G79,1)=6,A79,"")</f>
        <v/>
      </c>
    </row>
    <row r="80">
      <c r="A80" s="7" t="n">
        <v>96</v>
      </c>
      <c r="B80" s="24" t="n">
        <v>0.06223330193255692</v>
      </c>
      <c r="C80" s="24" t="n">
        <v>0.06845663212581261</v>
      </c>
      <c r="D80" s="24" t="n">
        <v>0.07530229533839389</v>
      </c>
      <c r="E80" s="24" t="n">
        <v>0.08283252487223328</v>
      </c>
      <c r="F80" s="24" t="n">
        <v>0.09111577735945661</v>
      </c>
      <c r="G80" s="24" t="n">
        <v>0.1002273550954023</v>
      </c>
      <c r="I80" s="8">
        <f>IF(COUNTIF(B80:G80,1)=6,A80,"")</f>
        <v/>
      </c>
    </row>
    <row r="81">
      <c r="A81" s="7" t="n">
        <v>97</v>
      </c>
      <c r="B81" s="24" t="n">
        <v>0.07104135673834143</v>
      </c>
      <c r="C81" s="24" t="n">
        <v>0.07814549241217558</v>
      </c>
      <c r="D81" s="24" t="n">
        <v>0.08596004165339315</v>
      </c>
      <c r="E81" s="24" t="n">
        <v>0.09455604581873246</v>
      </c>
      <c r="F81" s="24" t="n">
        <v>0.1040116504006057</v>
      </c>
      <c r="G81" s="24" t="n">
        <v>0.1144128154406663</v>
      </c>
      <c r="I81" s="8">
        <f>IF(COUNTIF(B81:G81,1)=6,A81,"")</f>
        <v/>
      </c>
    </row>
    <row r="82">
      <c r="A82" s="7" t="n">
        <v>98</v>
      </c>
      <c r="B82" s="24" t="n">
        <v>0.08122977849975568</v>
      </c>
      <c r="C82" s="24" t="n">
        <v>0.08935275634973126</v>
      </c>
      <c r="D82" s="24" t="n">
        <v>0.0982880319847044</v>
      </c>
      <c r="E82" s="24" t="n">
        <v>0.1081168351831748</v>
      </c>
      <c r="F82" s="24" t="n">
        <v>0.1189285187014923</v>
      </c>
      <c r="G82" s="24" t="n">
        <v>0.1308213705716416</v>
      </c>
      <c r="I82" s="8">
        <f>IF(COUNTIF(B82:G82,1)=6,A82,"")</f>
        <v/>
      </c>
    </row>
    <row r="83">
      <c r="A83" s="7" t="n">
        <v>99</v>
      </c>
      <c r="B83" s="24" t="n">
        <v>0.09303286161187924</v>
      </c>
      <c r="C83" s="24" t="n">
        <v>0.1023361477730672</v>
      </c>
      <c r="D83" s="24" t="n">
        <v>0.1125697625503739</v>
      </c>
      <c r="E83" s="24" t="n">
        <v>0.1238267388054113</v>
      </c>
      <c r="F83" s="24" t="n">
        <v>0.1362094126859524</v>
      </c>
      <c r="G83" s="24" t="n">
        <v>0.1498303539545477</v>
      </c>
      <c r="I83" s="8">
        <f>IF(COUNTIF(B83:G83,1)=6,A83,"")</f>
        <v/>
      </c>
    </row>
    <row r="84">
      <c r="A84" s="7" t="n">
        <v>100</v>
      </c>
      <c r="B84" s="24" t="n">
        <v>0.1067274262812674</v>
      </c>
      <c r="C84" s="24" t="n">
        <v>0.1174001689093942</v>
      </c>
      <c r="D84" s="24" t="n">
        <v>0.1291401858003336</v>
      </c>
      <c r="E84" s="24" t="n">
        <v>0.142054204380367</v>
      </c>
      <c r="F84" s="24" t="n">
        <v>0.1562596248184037</v>
      </c>
      <c r="G84" s="24" t="n">
        <v>0.1718855873002441</v>
      </c>
      <c r="I84" s="8">
        <f>IF(COUNTIF(B84:G84,1)=6,A84,"")</f>
        <v/>
      </c>
    </row>
    <row r="85">
      <c r="A85" s="7" t="n">
        <v>101</v>
      </c>
      <c r="B85" s="24" t="n">
        <v>0.1226410006907388</v>
      </c>
      <c r="C85" s="24" t="n">
        <v>0.1349051007598127</v>
      </c>
      <c r="D85" s="24" t="n">
        <v>0.1483956108357939</v>
      </c>
      <c r="E85" s="24" t="n">
        <v>0.1632351719193733</v>
      </c>
      <c r="F85" s="24" t="n">
        <v>0.1795586891113107</v>
      </c>
      <c r="G85" s="24" t="n">
        <v>0.1975145580224417</v>
      </c>
      <c r="I85" s="8">
        <f>IF(COUNTIF(B85:G85,1)=6,A85,"")</f>
        <v/>
      </c>
    </row>
    <row r="86">
      <c r="A86" s="7" t="n">
        <v>102</v>
      </c>
      <c r="B86" s="24" t="n">
        <v>0.1411616612443195</v>
      </c>
      <c r="C86" s="24" t="n">
        <v>0.1552778273687514</v>
      </c>
      <c r="D86" s="24" t="n">
        <v>0.1708056101056266</v>
      </c>
      <c r="E86" s="24" t="n">
        <v>0.1878861711161893</v>
      </c>
      <c r="F86" s="24" t="n">
        <v>0.2066747882278082</v>
      </c>
      <c r="G86" s="24" t="n">
        <v>0.227342267050589</v>
      </c>
      <c r="I86" s="8">
        <f>IF(COUNTIF(B86:G86,1)=6,A86,"")</f>
        <v/>
      </c>
    </row>
    <row r="87">
      <c r="A87" s="7" t="n">
        <v>103</v>
      </c>
      <c r="B87" s="24" t="n">
        <v>0.1627498830132505</v>
      </c>
      <c r="C87" s="24" t="n">
        <v>0.1790248713145755</v>
      </c>
      <c r="D87" s="24" t="n">
        <v>0.1969273584460331</v>
      </c>
      <c r="E87" s="24" t="n">
        <v>0.2166200942906364</v>
      </c>
      <c r="F87" s="24" t="n">
        <v>0.2382821037197001</v>
      </c>
      <c r="G87" s="24" t="n">
        <v>0.2621103140916701</v>
      </c>
      <c r="I87" s="8">
        <f>IF(COUNTIF(B87:G87,1)=6,A87,"")</f>
        <v/>
      </c>
    </row>
    <row r="88">
      <c r="A88" s="7" t="n">
        <v>104</v>
      </c>
      <c r="B88" s="24" t="n">
        <v>0.1879528305562259</v>
      </c>
      <c r="C88" s="24" t="n">
        <v>0.2067481136118486</v>
      </c>
      <c r="D88" s="24" t="n">
        <v>0.2274229249730334</v>
      </c>
      <c r="E88" s="24" t="n">
        <v>0.2501652174703368</v>
      </c>
      <c r="F88" s="24" t="n">
        <v>0.2751817392173705</v>
      </c>
      <c r="G88" s="24" t="n">
        <v>0.3026999131391076</v>
      </c>
      <c r="I88" s="8">
        <f>IF(COUNTIF(B88:G88,1)=6,A88,"")</f>
        <v/>
      </c>
    </row>
    <row r="89">
      <c r="A89" s="7" t="n">
        <v>105</v>
      </c>
      <c r="B89" s="24" t="n">
        <v>0.2174216153384464</v>
      </c>
      <c r="C89" s="24" t="n">
        <v>0.2391637768722911</v>
      </c>
      <c r="D89" s="24" t="n">
        <v>0.2630801545595202</v>
      </c>
      <c r="E89" s="24" t="n">
        <v>0.2893881700154723</v>
      </c>
      <c r="F89" s="24" t="n">
        <v>0.3183269870170196</v>
      </c>
      <c r="G89" s="24" t="n">
        <v>0.3501596857187215</v>
      </c>
      <c r="I89" s="8">
        <f>IF(COUNTIF(B89:G89,1)=6,A89,"")</f>
        <v/>
      </c>
    </row>
    <row r="90">
      <c r="A90" s="7" t="n">
        <v>106</v>
      </c>
      <c r="B90" s="24" t="n">
        <v>0.2519321643307321</v>
      </c>
      <c r="C90" s="24" t="n">
        <v>0.2771253807638053</v>
      </c>
      <c r="D90" s="24" t="n">
        <v>0.3048379188401859</v>
      </c>
      <c r="E90" s="24" t="n">
        <v>0.3353217107242045</v>
      </c>
      <c r="F90" s="24" t="n">
        <v>0.3688538817966249</v>
      </c>
      <c r="G90" s="24" t="n">
        <v>0.4057392699762875</v>
      </c>
      <c r="I90" s="8">
        <f>IF(COUNTIF(B90:G90,1)=6,A90,"")</f>
        <v/>
      </c>
    </row>
    <row r="91">
      <c r="A91" s="7" t="n">
        <v>107</v>
      </c>
      <c r="B91" s="24" t="n">
        <v>0.2924104904045808</v>
      </c>
      <c r="C91" s="24" t="n">
        <v>0.3216515394450389</v>
      </c>
      <c r="D91" s="24" t="n">
        <v>0.3538166933895428</v>
      </c>
      <c r="E91" s="24" t="n">
        <v>0.3891983627284971</v>
      </c>
      <c r="F91" s="24" t="n">
        <v>0.4281181990013468</v>
      </c>
      <c r="G91" s="24" t="n">
        <v>0.4709300189014816</v>
      </c>
      <c r="I91" s="8">
        <f>IF(COUNTIF(B91:G91,1)=6,A91,"")</f>
        <v/>
      </c>
    </row>
    <row r="92">
      <c r="A92" s="7" t="n">
        <v>108</v>
      </c>
      <c r="B92" s="24" t="n">
        <v>0.3399633355628309</v>
      </c>
      <c r="C92" s="24" t="n">
        <v>0.373959669119114</v>
      </c>
      <c r="D92" s="24" t="n">
        <v>0.4113556360310255</v>
      </c>
      <c r="E92" s="24" t="n">
        <v>0.4524911996341281</v>
      </c>
      <c r="F92" s="24" t="n">
        <v>0.4977403195975409</v>
      </c>
      <c r="G92" s="24" t="n">
        <v>0.5475143515572951</v>
      </c>
      <c r="I92" s="8">
        <f>IF(COUNTIF(B92:G92,1)=6,A92,"")</f>
        <v/>
      </c>
    </row>
    <row r="93">
      <c r="A93" s="7" t="n">
        <v>109</v>
      </c>
      <c r="B93" s="24" t="n">
        <v>0.3959153812539035</v>
      </c>
      <c r="C93" s="24" t="n">
        <v>0.4355069193792939</v>
      </c>
      <c r="D93" s="24" t="n">
        <v>0.4790576113172234</v>
      </c>
      <c r="E93" s="24" t="n">
        <v>0.5269633724489458</v>
      </c>
      <c r="F93" s="24" t="n">
        <v>0.5796597096938404</v>
      </c>
      <c r="G93" s="24" t="n">
        <v>0.6376256806632244</v>
      </c>
      <c r="I93" s="8">
        <f>IF(COUNTIF(B93:G93,1)=6,A93,"")</f>
        <v/>
      </c>
    </row>
    <row r="94">
      <c r="A94" s="7" t="n">
        <v>110</v>
      </c>
      <c r="B94" s="24" t="n">
        <v>0.4618544965251583</v>
      </c>
      <c r="C94" s="24" t="n">
        <v>0.5080399461776742</v>
      </c>
      <c r="D94" s="24" t="n">
        <v>0.5588439407954418</v>
      </c>
      <c r="E94" s="24" t="n">
        <v>0.614728334874986</v>
      </c>
      <c r="F94" s="24" t="n">
        <v>0.6762011683624847</v>
      </c>
      <c r="G94" s="24" t="n">
        <v>0.7438212851987333</v>
      </c>
      <c r="I94" s="8">
        <f>IF(COUNTIF(B94:G94,1)=6,A94,"")</f>
        <v/>
      </c>
    </row>
    <row r="95">
      <c r="A95" s="7" t="n">
        <v>111</v>
      </c>
      <c r="B95" s="24" t="n">
        <v>0.5396868377647932</v>
      </c>
      <c r="C95" s="24" t="n">
        <v>0.5936555215412725</v>
      </c>
      <c r="D95" s="24" t="n">
        <v>0.6530210736953999</v>
      </c>
      <c r="E95" s="24" t="n">
        <v>0.7183231810649399</v>
      </c>
      <c r="F95" s="24" t="n">
        <v>0.7901554991714339</v>
      </c>
      <c r="G95" s="24" t="n">
        <v>0.8691710490885773</v>
      </c>
      <c r="I95" s="8">
        <f>IF(COUNTIF(B95:G95,1)=6,A95,"")</f>
        <v/>
      </c>
    </row>
    <row r="96">
      <c r="A96" s="7" t="n">
        <v>112</v>
      </c>
      <c r="B96" s="24" t="n">
        <v>0.6317040398225142</v>
      </c>
      <c r="C96" s="24" t="n">
        <v>0.6948744438047657</v>
      </c>
      <c r="D96" s="24" t="n">
        <v>0.7643618881852423</v>
      </c>
      <c r="E96" s="24" t="n">
        <v>0.8407980770037666</v>
      </c>
      <c r="F96" s="24" t="n">
        <v>0.9248778847041433</v>
      </c>
      <c r="G96" s="24" t="n">
        <v>1</v>
      </c>
      <c r="I96" s="8">
        <f>IF(COUNTIF(B96:G96,1)=6,A96,"")</f>
        <v/>
      </c>
    </row>
    <row r="97">
      <c r="A97" s="7" t="n">
        <v>113</v>
      </c>
      <c r="B97" s="24" t="n">
        <v>0.7406652682100285</v>
      </c>
      <c r="C97" s="24" t="n">
        <v>0.8147317950310314</v>
      </c>
      <c r="D97" s="24" t="n">
        <v>0.8962049745341346</v>
      </c>
      <c r="E97" s="24" t="n">
        <v>0.9858254719875481</v>
      </c>
      <c r="F97" s="24" t="n">
        <v>1</v>
      </c>
      <c r="G97" s="24" t="n">
        <v>1</v>
      </c>
      <c r="I97" s="8">
        <f>IF(COUNTIF(B97:G97,1)=6,A97,"")</f>
        <v/>
      </c>
    </row>
    <row r="98">
      <c r="A98" s="7" t="n">
        <v>114</v>
      </c>
      <c r="B98" s="24" t="n">
        <v>0.8698975620835765</v>
      </c>
      <c r="C98" s="24" t="n">
        <v>0.9568873182919342</v>
      </c>
      <c r="D98" s="24" t="n">
        <v>1</v>
      </c>
      <c r="E98" s="24" t="n">
        <v>1</v>
      </c>
      <c r="F98" s="24" t="n">
        <v>1</v>
      </c>
      <c r="G98" s="24" t="n">
        <v>1</v>
      </c>
      <c r="I98" s="8">
        <f>IF(COUNTIF(B98:G98,1)=6,A98,"")</f>
        <v/>
      </c>
    </row>
    <row r="99">
      <c r="A99" s="7" t="n">
        <v>115</v>
      </c>
      <c r="B99" s="24" t="n">
        <v>1</v>
      </c>
      <c r="C99" s="24" t="n">
        <v>1</v>
      </c>
      <c r="D99" s="24" t="n">
        <v>1</v>
      </c>
      <c r="E99" s="24" t="n">
        <v>1</v>
      </c>
      <c r="F99" s="24" t="n">
        <v>1</v>
      </c>
      <c r="G99" s="24" t="n">
        <v>1</v>
      </c>
      <c r="I99" s="8">
        <f>IF(COUNTIF(B99:G99,1)=6,A99,"")</f>
        <v/>
      </c>
    </row>
    <row r="100">
      <c r="A100" s="7" t="n">
        <v>116</v>
      </c>
      <c r="B100" s="24" t="n">
        <v>1</v>
      </c>
      <c r="C100" s="24" t="n">
        <v>1</v>
      </c>
      <c r="D100" s="24" t="n">
        <v>1</v>
      </c>
      <c r="E100" s="24" t="n">
        <v>1</v>
      </c>
      <c r="F100" s="24" t="n">
        <v>1</v>
      </c>
      <c r="G100" s="24" t="n">
        <v>1</v>
      </c>
      <c r="I100" s="8">
        <f>IF(COUNTIF(B100:G100,1)=6,A100,"")</f>
        <v/>
      </c>
    </row>
    <row r="101">
      <c r="A101" s="7" t="n">
        <v>117</v>
      </c>
      <c r="B101" s="24" t="n">
        <v>1</v>
      </c>
      <c r="C101" s="24" t="n">
        <v>1</v>
      </c>
      <c r="D101" s="24" t="n">
        <v>1</v>
      </c>
      <c r="E101" s="24" t="n">
        <v>1</v>
      </c>
      <c r="F101" s="24" t="n">
        <v>1</v>
      </c>
      <c r="G101" s="24" t="n">
        <v>1</v>
      </c>
      <c r="I101" s="8">
        <f>IF(COUNTIF(B101:G101,1)=6,A101,"")</f>
        <v/>
      </c>
    </row>
    <row r="102">
      <c r="A102" s="7" t="n">
        <v>118</v>
      </c>
      <c r="B102" s="24" t="n">
        <v>1</v>
      </c>
      <c r="C102" s="24" t="n">
        <v>1</v>
      </c>
      <c r="D102" s="24" t="n">
        <v>1</v>
      </c>
      <c r="E102" s="24" t="n">
        <v>1</v>
      </c>
      <c r="F102" s="24" t="n">
        <v>1</v>
      </c>
      <c r="G102" s="24" t="n">
        <v>1</v>
      </c>
      <c r="I102" s="8">
        <f>IF(COUNTIF(B102:G102,1)=6,A102,"")</f>
        <v/>
      </c>
    </row>
    <row r="103">
      <c r="A103" s="7" t="n">
        <v>119</v>
      </c>
      <c r="B103" s="24" t="n">
        <v>1</v>
      </c>
      <c r="C103" s="24" t="n">
        <v>1</v>
      </c>
      <c r="D103" s="24" t="n">
        <v>1</v>
      </c>
      <c r="E103" s="24" t="n">
        <v>1</v>
      </c>
      <c r="F103" s="24" t="n">
        <v>1</v>
      </c>
      <c r="G103" s="24" t="n">
        <v>1</v>
      </c>
      <c r="I103" s="8">
        <f>IF(COUNTIF(B103:G103,1)=6,A103,"")</f>
        <v/>
      </c>
    </row>
    <row r="104">
      <c r="A104" s="7" t="n">
        <v>120</v>
      </c>
      <c r="B104" s="24" t="n">
        <v>1</v>
      </c>
      <c r="C104" s="24" t="n">
        <v>1</v>
      </c>
      <c r="D104" s="24" t="n">
        <v>1</v>
      </c>
      <c r="E104" s="24" t="n">
        <v>1</v>
      </c>
      <c r="F104" s="24" t="n">
        <v>1</v>
      </c>
      <c r="G104" s="24" t="n">
        <v>1</v>
      </c>
      <c r="I104" s="8">
        <f>IF(COUNTIF(B104:G104,1)=6,A104,"")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</cols>
  <sheetData>
    <row r="1">
      <c r="A1" s="10" t="inlineStr">
        <is>
          <t>Year</t>
        </is>
      </c>
      <c r="B1" s="10" t="inlineStr">
        <is>
          <t>Annual spot rate</t>
        </is>
      </c>
    </row>
    <row r="2">
      <c r="A2" s="7" t="n">
        <v>0</v>
      </c>
      <c r="B2" s="23" t="n">
        <v>0</v>
      </c>
    </row>
    <row r="3">
      <c r="A3" s="7" t="n">
        <v>1</v>
      </c>
      <c r="B3" s="23" t="n">
        <v>0.00555</v>
      </c>
    </row>
    <row r="4">
      <c r="A4" s="7" t="n">
        <v>2</v>
      </c>
      <c r="B4" s="23" t="n">
        <v>0.006840000000000001</v>
      </c>
    </row>
    <row r="5">
      <c r="A5" s="7" t="n">
        <v>3</v>
      </c>
      <c r="B5" s="23" t="n">
        <v>0.00788</v>
      </c>
    </row>
    <row r="6">
      <c r="A6" s="7" t="n">
        <v>4</v>
      </c>
      <c r="B6" s="23" t="n">
        <v>0.008659999999999999</v>
      </c>
    </row>
    <row r="7">
      <c r="A7" s="7" t="n">
        <v>5</v>
      </c>
      <c r="B7" s="23" t="n">
        <v>0.00937</v>
      </c>
    </row>
    <row r="8">
      <c r="A8" s="7" t="n">
        <v>6</v>
      </c>
      <c r="B8" s="23" t="n">
        <v>0.00997</v>
      </c>
    </row>
    <row r="9">
      <c r="A9" s="7" t="n">
        <v>7</v>
      </c>
      <c r="B9" s="23" t="n">
        <v>0.0105</v>
      </c>
    </row>
    <row r="10">
      <c r="A10" s="7" t="n">
        <v>8</v>
      </c>
      <c r="B10" s="23" t="n">
        <v>0.01098</v>
      </c>
    </row>
    <row r="11">
      <c r="A11" s="7" t="n">
        <v>9</v>
      </c>
      <c r="B11" s="23" t="n">
        <v>0.01144</v>
      </c>
    </row>
    <row r="12">
      <c r="A12" s="7" t="n">
        <v>10</v>
      </c>
      <c r="B12" s="23" t="n">
        <v>0.01188</v>
      </c>
    </row>
    <row r="13">
      <c r="A13" s="7" t="n">
        <v>11</v>
      </c>
      <c r="B13" s="23" t="n">
        <v>0.01226</v>
      </c>
    </row>
    <row r="14">
      <c r="A14" s="7" t="n">
        <v>12</v>
      </c>
      <c r="B14" s="23" t="n">
        <v>0.01259</v>
      </c>
    </row>
    <row r="15">
      <c r="A15" s="7" t="n">
        <v>13</v>
      </c>
      <c r="B15" s="23" t="n">
        <v>0.01285</v>
      </c>
    </row>
    <row r="16">
      <c r="A16" s="7" t="n">
        <v>14</v>
      </c>
      <c r="B16" s="23" t="n">
        <v>0.01308</v>
      </c>
    </row>
    <row r="17">
      <c r="A17" s="7" t="n">
        <v>15</v>
      </c>
      <c r="B17" s="23" t="n">
        <v>0.0133</v>
      </c>
    </row>
    <row r="18">
      <c r="A18" s="7" t="n">
        <v>16</v>
      </c>
      <c r="B18" s="23" t="n">
        <v>0.01345</v>
      </c>
    </row>
    <row r="19">
      <c r="A19" s="7" t="n">
        <v>17</v>
      </c>
      <c r="B19" s="23" t="n">
        <v>0.01358</v>
      </c>
    </row>
    <row r="20">
      <c r="A20" s="7" t="n">
        <v>18</v>
      </c>
      <c r="B20" s="23" t="n">
        <v>0.01368</v>
      </c>
    </row>
    <row r="21">
      <c r="A21" s="7" t="n">
        <v>19</v>
      </c>
      <c r="B21" s="23" t="n">
        <v>0.01375</v>
      </c>
    </row>
    <row r="22">
      <c r="A22" s="7" t="n">
        <v>20</v>
      </c>
      <c r="B22" s="23" t="n">
        <v>0.01378</v>
      </c>
    </row>
    <row r="23">
      <c r="A23" s="7" t="n">
        <v>21</v>
      </c>
      <c r="B23" s="23" t="n">
        <v>0.01379</v>
      </c>
    </row>
    <row r="24">
      <c r="A24" s="7" t="n">
        <v>22</v>
      </c>
      <c r="B24" s="23" t="n">
        <v>0.01376</v>
      </c>
    </row>
    <row r="25">
      <c r="A25" s="7" t="n">
        <v>23</v>
      </c>
      <c r="B25" s="23" t="n">
        <v>0.01373</v>
      </c>
    </row>
    <row r="26">
      <c r="A26" s="7" t="n">
        <v>24</v>
      </c>
      <c r="B26" s="23" t="n">
        <v>0.01369</v>
      </c>
    </row>
    <row r="27">
      <c r="A27" s="7" t="n">
        <v>25</v>
      </c>
      <c r="B27" s="23" t="n">
        <v>0.01365</v>
      </c>
    </row>
    <row r="28">
      <c r="A28" s="7" t="n">
        <v>26</v>
      </c>
      <c r="B28" s="23" t="n">
        <v>0.01361</v>
      </c>
    </row>
    <row r="29">
      <c r="A29" s="7" t="n">
        <v>27</v>
      </c>
      <c r="B29" s="23" t="n">
        <v>0.01356</v>
      </c>
    </row>
    <row r="30">
      <c r="A30" s="7" t="n">
        <v>28</v>
      </c>
      <c r="B30" s="23" t="n">
        <v>0.01351</v>
      </c>
    </row>
    <row r="31">
      <c r="A31" s="7" t="n">
        <v>29</v>
      </c>
      <c r="B31" s="23" t="n">
        <v>0.01346</v>
      </c>
    </row>
    <row r="32">
      <c r="A32" s="7" t="n">
        <v>30</v>
      </c>
      <c r="B32" s="23" t="n">
        <v>0.0134</v>
      </c>
    </row>
    <row r="33">
      <c r="A33" s="7" t="n">
        <v>31</v>
      </c>
      <c r="B33" s="23" t="n">
        <v>0.01333</v>
      </c>
    </row>
    <row r="34">
      <c r="A34" s="7" t="n">
        <v>32</v>
      </c>
      <c r="B34" s="23" t="n">
        <v>0.01325</v>
      </c>
    </row>
    <row r="35">
      <c r="A35" s="7" t="n">
        <v>33</v>
      </c>
      <c r="B35" s="23" t="n">
        <v>0.01316</v>
      </c>
    </row>
    <row r="36">
      <c r="A36" s="7" t="n">
        <v>34</v>
      </c>
      <c r="B36" s="23" t="n">
        <v>0.01306</v>
      </c>
    </row>
    <row r="37">
      <c r="A37" s="7" t="n">
        <v>35</v>
      </c>
      <c r="B37" s="23" t="n">
        <v>0.01295</v>
      </c>
    </row>
    <row r="38">
      <c r="A38" s="7" t="n">
        <v>36</v>
      </c>
      <c r="B38" s="23" t="n">
        <v>0.01283</v>
      </c>
    </row>
    <row r="39">
      <c r="A39" s="7" t="n">
        <v>37</v>
      </c>
      <c r="B39" s="23" t="n">
        <v>0.01271</v>
      </c>
    </row>
    <row r="40">
      <c r="A40" s="7" t="n">
        <v>38</v>
      </c>
      <c r="B40" s="23" t="n">
        <v>0.0126</v>
      </c>
    </row>
    <row r="41">
      <c r="A41" s="7" t="n">
        <v>39</v>
      </c>
      <c r="B41" s="23" t="n">
        <v>0.0125</v>
      </c>
    </row>
    <row r="42">
      <c r="A42" s="7" t="n">
        <v>40</v>
      </c>
      <c r="B42" s="23" t="n">
        <v>0.01241</v>
      </c>
    </row>
    <row r="43">
      <c r="A43" s="7" t="n">
        <v>41</v>
      </c>
      <c r="B43" s="23" t="n">
        <v>0.01235</v>
      </c>
    </row>
    <row r="44">
      <c r="A44" s="7" t="n">
        <v>42</v>
      </c>
      <c r="B44" s="23" t="n">
        <v>0.01229</v>
      </c>
    </row>
    <row r="45">
      <c r="A45" s="7" t="n">
        <v>43</v>
      </c>
      <c r="B45" s="23" t="n">
        <v>0.01222</v>
      </c>
    </row>
    <row r="46">
      <c r="A46" s="7" t="n">
        <v>44</v>
      </c>
      <c r="B46" s="23" t="n">
        <v>0.01214</v>
      </c>
    </row>
    <row r="47">
      <c r="A47" s="7" t="n">
        <v>45</v>
      </c>
      <c r="B47" s="23" t="n">
        <v>0.01203</v>
      </c>
    </row>
    <row r="48">
      <c r="A48" s="7" t="n">
        <v>46</v>
      </c>
      <c r="B48" s="23" t="n">
        <v>0.0119</v>
      </c>
    </row>
    <row r="49">
      <c r="A49" s="7" t="n">
        <v>47</v>
      </c>
      <c r="B49" s="23" t="n">
        <v>0.01178</v>
      </c>
    </row>
    <row r="50">
      <c r="A50" s="7" t="n">
        <v>48</v>
      </c>
      <c r="B50" s="23" t="n">
        <v>0.01168</v>
      </c>
    </row>
    <row r="51">
      <c r="A51" s="7" t="n">
        <v>49</v>
      </c>
      <c r="B51" s="23" t="n">
        <v>0.01164</v>
      </c>
    </row>
    <row r="52">
      <c r="A52" s="7" t="n">
        <v>50</v>
      </c>
      <c r="B52" s="23" t="n">
        <v>0.01166</v>
      </c>
    </row>
    <row r="53">
      <c r="A53" s="7" t="n">
        <v>51</v>
      </c>
      <c r="B53" s="23" t="n">
        <v>0.01177</v>
      </c>
    </row>
    <row r="54">
      <c r="A54" s="7" t="n">
        <v>52</v>
      </c>
      <c r="B54" s="23" t="n">
        <v>0.01193</v>
      </c>
    </row>
    <row r="55">
      <c r="A55" s="7" t="n">
        <v>53</v>
      </c>
      <c r="B55" s="23" t="n">
        <v>0.01215</v>
      </c>
    </row>
    <row r="56">
      <c r="A56" s="7" t="n">
        <v>54</v>
      </c>
      <c r="B56" s="23" t="n">
        <v>0.01241</v>
      </c>
    </row>
    <row r="57">
      <c r="A57" s="7" t="n">
        <v>55</v>
      </c>
      <c r="B57" s="23" t="n">
        <v>0.0127</v>
      </c>
    </row>
    <row r="58">
      <c r="A58" s="7" t="n">
        <v>56</v>
      </c>
      <c r="B58" s="23" t="n">
        <v>0.01301</v>
      </c>
    </row>
    <row r="59">
      <c r="A59" s="7" t="n">
        <v>57</v>
      </c>
      <c r="B59" s="23" t="n">
        <v>0.01333</v>
      </c>
    </row>
    <row r="60">
      <c r="A60" s="7" t="n">
        <v>58</v>
      </c>
      <c r="B60" s="23" t="n">
        <v>0.01367</v>
      </c>
    </row>
    <row r="61">
      <c r="A61" s="7" t="n">
        <v>59</v>
      </c>
      <c r="B61" s="23" t="n">
        <v>0.01402</v>
      </c>
    </row>
    <row r="62">
      <c r="A62" s="7" t="n">
        <v>60</v>
      </c>
      <c r="B62" s="23" t="n">
        <v>0.01437</v>
      </c>
    </row>
    <row r="63">
      <c r="A63" s="7" t="n">
        <v>61</v>
      </c>
      <c r="B63" s="23" t="n">
        <v>0.01473</v>
      </c>
    </row>
    <row r="64">
      <c r="A64" s="7" t="n">
        <v>62</v>
      </c>
      <c r="B64" s="23" t="n">
        <v>0.01508</v>
      </c>
    </row>
    <row r="65">
      <c r="A65" s="7" t="n">
        <v>63</v>
      </c>
      <c r="B65" s="23" t="n">
        <v>0.01543</v>
      </c>
    </row>
    <row r="66">
      <c r="A66" s="7" t="n">
        <v>64</v>
      </c>
      <c r="B66" s="23" t="n">
        <v>0.01579</v>
      </c>
    </row>
    <row r="67">
      <c r="A67" s="7" t="n">
        <v>65</v>
      </c>
      <c r="B67" s="23" t="n">
        <v>0.01613</v>
      </c>
    </row>
    <row r="68">
      <c r="A68" s="7" t="n">
        <v>66</v>
      </c>
      <c r="B68" s="23" t="n">
        <v>0.01648</v>
      </c>
    </row>
    <row r="69">
      <c r="A69" s="7" t="n">
        <v>67</v>
      </c>
      <c r="B69" s="23" t="n">
        <v>0.01682</v>
      </c>
    </row>
    <row r="70">
      <c r="A70" s="7" t="n">
        <v>68</v>
      </c>
      <c r="B70" s="23" t="n">
        <v>0.01715</v>
      </c>
    </row>
    <row r="71">
      <c r="A71" s="7" t="n">
        <v>69</v>
      </c>
      <c r="B71" s="23" t="n">
        <v>0.01748</v>
      </c>
    </row>
    <row r="72">
      <c r="A72" s="7" t="n">
        <v>70</v>
      </c>
      <c r="B72" s="23" t="n">
        <v>0.0178</v>
      </c>
    </row>
    <row r="73">
      <c r="A73" s="7" t="n">
        <v>71</v>
      </c>
      <c r="B73" s="23" t="n">
        <v>0.01812</v>
      </c>
    </row>
    <row r="74">
      <c r="A74" s="7" t="n">
        <v>72</v>
      </c>
      <c r="B74" s="23" t="n">
        <v>0.01843</v>
      </c>
    </row>
    <row r="75">
      <c r="A75" s="7" t="n">
        <v>73</v>
      </c>
      <c r="B75" s="23" t="n">
        <v>0.01874</v>
      </c>
    </row>
    <row r="76">
      <c r="A76" s="7" t="n">
        <v>74</v>
      </c>
      <c r="B76" s="23" t="n">
        <v>0.01903</v>
      </c>
    </row>
    <row r="77">
      <c r="A77" s="7" t="n">
        <v>75</v>
      </c>
      <c r="B77" s="23" t="n">
        <v>0.01933</v>
      </c>
    </row>
    <row r="78">
      <c r="A78" s="7" t="n">
        <v>76</v>
      </c>
      <c r="B78" s="23" t="n">
        <v>0.01961</v>
      </c>
    </row>
    <row r="79">
      <c r="A79" s="7" t="n">
        <v>77</v>
      </c>
      <c r="B79" s="23" t="n">
        <v>0.01989</v>
      </c>
    </row>
    <row r="80">
      <c r="A80" s="7" t="n">
        <v>78</v>
      </c>
      <c r="B80" s="23" t="n">
        <v>0.02016</v>
      </c>
    </row>
    <row r="81">
      <c r="A81" s="7" t="n">
        <v>79</v>
      </c>
      <c r="B81" s="23" t="n">
        <v>0.02043</v>
      </c>
    </row>
    <row r="82">
      <c r="A82" s="7" t="n">
        <v>80</v>
      </c>
      <c r="B82" s="23" t="n">
        <v>0.02069</v>
      </c>
    </row>
    <row r="83">
      <c r="A83" s="7" t="n">
        <v>81</v>
      </c>
      <c r="B83" s="23" t="n">
        <v>0.02095</v>
      </c>
    </row>
    <row r="84">
      <c r="A84" s="7" t="n">
        <v>82</v>
      </c>
      <c r="B84" s="23" t="n">
        <v>0.0212</v>
      </c>
    </row>
    <row r="85">
      <c r="A85" s="7" t="n">
        <v>83</v>
      </c>
      <c r="B85" s="23" t="n">
        <v>0.02144</v>
      </c>
    </row>
    <row r="86">
      <c r="A86" s="7" t="n">
        <v>84</v>
      </c>
      <c r="B86" s="23" t="n">
        <v>0.02168</v>
      </c>
    </row>
    <row r="87">
      <c r="A87" s="7" t="n">
        <v>85</v>
      </c>
      <c r="B87" s="23" t="n">
        <v>0.02192</v>
      </c>
    </row>
    <row r="88">
      <c r="A88" s="7" t="n">
        <v>86</v>
      </c>
      <c r="B88" s="23" t="n">
        <v>0.02215</v>
      </c>
    </row>
    <row r="89">
      <c r="A89" s="7" t="n">
        <v>87</v>
      </c>
      <c r="B89" s="23" t="n">
        <v>0.02237</v>
      </c>
    </row>
    <row r="90">
      <c r="A90" s="7" t="n">
        <v>88</v>
      </c>
      <c r="B90" s="23" t="n">
        <v>0.02259</v>
      </c>
    </row>
    <row r="91">
      <c r="A91" s="7" t="n">
        <v>89</v>
      </c>
      <c r="B91" s="23" t="n">
        <v>0.0228</v>
      </c>
    </row>
    <row r="92">
      <c r="A92" s="7" t="n">
        <v>90</v>
      </c>
      <c r="B92" s="23" t="n">
        <v>0.02301</v>
      </c>
    </row>
    <row r="93">
      <c r="A93" s="7" t="n">
        <v>91</v>
      </c>
      <c r="B93" s="23" t="n">
        <v>0.02322</v>
      </c>
    </row>
    <row r="94">
      <c r="A94" s="7" t="n">
        <v>92</v>
      </c>
      <c r="B94" s="23" t="n">
        <v>0.02342</v>
      </c>
    </row>
    <row r="95">
      <c r="A95" s="7" t="n">
        <v>93</v>
      </c>
      <c r="B95" s="23" t="n">
        <v>0.02362</v>
      </c>
    </row>
    <row r="96">
      <c r="A96" s="7" t="n">
        <v>94</v>
      </c>
      <c r="B96" s="23" t="n">
        <v>0.02381</v>
      </c>
    </row>
    <row r="97">
      <c r="A97" s="7" t="n">
        <v>95</v>
      </c>
      <c r="B97" s="23" t="n">
        <v>0.024</v>
      </c>
    </row>
    <row r="98">
      <c r="A98" s="7" t="n">
        <v>96</v>
      </c>
      <c r="B98" s="23" t="n">
        <v>0.02419</v>
      </c>
    </row>
    <row r="99">
      <c r="A99" s="7" t="n">
        <v>97</v>
      </c>
      <c r="B99" s="23" t="n">
        <v>0.02437</v>
      </c>
    </row>
    <row r="100">
      <c r="A100" s="7" t="n">
        <v>98</v>
      </c>
      <c r="B100" s="23" t="n">
        <v>0.02455</v>
      </c>
    </row>
    <row r="101">
      <c r="A101" s="7" t="n">
        <v>99</v>
      </c>
      <c r="B101" s="23" t="n">
        <v>0.02472</v>
      </c>
    </row>
    <row r="102">
      <c r="A102" s="7" t="n">
        <v>100</v>
      </c>
      <c r="B102" s="23" t="n">
        <v>0.02489</v>
      </c>
    </row>
    <row r="103">
      <c r="A103" s="7" t="n">
        <v>101</v>
      </c>
      <c r="B103" s="23" t="n">
        <v>0.02506</v>
      </c>
    </row>
    <row r="104">
      <c r="A104" s="7" t="n">
        <v>102</v>
      </c>
      <c r="B104" s="23" t="n">
        <v>0.02522</v>
      </c>
    </row>
    <row r="105">
      <c r="A105" s="7" t="n">
        <v>103</v>
      </c>
      <c r="B105" s="23" t="n">
        <v>0.02539</v>
      </c>
    </row>
    <row r="106">
      <c r="A106" s="7" t="n">
        <v>104</v>
      </c>
      <c r="B106" s="23" t="n">
        <v>0.02554</v>
      </c>
    </row>
    <row r="107">
      <c r="A107" s="7" t="n">
        <v>105</v>
      </c>
      <c r="B107" s="23" t="n">
        <v>0.0257</v>
      </c>
    </row>
    <row r="108">
      <c r="A108" s="7" t="n">
        <v>106</v>
      </c>
      <c r="B108" s="23" t="n">
        <v>0.02585</v>
      </c>
    </row>
    <row r="109">
      <c r="A109" s="7" t="n">
        <v>107</v>
      </c>
      <c r="B109" s="23" t="n">
        <v>0.026</v>
      </c>
    </row>
    <row r="110">
      <c r="A110" s="7" t="n">
        <v>108</v>
      </c>
      <c r="B110" s="23" t="n">
        <v>0.02615</v>
      </c>
    </row>
    <row r="111">
      <c r="A111" s="7" t="n">
        <v>109</v>
      </c>
      <c r="B111" s="23" t="n">
        <v>0.02629</v>
      </c>
    </row>
    <row r="112">
      <c r="A112" s="7" t="n">
        <v>110</v>
      </c>
      <c r="B112" s="23" t="n">
        <v>0.02643</v>
      </c>
    </row>
    <row r="113">
      <c r="A113" s="7" t="n">
        <v>111</v>
      </c>
      <c r="B113" s="23" t="n">
        <v>0.02657</v>
      </c>
    </row>
    <row r="114">
      <c r="A114" s="7" t="n">
        <v>112</v>
      </c>
      <c r="B114" s="23" t="n">
        <v>0.02671</v>
      </c>
    </row>
    <row r="115">
      <c r="A115" s="7" t="n">
        <v>113</v>
      </c>
      <c r="B115" s="23" t="n">
        <v>0.02684</v>
      </c>
    </row>
    <row r="116">
      <c r="A116" s="7" t="n">
        <v>114</v>
      </c>
      <c r="B116" s="23" t="n">
        <v>0.02698</v>
      </c>
    </row>
    <row r="117">
      <c r="A117" s="7" t="n">
        <v>115</v>
      </c>
      <c r="B117" s="23" t="n">
        <v>0.02711</v>
      </c>
    </row>
    <row r="118">
      <c r="A118" s="7" t="n">
        <v>116</v>
      </c>
      <c r="B118" s="23" t="n">
        <v>0.02723</v>
      </c>
    </row>
    <row r="119">
      <c r="A119" s="7" t="n">
        <v>117</v>
      </c>
      <c r="B119" s="23" t="n">
        <v>0.02736</v>
      </c>
    </row>
    <row r="120">
      <c r="A120" s="7" t="n">
        <v>118</v>
      </c>
      <c r="B120" s="23" t="n">
        <v>0.02748</v>
      </c>
    </row>
    <row r="121">
      <c r="A121" s="7" t="n">
        <v>119</v>
      </c>
      <c r="B121" s="23" t="n">
        <v>0.0276</v>
      </c>
    </row>
    <row r="122">
      <c r="A122" s="7" t="n">
        <v>120</v>
      </c>
      <c r="B122" s="23" t="n">
        <v>0.02772</v>
      </c>
    </row>
    <row r="123">
      <c r="A123" s="7" t="n">
        <v>121</v>
      </c>
      <c r="B123" s="23" t="n">
        <v>0.02784</v>
      </c>
    </row>
    <row r="124">
      <c r="A124" s="7" t="n">
        <v>122</v>
      </c>
      <c r="B124" s="23" t="n">
        <v>0.02795</v>
      </c>
    </row>
    <row r="125">
      <c r="A125" s="7" t="n">
        <v>123</v>
      </c>
      <c r="B125" s="23" t="n">
        <v>0.02807</v>
      </c>
    </row>
    <row r="126">
      <c r="A126" s="7" t="n">
        <v>124</v>
      </c>
      <c r="B126" s="23" t="n">
        <v>0.02818</v>
      </c>
    </row>
    <row r="127">
      <c r="A127" s="7" t="n">
        <v>125</v>
      </c>
      <c r="B127" s="23" t="n">
        <v>0.02829</v>
      </c>
    </row>
    <row r="128">
      <c r="A128" s="7" t="n">
        <v>126</v>
      </c>
      <c r="B128" s="23" t="n">
        <v>0.0284</v>
      </c>
    </row>
    <row r="129">
      <c r="A129" s="7" t="n">
        <v>127</v>
      </c>
      <c r="B129" s="23" t="n">
        <v>0.0285</v>
      </c>
    </row>
    <row r="130">
      <c r="A130" s="7" t="n">
        <v>128</v>
      </c>
      <c r="B130" s="23" t="n">
        <v>0.02861000000000001</v>
      </c>
    </row>
    <row r="131">
      <c r="A131" s="7" t="n">
        <v>129</v>
      </c>
      <c r="B131" s="23" t="n">
        <v>0.02871000000000001</v>
      </c>
    </row>
    <row r="132">
      <c r="A132" s="7" t="n">
        <v>130</v>
      </c>
      <c r="B132" s="23" t="n">
        <v>0.02881</v>
      </c>
    </row>
    <row r="133">
      <c r="A133" s="7" t="n">
        <v>131</v>
      </c>
      <c r="B133" s="23" t="n">
        <v>0.02891</v>
      </c>
    </row>
    <row r="134">
      <c r="A134" s="7" t="n">
        <v>132</v>
      </c>
      <c r="B134" s="23" t="n">
        <v>0.02901</v>
      </c>
    </row>
    <row r="135">
      <c r="A135" s="7" t="n">
        <v>133</v>
      </c>
      <c r="B135" s="23" t="n">
        <v>0.02911000000000001</v>
      </c>
    </row>
    <row r="136">
      <c r="A136" s="7" t="n">
        <v>134</v>
      </c>
      <c r="B136" s="23" t="n">
        <v>0.0292</v>
      </c>
    </row>
    <row r="137">
      <c r="A137" s="7" t="n">
        <v>135</v>
      </c>
      <c r="B137" s="23" t="n">
        <v>0.0293</v>
      </c>
    </row>
    <row r="138">
      <c r="A138" s="7" t="n">
        <v>136</v>
      </c>
      <c r="B138" s="23" t="n">
        <v>0.02939</v>
      </c>
    </row>
    <row r="139">
      <c r="A139" s="7" t="n">
        <v>137</v>
      </c>
      <c r="B139" s="23" t="n">
        <v>0.02948000000000001</v>
      </c>
    </row>
    <row r="140">
      <c r="A140" s="7" t="n">
        <v>138</v>
      </c>
      <c r="B140" s="23" t="n">
        <v>0.02957</v>
      </c>
    </row>
    <row r="141">
      <c r="A141" s="7" t="n">
        <v>139</v>
      </c>
      <c r="B141" s="23" t="n">
        <v>0.02966</v>
      </c>
    </row>
    <row r="142">
      <c r="A142" s="7" t="n">
        <v>140</v>
      </c>
      <c r="B142" s="23" t="n">
        <v>0.02975</v>
      </c>
    </row>
    <row r="143">
      <c r="A143" s="7" t="n">
        <v>141</v>
      </c>
      <c r="B143" s="23" t="n">
        <v>0.02984</v>
      </c>
    </row>
    <row r="144">
      <c r="A144" s="7" t="n">
        <v>142</v>
      </c>
      <c r="B144" s="23" t="n">
        <v>0.02992</v>
      </c>
    </row>
    <row r="145">
      <c r="A145" s="7" t="n">
        <v>143</v>
      </c>
      <c r="B145" s="23" t="n">
        <v>0.03001</v>
      </c>
    </row>
    <row r="146">
      <c r="A146" s="7" t="n">
        <v>144</v>
      </c>
      <c r="B146" s="23" t="n">
        <v>0.03009</v>
      </c>
    </row>
    <row r="147">
      <c r="A147" s="7" t="n">
        <v>145</v>
      </c>
      <c r="B147" s="23" t="n">
        <v>0.03017</v>
      </c>
    </row>
    <row r="148">
      <c r="A148" s="7" t="n">
        <v>146</v>
      </c>
      <c r="B148" s="23" t="n">
        <v>0.03025</v>
      </c>
    </row>
    <row r="149">
      <c r="A149" s="7" t="n">
        <v>147</v>
      </c>
      <c r="B149" s="23" t="n">
        <v>0.03033000000000001</v>
      </c>
    </row>
    <row r="150">
      <c r="A150" s="7" t="n">
        <v>148</v>
      </c>
      <c r="B150" s="23" t="n">
        <v>0.03041000000000001</v>
      </c>
    </row>
    <row r="151">
      <c r="A151" s="7" t="n">
        <v>149</v>
      </c>
      <c r="B151" s="23" t="n">
        <v>0.03049</v>
      </c>
    </row>
    <row r="152">
      <c r="A152" s="7" t="n">
        <v>150</v>
      </c>
      <c r="B152" s="23" t="n">
        <v>0.03056000000000001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10" t="inlineStr">
        <is>
          <t>Policy year</t>
        </is>
      </c>
      <c r="B1" s="10" t="inlineStr">
        <is>
          <t>type_1</t>
        </is>
      </c>
      <c r="C1" s="10" t="inlineStr">
        <is>
          <t>type_2</t>
        </is>
      </c>
      <c r="D1" s="10" t="inlineStr">
        <is>
          <t>type_3</t>
        </is>
      </c>
    </row>
    <row r="2">
      <c r="A2" s="7" t="n">
        <v>0</v>
      </c>
      <c r="B2" s="23" t="n">
        <v>0.1</v>
      </c>
      <c r="C2" s="23" t="n">
        <v>0.08</v>
      </c>
      <c r="D2" s="23" t="n">
        <v>0.05</v>
      </c>
    </row>
    <row r="3">
      <c r="A3" s="7" t="n">
        <v>1</v>
      </c>
      <c r="B3" s="23" t="n">
        <v>0.09000000000000001</v>
      </c>
      <c r="C3" s="23" t="n">
        <v>0.07000000000000001</v>
      </c>
      <c r="D3" s="23" t="n">
        <v>0.04</v>
      </c>
    </row>
    <row r="4">
      <c r="A4" s="7" t="n">
        <v>2</v>
      </c>
      <c r="B4" s="23" t="n">
        <v>0.08000000000000002</v>
      </c>
      <c r="C4" s="23" t="n">
        <v>0.06</v>
      </c>
      <c r="D4" s="23" t="n">
        <v>0.03</v>
      </c>
    </row>
    <row r="5">
      <c r="A5" s="7" t="n">
        <v>3</v>
      </c>
      <c r="B5" s="23" t="n">
        <v>0.07000000000000002</v>
      </c>
      <c r="C5" s="23" t="n">
        <v>0.05</v>
      </c>
      <c r="D5" s="23" t="n">
        <v>0.02</v>
      </c>
    </row>
    <row r="6">
      <c r="A6" s="7" t="n">
        <v>4</v>
      </c>
      <c r="B6" s="23" t="n">
        <v>0.06000000000000002</v>
      </c>
      <c r="C6" s="23" t="n">
        <v>0.04</v>
      </c>
      <c r="D6" s="23" t="n">
        <v>0.009999999999999997</v>
      </c>
    </row>
    <row r="7">
      <c r="A7" s="7" t="n">
        <v>5</v>
      </c>
      <c r="B7" s="23" t="n">
        <v>0.05000000000000002</v>
      </c>
      <c r="C7" s="23" t="n">
        <v>0.03</v>
      </c>
      <c r="D7" s="23" t="n">
        <v>0</v>
      </c>
    </row>
    <row r="8">
      <c r="A8" s="7" t="n">
        <v>6</v>
      </c>
      <c r="B8" s="23" t="n">
        <v>0.04000000000000001</v>
      </c>
      <c r="C8" s="23" t="n">
        <v>0.02</v>
      </c>
      <c r="D8" s="23" t="n">
        <v>0</v>
      </c>
    </row>
    <row r="9">
      <c r="A9" s="7" t="n">
        <v>7</v>
      </c>
      <c r="B9" s="23" t="n">
        <v>0.03000000000000001</v>
      </c>
      <c r="C9" s="23" t="n">
        <v>0.009999999999999997</v>
      </c>
      <c r="D9" s="23" t="n">
        <v>0</v>
      </c>
    </row>
    <row r="10">
      <c r="A10" s="7" t="n">
        <v>8</v>
      </c>
      <c r="B10" s="23" t="n">
        <v>0.02000000000000001</v>
      </c>
      <c r="C10" s="23" t="n">
        <v>0</v>
      </c>
      <c r="D10" s="23" t="n">
        <v>0</v>
      </c>
    </row>
    <row r="11">
      <c r="A11" s="7" t="n">
        <v>9</v>
      </c>
      <c r="B11" s="23" t="n">
        <v>0.01000000000000001</v>
      </c>
      <c r="C11" s="23" t="n">
        <v>0</v>
      </c>
      <c r="D11" s="23" t="n">
        <v>0</v>
      </c>
    </row>
    <row r="12">
      <c r="A12" s="7" t="n">
        <v>10</v>
      </c>
      <c r="B12" s="23" t="n">
        <v>0</v>
      </c>
      <c r="C12" s="23" t="n">
        <v>0</v>
      </c>
      <c r="D12" s="2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BQH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3" t="inlineStr">
        <is>
          <t>Standard normal draws Z by scenario and month — lifelib std_norm_rand. Monthly return = exp((μ−½σ²)/12 + σ√(1/12)·Z) − 1 (computed in the Projection engine).</t>
        </is>
      </c>
    </row>
    <row r="2">
      <c r="A2" s="10" t="inlineStr">
        <is>
          <t>scen_id \ t</t>
        </is>
      </c>
      <c r="B2" s="26" t="n">
        <v>0</v>
      </c>
      <c r="C2" s="26" t="n">
        <v>1</v>
      </c>
      <c r="D2" s="26" t="n">
        <v>2</v>
      </c>
      <c r="E2" s="26" t="n">
        <v>3</v>
      </c>
      <c r="F2" s="26" t="n">
        <v>4</v>
      </c>
      <c r="G2" s="26" t="n">
        <v>5</v>
      </c>
      <c r="H2" s="26" t="n">
        <v>6</v>
      </c>
      <c r="I2" s="26" t="n">
        <v>7</v>
      </c>
      <c r="J2" s="26" t="n">
        <v>8</v>
      </c>
      <c r="K2" s="26" t="n">
        <v>9</v>
      </c>
      <c r="L2" s="26" t="n">
        <v>10</v>
      </c>
      <c r="M2" s="26" t="n">
        <v>11</v>
      </c>
      <c r="N2" s="26" t="n">
        <v>12</v>
      </c>
      <c r="O2" s="26" t="n">
        <v>13</v>
      </c>
      <c r="P2" s="26" t="n">
        <v>14</v>
      </c>
      <c r="Q2" s="26" t="n">
        <v>15</v>
      </c>
      <c r="R2" s="26" t="n">
        <v>16</v>
      </c>
      <c r="S2" s="26" t="n">
        <v>17</v>
      </c>
      <c r="T2" s="26" t="n">
        <v>18</v>
      </c>
      <c r="U2" s="26" t="n">
        <v>19</v>
      </c>
      <c r="V2" s="26" t="n">
        <v>20</v>
      </c>
      <c r="W2" s="26" t="n">
        <v>21</v>
      </c>
      <c r="X2" s="26" t="n">
        <v>22</v>
      </c>
      <c r="Y2" s="26" t="n">
        <v>23</v>
      </c>
      <c r="Z2" s="26" t="n">
        <v>24</v>
      </c>
      <c r="AA2" s="26" t="n">
        <v>25</v>
      </c>
      <c r="AB2" s="26" t="n">
        <v>26</v>
      </c>
      <c r="AC2" s="26" t="n">
        <v>27</v>
      </c>
      <c r="AD2" s="26" t="n">
        <v>28</v>
      </c>
      <c r="AE2" s="26" t="n">
        <v>29</v>
      </c>
      <c r="AF2" s="26" t="n">
        <v>30</v>
      </c>
      <c r="AG2" s="26" t="n">
        <v>31</v>
      </c>
      <c r="AH2" s="26" t="n">
        <v>32</v>
      </c>
      <c r="AI2" s="26" t="n">
        <v>33</v>
      </c>
      <c r="AJ2" s="26" t="n">
        <v>34</v>
      </c>
      <c r="AK2" s="26" t="n">
        <v>35</v>
      </c>
      <c r="AL2" s="26" t="n">
        <v>36</v>
      </c>
      <c r="AM2" s="26" t="n">
        <v>37</v>
      </c>
      <c r="AN2" s="26" t="n">
        <v>38</v>
      </c>
      <c r="AO2" s="26" t="n">
        <v>39</v>
      </c>
      <c r="AP2" s="26" t="n">
        <v>40</v>
      </c>
      <c r="AQ2" s="26" t="n">
        <v>41</v>
      </c>
      <c r="AR2" s="26" t="n">
        <v>42</v>
      </c>
      <c r="AS2" s="26" t="n">
        <v>43</v>
      </c>
      <c r="AT2" s="26" t="n">
        <v>44</v>
      </c>
      <c r="AU2" s="26" t="n">
        <v>45</v>
      </c>
      <c r="AV2" s="26" t="n">
        <v>46</v>
      </c>
      <c r="AW2" s="26" t="n">
        <v>47</v>
      </c>
      <c r="AX2" s="26" t="n">
        <v>48</v>
      </c>
      <c r="AY2" s="26" t="n">
        <v>49</v>
      </c>
      <c r="AZ2" s="26" t="n">
        <v>50</v>
      </c>
      <c r="BA2" s="26" t="n">
        <v>51</v>
      </c>
      <c r="BB2" s="26" t="n">
        <v>52</v>
      </c>
      <c r="BC2" s="26" t="n">
        <v>53</v>
      </c>
      <c r="BD2" s="26" t="n">
        <v>54</v>
      </c>
      <c r="BE2" s="26" t="n">
        <v>55</v>
      </c>
      <c r="BF2" s="26" t="n">
        <v>56</v>
      </c>
      <c r="BG2" s="26" t="n">
        <v>57</v>
      </c>
      <c r="BH2" s="26" t="n">
        <v>58</v>
      </c>
      <c r="BI2" s="26" t="n">
        <v>59</v>
      </c>
      <c r="BJ2" s="26" t="n">
        <v>60</v>
      </c>
      <c r="BK2" s="26" t="n">
        <v>61</v>
      </c>
      <c r="BL2" s="26" t="n">
        <v>62</v>
      </c>
      <c r="BM2" s="26" t="n">
        <v>63</v>
      </c>
      <c r="BN2" s="26" t="n">
        <v>64</v>
      </c>
      <c r="BO2" s="26" t="n">
        <v>65</v>
      </c>
      <c r="BP2" s="26" t="n">
        <v>66</v>
      </c>
      <c r="BQ2" s="26" t="n">
        <v>67</v>
      </c>
      <c r="BR2" s="26" t="n">
        <v>68</v>
      </c>
      <c r="BS2" s="26" t="n">
        <v>69</v>
      </c>
      <c r="BT2" s="26" t="n">
        <v>70</v>
      </c>
      <c r="BU2" s="26" t="n">
        <v>71</v>
      </c>
      <c r="BV2" s="26" t="n">
        <v>72</v>
      </c>
      <c r="BW2" s="26" t="n">
        <v>73</v>
      </c>
      <c r="BX2" s="26" t="n">
        <v>74</v>
      </c>
      <c r="BY2" s="26" t="n">
        <v>75</v>
      </c>
      <c r="BZ2" s="26" t="n">
        <v>76</v>
      </c>
      <c r="CA2" s="26" t="n">
        <v>77</v>
      </c>
      <c r="CB2" s="26" t="n">
        <v>78</v>
      </c>
      <c r="CC2" s="26" t="n">
        <v>79</v>
      </c>
      <c r="CD2" s="26" t="n">
        <v>80</v>
      </c>
      <c r="CE2" s="26" t="n">
        <v>81</v>
      </c>
      <c r="CF2" s="26" t="n">
        <v>82</v>
      </c>
      <c r="CG2" s="26" t="n">
        <v>83</v>
      </c>
      <c r="CH2" s="26" t="n">
        <v>84</v>
      </c>
      <c r="CI2" s="26" t="n">
        <v>85</v>
      </c>
      <c r="CJ2" s="26" t="n">
        <v>86</v>
      </c>
      <c r="CK2" s="26" t="n">
        <v>87</v>
      </c>
      <c r="CL2" s="26" t="n">
        <v>88</v>
      </c>
      <c r="CM2" s="26" t="n">
        <v>89</v>
      </c>
      <c r="CN2" s="26" t="n">
        <v>90</v>
      </c>
      <c r="CO2" s="26" t="n">
        <v>91</v>
      </c>
      <c r="CP2" s="26" t="n">
        <v>92</v>
      </c>
      <c r="CQ2" s="26" t="n">
        <v>93</v>
      </c>
      <c r="CR2" s="26" t="n">
        <v>94</v>
      </c>
      <c r="CS2" s="26" t="n">
        <v>95</v>
      </c>
      <c r="CT2" s="26" t="n">
        <v>96</v>
      </c>
      <c r="CU2" s="26" t="n">
        <v>97</v>
      </c>
      <c r="CV2" s="26" t="n">
        <v>98</v>
      </c>
      <c r="CW2" s="26" t="n">
        <v>99</v>
      </c>
      <c r="CX2" s="26" t="n">
        <v>100</v>
      </c>
      <c r="CY2" s="26" t="n">
        <v>101</v>
      </c>
      <c r="CZ2" s="26" t="n">
        <v>102</v>
      </c>
      <c r="DA2" s="26" t="n">
        <v>103</v>
      </c>
      <c r="DB2" s="26" t="n">
        <v>104</v>
      </c>
      <c r="DC2" s="26" t="n">
        <v>105</v>
      </c>
      <c r="DD2" s="26" t="n">
        <v>106</v>
      </c>
      <c r="DE2" s="26" t="n">
        <v>107</v>
      </c>
      <c r="DF2" s="26" t="n">
        <v>108</v>
      </c>
      <c r="DG2" s="26" t="n">
        <v>109</v>
      </c>
      <c r="DH2" s="26" t="n">
        <v>110</v>
      </c>
      <c r="DI2" s="26" t="n">
        <v>111</v>
      </c>
      <c r="DJ2" s="26" t="n">
        <v>112</v>
      </c>
      <c r="DK2" s="26" t="n">
        <v>113</v>
      </c>
      <c r="DL2" s="26" t="n">
        <v>114</v>
      </c>
      <c r="DM2" s="26" t="n">
        <v>115</v>
      </c>
      <c r="DN2" s="26" t="n">
        <v>116</v>
      </c>
      <c r="DO2" s="26" t="n">
        <v>117</v>
      </c>
      <c r="DP2" s="26" t="n">
        <v>118</v>
      </c>
      <c r="DQ2" s="26" t="n">
        <v>119</v>
      </c>
      <c r="DR2" s="26" t="n">
        <v>120</v>
      </c>
      <c r="DS2" s="26" t="n">
        <v>121</v>
      </c>
      <c r="DT2" s="26" t="n">
        <v>122</v>
      </c>
      <c r="DU2" s="26" t="n">
        <v>123</v>
      </c>
      <c r="DV2" s="26" t="n">
        <v>124</v>
      </c>
      <c r="DW2" s="26" t="n">
        <v>125</v>
      </c>
      <c r="DX2" s="26" t="n">
        <v>126</v>
      </c>
      <c r="DY2" s="26" t="n">
        <v>127</v>
      </c>
      <c r="DZ2" s="26" t="n">
        <v>128</v>
      </c>
      <c r="EA2" s="26" t="n">
        <v>129</v>
      </c>
      <c r="EB2" s="26" t="n">
        <v>130</v>
      </c>
      <c r="EC2" s="26" t="n">
        <v>131</v>
      </c>
      <c r="ED2" s="26" t="n">
        <v>132</v>
      </c>
      <c r="EE2" s="26" t="n">
        <v>133</v>
      </c>
      <c r="EF2" s="26" t="n">
        <v>134</v>
      </c>
      <c r="EG2" s="26" t="n">
        <v>135</v>
      </c>
      <c r="EH2" s="26" t="n">
        <v>136</v>
      </c>
      <c r="EI2" s="26" t="n">
        <v>137</v>
      </c>
      <c r="EJ2" s="26" t="n">
        <v>138</v>
      </c>
      <c r="EK2" s="26" t="n">
        <v>139</v>
      </c>
      <c r="EL2" s="26" t="n">
        <v>140</v>
      </c>
      <c r="EM2" s="26" t="n">
        <v>141</v>
      </c>
      <c r="EN2" s="26" t="n">
        <v>142</v>
      </c>
      <c r="EO2" s="26" t="n">
        <v>143</v>
      </c>
      <c r="EP2" s="26" t="n">
        <v>144</v>
      </c>
      <c r="EQ2" s="26" t="n">
        <v>145</v>
      </c>
      <c r="ER2" s="26" t="n">
        <v>146</v>
      </c>
      <c r="ES2" s="26" t="n">
        <v>147</v>
      </c>
      <c r="ET2" s="26" t="n">
        <v>148</v>
      </c>
      <c r="EU2" s="26" t="n">
        <v>149</v>
      </c>
      <c r="EV2" s="26" t="n">
        <v>150</v>
      </c>
      <c r="EW2" s="26" t="n">
        <v>151</v>
      </c>
      <c r="EX2" s="26" t="n">
        <v>152</v>
      </c>
      <c r="EY2" s="26" t="n">
        <v>153</v>
      </c>
      <c r="EZ2" s="26" t="n">
        <v>154</v>
      </c>
      <c r="FA2" s="26" t="n">
        <v>155</v>
      </c>
      <c r="FB2" s="26" t="n">
        <v>156</v>
      </c>
      <c r="FC2" s="26" t="n">
        <v>157</v>
      </c>
      <c r="FD2" s="26" t="n">
        <v>158</v>
      </c>
      <c r="FE2" s="26" t="n">
        <v>159</v>
      </c>
      <c r="FF2" s="26" t="n">
        <v>160</v>
      </c>
      <c r="FG2" s="26" t="n">
        <v>161</v>
      </c>
      <c r="FH2" s="26" t="n">
        <v>162</v>
      </c>
      <c r="FI2" s="26" t="n">
        <v>163</v>
      </c>
      <c r="FJ2" s="26" t="n">
        <v>164</v>
      </c>
      <c r="FK2" s="26" t="n">
        <v>165</v>
      </c>
      <c r="FL2" s="26" t="n">
        <v>166</v>
      </c>
      <c r="FM2" s="26" t="n">
        <v>167</v>
      </c>
      <c r="FN2" s="26" t="n">
        <v>168</v>
      </c>
      <c r="FO2" s="26" t="n">
        <v>169</v>
      </c>
      <c r="FP2" s="26" t="n">
        <v>170</v>
      </c>
      <c r="FQ2" s="26" t="n">
        <v>171</v>
      </c>
      <c r="FR2" s="26" t="n">
        <v>172</v>
      </c>
      <c r="FS2" s="26" t="n">
        <v>173</v>
      </c>
      <c r="FT2" s="26" t="n">
        <v>174</v>
      </c>
      <c r="FU2" s="26" t="n">
        <v>175</v>
      </c>
      <c r="FV2" s="26" t="n">
        <v>176</v>
      </c>
      <c r="FW2" s="26" t="n">
        <v>177</v>
      </c>
      <c r="FX2" s="26" t="n">
        <v>178</v>
      </c>
      <c r="FY2" s="26" t="n">
        <v>179</v>
      </c>
      <c r="FZ2" s="26" t="n">
        <v>180</v>
      </c>
      <c r="GA2" s="26" t="n">
        <v>181</v>
      </c>
      <c r="GB2" s="26" t="n">
        <v>182</v>
      </c>
      <c r="GC2" s="26" t="n">
        <v>183</v>
      </c>
      <c r="GD2" s="26" t="n">
        <v>184</v>
      </c>
      <c r="GE2" s="26" t="n">
        <v>185</v>
      </c>
      <c r="GF2" s="26" t="n">
        <v>186</v>
      </c>
      <c r="GG2" s="26" t="n">
        <v>187</v>
      </c>
      <c r="GH2" s="26" t="n">
        <v>188</v>
      </c>
      <c r="GI2" s="26" t="n">
        <v>189</v>
      </c>
      <c r="GJ2" s="26" t="n">
        <v>190</v>
      </c>
      <c r="GK2" s="26" t="n">
        <v>191</v>
      </c>
      <c r="GL2" s="26" t="n">
        <v>192</v>
      </c>
      <c r="GM2" s="26" t="n">
        <v>193</v>
      </c>
      <c r="GN2" s="26" t="n">
        <v>194</v>
      </c>
      <c r="GO2" s="26" t="n">
        <v>195</v>
      </c>
      <c r="GP2" s="26" t="n">
        <v>196</v>
      </c>
      <c r="GQ2" s="26" t="n">
        <v>197</v>
      </c>
      <c r="GR2" s="26" t="n">
        <v>198</v>
      </c>
      <c r="GS2" s="26" t="n">
        <v>199</v>
      </c>
      <c r="GT2" s="26" t="n">
        <v>200</v>
      </c>
      <c r="GU2" s="26" t="n">
        <v>201</v>
      </c>
      <c r="GV2" s="26" t="n">
        <v>202</v>
      </c>
      <c r="GW2" s="26" t="n">
        <v>203</v>
      </c>
      <c r="GX2" s="26" t="n">
        <v>204</v>
      </c>
      <c r="GY2" s="26" t="n">
        <v>205</v>
      </c>
      <c r="GZ2" s="26" t="n">
        <v>206</v>
      </c>
      <c r="HA2" s="26" t="n">
        <v>207</v>
      </c>
      <c r="HB2" s="26" t="n">
        <v>208</v>
      </c>
      <c r="HC2" s="26" t="n">
        <v>209</v>
      </c>
      <c r="HD2" s="26" t="n">
        <v>210</v>
      </c>
      <c r="HE2" s="26" t="n">
        <v>211</v>
      </c>
      <c r="HF2" s="26" t="n">
        <v>212</v>
      </c>
      <c r="HG2" s="26" t="n">
        <v>213</v>
      </c>
      <c r="HH2" s="26" t="n">
        <v>214</v>
      </c>
      <c r="HI2" s="26" t="n">
        <v>215</v>
      </c>
      <c r="HJ2" s="26" t="n">
        <v>216</v>
      </c>
      <c r="HK2" s="26" t="n">
        <v>217</v>
      </c>
      <c r="HL2" s="26" t="n">
        <v>218</v>
      </c>
      <c r="HM2" s="26" t="n">
        <v>219</v>
      </c>
      <c r="HN2" s="26" t="n">
        <v>220</v>
      </c>
      <c r="HO2" s="26" t="n">
        <v>221</v>
      </c>
      <c r="HP2" s="26" t="n">
        <v>222</v>
      </c>
      <c r="HQ2" s="26" t="n">
        <v>223</v>
      </c>
      <c r="HR2" s="26" t="n">
        <v>224</v>
      </c>
      <c r="HS2" s="26" t="n">
        <v>225</v>
      </c>
      <c r="HT2" s="26" t="n">
        <v>226</v>
      </c>
      <c r="HU2" s="26" t="n">
        <v>227</v>
      </c>
      <c r="HV2" s="26" t="n">
        <v>228</v>
      </c>
      <c r="HW2" s="26" t="n">
        <v>229</v>
      </c>
      <c r="HX2" s="26" t="n">
        <v>230</v>
      </c>
      <c r="HY2" s="26" t="n">
        <v>231</v>
      </c>
      <c r="HZ2" s="26" t="n">
        <v>232</v>
      </c>
      <c r="IA2" s="26" t="n">
        <v>233</v>
      </c>
      <c r="IB2" s="26" t="n">
        <v>234</v>
      </c>
      <c r="IC2" s="26" t="n">
        <v>235</v>
      </c>
      <c r="ID2" s="26" t="n">
        <v>236</v>
      </c>
      <c r="IE2" s="26" t="n">
        <v>237</v>
      </c>
      <c r="IF2" s="26" t="n">
        <v>238</v>
      </c>
      <c r="IG2" s="26" t="n">
        <v>239</v>
      </c>
      <c r="IH2" s="26" t="n">
        <v>240</v>
      </c>
      <c r="II2" s="26" t="n">
        <v>241</v>
      </c>
      <c r="IJ2" s="26" t="n">
        <v>242</v>
      </c>
      <c r="IK2" s="26" t="n">
        <v>243</v>
      </c>
      <c r="IL2" s="26" t="n">
        <v>244</v>
      </c>
      <c r="IM2" s="26" t="n">
        <v>245</v>
      </c>
      <c r="IN2" s="26" t="n">
        <v>246</v>
      </c>
      <c r="IO2" s="26" t="n">
        <v>247</v>
      </c>
      <c r="IP2" s="26" t="n">
        <v>248</v>
      </c>
      <c r="IQ2" s="26" t="n">
        <v>249</v>
      </c>
      <c r="IR2" s="26" t="n">
        <v>250</v>
      </c>
      <c r="IS2" s="26" t="n">
        <v>251</v>
      </c>
      <c r="IT2" s="26" t="n">
        <v>252</v>
      </c>
      <c r="IU2" s="26" t="n">
        <v>253</v>
      </c>
      <c r="IV2" s="26" t="n">
        <v>254</v>
      </c>
      <c r="IW2" s="26" t="n">
        <v>255</v>
      </c>
      <c r="IX2" s="26" t="n">
        <v>256</v>
      </c>
      <c r="IY2" s="26" t="n">
        <v>257</v>
      </c>
      <c r="IZ2" s="26" t="n">
        <v>258</v>
      </c>
      <c r="JA2" s="26" t="n">
        <v>259</v>
      </c>
      <c r="JB2" s="26" t="n">
        <v>260</v>
      </c>
      <c r="JC2" s="26" t="n">
        <v>261</v>
      </c>
      <c r="JD2" s="26" t="n">
        <v>262</v>
      </c>
      <c r="JE2" s="26" t="n">
        <v>263</v>
      </c>
      <c r="JF2" s="26" t="n">
        <v>264</v>
      </c>
      <c r="JG2" s="26" t="n">
        <v>265</v>
      </c>
      <c r="JH2" s="26" t="n">
        <v>266</v>
      </c>
      <c r="JI2" s="26" t="n">
        <v>267</v>
      </c>
      <c r="JJ2" s="26" t="n">
        <v>268</v>
      </c>
      <c r="JK2" s="26" t="n">
        <v>269</v>
      </c>
      <c r="JL2" s="26" t="n">
        <v>270</v>
      </c>
      <c r="JM2" s="26" t="n">
        <v>271</v>
      </c>
      <c r="JN2" s="26" t="n">
        <v>272</v>
      </c>
      <c r="JO2" s="26" t="n">
        <v>273</v>
      </c>
      <c r="JP2" s="26" t="n">
        <v>274</v>
      </c>
      <c r="JQ2" s="26" t="n">
        <v>275</v>
      </c>
      <c r="JR2" s="26" t="n">
        <v>276</v>
      </c>
      <c r="JS2" s="26" t="n">
        <v>277</v>
      </c>
      <c r="JT2" s="26" t="n">
        <v>278</v>
      </c>
      <c r="JU2" s="26" t="n">
        <v>279</v>
      </c>
      <c r="JV2" s="26" t="n">
        <v>280</v>
      </c>
      <c r="JW2" s="26" t="n">
        <v>281</v>
      </c>
      <c r="JX2" s="26" t="n">
        <v>282</v>
      </c>
      <c r="JY2" s="26" t="n">
        <v>283</v>
      </c>
      <c r="JZ2" s="26" t="n">
        <v>284</v>
      </c>
      <c r="KA2" s="26" t="n">
        <v>285</v>
      </c>
      <c r="KB2" s="26" t="n">
        <v>286</v>
      </c>
      <c r="KC2" s="26" t="n">
        <v>287</v>
      </c>
      <c r="KD2" s="26" t="n">
        <v>288</v>
      </c>
      <c r="KE2" s="26" t="n">
        <v>289</v>
      </c>
      <c r="KF2" s="26" t="n">
        <v>290</v>
      </c>
      <c r="KG2" s="26" t="n">
        <v>291</v>
      </c>
      <c r="KH2" s="26" t="n">
        <v>292</v>
      </c>
      <c r="KI2" s="26" t="n">
        <v>293</v>
      </c>
      <c r="KJ2" s="26" t="n">
        <v>294</v>
      </c>
      <c r="KK2" s="26" t="n">
        <v>295</v>
      </c>
      <c r="KL2" s="26" t="n">
        <v>296</v>
      </c>
      <c r="KM2" s="26" t="n">
        <v>297</v>
      </c>
      <c r="KN2" s="26" t="n">
        <v>298</v>
      </c>
      <c r="KO2" s="26" t="n">
        <v>299</v>
      </c>
      <c r="KP2" s="26" t="n">
        <v>300</v>
      </c>
      <c r="KQ2" s="26" t="n">
        <v>301</v>
      </c>
      <c r="KR2" s="26" t="n">
        <v>302</v>
      </c>
      <c r="KS2" s="26" t="n">
        <v>303</v>
      </c>
      <c r="KT2" s="26" t="n">
        <v>304</v>
      </c>
      <c r="KU2" s="26" t="n">
        <v>305</v>
      </c>
      <c r="KV2" s="26" t="n">
        <v>306</v>
      </c>
      <c r="KW2" s="26" t="n">
        <v>307</v>
      </c>
      <c r="KX2" s="26" t="n">
        <v>308</v>
      </c>
      <c r="KY2" s="26" t="n">
        <v>309</v>
      </c>
      <c r="KZ2" s="26" t="n">
        <v>310</v>
      </c>
      <c r="LA2" s="26" t="n">
        <v>311</v>
      </c>
      <c r="LB2" s="26" t="n">
        <v>312</v>
      </c>
      <c r="LC2" s="26" t="n">
        <v>313</v>
      </c>
      <c r="LD2" s="26" t="n">
        <v>314</v>
      </c>
      <c r="LE2" s="26" t="n">
        <v>315</v>
      </c>
      <c r="LF2" s="26" t="n">
        <v>316</v>
      </c>
      <c r="LG2" s="26" t="n">
        <v>317</v>
      </c>
      <c r="LH2" s="26" t="n">
        <v>318</v>
      </c>
      <c r="LI2" s="26" t="n">
        <v>319</v>
      </c>
      <c r="LJ2" s="26" t="n">
        <v>320</v>
      </c>
      <c r="LK2" s="26" t="n">
        <v>321</v>
      </c>
      <c r="LL2" s="26" t="n">
        <v>322</v>
      </c>
      <c r="LM2" s="26" t="n">
        <v>323</v>
      </c>
      <c r="LN2" s="26" t="n">
        <v>324</v>
      </c>
      <c r="LO2" s="26" t="n">
        <v>325</v>
      </c>
      <c r="LP2" s="26" t="n">
        <v>326</v>
      </c>
      <c r="LQ2" s="26" t="n">
        <v>327</v>
      </c>
      <c r="LR2" s="26" t="n">
        <v>328</v>
      </c>
      <c r="LS2" s="26" t="n">
        <v>329</v>
      </c>
      <c r="LT2" s="26" t="n">
        <v>330</v>
      </c>
      <c r="LU2" s="26" t="n">
        <v>331</v>
      </c>
      <c r="LV2" s="26" t="n">
        <v>332</v>
      </c>
      <c r="LW2" s="26" t="n">
        <v>333</v>
      </c>
      <c r="LX2" s="26" t="n">
        <v>334</v>
      </c>
      <c r="LY2" s="26" t="n">
        <v>335</v>
      </c>
      <c r="LZ2" s="26" t="n">
        <v>336</v>
      </c>
      <c r="MA2" s="26" t="n">
        <v>337</v>
      </c>
      <c r="MB2" s="26" t="n">
        <v>338</v>
      </c>
      <c r="MC2" s="26" t="n">
        <v>339</v>
      </c>
      <c r="MD2" s="26" t="n">
        <v>340</v>
      </c>
      <c r="ME2" s="26" t="n">
        <v>341</v>
      </c>
      <c r="MF2" s="26" t="n">
        <v>342</v>
      </c>
      <c r="MG2" s="26" t="n">
        <v>343</v>
      </c>
      <c r="MH2" s="26" t="n">
        <v>344</v>
      </c>
      <c r="MI2" s="26" t="n">
        <v>345</v>
      </c>
      <c r="MJ2" s="26" t="n">
        <v>346</v>
      </c>
      <c r="MK2" s="26" t="n">
        <v>347</v>
      </c>
      <c r="ML2" s="26" t="n">
        <v>348</v>
      </c>
      <c r="MM2" s="26" t="n">
        <v>349</v>
      </c>
      <c r="MN2" s="26" t="n">
        <v>350</v>
      </c>
      <c r="MO2" s="26" t="n">
        <v>351</v>
      </c>
      <c r="MP2" s="26" t="n">
        <v>352</v>
      </c>
      <c r="MQ2" s="26" t="n">
        <v>353</v>
      </c>
      <c r="MR2" s="26" t="n">
        <v>354</v>
      </c>
      <c r="MS2" s="26" t="n">
        <v>355</v>
      </c>
      <c r="MT2" s="26" t="n">
        <v>356</v>
      </c>
      <c r="MU2" s="26" t="n">
        <v>357</v>
      </c>
      <c r="MV2" s="26" t="n">
        <v>358</v>
      </c>
      <c r="MW2" s="26" t="n">
        <v>359</v>
      </c>
      <c r="MX2" s="26" t="n">
        <v>360</v>
      </c>
      <c r="MY2" s="26" t="n">
        <v>361</v>
      </c>
      <c r="MZ2" s="26" t="n">
        <v>362</v>
      </c>
      <c r="NA2" s="26" t="n">
        <v>363</v>
      </c>
      <c r="NB2" s="26" t="n">
        <v>364</v>
      </c>
      <c r="NC2" s="26" t="n">
        <v>365</v>
      </c>
      <c r="ND2" s="26" t="n">
        <v>366</v>
      </c>
      <c r="NE2" s="26" t="n">
        <v>367</v>
      </c>
      <c r="NF2" s="26" t="n">
        <v>368</v>
      </c>
      <c r="NG2" s="26" t="n">
        <v>369</v>
      </c>
      <c r="NH2" s="26" t="n">
        <v>370</v>
      </c>
      <c r="NI2" s="26" t="n">
        <v>371</v>
      </c>
      <c r="NJ2" s="26" t="n">
        <v>372</v>
      </c>
      <c r="NK2" s="26" t="n">
        <v>373</v>
      </c>
      <c r="NL2" s="26" t="n">
        <v>374</v>
      </c>
      <c r="NM2" s="26" t="n">
        <v>375</v>
      </c>
      <c r="NN2" s="26" t="n">
        <v>376</v>
      </c>
      <c r="NO2" s="26" t="n">
        <v>377</v>
      </c>
      <c r="NP2" s="26" t="n">
        <v>378</v>
      </c>
      <c r="NQ2" s="26" t="n">
        <v>379</v>
      </c>
      <c r="NR2" s="26" t="n">
        <v>380</v>
      </c>
      <c r="NS2" s="26" t="n">
        <v>381</v>
      </c>
      <c r="NT2" s="26" t="n">
        <v>382</v>
      </c>
      <c r="NU2" s="26" t="n">
        <v>383</v>
      </c>
      <c r="NV2" s="26" t="n">
        <v>384</v>
      </c>
      <c r="NW2" s="26" t="n">
        <v>385</v>
      </c>
      <c r="NX2" s="26" t="n">
        <v>386</v>
      </c>
      <c r="NY2" s="26" t="n">
        <v>387</v>
      </c>
      <c r="NZ2" s="26" t="n">
        <v>388</v>
      </c>
      <c r="OA2" s="26" t="n">
        <v>389</v>
      </c>
      <c r="OB2" s="26" t="n">
        <v>390</v>
      </c>
      <c r="OC2" s="26" t="n">
        <v>391</v>
      </c>
      <c r="OD2" s="26" t="n">
        <v>392</v>
      </c>
      <c r="OE2" s="26" t="n">
        <v>393</v>
      </c>
      <c r="OF2" s="26" t="n">
        <v>394</v>
      </c>
      <c r="OG2" s="26" t="n">
        <v>395</v>
      </c>
      <c r="OH2" s="26" t="n">
        <v>396</v>
      </c>
      <c r="OI2" s="26" t="n">
        <v>397</v>
      </c>
      <c r="OJ2" s="26" t="n">
        <v>398</v>
      </c>
      <c r="OK2" s="26" t="n">
        <v>399</v>
      </c>
      <c r="OL2" s="26" t="n">
        <v>400</v>
      </c>
      <c r="OM2" s="26" t="n">
        <v>401</v>
      </c>
      <c r="ON2" s="26" t="n">
        <v>402</v>
      </c>
      <c r="OO2" s="26" t="n">
        <v>403</v>
      </c>
      <c r="OP2" s="26" t="n">
        <v>404</v>
      </c>
      <c r="OQ2" s="26" t="n">
        <v>405</v>
      </c>
      <c r="OR2" s="26" t="n">
        <v>406</v>
      </c>
      <c r="OS2" s="26" t="n">
        <v>407</v>
      </c>
      <c r="OT2" s="26" t="n">
        <v>408</v>
      </c>
      <c r="OU2" s="26" t="n">
        <v>409</v>
      </c>
      <c r="OV2" s="26" t="n">
        <v>410</v>
      </c>
      <c r="OW2" s="26" t="n">
        <v>411</v>
      </c>
      <c r="OX2" s="26" t="n">
        <v>412</v>
      </c>
      <c r="OY2" s="26" t="n">
        <v>413</v>
      </c>
      <c r="OZ2" s="26" t="n">
        <v>414</v>
      </c>
      <c r="PA2" s="26" t="n">
        <v>415</v>
      </c>
      <c r="PB2" s="26" t="n">
        <v>416</v>
      </c>
      <c r="PC2" s="26" t="n">
        <v>417</v>
      </c>
      <c r="PD2" s="26" t="n">
        <v>418</v>
      </c>
      <c r="PE2" s="26" t="n">
        <v>419</v>
      </c>
      <c r="PF2" s="26" t="n">
        <v>420</v>
      </c>
      <c r="PG2" s="26" t="n">
        <v>421</v>
      </c>
      <c r="PH2" s="26" t="n">
        <v>422</v>
      </c>
      <c r="PI2" s="26" t="n">
        <v>423</v>
      </c>
      <c r="PJ2" s="26" t="n">
        <v>424</v>
      </c>
      <c r="PK2" s="26" t="n">
        <v>425</v>
      </c>
      <c r="PL2" s="26" t="n">
        <v>426</v>
      </c>
      <c r="PM2" s="26" t="n">
        <v>427</v>
      </c>
      <c r="PN2" s="26" t="n">
        <v>428</v>
      </c>
      <c r="PO2" s="26" t="n">
        <v>429</v>
      </c>
      <c r="PP2" s="26" t="n">
        <v>430</v>
      </c>
      <c r="PQ2" s="26" t="n">
        <v>431</v>
      </c>
      <c r="PR2" s="26" t="n">
        <v>432</v>
      </c>
      <c r="PS2" s="26" t="n">
        <v>433</v>
      </c>
      <c r="PT2" s="26" t="n">
        <v>434</v>
      </c>
      <c r="PU2" s="26" t="n">
        <v>435</v>
      </c>
      <c r="PV2" s="26" t="n">
        <v>436</v>
      </c>
      <c r="PW2" s="26" t="n">
        <v>437</v>
      </c>
      <c r="PX2" s="26" t="n">
        <v>438</v>
      </c>
      <c r="PY2" s="26" t="n">
        <v>439</v>
      </c>
      <c r="PZ2" s="26" t="n">
        <v>440</v>
      </c>
      <c r="QA2" s="26" t="n">
        <v>441</v>
      </c>
      <c r="QB2" s="26" t="n">
        <v>442</v>
      </c>
      <c r="QC2" s="26" t="n">
        <v>443</v>
      </c>
      <c r="QD2" s="26" t="n">
        <v>444</v>
      </c>
      <c r="QE2" s="26" t="n">
        <v>445</v>
      </c>
      <c r="QF2" s="26" t="n">
        <v>446</v>
      </c>
      <c r="QG2" s="26" t="n">
        <v>447</v>
      </c>
      <c r="QH2" s="26" t="n">
        <v>448</v>
      </c>
      <c r="QI2" s="26" t="n">
        <v>449</v>
      </c>
      <c r="QJ2" s="26" t="n">
        <v>450</v>
      </c>
      <c r="QK2" s="26" t="n">
        <v>451</v>
      </c>
      <c r="QL2" s="26" t="n">
        <v>452</v>
      </c>
      <c r="QM2" s="26" t="n">
        <v>453</v>
      </c>
      <c r="QN2" s="26" t="n">
        <v>454</v>
      </c>
      <c r="QO2" s="26" t="n">
        <v>455</v>
      </c>
      <c r="QP2" s="26" t="n">
        <v>456</v>
      </c>
      <c r="QQ2" s="26" t="n">
        <v>457</v>
      </c>
      <c r="QR2" s="26" t="n">
        <v>458</v>
      </c>
      <c r="QS2" s="26" t="n">
        <v>459</v>
      </c>
      <c r="QT2" s="26" t="n">
        <v>460</v>
      </c>
      <c r="QU2" s="26" t="n">
        <v>461</v>
      </c>
      <c r="QV2" s="26" t="n">
        <v>462</v>
      </c>
      <c r="QW2" s="26" t="n">
        <v>463</v>
      </c>
      <c r="QX2" s="26" t="n">
        <v>464</v>
      </c>
      <c r="QY2" s="26" t="n">
        <v>465</v>
      </c>
      <c r="QZ2" s="26" t="n">
        <v>466</v>
      </c>
      <c r="RA2" s="26" t="n">
        <v>467</v>
      </c>
      <c r="RB2" s="26" t="n">
        <v>468</v>
      </c>
      <c r="RC2" s="26" t="n">
        <v>469</v>
      </c>
      <c r="RD2" s="26" t="n">
        <v>470</v>
      </c>
      <c r="RE2" s="26" t="n">
        <v>471</v>
      </c>
      <c r="RF2" s="26" t="n">
        <v>472</v>
      </c>
      <c r="RG2" s="26" t="n">
        <v>473</v>
      </c>
      <c r="RH2" s="26" t="n">
        <v>474</v>
      </c>
      <c r="RI2" s="26" t="n">
        <v>475</v>
      </c>
      <c r="RJ2" s="26" t="n">
        <v>476</v>
      </c>
      <c r="RK2" s="26" t="n">
        <v>477</v>
      </c>
      <c r="RL2" s="26" t="n">
        <v>478</v>
      </c>
      <c r="RM2" s="26" t="n">
        <v>479</v>
      </c>
      <c r="RN2" s="26" t="n">
        <v>480</v>
      </c>
      <c r="RO2" s="26" t="n">
        <v>481</v>
      </c>
      <c r="RP2" s="26" t="n">
        <v>482</v>
      </c>
      <c r="RQ2" s="26" t="n">
        <v>483</v>
      </c>
      <c r="RR2" s="26" t="n">
        <v>484</v>
      </c>
      <c r="RS2" s="26" t="n">
        <v>485</v>
      </c>
      <c r="RT2" s="26" t="n">
        <v>486</v>
      </c>
      <c r="RU2" s="26" t="n">
        <v>487</v>
      </c>
      <c r="RV2" s="26" t="n">
        <v>488</v>
      </c>
      <c r="RW2" s="26" t="n">
        <v>489</v>
      </c>
      <c r="RX2" s="26" t="n">
        <v>490</v>
      </c>
      <c r="RY2" s="26" t="n">
        <v>491</v>
      </c>
      <c r="RZ2" s="26" t="n">
        <v>492</v>
      </c>
      <c r="SA2" s="26" t="n">
        <v>493</v>
      </c>
      <c r="SB2" s="26" t="n">
        <v>494</v>
      </c>
      <c r="SC2" s="26" t="n">
        <v>495</v>
      </c>
      <c r="SD2" s="26" t="n">
        <v>496</v>
      </c>
      <c r="SE2" s="26" t="n">
        <v>497</v>
      </c>
      <c r="SF2" s="26" t="n">
        <v>498</v>
      </c>
      <c r="SG2" s="26" t="n">
        <v>499</v>
      </c>
      <c r="SH2" s="26" t="n">
        <v>500</v>
      </c>
      <c r="SI2" s="26" t="n">
        <v>501</v>
      </c>
      <c r="SJ2" s="26" t="n">
        <v>502</v>
      </c>
      <c r="SK2" s="26" t="n">
        <v>503</v>
      </c>
      <c r="SL2" s="26" t="n">
        <v>504</v>
      </c>
      <c r="SM2" s="26" t="n">
        <v>505</v>
      </c>
      <c r="SN2" s="26" t="n">
        <v>506</v>
      </c>
      <c r="SO2" s="26" t="n">
        <v>507</v>
      </c>
      <c r="SP2" s="26" t="n">
        <v>508</v>
      </c>
      <c r="SQ2" s="26" t="n">
        <v>509</v>
      </c>
      <c r="SR2" s="26" t="n">
        <v>510</v>
      </c>
      <c r="SS2" s="26" t="n">
        <v>511</v>
      </c>
      <c r="ST2" s="26" t="n">
        <v>512</v>
      </c>
      <c r="SU2" s="26" t="n">
        <v>513</v>
      </c>
      <c r="SV2" s="26" t="n">
        <v>514</v>
      </c>
      <c r="SW2" s="26" t="n">
        <v>515</v>
      </c>
      <c r="SX2" s="26" t="n">
        <v>516</v>
      </c>
      <c r="SY2" s="26" t="n">
        <v>517</v>
      </c>
      <c r="SZ2" s="26" t="n">
        <v>518</v>
      </c>
      <c r="TA2" s="26" t="n">
        <v>519</v>
      </c>
      <c r="TB2" s="26" t="n">
        <v>520</v>
      </c>
      <c r="TC2" s="26" t="n">
        <v>521</v>
      </c>
      <c r="TD2" s="26" t="n">
        <v>522</v>
      </c>
      <c r="TE2" s="26" t="n">
        <v>523</v>
      </c>
      <c r="TF2" s="26" t="n">
        <v>524</v>
      </c>
      <c r="TG2" s="26" t="n">
        <v>525</v>
      </c>
      <c r="TH2" s="26" t="n">
        <v>526</v>
      </c>
      <c r="TI2" s="26" t="n">
        <v>527</v>
      </c>
      <c r="TJ2" s="26" t="n">
        <v>528</v>
      </c>
      <c r="TK2" s="26" t="n">
        <v>529</v>
      </c>
      <c r="TL2" s="26" t="n">
        <v>530</v>
      </c>
      <c r="TM2" s="26" t="n">
        <v>531</v>
      </c>
      <c r="TN2" s="26" t="n">
        <v>532</v>
      </c>
      <c r="TO2" s="26" t="n">
        <v>533</v>
      </c>
      <c r="TP2" s="26" t="n">
        <v>534</v>
      </c>
      <c r="TQ2" s="26" t="n">
        <v>535</v>
      </c>
      <c r="TR2" s="26" t="n">
        <v>536</v>
      </c>
      <c r="TS2" s="26" t="n">
        <v>537</v>
      </c>
      <c r="TT2" s="26" t="n">
        <v>538</v>
      </c>
      <c r="TU2" s="26" t="n">
        <v>539</v>
      </c>
      <c r="TV2" s="26" t="n">
        <v>540</v>
      </c>
      <c r="TW2" s="26" t="n">
        <v>541</v>
      </c>
      <c r="TX2" s="26" t="n">
        <v>542</v>
      </c>
      <c r="TY2" s="26" t="n">
        <v>543</v>
      </c>
      <c r="TZ2" s="26" t="n">
        <v>544</v>
      </c>
      <c r="UA2" s="26" t="n">
        <v>545</v>
      </c>
      <c r="UB2" s="26" t="n">
        <v>546</v>
      </c>
      <c r="UC2" s="26" t="n">
        <v>547</v>
      </c>
      <c r="UD2" s="26" t="n">
        <v>548</v>
      </c>
      <c r="UE2" s="26" t="n">
        <v>549</v>
      </c>
      <c r="UF2" s="26" t="n">
        <v>550</v>
      </c>
      <c r="UG2" s="26" t="n">
        <v>551</v>
      </c>
      <c r="UH2" s="26" t="n">
        <v>552</v>
      </c>
      <c r="UI2" s="26" t="n">
        <v>553</v>
      </c>
      <c r="UJ2" s="26" t="n">
        <v>554</v>
      </c>
      <c r="UK2" s="26" t="n">
        <v>555</v>
      </c>
      <c r="UL2" s="26" t="n">
        <v>556</v>
      </c>
      <c r="UM2" s="26" t="n">
        <v>557</v>
      </c>
      <c r="UN2" s="26" t="n">
        <v>558</v>
      </c>
      <c r="UO2" s="26" t="n">
        <v>559</v>
      </c>
      <c r="UP2" s="26" t="n">
        <v>560</v>
      </c>
      <c r="UQ2" s="26" t="n">
        <v>561</v>
      </c>
      <c r="UR2" s="26" t="n">
        <v>562</v>
      </c>
      <c r="US2" s="26" t="n">
        <v>563</v>
      </c>
      <c r="UT2" s="26" t="n">
        <v>564</v>
      </c>
      <c r="UU2" s="26" t="n">
        <v>565</v>
      </c>
      <c r="UV2" s="26" t="n">
        <v>566</v>
      </c>
      <c r="UW2" s="26" t="n">
        <v>567</v>
      </c>
      <c r="UX2" s="26" t="n">
        <v>568</v>
      </c>
      <c r="UY2" s="26" t="n">
        <v>569</v>
      </c>
      <c r="UZ2" s="26" t="n">
        <v>570</v>
      </c>
      <c r="VA2" s="26" t="n">
        <v>571</v>
      </c>
      <c r="VB2" s="26" t="n">
        <v>572</v>
      </c>
      <c r="VC2" s="26" t="n">
        <v>573</v>
      </c>
      <c r="VD2" s="26" t="n">
        <v>574</v>
      </c>
      <c r="VE2" s="26" t="n">
        <v>575</v>
      </c>
      <c r="VF2" s="26" t="n">
        <v>576</v>
      </c>
      <c r="VG2" s="26" t="n">
        <v>577</v>
      </c>
      <c r="VH2" s="26" t="n">
        <v>578</v>
      </c>
      <c r="VI2" s="26" t="n">
        <v>579</v>
      </c>
      <c r="VJ2" s="26" t="n">
        <v>580</v>
      </c>
      <c r="VK2" s="26" t="n">
        <v>581</v>
      </c>
      <c r="VL2" s="26" t="n">
        <v>582</v>
      </c>
      <c r="VM2" s="26" t="n">
        <v>583</v>
      </c>
      <c r="VN2" s="26" t="n">
        <v>584</v>
      </c>
      <c r="VO2" s="26" t="n">
        <v>585</v>
      </c>
      <c r="VP2" s="26" t="n">
        <v>586</v>
      </c>
      <c r="VQ2" s="26" t="n">
        <v>587</v>
      </c>
      <c r="VR2" s="26" t="n">
        <v>588</v>
      </c>
      <c r="VS2" s="26" t="n">
        <v>589</v>
      </c>
      <c r="VT2" s="26" t="n">
        <v>590</v>
      </c>
      <c r="VU2" s="26" t="n">
        <v>591</v>
      </c>
      <c r="VV2" s="26" t="n">
        <v>592</v>
      </c>
      <c r="VW2" s="26" t="n">
        <v>593</v>
      </c>
      <c r="VX2" s="26" t="n">
        <v>594</v>
      </c>
      <c r="VY2" s="26" t="n">
        <v>595</v>
      </c>
      <c r="VZ2" s="26" t="n">
        <v>596</v>
      </c>
      <c r="WA2" s="26" t="n">
        <v>597</v>
      </c>
      <c r="WB2" s="26" t="n">
        <v>598</v>
      </c>
      <c r="WC2" s="26" t="n">
        <v>599</v>
      </c>
      <c r="WD2" s="26" t="n">
        <v>600</v>
      </c>
      <c r="WE2" s="26" t="n">
        <v>601</v>
      </c>
      <c r="WF2" s="26" t="n">
        <v>602</v>
      </c>
      <c r="WG2" s="26" t="n">
        <v>603</v>
      </c>
      <c r="WH2" s="26" t="n">
        <v>604</v>
      </c>
      <c r="WI2" s="26" t="n">
        <v>605</v>
      </c>
      <c r="WJ2" s="26" t="n">
        <v>606</v>
      </c>
      <c r="WK2" s="26" t="n">
        <v>607</v>
      </c>
      <c r="WL2" s="26" t="n">
        <v>608</v>
      </c>
      <c r="WM2" s="26" t="n">
        <v>609</v>
      </c>
      <c r="WN2" s="26" t="n">
        <v>610</v>
      </c>
      <c r="WO2" s="26" t="n">
        <v>611</v>
      </c>
      <c r="WP2" s="26" t="n">
        <v>612</v>
      </c>
      <c r="WQ2" s="26" t="n">
        <v>613</v>
      </c>
      <c r="WR2" s="26" t="n">
        <v>614</v>
      </c>
      <c r="WS2" s="26" t="n">
        <v>615</v>
      </c>
      <c r="WT2" s="26" t="n">
        <v>616</v>
      </c>
      <c r="WU2" s="26" t="n">
        <v>617</v>
      </c>
      <c r="WV2" s="26" t="n">
        <v>618</v>
      </c>
      <c r="WW2" s="26" t="n">
        <v>619</v>
      </c>
      <c r="WX2" s="26" t="n">
        <v>620</v>
      </c>
      <c r="WY2" s="26" t="n">
        <v>621</v>
      </c>
      <c r="WZ2" s="26" t="n">
        <v>622</v>
      </c>
      <c r="XA2" s="26" t="n">
        <v>623</v>
      </c>
      <c r="XB2" s="26" t="n">
        <v>624</v>
      </c>
      <c r="XC2" s="26" t="n">
        <v>625</v>
      </c>
      <c r="XD2" s="26" t="n">
        <v>626</v>
      </c>
      <c r="XE2" s="26" t="n">
        <v>627</v>
      </c>
      <c r="XF2" s="26" t="n">
        <v>628</v>
      </c>
      <c r="XG2" s="26" t="n">
        <v>629</v>
      </c>
      <c r="XH2" s="26" t="n">
        <v>630</v>
      </c>
      <c r="XI2" s="26" t="n">
        <v>631</v>
      </c>
      <c r="XJ2" s="26" t="n">
        <v>632</v>
      </c>
      <c r="XK2" s="26" t="n">
        <v>633</v>
      </c>
      <c r="XL2" s="26" t="n">
        <v>634</v>
      </c>
      <c r="XM2" s="26" t="n">
        <v>635</v>
      </c>
      <c r="XN2" s="26" t="n">
        <v>636</v>
      </c>
      <c r="XO2" s="26" t="n">
        <v>637</v>
      </c>
      <c r="XP2" s="26" t="n">
        <v>638</v>
      </c>
      <c r="XQ2" s="26" t="n">
        <v>639</v>
      </c>
      <c r="XR2" s="26" t="n">
        <v>640</v>
      </c>
      <c r="XS2" s="26" t="n">
        <v>641</v>
      </c>
      <c r="XT2" s="26" t="n">
        <v>642</v>
      </c>
      <c r="XU2" s="26" t="n">
        <v>643</v>
      </c>
      <c r="XV2" s="26" t="n">
        <v>644</v>
      </c>
      <c r="XW2" s="26" t="n">
        <v>645</v>
      </c>
      <c r="XX2" s="26" t="n">
        <v>646</v>
      </c>
      <c r="XY2" s="26" t="n">
        <v>647</v>
      </c>
      <c r="XZ2" s="26" t="n">
        <v>648</v>
      </c>
      <c r="YA2" s="26" t="n">
        <v>649</v>
      </c>
      <c r="YB2" s="26" t="n">
        <v>650</v>
      </c>
      <c r="YC2" s="26" t="n">
        <v>651</v>
      </c>
      <c r="YD2" s="26" t="n">
        <v>652</v>
      </c>
      <c r="YE2" s="26" t="n">
        <v>653</v>
      </c>
      <c r="YF2" s="26" t="n">
        <v>654</v>
      </c>
      <c r="YG2" s="26" t="n">
        <v>655</v>
      </c>
      <c r="YH2" s="26" t="n">
        <v>656</v>
      </c>
      <c r="YI2" s="26" t="n">
        <v>657</v>
      </c>
      <c r="YJ2" s="26" t="n">
        <v>658</v>
      </c>
      <c r="YK2" s="26" t="n">
        <v>659</v>
      </c>
      <c r="YL2" s="26" t="n">
        <v>660</v>
      </c>
      <c r="YM2" s="26" t="n">
        <v>661</v>
      </c>
      <c r="YN2" s="26" t="n">
        <v>662</v>
      </c>
      <c r="YO2" s="26" t="n">
        <v>663</v>
      </c>
      <c r="YP2" s="26" t="n">
        <v>664</v>
      </c>
      <c r="YQ2" s="26" t="n">
        <v>665</v>
      </c>
      <c r="YR2" s="26" t="n">
        <v>666</v>
      </c>
      <c r="YS2" s="26" t="n">
        <v>667</v>
      </c>
      <c r="YT2" s="26" t="n">
        <v>668</v>
      </c>
      <c r="YU2" s="26" t="n">
        <v>669</v>
      </c>
      <c r="YV2" s="26" t="n">
        <v>670</v>
      </c>
      <c r="YW2" s="26" t="n">
        <v>671</v>
      </c>
      <c r="YX2" s="26" t="n">
        <v>672</v>
      </c>
      <c r="YY2" s="26" t="n">
        <v>673</v>
      </c>
      <c r="YZ2" s="26" t="n">
        <v>674</v>
      </c>
      <c r="ZA2" s="26" t="n">
        <v>675</v>
      </c>
      <c r="ZB2" s="26" t="n">
        <v>676</v>
      </c>
      <c r="ZC2" s="26" t="n">
        <v>677</v>
      </c>
      <c r="ZD2" s="26" t="n">
        <v>678</v>
      </c>
      <c r="ZE2" s="26" t="n">
        <v>679</v>
      </c>
      <c r="ZF2" s="26" t="n">
        <v>680</v>
      </c>
      <c r="ZG2" s="26" t="n">
        <v>681</v>
      </c>
      <c r="ZH2" s="26" t="n">
        <v>682</v>
      </c>
      <c r="ZI2" s="26" t="n">
        <v>683</v>
      </c>
      <c r="ZJ2" s="26" t="n">
        <v>684</v>
      </c>
      <c r="ZK2" s="26" t="n">
        <v>685</v>
      </c>
      <c r="ZL2" s="26" t="n">
        <v>686</v>
      </c>
      <c r="ZM2" s="26" t="n">
        <v>687</v>
      </c>
      <c r="ZN2" s="26" t="n">
        <v>688</v>
      </c>
      <c r="ZO2" s="26" t="n">
        <v>689</v>
      </c>
      <c r="ZP2" s="26" t="n">
        <v>690</v>
      </c>
      <c r="ZQ2" s="26" t="n">
        <v>691</v>
      </c>
      <c r="ZR2" s="26" t="n">
        <v>692</v>
      </c>
      <c r="ZS2" s="26" t="n">
        <v>693</v>
      </c>
      <c r="ZT2" s="26" t="n">
        <v>694</v>
      </c>
      <c r="ZU2" s="26" t="n">
        <v>695</v>
      </c>
      <c r="ZV2" s="26" t="n">
        <v>696</v>
      </c>
      <c r="ZW2" s="26" t="n">
        <v>697</v>
      </c>
      <c r="ZX2" s="26" t="n">
        <v>698</v>
      </c>
      <c r="ZY2" s="26" t="n">
        <v>699</v>
      </c>
      <c r="ZZ2" s="26" t="n">
        <v>700</v>
      </c>
      <c r="AAA2" s="26" t="n">
        <v>701</v>
      </c>
      <c r="AAB2" s="26" t="n">
        <v>702</v>
      </c>
      <c r="AAC2" s="26" t="n">
        <v>703</v>
      </c>
      <c r="AAD2" s="26" t="n">
        <v>704</v>
      </c>
      <c r="AAE2" s="26" t="n">
        <v>705</v>
      </c>
      <c r="AAF2" s="26" t="n">
        <v>706</v>
      </c>
      <c r="AAG2" s="26" t="n">
        <v>707</v>
      </c>
      <c r="AAH2" s="26" t="n">
        <v>708</v>
      </c>
      <c r="AAI2" s="26" t="n">
        <v>709</v>
      </c>
      <c r="AAJ2" s="26" t="n">
        <v>710</v>
      </c>
      <c r="AAK2" s="26" t="n">
        <v>711</v>
      </c>
      <c r="AAL2" s="26" t="n">
        <v>712</v>
      </c>
      <c r="AAM2" s="26" t="n">
        <v>713</v>
      </c>
      <c r="AAN2" s="26" t="n">
        <v>714</v>
      </c>
      <c r="AAO2" s="26" t="n">
        <v>715</v>
      </c>
      <c r="AAP2" s="26" t="n">
        <v>716</v>
      </c>
      <c r="AAQ2" s="26" t="n">
        <v>717</v>
      </c>
      <c r="AAR2" s="26" t="n">
        <v>718</v>
      </c>
      <c r="AAS2" s="26" t="n">
        <v>719</v>
      </c>
      <c r="AAT2" s="26" t="n">
        <v>720</v>
      </c>
      <c r="AAU2" s="26" t="n">
        <v>721</v>
      </c>
      <c r="AAV2" s="26" t="n">
        <v>722</v>
      </c>
      <c r="AAW2" s="26" t="n">
        <v>723</v>
      </c>
      <c r="AAX2" s="26" t="n">
        <v>724</v>
      </c>
      <c r="AAY2" s="26" t="n">
        <v>725</v>
      </c>
      <c r="AAZ2" s="26" t="n">
        <v>726</v>
      </c>
      <c r="ABA2" s="26" t="n">
        <v>727</v>
      </c>
      <c r="ABB2" s="26" t="n">
        <v>728</v>
      </c>
      <c r="ABC2" s="26" t="n">
        <v>729</v>
      </c>
      <c r="ABD2" s="26" t="n">
        <v>730</v>
      </c>
      <c r="ABE2" s="26" t="n">
        <v>731</v>
      </c>
      <c r="ABF2" s="26" t="n">
        <v>732</v>
      </c>
      <c r="ABG2" s="26" t="n">
        <v>733</v>
      </c>
      <c r="ABH2" s="26" t="n">
        <v>734</v>
      </c>
      <c r="ABI2" s="26" t="n">
        <v>735</v>
      </c>
      <c r="ABJ2" s="26" t="n">
        <v>736</v>
      </c>
      <c r="ABK2" s="26" t="n">
        <v>737</v>
      </c>
      <c r="ABL2" s="26" t="n">
        <v>738</v>
      </c>
      <c r="ABM2" s="26" t="n">
        <v>739</v>
      </c>
      <c r="ABN2" s="26" t="n">
        <v>740</v>
      </c>
      <c r="ABO2" s="26" t="n">
        <v>741</v>
      </c>
      <c r="ABP2" s="26" t="n">
        <v>742</v>
      </c>
      <c r="ABQ2" s="26" t="n">
        <v>743</v>
      </c>
      <c r="ABR2" s="26" t="n">
        <v>744</v>
      </c>
      <c r="ABS2" s="26" t="n">
        <v>745</v>
      </c>
      <c r="ABT2" s="26" t="n">
        <v>746</v>
      </c>
      <c r="ABU2" s="26" t="n">
        <v>747</v>
      </c>
      <c r="ABV2" s="26" t="n">
        <v>748</v>
      </c>
      <c r="ABW2" s="26" t="n">
        <v>749</v>
      </c>
      <c r="ABX2" s="26" t="n">
        <v>750</v>
      </c>
      <c r="ABY2" s="26" t="n">
        <v>751</v>
      </c>
      <c r="ABZ2" s="26" t="n">
        <v>752</v>
      </c>
      <c r="ACA2" s="26" t="n">
        <v>753</v>
      </c>
      <c r="ACB2" s="26" t="n">
        <v>754</v>
      </c>
      <c r="ACC2" s="26" t="n">
        <v>755</v>
      </c>
      <c r="ACD2" s="26" t="n">
        <v>756</v>
      </c>
      <c r="ACE2" s="26" t="n">
        <v>757</v>
      </c>
      <c r="ACF2" s="26" t="n">
        <v>758</v>
      </c>
      <c r="ACG2" s="26" t="n">
        <v>759</v>
      </c>
      <c r="ACH2" s="26" t="n">
        <v>760</v>
      </c>
      <c r="ACI2" s="26" t="n">
        <v>761</v>
      </c>
      <c r="ACJ2" s="26" t="n">
        <v>762</v>
      </c>
      <c r="ACK2" s="26" t="n">
        <v>763</v>
      </c>
      <c r="ACL2" s="26" t="n">
        <v>764</v>
      </c>
      <c r="ACM2" s="26" t="n">
        <v>765</v>
      </c>
      <c r="ACN2" s="26" t="n">
        <v>766</v>
      </c>
      <c r="ACO2" s="26" t="n">
        <v>767</v>
      </c>
      <c r="ACP2" s="26" t="n">
        <v>768</v>
      </c>
      <c r="ACQ2" s="26" t="n">
        <v>769</v>
      </c>
      <c r="ACR2" s="26" t="n">
        <v>770</v>
      </c>
      <c r="ACS2" s="26" t="n">
        <v>771</v>
      </c>
      <c r="ACT2" s="26" t="n">
        <v>772</v>
      </c>
      <c r="ACU2" s="26" t="n">
        <v>773</v>
      </c>
      <c r="ACV2" s="26" t="n">
        <v>774</v>
      </c>
      <c r="ACW2" s="26" t="n">
        <v>775</v>
      </c>
      <c r="ACX2" s="26" t="n">
        <v>776</v>
      </c>
      <c r="ACY2" s="26" t="n">
        <v>777</v>
      </c>
      <c r="ACZ2" s="26" t="n">
        <v>778</v>
      </c>
      <c r="ADA2" s="26" t="n">
        <v>779</v>
      </c>
      <c r="ADB2" s="26" t="n">
        <v>780</v>
      </c>
      <c r="ADC2" s="26" t="n">
        <v>781</v>
      </c>
      <c r="ADD2" s="26" t="n">
        <v>782</v>
      </c>
      <c r="ADE2" s="26" t="n">
        <v>783</v>
      </c>
      <c r="ADF2" s="26" t="n">
        <v>784</v>
      </c>
      <c r="ADG2" s="26" t="n">
        <v>785</v>
      </c>
      <c r="ADH2" s="26" t="n">
        <v>786</v>
      </c>
      <c r="ADI2" s="26" t="n">
        <v>787</v>
      </c>
      <c r="ADJ2" s="26" t="n">
        <v>788</v>
      </c>
      <c r="ADK2" s="26" t="n">
        <v>789</v>
      </c>
      <c r="ADL2" s="26" t="n">
        <v>790</v>
      </c>
      <c r="ADM2" s="26" t="n">
        <v>791</v>
      </c>
      <c r="ADN2" s="26" t="n">
        <v>792</v>
      </c>
      <c r="ADO2" s="26" t="n">
        <v>793</v>
      </c>
      <c r="ADP2" s="26" t="n">
        <v>794</v>
      </c>
      <c r="ADQ2" s="26" t="n">
        <v>795</v>
      </c>
      <c r="ADR2" s="26" t="n">
        <v>796</v>
      </c>
      <c r="ADS2" s="26" t="n">
        <v>797</v>
      </c>
      <c r="ADT2" s="26" t="n">
        <v>798</v>
      </c>
      <c r="ADU2" s="26" t="n">
        <v>799</v>
      </c>
      <c r="ADV2" s="26" t="n">
        <v>800</v>
      </c>
      <c r="ADW2" s="26" t="n">
        <v>801</v>
      </c>
      <c r="ADX2" s="26" t="n">
        <v>802</v>
      </c>
      <c r="ADY2" s="26" t="n">
        <v>803</v>
      </c>
      <c r="ADZ2" s="26" t="n">
        <v>804</v>
      </c>
      <c r="AEA2" s="26" t="n">
        <v>805</v>
      </c>
      <c r="AEB2" s="26" t="n">
        <v>806</v>
      </c>
      <c r="AEC2" s="26" t="n">
        <v>807</v>
      </c>
      <c r="AED2" s="26" t="n">
        <v>808</v>
      </c>
      <c r="AEE2" s="26" t="n">
        <v>809</v>
      </c>
      <c r="AEF2" s="26" t="n">
        <v>810</v>
      </c>
      <c r="AEG2" s="26" t="n">
        <v>811</v>
      </c>
      <c r="AEH2" s="26" t="n">
        <v>812</v>
      </c>
      <c r="AEI2" s="26" t="n">
        <v>813</v>
      </c>
      <c r="AEJ2" s="26" t="n">
        <v>814</v>
      </c>
      <c r="AEK2" s="26" t="n">
        <v>815</v>
      </c>
      <c r="AEL2" s="26" t="n">
        <v>816</v>
      </c>
      <c r="AEM2" s="26" t="n">
        <v>817</v>
      </c>
      <c r="AEN2" s="26" t="n">
        <v>818</v>
      </c>
      <c r="AEO2" s="26" t="n">
        <v>819</v>
      </c>
      <c r="AEP2" s="26" t="n">
        <v>820</v>
      </c>
      <c r="AEQ2" s="26" t="n">
        <v>821</v>
      </c>
      <c r="AER2" s="26" t="n">
        <v>822</v>
      </c>
      <c r="AES2" s="26" t="n">
        <v>823</v>
      </c>
      <c r="AET2" s="26" t="n">
        <v>824</v>
      </c>
      <c r="AEU2" s="26" t="n">
        <v>825</v>
      </c>
      <c r="AEV2" s="26" t="n">
        <v>826</v>
      </c>
      <c r="AEW2" s="26" t="n">
        <v>827</v>
      </c>
      <c r="AEX2" s="26" t="n">
        <v>828</v>
      </c>
      <c r="AEY2" s="26" t="n">
        <v>829</v>
      </c>
      <c r="AEZ2" s="26" t="n">
        <v>830</v>
      </c>
      <c r="AFA2" s="26" t="n">
        <v>831</v>
      </c>
      <c r="AFB2" s="26" t="n">
        <v>832</v>
      </c>
      <c r="AFC2" s="26" t="n">
        <v>833</v>
      </c>
      <c r="AFD2" s="26" t="n">
        <v>834</v>
      </c>
      <c r="AFE2" s="26" t="n">
        <v>835</v>
      </c>
      <c r="AFF2" s="26" t="n">
        <v>836</v>
      </c>
      <c r="AFG2" s="26" t="n">
        <v>837</v>
      </c>
      <c r="AFH2" s="26" t="n">
        <v>838</v>
      </c>
      <c r="AFI2" s="26" t="n">
        <v>839</v>
      </c>
      <c r="AFJ2" s="26" t="n">
        <v>840</v>
      </c>
      <c r="AFK2" s="26" t="n">
        <v>841</v>
      </c>
      <c r="AFL2" s="26" t="n">
        <v>842</v>
      </c>
      <c r="AFM2" s="26" t="n">
        <v>843</v>
      </c>
      <c r="AFN2" s="26" t="n">
        <v>844</v>
      </c>
      <c r="AFO2" s="26" t="n">
        <v>845</v>
      </c>
      <c r="AFP2" s="26" t="n">
        <v>846</v>
      </c>
      <c r="AFQ2" s="26" t="n">
        <v>847</v>
      </c>
      <c r="AFR2" s="26" t="n">
        <v>848</v>
      </c>
      <c r="AFS2" s="26" t="n">
        <v>849</v>
      </c>
      <c r="AFT2" s="26" t="n">
        <v>850</v>
      </c>
      <c r="AFU2" s="26" t="n">
        <v>851</v>
      </c>
      <c r="AFV2" s="26" t="n">
        <v>852</v>
      </c>
      <c r="AFW2" s="26" t="n">
        <v>853</v>
      </c>
      <c r="AFX2" s="26" t="n">
        <v>854</v>
      </c>
      <c r="AFY2" s="26" t="n">
        <v>855</v>
      </c>
      <c r="AFZ2" s="26" t="n">
        <v>856</v>
      </c>
      <c r="AGA2" s="26" t="n">
        <v>857</v>
      </c>
      <c r="AGB2" s="26" t="n">
        <v>858</v>
      </c>
      <c r="AGC2" s="26" t="n">
        <v>859</v>
      </c>
      <c r="AGD2" s="26" t="n">
        <v>860</v>
      </c>
      <c r="AGE2" s="26" t="n">
        <v>861</v>
      </c>
      <c r="AGF2" s="26" t="n">
        <v>862</v>
      </c>
      <c r="AGG2" s="26" t="n">
        <v>863</v>
      </c>
      <c r="AGH2" s="26" t="n">
        <v>864</v>
      </c>
      <c r="AGI2" s="26" t="n">
        <v>865</v>
      </c>
      <c r="AGJ2" s="26" t="n">
        <v>866</v>
      </c>
      <c r="AGK2" s="26" t="n">
        <v>867</v>
      </c>
      <c r="AGL2" s="26" t="n">
        <v>868</v>
      </c>
      <c r="AGM2" s="26" t="n">
        <v>869</v>
      </c>
      <c r="AGN2" s="26" t="n">
        <v>870</v>
      </c>
      <c r="AGO2" s="26" t="n">
        <v>871</v>
      </c>
      <c r="AGP2" s="26" t="n">
        <v>872</v>
      </c>
      <c r="AGQ2" s="26" t="n">
        <v>873</v>
      </c>
      <c r="AGR2" s="26" t="n">
        <v>874</v>
      </c>
      <c r="AGS2" s="26" t="n">
        <v>875</v>
      </c>
      <c r="AGT2" s="26" t="n">
        <v>876</v>
      </c>
      <c r="AGU2" s="26" t="n">
        <v>877</v>
      </c>
      <c r="AGV2" s="26" t="n">
        <v>878</v>
      </c>
      <c r="AGW2" s="26" t="n">
        <v>879</v>
      </c>
      <c r="AGX2" s="26" t="n">
        <v>880</v>
      </c>
      <c r="AGY2" s="26" t="n">
        <v>881</v>
      </c>
      <c r="AGZ2" s="26" t="n">
        <v>882</v>
      </c>
      <c r="AHA2" s="26" t="n">
        <v>883</v>
      </c>
      <c r="AHB2" s="26" t="n">
        <v>884</v>
      </c>
      <c r="AHC2" s="26" t="n">
        <v>885</v>
      </c>
      <c r="AHD2" s="26" t="n">
        <v>886</v>
      </c>
      <c r="AHE2" s="26" t="n">
        <v>887</v>
      </c>
      <c r="AHF2" s="26" t="n">
        <v>888</v>
      </c>
      <c r="AHG2" s="26" t="n">
        <v>889</v>
      </c>
      <c r="AHH2" s="26" t="n">
        <v>890</v>
      </c>
      <c r="AHI2" s="26" t="n">
        <v>891</v>
      </c>
      <c r="AHJ2" s="26" t="n">
        <v>892</v>
      </c>
      <c r="AHK2" s="26" t="n">
        <v>893</v>
      </c>
      <c r="AHL2" s="26" t="n">
        <v>894</v>
      </c>
      <c r="AHM2" s="26" t="n">
        <v>895</v>
      </c>
      <c r="AHN2" s="26" t="n">
        <v>896</v>
      </c>
      <c r="AHO2" s="26" t="n">
        <v>897</v>
      </c>
      <c r="AHP2" s="26" t="n">
        <v>898</v>
      </c>
      <c r="AHQ2" s="26" t="n">
        <v>899</v>
      </c>
      <c r="AHR2" s="26" t="n">
        <v>900</v>
      </c>
      <c r="AHS2" s="26" t="n">
        <v>901</v>
      </c>
      <c r="AHT2" s="26" t="n">
        <v>902</v>
      </c>
      <c r="AHU2" s="26" t="n">
        <v>903</v>
      </c>
      <c r="AHV2" s="26" t="n">
        <v>904</v>
      </c>
      <c r="AHW2" s="26" t="n">
        <v>905</v>
      </c>
      <c r="AHX2" s="26" t="n">
        <v>906</v>
      </c>
      <c r="AHY2" s="26" t="n">
        <v>907</v>
      </c>
      <c r="AHZ2" s="26" t="n">
        <v>908</v>
      </c>
      <c r="AIA2" s="26" t="n">
        <v>909</v>
      </c>
      <c r="AIB2" s="26" t="n">
        <v>910</v>
      </c>
      <c r="AIC2" s="26" t="n">
        <v>911</v>
      </c>
      <c r="AID2" s="26" t="n">
        <v>912</v>
      </c>
      <c r="AIE2" s="26" t="n">
        <v>913</v>
      </c>
      <c r="AIF2" s="26" t="n">
        <v>914</v>
      </c>
      <c r="AIG2" s="26" t="n">
        <v>915</v>
      </c>
      <c r="AIH2" s="26" t="n">
        <v>916</v>
      </c>
      <c r="AII2" s="26" t="n">
        <v>917</v>
      </c>
      <c r="AIJ2" s="26" t="n">
        <v>918</v>
      </c>
      <c r="AIK2" s="26" t="n">
        <v>919</v>
      </c>
      <c r="AIL2" s="26" t="n">
        <v>920</v>
      </c>
      <c r="AIM2" s="26" t="n">
        <v>921</v>
      </c>
      <c r="AIN2" s="26" t="n">
        <v>922</v>
      </c>
      <c r="AIO2" s="26" t="n">
        <v>923</v>
      </c>
      <c r="AIP2" s="26" t="n">
        <v>924</v>
      </c>
      <c r="AIQ2" s="26" t="n">
        <v>925</v>
      </c>
      <c r="AIR2" s="26" t="n">
        <v>926</v>
      </c>
      <c r="AIS2" s="26" t="n">
        <v>927</v>
      </c>
      <c r="AIT2" s="26" t="n">
        <v>928</v>
      </c>
      <c r="AIU2" s="26" t="n">
        <v>929</v>
      </c>
      <c r="AIV2" s="26" t="n">
        <v>930</v>
      </c>
      <c r="AIW2" s="26" t="n">
        <v>931</v>
      </c>
      <c r="AIX2" s="26" t="n">
        <v>932</v>
      </c>
      <c r="AIY2" s="26" t="n">
        <v>933</v>
      </c>
      <c r="AIZ2" s="26" t="n">
        <v>934</v>
      </c>
      <c r="AJA2" s="26" t="n">
        <v>935</v>
      </c>
      <c r="AJB2" s="26" t="n">
        <v>936</v>
      </c>
      <c r="AJC2" s="26" t="n">
        <v>937</v>
      </c>
      <c r="AJD2" s="26" t="n">
        <v>938</v>
      </c>
      <c r="AJE2" s="26" t="n">
        <v>939</v>
      </c>
      <c r="AJF2" s="26" t="n">
        <v>940</v>
      </c>
      <c r="AJG2" s="26" t="n">
        <v>941</v>
      </c>
      <c r="AJH2" s="26" t="n">
        <v>942</v>
      </c>
      <c r="AJI2" s="26" t="n">
        <v>943</v>
      </c>
      <c r="AJJ2" s="26" t="n">
        <v>944</v>
      </c>
      <c r="AJK2" s="26" t="n">
        <v>945</v>
      </c>
      <c r="AJL2" s="26" t="n">
        <v>946</v>
      </c>
      <c r="AJM2" s="26" t="n">
        <v>947</v>
      </c>
      <c r="AJN2" s="26" t="n">
        <v>948</v>
      </c>
      <c r="AJO2" s="26" t="n">
        <v>949</v>
      </c>
      <c r="AJP2" s="26" t="n">
        <v>950</v>
      </c>
      <c r="AJQ2" s="26" t="n">
        <v>951</v>
      </c>
      <c r="AJR2" s="26" t="n">
        <v>952</v>
      </c>
      <c r="AJS2" s="26" t="n">
        <v>953</v>
      </c>
      <c r="AJT2" s="26" t="n">
        <v>954</v>
      </c>
      <c r="AJU2" s="26" t="n">
        <v>955</v>
      </c>
      <c r="AJV2" s="26" t="n">
        <v>956</v>
      </c>
      <c r="AJW2" s="26" t="n">
        <v>957</v>
      </c>
      <c r="AJX2" s="26" t="n">
        <v>958</v>
      </c>
      <c r="AJY2" s="26" t="n">
        <v>959</v>
      </c>
      <c r="AJZ2" s="26" t="n">
        <v>960</v>
      </c>
      <c r="AKA2" s="26" t="n">
        <v>961</v>
      </c>
      <c r="AKB2" s="26" t="n">
        <v>962</v>
      </c>
      <c r="AKC2" s="26" t="n">
        <v>963</v>
      </c>
      <c r="AKD2" s="26" t="n">
        <v>964</v>
      </c>
      <c r="AKE2" s="26" t="n">
        <v>965</v>
      </c>
      <c r="AKF2" s="26" t="n">
        <v>966</v>
      </c>
      <c r="AKG2" s="26" t="n">
        <v>967</v>
      </c>
      <c r="AKH2" s="26" t="n">
        <v>968</v>
      </c>
      <c r="AKI2" s="26" t="n">
        <v>969</v>
      </c>
      <c r="AKJ2" s="26" t="n">
        <v>970</v>
      </c>
      <c r="AKK2" s="26" t="n">
        <v>971</v>
      </c>
      <c r="AKL2" s="26" t="n">
        <v>972</v>
      </c>
      <c r="AKM2" s="26" t="n">
        <v>973</v>
      </c>
      <c r="AKN2" s="26" t="n">
        <v>974</v>
      </c>
      <c r="AKO2" s="26" t="n">
        <v>975</v>
      </c>
      <c r="AKP2" s="26" t="n">
        <v>976</v>
      </c>
      <c r="AKQ2" s="26" t="n">
        <v>977</v>
      </c>
      <c r="AKR2" s="26" t="n">
        <v>978</v>
      </c>
      <c r="AKS2" s="26" t="n">
        <v>979</v>
      </c>
      <c r="AKT2" s="26" t="n">
        <v>980</v>
      </c>
      <c r="AKU2" s="26" t="n">
        <v>981</v>
      </c>
      <c r="AKV2" s="26" t="n">
        <v>982</v>
      </c>
      <c r="AKW2" s="26" t="n">
        <v>983</v>
      </c>
      <c r="AKX2" s="26" t="n">
        <v>984</v>
      </c>
      <c r="AKY2" s="26" t="n">
        <v>985</v>
      </c>
      <c r="AKZ2" s="26" t="n">
        <v>986</v>
      </c>
      <c r="ALA2" s="26" t="n">
        <v>987</v>
      </c>
      <c r="ALB2" s="26" t="n">
        <v>988</v>
      </c>
      <c r="ALC2" s="26" t="n">
        <v>989</v>
      </c>
      <c r="ALD2" s="26" t="n">
        <v>990</v>
      </c>
      <c r="ALE2" s="26" t="n">
        <v>991</v>
      </c>
      <c r="ALF2" s="26" t="n">
        <v>992</v>
      </c>
      <c r="ALG2" s="26" t="n">
        <v>993</v>
      </c>
      <c r="ALH2" s="26" t="n">
        <v>994</v>
      </c>
      <c r="ALI2" s="26" t="n">
        <v>995</v>
      </c>
      <c r="ALJ2" s="26" t="n">
        <v>996</v>
      </c>
      <c r="ALK2" s="26" t="n">
        <v>997</v>
      </c>
      <c r="ALL2" s="26" t="n">
        <v>998</v>
      </c>
      <c r="ALM2" s="26" t="n">
        <v>999</v>
      </c>
      <c r="ALN2" s="26" t="n">
        <v>1000</v>
      </c>
      <c r="ALO2" s="26" t="n">
        <v>1001</v>
      </c>
      <c r="ALP2" s="26" t="n">
        <v>1002</v>
      </c>
      <c r="ALQ2" s="26" t="n">
        <v>1003</v>
      </c>
      <c r="ALR2" s="26" t="n">
        <v>1004</v>
      </c>
      <c r="ALS2" s="26" t="n">
        <v>1005</v>
      </c>
      <c r="ALT2" s="26" t="n">
        <v>1006</v>
      </c>
      <c r="ALU2" s="26" t="n">
        <v>1007</v>
      </c>
      <c r="ALV2" s="26" t="n">
        <v>1008</v>
      </c>
      <c r="ALW2" s="26" t="n">
        <v>1009</v>
      </c>
      <c r="ALX2" s="26" t="n">
        <v>1010</v>
      </c>
      <c r="ALY2" s="26" t="n">
        <v>1011</v>
      </c>
      <c r="ALZ2" s="26" t="n">
        <v>1012</v>
      </c>
      <c r="AMA2" s="26" t="n">
        <v>1013</v>
      </c>
      <c r="AMB2" s="26" t="n">
        <v>1014</v>
      </c>
      <c r="AMC2" s="26" t="n">
        <v>1015</v>
      </c>
      <c r="AMD2" s="26" t="n">
        <v>1016</v>
      </c>
      <c r="AME2" s="26" t="n">
        <v>1017</v>
      </c>
      <c r="AMF2" s="26" t="n">
        <v>1018</v>
      </c>
      <c r="AMG2" s="26" t="n">
        <v>1019</v>
      </c>
      <c r="AMH2" s="26" t="n">
        <v>1020</v>
      </c>
      <c r="AMI2" s="26" t="n">
        <v>1021</v>
      </c>
      <c r="AMJ2" s="26" t="n">
        <v>1022</v>
      </c>
      <c r="AMK2" s="26" t="n">
        <v>1023</v>
      </c>
      <c r="AML2" s="26" t="n">
        <v>1024</v>
      </c>
      <c r="AMM2" s="26" t="n">
        <v>1025</v>
      </c>
      <c r="AMN2" s="26" t="n">
        <v>1026</v>
      </c>
      <c r="AMO2" s="26" t="n">
        <v>1027</v>
      </c>
      <c r="AMP2" s="26" t="n">
        <v>1028</v>
      </c>
      <c r="AMQ2" s="26" t="n">
        <v>1029</v>
      </c>
      <c r="AMR2" s="26" t="n">
        <v>1030</v>
      </c>
      <c r="AMS2" s="26" t="n">
        <v>1031</v>
      </c>
      <c r="AMT2" s="26" t="n">
        <v>1032</v>
      </c>
      <c r="AMU2" s="26" t="n">
        <v>1033</v>
      </c>
      <c r="AMV2" s="26" t="n">
        <v>1034</v>
      </c>
      <c r="AMW2" s="26" t="n">
        <v>1035</v>
      </c>
      <c r="AMX2" s="26" t="n">
        <v>1036</v>
      </c>
      <c r="AMY2" s="26" t="n">
        <v>1037</v>
      </c>
      <c r="AMZ2" s="26" t="n">
        <v>1038</v>
      </c>
      <c r="ANA2" s="26" t="n">
        <v>1039</v>
      </c>
      <c r="ANB2" s="26" t="n">
        <v>1040</v>
      </c>
      <c r="ANC2" s="26" t="n">
        <v>1041</v>
      </c>
      <c r="AND2" s="26" t="n">
        <v>1042</v>
      </c>
      <c r="ANE2" s="26" t="n">
        <v>1043</v>
      </c>
      <c r="ANF2" s="26" t="n">
        <v>1044</v>
      </c>
      <c r="ANG2" s="26" t="n">
        <v>1045</v>
      </c>
      <c r="ANH2" s="26" t="n">
        <v>1046</v>
      </c>
      <c r="ANI2" s="26" t="n">
        <v>1047</v>
      </c>
      <c r="ANJ2" s="26" t="n">
        <v>1048</v>
      </c>
      <c r="ANK2" s="26" t="n">
        <v>1049</v>
      </c>
      <c r="ANL2" s="26" t="n">
        <v>1050</v>
      </c>
      <c r="ANM2" s="26" t="n">
        <v>1051</v>
      </c>
      <c r="ANN2" s="26" t="n">
        <v>1052</v>
      </c>
      <c r="ANO2" s="26" t="n">
        <v>1053</v>
      </c>
      <c r="ANP2" s="26" t="n">
        <v>1054</v>
      </c>
      <c r="ANQ2" s="26" t="n">
        <v>1055</v>
      </c>
      <c r="ANR2" s="26" t="n">
        <v>1056</v>
      </c>
      <c r="ANS2" s="26" t="n">
        <v>1057</v>
      </c>
      <c r="ANT2" s="26" t="n">
        <v>1058</v>
      </c>
      <c r="ANU2" s="26" t="n">
        <v>1059</v>
      </c>
      <c r="ANV2" s="26" t="n">
        <v>1060</v>
      </c>
      <c r="ANW2" s="26" t="n">
        <v>1061</v>
      </c>
      <c r="ANX2" s="26" t="n">
        <v>1062</v>
      </c>
      <c r="ANY2" s="26" t="n">
        <v>1063</v>
      </c>
      <c r="ANZ2" s="26" t="n">
        <v>1064</v>
      </c>
      <c r="AOA2" s="26" t="n">
        <v>1065</v>
      </c>
      <c r="AOB2" s="26" t="n">
        <v>1066</v>
      </c>
      <c r="AOC2" s="26" t="n">
        <v>1067</v>
      </c>
      <c r="AOD2" s="26" t="n">
        <v>1068</v>
      </c>
      <c r="AOE2" s="26" t="n">
        <v>1069</v>
      </c>
      <c r="AOF2" s="26" t="n">
        <v>1070</v>
      </c>
      <c r="AOG2" s="26" t="n">
        <v>1071</v>
      </c>
      <c r="AOH2" s="26" t="n">
        <v>1072</v>
      </c>
      <c r="AOI2" s="26" t="n">
        <v>1073</v>
      </c>
      <c r="AOJ2" s="26" t="n">
        <v>1074</v>
      </c>
      <c r="AOK2" s="26" t="n">
        <v>1075</v>
      </c>
      <c r="AOL2" s="26" t="n">
        <v>1076</v>
      </c>
      <c r="AOM2" s="26" t="n">
        <v>1077</v>
      </c>
      <c r="AON2" s="26" t="n">
        <v>1078</v>
      </c>
      <c r="AOO2" s="26" t="n">
        <v>1079</v>
      </c>
      <c r="AOP2" s="26" t="n">
        <v>1080</v>
      </c>
      <c r="AOQ2" s="26" t="n">
        <v>1081</v>
      </c>
      <c r="AOR2" s="26" t="n">
        <v>1082</v>
      </c>
      <c r="AOS2" s="26" t="n">
        <v>1083</v>
      </c>
      <c r="AOT2" s="26" t="n">
        <v>1084</v>
      </c>
      <c r="AOU2" s="26" t="n">
        <v>1085</v>
      </c>
      <c r="AOV2" s="26" t="n">
        <v>1086</v>
      </c>
      <c r="AOW2" s="26" t="n">
        <v>1087</v>
      </c>
      <c r="AOX2" s="26" t="n">
        <v>1088</v>
      </c>
      <c r="AOY2" s="26" t="n">
        <v>1089</v>
      </c>
      <c r="AOZ2" s="26" t="n">
        <v>1090</v>
      </c>
      <c r="APA2" s="26" t="n">
        <v>1091</v>
      </c>
      <c r="APB2" s="26" t="n">
        <v>1092</v>
      </c>
      <c r="APC2" s="26" t="n">
        <v>1093</v>
      </c>
      <c r="APD2" s="26" t="n">
        <v>1094</v>
      </c>
      <c r="APE2" s="26" t="n">
        <v>1095</v>
      </c>
      <c r="APF2" s="26" t="n">
        <v>1096</v>
      </c>
      <c r="APG2" s="26" t="n">
        <v>1097</v>
      </c>
      <c r="APH2" s="26" t="n">
        <v>1098</v>
      </c>
      <c r="API2" s="26" t="n">
        <v>1099</v>
      </c>
      <c r="APJ2" s="26" t="n">
        <v>1100</v>
      </c>
      <c r="APK2" s="26" t="n">
        <v>1101</v>
      </c>
      <c r="APL2" s="26" t="n">
        <v>1102</v>
      </c>
      <c r="APM2" s="26" t="n">
        <v>1103</v>
      </c>
      <c r="APN2" s="26" t="n">
        <v>1104</v>
      </c>
      <c r="APO2" s="26" t="n">
        <v>1105</v>
      </c>
      <c r="APP2" s="26" t="n">
        <v>1106</v>
      </c>
      <c r="APQ2" s="26" t="n">
        <v>1107</v>
      </c>
      <c r="APR2" s="26" t="n">
        <v>1108</v>
      </c>
      <c r="APS2" s="26" t="n">
        <v>1109</v>
      </c>
      <c r="APT2" s="26" t="n">
        <v>1110</v>
      </c>
      <c r="APU2" s="26" t="n">
        <v>1111</v>
      </c>
      <c r="APV2" s="26" t="n">
        <v>1112</v>
      </c>
      <c r="APW2" s="26" t="n">
        <v>1113</v>
      </c>
      <c r="APX2" s="26" t="n">
        <v>1114</v>
      </c>
      <c r="APY2" s="26" t="n">
        <v>1115</v>
      </c>
      <c r="APZ2" s="26" t="n">
        <v>1116</v>
      </c>
      <c r="AQA2" s="26" t="n">
        <v>1117</v>
      </c>
      <c r="AQB2" s="26" t="n">
        <v>1118</v>
      </c>
      <c r="AQC2" s="26" t="n">
        <v>1119</v>
      </c>
      <c r="AQD2" s="26" t="n">
        <v>1120</v>
      </c>
      <c r="AQE2" s="26" t="n">
        <v>1121</v>
      </c>
      <c r="AQF2" s="26" t="n">
        <v>1122</v>
      </c>
      <c r="AQG2" s="26" t="n">
        <v>1123</v>
      </c>
      <c r="AQH2" s="26" t="n">
        <v>1124</v>
      </c>
      <c r="AQI2" s="26" t="n">
        <v>1125</v>
      </c>
      <c r="AQJ2" s="26" t="n">
        <v>1126</v>
      </c>
      <c r="AQK2" s="26" t="n">
        <v>1127</v>
      </c>
      <c r="AQL2" s="26" t="n">
        <v>1128</v>
      </c>
      <c r="AQM2" s="26" t="n">
        <v>1129</v>
      </c>
      <c r="AQN2" s="26" t="n">
        <v>1130</v>
      </c>
      <c r="AQO2" s="26" t="n">
        <v>1131</v>
      </c>
      <c r="AQP2" s="26" t="n">
        <v>1132</v>
      </c>
      <c r="AQQ2" s="26" t="n">
        <v>1133</v>
      </c>
      <c r="AQR2" s="26" t="n">
        <v>1134</v>
      </c>
      <c r="AQS2" s="26" t="n">
        <v>1135</v>
      </c>
      <c r="AQT2" s="26" t="n">
        <v>1136</v>
      </c>
      <c r="AQU2" s="26" t="n">
        <v>1137</v>
      </c>
      <c r="AQV2" s="26" t="n">
        <v>1138</v>
      </c>
      <c r="AQW2" s="26" t="n">
        <v>1139</v>
      </c>
      <c r="AQX2" s="26" t="n">
        <v>1140</v>
      </c>
      <c r="AQY2" s="26" t="n">
        <v>1141</v>
      </c>
      <c r="AQZ2" s="26" t="n">
        <v>1142</v>
      </c>
      <c r="ARA2" s="26" t="n">
        <v>1143</v>
      </c>
      <c r="ARB2" s="26" t="n">
        <v>1144</v>
      </c>
      <c r="ARC2" s="26" t="n">
        <v>1145</v>
      </c>
      <c r="ARD2" s="26" t="n">
        <v>1146</v>
      </c>
      <c r="ARE2" s="26" t="n">
        <v>1147</v>
      </c>
      <c r="ARF2" s="26" t="n">
        <v>1148</v>
      </c>
      <c r="ARG2" s="26" t="n">
        <v>1149</v>
      </c>
      <c r="ARH2" s="26" t="n">
        <v>1150</v>
      </c>
      <c r="ARI2" s="26" t="n">
        <v>1151</v>
      </c>
      <c r="ARJ2" s="26" t="n">
        <v>1152</v>
      </c>
      <c r="ARK2" s="26" t="n">
        <v>1153</v>
      </c>
      <c r="ARL2" s="26" t="n">
        <v>1154</v>
      </c>
      <c r="ARM2" s="26" t="n">
        <v>1155</v>
      </c>
      <c r="ARN2" s="26" t="n">
        <v>1156</v>
      </c>
      <c r="ARO2" s="26" t="n">
        <v>1157</v>
      </c>
      <c r="ARP2" s="26" t="n">
        <v>1158</v>
      </c>
      <c r="ARQ2" s="26" t="n">
        <v>1159</v>
      </c>
      <c r="ARR2" s="26" t="n">
        <v>1160</v>
      </c>
      <c r="ARS2" s="26" t="n">
        <v>1161</v>
      </c>
      <c r="ART2" s="26" t="n">
        <v>1162</v>
      </c>
      <c r="ARU2" s="26" t="n">
        <v>1163</v>
      </c>
      <c r="ARV2" s="26" t="n">
        <v>1164</v>
      </c>
      <c r="ARW2" s="26" t="n">
        <v>1165</v>
      </c>
      <c r="ARX2" s="26" t="n">
        <v>1166</v>
      </c>
      <c r="ARY2" s="26" t="n">
        <v>1167</v>
      </c>
      <c r="ARZ2" s="26" t="n">
        <v>1168</v>
      </c>
      <c r="ASA2" s="26" t="n">
        <v>1169</v>
      </c>
      <c r="ASB2" s="26" t="n">
        <v>1170</v>
      </c>
      <c r="ASC2" s="26" t="n">
        <v>1171</v>
      </c>
      <c r="ASD2" s="26" t="n">
        <v>1172</v>
      </c>
      <c r="ASE2" s="26" t="n">
        <v>1173</v>
      </c>
      <c r="ASF2" s="26" t="n">
        <v>1174</v>
      </c>
      <c r="ASG2" s="26" t="n">
        <v>1175</v>
      </c>
      <c r="ASH2" s="26" t="n">
        <v>1176</v>
      </c>
      <c r="ASI2" s="26" t="n">
        <v>1177</v>
      </c>
      <c r="ASJ2" s="26" t="n">
        <v>1178</v>
      </c>
      <c r="ASK2" s="26" t="n">
        <v>1179</v>
      </c>
      <c r="ASL2" s="26" t="n">
        <v>1180</v>
      </c>
      <c r="ASM2" s="26" t="n">
        <v>1181</v>
      </c>
      <c r="ASN2" s="26" t="n">
        <v>1182</v>
      </c>
      <c r="ASO2" s="26" t="n">
        <v>1183</v>
      </c>
      <c r="ASP2" s="26" t="n">
        <v>1184</v>
      </c>
      <c r="ASQ2" s="26" t="n">
        <v>1185</v>
      </c>
      <c r="ASR2" s="26" t="n">
        <v>1186</v>
      </c>
      <c r="ASS2" s="26" t="n">
        <v>1187</v>
      </c>
      <c r="AST2" s="26" t="n">
        <v>1188</v>
      </c>
      <c r="ASU2" s="26" t="n">
        <v>1189</v>
      </c>
      <c r="ASV2" s="26" t="n">
        <v>1190</v>
      </c>
      <c r="ASW2" s="26" t="n">
        <v>1191</v>
      </c>
      <c r="ASX2" s="26" t="n">
        <v>1192</v>
      </c>
      <c r="ASY2" s="26" t="n">
        <v>1193</v>
      </c>
      <c r="ASZ2" s="26" t="n">
        <v>1194</v>
      </c>
      <c r="ATA2" s="26" t="n">
        <v>1195</v>
      </c>
      <c r="ATB2" s="26" t="n">
        <v>1196</v>
      </c>
      <c r="ATC2" s="26" t="n">
        <v>1197</v>
      </c>
      <c r="ATD2" s="26" t="n">
        <v>1198</v>
      </c>
      <c r="ATE2" s="26" t="n">
        <v>1199</v>
      </c>
      <c r="ATF2" s="26" t="n">
        <v>1200</v>
      </c>
      <c r="ATG2" s="26" t="n">
        <v>1201</v>
      </c>
      <c r="ATH2" s="26" t="n">
        <v>1202</v>
      </c>
      <c r="ATI2" s="26" t="n">
        <v>1203</v>
      </c>
      <c r="ATJ2" s="26" t="n">
        <v>1204</v>
      </c>
      <c r="ATK2" s="26" t="n">
        <v>1205</v>
      </c>
      <c r="ATL2" s="26" t="n">
        <v>1206</v>
      </c>
      <c r="ATM2" s="26" t="n">
        <v>1207</v>
      </c>
      <c r="ATN2" s="26" t="n">
        <v>1208</v>
      </c>
      <c r="ATO2" s="26" t="n">
        <v>1209</v>
      </c>
      <c r="ATP2" s="26" t="n">
        <v>1210</v>
      </c>
      <c r="ATQ2" s="26" t="n">
        <v>1211</v>
      </c>
      <c r="ATR2" s="26" t="n">
        <v>1212</v>
      </c>
      <c r="ATS2" s="26" t="n">
        <v>1213</v>
      </c>
      <c r="ATT2" s="26" t="n">
        <v>1214</v>
      </c>
      <c r="ATU2" s="26" t="n">
        <v>1215</v>
      </c>
      <c r="ATV2" s="26" t="n">
        <v>1216</v>
      </c>
      <c r="ATW2" s="26" t="n">
        <v>1217</v>
      </c>
      <c r="ATX2" s="26" t="n">
        <v>1218</v>
      </c>
      <c r="ATY2" s="26" t="n">
        <v>1219</v>
      </c>
      <c r="ATZ2" s="26" t="n">
        <v>1220</v>
      </c>
      <c r="AUA2" s="26" t="n">
        <v>1221</v>
      </c>
      <c r="AUB2" s="26" t="n">
        <v>1222</v>
      </c>
      <c r="AUC2" s="26" t="n">
        <v>1223</v>
      </c>
      <c r="AUD2" s="26" t="n">
        <v>1224</v>
      </c>
      <c r="AUE2" s="26" t="n">
        <v>1225</v>
      </c>
      <c r="AUF2" s="26" t="n">
        <v>1226</v>
      </c>
      <c r="AUG2" s="26" t="n">
        <v>1227</v>
      </c>
      <c r="AUH2" s="26" t="n">
        <v>1228</v>
      </c>
      <c r="AUI2" s="26" t="n">
        <v>1229</v>
      </c>
      <c r="AUJ2" s="26" t="n">
        <v>1230</v>
      </c>
      <c r="AUK2" s="26" t="n">
        <v>1231</v>
      </c>
      <c r="AUL2" s="26" t="n">
        <v>1232</v>
      </c>
      <c r="AUM2" s="26" t="n">
        <v>1233</v>
      </c>
      <c r="AUN2" s="26" t="n">
        <v>1234</v>
      </c>
      <c r="AUO2" s="26" t="n">
        <v>1235</v>
      </c>
      <c r="AUP2" s="26" t="n">
        <v>1236</v>
      </c>
      <c r="AUQ2" s="26" t="n">
        <v>1237</v>
      </c>
      <c r="AUR2" s="26" t="n">
        <v>1238</v>
      </c>
      <c r="AUS2" s="26" t="n">
        <v>1239</v>
      </c>
      <c r="AUT2" s="26" t="n">
        <v>1240</v>
      </c>
      <c r="AUU2" s="26" t="n">
        <v>1241</v>
      </c>
      <c r="AUV2" s="26" t="n">
        <v>1242</v>
      </c>
      <c r="AUW2" s="26" t="n">
        <v>1243</v>
      </c>
      <c r="AUX2" s="26" t="n">
        <v>1244</v>
      </c>
      <c r="AUY2" s="26" t="n">
        <v>1245</v>
      </c>
      <c r="AUZ2" s="26" t="n">
        <v>1246</v>
      </c>
      <c r="AVA2" s="26" t="n">
        <v>1247</v>
      </c>
      <c r="AVB2" s="26" t="n">
        <v>1248</v>
      </c>
      <c r="AVC2" s="26" t="n">
        <v>1249</v>
      </c>
      <c r="AVD2" s="26" t="n">
        <v>1250</v>
      </c>
      <c r="AVE2" s="26" t="n">
        <v>1251</v>
      </c>
      <c r="AVF2" s="26" t="n">
        <v>1252</v>
      </c>
      <c r="AVG2" s="26" t="n">
        <v>1253</v>
      </c>
      <c r="AVH2" s="26" t="n">
        <v>1254</v>
      </c>
      <c r="AVI2" s="26" t="n">
        <v>1255</v>
      </c>
      <c r="AVJ2" s="26" t="n">
        <v>1256</v>
      </c>
      <c r="AVK2" s="26" t="n">
        <v>1257</v>
      </c>
      <c r="AVL2" s="26" t="n">
        <v>1258</v>
      </c>
      <c r="AVM2" s="26" t="n">
        <v>1259</v>
      </c>
      <c r="AVN2" s="26" t="n">
        <v>1260</v>
      </c>
      <c r="AVO2" s="26" t="n">
        <v>1261</v>
      </c>
      <c r="AVP2" s="26" t="n">
        <v>1262</v>
      </c>
      <c r="AVQ2" s="26" t="n">
        <v>1263</v>
      </c>
      <c r="AVR2" s="26" t="n">
        <v>1264</v>
      </c>
      <c r="AVS2" s="26" t="n">
        <v>1265</v>
      </c>
      <c r="AVT2" s="26" t="n">
        <v>1266</v>
      </c>
      <c r="AVU2" s="26" t="n">
        <v>1267</v>
      </c>
      <c r="AVV2" s="26" t="n">
        <v>1268</v>
      </c>
      <c r="AVW2" s="26" t="n">
        <v>1269</v>
      </c>
      <c r="AVX2" s="26" t="n">
        <v>1270</v>
      </c>
      <c r="AVY2" s="26" t="n">
        <v>1271</v>
      </c>
      <c r="AVZ2" s="26" t="n">
        <v>1272</v>
      </c>
      <c r="AWA2" s="26" t="n">
        <v>1273</v>
      </c>
      <c r="AWB2" s="26" t="n">
        <v>1274</v>
      </c>
      <c r="AWC2" s="26" t="n">
        <v>1275</v>
      </c>
      <c r="AWD2" s="26" t="n">
        <v>1276</v>
      </c>
      <c r="AWE2" s="26" t="n">
        <v>1277</v>
      </c>
      <c r="AWF2" s="26" t="n">
        <v>1278</v>
      </c>
      <c r="AWG2" s="26" t="n">
        <v>1279</v>
      </c>
      <c r="AWH2" s="26" t="n">
        <v>1280</v>
      </c>
      <c r="AWI2" s="26" t="n">
        <v>1281</v>
      </c>
      <c r="AWJ2" s="26" t="n">
        <v>1282</v>
      </c>
      <c r="AWK2" s="26" t="n">
        <v>1283</v>
      </c>
      <c r="AWL2" s="26" t="n">
        <v>1284</v>
      </c>
      <c r="AWM2" s="26" t="n">
        <v>1285</v>
      </c>
      <c r="AWN2" s="26" t="n">
        <v>1286</v>
      </c>
      <c r="AWO2" s="26" t="n">
        <v>1287</v>
      </c>
      <c r="AWP2" s="26" t="n">
        <v>1288</v>
      </c>
      <c r="AWQ2" s="26" t="n">
        <v>1289</v>
      </c>
      <c r="AWR2" s="26" t="n">
        <v>1290</v>
      </c>
      <c r="AWS2" s="26" t="n">
        <v>1291</v>
      </c>
      <c r="AWT2" s="26" t="n">
        <v>1292</v>
      </c>
      <c r="AWU2" s="26" t="n">
        <v>1293</v>
      </c>
      <c r="AWV2" s="26" t="n">
        <v>1294</v>
      </c>
      <c r="AWW2" s="26" t="n">
        <v>1295</v>
      </c>
      <c r="AWX2" s="26" t="n">
        <v>1296</v>
      </c>
      <c r="AWY2" s="26" t="n">
        <v>1297</v>
      </c>
      <c r="AWZ2" s="26" t="n">
        <v>1298</v>
      </c>
      <c r="AXA2" s="26" t="n">
        <v>1299</v>
      </c>
      <c r="AXB2" s="26" t="n">
        <v>1300</v>
      </c>
      <c r="AXC2" s="26" t="n">
        <v>1301</v>
      </c>
      <c r="AXD2" s="26" t="n">
        <v>1302</v>
      </c>
      <c r="AXE2" s="26" t="n">
        <v>1303</v>
      </c>
      <c r="AXF2" s="26" t="n">
        <v>1304</v>
      </c>
      <c r="AXG2" s="26" t="n">
        <v>1305</v>
      </c>
      <c r="AXH2" s="26" t="n">
        <v>1306</v>
      </c>
      <c r="AXI2" s="26" t="n">
        <v>1307</v>
      </c>
      <c r="AXJ2" s="26" t="n">
        <v>1308</v>
      </c>
      <c r="AXK2" s="26" t="n">
        <v>1309</v>
      </c>
      <c r="AXL2" s="26" t="n">
        <v>1310</v>
      </c>
      <c r="AXM2" s="26" t="n">
        <v>1311</v>
      </c>
      <c r="AXN2" s="26" t="n">
        <v>1312</v>
      </c>
      <c r="AXO2" s="26" t="n">
        <v>1313</v>
      </c>
      <c r="AXP2" s="26" t="n">
        <v>1314</v>
      </c>
      <c r="AXQ2" s="26" t="n">
        <v>1315</v>
      </c>
      <c r="AXR2" s="26" t="n">
        <v>1316</v>
      </c>
      <c r="AXS2" s="26" t="n">
        <v>1317</v>
      </c>
      <c r="AXT2" s="26" t="n">
        <v>1318</v>
      </c>
      <c r="AXU2" s="26" t="n">
        <v>1319</v>
      </c>
      <c r="AXV2" s="26" t="n">
        <v>1320</v>
      </c>
      <c r="AXW2" s="26" t="n">
        <v>1321</v>
      </c>
      <c r="AXX2" s="26" t="n">
        <v>1322</v>
      </c>
      <c r="AXY2" s="26" t="n">
        <v>1323</v>
      </c>
      <c r="AXZ2" s="26" t="n">
        <v>1324</v>
      </c>
      <c r="AYA2" s="26" t="n">
        <v>1325</v>
      </c>
      <c r="AYB2" s="26" t="n">
        <v>1326</v>
      </c>
      <c r="AYC2" s="26" t="n">
        <v>1327</v>
      </c>
      <c r="AYD2" s="26" t="n">
        <v>1328</v>
      </c>
      <c r="AYE2" s="26" t="n">
        <v>1329</v>
      </c>
      <c r="AYF2" s="26" t="n">
        <v>1330</v>
      </c>
      <c r="AYG2" s="26" t="n">
        <v>1331</v>
      </c>
      <c r="AYH2" s="26" t="n">
        <v>1332</v>
      </c>
      <c r="AYI2" s="26" t="n">
        <v>1333</v>
      </c>
      <c r="AYJ2" s="26" t="n">
        <v>1334</v>
      </c>
      <c r="AYK2" s="26" t="n">
        <v>1335</v>
      </c>
      <c r="AYL2" s="26" t="n">
        <v>1336</v>
      </c>
      <c r="AYM2" s="26" t="n">
        <v>1337</v>
      </c>
      <c r="AYN2" s="26" t="n">
        <v>1338</v>
      </c>
      <c r="AYO2" s="26" t="n">
        <v>1339</v>
      </c>
      <c r="AYP2" s="26" t="n">
        <v>1340</v>
      </c>
      <c r="AYQ2" s="26" t="n">
        <v>1341</v>
      </c>
      <c r="AYR2" s="26" t="n">
        <v>1342</v>
      </c>
      <c r="AYS2" s="26" t="n">
        <v>1343</v>
      </c>
      <c r="AYT2" s="26" t="n">
        <v>1344</v>
      </c>
      <c r="AYU2" s="26" t="n">
        <v>1345</v>
      </c>
      <c r="AYV2" s="26" t="n">
        <v>1346</v>
      </c>
      <c r="AYW2" s="26" t="n">
        <v>1347</v>
      </c>
      <c r="AYX2" s="26" t="n">
        <v>1348</v>
      </c>
      <c r="AYY2" s="26" t="n">
        <v>1349</v>
      </c>
      <c r="AYZ2" s="26" t="n">
        <v>1350</v>
      </c>
      <c r="AZA2" s="26" t="n">
        <v>1351</v>
      </c>
      <c r="AZB2" s="26" t="n">
        <v>1352</v>
      </c>
      <c r="AZC2" s="26" t="n">
        <v>1353</v>
      </c>
      <c r="AZD2" s="26" t="n">
        <v>1354</v>
      </c>
      <c r="AZE2" s="26" t="n">
        <v>1355</v>
      </c>
      <c r="AZF2" s="26" t="n">
        <v>1356</v>
      </c>
      <c r="AZG2" s="26" t="n">
        <v>1357</v>
      </c>
      <c r="AZH2" s="26" t="n">
        <v>1358</v>
      </c>
      <c r="AZI2" s="26" t="n">
        <v>1359</v>
      </c>
      <c r="AZJ2" s="26" t="n">
        <v>1360</v>
      </c>
      <c r="AZK2" s="26" t="n">
        <v>1361</v>
      </c>
      <c r="AZL2" s="26" t="n">
        <v>1362</v>
      </c>
      <c r="AZM2" s="26" t="n">
        <v>1363</v>
      </c>
      <c r="AZN2" s="26" t="n">
        <v>1364</v>
      </c>
      <c r="AZO2" s="26" t="n">
        <v>1365</v>
      </c>
      <c r="AZP2" s="26" t="n">
        <v>1366</v>
      </c>
      <c r="AZQ2" s="26" t="n">
        <v>1367</v>
      </c>
      <c r="AZR2" s="26" t="n">
        <v>1368</v>
      </c>
      <c r="AZS2" s="26" t="n">
        <v>1369</v>
      </c>
      <c r="AZT2" s="26" t="n">
        <v>1370</v>
      </c>
      <c r="AZU2" s="26" t="n">
        <v>1371</v>
      </c>
      <c r="AZV2" s="26" t="n">
        <v>1372</v>
      </c>
      <c r="AZW2" s="26" t="n">
        <v>1373</v>
      </c>
      <c r="AZX2" s="26" t="n">
        <v>1374</v>
      </c>
      <c r="AZY2" s="26" t="n">
        <v>1375</v>
      </c>
      <c r="AZZ2" s="26" t="n">
        <v>1376</v>
      </c>
      <c r="BAA2" s="26" t="n">
        <v>1377</v>
      </c>
      <c r="BAB2" s="26" t="n">
        <v>1378</v>
      </c>
      <c r="BAC2" s="26" t="n">
        <v>1379</v>
      </c>
      <c r="BAD2" s="26" t="n">
        <v>1380</v>
      </c>
      <c r="BAE2" s="26" t="n">
        <v>1381</v>
      </c>
      <c r="BAF2" s="26" t="n">
        <v>1382</v>
      </c>
      <c r="BAG2" s="26" t="n">
        <v>1383</v>
      </c>
      <c r="BAH2" s="26" t="n">
        <v>1384</v>
      </c>
      <c r="BAI2" s="26" t="n">
        <v>1385</v>
      </c>
      <c r="BAJ2" s="26" t="n">
        <v>1386</v>
      </c>
      <c r="BAK2" s="26" t="n">
        <v>1387</v>
      </c>
      <c r="BAL2" s="26" t="n">
        <v>1388</v>
      </c>
      <c r="BAM2" s="26" t="n">
        <v>1389</v>
      </c>
      <c r="BAN2" s="26" t="n">
        <v>1390</v>
      </c>
      <c r="BAO2" s="26" t="n">
        <v>1391</v>
      </c>
      <c r="BAP2" s="26" t="n">
        <v>1392</v>
      </c>
      <c r="BAQ2" s="26" t="n">
        <v>1393</v>
      </c>
      <c r="BAR2" s="26" t="n">
        <v>1394</v>
      </c>
      <c r="BAS2" s="26" t="n">
        <v>1395</v>
      </c>
      <c r="BAT2" s="26" t="n">
        <v>1396</v>
      </c>
      <c r="BAU2" s="26" t="n">
        <v>1397</v>
      </c>
      <c r="BAV2" s="26" t="n">
        <v>1398</v>
      </c>
      <c r="BAW2" s="26" t="n">
        <v>1399</v>
      </c>
      <c r="BAX2" s="26" t="n">
        <v>1400</v>
      </c>
      <c r="BAY2" s="26" t="n">
        <v>1401</v>
      </c>
      <c r="BAZ2" s="26" t="n">
        <v>1402</v>
      </c>
      <c r="BBA2" s="26" t="n">
        <v>1403</v>
      </c>
      <c r="BBB2" s="26" t="n">
        <v>1404</v>
      </c>
      <c r="BBC2" s="26" t="n">
        <v>1405</v>
      </c>
      <c r="BBD2" s="26" t="n">
        <v>1406</v>
      </c>
      <c r="BBE2" s="26" t="n">
        <v>1407</v>
      </c>
      <c r="BBF2" s="26" t="n">
        <v>1408</v>
      </c>
      <c r="BBG2" s="26" t="n">
        <v>1409</v>
      </c>
      <c r="BBH2" s="26" t="n">
        <v>1410</v>
      </c>
      <c r="BBI2" s="26" t="n">
        <v>1411</v>
      </c>
      <c r="BBJ2" s="26" t="n">
        <v>1412</v>
      </c>
      <c r="BBK2" s="26" t="n">
        <v>1413</v>
      </c>
      <c r="BBL2" s="26" t="n">
        <v>1414</v>
      </c>
      <c r="BBM2" s="26" t="n">
        <v>1415</v>
      </c>
      <c r="BBN2" s="26" t="n">
        <v>1416</v>
      </c>
      <c r="BBO2" s="26" t="n">
        <v>1417</v>
      </c>
      <c r="BBP2" s="26" t="n">
        <v>1418</v>
      </c>
      <c r="BBQ2" s="26" t="n">
        <v>1419</v>
      </c>
      <c r="BBR2" s="26" t="n">
        <v>1420</v>
      </c>
      <c r="BBS2" s="26" t="n">
        <v>1421</v>
      </c>
      <c r="BBT2" s="26" t="n">
        <v>1422</v>
      </c>
      <c r="BBU2" s="26" t="n">
        <v>1423</v>
      </c>
      <c r="BBV2" s="26" t="n">
        <v>1424</v>
      </c>
      <c r="BBW2" s="26" t="n">
        <v>1425</v>
      </c>
      <c r="BBX2" s="26" t="n">
        <v>1426</v>
      </c>
      <c r="BBY2" s="26" t="n">
        <v>1427</v>
      </c>
      <c r="BBZ2" s="26" t="n">
        <v>1428</v>
      </c>
      <c r="BCA2" s="26" t="n">
        <v>1429</v>
      </c>
      <c r="BCB2" s="26" t="n">
        <v>1430</v>
      </c>
      <c r="BCC2" s="26" t="n">
        <v>1431</v>
      </c>
      <c r="BCD2" s="26" t="n">
        <v>1432</v>
      </c>
      <c r="BCE2" s="26" t="n">
        <v>1433</v>
      </c>
      <c r="BCF2" s="26" t="n">
        <v>1434</v>
      </c>
      <c r="BCG2" s="26" t="n">
        <v>1435</v>
      </c>
      <c r="BCH2" s="26" t="n">
        <v>1436</v>
      </c>
      <c r="BCI2" s="26" t="n">
        <v>1437</v>
      </c>
      <c r="BCJ2" s="26" t="n">
        <v>1438</v>
      </c>
      <c r="BCK2" s="26" t="n">
        <v>1439</v>
      </c>
      <c r="BCL2" s="26" t="n">
        <v>1440</v>
      </c>
      <c r="BCM2" s="26" t="n">
        <v>1441</v>
      </c>
      <c r="BCN2" s="26" t="n">
        <v>1442</v>
      </c>
      <c r="BCO2" s="26" t="n">
        <v>1443</v>
      </c>
      <c r="BCP2" s="26" t="n">
        <v>1444</v>
      </c>
      <c r="BCQ2" s="26" t="n">
        <v>1445</v>
      </c>
      <c r="BCR2" s="26" t="n">
        <v>1446</v>
      </c>
      <c r="BCS2" s="26" t="n">
        <v>1447</v>
      </c>
      <c r="BCT2" s="26" t="n">
        <v>1448</v>
      </c>
      <c r="BCU2" s="26" t="n">
        <v>1449</v>
      </c>
      <c r="BCV2" s="26" t="n">
        <v>1450</v>
      </c>
      <c r="BCW2" s="26" t="n">
        <v>1451</v>
      </c>
      <c r="BCX2" s="26" t="n">
        <v>1452</v>
      </c>
      <c r="BCY2" s="26" t="n">
        <v>1453</v>
      </c>
      <c r="BCZ2" s="26" t="n">
        <v>1454</v>
      </c>
      <c r="BDA2" s="26" t="n">
        <v>1455</v>
      </c>
      <c r="BDB2" s="26" t="n">
        <v>1456</v>
      </c>
      <c r="BDC2" s="26" t="n">
        <v>1457</v>
      </c>
      <c r="BDD2" s="26" t="n">
        <v>1458</v>
      </c>
      <c r="BDE2" s="26" t="n">
        <v>1459</v>
      </c>
      <c r="BDF2" s="26" t="n">
        <v>1460</v>
      </c>
      <c r="BDG2" s="26" t="n">
        <v>1461</v>
      </c>
      <c r="BDH2" s="26" t="n">
        <v>1462</v>
      </c>
      <c r="BDI2" s="26" t="n">
        <v>1463</v>
      </c>
      <c r="BDJ2" s="26" t="n">
        <v>1464</v>
      </c>
      <c r="BDK2" s="26" t="n">
        <v>1465</v>
      </c>
      <c r="BDL2" s="26" t="n">
        <v>1466</v>
      </c>
      <c r="BDM2" s="26" t="n">
        <v>1467</v>
      </c>
      <c r="BDN2" s="26" t="n">
        <v>1468</v>
      </c>
      <c r="BDO2" s="26" t="n">
        <v>1469</v>
      </c>
      <c r="BDP2" s="26" t="n">
        <v>1470</v>
      </c>
      <c r="BDQ2" s="26" t="n">
        <v>1471</v>
      </c>
      <c r="BDR2" s="26" t="n">
        <v>1472</v>
      </c>
      <c r="BDS2" s="26" t="n">
        <v>1473</v>
      </c>
      <c r="BDT2" s="26" t="n">
        <v>1474</v>
      </c>
      <c r="BDU2" s="26" t="n">
        <v>1475</v>
      </c>
      <c r="BDV2" s="26" t="n">
        <v>1476</v>
      </c>
      <c r="BDW2" s="26" t="n">
        <v>1477</v>
      </c>
      <c r="BDX2" s="26" t="n">
        <v>1478</v>
      </c>
      <c r="BDY2" s="26" t="n">
        <v>1479</v>
      </c>
      <c r="BDZ2" s="26" t="n">
        <v>1480</v>
      </c>
      <c r="BEA2" s="26" t="n">
        <v>1481</v>
      </c>
      <c r="BEB2" s="26" t="n">
        <v>1482</v>
      </c>
      <c r="BEC2" s="26" t="n">
        <v>1483</v>
      </c>
      <c r="BED2" s="26" t="n">
        <v>1484</v>
      </c>
      <c r="BEE2" s="26" t="n">
        <v>1485</v>
      </c>
      <c r="BEF2" s="26" t="n">
        <v>1486</v>
      </c>
      <c r="BEG2" s="26" t="n">
        <v>1487</v>
      </c>
      <c r="BEH2" s="26" t="n">
        <v>1488</v>
      </c>
      <c r="BEI2" s="26" t="n">
        <v>1489</v>
      </c>
      <c r="BEJ2" s="26" t="n">
        <v>1490</v>
      </c>
      <c r="BEK2" s="26" t="n">
        <v>1491</v>
      </c>
      <c r="BEL2" s="26" t="n">
        <v>1492</v>
      </c>
      <c r="BEM2" s="26" t="n">
        <v>1493</v>
      </c>
      <c r="BEN2" s="26" t="n">
        <v>1494</v>
      </c>
      <c r="BEO2" s="26" t="n">
        <v>1495</v>
      </c>
      <c r="BEP2" s="26" t="n">
        <v>1496</v>
      </c>
      <c r="BEQ2" s="26" t="n">
        <v>1497</v>
      </c>
      <c r="BER2" s="26" t="n">
        <v>1498</v>
      </c>
      <c r="BES2" s="26" t="n">
        <v>1499</v>
      </c>
      <c r="BET2" s="26" t="n">
        <v>1500</v>
      </c>
      <c r="BEU2" s="26" t="n">
        <v>1501</v>
      </c>
      <c r="BEV2" s="26" t="n">
        <v>1502</v>
      </c>
      <c r="BEW2" s="26" t="n">
        <v>1503</v>
      </c>
      <c r="BEX2" s="26" t="n">
        <v>1504</v>
      </c>
      <c r="BEY2" s="26" t="n">
        <v>1505</v>
      </c>
      <c r="BEZ2" s="26" t="n">
        <v>1506</v>
      </c>
      <c r="BFA2" s="26" t="n">
        <v>1507</v>
      </c>
      <c r="BFB2" s="26" t="n">
        <v>1508</v>
      </c>
      <c r="BFC2" s="26" t="n">
        <v>1509</v>
      </c>
      <c r="BFD2" s="26" t="n">
        <v>1510</v>
      </c>
      <c r="BFE2" s="26" t="n">
        <v>1511</v>
      </c>
      <c r="BFF2" s="26" t="n">
        <v>1512</v>
      </c>
      <c r="BFG2" s="26" t="n">
        <v>1513</v>
      </c>
      <c r="BFH2" s="26" t="n">
        <v>1514</v>
      </c>
      <c r="BFI2" s="26" t="n">
        <v>1515</v>
      </c>
      <c r="BFJ2" s="26" t="n">
        <v>1516</v>
      </c>
      <c r="BFK2" s="26" t="n">
        <v>1517</v>
      </c>
      <c r="BFL2" s="26" t="n">
        <v>1518</v>
      </c>
      <c r="BFM2" s="26" t="n">
        <v>1519</v>
      </c>
      <c r="BFN2" s="26" t="n">
        <v>1520</v>
      </c>
      <c r="BFO2" s="26" t="n">
        <v>1521</v>
      </c>
      <c r="BFP2" s="26" t="n">
        <v>1522</v>
      </c>
      <c r="BFQ2" s="26" t="n">
        <v>1523</v>
      </c>
      <c r="BFR2" s="26" t="n">
        <v>1524</v>
      </c>
      <c r="BFS2" s="26" t="n">
        <v>1525</v>
      </c>
      <c r="BFT2" s="26" t="n">
        <v>1526</v>
      </c>
      <c r="BFU2" s="26" t="n">
        <v>1527</v>
      </c>
      <c r="BFV2" s="26" t="n">
        <v>1528</v>
      </c>
      <c r="BFW2" s="26" t="n">
        <v>1529</v>
      </c>
      <c r="BFX2" s="26" t="n">
        <v>1530</v>
      </c>
      <c r="BFY2" s="26" t="n">
        <v>1531</v>
      </c>
      <c r="BFZ2" s="26" t="n">
        <v>1532</v>
      </c>
      <c r="BGA2" s="26" t="n">
        <v>1533</v>
      </c>
      <c r="BGB2" s="26" t="n">
        <v>1534</v>
      </c>
      <c r="BGC2" s="26" t="n">
        <v>1535</v>
      </c>
      <c r="BGD2" s="26" t="n">
        <v>1536</v>
      </c>
      <c r="BGE2" s="26" t="n">
        <v>1537</v>
      </c>
      <c r="BGF2" s="26" t="n">
        <v>1538</v>
      </c>
      <c r="BGG2" s="26" t="n">
        <v>1539</v>
      </c>
      <c r="BGH2" s="26" t="n">
        <v>1540</v>
      </c>
      <c r="BGI2" s="26" t="n">
        <v>1541</v>
      </c>
      <c r="BGJ2" s="26" t="n">
        <v>1542</v>
      </c>
      <c r="BGK2" s="26" t="n">
        <v>1543</v>
      </c>
      <c r="BGL2" s="26" t="n">
        <v>1544</v>
      </c>
      <c r="BGM2" s="26" t="n">
        <v>1545</v>
      </c>
      <c r="BGN2" s="26" t="n">
        <v>1546</v>
      </c>
      <c r="BGO2" s="26" t="n">
        <v>1547</v>
      </c>
      <c r="BGP2" s="26" t="n">
        <v>1548</v>
      </c>
      <c r="BGQ2" s="26" t="n">
        <v>1549</v>
      </c>
      <c r="BGR2" s="26" t="n">
        <v>1550</v>
      </c>
      <c r="BGS2" s="26" t="n">
        <v>1551</v>
      </c>
      <c r="BGT2" s="26" t="n">
        <v>1552</v>
      </c>
      <c r="BGU2" s="26" t="n">
        <v>1553</v>
      </c>
      <c r="BGV2" s="26" t="n">
        <v>1554</v>
      </c>
      <c r="BGW2" s="26" t="n">
        <v>1555</v>
      </c>
      <c r="BGX2" s="26" t="n">
        <v>1556</v>
      </c>
      <c r="BGY2" s="26" t="n">
        <v>1557</v>
      </c>
      <c r="BGZ2" s="26" t="n">
        <v>1558</v>
      </c>
      <c r="BHA2" s="26" t="n">
        <v>1559</v>
      </c>
      <c r="BHB2" s="26" t="n">
        <v>1560</v>
      </c>
      <c r="BHC2" s="26" t="n">
        <v>1561</v>
      </c>
      <c r="BHD2" s="26" t="n">
        <v>1562</v>
      </c>
      <c r="BHE2" s="26" t="n">
        <v>1563</v>
      </c>
      <c r="BHF2" s="26" t="n">
        <v>1564</v>
      </c>
      <c r="BHG2" s="26" t="n">
        <v>1565</v>
      </c>
      <c r="BHH2" s="26" t="n">
        <v>1566</v>
      </c>
      <c r="BHI2" s="26" t="n">
        <v>1567</v>
      </c>
      <c r="BHJ2" s="26" t="n">
        <v>1568</v>
      </c>
      <c r="BHK2" s="26" t="n">
        <v>1569</v>
      </c>
      <c r="BHL2" s="26" t="n">
        <v>1570</v>
      </c>
      <c r="BHM2" s="26" t="n">
        <v>1571</v>
      </c>
      <c r="BHN2" s="26" t="n">
        <v>1572</v>
      </c>
      <c r="BHO2" s="26" t="n">
        <v>1573</v>
      </c>
      <c r="BHP2" s="26" t="n">
        <v>1574</v>
      </c>
      <c r="BHQ2" s="26" t="n">
        <v>1575</v>
      </c>
      <c r="BHR2" s="26" t="n">
        <v>1576</v>
      </c>
      <c r="BHS2" s="26" t="n">
        <v>1577</v>
      </c>
      <c r="BHT2" s="26" t="n">
        <v>1578</v>
      </c>
      <c r="BHU2" s="26" t="n">
        <v>1579</v>
      </c>
      <c r="BHV2" s="26" t="n">
        <v>1580</v>
      </c>
      <c r="BHW2" s="26" t="n">
        <v>1581</v>
      </c>
      <c r="BHX2" s="26" t="n">
        <v>1582</v>
      </c>
      <c r="BHY2" s="26" t="n">
        <v>1583</v>
      </c>
      <c r="BHZ2" s="26" t="n">
        <v>1584</v>
      </c>
      <c r="BIA2" s="26" t="n">
        <v>1585</v>
      </c>
      <c r="BIB2" s="26" t="n">
        <v>1586</v>
      </c>
      <c r="BIC2" s="26" t="n">
        <v>1587</v>
      </c>
      <c r="BID2" s="26" t="n">
        <v>1588</v>
      </c>
      <c r="BIE2" s="26" t="n">
        <v>1589</v>
      </c>
      <c r="BIF2" s="26" t="n">
        <v>1590</v>
      </c>
      <c r="BIG2" s="26" t="n">
        <v>1591</v>
      </c>
      <c r="BIH2" s="26" t="n">
        <v>1592</v>
      </c>
      <c r="BII2" s="26" t="n">
        <v>1593</v>
      </c>
      <c r="BIJ2" s="26" t="n">
        <v>1594</v>
      </c>
      <c r="BIK2" s="26" t="n">
        <v>1595</v>
      </c>
      <c r="BIL2" s="26" t="n">
        <v>1596</v>
      </c>
      <c r="BIM2" s="26" t="n">
        <v>1597</v>
      </c>
      <c r="BIN2" s="26" t="n">
        <v>1598</v>
      </c>
      <c r="BIO2" s="26" t="n">
        <v>1599</v>
      </c>
      <c r="BIP2" s="26" t="n">
        <v>1600</v>
      </c>
      <c r="BIQ2" s="26" t="n">
        <v>1601</v>
      </c>
      <c r="BIR2" s="26" t="n">
        <v>1602</v>
      </c>
      <c r="BIS2" s="26" t="n">
        <v>1603</v>
      </c>
      <c r="BIT2" s="26" t="n">
        <v>1604</v>
      </c>
      <c r="BIU2" s="26" t="n">
        <v>1605</v>
      </c>
      <c r="BIV2" s="26" t="n">
        <v>1606</v>
      </c>
      <c r="BIW2" s="26" t="n">
        <v>1607</v>
      </c>
      <c r="BIX2" s="26" t="n">
        <v>1608</v>
      </c>
      <c r="BIY2" s="26" t="n">
        <v>1609</v>
      </c>
      <c r="BIZ2" s="26" t="n">
        <v>1610</v>
      </c>
      <c r="BJA2" s="26" t="n">
        <v>1611</v>
      </c>
      <c r="BJB2" s="26" t="n">
        <v>1612</v>
      </c>
      <c r="BJC2" s="26" t="n">
        <v>1613</v>
      </c>
      <c r="BJD2" s="26" t="n">
        <v>1614</v>
      </c>
      <c r="BJE2" s="26" t="n">
        <v>1615</v>
      </c>
      <c r="BJF2" s="26" t="n">
        <v>1616</v>
      </c>
      <c r="BJG2" s="26" t="n">
        <v>1617</v>
      </c>
      <c r="BJH2" s="26" t="n">
        <v>1618</v>
      </c>
      <c r="BJI2" s="26" t="n">
        <v>1619</v>
      </c>
      <c r="BJJ2" s="26" t="n">
        <v>1620</v>
      </c>
      <c r="BJK2" s="26" t="n">
        <v>1621</v>
      </c>
      <c r="BJL2" s="26" t="n">
        <v>1622</v>
      </c>
      <c r="BJM2" s="26" t="n">
        <v>1623</v>
      </c>
      <c r="BJN2" s="26" t="n">
        <v>1624</v>
      </c>
      <c r="BJO2" s="26" t="n">
        <v>1625</v>
      </c>
      <c r="BJP2" s="26" t="n">
        <v>1626</v>
      </c>
      <c r="BJQ2" s="26" t="n">
        <v>1627</v>
      </c>
      <c r="BJR2" s="26" t="n">
        <v>1628</v>
      </c>
      <c r="BJS2" s="26" t="n">
        <v>1629</v>
      </c>
      <c r="BJT2" s="26" t="n">
        <v>1630</v>
      </c>
      <c r="BJU2" s="26" t="n">
        <v>1631</v>
      </c>
      <c r="BJV2" s="26" t="n">
        <v>1632</v>
      </c>
      <c r="BJW2" s="26" t="n">
        <v>1633</v>
      </c>
      <c r="BJX2" s="26" t="n">
        <v>1634</v>
      </c>
      <c r="BJY2" s="26" t="n">
        <v>1635</v>
      </c>
      <c r="BJZ2" s="26" t="n">
        <v>1636</v>
      </c>
      <c r="BKA2" s="26" t="n">
        <v>1637</v>
      </c>
      <c r="BKB2" s="26" t="n">
        <v>1638</v>
      </c>
      <c r="BKC2" s="26" t="n">
        <v>1639</v>
      </c>
      <c r="BKD2" s="26" t="n">
        <v>1640</v>
      </c>
      <c r="BKE2" s="26" t="n">
        <v>1641</v>
      </c>
      <c r="BKF2" s="26" t="n">
        <v>1642</v>
      </c>
      <c r="BKG2" s="26" t="n">
        <v>1643</v>
      </c>
      <c r="BKH2" s="26" t="n">
        <v>1644</v>
      </c>
      <c r="BKI2" s="26" t="n">
        <v>1645</v>
      </c>
      <c r="BKJ2" s="26" t="n">
        <v>1646</v>
      </c>
      <c r="BKK2" s="26" t="n">
        <v>1647</v>
      </c>
      <c r="BKL2" s="26" t="n">
        <v>1648</v>
      </c>
      <c r="BKM2" s="26" t="n">
        <v>1649</v>
      </c>
      <c r="BKN2" s="26" t="n">
        <v>1650</v>
      </c>
      <c r="BKO2" s="26" t="n">
        <v>1651</v>
      </c>
      <c r="BKP2" s="26" t="n">
        <v>1652</v>
      </c>
      <c r="BKQ2" s="26" t="n">
        <v>1653</v>
      </c>
      <c r="BKR2" s="26" t="n">
        <v>1654</v>
      </c>
      <c r="BKS2" s="26" t="n">
        <v>1655</v>
      </c>
      <c r="BKT2" s="26" t="n">
        <v>1656</v>
      </c>
      <c r="BKU2" s="26" t="n">
        <v>1657</v>
      </c>
      <c r="BKV2" s="26" t="n">
        <v>1658</v>
      </c>
      <c r="BKW2" s="26" t="n">
        <v>1659</v>
      </c>
      <c r="BKX2" s="26" t="n">
        <v>1660</v>
      </c>
      <c r="BKY2" s="26" t="n">
        <v>1661</v>
      </c>
      <c r="BKZ2" s="26" t="n">
        <v>1662</v>
      </c>
      <c r="BLA2" s="26" t="n">
        <v>1663</v>
      </c>
      <c r="BLB2" s="26" t="n">
        <v>1664</v>
      </c>
      <c r="BLC2" s="26" t="n">
        <v>1665</v>
      </c>
      <c r="BLD2" s="26" t="n">
        <v>1666</v>
      </c>
      <c r="BLE2" s="26" t="n">
        <v>1667</v>
      </c>
      <c r="BLF2" s="26" t="n">
        <v>1668</v>
      </c>
      <c r="BLG2" s="26" t="n">
        <v>1669</v>
      </c>
      <c r="BLH2" s="26" t="n">
        <v>1670</v>
      </c>
      <c r="BLI2" s="26" t="n">
        <v>1671</v>
      </c>
      <c r="BLJ2" s="26" t="n">
        <v>1672</v>
      </c>
      <c r="BLK2" s="26" t="n">
        <v>1673</v>
      </c>
      <c r="BLL2" s="26" t="n">
        <v>1674</v>
      </c>
      <c r="BLM2" s="26" t="n">
        <v>1675</v>
      </c>
      <c r="BLN2" s="26" t="n">
        <v>1676</v>
      </c>
      <c r="BLO2" s="26" t="n">
        <v>1677</v>
      </c>
      <c r="BLP2" s="26" t="n">
        <v>1678</v>
      </c>
      <c r="BLQ2" s="26" t="n">
        <v>1679</v>
      </c>
      <c r="BLR2" s="26" t="n">
        <v>1680</v>
      </c>
      <c r="BLS2" s="26" t="n">
        <v>1681</v>
      </c>
      <c r="BLT2" s="26" t="n">
        <v>1682</v>
      </c>
      <c r="BLU2" s="26" t="n">
        <v>1683</v>
      </c>
      <c r="BLV2" s="26" t="n">
        <v>1684</v>
      </c>
      <c r="BLW2" s="26" t="n">
        <v>1685</v>
      </c>
      <c r="BLX2" s="26" t="n">
        <v>1686</v>
      </c>
      <c r="BLY2" s="26" t="n">
        <v>1687</v>
      </c>
      <c r="BLZ2" s="26" t="n">
        <v>1688</v>
      </c>
      <c r="BMA2" s="26" t="n">
        <v>1689</v>
      </c>
      <c r="BMB2" s="26" t="n">
        <v>1690</v>
      </c>
      <c r="BMC2" s="26" t="n">
        <v>1691</v>
      </c>
      <c r="BMD2" s="26" t="n">
        <v>1692</v>
      </c>
      <c r="BME2" s="26" t="n">
        <v>1693</v>
      </c>
      <c r="BMF2" s="26" t="n">
        <v>1694</v>
      </c>
      <c r="BMG2" s="26" t="n">
        <v>1695</v>
      </c>
      <c r="BMH2" s="26" t="n">
        <v>1696</v>
      </c>
      <c r="BMI2" s="26" t="n">
        <v>1697</v>
      </c>
      <c r="BMJ2" s="26" t="n">
        <v>1698</v>
      </c>
      <c r="BMK2" s="26" t="n">
        <v>1699</v>
      </c>
      <c r="BML2" s="26" t="n">
        <v>1700</v>
      </c>
      <c r="BMM2" s="26" t="n">
        <v>1701</v>
      </c>
      <c r="BMN2" s="26" t="n">
        <v>1702</v>
      </c>
      <c r="BMO2" s="26" t="n">
        <v>1703</v>
      </c>
      <c r="BMP2" s="26" t="n">
        <v>1704</v>
      </c>
      <c r="BMQ2" s="26" t="n">
        <v>1705</v>
      </c>
      <c r="BMR2" s="26" t="n">
        <v>1706</v>
      </c>
      <c r="BMS2" s="26" t="n">
        <v>1707</v>
      </c>
      <c r="BMT2" s="26" t="n">
        <v>1708</v>
      </c>
      <c r="BMU2" s="26" t="n">
        <v>1709</v>
      </c>
      <c r="BMV2" s="26" t="n">
        <v>1710</v>
      </c>
      <c r="BMW2" s="26" t="n">
        <v>1711</v>
      </c>
      <c r="BMX2" s="26" t="n">
        <v>1712</v>
      </c>
      <c r="BMY2" s="26" t="n">
        <v>1713</v>
      </c>
      <c r="BMZ2" s="26" t="n">
        <v>1714</v>
      </c>
      <c r="BNA2" s="26" t="n">
        <v>1715</v>
      </c>
      <c r="BNB2" s="26" t="n">
        <v>1716</v>
      </c>
      <c r="BNC2" s="26" t="n">
        <v>1717</v>
      </c>
      <c r="BND2" s="26" t="n">
        <v>1718</v>
      </c>
      <c r="BNE2" s="26" t="n">
        <v>1719</v>
      </c>
      <c r="BNF2" s="26" t="n">
        <v>1720</v>
      </c>
      <c r="BNG2" s="26" t="n">
        <v>1721</v>
      </c>
      <c r="BNH2" s="26" t="n">
        <v>1722</v>
      </c>
      <c r="BNI2" s="26" t="n">
        <v>1723</v>
      </c>
      <c r="BNJ2" s="26" t="n">
        <v>1724</v>
      </c>
      <c r="BNK2" s="26" t="n">
        <v>1725</v>
      </c>
      <c r="BNL2" s="26" t="n">
        <v>1726</v>
      </c>
      <c r="BNM2" s="26" t="n">
        <v>1727</v>
      </c>
      <c r="BNN2" s="26" t="n">
        <v>1728</v>
      </c>
      <c r="BNO2" s="26" t="n">
        <v>1729</v>
      </c>
      <c r="BNP2" s="26" t="n">
        <v>1730</v>
      </c>
      <c r="BNQ2" s="26" t="n">
        <v>1731</v>
      </c>
      <c r="BNR2" s="26" t="n">
        <v>1732</v>
      </c>
      <c r="BNS2" s="26" t="n">
        <v>1733</v>
      </c>
      <c r="BNT2" s="26" t="n">
        <v>1734</v>
      </c>
      <c r="BNU2" s="26" t="n">
        <v>1735</v>
      </c>
      <c r="BNV2" s="26" t="n">
        <v>1736</v>
      </c>
      <c r="BNW2" s="26" t="n">
        <v>1737</v>
      </c>
      <c r="BNX2" s="26" t="n">
        <v>1738</v>
      </c>
      <c r="BNY2" s="26" t="n">
        <v>1739</v>
      </c>
      <c r="BNZ2" s="26" t="n">
        <v>1740</v>
      </c>
      <c r="BOA2" s="26" t="n">
        <v>1741</v>
      </c>
      <c r="BOB2" s="26" t="n">
        <v>1742</v>
      </c>
      <c r="BOC2" s="26" t="n">
        <v>1743</v>
      </c>
      <c r="BOD2" s="26" t="n">
        <v>1744</v>
      </c>
      <c r="BOE2" s="26" t="n">
        <v>1745</v>
      </c>
      <c r="BOF2" s="26" t="n">
        <v>1746</v>
      </c>
      <c r="BOG2" s="26" t="n">
        <v>1747</v>
      </c>
      <c r="BOH2" s="26" t="n">
        <v>1748</v>
      </c>
      <c r="BOI2" s="26" t="n">
        <v>1749</v>
      </c>
      <c r="BOJ2" s="26" t="n">
        <v>1750</v>
      </c>
      <c r="BOK2" s="26" t="n">
        <v>1751</v>
      </c>
      <c r="BOL2" s="26" t="n">
        <v>1752</v>
      </c>
      <c r="BOM2" s="26" t="n">
        <v>1753</v>
      </c>
      <c r="BON2" s="26" t="n">
        <v>1754</v>
      </c>
      <c r="BOO2" s="26" t="n">
        <v>1755</v>
      </c>
      <c r="BOP2" s="26" t="n">
        <v>1756</v>
      </c>
      <c r="BOQ2" s="26" t="n">
        <v>1757</v>
      </c>
      <c r="BOR2" s="26" t="n">
        <v>1758</v>
      </c>
      <c r="BOS2" s="26" t="n">
        <v>1759</v>
      </c>
      <c r="BOT2" s="26" t="n">
        <v>1760</v>
      </c>
      <c r="BOU2" s="26" t="n">
        <v>1761</v>
      </c>
      <c r="BOV2" s="26" t="n">
        <v>1762</v>
      </c>
      <c r="BOW2" s="26" t="n">
        <v>1763</v>
      </c>
      <c r="BOX2" s="26" t="n">
        <v>1764</v>
      </c>
      <c r="BOY2" s="26" t="n">
        <v>1765</v>
      </c>
      <c r="BOZ2" s="26" t="n">
        <v>1766</v>
      </c>
      <c r="BPA2" s="26" t="n">
        <v>1767</v>
      </c>
      <c r="BPB2" s="26" t="n">
        <v>1768</v>
      </c>
      <c r="BPC2" s="26" t="n">
        <v>1769</v>
      </c>
      <c r="BPD2" s="26" t="n">
        <v>1770</v>
      </c>
      <c r="BPE2" s="26" t="n">
        <v>1771</v>
      </c>
      <c r="BPF2" s="26" t="n">
        <v>1772</v>
      </c>
      <c r="BPG2" s="26" t="n">
        <v>1773</v>
      </c>
      <c r="BPH2" s="26" t="n">
        <v>1774</v>
      </c>
      <c r="BPI2" s="26" t="n">
        <v>1775</v>
      </c>
      <c r="BPJ2" s="26" t="n">
        <v>1776</v>
      </c>
      <c r="BPK2" s="26" t="n">
        <v>1777</v>
      </c>
      <c r="BPL2" s="26" t="n">
        <v>1778</v>
      </c>
      <c r="BPM2" s="26" t="n">
        <v>1779</v>
      </c>
      <c r="BPN2" s="26" t="n">
        <v>1780</v>
      </c>
      <c r="BPO2" s="26" t="n">
        <v>1781</v>
      </c>
      <c r="BPP2" s="26" t="n">
        <v>1782</v>
      </c>
      <c r="BPQ2" s="26" t="n">
        <v>1783</v>
      </c>
      <c r="BPR2" s="26" t="n">
        <v>1784</v>
      </c>
      <c r="BPS2" s="26" t="n">
        <v>1785</v>
      </c>
      <c r="BPT2" s="26" t="n">
        <v>1786</v>
      </c>
      <c r="BPU2" s="26" t="n">
        <v>1787</v>
      </c>
      <c r="BPV2" s="26" t="n">
        <v>1788</v>
      </c>
      <c r="BPW2" s="26" t="n">
        <v>1789</v>
      </c>
      <c r="BPX2" s="26" t="n">
        <v>1790</v>
      </c>
      <c r="BPY2" s="26" t="n">
        <v>1791</v>
      </c>
      <c r="BPZ2" s="26" t="n">
        <v>1792</v>
      </c>
      <c r="BQA2" s="26" t="n">
        <v>1793</v>
      </c>
      <c r="BQB2" s="26" t="n">
        <v>1794</v>
      </c>
      <c r="BQC2" s="26" t="n">
        <v>1795</v>
      </c>
      <c r="BQD2" s="26" t="n">
        <v>1796</v>
      </c>
      <c r="BQE2" s="26" t="n">
        <v>1797</v>
      </c>
      <c r="BQF2" s="26" t="n">
        <v>1798</v>
      </c>
      <c r="BQG2" s="26" t="n">
        <v>1799</v>
      </c>
      <c r="BQH2" s="26" t="n">
        <v>1800</v>
      </c>
    </row>
    <row r="3">
      <c r="A3" s="7" t="n">
        <v>1</v>
      </c>
      <c r="B3" s="7" t="n">
        <v>-0.44330390652468</v>
      </c>
      <c r="C3" s="7" t="n">
        <v>-1.87881454656643</v>
      </c>
      <c r="D3" s="7" t="n">
        <v>1.4616345651996</v>
      </c>
      <c r="E3" s="7" t="n">
        <v>0.249205941124032</v>
      </c>
      <c r="F3" s="7" t="n">
        <v>-0.973806361875301</v>
      </c>
      <c r="G3" s="7" t="n">
        <v>0.290245873346423</v>
      </c>
      <c r="H3" s="7" t="n">
        <v>0.0770033664013349</v>
      </c>
      <c r="I3" s="7" t="n">
        <v>0.540608513967248</v>
      </c>
      <c r="J3" s="7" t="n">
        <v>-0.459256102254471</v>
      </c>
      <c r="K3" s="7" t="n">
        <v>0.120406706144399</v>
      </c>
      <c r="L3" s="7" t="n">
        <v>-0.398072753486703</v>
      </c>
      <c r="M3" s="7" t="n">
        <v>0.5500742191804791</v>
      </c>
      <c r="N3" s="7" t="n">
        <v>-0.182352995083422</v>
      </c>
      <c r="O3" s="7" t="n">
        <v>-0.749530919435489</v>
      </c>
      <c r="P3" s="7" t="n">
        <v>0.546336671261943</v>
      </c>
      <c r="Q3" s="7" t="n">
        <v>-1.89513740607007</v>
      </c>
      <c r="R3" s="7" t="n">
        <v>0.513557612532287</v>
      </c>
      <c r="S3" s="7" t="n">
        <v>-0.839676460725104</v>
      </c>
      <c r="T3" s="7" t="n">
        <v>0.687736686576489</v>
      </c>
      <c r="U3" s="7" t="n">
        <v>-0.271707306675872</v>
      </c>
      <c r="V3" s="7" t="n">
        <v>0.431186263622429</v>
      </c>
      <c r="W3" s="7" t="n">
        <v>1.60146647852504</v>
      </c>
      <c r="X3" s="7" t="n">
        <v>-0.7525027549262731</v>
      </c>
      <c r="Y3" s="7" t="n">
        <v>0.156281487016016</v>
      </c>
      <c r="Z3" s="7" t="n">
        <v>1.67729079066132</v>
      </c>
      <c r="AA3" s="7" t="n">
        <v>0.66190129879447</v>
      </c>
      <c r="AB3" s="7" t="n">
        <v>-0.16285932607452</v>
      </c>
      <c r="AC3" s="7" t="n">
        <v>0.285202426973084</v>
      </c>
      <c r="AD3" s="7" t="n">
        <v>-2.40782750123378</v>
      </c>
      <c r="AE3" s="7" t="n">
        <v>-0.141907452751223</v>
      </c>
      <c r="AF3" s="7" t="n">
        <v>0.5142524885130531</v>
      </c>
      <c r="AG3" s="7" t="n">
        <v>0.259191445587744</v>
      </c>
      <c r="AH3" s="7" t="n">
        <v>0.305746547614646</v>
      </c>
      <c r="AI3" s="7" t="n">
        <v>0.699398611988436</v>
      </c>
      <c r="AJ3" s="7" t="n">
        <v>-0.727914648819828</v>
      </c>
      <c r="AK3" s="7" t="n">
        <v>-0.97380662951035</v>
      </c>
      <c r="AL3" s="7" t="n">
        <v>1.62313475609011</v>
      </c>
      <c r="AM3" s="7" t="n">
        <v>-0.8167624407752</v>
      </c>
      <c r="AN3" s="7" t="n">
        <v>-0.773404898582352</v>
      </c>
      <c r="AO3" s="7" t="n">
        <v>1.37711028304762</v>
      </c>
      <c r="AP3" s="7" t="n">
        <v>0.182912649756243</v>
      </c>
      <c r="AQ3" s="7" t="n">
        <v>-0.205689314335452</v>
      </c>
      <c r="AR3" s="7" t="n">
        <v>0.398419498998838</v>
      </c>
      <c r="AS3" s="7" t="n">
        <v>-0.324637127113455</v>
      </c>
      <c r="AT3" s="7" t="n">
        <v>-2.02081227490117</v>
      </c>
      <c r="AU3" s="7" t="n">
        <v>-1.76133728722301</v>
      </c>
      <c r="AV3" s="7" t="n">
        <v>-0.237865620477629</v>
      </c>
      <c r="AW3" s="7" t="n">
        <v>0.564926240830435</v>
      </c>
      <c r="AX3" s="7" t="n">
        <v>-2.49931892994767</v>
      </c>
      <c r="AY3" s="7" t="n">
        <v>0.558931192551674</v>
      </c>
      <c r="AZ3" s="7" t="n">
        <v>0.133033285014159</v>
      </c>
      <c r="BA3" s="7" t="n">
        <v>1.13943608641435</v>
      </c>
      <c r="BB3" s="7" t="n">
        <v>-0.609470893052299</v>
      </c>
      <c r="BC3" s="7" t="n">
        <v>0.146171053503171</v>
      </c>
      <c r="BD3" s="7" t="n">
        <v>0.8384017739698399</v>
      </c>
      <c r="BE3" s="7" t="n">
        <v>0.825455946098562</v>
      </c>
      <c r="BF3" s="7" t="n">
        <v>-0.253648231002622</v>
      </c>
      <c r="BG3" s="7" t="n">
        <v>0.204652009772674</v>
      </c>
      <c r="BH3" s="7" t="n">
        <v>-0.611729889611817</v>
      </c>
      <c r="BI3" s="7" t="n">
        <v>-0.5351406412554091</v>
      </c>
      <c r="BJ3" s="7" t="n">
        <v>0.281560137443507</v>
      </c>
      <c r="BK3" s="7" t="n">
        <v>-0.0312235958775556</v>
      </c>
      <c r="BL3" s="7" t="n">
        <v>0.0266068843519687</v>
      </c>
      <c r="BM3" s="7" t="n">
        <v>0.18382938590707</v>
      </c>
      <c r="BN3" s="7" t="n">
        <v>-0.161831210468841</v>
      </c>
      <c r="BO3" s="7" t="n">
        <v>1.53291376779817</v>
      </c>
      <c r="BP3" s="7" t="n">
        <v>1.90827217652534</v>
      </c>
      <c r="BQ3" s="7" t="n">
        <v>0.237170126260373</v>
      </c>
      <c r="BR3" s="7" t="n">
        <v>-1.1856282126715</v>
      </c>
      <c r="BS3" s="7" t="n">
        <v>-0.159162170458202</v>
      </c>
      <c r="BT3" s="7" t="n">
        <v>-0.101903924716333</v>
      </c>
      <c r="BU3" s="7" t="n">
        <v>-0.602854002268544</v>
      </c>
      <c r="BV3" s="7" t="n">
        <v>-0.0792248995260386</v>
      </c>
      <c r="BW3" s="7" t="n">
        <v>0.0310688482657932</v>
      </c>
      <c r="BX3" s="7" t="n">
        <v>-0.573040880993253</v>
      </c>
      <c r="BY3" s="7" t="n">
        <v>-0.653960381643433</v>
      </c>
      <c r="BZ3" s="7" t="n">
        <v>-0.8198856228000549</v>
      </c>
      <c r="CA3" s="7" t="n">
        <v>-0.478733603329104</v>
      </c>
      <c r="CB3" s="7" t="n">
        <v>-0.128698078899696</v>
      </c>
      <c r="CC3" s="7" t="n">
        <v>-1.78111668085057</v>
      </c>
      <c r="CD3" s="7" t="n">
        <v>-0.5852644366163871</v>
      </c>
      <c r="CE3" s="7" t="n">
        <v>0.591264783783077</v>
      </c>
      <c r="CF3" s="7" t="n">
        <v>0.265673370078445</v>
      </c>
      <c r="CG3" s="7" t="n">
        <v>0.897142653631011</v>
      </c>
      <c r="CH3" s="7" t="n">
        <v>-1.61169871779787</v>
      </c>
      <c r="CI3" s="7" t="n">
        <v>-0.571639537934291</v>
      </c>
      <c r="CJ3" s="7" t="n">
        <v>-0.843371409240076</v>
      </c>
      <c r="CK3" s="7" t="n">
        <v>1.75564306079098</v>
      </c>
      <c r="CL3" s="7" t="n">
        <v>-1.09373304538456</v>
      </c>
      <c r="CM3" s="7" t="n">
        <v>-0.401798342656151</v>
      </c>
      <c r="CN3" s="7" t="n">
        <v>1.51176142861898</v>
      </c>
      <c r="CO3" s="7" t="n">
        <v>0.239586496790751</v>
      </c>
      <c r="CP3" s="7" t="n">
        <v>-0.199174726084207</v>
      </c>
      <c r="CQ3" s="7" t="n">
        <v>1.9145427778803</v>
      </c>
      <c r="CR3" s="7" t="n">
        <v>-0.662644974898366</v>
      </c>
      <c r="CS3" s="7" t="n">
        <v>-1.30637789265418</v>
      </c>
      <c r="CT3" s="7" t="n">
        <v>-0.123225078656804</v>
      </c>
      <c r="CU3" s="7" t="n">
        <v>0.137704185501803</v>
      </c>
      <c r="CV3" s="7" t="n">
        <v>0.272772375456447</v>
      </c>
      <c r="CW3" s="7" t="n">
        <v>-0.82724199861231</v>
      </c>
      <c r="CX3" s="7" t="n">
        <v>0.0618615595769381</v>
      </c>
      <c r="CY3" s="7" t="n">
        <v>0.5660532956545939</v>
      </c>
      <c r="CZ3" s="7" t="n">
        <v>1.30204938748446</v>
      </c>
      <c r="DA3" s="7" t="n">
        <v>0.16748207978563</v>
      </c>
      <c r="DB3" s="7" t="n">
        <v>0.354039947770665</v>
      </c>
      <c r="DC3" s="7" t="n">
        <v>0.438631713674177</v>
      </c>
      <c r="DD3" s="7" t="n">
        <v>-0.52115696763654</v>
      </c>
      <c r="DE3" s="7" t="n">
        <v>0.137415896308167</v>
      </c>
      <c r="DF3" s="7" t="n">
        <v>2.26881547524744</v>
      </c>
      <c r="DG3" s="7" t="n">
        <v>0.5596099945516551</v>
      </c>
      <c r="DH3" s="7" t="n">
        <v>0.471293520508863</v>
      </c>
      <c r="DI3" s="7" t="n">
        <v>-0.642002760316203</v>
      </c>
      <c r="DJ3" s="7" t="n">
        <v>-0.0195155608293714</v>
      </c>
      <c r="DK3" s="7" t="n">
        <v>0.0661575644332615</v>
      </c>
      <c r="DL3" s="7" t="n">
        <v>-0.301521575078076</v>
      </c>
      <c r="DM3" s="7" t="n">
        <v>-0.374967959287961</v>
      </c>
      <c r="DN3" s="7" t="n">
        <v>0.205712021585061</v>
      </c>
      <c r="DO3" s="7" t="n">
        <v>-0.954846971446885</v>
      </c>
      <c r="DP3" s="7" t="n">
        <v>1.58113320397195</v>
      </c>
      <c r="DQ3" s="7" t="n">
        <v>1.60167562370015</v>
      </c>
      <c r="DR3" s="7" t="n">
        <v>1.00017002699742</v>
      </c>
      <c r="DS3" s="7" t="n">
        <v>0.117755275217519</v>
      </c>
      <c r="DT3" s="7" t="n">
        <v>0.0452583839409642</v>
      </c>
      <c r="DU3" s="7" t="n">
        <v>0.344705810853384</v>
      </c>
      <c r="DV3" s="7" t="n">
        <v>0.164982341578286</v>
      </c>
      <c r="DW3" s="7" t="n">
        <v>0.963073238412204</v>
      </c>
      <c r="DX3" s="7" t="n">
        <v>-0.835251315662965</v>
      </c>
      <c r="DY3" s="7" t="n">
        <v>0.715966098971956</v>
      </c>
      <c r="DZ3" s="7" t="n">
        <v>-0.7423192176857339</v>
      </c>
      <c r="EA3" s="7" t="n">
        <v>-0.168834430139876</v>
      </c>
      <c r="EB3" s="7" t="n">
        <v>0.204417906980808</v>
      </c>
      <c r="EC3" s="7" t="n">
        <v>0.520092300212715</v>
      </c>
      <c r="ED3" s="7" t="n">
        <v>-0.631771182373598</v>
      </c>
      <c r="EE3" s="7" t="n">
        <v>0.113607333421105</v>
      </c>
      <c r="EF3" s="7" t="n">
        <v>-0.692320124851875</v>
      </c>
      <c r="EG3" s="7" t="n">
        <v>0.319246559164511</v>
      </c>
      <c r="EH3" s="7" t="n">
        <v>2.00054804903072</v>
      </c>
      <c r="EI3" s="7" t="n">
        <v>-0.619725330668257</v>
      </c>
      <c r="EJ3" s="7" t="n">
        <v>0.908597393974779</v>
      </c>
      <c r="EK3" s="7" t="n">
        <v>1.26069894608979</v>
      </c>
      <c r="EL3" s="7" t="n">
        <v>0.138081487102269</v>
      </c>
      <c r="EM3" s="7" t="n">
        <v>-0.844072324175407</v>
      </c>
      <c r="EN3" s="7" t="n">
        <v>-1.15526643548977</v>
      </c>
      <c r="EO3" s="7" t="n">
        <v>1.43334560463281</v>
      </c>
      <c r="EP3" s="7" t="n">
        <v>-1.42572693653606</v>
      </c>
      <c r="EQ3" s="7" t="n">
        <v>-0.542618943466485</v>
      </c>
      <c r="ER3" s="7" t="n">
        <v>0.0366878354303649</v>
      </c>
      <c r="ES3" s="7" t="n">
        <v>0.368661117337944</v>
      </c>
      <c r="ET3" s="7" t="n">
        <v>1.25198579419624</v>
      </c>
      <c r="EU3" s="7" t="n">
        <v>0.572361695072068</v>
      </c>
      <c r="EV3" s="7" t="n">
        <v>-0.22460888679743</v>
      </c>
      <c r="EW3" s="7" t="n">
        <v>1.47080611066565</v>
      </c>
      <c r="EX3" s="7" t="n">
        <v>0.452944952153006</v>
      </c>
      <c r="EY3" s="7" t="n">
        <v>0.408724078426522</v>
      </c>
      <c r="EZ3" s="7" t="n">
        <v>0.885625977342607</v>
      </c>
      <c r="FA3" s="7" t="n">
        <v>0.87194533220851</v>
      </c>
      <c r="FB3" s="7" t="n">
        <v>-0.915088032876085</v>
      </c>
      <c r="FC3" s="7" t="n">
        <v>0.703908581510947</v>
      </c>
      <c r="FD3" s="7" t="n">
        <v>-0.6448378719826759</v>
      </c>
      <c r="FE3" s="7" t="n">
        <v>-0.25258525524182</v>
      </c>
      <c r="FF3" s="7" t="n">
        <v>-0.812621388948969</v>
      </c>
      <c r="FG3" s="7" t="n">
        <v>0.866150659791324</v>
      </c>
      <c r="FH3" s="7" t="n">
        <v>0.180381225113326</v>
      </c>
      <c r="FI3" s="7" t="n">
        <v>-0.175631890360708</v>
      </c>
      <c r="FJ3" s="7" t="n">
        <v>-0.5606360845885719</v>
      </c>
      <c r="FK3" s="7" t="n">
        <v>0.6072382011503979</v>
      </c>
      <c r="FL3" s="7" t="n">
        <v>0.801479256583853</v>
      </c>
      <c r="FM3" s="7" t="n">
        <v>2.71369056346787</v>
      </c>
      <c r="FN3" s="7" t="n">
        <v>-2.01089600980935</v>
      </c>
      <c r="FO3" s="7" t="n">
        <v>-0.353350469047905</v>
      </c>
      <c r="FP3" s="7" t="n">
        <v>0.904718429624185</v>
      </c>
      <c r="FQ3" s="7" t="n">
        <v>0.872134225607632</v>
      </c>
      <c r="FR3" s="7" t="n">
        <v>-0.959205083349328</v>
      </c>
      <c r="FS3" s="7" t="n">
        <v>0.233700097853773</v>
      </c>
      <c r="FT3" s="7" t="n">
        <v>-2.18215508665984</v>
      </c>
      <c r="FU3" s="7" t="n">
        <v>0.0596231926027595</v>
      </c>
      <c r="FV3" s="7" t="n">
        <v>1.45115448961271</v>
      </c>
      <c r="FW3" s="7" t="n">
        <v>-1.81132626191196</v>
      </c>
      <c r="FX3" s="7" t="n">
        <v>-1.0992845418983</v>
      </c>
      <c r="FY3" s="7" t="n">
        <v>0.725039177471057</v>
      </c>
      <c r="FZ3" s="7" t="n">
        <v>-0.0479654034132512</v>
      </c>
      <c r="GA3" s="7" t="n">
        <v>-0.5530196243055721</v>
      </c>
      <c r="GB3" s="7" t="n">
        <v>-0.849672874855138</v>
      </c>
      <c r="GC3" s="7" t="n">
        <v>0.464040677705029</v>
      </c>
      <c r="GD3" s="7" t="n">
        <v>0.389320642377781</v>
      </c>
      <c r="GE3" s="7" t="n">
        <v>-1.05386660155499</v>
      </c>
      <c r="GF3" s="7" t="n">
        <v>-0.328370058903022</v>
      </c>
      <c r="GG3" s="7" t="n">
        <v>1.28889110509338</v>
      </c>
      <c r="GH3" s="7" t="n">
        <v>-0.138047582285806</v>
      </c>
      <c r="GI3" s="7" t="n">
        <v>0.517267495377171</v>
      </c>
      <c r="GJ3" s="7" t="n">
        <v>0.563975835983187</v>
      </c>
      <c r="GK3" s="7" t="n">
        <v>-0.676450461991617</v>
      </c>
      <c r="GL3" s="7" t="n">
        <v>1.18996909277225</v>
      </c>
      <c r="GM3" s="7" t="n">
        <v>0.526772321198937</v>
      </c>
      <c r="GN3" s="7" t="n">
        <v>1.33785358700108</v>
      </c>
      <c r="GO3" s="7" t="n">
        <v>-0.823947958453896</v>
      </c>
      <c r="GP3" s="7" t="n">
        <v>0.252868133059702</v>
      </c>
      <c r="GQ3" s="7" t="n">
        <v>0.918318951742559</v>
      </c>
      <c r="GR3" s="7" t="n">
        <v>-2.07430295108552</v>
      </c>
      <c r="GS3" s="7" t="n">
        <v>0.334974026846792</v>
      </c>
      <c r="GT3" s="7" t="n">
        <v>-0.529625178921041</v>
      </c>
      <c r="GU3" s="7" t="n">
        <v>-0.417506488864348</v>
      </c>
      <c r="GV3" s="7" t="n">
        <v>-1.47343507661206</v>
      </c>
      <c r="GW3" s="7" t="n">
        <v>-0.0388690436062341</v>
      </c>
      <c r="GX3" s="7" t="n">
        <v>0.940311605487807</v>
      </c>
      <c r="GY3" s="7" t="n">
        <v>-1.05225370972043</v>
      </c>
      <c r="GZ3" s="7" t="n">
        <v>1.31242739325999</v>
      </c>
      <c r="HA3" s="7" t="n">
        <v>-1.19891587756435</v>
      </c>
      <c r="HB3" s="7" t="n">
        <v>1.35369250757151</v>
      </c>
      <c r="HC3" s="7" t="n">
        <v>1.48309507503409</v>
      </c>
      <c r="HD3" s="7" t="n">
        <v>0.6325870836486031</v>
      </c>
      <c r="HE3" s="7" t="n">
        <v>1.84189985662584</v>
      </c>
      <c r="HF3" s="7" t="n">
        <v>1.1306269051491</v>
      </c>
      <c r="HG3" s="7" t="n">
        <v>0.0306651869962053</v>
      </c>
      <c r="HH3" s="7" t="n">
        <v>-0.242723637507168</v>
      </c>
      <c r="HI3" s="7" t="n">
        <v>0.394997835326215</v>
      </c>
      <c r="HJ3" s="7" t="n">
        <v>0.693814220100229</v>
      </c>
      <c r="HK3" s="7" t="n">
        <v>-0.621577427787632</v>
      </c>
      <c r="HL3" s="7" t="n">
        <v>0.583611968288235</v>
      </c>
      <c r="HM3" s="7" t="n">
        <v>0.7640182424223509</v>
      </c>
      <c r="HN3" s="7" t="n">
        <v>-1.48809127768709</v>
      </c>
      <c r="HO3" s="7" t="n">
        <v>0.0559811985095711</v>
      </c>
      <c r="HP3" s="7" t="n">
        <v>-2.14059726986802</v>
      </c>
      <c r="HQ3" s="7" t="n">
        <v>-0.84174142289033</v>
      </c>
      <c r="HR3" s="7" t="n">
        <v>-0.662610013072343</v>
      </c>
      <c r="HS3" s="7" t="n">
        <v>0.0554478704145626</v>
      </c>
      <c r="HT3" s="7" t="n">
        <v>-2.02902315122967</v>
      </c>
      <c r="HU3" s="7" t="n">
        <v>0.636459650167516</v>
      </c>
      <c r="HV3" s="7" t="n">
        <v>-0.9772000096033781</v>
      </c>
      <c r="HW3" s="7" t="n">
        <v>0.789887386644917</v>
      </c>
      <c r="HX3" s="7" t="n">
        <v>1.25501775259238</v>
      </c>
      <c r="HY3" s="7" t="n">
        <v>-0.902728664360592</v>
      </c>
      <c r="HZ3" s="7" t="n">
        <v>0.370783544730965</v>
      </c>
      <c r="IA3" s="7" t="n">
        <v>1.39741994765183</v>
      </c>
      <c r="IB3" s="7" t="n">
        <v>-0.6800314152435259</v>
      </c>
      <c r="IC3" s="7" t="n">
        <v>1.83560714176172</v>
      </c>
      <c r="ID3" s="7" t="n">
        <v>1.63622384640898</v>
      </c>
      <c r="IE3" s="7" t="n">
        <v>0.319184753784503</v>
      </c>
      <c r="IF3" s="7" t="n">
        <v>1.05261724596978</v>
      </c>
      <c r="IG3" s="7" t="n">
        <v>-0.720408786806888</v>
      </c>
      <c r="IH3" s="7" t="n">
        <v>-1.21873942584884</v>
      </c>
      <c r="II3" s="7" t="n">
        <v>-1.60676826150489</v>
      </c>
      <c r="IJ3" s="7" t="n">
        <v>-1.35727064706551</v>
      </c>
      <c r="IK3" s="7" t="n">
        <v>-1.38488931607297</v>
      </c>
      <c r="IL3" s="7" t="n">
        <v>0.491118032922025</v>
      </c>
      <c r="IM3" s="7" t="n">
        <v>-0.571030638025212</v>
      </c>
      <c r="IN3" s="7" t="n">
        <v>1.76177651918759</v>
      </c>
      <c r="IO3" s="7" t="n">
        <v>1.0356364515908</v>
      </c>
      <c r="IP3" s="7" t="n">
        <v>2.16863046325896</v>
      </c>
      <c r="IQ3" s="7" t="n">
        <v>-0.558130031860394</v>
      </c>
      <c r="IR3" s="7" t="n">
        <v>1.27282578244121</v>
      </c>
      <c r="IS3" s="7" t="n">
        <v>-0.0994217321039103</v>
      </c>
      <c r="IT3" s="7" t="n">
        <v>-0.0498022692415425</v>
      </c>
      <c r="IU3" s="7" t="n">
        <v>0.9929178082690689</v>
      </c>
      <c r="IV3" s="7" t="n">
        <v>0.0780331713301107</v>
      </c>
      <c r="IW3" s="7" t="n">
        <v>-0.74293477278132</v>
      </c>
      <c r="IX3" s="7" t="n">
        <v>1.83967357983059</v>
      </c>
      <c r="IY3" s="7" t="n">
        <v>-0.426794056569563</v>
      </c>
      <c r="IZ3" s="7" t="n">
        <v>0.660812743065994</v>
      </c>
      <c r="JA3" s="7" t="n">
        <v>0.393925671444545</v>
      </c>
      <c r="JB3" s="7" t="n">
        <v>-1.02622904291526</v>
      </c>
      <c r="JC3" s="7" t="n">
        <v>0.709552191899405</v>
      </c>
      <c r="JD3" s="7" t="n">
        <v>0.839273566444144</v>
      </c>
      <c r="JE3" s="7" t="n">
        <v>-1.13770045593085</v>
      </c>
      <c r="JF3" s="7" t="n">
        <v>-1.38661798208665</v>
      </c>
      <c r="JG3" s="7" t="n">
        <v>-1.26860004771891</v>
      </c>
      <c r="JH3" s="7" t="n">
        <v>1.2475926761177</v>
      </c>
      <c r="JI3" s="7" t="n">
        <v>-0.335985923852765</v>
      </c>
      <c r="JJ3" s="7" t="n">
        <v>1.01785401960375</v>
      </c>
      <c r="JK3" s="7" t="n">
        <v>-0.663836512173009</v>
      </c>
      <c r="JL3" s="7" t="n">
        <v>0.51183685545349</v>
      </c>
      <c r="JM3" s="7" t="n">
        <v>-1.42275736399754</v>
      </c>
      <c r="JN3" s="7" t="n">
        <v>-0.283784391941806</v>
      </c>
      <c r="JO3" s="7" t="n">
        <v>0.46929761938669</v>
      </c>
      <c r="JP3" s="7" t="n">
        <v>-0.6584871062365421</v>
      </c>
      <c r="JQ3" s="7" t="n">
        <v>-1.72633010907657</v>
      </c>
      <c r="JR3" s="7" t="n">
        <v>0.335269151565682</v>
      </c>
      <c r="JS3" s="7" t="n">
        <v>-1.03120555228268</v>
      </c>
      <c r="JT3" s="7" t="n">
        <v>-0.828264075390801</v>
      </c>
      <c r="JU3" s="7" t="n">
        <v>1.3821303002045</v>
      </c>
      <c r="JV3" s="7" t="n">
        <v>1.69526587158118</v>
      </c>
      <c r="JW3" s="7" t="n">
        <v>-0.147437306108802</v>
      </c>
      <c r="JX3" s="7" t="n">
        <v>-0.254934635221258</v>
      </c>
      <c r="JY3" s="7" t="n">
        <v>0.146290135926018</v>
      </c>
      <c r="JZ3" s="7" t="n">
        <v>-2.10678976001672</v>
      </c>
      <c r="KA3" s="7" t="n">
        <v>-0.846714329285934</v>
      </c>
      <c r="KB3" s="7" t="n">
        <v>0.504415830708997</v>
      </c>
      <c r="KC3" s="7" t="n">
        <v>0.923622994251885</v>
      </c>
      <c r="KD3" s="7" t="n">
        <v>-0.21944900205796</v>
      </c>
      <c r="KE3" s="7" t="n">
        <v>-0.451466957277241</v>
      </c>
      <c r="KF3" s="7" t="n">
        <v>0.158573583469528</v>
      </c>
      <c r="KG3" s="7" t="n">
        <v>-0.889444236951678</v>
      </c>
      <c r="KH3" s="7" t="n">
        <v>-1.75301738952607</v>
      </c>
      <c r="KI3" s="7" t="n">
        <v>-0.111805470663509</v>
      </c>
      <c r="KJ3" s="7" t="n">
        <v>2.1280548292871</v>
      </c>
      <c r="KK3" s="7" t="n">
        <v>0.158084888262762</v>
      </c>
      <c r="KL3" s="7" t="n">
        <v>3.61714675786849</v>
      </c>
      <c r="KM3" s="7" t="n">
        <v>0.54994154722408</v>
      </c>
      <c r="KN3" s="7" t="n">
        <v>1.49348743554506</v>
      </c>
      <c r="KO3" s="7" t="n">
        <v>-0.193924760121624</v>
      </c>
      <c r="KP3" s="7" t="n">
        <v>-2.01010662615636</v>
      </c>
      <c r="KQ3" s="7" t="n">
        <v>-0.449428408437561</v>
      </c>
      <c r="KR3" s="7" t="n">
        <v>0.607921424021904</v>
      </c>
      <c r="KS3" s="7" t="n">
        <v>-0.847677620532309</v>
      </c>
      <c r="KT3" s="7" t="n">
        <v>0.741689659497256</v>
      </c>
      <c r="KU3" s="7" t="n">
        <v>-0.0984617044505173</v>
      </c>
      <c r="KV3" s="7" t="n">
        <v>-1.03160033451558</v>
      </c>
      <c r="KW3" s="7" t="n">
        <v>1.34021342176722</v>
      </c>
      <c r="KX3" s="7" t="n">
        <v>0.7434472973663721</v>
      </c>
      <c r="KY3" s="7" t="n">
        <v>-0.771426045885134</v>
      </c>
      <c r="KZ3" s="7" t="n">
        <v>0.0625697949032275</v>
      </c>
      <c r="LA3" s="7" t="n">
        <v>1.29951980706609</v>
      </c>
      <c r="LB3" s="7" t="n">
        <v>-2.55416757405573</v>
      </c>
      <c r="LC3" s="7" t="n">
        <v>1.74212177658105</v>
      </c>
      <c r="LD3" s="7" t="n">
        <v>-1.2431948763075</v>
      </c>
      <c r="LE3" s="7" t="n">
        <v>1.2764422251613</v>
      </c>
      <c r="LF3" s="7" t="n">
        <v>0.824731134363956</v>
      </c>
      <c r="LG3" s="7" t="n">
        <v>0.562426651486256</v>
      </c>
      <c r="LH3" s="7" t="n">
        <v>0.383563487377413</v>
      </c>
      <c r="LI3" s="7" t="n">
        <v>0.698400146747972</v>
      </c>
      <c r="LJ3" s="7" t="n">
        <v>0.816972281530745</v>
      </c>
      <c r="LK3" s="7" t="n">
        <v>0.494594971360012</v>
      </c>
      <c r="LL3" s="7" t="n">
        <v>0.101364783336529</v>
      </c>
      <c r="LM3" s="7" t="n">
        <v>0.319513796986543</v>
      </c>
      <c r="LN3" s="7" t="n">
        <v>1.05453245038663</v>
      </c>
      <c r="LO3" s="7" t="n">
        <v>0.468629242511546</v>
      </c>
      <c r="LP3" s="7" t="n">
        <v>-1.06836966834354</v>
      </c>
      <c r="LQ3" s="7" t="n">
        <v>1.52651649535356</v>
      </c>
      <c r="LR3" s="7" t="n">
        <v>0.444424812791473</v>
      </c>
      <c r="LS3" s="7" t="n">
        <v>-0.204419955359204</v>
      </c>
      <c r="LT3" s="7" t="n">
        <v>-0.792872016053202</v>
      </c>
      <c r="LU3" s="7" t="n">
        <v>-1.5163909434388</v>
      </c>
      <c r="LV3" s="7" t="n">
        <v>-0.894200620436911</v>
      </c>
      <c r="LW3" s="7" t="n">
        <v>0.0596356990430382</v>
      </c>
      <c r="LX3" s="7" t="n">
        <v>-1.45531363682199</v>
      </c>
      <c r="LY3" s="7" t="n">
        <v>-0.136664121575391</v>
      </c>
      <c r="LZ3" s="7" t="n">
        <v>-0.171672110990953</v>
      </c>
      <c r="MA3" s="7" t="n">
        <v>-0.867656864334918</v>
      </c>
      <c r="MB3" s="7" t="n">
        <v>-0.304514041478178</v>
      </c>
      <c r="MC3" s="7" t="n">
        <v>-0.0585493475954812</v>
      </c>
      <c r="MD3" s="7" t="n">
        <v>1.17847493589942</v>
      </c>
      <c r="ME3" s="7" t="n">
        <v>0.687369059337068</v>
      </c>
      <c r="MF3" s="7" t="n">
        <v>0.395980402624086</v>
      </c>
      <c r="MG3" s="7" t="n">
        <v>0.548232954867272</v>
      </c>
      <c r="MH3" s="7" t="n">
        <v>0.559848703622188</v>
      </c>
      <c r="MI3" s="7" t="n">
        <v>-0.706592437525853</v>
      </c>
      <c r="MJ3" s="7" t="n">
        <v>-0.848056489224312</v>
      </c>
      <c r="MK3" s="7" t="n">
        <v>-0.6146166543710579</v>
      </c>
      <c r="ML3" s="7" t="n">
        <v>-0.543663942309895</v>
      </c>
      <c r="MM3" s="7" t="n">
        <v>-1.0956134668653</v>
      </c>
      <c r="MN3" s="7" t="n">
        <v>-1.7834532157092</v>
      </c>
      <c r="MO3" s="7" t="n">
        <v>1.45185358416224</v>
      </c>
      <c r="MP3" s="7" t="n">
        <v>1.32689709820626</v>
      </c>
      <c r="MQ3" s="7" t="n">
        <v>0.486968031184603</v>
      </c>
      <c r="MR3" s="7" t="n">
        <v>0.203049190402127</v>
      </c>
      <c r="MS3" s="7" t="n">
        <v>0.35314289106716</v>
      </c>
      <c r="MT3" s="7" t="n">
        <v>-0.543961686545624</v>
      </c>
      <c r="MU3" s="7" t="n">
        <v>-1.06792796385399</v>
      </c>
      <c r="MV3" s="7" t="n">
        <v>0.853721491321816</v>
      </c>
      <c r="MW3" s="7" t="n">
        <v>-0.44110074810188</v>
      </c>
      <c r="MX3" s="7" t="n">
        <v>-0.673306739975385</v>
      </c>
      <c r="MY3" s="7" t="n">
        <v>1.31675698234044</v>
      </c>
      <c r="MZ3" s="7" t="n">
        <v>0.274365516387628</v>
      </c>
      <c r="NA3" s="7" t="n">
        <v>0.729819427206839</v>
      </c>
      <c r="NB3" s="7" t="n">
        <v>-0.690371728443454</v>
      </c>
      <c r="NC3" s="7" t="n">
        <v>1.30643559753477</v>
      </c>
      <c r="ND3" s="7" t="n">
        <v>-0.120437325823464</v>
      </c>
      <c r="NE3" s="7" t="n">
        <v>-0.322561421860283</v>
      </c>
      <c r="NF3" s="7" t="n">
        <v>0.740870353392151</v>
      </c>
      <c r="NG3" s="7" t="n">
        <v>2.14102012728221</v>
      </c>
      <c r="NH3" s="7" t="n">
        <v>0.843043167978044</v>
      </c>
      <c r="NI3" s="7" t="n">
        <v>1.05832628046057</v>
      </c>
      <c r="NJ3" s="7" t="n">
        <v>1.3403358599909</v>
      </c>
      <c r="NK3" s="7" t="n">
        <v>-0.180942711654068</v>
      </c>
      <c r="NL3" s="7" t="n">
        <v>0.215517524677187</v>
      </c>
      <c r="NM3" s="7" t="n">
        <v>-0.0742678507688859</v>
      </c>
      <c r="NN3" s="7" t="n">
        <v>-1.0006284068183</v>
      </c>
      <c r="NO3" s="7" t="n">
        <v>0.374606837531375</v>
      </c>
      <c r="NP3" s="7" t="n">
        <v>-0.473710619387449</v>
      </c>
      <c r="NQ3" s="7" t="n">
        <v>-0.990129948621575</v>
      </c>
      <c r="NR3" s="7" t="n">
        <v>-0.5512522317688739</v>
      </c>
      <c r="NS3" s="7" t="n">
        <v>1.36218973710397</v>
      </c>
      <c r="NT3" s="7" t="n">
        <v>0.031985327319464</v>
      </c>
      <c r="NU3" s="7" t="n">
        <v>-0.25802467906904</v>
      </c>
      <c r="NV3" s="7" t="n">
        <v>0.731010870454076</v>
      </c>
      <c r="NW3" s="7" t="n">
        <v>-0.111739637296278</v>
      </c>
      <c r="NX3" s="7" t="n">
        <v>0.106360527521642</v>
      </c>
      <c r="NY3" s="7" t="n">
        <v>0.666154022821308</v>
      </c>
      <c r="NZ3" s="7" t="n">
        <v>-0.0536879101956215</v>
      </c>
      <c r="OA3" s="7" t="n">
        <v>-0.742890965860866</v>
      </c>
      <c r="OB3" s="7" t="n">
        <v>1.53942559450705</v>
      </c>
      <c r="OC3" s="7" t="n">
        <v>0.179041904280671</v>
      </c>
      <c r="OD3" s="7" t="n">
        <v>0.8663186951003971</v>
      </c>
      <c r="OE3" s="7" t="n">
        <v>1.39648329917123</v>
      </c>
      <c r="OF3" s="7" t="n">
        <v>-1.07325744377144</v>
      </c>
      <c r="OG3" s="7" t="n">
        <v>1.41215043143276</v>
      </c>
      <c r="OH3" s="7" t="n">
        <v>1.20152820898202</v>
      </c>
      <c r="OI3" s="7" t="n">
        <v>-0.189803265470252</v>
      </c>
      <c r="OJ3" s="7" t="n">
        <v>-0.441142244885155</v>
      </c>
      <c r="OK3" s="7" t="n">
        <v>0.256523013544756</v>
      </c>
      <c r="OL3" s="7" t="n">
        <v>-1.57061019415082</v>
      </c>
      <c r="OM3" s="7" t="n">
        <v>0.8521580364735351</v>
      </c>
      <c r="ON3" s="7" t="n">
        <v>1.19600397683523</v>
      </c>
      <c r="OO3" s="7" t="n">
        <v>-2.21047729424088</v>
      </c>
      <c r="OP3" s="7" t="n">
        <v>-0.156994187643404</v>
      </c>
      <c r="OQ3" s="7" t="n">
        <v>1.51627876439215</v>
      </c>
      <c r="OR3" s="7" t="n">
        <v>0.341065816538994</v>
      </c>
      <c r="OS3" s="7" t="n">
        <v>-1.58901325948357</v>
      </c>
      <c r="OT3" s="7" t="n">
        <v>-0.0933729241511695</v>
      </c>
      <c r="OU3" s="7" t="n">
        <v>0.174908609160611</v>
      </c>
      <c r="OV3" s="7" t="n">
        <v>-0.0926476534606552</v>
      </c>
      <c r="OW3" s="7" t="n">
        <v>-0.850525827271181</v>
      </c>
      <c r="OX3" s="7" t="n">
        <v>-0.236115265256697</v>
      </c>
      <c r="OY3" s="7" t="n">
        <v>-0.221688545913365</v>
      </c>
      <c r="OZ3" s="7" t="n">
        <v>-1.31554731714744</v>
      </c>
      <c r="PA3" s="7" t="n">
        <v>-0.522924291762882</v>
      </c>
      <c r="PB3" s="7" t="n">
        <v>0.25689706893542</v>
      </c>
      <c r="PC3" s="7" t="n">
        <v>0.618777869466376</v>
      </c>
      <c r="PD3" s="7" t="n">
        <v>-0.712928767390274</v>
      </c>
      <c r="PE3" s="7" t="n">
        <v>0.0414109148001085</v>
      </c>
      <c r="PF3" s="7" t="n">
        <v>0.37680522455373</v>
      </c>
      <c r="PG3" s="7" t="n">
        <v>3.38850262683365</v>
      </c>
      <c r="PH3" s="7" t="n">
        <v>3.69347626987263</v>
      </c>
      <c r="PI3" s="7" t="n">
        <v>-1.09790668339142</v>
      </c>
      <c r="PJ3" s="7" t="n">
        <v>0.857505059835722</v>
      </c>
      <c r="PK3" s="7" t="n">
        <v>-0.0031895105342661</v>
      </c>
      <c r="PL3" s="7" t="n">
        <v>-2.14613407686851</v>
      </c>
      <c r="PM3" s="7" t="n">
        <v>0.473800794337359</v>
      </c>
      <c r="PN3" s="7" t="n">
        <v>0.238062042606136</v>
      </c>
      <c r="PO3" s="7" t="n">
        <v>0.990328576937478</v>
      </c>
      <c r="PP3" s="7" t="n">
        <v>-2.31048337644427</v>
      </c>
      <c r="PQ3" s="7" t="n">
        <v>1.20630730841821</v>
      </c>
      <c r="PR3" s="7" t="n">
        <v>0.266241873082552</v>
      </c>
      <c r="PS3" s="7" t="n">
        <v>0.728765849714237</v>
      </c>
      <c r="PT3" s="7" t="n">
        <v>-0.956611943557872</v>
      </c>
      <c r="PU3" s="7" t="n">
        <v>-0.247564491819713</v>
      </c>
      <c r="PV3" s="7" t="n">
        <v>-0.06547750566038919</v>
      </c>
      <c r="PW3" s="7" t="n">
        <v>-0.427529808096313</v>
      </c>
      <c r="PX3" s="7" t="n">
        <v>-0.106566930441205</v>
      </c>
      <c r="PY3" s="7" t="n">
        <v>0.969000993453023</v>
      </c>
      <c r="PZ3" s="7" t="n">
        <v>-0.241790460564434</v>
      </c>
      <c r="QA3" s="7" t="n">
        <v>1.34406175132302</v>
      </c>
      <c r="QB3" s="7" t="n">
        <v>0.0194130453135807</v>
      </c>
      <c r="QC3" s="7" t="n">
        <v>-1.77335156384816</v>
      </c>
      <c r="QD3" s="7" t="n">
        <v>-0.700885468699086</v>
      </c>
      <c r="QE3" s="7" t="n">
        <v>-0.996244552838192</v>
      </c>
      <c r="QF3" s="7" t="n">
        <v>0.58097858061089</v>
      </c>
      <c r="QG3" s="7" t="n">
        <v>0.724011549773896</v>
      </c>
      <c r="QH3" s="7" t="n">
        <v>0.544934284827465</v>
      </c>
      <c r="QI3" s="7" t="n">
        <v>-1.43881221526003</v>
      </c>
      <c r="QJ3" s="7" t="n">
        <v>0.0857164775145116</v>
      </c>
      <c r="QK3" s="7" t="n">
        <v>1.72083456677293</v>
      </c>
      <c r="QL3" s="7" t="n">
        <v>0.126349829783806</v>
      </c>
      <c r="QM3" s="7" t="n">
        <v>0.0573050121954328</v>
      </c>
      <c r="QN3" s="7" t="n">
        <v>-1.50900904221887</v>
      </c>
      <c r="QO3" s="7" t="n">
        <v>0.311993672497603</v>
      </c>
      <c r="QP3" s="7" t="n">
        <v>1.26328396859644</v>
      </c>
      <c r="QQ3" s="7" t="n">
        <v>-0.773964942350331</v>
      </c>
      <c r="QR3" s="7" t="n">
        <v>-0.116402558380863</v>
      </c>
      <c r="QS3" s="7" t="n">
        <v>1.03044174645691</v>
      </c>
      <c r="QT3" s="7" t="n">
        <v>-0.623621255086298</v>
      </c>
      <c r="QU3" s="7" t="n">
        <v>-2.1270259141214</v>
      </c>
      <c r="QV3" s="7" t="n">
        <v>-1.08721380730519</v>
      </c>
      <c r="QW3" s="7" t="n">
        <v>1.20721436787448</v>
      </c>
      <c r="QX3" s="7" t="n">
        <v>0.70952482818387</v>
      </c>
      <c r="QY3" s="7" t="n">
        <v>0.271827154591871</v>
      </c>
      <c r="QZ3" s="7" t="n">
        <v>-0.344466598103732</v>
      </c>
      <c r="RA3" s="7" t="n">
        <v>1.7116555937744</v>
      </c>
      <c r="RB3" s="7" t="n">
        <v>-0.471570723522797</v>
      </c>
      <c r="RC3" s="7" t="n">
        <v>-1.53077429824978</v>
      </c>
      <c r="RD3" s="7" t="n">
        <v>0.0191313782191695</v>
      </c>
      <c r="RE3" s="7" t="n">
        <v>0.0274045894547397</v>
      </c>
      <c r="RF3" s="7" t="n">
        <v>-0.711874902301852</v>
      </c>
      <c r="RG3" s="7" t="n">
        <v>1.77800904965366</v>
      </c>
      <c r="RH3" s="7" t="n">
        <v>-0.139130303402886</v>
      </c>
      <c r="RI3" s="7" t="n">
        <v>0.792296533403962</v>
      </c>
      <c r="RJ3" s="7" t="n">
        <v>-1.35398839085299</v>
      </c>
      <c r="RK3" s="7" t="n">
        <v>1.0600128961913</v>
      </c>
      <c r="RL3" s="7" t="n">
        <v>-1.14730658122813</v>
      </c>
      <c r="RM3" s="7" t="n">
        <v>0.285514510239535</v>
      </c>
      <c r="RN3" s="7" t="n">
        <v>-0.883572165145303</v>
      </c>
      <c r="RO3" s="7" t="n">
        <v>-1.45071530129654</v>
      </c>
      <c r="RP3" s="7" t="n">
        <v>0.516232827817132</v>
      </c>
      <c r="RQ3" s="7" t="n">
        <v>-0.957676515928844</v>
      </c>
      <c r="RR3" s="7" t="n">
        <v>-0.483961270285839</v>
      </c>
      <c r="RS3" s="7" t="n">
        <v>-0.07221728699137819</v>
      </c>
      <c r="RT3" s="7" t="n">
        <v>-0.612679959064215</v>
      </c>
      <c r="RU3" s="7" t="n">
        <v>-0.746972968671768</v>
      </c>
      <c r="RV3" s="7" t="n">
        <v>-0.512258227576829</v>
      </c>
      <c r="RW3" s="7" t="n">
        <v>2.40316218114639</v>
      </c>
      <c r="RX3" s="7" t="n">
        <v>-1.11040199649782</v>
      </c>
      <c r="RY3" s="7" t="n">
        <v>0.428305979678183</v>
      </c>
      <c r="RZ3" s="7" t="n">
        <v>-0.651735833590277</v>
      </c>
      <c r="SA3" s="7" t="n">
        <v>1.43890066842717</v>
      </c>
      <c r="SB3" s="7" t="n">
        <v>-1.39728453991381</v>
      </c>
      <c r="SC3" s="7" t="n">
        <v>-0.658831499283459</v>
      </c>
      <c r="SD3" s="7" t="n">
        <v>0.514205866000025</v>
      </c>
      <c r="SE3" s="7" t="n">
        <v>-0.930001816024438</v>
      </c>
      <c r="SF3" s="7" t="n">
        <v>0.715558920872496</v>
      </c>
      <c r="SG3" s="7" t="n">
        <v>0.7800156657624679</v>
      </c>
      <c r="SH3" s="7" t="n">
        <v>-1.3710744484084</v>
      </c>
      <c r="SI3" s="7" t="n">
        <v>-0.452368114141335</v>
      </c>
      <c r="SJ3" s="7" t="n">
        <v>0.616761846795857</v>
      </c>
      <c r="SK3" s="7" t="n">
        <v>-0.643873008804457</v>
      </c>
      <c r="SL3" s="7" t="n">
        <v>-0.33579484448383</v>
      </c>
      <c r="SM3" s="7" t="n">
        <v>1.45377287347124</v>
      </c>
      <c r="SN3" s="7" t="n">
        <v>0.19676718193976</v>
      </c>
      <c r="SO3" s="7" t="n">
        <v>-0.562392315745067</v>
      </c>
      <c r="SP3" s="7" t="n">
        <v>0.185539431803709</v>
      </c>
      <c r="SQ3" s="7" t="n">
        <v>-1.23459561902932</v>
      </c>
      <c r="SR3" s="7" t="n">
        <v>-1.36599642988962</v>
      </c>
      <c r="SS3" s="7" t="n">
        <v>-0.797613372979319</v>
      </c>
      <c r="ST3" s="7" t="n">
        <v>-0.140109251582516</v>
      </c>
      <c r="SU3" s="7" t="n">
        <v>2.0656032761786</v>
      </c>
      <c r="SV3" s="7" t="n">
        <v>-2.07900643161746</v>
      </c>
      <c r="SW3" s="7" t="n">
        <v>-0.15192127632766</v>
      </c>
      <c r="SX3" s="7" t="n">
        <v>0.839032876455631</v>
      </c>
      <c r="SY3" s="7" t="n">
        <v>-1.24559090028561</v>
      </c>
      <c r="SZ3" s="7" t="n">
        <v>-0.059761561980485</v>
      </c>
      <c r="TA3" s="7" t="n">
        <v>0.261128368002382</v>
      </c>
      <c r="TB3" s="7" t="n">
        <v>1.97404743653495</v>
      </c>
      <c r="TC3" s="7" t="n">
        <v>1.43543180285736</v>
      </c>
      <c r="TD3" s="7" t="n">
        <v>-0.659463876297915</v>
      </c>
      <c r="TE3" s="7" t="n">
        <v>-0.587562932751198</v>
      </c>
      <c r="TF3" s="7" t="n">
        <v>-0.598941984863789</v>
      </c>
      <c r="TG3" s="7" t="n">
        <v>1.92099870982971</v>
      </c>
      <c r="TH3" s="7" t="n">
        <v>-2.063236687986</v>
      </c>
      <c r="TI3" s="7" t="n">
        <v>1.17611978107567</v>
      </c>
      <c r="TJ3" s="7" t="n">
        <v>0.6860653198444711</v>
      </c>
      <c r="TK3" s="7" t="n">
        <v>0.921956898410722</v>
      </c>
      <c r="TL3" s="7" t="n">
        <v>0.0096308855722119</v>
      </c>
      <c r="TM3" s="7" t="n">
        <v>0.768441496194447</v>
      </c>
      <c r="TN3" s="7" t="n">
        <v>-0.843001006809881</v>
      </c>
      <c r="TO3" s="7" t="n">
        <v>0.793290527006541</v>
      </c>
      <c r="TP3" s="7" t="n">
        <v>0.354224359517865</v>
      </c>
      <c r="TQ3" s="7" t="n">
        <v>0.324091523440786</v>
      </c>
      <c r="TR3" s="7" t="n">
        <v>-0.708966985182736</v>
      </c>
      <c r="TS3" s="7" t="n">
        <v>0.293121213764394</v>
      </c>
      <c r="TT3" s="7" t="n">
        <v>0.6595130706179479</v>
      </c>
      <c r="TU3" s="7" t="n">
        <v>-1.56905872324677</v>
      </c>
      <c r="TV3" s="7" t="n">
        <v>-1.05237849847327</v>
      </c>
      <c r="TW3" s="7" t="n">
        <v>-0.6282875977017029</v>
      </c>
      <c r="TX3" s="7" t="n">
        <v>1.28039064734782</v>
      </c>
      <c r="TY3" s="7" t="n">
        <v>0.45907352611471</v>
      </c>
      <c r="TZ3" s="7" t="n">
        <v>-0.68277836678379</v>
      </c>
      <c r="UA3" s="7" t="n">
        <v>-1.27071120096728</v>
      </c>
      <c r="UB3" s="7" t="n">
        <v>-1.20821214852912</v>
      </c>
      <c r="UC3" s="7" t="n">
        <v>0.115411047596504</v>
      </c>
      <c r="UD3" s="7" t="n">
        <v>0.566112459541252</v>
      </c>
      <c r="UE3" s="7" t="n">
        <v>-0.420295077353127</v>
      </c>
      <c r="UF3" s="7" t="n">
        <v>-0.0672372501420385</v>
      </c>
      <c r="UG3" s="7" t="n">
        <v>0.255779224155634</v>
      </c>
      <c r="UH3" s="7" t="n">
        <v>-0.0091495792641432</v>
      </c>
      <c r="UI3" s="7" t="n">
        <v>0.159730491102968</v>
      </c>
      <c r="UJ3" s="7" t="n">
        <v>1.59919861612865</v>
      </c>
      <c r="UK3" s="7" t="n">
        <v>-0.174423530020642</v>
      </c>
      <c r="UL3" s="7" t="n">
        <v>1.04227564383613</v>
      </c>
      <c r="UM3" s="7" t="n">
        <v>-1.04805431780945</v>
      </c>
      <c r="UN3" s="7" t="n">
        <v>-1.23054743337726</v>
      </c>
      <c r="UO3" s="7" t="n">
        <v>-1.60425414645587</v>
      </c>
      <c r="UP3" s="7" t="n">
        <v>-0.414828447884403</v>
      </c>
      <c r="UQ3" s="7" t="n">
        <v>0.542081410996028</v>
      </c>
      <c r="UR3" s="7" t="n">
        <v>2.97513321813032</v>
      </c>
      <c r="US3" s="7" t="n">
        <v>-0.334609910717909</v>
      </c>
      <c r="UT3" s="7" t="n">
        <v>-0.467124883995594</v>
      </c>
      <c r="UU3" s="7" t="n">
        <v>-0.715524905270256</v>
      </c>
      <c r="UV3" s="7" t="n">
        <v>0.487496452765105</v>
      </c>
      <c r="UW3" s="7" t="n">
        <v>-0.965357917382754</v>
      </c>
      <c r="UX3" s="7" t="n">
        <v>0.699180467312977</v>
      </c>
      <c r="UY3" s="7" t="n">
        <v>0.7631504440968629</v>
      </c>
      <c r="UZ3" s="7" t="n">
        <v>-1.01279331239556</v>
      </c>
      <c r="VA3" s="7" t="n">
        <v>0.236670505878314</v>
      </c>
      <c r="VB3" s="7" t="n">
        <v>-0.871649523499927</v>
      </c>
      <c r="VC3" s="7" t="n">
        <v>-1.43543295830166</v>
      </c>
      <c r="VD3" s="7" t="n">
        <v>0.317371249706122</v>
      </c>
      <c r="VE3" s="7" t="n">
        <v>0.288413238415619</v>
      </c>
      <c r="VF3" s="7" t="n">
        <v>0.360476464838339</v>
      </c>
      <c r="VG3" s="7" t="n">
        <v>-1.34437164693294</v>
      </c>
      <c r="VH3" s="7" t="n">
        <v>-0.894842286863044</v>
      </c>
      <c r="VI3" s="7" t="n">
        <v>-0.437915323944339</v>
      </c>
      <c r="VJ3" s="7" t="n">
        <v>-0.963356329386608</v>
      </c>
      <c r="VK3" s="7" t="n">
        <v>0.212209185162799</v>
      </c>
      <c r="VL3" s="7" t="n">
        <v>-0.92104499590334</v>
      </c>
      <c r="VM3" s="7" t="n">
        <v>0.5633328739874019</v>
      </c>
      <c r="VN3" s="7" t="n">
        <v>0.281291502754301</v>
      </c>
      <c r="VO3" s="7" t="n">
        <v>-0.133918961707486</v>
      </c>
      <c r="VP3" s="7" t="n">
        <v>-0.07722294226732319</v>
      </c>
      <c r="VQ3" s="7" t="n">
        <v>-0.563354176553198</v>
      </c>
      <c r="VR3" s="7" t="n">
        <v>1.11847311445879</v>
      </c>
      <c r="VS3" s="7" t="n">
        <v>0.632037998710138</v>
      </c>
      <c r="VT3" s="7" t="n">
        <v>0.429154905245884</v>
      </c>
      <c r="VU3" s="7" t="n">
        <v>-0.456109465327674</v>
      </c>
      <c r="VV3" s="7" t="n">
        <v>-0.558445827566045</v>
      </c>
      <c r="VW3" s="7" t="n">
        <v>0.350687333139488</v>
      </c>
      <c r="VX3" s="7" t="n">
        <v>1.02610080095414</v>
      </c>
      <c r="VY3" s="7" t="n">
        <v>-1.84169720836245</v>
      </c>
      <c r="VZ3" s="7" t="n">
        <v>-1.14316308164355</v>
      </c>
      <c r="WA3" s="7" t="n">
        <v>0.0768025197265067</v>
      </c>
      <c r="WB3" s="7" t="n">
        <v>0.264517973791249</v>
      </c>
      <c r="WC3" s="7" t="n">
        <v>0.796030257504438</v>
      </c>
      <c r="WD3" s="7" t="n">
        <v>0.70543462198263</v>
      </c>
      <c r="WE3" s="7" t="n">
        <v>-1.57056798945357</v>
      </c>
      <c r="WF3" s="7" t="n">
        <v>1.40452856861658</v>
      </c>
      <c r="WG3" s="7" t="n">
        <v>-0.128990534293027</v>
      </c>
      <c r="WH3" s="7" t="n">
        <v>-1.54634144512999</v>
      </c>
      <c r="WI3" s="7" t="n">
        <v>0.8958936985684191</v>
      </c>
      <c r="WJ3" s="7" t="n">
        <v>-0.121576777640496</v>
      </c>
      <c r="WK3" s="7" t="n">
        <v>1.30880762255347</v>
      </c>
      <c r="WL3" s="7" t="n">
        <v>-0.99787333034657</v>
      </c>
      <c r="WM3" s="7" t="n">
        <v>1.67702517405462</v>
      </c>
      <c r="WN3" s="7" t="n">
        <v>0.947992072763496</v>
      </c>
      <c r="WO3" s="7" t="n">
        <v>0.0458765588499511</v>
      </c>
      <c r="WP3" s="7" t="n">
        <v>-0.983924250171424</v>
      </c>
      <c r="WQ3" s="7" t="n">
        <v>-0.730789301890182</v>
      </c>
      <c r="WR3" s="7" t="n">
        <v>-0.0919513986178008</v>
      </c>
      <c r="WS3" s="7" t="n">
        <v>-0.0144158874363834</v>
      </c>
      <c r="WT3" s="7" t="n">
        <v>-0.603855130864869</v>
      </c>
      <c r="WU3" s="7" t="n">
        <v>-0.893261112982537</v>
      </c>
      <c r="WV3" s="7" t="n">
        <v>-0.765431407604495</v>
      </c>
      <c r="WW3" s="7" t="n">
        <v>-1.29729450312484</v>
      </c>
      <c r="WX3" s="7" t="n">
        <v>-1.13472092396617</v>
      </c>
      <c r="WY3" s="7" t="n">
        <v>1.34115844222035</v>
      </c>
      <c r="WZ3" s="7" t="n">
        <v>-0.923684681111713</v>
      </c>
      <c r="XA3" s="7" t="n">
        <v>0.597930964621779</v>
      </c>
      <c r="XB3" s="7" t="n">
        <v>1.56796089116291</v>
      </c>
      <c r="XC3" s="7" t="n">
        <v>-0.520324333884262</v>
      </c>
      <c r="XD3" s="7" t="n">
        <v>0.100024984327188</v>
      </c>
      <c r="XE3" s="7" t="n">
        <v>-0.156853080759438</v>
      </c>
      <c r="XF3" s="7" t="n">
        <v>-1.31125404294262</v>
      </c>
      <c r="XG3" s="7" t="n">
        <v>0.293025512510076</v>
      </c>
      <c r="XH3" s="7" t="n">
        <v>-0.463873789534189</v>
      </c>
      <c r="XI3" s="7" t="n">
        <v>1.09811634791949</v>
      </c>
      <c r="XJ3" s="7" t="n">
        <v>-0.486526811315744</v>
      </c>
      <c r="XK3" s="7" t="n">
        <v>-0.136241103214368</v>
      </c>
      <c r="XL3" s="7" t="n">
        <v>1.72119637850491</v>
      </c>
      <c r="XM3" s="7" t="n">
        <v>0.652705442663906</v>
      </c>
      <c r="XN3" s="7" t="n">
        <v>-0.423019739241327</v>
      </c>
      <c r="XO3" s="7" t="n">
        <v>2.06778565980994</v>
      </c>
      <c r="XP3" s="7" t="n">
        <v>0.832436900849814</v>
      </c>
      <c r="XQ3" s="7" t="n">
        <v>-0.0004505911404635</v>
      </c>
      <c r="XR3" s="7" t="n">
        <v>-0.283346259827011</v>
      </c>
      <c r="XS3" s="7" t="n">
        <v>-0.119052108697372</v>
      </c>
      <c r="XT3" s="7" t="n">
        <v>0.407749501041688</v>
      </c>
      <c r="XU3" s="7" t="n">
        <v>0.446359232825466</v>
      </c>
      <c r="XV3" s="7" t="n">
        <v>0.223954757661181</v>
      </c>
      <c r="XW3" s="7" t="n">
        <v>-0.060555817567023</v>
      </c>
      <c r="XX3" s="7" t="n">
        <v>-1.13155110192625</v>
      </c>
      <c r="XY3" s="7" t="n">
        <v>-1.73046559958993</v>
      </c>
      <c r="XZ3" s="7" t="n">
        <v>-1.13790190501591</v>
      </c>
      <c r="YA3" s="7" t="n">
        <v>-0.0319982731940726</v>
      </c>
      <c r="YB3" s="7" t="n">
        <v>-0.346265057651166</v>
      </c>
      <c r="YC3" s="7" t="n">
        <v>-1.22809531704128</v>
      </c>
      <c r="YD3" s="7" t="n">
        <v>-0.835221252363602</v>
      </c>
      <c r="YE3" s="7" t="n">
        <v>-0.372648744198114</v>
      </c>
      <c r="YF3" s="7" t="n">
        <v>-1.36807823853866</v>
      </c>
      <c r="YG3" s="7" t="n">
        <v>-0.212624464900359</v>
      </c>
      <c r="YH3" s="7" t="n">
        <v>-0.112162964259711</v>
      </c>
      <c r="YI3" s="7" t="n">
        <v>-0.552403305985906</v>
      </c>
      <c r="YJ3" s="7" t="n">
        <v>-0.551093640780873</v>
      </c>
      <c r="YK3" s="7" t="n">
        <v>-0.479718014963027</v>
      </c>
      <c r="YL3" s="7" t="n">
        <v>1.25956662338342</v>
      </c>
      <c r="YM3" s="7" t="n">
        <v>1.2790718641383</v>
      </c>
      <c r="YN3" s="7" t="n">
        <v>-0.874503417515041</v>
      </c>
      <c r="YO3" s="7" t="n">
        <v>-0.210281242741067</v>
      </c>
      <c r="YP3" s="7" t="n">
        <v>-0.2809961981936</v>
      </c>
      <c r="YQ3" s="7" t="n">
        <v>-0.146486427729667</v>
      </c>
      <c r="YR3" s="7" t="n">
        <v>-0.0570709344817825</v>
      </c>
      <c r="YS3" s="7" t="n">
        <v>-0.423129906915322</v>
      </c>
      <c r="YT3" s="7" t="n">
        <v>1.61195621710344</v>
      </c>
      <c r="YU3" s="7" t="n">
        <v>-1.71473451030531</v>
      </c>
      <c r="YV3" s="7" t="n">
        <v>-0.356651093067635</v>
      </c>
      <c r="YW3" s="7" t="n">
        <v>1.28739227175929</v>
      </c>
      <c r="YX3" s="7" t="n">
        <v>3.03777620316724</v>
      </c>
      <c r="YY3" s="7" t="n">
        <v>0.263208561981454</v>
      </c>
      <c r="YZ3" s="7" t="n">
        <v>-0.601025735028533</v>
      </c>
      <c r="ZA3" s="7" t="n">
        <v>-0.155137976148003</v>
      </c>
      <c r="ZB3" s="7" t="n">
        <v>0.5791799262530291</v>
      </c>
      <c r="ZC3" s="7" t="n">
        <v>0.308131594089558</v>
      </c>
      <c r="ZD3" s="7" t="n">
        <v>-2.45139343608366</v>
      </c>
      <c r="ZE3" s="7" t="n">
        <v>-0.0804639573057529</v>
      </c>
      <c r="ZF3" s="7" t="n">
        <v>-0.350483646986376</v>
      </c>
      <c r="ZG3" s="7" t="n">
        <v>1.14902343006105</v>
      </c>
      <c r="ZH3" s="7" t="n">
        <v>-0.80612360803045</v>
      </c>
      <c r="ZI3" s="7" t="n">
        <v>0.07561128907813271</v>
      </c>
      <c r="ZJ3" s="7" t="n">
        <v>-0.201742877516441</v>
      </c>
      <c r="ZK3" s="7" t="n">
        <v>-1.33207343949985</v>
      </c>
      <c r="ZL3" s="7" t="n">
        <v>-0.018958877846957</v>
      </c>
      <c r="ZM3" s="7" t="n">
        <v>2.00370020693105</v>
      </c>
      <c r="ZN3" s="7" t="n">
        <v>-1.17807214514679</v>
      </c>
      <c r="ZO3" s="7" t="n">
        <v>0.18437902933248</v>
      </c>
      <c r="ZP3" s="7" t="n">
        <v>-0.5436536475243821</v>
      </c>
      <c r="ZQ3" s="7" t="n">
        <v>-0.0903208132602361</v>
      </c>
      <c r="ZR3" s="7" t="n">
        <v>-1.56186735902987</v>
      </c>
      <c r="ZS3" s="7" t="n">
        <v>-1.32747472132109</v>
      </c>
      <c r="ZT3" s="7" t="n">
        <v>-0.479211785129977</v>
      </c>
      <c r="ZU3" s="7" t="n">
        <v>1.18963420519808</v>
      </c>
      <c r="ZV3" s="7" t="n">
        <v>-0.105585411208968</v>
      </c>
      <c r="ZW3" s="7" t="n">
        <v>0.295017557029016</v>
      </c>
      <c r="ZX3" s="7" t="n">
        <v>0.587017461457222</v>
      </c>
      <c r="ZY3" s="7" t="n">
        <v>2.28657173517735</v>
      </c>
      <c r="ZZ3" s="7" t="n">
        <v>-0.459133661087778</v>
      </c>
      <c r="AAA3" s="7" t="n">
        <v>-0.600678064619255</v>
      </c>
      <c r="AAB3" s="7" t="n">
        <v>-1.66876780116913</v>
      </c>
      <c r="AAC3" s="7" t="n">
        <v>-0.12465285126945</v>
      </c>
      <c r="AAD3" s="7" t="n">
        <v>2.15283911910837</v>
      </c>
      <c r="AAE3" s="7" t="n">
        <v>0.377058370614299</v>
      </c>
      <c r="AAF3" s="7" t="n">
        <v>0.18315041124891</v>
      </c>
      <c r="AAG3" s="7" t="n">
        <v>0.182061490685438</v>
      </c>
      <c r="AAH3" s="7" t="n">
        <v>-0.175985301126508</v>
      </c>
      <c r="AAI3" s="7" t="n">
        <v>-0.343088882656504</v>
      </c>
      <c r="AAJ3" s="7" t="n">
        <v>-1.37409185479174</v>
      </c>
      <c r="AAK3" s="7" t="n">
        <v>-0.10032194358536</v>
      </c>
      <c r="AAL3" s="7" t="n">
        <v>-2.07345271981925</v>
      </c>
      <c r="AAM3" s="7" t="n">
        <v>-0.689597325973649</v>
      </c>
      <c r="AAN3" s="7" t="n">
        <v>0.656829695975952</v>
      </c>
      <c r="AAO3" s="7" t="n">
        <v>-1.16050978017212</v>
      </c>
      <c r="AAP3" s="7" t="n">
        <v>-0.235749246067896</v>
      </c>
      <c r="AAQ3" s="7" t="n">
        <v>1.21289874160608</v>
      </c>
      <c r="AAR3" s="7" t="n">
        <v>-0.484416054661786</v>
      </c>
      <c r="AAS3" s="7" t="n">
        <v>-0.376837715010626</v>
      </c>
      <c r="AAT3" s="7" t="n">
        <v>1.06971084758457</v>
      </c>
      <c r="AAU3" s="7" t="n">
        <v>-0.925631627930901</v>
      </c>
      <c r="AAV3" s="7" t="n">
        <v>0.0520230415658828</v>
      </c>
      <c r="AAW3" s="7" t="n">
        <v>0.180804740147207</v>
      </c>
      <c r="AAX3" s="7" t="n">
        <v>-0.347875911606272</v>
      </c>
      <c r="AAY3" s="7" t="n">
        <v>0.0432759070278289</v>
      </c>
      <c r="AAZ3" s="7" t="n">
        <v>-0.7353675553036499</v>
      </c>
      <c r="ABA3" s="7" t="n">
        <v>-2.36043503653841</v>
      </c>
      <c r="ABB3" s="7" t="n">
        <v>-0.0354223638873069</v>
      </c>
      <c r="ABC3" s="7" t="n">
        <v>0.720554909248457</v>
      </c>
      <c r="ABD3" s="7" t="n">
        <v>-0.0492470738488526</v>
      </c>
      <c r="ABE3" s="7" t="n">
        <v>1.78507693975384</v>
      </c>
      <c r="ABF3" s="7" t="n">
        <v>-2.36599143452853</v>
      </c>
      <c r="ABG3" s="7" t="n">
        <v>-1.5637732021092</v>
      </c>
      <c r="ABH3" s="7" t="n">
        <v>-0.0276168737620497</v>
      </c>
      <c r="ABI3" s="7" t="n">
        <v>-0.236815989484504</v>
      </c>
      <c r="ABJ3" s="7" t="n">
        <v>0.590331515149415</v>
      </c>
      <c r="ABK3" s="7" t="n">
        <v>0.8760796151531109</v>
      </c>
      <c r="ABL3" s="7" t="n">
        <v>-0.451439062021964</v>
      </c>
      <c r="ABM3" s="7" t="n">
        <v>-1.08585926849546</v>
      </c>
      <c r="ABN3" s="7" t="n">
        <v>0.775918862508801</v>
      </c>
      <c r="ABO3" s="7" t="n">
        <v>-1.01506416740621</v>
      </c>
      <c r="ABP3" s="7" t="n">
        <v>1.01635054485475</v>
      </c>
      <c r="ABQ3" s="7" t="n">
        <v>-0.31946932432043</v>
      </c>
      <c r="ABR3" s="7" t="n">
        <v>0.625306585969629</v>
      </c>
      <c r="ABS3" s="7" t="n">
        <v>-1.08800714012121</v>
      </c>
      <c r="ABT3" s="7" t="n">
        <v>1.81625845792075</v>
      </c>
      <c r="ABU3" s="7" t="n">
        <v>1.3495748344139</v>
      </c>
      <c r="ABV3" s="7" t="n">
        <v>0.488012163988427</v>
      </c>
      <c r="ABW3" s="7" t="n">
        <v>-1.14105786081329</v>
      </c>
      <c r="ABX3" s="7" t="n">
        <v>0.592569796910388</v>
      </c>
      <c r="ABY3" s="7" t="n">
        <v>-1.35405726019417</v>
      </c>
      <c r="ABZ3" s="7" t="n">
        <v>-2.00730135998562</v>
      </c>
      <c r="ACA3" s="7" t="n">
        <v>-0.0200541770007835</v>
      </c>
      <c r="ACB3" s="7" t="n">
        <v>-0.592950986322019</v>
      </c>
      <c r="ACC3" s="7" t="n">
        <v>-0.5736299762425791</v>
      </c>
      <c r="ACD3" s="7" t="n">
        <v>0.206793746121619</v>
      </c>
      <c r="ACE3" s="7" t="n">
        <v>0.0645659327614679</v>
      </c>
      <c r="ACF3" s="7" t="n">
        <v>-2.13232675525785</v>
      </c>
      <c r="ACG3" s="7" t="n">
        <v>1.73690662146549</v>
      </c>
      <c r="ACH3" s="7" t="n">
        <v>1.76613353738771</v>
      </c>
      <c r="ACI3" s="7" t="n">
        <v>-1.35495020945898</v>
      </c>
      <c r="ACJ3" s="7" t="n">
        <v>1.0922765778364</v>
      </c>
      <c r="ACK3" s="7" t="n">
        <v>-0.7164719236756451</v>
      </c>
      <c r="ACL3" s="7" t="n">
        <v>0.892233011628467</v>
      </c>
      <c r="ACM3" s="7" t="n">
        <v>0.976137540899044</v>
      </c>
      <c r="ACN3" s="7" t="n">
        <v>1.49496639934081</v>
      </c>
      <c r="ACO3" s="7" t="n">
        <v>-1.33040353855842</v>
      </c>
      <c r="ACP3" s="7" t="n">
        <v>-2.03675502942152</v>
      </c>
      <c r="ACQ3" s="7" t="n">
        <v>-0.717813636802295</v>
      </c>
      <c r="ACR3" s="7" t="n">
        <v>0.789383175152102</v>
      </c>
      <c r="ACS3" s="7" t="n">
        <v>-0.664760762478928</v>
      </c>
      <c r="ACT3" s="7" t="n">
        <v>-0.865118701513847</v>
      </c>
      <c r="ACU3" s="7" t="n">
        <v>0.311950661474403</v>
      </c>
      <c r="ACV3" s="7" t="n">
        <v>-0.822818756569899</v>
      </c>
      <c r="ACW3" s="7" t="n">
        <v>1.54013408237961</v>
      </c>
      <c r="ACX3" s="7" t="n">
        <v>0.549355867449335</v>
      </c>
      <c r="ACY3" s="7" t="n">
        <v>0.977161350846071</v>
      </c>
      <c r="ACZ3" s="7" t="n">
        <v>0.485366997678504</v>
      </c>
      <c r="ADA3" s="7" t="n">
        <v>0.0351673437133737</v>
      </c>
      <c r="ADB3" s="7" t="n">
        <v>1.68479119535173</v>
      </c>
      <c r="ADC3" s="7" t="n">
        <v>1.10292093830682</v>
      </c>
      <c r="ADD3" s="7" t="n">
        <v>-2.50151449675177</v>
      </c>
      <c r="ADE3" s="7" t="n">
        <v>-0.216487202174454</v>
      </c>
      <c r="ADF3" s="7" t="n">
        <v>-0.229749725610282</v>
      </c>
      <c r="ADG3" s="7" t="n">
        <v>0.510580806570286</v>
      </c>
      <c r="ADH3" s="7" t="n">
        <v>-0.955217111572356</v>
      </c>
      <c r="ADI3" s="7" t="n">
        <v>-0.189236812193043</v>
      </c>
      <c r="ADJ3" s="7" t="n">
        <v>-2.03349751647319</v>
      </c>
      <c r="ADK3" s="7" t="n">
        <v>0.336701005473221</v>
      </c>
      <c r="ADL3" s="7" t="n">
        <v>-0.651625205438969</v>
      </c>
      <c r="ADM3" s="7" t="n">
        <v>-0.703822802763121</v>
      </c>
      <c r="ADN3" s="7" t="n">
        <v>-0.233984516894239</v>
      </c>
      <c r="ADO3" s="7" t="n">
        <v>-0.0062556059586394</v>
      </c>
      <c r="ADP3" s="7" t="n">
        <v>-0.197563725402457</v>
      </c>
      <c r="ADQ3" s="7" t="n">
        <v>-1.55385420768284</v>
      </c>
      <c r="ADR3" s="7" t="n">
        <v>0.339916713856223</v>
      </c>
      <c r="ADS3" s="7" t="n">
        <v>-0.711437086881861</v>
      </c>
      <c r="ADT3" s="7" t="n">
        <v>1.74244008168831</v>
      </c>
      <c r="ADU3" s="7" t="n">
        <v>-1.95998727319875</v>
      </c>
      <c r="ADV3" s="7" t="n">
        <v>-0.0527576519710106</v>
      </c>
      <c r="ADW3" s="7" t="n">
        <v>1.41461266964671</v>
      </c>
      <c r="ADX3" s="7" t="n">
        <v>0.624545997726114</v>
      </c>
      <c r="ADY3" s="7" t="n">
        <v>0.319852788648666</v>
      </c>
      <c r="ADZ3" s="7" t="n">
        <v>0.211786212056107</v>
      </c>
      <c r="AEA3" s="7" t="n">
        <v>-0.147995282610776</v>
      </c>
      <c r="AEB3" s="7" t="n">
        <v>0.822133726333465</v>
      </c>
      <c r="AEC3" s="7" t="n">
        <v>-0.55351838142794</v>
      </c>
      <c r="AED3" s="7" t="n">
        <v>-0.532219399228436</v>
      </c>
      <c r="AEE3" s="7" t="n">
        <v>1.65525339329163</v>
      </c>
      <c r="AEF3" s="7" t="n">
        <v>0.593138566337315</v>
      </c>
      <c r="AEG3" s="7" t="n">
        <v>-1.79359464512872</v>
      </c>
      <c r="AEH3" s="7" t="n">
        <v>-0.141363532051864</v>
      </c>
      <c r="AEI3" s="7" t="n">
        <v>-0.479345216362076</v>
      </c>
      <c r="AEJ3" s="7" t="n">
        <v>0.333169783819251</v>
      </c>
      <c r="AEK3" s="7" t="n">
        <v>-1.50946863970701</v>
      </c>
      <c r="AEL3" s="7" t="n">
        <v>1.17478733705289</v>
      </c>
      <c r="AEM3" s="7" t="n">
        <v>-1.49140547158361</v>
      </c>
      <c r="AEN3" s="7" t="n">
        <v>-0.715304068579661</v>
      </c>
      <c r="AEO3" s="7" t="n">
        <v>0.918276383160606</v>
      </c>
      <c r="AEP3" s="7" t="n">
        <v>-1.60916374791429</v>
      </c>
      <c r="AEQ3" s="7" t="n">
        <v>1.04615611881903</v>
      </c>
      <c r="AER3" s="7" t="n">
        <v>0.959492607524549</v>
      </c>
      <c r="AES3" s="7" t="n">
        <v>-0.750543528384145</v>
      </c>
      <c r="AET3" s="7" t="n">
        <v>0.238330194596672</v>
      </c>
      <c r="AEU3" s="7" t="n">
        <v>-0.115467487938111</v>
      </c>
      <c r="AEV3" s="7" t="n">
        <v>1.96680390498535</v>
      </c>
      <c r="AEW3" s="7" t="n">
        <v>-0.407616143053423</v>
      </c>
      <c r="AEX3" s="7" t="n">
        <v>1.46337013120438</v>
      </c>
      <c r="AEY3" s="7" t="n">
        <v>-0.73181706084757</v>
      </c>
      <c r="AEZ3" s="7" t="n">
        <v>0.489951094227932</v>
      </c>
      <c r="AFA3" s="7" t="n">
        <v>-0.811506748410678</v>
      </c>
      <c r="AFB3" s="7" t="n">
        <v>-0.871190456189199</v>
      </c>
      <c r="AFC3" s="7" t="n">
        <v>2.40122103983027</v>
      </c>
      <c r="AFD3" s="7" t="n">
        <v>0.19528198482899</v>
      </c>
      <c r="AFE3" s="7" t="n">
        <v>-0.294038595186356</v>
      </c>
      <c r="AFF3" s="7" t="n">
        <v>2.45196243575698</v>
      </c>
      <c r="AFG3" s="7" t="n">
        <v>0.779179902374449</v>
      </c>
      <c r="AFH3" s="7" t="n">
        <v>0.5539436970880069</v>
      </c>
      <c r="AFI3" s="7" t="n">
        <v>0.0216768724847429</v>
      </c>
      <c r="AFJ3" s="7" t="n">
        <v>0.0954444374659619</v>
      </c>
      <c r="AFK3" s="7" t="n">
        <v>-0.357135906656485</v>
      </c>
      <c r="AFL3" s="7" t="n">
        <v>-0.177122794720169</v>
      </c>
      <c r="AFM3" s="7" t="n">
        <v>-2.57155303490697</v>
      </c>
      <c r="AFN3" s="7" t="n">
        <v>0.1067973812059</v>
      </c>
      <c r="AFO3" s="7" t="n">
        <v>0.144274761724909</v>
      </c>
      <c r="AFP3" s="7" t="n">
        <v>0.445671145650178</v>
      </c>
      <c r="AFQ3" s="7" t="n">
        <v>-0.854403154163041</v>
      </c>
      <c r="AFR3" s="7" t="n">
        <v>-0.127584493413115</v>
      </c>
      <c r="AFS3" s="7" t="n">
        <v>0.384041247574284</v>
      </c>
      <c r="AFT3" s="7" t="n">
        <v>0.685894223588924</v>
      </c>
      <c r="AFU3" s="7" t="n">
        <v>1.20733893864886</v>
      </c>
      <c r="AFV3" s="7" t="n">
        <v>-1.04661862256681</v>
      </c>
      <c r="AFW3" s="7" t="n">
        <v>2.6293139200689</v>
      </c>
      <c r="AFX3" s="7" t="n">
        <v>0.986872992578665</v>
      </c>
      <c r="AFY3" s="7" t="n">
        <v>-0.244594031372558</v>
      </c>
      <c r="AFZ3" s="7" t="n">
        <v>-1.93478797190445</v>
      </c>
      <c r="AGA3" s="7" t="n">
        <v>0.353159647751709</v>
      </c>
      <c r="AGB3" s="7" t="n">
        <v>1.16082910905421</v>
      </c>
      <c r="AGC3" s="7" t="n">
        <v>-0.379490843111958</v>
      </c>
      <c r="AGD3" s="7" t="n">
        <v>-0.383423468255627</v>
      </c>
      <c r="AGE3" s="7" t="n">
        <v>2.45726016707912</v>
      </c>
      <c r="AGF3" s="7" t="n">
        <v>-0.0459970991623845</v>
      </c>
      <c r="AGG3" s="7" t="n">
        <v>-0.934420897335695</v>
      </c>
      <c r="AGH3" s="7" t="n">
        <v>-0.255793140043902</v>
      </c>
      <c r="AGI3" s="7" t="n">
        <v>0.282856359277715</v>
      </c>
      <c r="AGJ3" s="7" t="n">
        <v>-0.306638796299719</v>
      </c>
      <c r="AGK3" s="7" t="n">
        <v>0.102845127780222</v>
      </c>
      <c r="AGL3" s="7" t="n">
        <v>1.83088093202917</v>
      </c>
      <c r="AGM3" s="7" t="n">
        <v>0.344736663288278</v>
      </c>
      <c r="AGN3" s="7" t="n">
        <v>0.772187333957344</v>
      </c>
      <c r="AGO3" s="7" t="n">
        <v>0.147009499554663</v>
      </c>
      <c r="AGP3" s="7" t="n">
        <v>-0.49285269600574</v>
      </c>
      <c r="AGQ3" s="7" t="n">
        <v>0.529880086189955</v>
      </c>
      <c r="AGR3" s="7" t="n">
        <v>0.664605751601765</v>
      </c>
      <c r="AGS3" s="7" t="n">
        <v>-0.341148437742214</v>
      </c>
      <c r="AGT3" s="7" t="n">
        <v>-0.7561017109791069</v>
      </c>
      <c r="AGU3" s="7" t="n">
        <v>2.14143387061048</v>
      </c>
      <c r="AGV3" s="7" t="n">
        <v>-0.449630839379584</v>
      </c>
      <c r="AGW3" s="7" t="n">
        <v>1.21909466912625</v>
      </c>
      <c r="AGX3" s="7" t="n">
        <v>0.217758758408331</v>
      </c>
      <c r="AGY3" s="7" t="n">
        <v>2.00619896395881</v>
      </c>
      <c r="AGZ3" s="7" t="n">
        <v>0.637744899176231</v>
      </c>
      <c r="AHA3" s="7" t="n">
        <v>0.8419088276590611</v>
      </c>
      <c r="AHB3" s="7" t="n">
        <v>-0.179292883469478</v>
      </c>
      <c r="AHC3" s="7" t="n">
        <v>-2.71284700475705</v>
      </c>
      <c r="AHD3" s="7" t="n">
        <v>1.00234922068028</v>
      </c>
      <c r="AHE3" s="7" t="n">
        <v>-0.886302317055283</v>
      </c>
      <c r="AHF3" s="7" t="n">
        <v>0.546415641976113</v>
      </c>
      <c r="AHG3" s="7" t="n">
        <v>0.026172440348704</v>
      </c>
      <c r="AHH3" s="7" t="n">
        <v>0.275434548399072</v>
      </c>
      <c r="AHI3" s="7" t="n">
        <v>0.693792787695487</v>
      </c>
      <c r="AHJ3" s="7" t="n">
        <v>1.03060392346073</v>
      </c>
      <c r="AHK3" s="7" t="n">
        <v>-0.263466096233645</v>
      </c>
      <c r="AHL3" s="7" t="n">
        <v>-0.53631831056821</v>
      </c>
      <c r="AHM3" s="7" t="n">
        <v>-0.104510679457405</v>
      </c>
      <c r="AHN3" s="7" t="n">
        <v>-0.461346369174464</v>
      </c>
      <c r="AHO3" s="7" t="n">
        <v>0.561150712381999</v>
      </c>
      <c r="AHP3" s="7" t="n">
        <v>-0.446601680691574</v>
      </c>
      <c r="AHQ3" s="7" t="n">
        <v>0.475459816585596</v>
      </c>
      <c r="AHR3" s="7" t="n">
        <v>-0.334343950154078</v>
      </c>
      <c r="AHS3" s="7" t="n">
        <v>-0.322216801273386</v>
      </c>
      <c r="AHT3" s="7" t="n">
        <v>-1.4375600826663</v>
      </c>
      <c r="AHU3" s="7" t="n">
        <v>-1.42795613945973</v>
      </c>
      <c r="AHV3" s="7" t="n">
        <v>0.495246891231414</v>
      </c>
      <c r="AHW3" s="7" t="n">
        <v>0.592215236465037</v>
      </c>
      <c r="AHX3" s="7" t="n">
        <v>-0.667665608001955</v>
      </c>
      <c r="AHY3" s="7" t="n">
        <v>-1.64724760887388</v>
      </c>
      <c r="AHZ3" s="7" t="n">
        <v>-0.970279080322888</v>
      </c>
      <c r="AIA3" s="7" t="n">
        <v>-0.784225895578804</v>
      </c>
      <c r="AIB3" s="7" t="n">
        <v>2.03192769479117</v>
      </c>
      <c r="AIC3" s="7" t="n">
        <v>-0.432522526137959</v>
      </c>
      <c r="AID3" s="7" t="n">
        <v>1.61421849331377</v>
      </c>
      <c r="AIE3" s="7" t="n">
        <v>-0.35012611667851</v>
      </c>
      <c r="AIF3" s="7" t="n">
        <v>-0.13065960873721</v>
      </c>
      <c r="AIG3" s="7" t="n">
        <v>-0.965951911312472</v>
      </c>
      <c r="AIH3" s="7" t="n">
        <v>0.424085067598264</v>
      </c>
      <c r="AII3" s="7" t="n">
        <v>-0.626511243991369</v>
      </c>
      <c r="AIJ3" s="7" t="n">
        <v>0.683811963557859</v>
      </c>
      <c r="AIK3" s="7" t="n">
        <v>-1.10073221372371</v>
      </c>
      <c r="AIL3" s="7" t="n">
        <v>-0.0312744007889693</v>
      </c>
      <c r="AIM3" s="7" t="n">
        <v>-0.442074177820557</v>
      </c>
      <c r="AIN3" s="7" t="n">
        <v>0.22107305567029</v>
      </c>
      <c r="AIO3" s="7" t="n">
        <v>0.694347464053131</v>
      </c>
      <c r="AIP3" s="7" t="n">
        <v>-1.67333042394795</v>
      </c>
      <c r="AIQ3" s="7" t="n">
        <v>-0.131895037309784</v>
      </c>
      <c r="AIR3" s="7" t="n">
        <v>1.10557781450544</v>
      </c>
      <c r="AIS3" s="7" t="n">
        <v>0.345415995395505</v>
      </c>
      <c r="AIT3" s="7" t="n">
        <v>-0.229588140782636</v>
      </c>
      <c r="AIU3" s="7" t="n">
        <v>0.626916228200642</v>
      </c>
      <c r="AIV3" s="7" t="n">
        <v>-1.43654886558081</v>
      </c>
      <c r="AIW3" s="7" t="n">
        <v>-0.297695031495369</v>
      </c>
      <c r="AIX3" s="7" t="n">
        <v>0.0362309702196132</v>
      </c>
      <c r="AIY3" s="7" t="n">
        <v>-0.731977698524486</v>
      </c>
      <c r="AIZ3" s="7" t="n">
        <v>-0.394434669531395</v>
      </c>
      <c r="AJA3" s="7" t="n">
        <v>-0.718714595955695</v>
      </c>
      <c r="AJB3" s="7" t="n">
        <v>-0.495673700541901</v>
      </c>
      <c r="AJC3" s="7" t="n">
        <v>1.48188622216095</v>
      </c>
      <c r="AJD3" s="7" t="n">
        <v>2.65794827490853</v>
      </c>
      <c r="AJE3" s="7" t="n">
        <v>-0.755701026844544</v>
      </c>
      <c r="AJF3" s="7" t="n">
        <v>-1.11725915930721</v>
      </c>
      <c r="AJG3" s="7" t="n">
        <v>0.687583186895389</v>
      </c>
      <c r="AJH3" s="7" t="n">
        <v>3.10446193662665</v>
      </c>
      <c r="AJI3" s="7" t="n">
        <v>-1.59024966954316</v>
      </c>
      <c r="AJJ3" s="7" t="n">
        <v>-0.0685319534548972</v>
      </c>
      <c r="AJK3" s="7" t="n">
        <v>-1.36391560349943</v>
      </c>
      <c r="AJL3" s="7" t="n">
        <v>1.0205154913262</v>
      </c>
      <c r="AJM3" s="7" t="n">
        <v>-0.57271630424505</v>
      </c>
      <c r="AJN3" s="7" t="n">
        <v>-1.72139643853006</v>
      </c>
      <c r="AJO3" s="7" t="n">
        <v>0.242803134700664</v>
      </c>
      <c r="AJP3" s="7" t="n">
        <v>-0.43027714168224</v>
      </c>
      <c r="AJQ3" s="7" t="n">
        <v>-0.262688001158306</v>
      </c>
      <c r="AJR3" s="7" t="n">
        <v>0.214167347098289</v>
      </c>
      <c r="AJS3" s="7" t="n">
        <v>0.44200759092837</v>
      </c>
      <c r="AJT3" s="7" t="n">
        <v>-1.67304558402844</v>
      </c>
      <c r="AJU3" s="7" t="n">
        <v>-1.57499865241591</v>
      </c>
      <c r="AJV3" s="7" t="n">
        <v>-0.364583554373535</v>
      </c>
      <c r="AJW3" s="7" t="n">
        <v>1.08196998787141</v>
      </c>
      <c r="AJX3" s="7" t="n">
        <v>-0.186611404065584</v>
      </c>
      <c r="AJY3" s="7" t="n">
        <v>0.193898567139124</v>
      </c>
      <c r="AJZ3" s="7" t="n">
        <v>-0.0399398702632737</v>
      </c>
      <c r="AKA3" s="7" t="n">
        <v>0.611665819503324</v>
      </c>
      <c r="AKB3" s="7" t="n">
        <v>0.009599156316274299</v>
      </c>
      <c r="AKC3" s="7" t="n">
        <v>-0.563950239352433</v>
      </c>
      <c r="AKD3" s="7" t="n">
        <v>0.3547557985113</v>
      </c>
      <c r="AKE3" s="7" t="n">
        <v>-0.677937579772027</v>
      </c>
      <c r="AKF3" s="7" t="n">
        <v>-0.281390426644785</v>
      </c>
      <c r="AKG3" s="7" t="n">
        <v>-0.159564529607438</v>
      </c>
      <c r="AKH3" s="7" t="n">
        <v>0.024254366273191</v>
      </c>
      <c r="AKI3" s="7" t="n">
        <v>-0.862704889779235</v>
      </c>
      <c r="AKJ3" s="7" t="n">
        <v>0.560976752829796</v>
      </c>
      <c r="AKK3" s="7" t="n">
        <v>0.119723895137369</v>
      </c>
      <c r="AKL3" s="7" t="n">
        <v>-0.365611740113516</v>
      </c>
      <c r="AKM3" s="7" t="n">
        <v>2.49916611910027</v>
      </c>
      <c r="AKN3" s="7" t="n">
        <v>2.14169858915514</v>
      </c>
      <c r="AKO3" s="7" t="n">
        <v>0.252629128565101</v>
      </c>
      <c r="AKP3" s="7" t="n">
        <v>-0.554397461951481</v>
      </c>
      <c r="AKQ3" s="7" t="n">
        <v>-0.439573608308935</v>
      </c>
      <c r="AKR3" s="7" t="n">
        <v>1.10651010529931</v>
      </c>
      <c r="AKS3" s="7" t="n">
        <v>-1.16502214443796</v>
      </c>
      <c r="AKT3" s="7" t="n">
        <v>2.68361986423938</v>
      </c>
      <c r="AKU3" s="7" t="n">
        <v>-2.4448795368821</v>
      </c>
      <c r="AKV3" s="7" t="n">
        <v>0.153312542959864</v>
      </c>
      <c r="AKW3" s="7" t="n">
        <v>-0.735595488951343</v>
      </c>
      <c r="AKX3" s="7" t="n">
        <v>-1.10206620765384</v>
      </c>
      <c r="AKY3" s="7" t="n">
        <v>-1.64279285411414</v>
      </c>
      <c r="AKZ3" s="7" t="n">
        <v>0.0119274259516643</v>
      </c>
      <c r="ALA3" s="7" t="n">
        <v>1.3001959145243</v>
      </c>
      <c r="ALB3" s="7" t="n">
        <v>0.529807776685758</v>
      </c>
      <c r="ALC3" s="7" t="n">
        <v>0.297375049422789</v>
      </c>
      <c r="ALD3" s="7" t="n">
        <v>-0.442477880201456</v>
      </c>
      <c r="ALE3" s="7" t="n">
        <v>-0.650495340550443</v>
      </c>
      <c r="ALF3" s="7" t="n">
        <v>0.7437093161599569</v>
      </c>
      <c r="ALG3" s="7" t="n">
        <v>-0.223853220906515</v>
      </c>
      <c r="ALH3" s="7" t="n">
        <v>0.173496643341304</v>
      </c>
      <c r="ALI3" s="7" t="n">
        <v>1.85794924219709</v>
      </c>
      <c r="ALJ3" s="7" t="n">
        <v>-1.39017306634434</v>
      </c>
      <c r="ALK3" s="7" t="n">
        <v>0.0207597350863077</v>
      </c>
      <c r="ALL3" s="7" t="n">
        <v>-0.364185586638289</v>
      </c>
      <c r="ALM3" s="7" t="n">
        <v>2.32501732124546</v>
      </c>
      <c r="ALN3" s="7" t="n">
        <v>1.85277096250831</v>
      </c>
      <c r="ALO3" s="7" t="n">
        <v>0.722235620138865</v>
      </c>
      <c r="ALP3" s="7" t="n">
        <v>-0.298810248511558</v>
      </c>
      <c r="ALQ3" s="7" t="n">
        <v>0.964063206371521</v>
      </c>
      <c r="ALR3" s="7" t="n">
        <v>-0.877093378528175</v>
      </c>
      <c r="ALS3" s="7" t="n">
        <v>0.466728083111537</v>
      </c>
      <c r="ALT3" s="7" t="n">
        <v>-0.266108332898182</v>
      </c>
      <c r="ALU3" s="7" t="n">
        <v>0.905440225304171</v>
      </c>
      <c r="ALV3" s="7" t="n">
        <v>-0.436437401115741</v>
      </c>
      <c r="ALW3" s="7" t="n">
        <v>1.73563229165836</v>
      </c>
      <c r="ALX3" s="7" t="n">
        <v>0.32601780223356</v>
      </c>
      <c r="ALY3" s="7" t="n">
        <v>1.75860992124913</v>
      </c>
      <c r="ALZ3" s="7" t="n">
        <v>-1.37598903585546</v>
      </c>
      <c r="AMA3" s="7" t="n">
        <v>-0.966324989312224</v>
      </c>
      <c r="AMB3" s="7" t="n">
        <v>-0.0836494662469341</v>
      </c>
      <c r="AMC3" s="7" t="n">
        <v>-0.08464511345839559</v>
      </c>
      <c r="AMD3" s="7" t="n">
        <v>1.57233984241896</v>
      </c>
      <c r="AME3" s="7" t="n">
        <v>-1.77671338464212</v>
      </c>
      <c r="AMF3" s="7" t="n">
        <v>0.611473286782334</v>
      </c>
      <c r="AMG3" s="7" t="n">
        <v>-0.874906767761004</v>
      </c>
      <c r="AMH3" s="7" t="n">
        <v>-0.341009569210034</v>
      </c>
      <c r="AMI3" s="7" t="n">
        <v>1.67705084048727</v>
      </c>
      <c r="AMJ3" s="7" t="n">
        <v>-0.6484731915777689</v>
      </c>
      <c r="AMK3" s="7" t="n">
        <v>-0.177286323656122</v>
      </c>
      <c r="AML3" s="7" t="n">
        <v>-0.766246090975528</v>
      </c>
      <c r="AMM3" s="7" t="n">
        <v>-1.79842044758032</v>
      </c>
      <c r="AMN3" s="7" t="n">
        <v>-0.394637799126005</v>
      </c>
      <c r="AMO3" s="7" t="n">
        <v>-0.410215076730978</v>
      </c>
      <c r="AMP3" s="7" t="n">
        <v>3.22507399353045</v>
      </c>
      <c r="AMQ3" s="7" t="n">
        <v>0.329753206103313</v>
      </c>
      <c r="AMR3" s="7" t="n">
        <v>1.38418198406718</v>
      </c>
      <c r="AMS3" s="7" t="n">
        <v>1.33284200205866</v>
      </c>
      <c r="AMT3" s="7" t="n">
        <v>-0.707935848329767</v>
      </c>
      <c r="AMU3" s="7" t="n">
        <v>-0.741070011158833</v>
      </c>
      <c r="AMV3" s="7" t="n">
        <v>0.986381808653181</v>
      </c>
      <c r="AMW3" s="7" t="n">
        <v>0.468980650707539</v>
      </c>
      <c r="AMX3" s="7" t="n">
        <v>1.68985655952898</v>
      </c>
      <c r="AMY3" s="7" t="n">
        <v>1.87531758186278</v>
      </c>
      <c r="AMZ3" s="7" t="n">
        <v>2.09017920643135</v>
      </c>
      <c r="ANA3" s="7" t="n">
        <v>0.933865969188162</v>
      </c>
      <c r="ANB3" s="7" t="n">
        <v>-0.935062064625612</v>
      </c>
      <c r="ANC3" s="7" t="n">
        <v>-1.45059290547643</v>
      </c>
      <c r="AND3" s="7" t="n">
        <v>1.13741855003166</v>
      </c>
      <c r="ANE3" s="7" t="n">
        <v>0.7193339738215671</v>
      </c>
      <c r="ANF3" s="7" t="n">
        <v>0.209379135266671</v>
      </c>
      <c r="ANG3" s="7" t="n">
        <v>0.0780971243577394</v>
      </c>
      <c r="ANH3" s="7" t="n">
        <v>-1.2070734532097</v>
      </c>
      <c r="ANI3" s="7" t="n">
        <v>0.9028761998670231</v>
      </c>
      <c r="ANJ3" s="7" t="n">
        <v>-0.46908307016198</v>
      </c>
      <c r="ANK3" s="7" t="n">
        <v>-0.918412587762261</v>
      </c>
      <c r="ANL3" s="7" t="n">
        <v>-1.70516574812688</v>
      </c>
      <c r="ANM3" s="7" t="n">
        <v>-0.7124118932796401</v>
      </c>
      <c r="ANN3" s="7" t="n">
        <v>-0.614995887837482</v>
      </c>
      <c r="ANO3" s="7" t="n">
        <v>0.184770728882628</v>
      </c>
      <c r="ANP3" s="7" t="n">
        <v>-1.13732545109852</v>
      </c>
      <c r="ANQ3" s="7" t="n">
        <v>0.478969517418638</v>
      </c>
      <c r="ANR3" s="7" t="n">
        <v>-0.291792585504942</v>
      </c>
      <c r="ANS3" s="7" t="n">
        <v>-0.162874352843345</v>
      </c>
      <c r="ANT3" s="7" t="n">
        <v>1.79888713528283</v>
      </c>
      <c r="ANU3" s="7" t="n">
        <v>0.556880463235001</v>
      </c>
      <c r="ANV3" s="7" t="n">
        <v>-0.56606807194261</v>
      </c>
      <c r="ANW3" s="7" t="n">
        <v>-0.389229013617982</v>
      </c>
      <c r="ANX3" s="7" t="n">
        <v>-0.497944389582772</v>
      </c>
      <c r="ANY3" s="7" t="n">
        <v>0.440031831569928</v>
      </c>
      <c r="ANZ3" s="7" t="n">
        <v>-0.244200810710371</v>
      </c>
      <c r="AOA3" s="7" t="n">
        <v>0.454129036608546</v>
      </c>
      <c r="AOB3" s="7" t="n">
        <v>0.485931899949452</v>
      </c>
      <c r="AOC3" s="7" t="n">
        <v>0.215385000282748</v>
      </c>
      <c r="AOD3" s="7" t="n">
        <v>-0.809882841843819</v>
      </c>
      <c r="AOE3" s="7" t="n">
        <v>-0.07122442730565109</v>
      </c>
      <c r="AOF3" s="7" t="n">
        <v>-0.173359676821256</v>
      </c>
      <c r="AOG3" s="7" t="n">
        <v>0.532691398082578</v>
      </c>
      <c r="AOH3" s="7" t="n">
        <v>1.18893551402732</v>
      </c>
      <c r="AOI3" s="7" t="n">
        <v>-0.585527380738415</v>
      </c>
      <c r="AOJ3" s="7" t="n">
        <v>-0.572662532980827</v>
      </c>
      <c r="AOK3" s="7" t="n">
        <v>-1.54357021825915</v>
      </c>
      <c r="AOL3" s="7" t="n">
        <v>-0.650416816490293</v>
      </c>
      <c r="AOM3" s="7" t="n">
        <v>-0.631830450107741</v>
      </c>
      <c r="AON3" s="7" t="n">
        <v>-0.449064340910635</v>
      </c>
      <c r="AOO3" s="7" t="n">
        <v>0.17575294050171</v>
      </c>
      <c r="AOP3" s="7" t="n">
        <v>1.46809600389125</v>
      </c>
      <c r="AOQ3" s="7" t="n">
        <v>-0.367333260302574</v>
      </c>
      <c r="AOR3" s="7" t="n">
        <v>0.283517441881754</v>
      </c>
      <c r="AOS3" s="7" t="n">
        <v>-0.3741677386672</v>
      </c>
      <c r="AOT3" s="7" t="n">
        <v>0.357703065874746</v>
      </c>
      <c r="AOU3" s="7" t="n">
        <v>0.467652872050391</v>
      </c>
      <c r="AOV3" s="7" t="n">
        <v>0.984636528586301</v>
      </c>
      <c r="AOW3" s="7" t="n">
        <v>-1.2058785683047</v>
      </c>
      <c r="AOX3" s="7" t="n">
        <v>0.57565742467633</v>
      </c>
      <c r="AOY3" s="7" t="n">
        <v>-1.61069941005688</v>
      </c>
      <c r="AOZ3" s="7" t="n">
        <v>0.246029859228374</v>
      </c>
      <c r="APA3" s="7" t="n">
        <v>-1.50282756370978</v>
      </c>
      <c r="APB3" s="7" t="n">
        <v>-1.04824812816995</v>
      </c>
      <c r="APC3" s="7" t="n">
        <v>0.273049636013952</v>
      </c>
      <c r="APD3" s="7" t="n">
        <v>3.50885805072243</v>
      </c>
      <c r="APE3" s="7" t="n">
        <v>-0.38082256336465</v>
      </c>
      <c r="APF3" s="7" t="n">
        <v>-1.30729192380702</v>
      </c>
      <c r="APG3" s="7" t="n">
        <v>-0.9470976423476229</v>
      </c>
      <c r="APH3" s="7" t="n">
        <v>-0.516691472244079</v>
      </c>
      <c r="API3" s="7" t="n">
        <v>0.515631304365999</v>
      </c>
      <c r="APJ3" s="7" t="n">
        <v>0.479361825287645</v>
      </c>
      <c r="APK3" s="7" t="n">
        <v>-0.141497634741441</v>
      </c>
      <c r="APL3" s="7" t="n">
        <v>-1.1128921749638</v>
      </c>
      <c r="APM3" s="7" t="n">
        <v>-0.203564296133752</v>
      </c>
      <c r="APN3" s="7" t="n">
        <v>1.28219344853323</v>
      </c>
      <c r="APO3" s="7" t="n">
        <v>0.654473328434417</v>
      </c>
      <c r="APP3" s="7" t="n">
        <v>1.56630378416363</v>
      </c>
      <c r="APQ3" s="7" t="n">
        <v>-2.64573400032048</v>
      </c>
      <c r="APR3" s="7" t="n">
        <v>1.268976621815</v>
      </c>
      <c r="APS3" s="7" t="n">
        <v>-2.28411790998869</v>
      </c>
      <c r="APT3" s="7" t="n">
        <v>-0.194915816641303</v>
      </c>
      <c r="APU3" s="7" t="n">
        <v>-0.0375419639603502</v>
      </c>
      <c r="APV3" s="7" t="n">
        <v>0.17280464981657</v>
      </c>
      <c r="APW3" s="7" t="n">
        <v>0.16772093541774</v>
      </c>
      <c r="APX3" s="7" t="n">
        <v>-0.542805876194678</v>
      </c>
      <c r="APY3" s="7" t="n">
        <v>0.281946409564449</v>
      </c>
      <c r="APZ3" s="7" t="n">
        <v>0.101875520483026</v>
      </c>
      <c r="AQA3" s="7" t="n">
        <v>0.0518040126259213</v>
      </c>
      <c r="AQB3" s="7" t="n">
        <v>-0.446421081361392</v>
      </c>
      <c r="AQC3" s="7" t="n">
        <v>1.06466261928685</v>
      </c>
      <c r="AQD3" s="7" t="n">
        <v>1.74447506640887</v>
      </c>
      <c r="AQE3" s="7" t="n">
        <v>-0.412906871690357</v>
      </c>
      <c r="AQF3" s="7" t="n">
        <v>-0.0451543925390248</v>
      </c>
      <c r="AQG3" s="7" t="n">
        <v>1.76808939249393</v>
      </c>
      <c r="AQH3" s="7" t="n">
        <v>1.30417618831973</v>
      </c>
      <c r="AQI3" s="7" t="n">
        <v>0.945648001950118</v>
      </c>
      <c r="AQJ3" s="7" t="n">
        <v>-0.0616462450416343</v>
      </c>
      <c r="AQK3" s="7" t="n">
        <v>0.261394536966305</v>
      </c>
      <c r="AQL3" s="7" t="n">
        <v>-0.537114954922838</v>
      </c>
      <c r="AQM3" s="7" t="n">
        <v>0.913362273396777</v>
      </c>
      <c r="AQN3" s="7" t="n">
        <v>1.44926471151737</v>
      </c>
      <c r="AQO3" s="7" t="n">
        <v>-1.13262814326447</v>
      </c>
      <c r="AQP3" s="7" t="n">
        <v>-0.0259285382837512</v>
      </c>
      <c r="AQQ3" s="7" t="n">
        <v>-1.108763582716</v>
      </c>
      <c r="AQR3" s="7" t="n">
        <v>-1.46568955085288</v>
      </c>
      <c r="AQS3" s="7" t="n">
        <v>-0.5817365297318829</v>
      </c>
      <c r="AQT3" s="7" t="n">
        <v>-1.46002189297669</v>
      </c>
      <c r="AQU3" s="7" t="n">
        <v>-1.03825169966777</v>
      </c>
      <c r="AQV3" s="7" t="n">
        <v>0.632960467016941</v>
      </c>
      <c r="AQW3" s="7" t="n">
        <v>-1.46540744030045</v>
      </c>
      <c r="AQX3" s="7" t="n">
        <v>0.6517861096119441</v>
      </c>
      <c r="AQY3" s="7" t="n">
        <v>-1.09346043719786</v>
      </c>
      <c r="AQZ3" s="7" t="n">
        <v>0.14400085179896</v>
      </c>
      <c r="ARA3" s="7" t="n">
        <v>1.11547139405775</v>
      </c>
      <c r="ARB3" s="7" t="n">
        <v>-0.5218539947730531</v>
      </c>
      <c r="ARC3" s="7" t="n">
        <v>-1.34425046805601</v>
      </c>
      <c r="ARD3" s="7" t="n">
        <v>1.02945662251491</v>
      </c>
      <c r="ARE3" s="7" t="n">
        <v>1.39994682826232</v>
      </c>
      <c r="ARF3" s="7" t="n">
        <v>-0.484589233572904</v>
      </c>
      <c r="ARG3" s="7" t="n">
        <v>1.03083527079702</v>
      </c>
      <c r="ARH3" s="7" t="n">
        <v>-0.738292818765599</v>
      </c>
      <c r="ARI3" s="7" t="n">
        <v>0.214686110263034</v>
      </c>
      <c r="ARJ3" s="7" t="n">
        <v>-0.684897652578966</v>
      </c>
      <c r="ARK3" s="7" t="n">
        <v>-1.01321253464341</v>
      </c>
      <c r="ARL3" s="7" t="n">
        <v>-1.04739224979352</v>
      </c>
      <c r="ARM3" s="7" t="n">
        <v>0.147699252252594</v>
      </c>
      <c r="ARN3" s="7" t="n">
        <v>-1.58395086208213</v>
      </c>
      <c r="ARO3" s="7" t="n">
        <v>-0.514502294770303</v>
      </c>
      <c r="ARP3" s="7" t="n">
        <v>0.842422493457529</v>
      </c>
      <c r="ARQ3" s="7" t="n">
        <v>-0.821248673859326</v>
      </c>
      <c r="ARR3" s="7" t="n">
        <v>0.0429912533873141</v>
      </c>
      <c r="ARS3" s="7" t="n">
        <v>-0.807135208740414</v>
      </c>
      <c r="ART3" s="7" t="n">
        <v>0.270170757199263</v>
      </c>
      <c r="ARU3" s="7" t="n">
        <v>-2.12264667355949</v>
      </c>
      <c r="ARV3" s="7" t="n">
        <v>-0.132022123919089</v>
      </c>
      <c r="ARW3" s="7" t="n">
        <v>-0.163179126258509</v>
      </c>
      <c r="ARX3" s="7" t="n">
        <v>-1.84722189554526</v>
      </c>
      <c r="ARY3" s="7" t="n">
        <v>1.93804473399633</v>
      </c>
      <c r="ARZ3" s="7" t="n">
        <v>0.281611033897222</v>
      </c>
      <c r="ASA3" s="7" t="n">
        <v>-1.24753533499583</v>
      </c>
      <c r="ASB3" s="7" t="n">
        <v>0.141918012290103</v>
      </c>
      <c r="ASC3" s="7" t="n">
        <v>-0.219637827848804</v>
      </c>
      <c r="ASD3" s="7" t="n">
        <v>-0.529708126104077</v>
      </c>
      <c r="ASE3" s="7" t="n">
        <v>0.566120378548997</v>
      </c>
      <c r="ASF3" s="7" t="n">
        <v>1.76036889919734</v>
      </c>
      <c r="ASG3" s="7" t="n">
        <v>-0.9342372677349871</v>
      </c>
      <c r="ASH3" s="7" t="n">
        <v>-0.495039819773349</v>
      </c>
      <c r="ASI3" s="7" t="n">
        <v>0.765278056482845</v>
      </c>
      <c r="ASJ3" s="7" t="n">
        <v>0.431917280625274</v>
      </c>
      <c r="ASK3" s="7" t="n">
        <v>-0.201340831155436</v>
      </c>
      <c r="ASL3" s="7" t="n">
        <v>1.48899163255203</v>
      </c>
      <c r="ASM3" s="7" t="n">
        <v>-0.613744878349797</v>
      </c>
      <c r="ASN3" s="7" t="n">
        <v>-0.0129760018065653</v>
      </c>
      <c r="ASO3" s="7" t="n">
        <v>-0.303847328563584</v>
      </c>
      <c r="ASP3" s="7" t="n">
        <v>0.0116604883063555</v>
      </c>
      <c r="ASQ3" s="7" t="n">
        <v>-1.01534052094521</v>
      </c>
      <c r="ASR3" s="7" t="n">
        <v>-0.908192574872503</v>
      </c>
      <c r="ASS3" s="7" t="n">
        <v>1.47399409267574</v>
      </c>
      <c r="AST3" s="7" t="n">
        <v>1.62823621574286</v>
      </c>
      <c r="ASU3" s="7" t="n">
        <v>-3.22858243340729</v>
      </c>
      <c r="ASV3" s="7" t="n">
        <v>0.608696590673347</v>
      </c>
      <c r="ASW3" s="7" t="n">
        <v>-0.500607222134326</v>
      </c>
      <c r="ASX3" s="7" t="n">
        <v>0.377147446856503</v>
      </c>
      <c r="ASY3" s="7" t="n">
        <v>0.343342630026329</v>
      </c>
      <c r="ASZ3" s="7" t="n">
        <v>1.70494863826704</v>
      </c>
      <c r="ATA3" s="7" t="n">
        <v>0.193053634109805</v>
      </c>
      <c r="ATB3" s="7" t="n">
        <v>0.516979532743133</v>
      </c>
      <c r="ATC3" s="7" t="n">
        <v>0.594087988763921</v>
      </c>
      <c r="ATD3" s="7" t="n">
        <v>-0.2918187268916</v>
      </c>
      <c r="ATE3" s="7" t="n">
        <v>-0.447477683310915</v>
      </c>
      <c r="ATF3" s="7" t="n">
        <v>0.176055271808477</v>
      </c>
      <c r="ATG3" s="7" t="n">
        <v>1.55557362833983</v>
      </c>
      <c r="ATH3" s="7" t="n">
        <v>-2.17279548921034</v>
      </c>
      <c r="ATI3" s="7" t="n">
        <v>2.51414913048605</v>
      </c>
      <c r="ATJ3" s="7" t="n">
        <v>-1.3358265914148</v>
      </c>
      <c r="ATK3" s="7" t="n">
        <v>-1.2504109847146</v>
      </c>
      <c r="ATL3" s="7" t="n">
        <v>-1.14439210016154</v>
      </c>
      <c r="ATM3" s="7" t="n">
        <v>0.688356826921083</v>
      </c>
      <c r="ATN3" s="7" t="n">
        <v>0.279335634739096</v>
      </c>
      <c r="ATO3" s="7" t="n">
        <v>0.161094350341541</v>
      </c>
      <c r="ATP3" s="7" t="n">
        <v>0.603337152864446</v>
      </c>
      <c r="ATQ3" s="7" t="n">
        <v>2.61103654699468</v>
      </c>
      <c r="ATR3" s="7" t="n">
        <v>-0.854631567899099</v>
      </c>
      <c r="ATS3" s="7" t="n">
        <v>0.459534799682076</v>
      </c>
      <c r="ATT3" s="7" t="n">
        <v>0.020591581320083</v>
      </c>
      <c r="ATU3" s="7" t="n">
        <v>1.88219308063642</v>
      </c>
      <c r="ATV3" s="7" t="n">
        <v>2.27909736809489</v>
      </c>
      <c r="ATW3" s="7" t="n">
        <v>2.08315603979939</v>
      </c>
      <c r="ATX3" s="7" t="n">
        <v>3.04155598485972</v>
      </c>
      <c r="ATY3" s="7" t="n">
        <v>-0.624382633228374</v>
      </c>
      <c r="ATZ3" s="7" t="n">
        <v>-0.07855105959559321</v>
      </c>
      <c r="AUA3" s="7" t="n">
        <v>-1.96185409211143</v>
      </c>
      <c r="AUB3" s="7" t="n">
        <v>-0.418063405392488</v>
      </c>
      <c r="AUC3" s="7" t="n">
        <v>-0.276484740972957</v>
      </c>
      <c r="AUD3" s="7" t="n">
        <v>0.0875469938983414</v>
      </c>
      <c r="AUE3" s="7" t="n">
        <v>-0.505164847106142</v>
      </c>
      <c r="AUF3" s="7" t="n">
        <v>1.09955618977959</v>
      </c>
      <c r="AUG3" s="7" t="n">
        <v>0.522971096317657</v>
      </c>
      <c r="AUH3" s="7" t="n">
        <v>0.186834610273976</v>
      </c>
      <c r="AUI3" s="7" t="n">
        <v>-0.6014333911686029</v>
      </c>
      <c r="AUJ3" s="7" t="n">
        <v>-2.75825605446946</v>
      </c>
      <c r="AUK3" s="7" t="n">
        <v>-1.07203399527291</v>
      </c>
      <c r="AUL3" s="7" t="n">
        <v>0.551253825668543</v>
      </c>
      <c r="AUM3" s="7" t="n">
        <v>0.238880644755158</v>
      </c>
      <c r="AUN3" s="7" t="n">
        <v>-0.585197810408648</v>
      </c>
      <c r="AUO3" s="7" t="n">
        <v>-0.8389558756350129</v>
      </c>
      <c r="AUP3" s="7" t="n">
        <v>-0.329780847820243</v>
      </c>
      <c r="AUQ3" s="7" t="n">
        <v>0.0383707269450553</v>
      </c>
      <c r="AUR3" s="7" t="n">
        <v>1.39896194226083</v>
      </c>
      <c r="AUS3" s="7" t="n">
        <v>-0.943575377978466</v>
      </c>
      <c r="AUT3" s="7" t="n">
        <v>1.20267862414659</v>
      </c>
      <c r="AUU3" s="7" t="n">
        <v>-0.242873614964511</v>
      </c>
      <c r="AUV3" s="7" t="n">
        <v>0.197156419109034</v>
      </c>
      <c r="AUW3" s="7" t="n">
        <v>-0.748377685086881</v>
      </c>
      <c r="AUX3" s="7" t="n">
        <v>0.570999084871279</v>
      </c>
      <c r="AUY3" s="7" t="n">
        <v>-0.0807608983778066</v>
      </c>
      <c r="AUZ3" s="7" t="n">
        <v>1.9685178804169</v>
      </c>
      <c r="AVA3" s="7" t="n">
        <v>-1.92518588124003</v>
      </c>
      <c r="AVB3" s="7" t="n">
        <v>-0.750478747275927</v>
      </c>
      <c r="AVC3" s="7" t="n">
        <v>-3.10865957085648</v>
      </c>
      <c r="AVD3" s="7" t="n">
        <v>0.889021601378056</v>
      </c>
      <c r="AVE3" s="7" t="n">
        <v>-0.179033067064215</v>
      </c>
      <c r="AVF3" s="7" t="n">
        <v>1.1872511640447</v>
      </c>
      <c r="AVG3" s="7" t="n">
        <v>-0.09260546789033</v>
      </c>
      <c r="AVH3" s="7" t="n">
        <v>-1.51420578490076</v>
      </c>
      <c r="AVI3" s="7" t="n">
        <v>-3.25235677791933</v>
      </c>
      <c r="AVJ3" s="7" t="n">
        <v>0.852407031342206</v>
      </c>
      <c r="AVK3" s="7" t="n">
        <v>0.654918627175975</v>
      </c>
      <c r="AVL3" s="7" t="n">
        <v>0.145831093129593</v>
      </c>
      <c r="AVM3" s="7" t="n">
        <v>1.66225381963612</v>
      </c>
      <c r="AVN3" s="7" t="n">
        <v>1.52159362533364</v>
      </c>
      <c r="AVO3" s="7" t="n">
        <v>-0.685961195405788</v>
      </c>
      <c r="AVP3" s="7" t="n">
        <v>1.09373621568377</v>
      </c>
      <c r="AVQ3" s="7" t="n">
        <v>-0.317239958453865</v>
      </c>
      <c r="AVR3" s="7" t="n">
        <v>-1.21183997032012</v>
      </c>
      <c r="AVS3" s="7" t="n">
        <v>-0.0264311585870655</v>
      </c>
      <c r="AVT3" s="7" t="n">
        <v>-0.320063739945642</v>
      </c>
      <c r="AVU3" s="7" t="n">
        <v>1.1192386333779</v>
      </c>
      <c r="AVV3" s="7" t="n">
        <v>-0.171509550504694</v>
      </c>
      <c r="AVW3" s="7" t="n">
        <v>-1.24314147490876</v>
      </c>
      <c r="AVX3" s="7" t="n">
        <v>-0.348467663010492</v>
      </c>
      <c r="AVY3" s="7" t="n">
        <v>-0.689614101143411</v>
      </c>
      <c r="AVZ3" s="7" t="n">
        <v>1.91832265300733</v>
      </c>
      <c r="AWA3" s="7" t="n">
        <v>0.551987143645406</v>
      </c>
      <c r="AWB3" s="7" t="n">
        <v>-0.194555033870867</v>
      </c>
      <c r="AWC3" s="7" t="n">
        <v>0.16033555670071</v>
      </c>
      <c r="AWD3" s="7" t="n">
        <v>1.53338196807028</v>
      </c>
      <c r="AWE3" s="7" t="n">
        <v>-1.22238898961372</v>
      </c>
      <c r="AWF3" s="7" t="n">
        <v>0.164416354984861</v>
      </c>
      <c r="AWG3" s="7" t="n">
        <v>-1.73524001710869</v>
      </c>
      <c r="AWH3" s="7" t="n">
        <v>-0.294811375905812</v>
      </c>
      <c r="AWI3" s="7" t="n">
        <v>1.80809853067185</v>
      </c>
      <c r="AWJ3" s="7" t="n">
        <v>0.230315731533404</v>
      </c>
      <c r="AWK3" s="7" t="n">
        <v>-2.56078434186301</v>
      </c>
      <c r="AWL3" s="7" t="n">
        <v>-0.186634716263791</v>
      </c>
      <c r="AWM3" s="7" t="n">
        <v>0.384824656144591</v>
      </c>
      <c r="AWN3" s="7" t="n">
        <v>0.280904072670853</v>
      </c>
      <c r="AWO3" s="7" t="n">
        <v>-0.0992957172749937</v>
      </c>
      <c r="AWP3" s="7" t="n">
        <v>-1.66189593115913</v>
      </c>
      <c r="AWQ3" s="7" t="n">
        <v>-0.817061865853686</v>
      </c>
      <c r="AWR3" s="7" t="n">
        <v>-1.21761507979262</v>
      </c>
      <c r="AWS3" s="7" t="n">
        <v>1.7186132150122</v>
      </c>
      <c r="AWT3" s="7" t="n">
        <v>1.7773581796743</v>
      </c>
      <c r="AWU3" s="7" t="n">
        <v>-0.471474068813252</v>
      </c>
      <c r="AWV3" s="7" t="n">
        <v>-0.349259054359091</v>
      </c>
      <c r="AWW3" s="7" t="n">
        <v>-0.596097333367574</v>
      </c>
      <c r="AWX3" s="7" t="n">
        <v>-0.0317347588671475</v>
      </c>
      <c r="AWY3" s="7" t="n">
        <v>-0.366142261655578</v>
      </c>
      <c r="AWZ3" s="7" t="n">
        <v>1.20537492277949</v>
      </c>
      <c r="AXA3" s="7" t="n">
        <v>-0.802930211655785</v>
      </c>
      <c r="AXB3" s="7" t="n">
        <v>-0.567668795842958</v>
      </c>
      <c r="AXC3" s="7" t="n">
        <v>0.757974926788391</v>
      </c>
      <c r="AXD3" s="7" t="n">
        <v>-0.163663106760804</v>
      </c>
      <c r="AXE3" s="7" t="n">
        <v>-0.360031820346863</v>
      </c>
      <c r="AXF3" s="7" t="n">
        <v>2.01194200395018</v>
      </c>
      <c r="AXG3" s="7" t="n">
        <v>-0.970733023963709</v>
      </c>
      <c r="AXH3" s="7" t="n">
        <v>-0.112180606380158</v>
      </c>
      <c r="AXI3" s="7" t="n">
        <v>1.81987519528445</v>
      </c>
      <c r="AXJ3" s="7" t="n">
        <v>1.79257491284274</v>
      </c>
      <c r="AXK3" s="7" t="n">
        <v>-1.47168837200406</v>
      </c>
      <c r="AXL3" s="7" t="n">
        <v>1.03915794530505</v>
      </c>
      <c r="AXM3" s="7" t="n">
        <v>1.32325923925871</v>
      </c>
      <c r="AXN3" s="7" t="n">
        <v>1.04685474672788</v>
      </c>
      <c r="AXO3" s="7" t="n">
        <v>-1.86983099066413</v>
      </c>
      <c r="AXP3" s="7" t="n">
        <v>-0.441796134392227</v>
      </c>
      <c r="AXQ3" s="7" t="n">
        <v>0.745847222038567</v>
      </c>
      <c r="AXR3" s="7" t="n">
        <v>-0.186656187290115</v>
      </c>
      <c r="AXS3" s="7" t="n">
        <v>2.07481113774453</v>
      </c>
      <c r="AXT3" s="7" t="n">
        <v>-0.128656511064298</v>
      </c>
      <c r="AXU3" s="7" t="n">
        <v>0.485789817924015</v>
      </c>
      <c r="AXV3" s="7" t="n">
        <v>0.647296727598669</v>
      </c>
      <c r="AXW3" s="7" t="n">
        <v>0.45802395212402</v>
      </c>
      <c r="AXX3" s="7" t="n">
        <v>0.337274950917384</v>
      </c>
      <c r="AXY3" s="7" t="n">
        <v>-0.450160402183089</v>
      </c>
      <c r="AXZ3" s="7" t="n">
        <v>-2.0898492846555</v>
      </c>
      <c r="AYA3" s="7" t="n">
        <v>-2.55131550038405</v>
      </c>
      <c r="AYB3" s="7" t="n">
        <v>0.9560802681412141</v>
      </c>
      <c r="AYC3" s="7" t="n">
        <v>-0.0317675276531038</v>
      </c>
      <c r="AYD3" s="7" t="n">
        <v>-1.22722554550267</v>
      </c>
      <c r="AYE3" s="7" t="n">
        <v>-0.941689279345146</v>
      </c>
      <c r="AYF3" s="7" t="n">
        <v>-0.0356533659144477</v>
      </c>
      <c r="AYG3" s="7" t="n">
        <v>-1.49536007041216</v>
      </c>
      <c r="AYH3" s="7" t="n">
        <v>-0.165705891929054</v>
      </c>
      <c r="AYI3" s="7" t="n">
        <v>0.951720591963272</v>
      </c>
      <c r="AYJ3" s="7" t="n">
        <v>-1.12566509538332</v>
      </c>
      <c r="AYK3" s="7" t="n">
        <v>-0.801161563731857</v>
      </c>
      <c r="AYL3" s="7" t="n">
        <v>2.61064098122747</v>
      </c>
      <c r="AYM3" s="7" t="n">
        <v>0.757493631044568</v>
      </c>
      <c r="AYN3" s="7" t="n">
        <v>0.627031859034437</v>
      </c>
      <c r="AYO3" s="7" t="n">
        <v>1.41644985632935</v>
      </c>
      <c r="AYP3" s="7" t="n">
        <v>-0.476663481133595</v>
      </c>
      <c r="AYQ3" s="7" t="n">
        <v>-0.574912835808677</v>
      </c>
      <c r="AYR3" s="7" t="n">
        <v>-1.59348777469448</v>
      </c>
      <c r="AYS3" s="7" t="n">
        <v>-1.17112816353853</v>
      </c>
      <c r="AYT3" s="7" t="n">
        <v>-1.99293474537525</v>
      </c>
      <c r="AYU3" s="7" t="n">
        <v>2.3769795357387</v>
      </c>
      <c r="AYV3" s="7" t="n">
        <v>-0.108488368950934</v>
      </c>
      <c r="AYW3" s="7" t="n">
        <v>0.754580505331821</v>
      </c>
      <c r="AYX3" s="7" t="n">
        <v>0.801816504715953</v>
      </c>
      <c r="AYY3" s="7" t="n">
        <v>-1.49335417649498</v>
      </c>
      <c r="AYZ3" s="7" t="n">
        <v>-0.24456793191018</v>
      </c>
      <c r="AZA3" s="7" t="n">
        <v>0.68025664771248</v>
      </c>
      <c r="AZB3" s="7" t="n">
        <v>-0.243282895484926</v>
      </c>
      <c r="AZC3" s="7" t="n">
        <v>-0.8975128410825201</v>
      </c>
      <c r="AZD3" s="7" t="n">
        <v>1.22870762216381</v>
      </c>
      <c r="AZE3" s="7" t="n">
        <v>1.55057521198853</v>
      </c>
      <c r="AZF3" s="7" t="n">
        <v>-0.389806186502943</v>
      </c>
      <c r="AZG3" s="7" t="n">
        <v>0.856930376577056</v>
      </c>
      <c r="AZH3" s="7" t="n">
        <v>-0.284299819304343</v>
      </c>
      <c r="AZI3" s="7" t="n">
        <v>-0.388494615561316</v>
      </c>
      <c r="AZJ3" s="7" t="n">
        <v>-1.48634121781941</v>
      </c>
      <c r="AZK3" s="7" t="n">
        <v>-0.467212782107612</v>
      </c>
      <c r="AZL3" s="7" t="n">
        <v>1.64050261412574</v>
      </c>
      <c r="AZM3" s="7" t="n">
        <v>0.692273054413327</v>
      </c>
      <c r="AZN3" s="7" t="n">
        <v>1.10744333033327</v>
      </c>
      <c r="AZO3" s="7" t="n">
        <v>-0.355396123896238</v>
      </c>
      <c r="AZP3" s="7" t="n">
        <v>-1.89664306077587</v>
      </c>
      <c r="AZQ3" s="7" t="n">
        <v>-1.11172490744242</v>
      </c>
      <c r="AZR3" s="7" t="n">
        <v>-0.445396190841712</v>
      </c>
      <c r="AZS3" s="7" t="n">
        <v>-0.535538698794873</v>
      </c>
      <c r="AZT3" s="7" t="n">
        <v>0.390105211596468</v>
      </c>
      <c r="AZU3" s="7" t="n">
        <v>0.445629568884595</v>
      </c>
      <c r="AZV3" s="7" t="n">
        <v>-1.15385875492408</v>
      </c>
      <c r="AZW3" s="7" t="n">
        <v>-1.59269769427043</v>
      </c>
      <c r="AZX3" s="7" t="n">
        <v>1.0399769910687</v>
      </c>
      <c r="AZY3" s="7" t="n">
        <v>0.200664753067828</v>
      </c>
      <c r="AZZ3" s="7" t="n">
        <v>2.02372308435565</v>
      </c>
      <c r="BAA3" s="7" t="n">
        <v>-0.766844197599458</v>
      </c>
      <c r="BAB3" s="7" t="n">
        <v>-0.400004235040483</v>
      </c>
      <c r="BAC3" s="7" t="n">
        <v>-0.311831975753417</v>
      </c>
      <c r="BAD3" s="7" t="n">
        <v>-1.2614016239466</v>
      </c>
      <c r="BAE3" s="7" t="n">
        <v>-0.297739486801226</v>
      </c>
      <c r="BAF3" s="7" t="n">
        <v>0.36218358773737</v>
      </c>
      <c r="BAG3" s="7" t="n">
        <v>-1.28371228504</v>
      </c>
      <c r="BAH3" s="7" t="n">
        <v>0.676311703750223</v>
      </c>
      <c r="BAI3" s="7" t="n">
        <v>2.20340967080662</v>
      </c>
      <c r="BAJ3" s="7" t="n">
        <v>-0.0511027874527399</v>
      </c>
      <c r="BAK3" s="7" t="n">
        <v>1.69134524624031</v>
      </c>
      <c r="BAL3" s="7" t="n">
        <v>0.568772733665815</v>
      </c>
      <c r="BAM3" s="7" t="n">
        <v>1.64264965800601</v>
      </c>
      <c r="BAN3" s="7" t="n">
        <v>-0.768794227351584</v>
      </c>
      <c r="BAO3" s="7" t="n">
        <v>-0.97915741960088</v>
      </c>
      <c r="BAP3" s="7" t="n">
        <v>-1.43207086512943</v>
      </c>
      <c r="BAQ3" s="7" t="n">
        <v>0.07700402663942001</v>
      </c>
      <c r="BAR3" s="7" t="n">
        <v>-0.653255531929075</v>
      </c>
      <c r="BAS3" s="7" t="n">
        <v>-1.90021365510935</v>
      </c>
      <c r="BAT3" s="7" t="n">
        <v>-0.0619816841165955</v>
      </c>
      <c r="BAU3" s="7" t="n">
        <v>-1.64058799121511</v>
      </c>
      <c r="BAV3" s="7" t="n">
        <v>1.10813746772434</v>
      </c>
      <c r="BAW3" s="7" t="n">
        <v>-0.497492734918766</v>
      </c>
      <c r="BAX3" s="7" t="n">
        <v>-1.91479572612556</v>
      </c>
      <c r="BAY3" s="7" t="n">
        <v>-1.53440472741571</v>
      </c>
      <c r="BAZ3" s="7" t="n">
        <v>-1.12396471633727</v>
      </c>
      <c r="BBA3" s="7" t="n">
        <v>2.54461832263379</v>
      </c>
      <c r="BBB3" s="7" t="n">
        <v>0.7494090841830851</v>
      </c>
      <c r="BBC3" s="7" t="n">
        <v>0.46547880553018</v>
      </c>
      <c r="BBD3" s="7" t="n">
        <v>-0.882721180797554</v>
      </c>
      <c r="BBE3" s="7" t="n">
        <v>-1.11976170819974</v>
      </c>
      <c r="BBF3" s="7" t="n">
        <v>0.851136346822864</v>
      </c>
      <c r="BBG3" s="7" t="n">
        <v>0.736613326399966</v>
      </c>
      <c r="BBH3" s="7" t="n">
        <v>-0.48736506755137</v>
      </c>
      <c r="BBI3" s="7" t="n">
        <v>-0.0966751425377308</v>
      </c>
      <c r="BBJ3" s="7" t="n">
        <v>0.0528501853326496</v>
      </c>
      <c r="BBK3" s="7" t="n">
        <v>0.830794011760449</v>
      </c>
      <c r="BBL3" s="7" t="n">
        <v>-0.406976217425114</v>
      </c>
      <c r="BBM3" s="7" t="n">
        <v>-1.82281607470308</v>
      </c>
      <c r="BBN3" s="7" t="n">
        <v>0.811134786455259</v>
      </c>
      <c r="BBO3" s="7" t="n">
        <v>-1.76224451126062</v>
      </c>
      <c r="BBP3" s="7" t="n">
        <v>1.44883496529021</v>
      </c>
      <c r="BBQ3" s="7" t="n">
        <v>0.118179493940253</v>
      </c>
      <c r="BBR3" s="7" t="n">
        <v>1.63423999903665</v>
      </c>
      <c r="BBS3" s="7" t="n">
        <v>-0.0554391980257261</v>
      </c>
      <c r="BBT3" s="7" t="n">
        <v>-2.37437979722631</v>
      </c>
      <c r="BBU3" s="7" t="n">
        <v>0.791645198004477</v>
      </c>
      <c r="BBV3" s="7" t="n">
        <v>0.200455878013414</v>
      </c>
      <c r="BBW3" s="7" t="n">
        <v>0.110516655349349</v>
      </c>
      <c r="BBX3" s="7" t="n">
        <v>1.41956459784343</v>
      </c>
      <c r="BBY3" s="7" t="n">
        <v>-1.92986776986708</v>
      </c>
      <c r="BBZ3" s="7" t="n">
        <v>-1.10356045551312</v>
      </c>
      <c r="BCA3" s="7" t="n">
        <v>0.377408758179982</v>
      </c>
      <c r="BCB3" s="7" t="n">
        <v>-0.600163854828896</v>
      </c>
      <c r="BCC3" s="7" t="n">
        <v>-0.90042752592334</v>
      </c>
      <c r="BCD3" s="7" t="n">
        <v>2.7294363659638</v>
      </c>
      <c r="BCE3" s="7" t="n">
        <v>0.640906648957691</v>
      </c>
      <c r="BCF3" s="7" t="n">
        <v>-1.80469584787936</v>
      </c>
      <c r="BCG3" s="7" t="n">
        <v>-1.38928907533548</v>
      </c>
      <c r="BCH3" s="7" t="n">
        <v>-1.06167817927802</v>
      </c>
      <c r="BCI3" s="7" t="n">
        <v>0.0433929913196913</v>
      </c>
      <c r="BCJ3" s="7" t="n">
        <v>-0.606782068602439</v>
      </c>
      <c r="BCK3" s="7" t="n">
        <v>-0.0839344550618711</v>
      </c>
      <c r="BCL3" s="7" t="n">
        <v>-0.139604971456666</v>
      </c>
      <c r="BCM3" s="7" t="n">
        <v>-0.242114155467467</v>
      </c>
      <c r="BCN3" s="7" t="n">
        <v>0.245735564092496</v>
      </c>
      <c r="BCO3" s="7" t="n">
        <v>0.978791225408716</v>
      </c>
      <c r="BCP3" s="7" t="n">
        <v>-0.452013068386494</v>
      </c>
      <c r="BCQ3" s="7" t="n">
        <v>-2.57794229893295</v>
      </c>
      <c r="BCR3" s="7" t="n">
        <v>-1.41276868727893</v>
      </c>
      <c r="BCS3" s="7" t="n">
        <v>-0.9921953414877011</v>
      </c>
      <c r="BCT3" s="7" t="n">
        <v>0.222859158946384</v>
      </c>
      <c r="BCU3" s="7" t="n">
        <v>0.0566072984089692</v>
      </c>
      <c r="BCV3" s="7" t="n">
        <v>1.0205322793795</v>
      </c>
      <c r="BCW3" s="7" t="n">
        <v>0.416068035559573</v>
      </c>
      <c r="BCX3" s="7" t="n">
        <v>-1.20187371106288</v>
      </c>
      <c r="BCY3" s="7" t="n">
        <v>-0.995736844617919</v>
      </c>
      <c r="BCZ3" s="7" t="n">
        <v>-0.103363477924949</v>
      </c>
      <c r="BDA3" s="7" t="n">
        <v>1.3544878063797</v>
      </c>
      <c r="BDB3" s="7" t="n">
        <v>0.0074825867261573</v>
      </c>
      <c r="BDC3" s="7" t="n">
        <v>-0.251684430261076</v>
      </c>
      <c r="BDD3" s="7" t="n">
        <v>-0.5652284785148149</v>
      </c>
      <c r="BDE3" s="7" t="n">
        <v>-0.883527427050934</v>
      </c>
      <c r="BDF3" s="7" t="n">
        <v>-1.46625645893779</v>
      </c>
      <c r="BDG3" s="7" t="n">
        <v>0.0003325656052131</v>
      </c>
      <c r="BDH3" s="7" t="n">
        <v>1.43890205335485</v>
      </c>
      <c r="BDI3" s="7" t="n">
        <v>-1.19305825420932</v>
      </c>
      <c r="BDJ3" s="7" t="n">
        <v>-0.883321731551536</v>
      </c>
      <c r="BDK3" s="7" t="n">
        <v>0.992760590382611</v>
      </c>
      <c r="BDL3" s="7" t="n">
        <v>-0.338469317006281</v>
      </c>
      <c r="BDM3" s="7" t="n">
        <v>1.34110915767413</v>
      </c>
      <c r="BDN3" s="7" t="n">
        <v>0.383654067729365</v>
      </c>
      <c r="BDO3" s="7" t="n">
        <v>-0.770680185211135</v>
      </c>
      <c r="BDP3" s="7" t="n">
        <v>-0.707503189178479</v>
      </c>
      <c r="BDQ3" s="7" t="n">
        <v>-0.972560833528612</v>
      </c>
      <c r="BDR3" s="7" t="n">
        <v>-1.72230931568232</v>
      </c>
      <c r="BDS3" s="7" t="n">
        <v>-0.304774817778429</v>
      </c>
      <c r="BDT3" s="7" t="n">
        <v>-0.0486952094639943</v>
      </c>
      <c r="BDU3" s="7" t="n">
        <v>-0.159359007267041</v>
      </c>
      <c r="BDV3" s="7" t="n">
        <v>-0.481271455565965</v>
      </c>
      <c r="BDW3" s="7" t="n">
        <v>-1.66842826623687</v>
      </c>
      <c r="BDX3" s="7" t="n">
        <v>-1.74382604358306</v>
      </c>
      <c r="BDY3" s="7" t="n">
        <v>-0.9722077710754961</v>
      </c>
      <c r="BDZ3" s="7" t="n">
        <v>1.80127543989475</v>
      </c>
      <c r="BEA3" s="7" t="n">
        <v>-0.9342314437652059</v>
      </c>
      <c r="BEB3" s="7" t="n">
        <v>1.72065647627892</v>
      </c>
      <c r="BEC3" s="7" t="n">
        <v>-0.843899563524484</v>
      </c>
      <c r="BED3" s="7" t="n">
        <v>0.0617211417226316</v>
      </c>
      <c r="BEE3" s="7" t="n">
        <v>-0.702906201310026</v>
      </c>
      <c r="BEF3" s="7" t="n">
        <v>-1.03703067970126</v>
      </c>
      <c r="BEG3" s="7" t="n">
        <v>-1.05955383415102</v>
      </c>
      <c r="BEH3" s="7" t="n">
        <v>0.553858457658038</v>
      </c>
      <c r="BEI3" s="7" t="n">
        <v>-0.519702465869626</v>
      </c>
      <c r="BEJ3" s="7" t="n">
        <v>-1.9149002682914</v>
      </c>
      <c r="BEK3" s="7" t="n">
        <v>0.498623948954772</v>
      </c>
      <c r="BEL3" s="7" t="n">
        <v>-0.842732911411216</v>
      </c>
      <c r="BEM3" s="7" t="n">
        <v>-1.78578729525337</v>
      </c>
      <c r="BEN3" s="7" t="n">
        <v>-0.440457676385851</v>
      </c>
      <c r="BEO3" s="7" t="n">
        <v>-0.601299295586168</v>
      </c>
      <c r="BEP3" s="7" t="n">
        <v>-0.511964101826756</v>
      </c>
      <c r="BEQ3" s="7" t="n">
        <v>0.428979563332098</v>
      </c>
      <c r="BER3" s="7" t="n">
        <v>-1.23270480051535</v>
      </c>
      <c r="BES3" s="7" t="n">
        <v>-2.10794008350529</v>
      </c>
      <c r="BET3" s="7" t="n">
        <v>1.54845168357101</v>
      </c>
      <c r="BEU3" s="7" t="n">
        <v>0.184100619359531</v>
      </c>
      <c r="BEV3" s="7" t="n">
        <v>0.153708148291587</v>
      </c>
      <c r="BEW3" s="7" t="n">
        <v>-0.10335980461751</v>
      </c>
      <c r="BEX3" s="7" t="n">
        <v>0.874665222249275</v>
      </c>
      <c r="BEY3" s="7" t="n">
        <v>-0.670565917215025</v>
      </c>
      <c r="BEZ3" s="7" t="n">
        <v>0.414921924748106</v>
      </c>
      <c r="BFA3" s="7" t="n">
        <v>0.346725550082002</v>
      </c>
      <c r="BFB3" s="7" t="n">
        <v>0.388919954793117</v>
      </c>
      <c r="BFC3" s="7" t="n">
        <v>-0.118554952698889</v>
      </c>
      <c r="BFD3" s="7" t="n">
        <v>-0.5132759940595391</v>
      </c>
      <c r="BFE3" s="7" t="n">
        <v>-0.491854952054177</v>
      </c>
      <c r="BFF3" s="7" t="n">
        <v>-0.73108694164574</v>
      </c>
      <c r="BFG3" s="7" t="n">
        <v>-0.0486653947550404</v>
      </c>
      <c r="BFH3" s="7" t="n">
        <v>1.50239709862439</v>
      </c>
      <c r="BFI3" s="7" t="n">
        <v>-1.20320530675304</v>
      </c>
      <c r="BFJ3" s="7" t="n">
        <v>0.89355965349887</v>
      </c>
      <c r="BFK3" s="7" t="n">
        <v>0.659314095471668</v>
      </c>
      <c r="BFL3" s="7" t="n">
        <v>-0.09320377913377</v>
      </c>
      <c r="BFM3" s="7" t="n">
        <v>-0.932798397452426</v>
      </c>
      <c r="BFN3" s="7" t="n">
        <v>0.0064313669777384</v>
      </c>
      <c r="BFO3" s="7" t="n">
        <v>-0.8671674612624169</v>
      </c>
      <c r="BFP3" s="7" t="n">
        <v>1.21080099557275</v>
      </c>
      <c r="BFQ3" s="7" t="n">
        <v>1.25206891591621</v>
      </c>
      <c r="BFR3" s="7" t="n">
        <v>-0.322722136924567</v>
      </c>
      <c r="BFS3" s="7" t="n">
        <v>-0.390961013928298</v>
      </c>
      <c r="BFT3" s="7" t="n">
        <v>0.056898168797398</v>
      </c>
      <c r="BFU3" s="7" t="n">
        <v>-0.527667852494332</v>
      </c>
      <c r="BFV3" s="7" t="n">
        <v>0.226811195841319</v>
      </c>
      <c r="BFW3" s="7" t="n">
        <v>1.72647842912348</v>
      </c>
      <c r="BFX3" s="7" t="n">
        <v>-0.402788381860186</v>
      </c>
      <c r="BFY3" s="7" t="n">
        <v>-0.172286210980946</v>
      </c>
      <c r="BFZ3" s="7" t="n">
        <v>1.6453282790186</v>
      </c>
      <c r="BGA3" s="7" t="n">
        <v>1.53372240342555</v>
      </c>
      <c r="BGB3" s="7" t="n">
        <v>0.7136352567837509</v>
      </c>
      <c r="BGC3" s="7" t="n">
        <v>1.2984381210557</v>
      </c>
      <c r="BGD3" s="7" t="n">
        <v>-1.0025101529845</v>
      </c>
      <c r="BGE3" s="7" t="n">
        <v>-1.39329844723066</v>
      </c>
      <c r="BGF3" s="7" t="n">
        <v>-1.38814649150105</v>
      </c>
      <c r="BGG3" s="7" t="n">
        <v>0.342955803137881</v>
      </c>
      <c r="BGH3" s="7" t="n">
        <v>0.984751158358102</v>
      </c>
      <c r="BGI3" s="7" t="n">
        <v>0.544851646082493</v>
      </c>
      <c r="BGJ3" s="7" t="n">
        <v>1.13068350093633</v>
      </c>
      <c r="BGK3" s="7" t="n">
        <v>0.591159859305823</v>
      </c>
      <c r="BGL3" s="7" t="n">
        <v>-0.0425077141316236</v>
      </c>
      <c r="BGM3" s="7" t="n">
        <v>1.68447414835936</v>
      </c>
      <c r="BGN3" s="7" t="n">
        <v>-0.164273183457246</v>
      </c>
      <c r="BGO3" s="7" t="n">
        <v>0.788638552951078</v>
      </c>
      <c r="BGP3" s="7" t="n">
        <v>0.0439141074013459</v>
      </c>
      <c r="BGQ3" s="7" t="n">
        <v>1.27401854889254</v>
      </c>
      <c r="BGR3" s="7" t="n">
        <v>-1.7382944560058</v>
      </c>
      <c r="BGS3" s="7" t="n">
        <v>-2.16201453112119</v>
      </c>
      <c r="BGT3" s="7" t="n">
        <v>1.17825894918838</v>
      </c>
      <c r="BGU3" s="7" t="n">
        <v>-1.07061734378692</v>
      </c>
      <c r="BGV3" s="7" t="n">
        <v>-0.291710182538595</v>
      </c>
      <c r="BGW3" s="7" t="n">
        <v>0.612725693861</v>
      </c>
      <c r="BGX3" s="7" t="n">
        <v>0.502919689322069</v>
      </c>
      <c r="BGY3" s="7" t="n">
        <v>-0.611755153796018</v>
      </c>
      <c r="BGZ3" s="7" t="n">
        <v>1.43564158752842</v>
      </c>
      <c r="BHA3" s="7" t="n">
        <v>0.896560682806707</v>
      </c>
      <c r="BHB3" s="7" t="n">
        <v>0.269227740480021</v>
      </c>
      <c r="BHC3" s="7" t="n">
        <v>-1.01220822350387</v>
      </c>
      <c r="BHD3" s="7" t="n">
        <v>0.0256876678830481</v>
      </c>
      <c r="BHE3" s="7" t="n">
        <v>-1.66791248032916</v>
      </c>
      <c r="BHF3" s="7" t="n">
        <v>0.765172278926283</v>
      </c>
      <c r="BHG3" s="7" t="n">
        <v>-0.396847418714764</v>
      </c>
      <c r="BHH3" s="7" t="n">
        <v>0.53778798748001</v>
      </c>
      <c r="BHI3" s="7" t="n">
        <v>-1.26121558349723</v>
      </c>
      <c r="BHJ3" s="7" t="n">
        <v>-0.730702881638467</v>
      </c>
      <c r="BHK3" s="7" t="n">
        <v>-0.602015268669116</v>
      </c>
      <c r="BHL3" s="7" t="n">
        <v>0.799319812830817</v>
      </c>
      <c r="BHM3" s="7" t="n">
        <v>1.30896262326575</v>
      </c>
      <c r="BHN3" s="7" t="n">
        <v>-0.867068977583489</v>
      </c>
      <c r="BHO3" s="7" t="n">
        <v>0.326715240925211</v>
      </c>
      <c r="BHP3" s="7" t="n">
        <v>-2.06069419500668</v>
      </c>
      <c r="BHQ3" s="7" t="n">
        <v>0.437609603669883</v>
      </c>
      <c r="BHR3" s="7" t="n">
        <v>1.58172046024465</v>
      </c>
      <c r="BHS3" s="7" t="n">
        <v>-0.266766872690122</v>
      </c>
      <c r="BHT3" s="7" t="n">
        <v>0.262156076367522</v>
      </c>
      <c r="BHU3" s="7" t="n">
        <v>-0.98704466991548</v>
      </c>
      <c r="BHV3" s="7" t="n">
        <v>0.522332297331679</v>
      </c>
      <c r="BHW3" s="7" t="n">
        <v>-0.336211267581256</v>
      </c>
      <c r="BHX3" s="7" t="n">
        <v>-0.995141729956259</v>
      </c>
      <c r="BHY3" s="7" t="n">
        <v>0.644430358213533</v>
      </c>
      <c r="BHZ3" s="7" t="n">
        <v>1.11990393022835</v>
      </c>
      <c r="BIA3" s="7" t="n">
        <v>3.794096988734009</v>
      </c>
      <c r="BIB3" s="7" t="n">
        <v>-0.665646519206508</v>
      </c>
      <c r="BIC3" s="7" t="n">
        <v>0.387625907046871</v>
      </c>
      <c r="BID3" s="7" t="n">
        <v>-0.0329128402987303</v>
      </c>
      <c r="BIE3" s="7" t="n">
        <v>0.269538177983804</v>
      </c>
      <c r="BIF3" s="7" t="n">
        <v>1.25613351395144</v>
      </c>
      <c r="BIG3" s="7" t="n">
        <v>0.476204158751961</v>
      </c>
      <c r="BIH3" s="7" t="n">
        <v>-0.432710419069336</v>
      </c>
      <c r="BII3" s="7" t="n">
        <v>-0.0114262528238867</v>
      </c>
      <c r="BIJ3" s="7" t="n">
        <v>0.629978894735202</v>
      </c>
      <c r="BIK3" s="7" t="n">
        <v>-0.196128276196026</v>
      </c>
      <c r="BIL3" s="7" t="n">
        <v>-0.212778199825034</v>
      </c>
      <c r="BIM3" s="7" t="n">
        <v>0.252909790000664</v>
      </c>
      <c r="BIN3" s="7" t="n">
        <v>-0.110971739437347</v>
      </c>
      <c r="BIO3" s="7" t="n">
        <v>-0.987502529209104</v>
      </c>
      <c r="BIP3" s="7" t="n">
        <v>1.52487615823602</v>
      </c>
      <c r="BIQ3" s="7" t="n">
        <v>1.9952951375479</v>
      </c>
      <c r="BIR3" s="7" t="n">
        <v>0.467636895827924</v>
      </c>
      <c r="BIS3" s="7" t="n">
        <v>-0.290879812478408</v>
      </c>
      <c r="BIT3" s="7" t="n">
        <v>0.42055300095902</v>
      </c>
      <c r="BIU3" s="7" t="n">
        <v>1.49742274862281</v>
      </c>
      <c r="BIV3" s="7" t="n">
        <v>-1.43165191961946</v>
      </c>
      <c r="BIW3" s="7" t="n">
        <v>1.02455442488154</v>
      </c>
      <c r="BIX3" s="7" t="n">
        <v>-0.640065217770756</v>
      </c>
      <c r="BIY3" s="7" t="n">
        <v>-0.649582158811176</v>
      </c>
      <c r="BIZ3" s="7" t="n">
        <v>1.03971692663731</v>
      </c>
      <c r="BJA3" s="7" t="n">
        <v>1.92954717998818</v>
      </c>
      <c r="BJB3" s="7" t="n">
        <v>-1.13295929198254</v>
      </c>
      <c r="BJC3" s="7" t="n">
        <v>0.6452429834300329</v>
      </c>
      <c r="BJD3" s="7" t="n">
        <v>0.377628753450287</v>
      </c>
      <c r="BJE3" s="7" t="n">
        <v>-1.47241928482817</v>
      </c>
      <c r="BJF3" s="7" t="n">
        <v>-0.295550373120793</v>
      </c>
      <c r="BJG3" s="7" t="n">
        <v>-1.09401434831603</v>
      </c>
      <c r="BJH3" s="7" t="n">
        <v>-0.925446649087832</v>
      </c>
      <c r="BJI3" s="7" t="n">
        <v>1.31173494978353</v>
      </c>
      <c r="BJJ3" s="7" t="n">
        <v>-0.914609192267574</v>
      </c>
      <c r="BJK3" s="7" t="n">
        <v>0.724358825897452</v>
      </c>
      <c r="BJL3" s="7" t="n">
        <v>-0.96533164953372</v>
      </c>
      <c r="BJM3" s="7" t="n">
        <v>0.338478202418645</v>
      </c>
      <c r="BJN3" s="7" t="n">
        <v>-0.303790128425449</v>
      </c>
      <c r="BJO3" s="7" t="n">
        <v>0.0396352175066483</v>
      </c>
      <c r="BJP3" s="7" t="n">
        <v>-1.1034038993025</v>
      </c>
      <c r="BJQ3" s="7" t="n">
        <v>0.409230252120193</v>
      </c>
      <c r="BJR3" s="7" t="n">
        <v>-0.602255911516582</v>
      </c>
      <c r="BJS3" s="7" t="n">
        <v>1.28646199501253</v>
      </c>
      <c r="BJT3" s="7" t="n">
        <v>-0.381262777874721</v>
      </c>
      <c r="BJU3" s="7" t="n">
        <v>0.857279667109016</v>
      </c>
      <c r="BJV3" s="7" t="n">
        <v>1.12759392442271</v>
      </c>
      <c r="BJW3" s="7" t="n">
        <v>0.553799397707034</v>
      </c>
      <c r="BJX3" s="7" t="n">
        <v>-1.13027371479063</v>
      </c>
      <c r="BJY3" s="7" t="n">
        <v>0.9927932291820309</v>
      </c>
      <c r="BJZ3" s="7" t="n">
        <v>0.396288839200367</v>
      </c>
      <c r="BKA3" s="7" t="n">
        <v>0.16433321924202</v>
      </c>
      <c r="BKB3" s="7" t="n">
        <v>0.861996430387078</v>
      </c>
      <c r="BKC3" s="7" t="n">
        <v>-1.09166344990078</v>
      </c>
      <c r="BKD3" s="7" t="n">
        <v>-0.280091013323395</v>
      </c>
      <c r="BKE3" s="7" t="n">
        <v>2.15278939824838</v>
      </c>
      <c r="BKF3" s="7" t="n">
        <v>-0.467354848864987</v>
      </c>
      <c r="BKG3" s="7" t="n">
        <v>-0.402562318503811</v>
      </c>
      <c r="BKH3" s="7" t="n">
        <v>1.26184677866416</v>
      </c>
      <c r="BKI3" s="7" t="n">
        <v>0.0581534786834707</v>
      </c>
      <c r="BKJ3" s="7" t="n">
        <v>-2.78043976172394</v>
      </c>
      <c r="BKK3" s="7" t="n">
        <v>-1.18126527491061</v>
      </c>
      <c r="BKL3" s="7" t="n">
        <v>-1.04591390536957</v>
      </c>
      <c r="BKM3" s="7" t="n">
        <v>1.27707076002356</v>
      </c>
      <c r="BKN3" s="7" t="n">
        <v>-1.26738609736237</v>
      </c>
      <c r="BKO3" s="7" t="n">
        <v>-1.06454303583916</v>
      </c>
      <c r="BKP3" s="7" t="n">
        <v>0.913695605893553</v>
      </c>
      <c r="BKQ3" s="7" t="n">
        <v>0.720669485760346</v>
      </c>
      <c r="BKR3" s="7" t="n">
        <v>-0.0557225364137396</v>
      </c>
      <c r="BKS3" s="7" t="n">
        <v>1.03822377883774</v>
      </c>
      <c r="BKT3" s="7" t="n">
        <v>-0.8282418680654881</v>
      </c>
      <c r="BKU3" s="7" t="n">
        <v>1.12462785978575</v>
      </c>
      <c r="BKV3" s="7" t="n">
        <v>-0.45875747183307</v>
      </c>
      <c r="BKW3" s="7" t="n">
        <v>0.387958729407245</v>
      </c>
      <c r="BKX3" s="7" t="n">
        <v>-0.6426823023649541</v>
      </c>
      <c r="BKY3" s="7" t="n">
        <v>0.0438142168622125</v>
      </c>
      <c r="BKZ3" s="7" t="n">
        <v>1.34302207905534</v>
      </c>
      <c r="BLA3" s="7" t="n">
        <v>0.08109589675796</v>
      </c>
      <c r="BLB3" s="7" t="n">
        <v>1.11578245117256</v>
      </c>
      <c r="BLC3" s="7" t="n">
        <v>0.421700947444603</v>
      </c>
      <c r="BLD3" s="7" t="n">
        <v>1.24783969326775</v>
      </c>
      <c r="BLE3" s="7" t="n">
        <v>0.722799554293085</v>
      </c>
      <c r="BLF3" s="7" t="n">
        <v>1.7612850380606</v>
      </c>
      <c r="BLG3" s="7" t="n">
        <v>0.0305755146046792</v>
      </c>
      <c r="BLH3" s="7" t="n">
        <v>-0.401874716828429</v>
      </c>
      <c r="BLI3" s="7" t="n">
        <v>-1.43766474936683</v>
      </c>
      <c r="BLJ3" s="7" t="n">
        <v>-0.973889750128071</v>
      </c>
      <c r="BLK3" s="7" t="n">
        <v>-1.30465972151366</v>
      </c>
      <c r="BLL3" s="7" t="n">
        <v>-0.232852698315668</v>
      </c>
      <c r="BLM3" s="7" t="n">
        <v>-0.574727082017893</v>
      </c>
      <c r="BLN3" s="7" t="n">
        <v>-1.01284721763321</v>
      </c>
      <c r="BLO3" s="7" t="n">
        <v>0.899375539132661</v>
      </c>
      <c r="BLP3" s="7" t="n">
        <v>0.322307961253965</v>
      </c>
      <c r="BLQ3" s="7" t="n">
        <v>-0.668890205797636</v>
      </c>
      <c r="BLR3" s="7" t="n">
        <v>0.222208326068569</v>
      </c>
      <c r="BLS3" s="7" t="n">
        <v>-0.014817704270493</v>
      </c>
      <c r="BLT3" s="7" t="n">
        <v>-0.754274038138396</v>
      </c>
      <c r="BLU3" s="7" t="n">
        <v>-0.319238868607714</v>
      </c>
      <c r="BLV3" s="7" t="n">
        <v>0.141957663993245</v>
      </c>
      <c r="BLW3" s="7" t="n">
        <v>1.24541865958381</v>
      </c>
      <c r="BLX3" s="7" t="n">
        <v>0.351571829661803</v>
      </c>
      <c r="BLY3" s="7" t="n">
        <v>-0.183589224622691</v>
      </c>
      <c r="BLZ3" s="7" t="n">
        <v>-0.217724545617294</v>
      </c>
      <c r="BMA3" s="7" t="n">
        <v>0.974511776854152</v>
      </c>
      <c r="BMB3" s="7" t="n">
        <v>1.0699663817464</v>
      </c>
      <c r="BMC3" s="7" t="n">
        <v>0.376957841302662</v>
      </c>
      <c r="BMD3" s="7" t="n">
        <v>-0.539048187320769</v>
      </c>
      <c r="BME3" s="7" t="n">
        <v>1.14491348705843</v>
      </c>
      <c r="BMF3" s="7" t="n">
        <v>0.115970964583349</v>
      </c>
      <c r="BMG3" s="7" t="n">
        <v>-0.0233300980605692</v>
      </c>
      <c r="BMH3" s="7" t="n">
        <v>0.973408733881073</v>
      </c>
      <c r="BMI3" s="7" t="n">
        <v>0.614742778450146</v>
      </c>
      <c r="BMJ3" s="7" t="n">
        <v>-2.68132177874106</v>
      </c>
      <c r="BMK3" s="7" t="n">
        <v>0.241564946214669</v>
      </c>
      <c r="BML3" s="7" t="n">
        <v>-0.0444109627533308</v>
      </c>
      <c r="BMM3" s="7" t="n">
        <v>1.22505474648594</v>
      </c>
      <c r="BMN3" s="7" t="n">
        <v>-1.96257747280946</v>
      </c>
      <c r="BMO3" s="7" t="n">
        <v>-0.0024705777695239</v>
      </c>
      <c r="BMP3" s="7" t="n">
        <v>0.21679916177947</v>
      </c>
      <c r="BMQ3" s="7" t="n">
        <v>-1.20471506397951</v>
      </c>
      <c r="BMR3" s="7" t="n">
        <v>1.52014799776823</v>
      </c>
      <c r="BMS3" s="7" t="n">
        <v>-1.04282846845308</v>
      </c>
      <c r="BMT3" s="7" t="n">
        <v>-1.01187138327584</v>
      </c>
      <c r="BMU3" s="7" t="n">
        <v>0.458789542239437</v>
      </c>
      <c r="BMV3" s="7" t="n">
        <v>-0.262185317980474</v>
      </c>
      <c r="BMW3" s="7" t="n">
        <v>-0.839785334561902</v>
      </c>
      <c r="BMX3" s="7" t="n">
        <v>-0.968748633746397</v>
      </c>
      <c r="BMY3" s="7" t="n">
        <v>-0.609907899085299</v>
      </c>
      <c r="BMZ3" s="7" t="n">
        <v>0.364944312245276</v>
      </c>
      <c r="BNA3" s="7" t="n">
        <v>-1.23732846170659</v>
      </c>
      <c r="BNB3" s="7" t="n">
        <v>0.25513359986819</v>
      </c>
      <c r="BNC3" s="7" t="n">
        <v>0.593105801533131</v>
      </c>
      <c r="BND3" s="7" t="n">
        <v>-0.765609691886184</v>
      </c>
      <c r="BNE3" s="7" t="n">
        <v>-0.777756725835376</v>
      </c>
      <c r="BNF3" s="7" t="n">
        <v>1.13380196783839</v>
      </c>
      <c r="BNG3" s="7" t="n">
        <v>1.63126680626731</v>
      </c>
      <c r="BNH3" s="7" t="n">
        <v>1.35455680608628</v>
      </c>
      <c r="BNI3" s="7" t="n">
        <v>0.0771727827448395</v>
      </c>
      <c r="BNJ3" s="7" t="n">
        <v>1.30801440630771</v>
      </c>
      <c r="BNK3" s="7" t="n">
        <v>0.323581644438369</v>
      </c>
      <c r="BNL3" s="7" t="n">
        <v>-0.608918629415252</v>
      </c>
      <c r="BNM3" s="7" t="n">
        <v>0.638152708611501</v>
      </c>
      <c r="BNN3" s="7" t="n">
        <v>-0.243953143214224</v>
      </c>
      <c r="BNO3" s="7" t="n">
        <v>1.83528804647483</v>
      </c>
      <c r="BNP3" s="7" t="n">
        <v>-0.369548791583872</v>
      </c>
      <c r="BNQ3" s="7" t="n">
        <v>0.771720766676782</v>
      </c>
      <c r="BNR3" s="7" t="n">
        <v>0.363874237341788</v>
      </c>
      <c r="BNS3" s="7" t="n">
        <v>0.145395110201974</v>
      </c>
      <c r="BNT3" s="7" t="n">
        <v>0.0946657530876986</v>
      </c>
      <c r="BNU3" s="7" t="n">
        <v>-1.73740791280764</v>
      </c>
      <c r="BNV3" s="7" t="n">
        <v>0.5075944852259781</v>
      </c>
      <c r="BNW3" s="7" t="n">
        <v>-0.646699272300038</v>
      </c>
      <c r="BNX3" s="7" t="n">
        <v>-1.31202257366099</v>
      </c>
      <c r="BNY3" s="7" t="n">
        <v>-0.0353905761871142</v>
      </c>
      <c r="BNZ3" s="7" t="n">
        <v>0.7111414140907421</v>
      </c>
      <c r="BOA3" s="7" t="n">
        <v>-0.229363535925147</v>
      </c>
      <c r="BOB3" s="7" t="n">
        <v>0.698928122404135</v>
      </c>
      <c r="BOC3" s="7" t="n">
        <v>0.385981145895015</v>
      </c>
      <c r="BOD3" s="7" t="n">
        <v>0.415714755932936</v>
      </c>
      <c r="BOE3" s="7" t="n">
        <v>1.21020208159492</v>
      </c>
      <c r="BOF3" s="7" t="n">
        <v>-1.36721357584213</v>
      </c>
      <c r="BOG3" s="7" t="n">
        <v>-0.69027753206076</v>
      </c>
      <c r="BOH3" s="7" t="n">
        <v>-0.0030348406844145</v>
      </c>
      <c r="BOI3" s="7" t="n">
        <v>1.04185136334988</v>
      </c>
      <c r="BOJ3" s="7" t="n">
        <v>1.09101711014201</v>
      </c>
      <c r="BOK3" s="7" t="n">
        <v>0.0216595870226299</v>
      </c>
      <c r="BOL3" s="7" t="n">
        <v>-0.211393515718642</v>
      </c>
      <c r="BOM3" s="7" t="n">
        <v>-1.61389227565277</v>
      </c>
      <c r="BON3" s="7" t="n">
        <v>0.207964093966499</v>
      </c>
      <c r="BOO3" s="7" t="n">
        <v>0.444706572326223</v>
      </c>
      <c r="BOP3" s="7" t="n">
        <v>0.921577777216616</v>
      </c>
      <c r="BOQ3" s="7" t="n">
        <v>1.05429003494887</v>
      </c>
      <c r="BOR3" s="7" t="n">
        <v>0.262426575030126</v>
      </c>
      <c r="BOS3" s="7" t="n">
        <v>-1.45441441450696</v>
      </c>
      <c r="BOT3" s="7" t="n">
        <v>0.106388706043382</v>
      </c>
      <c r="BOU3" s="7" t="n">
        <v>-0.0956068927524724</v>
      </c>
      <c r="BOV3" s="7" t="n">
        <v>-0.533261001363594</v>
      </c>
      <c r="BOW3" s="7" t="n">
        <v>0.807580555232796</v>
      </c>
      <c r="BOX3" s="7" t="n">
        <v>-0.998737089947868</v>
      </c>
      <c r="BOY3" s="7" t="n">
        <v>-1.45987051198819</v>
      </c>
      <c r="BOZ3" s="7" t="n">
        <v>0.640511203998404</v>
      </c>
      <c r="BPA3" s="7" t="n">
        <v>0.421379694160123</v>
      </c>
      <c r="BPB3" s="7" t="n">
        <v>-1.21987134646349</v>
      </c>
      <c r="BPC3" s="7" t="n">
        <v>0.390935580259516</v>
      </c>
      <c r="BPD3" s="7" t="n">
        <v>-0.623443839177322</v>
      </c>
      <c r="BPE3" s="7" t="n">
        <v>0.163346421408531</v>
      </c>
      <c r="BPF3" s="7" t="n">
        <v>1.50387979812754</v>
      </c>
      <c r="BPG3" s="7" t="n">
        <v>1.46773733533505</v>
      </c>
      <c r="BPH3" s="7" t="n">
        <v>1.27793120760091</v>
      </c>
      <c r="BPI3" s="7" t="n">
        <v>-2.74130674224656</v>
      </c>
      <c r="BPJ3" s="7" t="n">
        <v>0.538738985126838</v>
      </c>
      <c r="BPK3" s="7" t="n">
        <v>0.571059477705905</v>
      </c>
      <c r="BPL3" s="7" t="n">
        <v>-0.721272741393138</v>
      </c>
      <c r="BPM3" s="7" t="n">
        <v>-0.267851160547905</v>
      </c>
      <c r="BPN3" s="7" t="n">
        <v>0.696018646195938</v>
      </c>
      <c r="BPO3" s="7" t="n">
        <v>-0.671788538845952</v>
      </c>
      <c r="BPP3" s="7" t="n">
        <v>0.419467065690573</v>
      </c>
      <c r="BPQ3" s="7" t="n">
        <v>-0.165405241737802</v>
      </c>
      <c r="BPR3" s="7" t="n">
        <v>-0.190904128144799</v>
      </c>
      <c r="BPS3" s="7" t="n">
        <v>-0.340198939165577</v>
      </c>
      <c r="BPT3" s="7" t="n">
        <v>-0.183904829247811</v>
      </c>
      <c r="BPU3" s="7" t="n">
        <v>0.773226946094836</v>
      </c>
      <c r="BPV3" s="7" t="n">
        <v>-0.129407263528825</v>
      </c>
      <c r="BPW3" s="7" t="n">
        <v>0.0370881061903934</v>
      </c>
      <c r="BPX3" s="7" t="n">
        <v>0.370291368321866</v>
      </c>
      <c r="BPY3" s="7" t="n">
        <v>-0.657035180548712</v>
      </c>
      <c r="BPZ3" s="7" t="n">
        <v>0.260910173030044</v>
      </c>
      <c r="BQA3" s="7" t="n">
        <v>0.06741032514791841</v>
      </c>
      <c r="BQB3" s="7" t="n">
        <v>1.10324036305072</v>
      </c>
      <c r="BQC3" s="7" t="n">
        <v>-0.544009098364496</v>
      </c>
      <c r="BQD3" s="7" t="n">
        <v>1.1553895341799</v>
      </c>
      <c r="BQE3" s="7" t="n">
        <v>-1.29730941286507</v>
      </c>
      <c r="BQF3" s="7" t="n">
        <v>0.47152746452447</v>
      </c>
      <c r="BQG3" s="7" t="n">
        <v>-0.9507273827295381</v>
      </c>
      <c r="BQH3" s="7" t="n">
        <v>1.07681021632234</v>
      </c>
    </row>
    <row r="4">
      <c r="A4" s="7" t="n">
        <v>2</v>
      </c>
      <c r="B4" s="7" t="n">
        <v>-2.40956403323384</v>
      </c>
      <c r="C4" s="7" t="n">
        <v>-1.50818630007823</v>
      </c>
      <c r="D4" s="7" t="n">
        <v>0.981574852834861</v>
      </c>
      <c r="E4" s="7" t="n">
        <v>-1.98345139368489</v>
      </c>
      <c r="F4" s="7" t="n">
        <v>-0.995045453098259</v>
      </c>
      <c r="G4" s="7" t="n">
        <v>0.590758266017642</v>
      </c>
      <c r="H4" s="7" t="n">
        <v>-1.09118932453425</v>
      </c>
      <c r="I4" s="7" t="n">
        <v>0.812137846917828</v>
      </c>
      <c r="J4" s="7" t="n">
        <v>0.0879363379094328</v>
      </c>
      <c r="K4" s="7" t="n">
        <v>-0.784036851881889</v>
      </c>
      <c r="L4" s="7" t="n">
        <v>0.254050501595904</v>
      </c>
      <c r="M4" s="7" t="n">
        <v>-1.4454103951113</v>
      </c>
      <c r="N4" s="7" t="n">
        <v>-0.287170903653983</v>
      </c>
      <c r="O4" s="7" t="n">
        <v>-0.805459601555009</v>
      </c>
      <c r="P4" s="7" t="n">
        <v>1.21537280288335</v>
      </c>
      <c r="Q4" s="7" t="n">
        <v>0.274837802564675</v>
      </c>
      <c r="R4" s="7" t="n">
        <v>0.319786582813097</v>
      </c>
      <c r="S4" s="7" t="n">
        <v>-1.20873291936397</v>
      </c>
      <c r="T4" s="7" t="n">
        <v>1.66865194904023</v>
      </c>
      <c r="U4" s="7" t="n">
        <v>-1.11397403086789</v>
      </c>
      <c r="V4" s="7" t="n">
        <v>-2.18526741221557</v>
      </c>
      <c r="W4" s="7" t="n">
        <v>0.846290056076891</v>
      </c>
      <c r="X4" s="7" t="n">
        <v>2.19215142797116</v>
      </c>
      <c r="Y4" s="7" t="n">
        <v>0.5015088575365571</v>
      </c>
      <c r="Z4" s="7" t="n">
        <v>-0.0727999949746022</v>
      </c>
      <c r="AA4" s="7" t="n">
        <v>0.459829645757261</v>
      </c>
      <c r="AB4" s="7" t="n">
        <v>-0.0534895707345006</v>
      </c>
      <c r="AC4" s="7" t="n">
        <v>-0.870186136912194</v>
      </c>
      <c r="AD4" s="7" t="n">
        <v>-0.2652223932244</v>
      </c>
      <c r="AE4" s="7" t="n">
        <v>0.696695160754779</v>
      </c>
      <c r="AF4" s="7" t="n">
        <v>-0.870097090796343</v>
      </c>
      <c r="AG4" s="7" t="n">
        <v>-1.78263699695884</v>
      </c>
      <c r="AH4" s="7" t="n">
        <v>1.10747295138066</v>
      </c>
      <c r="AI4" s="7" t="n">
        <v>-0.755775875307435</v>
      </c>
      <c r="AJ4" s="7" t="n">
        <v>0.808283041077941</v>
      </c>
      <c r="AK4" s="7" t="n">
        <v>-0.8137193976649491</v>
      </c>
      <c r="AL4" s="7" t="n">
        <v>-1.50995715735702</v>
      </c>
      <c r="AM4" s="7" t="n">
        <v>-1.0309334561108</v>
      </c>
      <c r="AN4" s="7" t="n">
        <v>-0.643584167122808</v>
      </c>
      <c r="AO4" s="7" t="n">
        <v>0.051772157171719</v>
      </c>
      <c r="AP4" s="7" t="n">
        <v>-0.425664935038582</v>
      </c>
      <c r="AQ4" s="7" t="n">
        <v>-0.0280078019156125</v>
      </c>
      <c r="AR4" s="7" t="n">
        <v>0.768051269428811</v>
      </c>
      <c r="AS4" s="7" t="n">
        <v>-0.641454326334692</v>
      </c>
      <c r="AT4" s="7" t="n">
        <v>-0.983592251264111</v>
      </c>
      <c r="AU4" s="7" t="n">
        <v>1.84476499202442</v>
      </c>
      <c r="AV4" s="7" t="n">
        <v>-0.480359528614721</v>
      </c>
      <c r="AW4" s="7" t="n">
        <v>0.857981050891643</v>
      </c>
      <c r="AX4" s="7" t="n">
        <v>-0.09623084559374991</v>
      </c>
      <c r="AY4" s="7" t="n">
        <v>2.51492806726545</v>
      </c>
      <c r="AZ4" s="7" t="n">
        <v>0.452950507243291</v>
      </c>
      <c r="BA4" s="7" t="n">
        <v>0.712642735474351</v>
      </c>
      <c r="BB4" s="7" t="n">
        <v>0.532877223872727</v>
      </c>
      <c r="BC4" s="7" t="n">
        <v>-1.02979711382494</v>
      </c>
      <c r="BD4" s="7" t="n">
        <v>0.177405119085017</v>
      </c>
      <c r="BE4" s="7" t="n">
        <v>0.193856787125223</v>
      </c>
      <c r="BF4" s="7" t="n">
        <v>1.16696046592151</v>
      </c>
      <c r="BG4" s="7" t="n">
        <v>-0.978283156327297</v>
      </c>
      <c r="BH4" s="7" t="n">
        <v>-2.63825860738808</v>
      </c>
      <c r="BI4" s="7" t="n">
        <v>1.08924289731393</v>
      </c>
      <c r="BJ4" s="7" t="n">
        <v>-0.198117687178085</v>
      </c>
      <c r="BK4" s="7" t="n">
        <v>-1.21832545537466</v>
      </c>
      <c r="BL4" s="7" t="n">
        <v>0.330889955527559</v>
      </c>
      <c r="BM4" s="7" t="n">
        <v>-0.324577613760723</v>
      </c>
      <c r="BN4" s="7" t="n">
        <v>-0.77032687891528</v>
      </c>
      <c r="BO4" s="7" t="n">
        <v>1.6697583136283</v>
      </c>
      <c r="BP4" s="7" t="n">
        <v>0.238040830769796</v>
      </c>
      <c r="BQ4" s="7" t="n">
        <v>-0.10003068209089</v>
      </c>
      <c r="BR4" s="7" t="n">
        <v>-1.36791688670969</v>
      </c>
      <c r="BS4" s="7" t="n">
        <v>0.284928446540258</v>
      </c>
      <c r="BT4" s="7" t="n">
        <v>-1.56177188445584</v>
      </c>
      <c r="BU4" s="7" t="n">
        <v>-1.11546243872403</v>
      </c>
      <c r="BV4" s="7" t="n">
        <v>-1.93990162868392</v>
      </c>
      <c r="BW4" s="7" t="n">
        <v>-0.0754050861421894</v>
      </c>
      <c r="BX4" s="7" t="n">
        <v>0.666132974018701</v>
      </c>
      <c r="BY4" s="7" t="n">
        <v>-0.630854074889144</v>
      </c>
      <c r="BZ4" s="7" t="n">
        <v>0.676418377785474</v>
      </c>
      <c r="CA4" s="7" t="n">
        <v>0.489817666798113</v>
      </c>
      <c r="CB4" s="7" t="n">
        <v>-0.336037595625829</v>
      </c>
      <c r="CC4" s="7" t="n">
        <v>-1.69887879402293</v>
      </c>
      <c r="CD4" s="7" t="n">
        <v>0.171830149137537</v>
      </c>
      <c r="CE4" s="7" t="n">
        <v>-1.42943901960913</v>
      </c>
      <c r="CF4" s="7" t="n">
        <v>0.0105544829821159</v>
      </c>
      <c r="CG4" s="7" t="n">
        <v>-1.371824823936</v>
      </c>
      <c r="CH4" s="7" t="n">
        <v>-1.9736899057809</v>
      </c>
      <c r="CI4" s="7" t="n">
        <v>-0.39260584524657</v>
      </c>
      <c r="CJ4" s="7" t="n">
        <v>-1.41357478796924</v>
      </c>
      <c r="CK4" s="7" t="n">
        <v>-0.448246919133034</v>
      </c>
      <c r="CL4" s="7" t="n">
        <v>0.07323311153812551</v>
      </c>
      <c r="CM4" s="7" t="n">
        <v>1.09520925194772</v>
      </c>
      <c r="CN4" s="7" t="n">
        <v>-0.206108189639797</v>
      </c>
      <c r="CO4" s="7" t="n">
        <v>-0.663026112684994</v>
      </c>
      <c r="CP4" s="7" t="n">
        <v>0.5474494851022</v>
      </c>
      <c r="CQ4" s="7" t="n">
        <v>0.655078823528792</v>
      </c>
      <c r="CR4" s="7" t="n">
        <v>0.0994564315839008</v>
      </c>
      <c r="CS4" s="7" t="n">
        <v>0.350725775430954</v>
      </c>
      <c r="CT4" s="7" t="n">
        <v>-1.28676117245636</v>
      </c>
      <c r="CU4" s="7" t="n">
        <v>-0.783447126525081</v>
      </c>
      <c r="CV4" s="7" t="n">
        <v>-1.62481340125367</v>
      </c>
      <c r="CW4" s="7" t="n">
        <v>-1.29872947377998</v>
      </c>
      <c r="CX4" s="7" t="n">
        <v>-0.27801328828186</v>
      </c>
      <c r="CY4" s="7" t="n">
        <v>0.333743212726975</v>
      </c>
      <c r="CZ4" s="7" t="n">
        <v>1.31691131697826</v>
      </c>
      <c r="DA4" s="7" t="n">
        <v>1.31051537995173</v>
      </c>
      <c r="DB4" s="7" t="n">
        <v>0.247676842083306</v>
      </c>
      <c r="DC4" s="7" t="n">
        <v>0.07074939182377581</v>
      </c>
      <c r="DD4" s="7" t="n">
        <v>0.136680876093427</v>
      </c>
      <c r="DE4" s="7" t="n">
        <v>0.75132627907675</v>
      </c>
      <c r="DF4" s="7" t="n">
        <v>-0.464877776466842</v>
      </c>
      <c r="DG4" s="7" t="n">
        <v>0.199438602026294</v>
      </c>
      <c r="DH4" s="7" t="n">
        <v>-1.60684934851273</v>
      </c>
      <c r="DI4" s="7" t="n">
        <v>-0.990250366701352</v>
      </c>
      <c r="DJ4" s="7" t="n">
        <v>-0.022275808154892</v>
      </c>
      <c r="DK4" s="7" t="n">
        <v>0.521671192619369</v>
      </c>
      <c r="DL4" s="7" t="n">
        <v>0.894422677356115</v>
      </c>
      <c r="DM4" s="7" t="n">
        <v>0.737945887415121</v>
      </c>
      <c r="DN4" s="7" t="n">
        <v>-1.45574702413025</v>
      </c>
      <c r="DO4" s="7" t="n">
        <v>0.511320952313664</v>
      </c>
      <c r="DP4" s="7" t="n">
        <v>-0.744673054731983</v>
      </c>
      <c r="DQ4" s="7" t="n">
        <v>-0.0686585699610648</v>
      </c>
      <c r="DR4" s="7" t="n">
        <v>-1.18552558225269</v>
      </c>
      <c r="DS4" s="7" t="n">
        <v>-0.75575713590759</v>
      </c>
      <c r="DT4" s="7" t="n">
        <v>1.14825572900191</v>
      </c>
      <c r="DU4" s="7" t="n">
        <v>0.299970706696983</v>
      </c>
      <c r="DV4" s="7" t="n">
        <v>1.1976664856685</v>
      </c>
      <c r="DW4" s="7" t="n">
        <v>-1.16836275607563</v>
      </c>
      <c r="DX4" s="7" t="n">
        <v>0.205285445722457</v>
      </c>
      <c r="DY4" s="7" t="n">
        <v>1.59792390262561</v>
      </c>
      <c r="DZ4" s="7" t="n">
        <v>-0.908348507149634</v>
      </c>
      <c r="EA4" s="7" t="n">
        <v>-0.769776373391682</v>
      </c>
      <c r="EB4" s="7" t="n">
        <v>-0.09252465180022749</v>
      </c>
      <c r="EC4" s="7" t="n">
        <v>0.657173494477028</v>
      </c>
      <c r="ED4" s="7" t="n">
        <v>-1.58959087702689</v>
      </c>
      <c r="EE4" s="7" t="n">
        <v>0.962864082920693</v>
      </c>
      <c r="EF4" s="7" t="n">
        <v>-0.674118437954543</v>
      </c>
      <c r="EG4" s="7" t="n">
        <v>-0.780818561581104</v>
      </c>
      <c r="EH4" s="7" t="n">
        <v>-0.871014088032231</v>
      </c>
      <c r="EI4" s="7" t="n">
        <v>-0.48410440228852</v>
      </c>
      <c r="EJ4" s="7" t="n">
        <v>-0.587578045035855</v>
      </c>
      <c r="EK4" s="7" t="n">
        <v>-0.247889476688798</v>
      </c>
      <c r="EL4" s="7" t="n">
        <v>1.0665005349868</v>
      </c>
      <c r="EM4" s="7" t="n">
        <v>1.33657114134</v>
      </c>
      <c r="EN4" s="7" t="n">
        <v>-0.522374572860002</v>
      </c>
      <c r="EO4" s="7" t="n">
        <v>0.451489922866964</v>
      </c>
      <c r="EP4" s="7" t="n">
        <v>-0.941612293393691</v>
      </c>
      <c r="EQ4" s="7" t="n">
        <v>0.360262452380451</v>
      </c>
      <c r="ER4" s="7" t="n">
        <v>2.63361827411338</v>
      </c>
      <c r="ES4" s="7" t="n">
        <v>0.7662110580375761</v>
      </c>
      <c r="ET4" s="7" t="n">
        <v>0.629835141982828</v>
      </c>
      <c r="EU4" s="7" t="n">
        <v>0.395178362427184</v>
      </c>
      <c r="EV4" s="7" t="n">
        <v>-0.484145526985028</v>
      </c>
      <c r="EW4" s="7" t="n">
        <v>0.174811451384643</v>
      </c>
      <c r="EX4" s="7" t="n">
        <v>-0.192861661741083</v>
      </c>
      <c r="EY4" s="7" t="n">
        <v>0.717795152127523</v>
      </c>
      <c r="EZ4" s="7" t="n">
        <v>-0.586025441720863</v>
      </c>
      <c r="FA4" s="7" t="n">
        <v>0.965991228501725</v>
      </c>
      <c r="FB4" s="7" t="n">
        <v>0.467029211509212</v>
      </c>
      <c r="FC4" s="7" t="n">
        <v>-0.174479031621591</v>
      </c>
      <c r="FD4" s="7" t="n">
        <v>0.708143779355741</v>
      </c>
      <c r="FE4" s="7" t="n">
        <v>0.554575136435846</v>
      </c>
      <c r="FF4" s="7" t="n">
        <v>-0.299161264148852</v>
      </c>
      <c r="FG4" s="7" t="n">
        <v>-0.153724540464688</v>
      </c>
      <c r="FH4" s="7" t="n">
        <v>0.0201812574249878</v>
      </c>
      <c r="FI4" s="7" t="n">
        <v>1.79089788264995</v>
      </c>
      <c r="FJ4" s="7" t="n">
        <v>0.889987575675922</v>
      </c>
      <c r="FK4" s="7" t="n">
        <v>-0.125897424250999</v>
      </c>
      <c r="FL4" s="7" t="n">
        <v>0.543506904947695</v>
      </c>
      <c r="FM4" s="7" t="n">
        <v>1.45938846074529</v>
      </c>
      <c r="FN4" s="7" t="n">
        <v>0.259007640731969</v>
      </c>
      <c r="FO4" s="7" t="n">
        <v>-0.405370882538165</v>
      </c>
      <c r="FP4" s="7" t="n">
        <v>-1.98534079521556</v>
      </c>
      <c r="FQ4" s="7" t="n">
        <v>1.43852567738939</v>
      </c>
      <c r="FR4" s="7" t="n">
        <v>0.516086546376602</v>
      </c>
      <c r="FS4" s="7" t="n">
        <v>0.610785570685627</v>
      </c>
      <c r="FT4" s="7" t="n">
        <v>1.41391489594057</v>
      </c>
      <c r="FU4" s="7" t="n">
        <v>-0.474958498333612</v>
      </c>
      <c r="FV4" s="7" t="n">
        <v>0.598841920977756</v>
      </c>
      <c r="FW4" s="7" t="n">
        <v>0.751636909921217</v>
      </c>
      <c r="FX4" s="7" t="n">
        <v>-0.450674463591771</v>
      </c>
      <c r="FY4" s="7" t="n">
        <v>2.40531976602177</v>
      </c>
      <c r="FZ4" s="7" t="n">
        <v>1.46867848022345</v>
      </c>
      <c r="GA4" s="7" t="n">
        <v>0.544358634241369</v>
      </c>
      <c r="GB4" s="7" t="n">
        <v>-0.507266509820417</v>
      </c>
      <c r="GC4" s="7" t="n">
        <v>-0.420855987331991</v>
      </c>
      <c r="GD4" s="7" t="n">
        <v>0.154290813344727</v>
      </c>
      <c r="GE4" s="7" t="n">
        <v>0.315486100620393</v>
      </c>
      <c r="GF4" s="7" t="n">
        <v>0.0824139038333724</v>
      </c>
      <c r="GG4" s="7" t="n">
        <v>0.0534828765815293</v>
      </c>
      <c r="GH4" s="7" t="n">
        <v>0.689887743638122</v>
      </c>
      <c r="GI4" s="7" t="n">
        <v>0.477549297468264</v>
      </c>
      <c r="GJ4" s="7" t="n">
        <v>-1.07265763222052</v>
      </c>
      <c r="GK4" s="7" t="n">
        <v>-0.6810058592512001</v>
      </c>
      <c r="GL4" s="7" t="n">
        <v>-1.39498382691012</v>
      </c>
      <c r="GM4" s="7" t="n">
        <v>0.055864587391734</v>
      </c>
      <c r="GN4" s="7" t="n">
        <v>-0.748084198891894</v>
      </c>
      <c r="GO4" s="7" t="n">
        <v>0.238341380547568</v>
      </c>
      <c r="GP4" s="7" t="n">
        <v>-0.0440156985474704</v>
      </c>
      <c r="GQ4" s="7" t="n">
        <v>-0.563987392620494</v>
      </c>
      <c r="GR4" s="7" t="n">
        <v>-0.200293033699933</v>
      </c>
      <c r="GS4" s="7" t="n">
        <v>0.534157512620541</v>
      </c>
      <c r="GT4" s="7" t="n">
        <v>0.176304238665732</v>
      </c>
      <c r="GU4" s="7" t="n">
        <v>1.50242739147042</v>
      </c>
      <c r="GV4" s="7" t="n">
        <v>-0.174878466100929</v>
      </c>
      <c r="GW4" s="7" t="n">
        <v>-0.0457231929495355</v>
      </c>
      <c r="GX4" s="7" t="n">
        <v>-0.311392868119505</v>
      </c>
      <c r="GY4" s="7" t="n">
        <v>0.0134178409149251</v>
      </c>
      <c r="GZ4" s="7" t="n">
        <v>1.15585939420688</v>
      </c>
      <c r="HA4" s="7" t="n">
        <v>1.8552183647214</v>
      </c>
      <c r="HB4" s="7" t="n">
        <v>2.15498489993941</v>
      </c>
      <c r="HC4" s="7" t="n">
        <v>-1.19063950032959</v>
      </c>
      <c r="HD4" s="7" t="n">
        <v>-0.755169117870103</v>
      </c>
      <c r="HE4" s="7" t="n">
        <v>-0.0265454175411963</v>
      </c>
      <c r="HF4" s="7" t="n">
        <v>0.448897455851483</v>
      </c>
      <c r="HG4" s="7" t="n">
        <v>-0.614105932208631</v>
      </c>
      <c r="HH4" s="7" t="n">
        <v>-0.0225782175579427</v>
      </c>
      <c r="HI4" s="7" t="n">
        <v>-0.109600831027712</v>
      </c>
      <c r="HJ4" s="7" t="n">
        <v>0.397860733506712</v>
      </c>
      <c r="HK4" s="7" t="n">
        <v>0.210366536706975</v>
      </c>
      <c r="HL4" s="7" t="n">
        <v>0.7380801752496779</v>
      </c>
      <c r="HM4" s="7" t="n">
        <v>-1.93624637544655</v>
      </c>
      <c r="HN4" s="7" t="n">
        <v>1.34543044772396</v>
      </c>
      <c r="HO4" s="7" t="n">
        <v>0.632839391860165</v>
      </c>
      <c r="HP4" s="7" t="n">
        <v>0.641772856612258</v>
      </c>
      <c r="HQ4" s="7" t="n">
        <v>-1.42089298685915</v>
      </c>
      <c r="HR4" s="7" t="n">
        <v>-0.594234161052057</v>
      </c>
      <c r="HS4" s="7" t="n">
        <v>1.25475970801414</v>
      </c>
      <c r="HT4" s="7" t="n">
        <v>0.128674458920963</v>
      </c>
      <c r="HU4" s="7" t="n">
        <v>-1.45652148042159</v>
      </c>
      <c r="HV4" s="7" t="n">
        <v>-0.982877309935781</v>
      </c>
      <c r="HW4" s="7" t="n">
        <v>-1.26227196003231</v>
      </c>
      <c r="HX4" s="7" t="n">
        <v>-0.837161379198839</v>
      </c>
      <c r="HY4" s="7" t="n">
        <v>0.0426361961784711</v>
      </c>
      <c r="HZ4" s="7" t="n">
        <v>0.156194129683398</v>
      </c>
      <c r="IA4" s="7" t="n">
        <v>0.80060451835628</v>
      </c>
      <c r="IB4" s="7" t="n">
        <v>-1.28355926514773</v>
      </c>
      <c r="IC4" s="7" t="n">
        <v>-1.32558686683063</v>
      </c>
      <c r="ID4" s="7" t="n">
        <v>-1.9907743879539</v>
      </c>
      <c r="IE4" s="7" t="n">
        <v>1.18119360882505</v>
      </c>
      <c r="IF4" s="7" t="n">
        <v>0.648130255630089</v>
      </c>
      <c r="IG4" s="7" t="n">
        <v>0.0439949918533216</v>
      </c>
      <c r="IH4" s="7" t="n">
        <v>0.430893540768954</v>
      </c>
      <c r="II4" s="7" t="n">
        <v>1.05499345811398</v>
      </c>
      <c r="IJ4" s="7" t="n">
        <v>-0.91816045780348</v>
      </c>
      <c r="IK4" s="7" t="n">
        <v>0.713918273826042</v>
      </c>
      <c r="IL4" s="7" t="n">
        <v>0.362920379421218</v>
      </c>
      <c r="IM4" s="7" t="n">
        <v>0.551632579181083</v>
      </c>
      <c r="IN4" s="7" t="n">
        <v>0.830831701525404</v>
      </c>
      <c r="IO4" s="7" t="n">
        <v>-0.837722167939243</v>
      </c>
      <c r="IP4" s="7" t="n">
        <v>-1.64868918586985</v>
      </c>
      <c r="IQ4" s="7" t="n">
        <v>2.07202818563994</v>
      </c>
      <c r="IR4" s="7" t="n">
        <v>0.7286444019428741</v>
      </c>
      <c r="IS4" s="7" t="n">
        <v>-0.0557455424910703</v>
      </c>
      <c r="IT4" s="7" t="n">
        <v>-0.199364115135559</v>
      </c>
      <c r="IU4" s="7" t="n">
        <v>1.25615290405115</v>
      </c>
      <c r="IV4" s="7" t="n">
        <v>-0.213854799095733</v>
      </c>
      <c r="IW4" s="7" t="n">
        <v>-0.641587906488398</v>
      </c>
      <c r="IX4" s="7" t="n">
        <v>-1.97368488439378</v>
      </c>
      <c r="IY4" s="7" t="n">
        <v>-1.64605391165529</v>
      </c>
      <c r="IZ4" s="7" t="n">
        <v>-0.107690592117132</v>
      </c>
      <c r="JA4" s="7" t="n">
        <v>0.557693472801545</v>
      </c>
      <c r="JB4" s="7" t="n">
        <v>-1.3007340840756</v>
      </c>
      <c r="JC4" s="7" t="n">
        <v>1.66246288080502</v>
      </c>
      <c r="JD4" s="7" t="n">
        <v>0.897400979337508</v>
      </c>
      <c r="JE4" s="7" t="n">
        <v>1.11889323085539</v>
      </c>
      <c r="JF4" s="7" t="n">
        <v>-0.6349347897036141</v>
      </c>
      <c r="JG4" s="7" t="n">
        <v>-0.960002970496608</v>
      </c>
      <c r="JH4" s="7" t="n">
        <v>0.229525160351437</v>
      </c>
      <c r="JI4" s="7" t="n">
        <v>0.773649219172992</v>
      </c>
      <c r="JJ4" s="7" t="n">
        <v>-0.340267505291388</v>
      </c>
      <c r="JK4" s="7" t="n">
        <v>-0.781003287960677</v>
      </c>
      <c r="JL4" s="7" t="n">
        <v>1.83192785420504</v>
      </c>
      <c r="JM4" s="7" t="n">
        <v>1.00583568432813</v>
      </c>
      <c r="JN4" s="7" t="n">
        <v>1.32787481598302</v>
      </c>
      <c r="JO4" s="7" t="n">
        <v>0.235457109259732</v>
      </c>
      <c r="JP4" s="7" t="n">
        <v>0.384695095764344</v>
      </c>
      <c r="JQ4" s="7" t="n">
        <v>-0.323551376556674</v>
      </c>
      <c r="JR4" s="7" t="n">
        <v>0.399103296114048</v>
      </c>
      <c r="JS4" s="7" t="n">
        <v>-0.254402524847291</v>
      </c>
      <c r="JT4" s="7" t="n">
        <v>0.161536645276895</v>
      </c>
      <c r="JU4" s="7" t="n">
        <v>-0.948058944809032</v>
      </c>
      <c r="JV4" s="7" t="n">
        <v>1.89098366946564</v>
      </c>
      <c r="JW4" s="7" t="n">
        <v>-0.245319981534549</v>
      </c>
      <c r="JX4" s="7" t="n">
        <v>0.647242560839796</v>
      </c>
      <c r="JY4" s="7" t="n">
        <v>0.602597794691383</v>
      </c>
      <c r="JZ4" s="7" t="n">
        <v>0.0247549679458136</v>
      </c>
      <c r="KA4" s="7" t="n">
        <v>-0.726402560945959</v>
      </c>
      <c r="KB4" s="7" t="n">
        <v>1.53718685479911</v>
      </c>
      <c r="KC4" s="7" t="n">
        <v>-2.05559383754261</v>
      </c>
      <c r="KD4" s="7" t="n">
        <v>1.43769347308779</v>
      </c>
      <c r="KE4" s="7" t="n">
        <v>0.704127636137341</v>
      </c>
      <c r="KF4" s="7" t="n">
        <v>-0.0071893642488182</v>
      </c>
      <c r="KG4" s="7" t="n">
        <v>-1.09831039880833</v>
      </c>
      <c r="KH4" s="7" t="n">
        <v>0.08586186795927039</v>
      </c>
      <c r="KI4" s="7" t="n">
        <v>-0.438509967110842</v>
      </c>
      <c r="KJ4" s="7" t="n">
        <v>-0.0256981880215691</v>
      </c>
      <c r="KK4" s="7" t="n">
        <v>2.06028576066538</v>
      </c>
      <c r="KL4" s="7" t="n">
        <v>1.40011748080029</v>
      </c>
      <c r="KM4" s="7" t="n">
        <v>0.0768361945458701</v>
      </c>
      <c r="KN4" s="7" t="n">
        <v>-1.01959725079584</v>
      </c>
      <c r="KO4" s="7" t="n">
        <v>-0.490876136570299</v>
      </c>
      <c r="KP4" s="7" t="n">
        <v>0.252056334595147</v>
      </c>
      <c r="KQ4" s="7" t="n">
        <v>0.746679538059015</v>
      </c>
      <c r="KR4" s="7" t="n">
        <v>0.841127018322426</v>
      </c>
      <c r="KS4" s="7" t="n">
        <v>1.06605739302316</v>
      </c>
      <c r="KT4" s="7" t="n">
        <v>-1.61396537794398</v>
      </c>
      <c r="KU4" s="7" t="n">
        <v>-0.482910740743782</v>
      </c>
      <c r="KV4" s="7" t="n">
        <v>-0.194483174107714</v>
      </c>
      <c r="KW4" s="7" t="n">
        <v>-0.303043802079488</v>
      </c>
      <c r="KX4" s="7" t="n">
        <v>-2.3238127236283</v>
      </c>
      <c r="KY4" s="7" t="n">
        <v>-1.1547144594135</v>
      </c>
      <c r="KZ4" s="7" t="n">
        <v>-0.999654122993928</v>
      </c>
      <c r="LA4" s="7" t="n">
        <v>-0.628457261846314</v>
      </c>
      <c r="LB4" s="7" t="n">
        <v>-0.0984348145565621</v>
      </c>
      <c r="LC4" s="7" t="n">
        <v>-0.960151167657264</v>
      </c>
      <c r="LD4" s="7" t="n">
        <v>-1.17297569032015</v>
      </c>
      <c r="LE4" s="7" t="n">
        <v>-0.147215623416652</v>
      </c>
      <c r="LF4" s="7" t="n">
        <v>1.24062358671037</v>
      </c>
      <c r="LG4" s="7" t="n">
        <v>0.544396434127719</v>
      </c>
      <c r="LH4" s="7" t="n">
        <v>0.160032262712719</v>
      </c>
      <c r="LI4" s="7" t="n">
        <v>-0.957180061059265</v>
      </c>
      <c r="LJ4" s="7" t="n">
        <v>0.880553009831924</v>
      </c>
      <c r="LK4" s="7" t="n">
        <v>0.406567131011913</v>
      </c>
      <c r="LL4" s="7" t="n">
        <v>-0.2788702614944</v>
      </c>
      <c r="LM4" s="7" t="n">
        <v>-0.201262760110037</v>
      </c>
      <c r="LN4" s="7" t="n">
        <v>0.0763682679304377</v>
      </c>
      <c r="LO4" s="7" t="n">
        <v>0.054679281762952</v>
      </c>
      <c r="LP4" s="7" t="n">
        <v>0.13641735079599</v>
      </c>
      <c r="LQ4" s="7" t="n">
        <v>0.314279070588653</v>
      </c>
      <c r="LR4" s="7" t="n">
        <v>-0.07344630891404889</v>
      </c>
      <c r="LS4" s="7" t="n">
        <v>-0.874613111151876</v>
      </c>
      <c r="LT4" s="7" t="n">
        <v>2.8518265167976</v>
      </c>
      <c r="LU4" s="7" t="n">
        <v>-0.0515927291987557</v>
      </c>
      <c r="LV4" s="7" t="n">
        <v>-1.37389704025094</v>
      </c>
      <c r="LW4" s="7" t="n">
        <v>0.70905587370838</v>
      </c>
      <c r="LX4" s="7" t="n">
        <v>-1.59025632289843</v>
      </c>
      <c r="LY4" s="7" t="n">
        <v>1.89681907314208</v>
      </c>
      <c r="LZ4" s="7" t="n">
        <v>1.63091734892226</v>
      </c>
      <c r="MA4" s="7" t="n">
        <v>-0.190385626009606</v>
      </c>
      <c r="MB4" s="7" t="n">
        <v>-0.432870478505642</v>
      </c>
      <c r="MC4" s="7" t="n">
        <v>-1.98877925949755</v>
      </c>
      <c r="MD4" s="7" t="n">
        <v>1.47038546125693</v>
      </c>
      <c r="ME4" s="7" t="n">
        <v>0.0387871887545048</v>
      </c>
      <c r="MF4" s="7" t="n">
        <v>0.0685632448308356</v>
      </c>
      <c r="MG4" s="7" t="n">
        <v>0.665221132477909</v>
      </c>
      <c r="MH4" s="7" t="n">
        <v>-0.919320065781515</v>
      </c>
      <c r="MI4" s="7" t="n">
        <v>-1.01770207193989</v>
      </c>
      <c r="MJ4" s="7" t="n">
        <v>-0.287359126821809</v>
      </c>
      <c r="MK4" s="7" t="n">
        <v>-1.33487102700367</v>
      </c>
      <c r="ML4" s="7" t="n">
        <v>0.548953360551745</v>
      </c>
      <c r="MM4" s="7" t="n">
        <v>0.476808114302808</v>
      </c>
      <c r="MN4" s="7" t="n">
        <v>-0.699137462778216</v>
      </c>
      <c r="MO4" s="7" t="n">
        <v>-0.265190192921622</v>
      </c>
      <c r="MP4" s="7" t="n">
        <v>0.264909926922208</v>
      </c>
      <c r="MQ4" s="7" t="n">
        <v>-2.02763927881015</v>
      </c>
      <c r="MR4" s="7" t="n">
        <v>0.683269843738521</v>
      </c>
      <c r="MS4" s="7" t="n">
        <v>1.6338523339794</v>
      </c>
      <c r="MT4" s="7" t="n">
        <v>0.189062928106678</v>
      </c>
      <c r="MU4" s="7" t="n">
        <v>1.55820532337171</v>
      </c>
      <c r="MV4" s="7" t="n">
        <v>0.38833187435068</v>
      </c>
      <c r="MW4" s="7" t="n">
        <v>-0.371734406613896</v>
      </c>
      <c r="MX4" s="7" t="n">
        <v>-0.375809970946018</v>
      </c>
      <c r="MY4" s="7" t="n">
        <v>0.829211702903106</v>
      </c>
      <c r="MZ4" s="7" t="n">
        <v>-1.21708485603103</v>
      </c>
      <c r="NA4" s="7" t="n">
        <v>-0.120344854915457</v>
      </c>
      <c r="NB4" s="7" t="n">
        <v>-0.703587240336634</v>
      </c>
      <c r="NC4" s="7" t="n">
        <v>-0.474438765616488</v>
      </c>
      <c r="ND4" s="7" t="n">
        <v>-1.49466670330992</v>
      </c>
      <c r="NE4" s="7" t="n">
        <v>2.60300989354652</v>
      </c>
      <c r="NF4" s="7" t="n">
        <v>-2.01739133357037</v>
      </c>
      <c r="NG4" s="7" t="n">
        <v>0.303306272546906</v>
      </c>
      <c r="NH4" s="7" t="n">
        <v>-0.227061874456275</v>
      </c>
      <c r="NI4" s="7" t="n">
        <v>-0.477840243895369</v>
      </c>
      <c r="NJ4" s="7" t="n">
        <v>-0.092313783490824</v>
      </c>
      <c r="NK4" s="7" t="n">
        <v>0.193009708711268</v>
      </c>
      <c r="NL4" s="7" t="n">
        <v>0.501955468927974</v>
      </c>
      <c r="NM4" s="7" t="n">
        <v>-0.973119074345933</v>
      </c>
      <c r="NN4" s="7" t="n">
        <v>1.05258175447712</v>
      </c>
      <c r="NO4" s="7" t="n">
        <v>0.50870914521017</v>
      </c>
      <c r="NP4" s="7" t="n">
        <v>0.68014488794392</v>
      </c>
      <c r="NQ4" s="7" t="n">
        <v>-0.893280202172459</v>
      </c>
      <c r="NR4" s="7" t="n">
        <v>-0.645419547798169</v>
      </c>
      <c r="NS4" s="7" t="n">
        <v>-0.0204232760219149</v>
      </c>
      <c r="NT4" s="7" t="n">
        <v>2.09734290139165</v>
      </c>
      <c r="NU4" s="7" t="n">
        <v>0.600754724703382</v>
      </c>
      <c r="NV4" s="7" t="n">
        <v>1.09692303003114</v>
      </c>
      <c r="NW4" s="7" t="n">
        <v>-0.65859776939348</v>
      </c>
      <c r="NX4" s="7" t="n">
        <v>-0.514762366724892</v>
      </c>
      <c r="NY4" s="7" t="n">
        <v>-1.29583850873938</v>
      </c>
      <c r="NZ4" s="7" t="n">
        <v>-0.849136756765426</v>
      </c>
      <c r="OA4" s="7" t="n">
        <v>0.383028553203534</v>
      </c>
      <c r="OB4" s="7" t="n">
        <v>0.934187793806989</v>
      </c>
      <c r="OC4" s="7" t="n">
        <v>0.0833378476506302</v>
      </c>
      <c r="OD4" s="7" t="n">
        <v>-0.253297659922554</v>
      </c>
      <c r="OE4" s="7" t="n">
        <v>0.572198518933007</v>
      </c>
      <c r="OF4" s="7" t="n">
        <v>0.285693907847828</v>
      </c>
      <c r="OG4" s="7" t="n">
        <v>1.4652598299399</v>
      </c>
      <c r="OH4" s="7" t="n">
        <v>-0.67678101087974</v>
      </c>
      <c r="OI4" s="7" t="n">
        <v>0.357291043458975</v>
      </c>
      <c r="OJ4" s="7" t="n">
        <v>-0.758449062382991</v>
      </c>
      <c r="OK4" s="7" t="n">
        <v>-0.374645387358469</v>
      </c>
      <c r="OL4" s="7" t="n">
        <v>1.99559926385971</v>
      </c>
      <c r="OM4" s="7" t="n">
        <v>-0.211513312874103</v>
      </c>
      <c r="ON4" s="7" t="n">
        <v>0.959085432219297</v>
      </c>
      <c r="OO4" s="7" t="n">
        <v>-1.08276977771154</v>
      </c>
      <c r="OP4" s="7" t="n">
        <v>0.752605164647889</v>
      </c>
      <c r="OQ4" s="7" t="n">
        <v>-1.48794302789781</v>
      </c>
      <c r="OR4" s="7" t="n">
        <v>0.510948527830689</v>
      </c>
      <c r="OS4" s="7" t="n">
        <v>0.278496081512514</v>
      </c>
      <c r="OT4" s="7" t="n">
        <v>-0.0982406535557396</v>
      </c>
      <c r="OU4" s="7" t="n">
        <v>-1.46306528084018</v>
      </c>
      <c r="OV4" s="7" t="n">
        <v>0.290287293876206</v>
      </c>
      <c r="OW4" s="7" t="n">
        <v>0.753632130038508</v>
      </c>
      <c r="OX4" s="7" t="n">
        <v>-1.80063418352191</v>
      </c>
      <c r="OY4" s="7" t="n">
        <v>-0.169853541710535</v>
      </c>
      <c r="OZ4" s="7" t="n">
        <v>0.6020207061908051</v>
      </c>
      <c r="PA4" s="7" t="n">
        <v>-0.860016464247756</v>
      </c>
      <c r="PB4" s="7" t="n">
        <v>-0.908596722346343</v>
      </c>
      <c r="PC4" s="7" t="n">
        <v>-1.75417215745681</v>
      </c>
      <c r="PD4" s="7" t="n">
        <v>0.0972199410557605</v>
      </c>
      <c r="PE4" s="7" t="n">
        <v>-0.141965038248141</v>
      </c>
      <c r="PF4" s="7" t="n">
        <v>-0.586644370853591</v>
      </c>
      <c r="PG4" s="7" t="n">
        <v>1.65740882716471</v>
      </c>
      <c r="PH4" s="7" t="n">
        <v>0.9078943085869819</v>
      </c>
      <c r="PI4" s="7" t="n">
        <v>0.271904157669943</v>
      </c>
      <c r="PJ4" s="7" t="n">
        <v>0.15985982457979</v>
      </c>
      <c r="PK4" s="7" t="n">
        <v>-1.23089194152391</v>
      </c>
      <c r="PL4" s="7" t="n">
        <v>-1.57154025074373</v>
      </c>
      <c r="PM4" s="7" t="n">
        <v>-0.772855910795277</v>
      </c>
      <c r="PN4" s="7" t="n">
        <v>-2.61563244026413</v>
      </c>
      <c r="PO4" s="7" t="n">
        <v>-1.24661813168133</v>
      </c>
      <c r="PP4" s="7" t="n">
        <v>-1.84521207891951</v>
      </c>
      <c r="PQ4" s="7" t="n">
        <v>1.26983865374512</v>
      </c>
      <c r="PR4" s="7" t="n">
        <v>1.67998132973956</v>
      </c>
      <c r="PS4" s="7" t="n">
        <v>-0.272275638013976</v>
      </c>
      <c r="PT4" s="7" t="n">
        <v>1.6382736920509</v>
      </c>
      <c r="PU4" s="7" t="n">
        <v>0.550444596089078</v>
      </c>
      <c r="PV4" s="7" t="n">
        <v>1.02725074504654</v>
      </c>
      <c r="PW4" s="7" t="n">
        <v>-1.43624032019055</v>
      </c>
      <c r="PX4" s="7" t="n">
        <v>0.0585341504653708</v>
      </c>
      <c r="PY4" s="7" t="n">
        <v>0.255256446620163</v>
      </c>
      <c r="PZ4" s="7" t="n">
        <v>0.481305353075833</v>
      </c>
      <c r="QA4" s="7" t="n">
        <v>0.0330390877842651</v>
      </c>
      <c r="QB4" s="7" t="n">
        <v>0.117754573450496</v>
      </c>
      <c r="QC4" s="7" t="n">
        <v>-1.14781765887913</v>
      </c>
      <c r="QD4" s="7" t="n">
        <v>0.452336203835808</v>
      </c>
      <c r="QE4" s="7" t="n">
        <v>-0.109962726224136</v>
      </c>
      <c r="QF4" s="7" t="n">
        <v>3.34803829492026</v>
      </c>
      <c r="QG4" s="7" t="n">
        <v>-0.815430358947592</v>
      </c>
      <c r="QH4" s="7" t="n">
        <v>1.26070720308951</v>
      </c>
      <c r="QI4" s="7" t="n">
        <v>-0.41127485432691</v>
      </c>
      <c r="QJ4" s="7" t="n">
        <v>0.264374018826467</v>
      </c>
      <c r="QK4" s="7" t="n">
        <v>2.34835320487642</v>
      </c>
      <c r="QL4" s="7" t="n">
        <v>2.23015529547492</v>
      </c>
      <c r="QM4" s="7" t="n">
        <v>-0.0764526060152956</v>
      </c>
      <c r="QN4" s="7" t="n">
        <v>-1.24617608421702</v>
      </c>
      <c r="QO4" s="7" t="n">
        <v>0.7286463482418361</v>
      </c>
      <c r="QP4" s="7" t="n">
        <v>-0.753581767146761</v>
      </c>
      <c r="QQ4" s="7" t="n">
        <v>1.55804451315741</v>
      </c>
      <c r="QR4" s="7" t="n">
        <v>0.30238167275456</v>
      </c>
      <c r="QS4" s="7" t="n">
        <v>-0.0001473646612935</v>
      </c>
      <c r="QT4" s="7" t="n">
        <v>0.563418920790048</v>
      </c>
      <c r="QU4" s="7" t="n">
        <v>1.03839978513138</v>
      </c>
      <c r="QV4" s="7" t="n">
        <v>1.2033407636175</v>
      </c>
      <c r="QW4" s="7" t="n">
        <v>0.461426824108022</v>
      </c>
      <c r="QX4" s="7" t="n">
        <v>-0.344197453039355</v>
      </c>
      <c r="QY4" s="7" t="n">
        <v>-0.0410060522151553</v>
      </c>
      <c r="QZ4" s="7" t="n">
        <v>-1.91599931597751</v>
      </c>
      <c r="RA4" s="7" t="n">
        <v>0.58808380995231</v>
      </c>
      <c r="RB4" s="7" t="n">
        <v>0.56365048745012</v>
      </c>
      <c r="RC4" s="7" t="n">
        <v>-1.3306466276159</v>
      </c>
      <c r="RD4" s="7" t="n">
        <v>-0.757729031546277</v>
      </c>
      <c r="RE4" s="7" t="n">
        <v>-0.743841379915907</v>
      </c>
      <c r="RF4" s="7" t="n">
        <v>1.3682018903774</v>
      </c>
      <c r="RG4" s="7" t="n">
        <v>-0.603726511178872</v>
      </c>
      <c r="RH4" s="7" t="n">
        <v>-0.297020224313826</v>
      </c>
      <c r="RI4" s="7" t="n">
        <v>-0.168709058572507</v>
      </c>
      <c r="RJ4" s="7" t="n">
        <v>0.386979000307226</v>
      </c>
      <c r="RK4" s="7" t="n">
        <v>1.13321355816476</v>
      </c>
      <c r="RL4" s="7" t="n">
        <v>0.843574993886953</v>
      </c>
      <c r="RM4" s="7" t="n">
        <v>-1.37154517913319</v>
      </c>
      <c r="RN4" s="7" t="n">
        <v>-0.676886885488527</v>
      </c>
      <c r="RO4" s="7" t="n">
        <v>0.0615068865654639</v>
      </c>
      <c r="RP4" s="7" t="n">
        <v>1.40548497783309</v>
      </c>
      <c r="RQ4" s="7" t="n">
        <v>0.181931952995516</v>
      </c>
      <c r="RR4" s="7" t="n">
        <v>0.892164528930104</v>
      </c>
      <c r="RS4" s="7" t="n">
        <v>-0.461890587293924</v>
      </c>
      <c r="RT4" s="7" t="n">
        <v>1.45807890126723</v>
      </c>
      <c r="RU4" s="7" t="n">
        <v>-0.323709436387405</v>
      </c>
      <c r="RV4" s="7" t="n">
        <v>0.241726607192375</v>
      </c>
      <c r="RW4" s="7" t="n">
        <v>-0.0113609203863449</v>
      </c>
      <c r="RX4" s="7" t="n">
        <v>0.546258792140524</v>
      </c>
      <c r="RY4" s="7" t="n">
        <v>-0.186223938986906</v>
      </c>
      <c r="RZ4" s="7" t="n">
        <v>-0.20103605223467</v>
      </c>
      <c r="SA4" s="7" t="n">
        <v>1.79383494530657</v>
      </c>
      <c r="SB4" s="7" t="n">
        <v>0.655791902812746</v>
      </c>
      <c r="SC4" s="7" t="n">
        <v>-1.42561756205038</v>
      </c>
      <c r="SD4" s="7" t="n">
        <v>-2.85980178060774</v>
      </c>
      <c r="SE4" s="7" t="n">
        <v>-0.422959234782436</v>
      </c>
      <c r="SF4" s="7" t="n">
        <v>1.15377771478172</v>
      </c>
      <c r="SG4" s="7" t="n">
        <v>0.825918179382151</v>
      </c>
      <c r="SH4" s="7" t="n">
        <v>0.0281728983943323</v>
      </c>
      <c r="SI4" s="7" t="n">
        <v>1.07201016530206</v>
      </c>
      <c r="SJ4" s="7" t="n">
        <v>0.6132248599750439</v>
      </c>
      <c r="SK4" s="7" t="n">
        <v>-1.0347275509584</v>
      </c>
      <c r="SL4" s="7" t="n">
        <v>0.87957597934598</v>
      </c>
      <c r="SM4" s="7" t="n">
        <v>-0.782307400277002</v>
      </c>
      <c r="SN4" s="7" t="n">
        <v>-0.689912703398198</v>
      </c>
      <c r="SO4" s="7" t="n">
        <v>0.602859278763442</v>
      </c>
      <c r="SP4" s="7" t="n">
        <v>0.260612641937568</v>
      </c>
      <c r="SQ4" s="7" t="n">
        <v>-0.835659476460625</v>
      </c>
      <c r="SR4" s="7" t="n">
        <v>0.769254693640543</v>
      </c>
      <c r="SS4" s="7" t="n">
        <v>-0.198563001516973</v>
      </c>
      <c r="ST4" s="7" t="n">
        <v>0.427781898484293</v>
      </c>
      <c r="SU4" s="7" t="n">
        <v>-0.0055704271287173</v>
      </c>
      <c r="SV4" s="7" t="n">
        <v>0.903405123794271</v>
      </c>
      <c r="SW4" s="7" t="n">
        <v>0.530022578663587</v>
      </c>
      <c r="SX4" s="7" t="n">
        <v>-0.406240385747127</v>
      </c>
      <c r="SY4" s="7" t="n">
        <v>1.02040526766283</v>
      </c>
      <c r="SZ4" s="7" t="n">
        <v>-1.72592755496123</v>
      </c>
      <c r="TA4" s="7" t="n">
        <v>-1.34784903624467</v>
      </c>
      <c r="TB4" s="7" t="n">
        <v>0.349762589919402</v>
      </c>
      <c r="TC4" s="7" t="n">
        <v>-0.487650789318781</v>
      </c>
      <c r="TD4" s="7" t="n">
        <v>-0.897622838859702</v>
      </c>
      <c r="TE4" s="7" t="n">
        <v>-1.02761368114024</v>
      </c>
      <c r="TF4" s="7" t="n">
        <v>1.11108650321854</v>
      </c>
      <c r="TG4" s="7" t="n">
        <v>1.19036772473198</v>
      </c>
      <c r="TH4" s="7" t="n">
        <v>-1.10635378784447</v>
      </c>
      <c r="TI4" s="7" t="n">
        <v>-1.3990183177411</v>
      </c>
      <c r="TJ4" s="7" t="n">
        <v>0.241067589044288</v>
      </c>
      <c r="TK4" s="7" t="n">
        <v>-2.1259771415415</v>
      </c>
      <c r="TL4" s="7" t="n">
        <v>0.586679920765824</v>
      </c>
      <c r="TM4" s="7" t="n">
        <v>1.69258942230184</v>
      </c>
      <c r="TN4" s="7" t="n">
        <v>0.12611552095825</v>
      </c>
      <c r="TO4" s="7" t="n">
        <v>-1.36040336710954</v>
      </c>
      <c r="TP4" s="7" t="n">
        <v>2.66910928726766</v>
      </c>
      <c r="TQ4" s="7" t="n">
        <v>-1.38760416652352</v>
      </c>
      <c r="TR4" s="7" t="n">
        <v>1.41490689319682</v>
      </c>
      <c r="TS4" s="7" t="n">
        <v>-0.746872105071153</v>
      </c>
      <c r="TT4" s="7" t="n">
        <v>0.720976012920583</v>
      </c>
      <c r="TU4" s="7" t="n">
        <v>-0.0794373968859293</v>
      </c>
      <c r="TV4" s="7" t="n">
        <v>-1.59047128271961</v>
      </c>
      <c r="TW4" s="7" t="n">
        <v>-0.983905605288282</v>
      </c>
      <c r="TX4" s="7" t="n">
        <v>-0.5621252522754689</v>
      </c>
      <c r="TY4" s="7" t="n">
        <v>0.534804815916176</v>
      </c>
      <c r="TZ4" s="7" t="n">
        <v>-0.06959257148443961</v>
      </c>
      <c r="UA4" s="7" t="n">
        <v>2.89758281177255</v>
      </c>
      <c r="UB4" s="7" t="n">
        <v>-0.92741736960291</v>
      </c>
      <c r="UC4" s="7" t="n">
        <v>0.158015269824502</v>
      </c>
      <c r="UD4" s="7" t="n">
        <v>0.151617445543799</v>
      </c>
      <c r="UE4" s="7" t="n">
        <v>0.257467898211783</v>
      </c>
      <c r="UF4" s="7" t="n">
        <v>-0.146067915677938</v>
      </c>
      <c r="UG4" s="7" t="n">
        <v>-0.0175808470004582</v>
      </c>
      <c r="UH4" s="7" t="n">
        <v>0.709181875384676</v>
      </c>
      <c r="UI4" s="7" t="n">
        <v>-0.192954360017519</v>
      </c>
      <c r="UJ4" s="7" t="n">
        <v>-0.199970981443476</v>
      </c>
      <c r="UK4" s="7" t="n">
        <v>-0.669084084552984</v>
      </c>
      <c r="UL4" s="7" t="n">
        <v>0.430963737823134</v>
      </c>
      <c r="UM4" s="7" t="n">
        <v>-0.660788251733479</v>
      </c>
      <c r="UN4" s="7" t="n">
        <v>-0.192344965985553</v>
      </c>
      <c r="UO4" s="7" t="n">
        <v>-0.0688884465955414</v>
      </c>
      <c r="UP4" s="7" t="n">
        <v>1.21839486406933</v>
      </c>
      <c r="UQ4" s="7" t="n">
        <v>-0.514839336703848</v>
      </c>
      <c r="UR4" s="7" t="n">
        <v>-1.30205101559121</v>
      </c>
      <c r="US4" s="7" t="n">
        <v>-0.958863108941148</v>
      </c>
      <c r="UT4" s="7" t="n">
        <v>1.44088092359222</v>
      </c>
      <c r="UU4" s="7" t="n">
        <v>0.210432290633468</v>
      </c>
      <c r="UV4" s="7" t="n">
        <v>-0.744936943584189</v>
      </c>
      <c r="UW4" s="7" t="n">
        <v>-0.300371821505551</v>
      </c>
      <c r="UX4" s="7" t="n">
        <v>-1.07282872445883</v>
      </c>
      <c r="UY4" s="7" t="n">
        <v>-0.71469811975067</v>
      </c>
      <c r="UZ4" s="7" t="n">
        <v>0.822357655499634</v>
      </c>
      <c r="VA4" s="7" t="n">
        <v>0.269709486666646</v>
      </c>
      <c r="VB4" s="7" t="n">
        <v>-0.0157390534647943</v>
      </c>
      <c r="VC4" s="7" t="n">
        <v>-0.239596121709155</v>
      </c>
      <c r="VD4" s="7" t="n">
        <v>0.245949863856548</v>
      </c>
      <c r="VE4" s="7" t="n">
        <v>0.829144179079512</v>
      </c>
      <c r="VF4" s="7" t="n">
        <v>0.157100611074568</v>
      </c>
      <c r="VG4" s="7" t="n">
        <v>-0.218221331038353</v>
      </c>
      <c r="VH4" s="7" t="n">
        <v>0.0421430301575112</v>
      </c>
      <c r="VI4" s="7" t="n">
        <v>-1.72525091652572</v>
      </c>
      <c r="VJ4" s="7" t="n">
        <v>1.02325754492704</v>
      </c>
      <c r="VK4" s="7" t="n">
        <v>-0.354503522256095</v>
      </c>
      <c r="VL4" s="7" t="n">
        <v>2.34447275340906</v>
      </c>
      <c r="VM4" s="7" t="n">
        <v>0.638648102251329</v>
      </c>
      <c r="VN4" s="7" t="n">
        <v>-0.38462491411257</v>
      </c>
      <c r="VO4" s="7" t="n">
        <v>2.81327995826509</v>
      </c>
      <c r="VP4" s="7" t="n">
        <v>0.799520969367391</v>
      </c>
      <c r="VQ4" s="7" t="n">
        <v>0.37928719571817</v>
      </c>
      <c r="VR4" s="7" t="n">
        <v>0.978659957034447</v>
      </c>
      <c r="VS4" s="7" t="n">
        <v>-0.380812903335954</v>
      </c>
      <c r="VT4" s="7" t="n">
        <v>0.504817746711825</v>
      </c>
      <c r="VU4" s="7" t="n">
        <v>-0.482191483757853</v>
      </c>
      <c r="VV4" s="7" t="n">
        <v>-0.0458307661469533</v>
      </c>
      <c r="VW4" s="7" t="n">
        <v>-0.901496826036046</v>
      </c>
      <c r="VX4" s="7" t="n">
        <v>-0.87176525291604</v>
      </c>
      <c r="VY4" s="7" t="n">
        <v>0.228479251854155</v>
      </c>
      <c r="VZ4" s="7" t="n">
        <v>0.955775513996543</v>
      </c>
      <c r="WA4" s="7" t="n">
        <v>1.1953326652508</v>
      </c>
      <c r="WB4" s="7" t="n">
        <v>2.11625738442834</v>
      </c>
      <c r="WC4" s="7" t="n">
        <v>0.161519843233062</v>
      </c>
      <c r="WD4" s="7" t="n">
        <v>-2.21476850938861</v>
      </c>
      <c r="WE4" s="7" t="n">
        <v>1.49864793436924</v>
      </c>
      <c r="WF4" s="7" t="n">
        <v>0.296393695442403</v>
      </c>
      <c r="WG4" s="7" t="n">
        <v>-0.105001663851022</v>
      </c>
      <c r="WH4" s="7" t="n">
        <v>-0.532535235230194</v>
      </c>
      <c r="WI4" s="7" t="n">
        <v>-1.36628875443126</v>
      </c>
      <c r="WJ4" s="7" t="n">
        <v>1.66471241083018</v>
      </c>
      <c r="WK4" s="7" t="n">
        <v>1.19896495750511</v>
      </c>
      <c r="WL4" s="7" t="n">
        <v>0.999853847833141</v>
      </c>
      <c r="WM4" s="7" t="n">
        <v>0.688466922145622</v>
      </c>
      <c r="WN4" s="7" t="n">
        <v>0.638733503173898</v>
      </c>
      <c r="WO4" s="7" t="n">
        <v>-0.113257878876508</v>
      </c>
      <c r="WP4" s="7" t="n">
        <v>-0.181487387912021</v>
      </c>
      <c r="WQ4" s="7" t="n">
        <v>-0.0870672498797177</v>
      </c>
      <c r="WR4" s="7" t="n">
        <v>0.687129550382474</v>
      </c>
      <c r="WS4" s="7" t="n">
        <v>1.76340627805045</v>
      </c>
      <c r="WT4" s="7" t="n">
        <v>-0.367525980338775</v>
      </c>
      <c r="WU4" s="7" t="n">
        <v>0.65160673995225</v>
      </c>
      <c r="WV4" s="7" t="n">
        <v>-0.0132446685697581</v>
      </c>
      <c r="WW4" s="7" t="n">
        <v>0.249197403849822</v>
      </c>
      <c r="WX4" s="7" t="n">
        <v>-0.989690417296798</v>
      </c>
      <c r="WY4" s="7" t="n">
        <v>-0.997344906498686</v>
      </c>
      <c r="WZ4" s="7" t="n">
        <v>-0.336223387711844</v>
      </c>
      <c r="XA4" s="7" t="n">
        <v>-1.69345749400346</v>
      </c>
      <c r="XB4" s="7" t="n">
        <v>-0.405159233399428</v>
      </c>
      <c r="XC4" s="7" t="n">
        <v>1.14076677129282</v>
      </c>
      <c r="XD4" s="7" t="n">
        <v>-2.25525854144227</v>
      </c>
      <c r="XE4" s="7" t="n">
        <v>-1.19013290148058</v>
      </c>
      <c r="XF4" s="7" t="n">
        <v>-0.534813244160566</v>
      </c>
      <c r="XG4" s="7" t="n">
        <v>-1.17197976173925</v>
      </c>
      <c r="XH4" s="7" t="n">
        <v>0.136690381731887</v>
      </c>
      <c r="XI4" s="7" t="n">
        <v>1.36490675268885</v>
      </c>
      <c r="XJ4" s="7" t="n">
        <v>0.179050305679056</v>
      </c>
      <c r="XK4" s="7" t="n">
        <v>1.19781549522845</v>
      </c>
      <c r="XL4" s="7" t="n">
        <v>-0.44484544165583</v>
      </c>
      <c r="XM4" s="7" t="n">
        <v>1.2546838847337</v>
      </c>
      <c r="XN4" s="7" t="n">
        <v>-0.553658951824912</v>
      </c>
      <c r="XO4" s="7" t="n">
        <v>0.9386547115253659</v>
      </c>
      <c r="XP4" s="7" t="n">
        <v>1.12080371738323</v>
      </c>
      <c r="XQ4" s="7" t="n">
        <v>-0.921267557967552</v>
      </c>
      <c r="XR4" s="7" t="n">
        <v>1.2876654678257</v>
      </c>
      <c r="XS4" s="7" t="n">
        <v>-1.98059394225282</v>
      </c>
      <c r="XT4" s="7" t="n">
        <v>-0.768737306801823</v>
      </c>
      <c r="XU4" s="7" t="n">
        <v>1.19740212402063</v>
      </c>
      <c r="XV4" s="7" t="n">
        <v>-0.235885641918368</v>
      </c>
      <c r="XW4" s="7" t="n">
        <v>-1.43509983240349</v>
      </c>
      <c r="XX4" s="7" t="n">
        <v>0.159495880294332</v>
      </c>
      <c r="XY4" s="7" t="n">
        <v>-1.59374071237011</v>
      </c>
      <c r="XZ4" s="7" t="n">
        <v>0.210393009512857</v>
      </c>
      <c r="YA4" s="7" t="n">
        <v>-1.27138883711869</v>
      </c>
      <c r="YB4" s="7" t="n">
        <v>1.4161039058176</v>
      </c>
      <c r="YC4" s="7" t="n">
        <v>-1.03006462466913</v>
      </c>
      <c r="YD4" s="7" t="n">
        <v>-1.12638779524751</v>
      </c>
      <c r="YE4" s="7" t="n">
        <v>-1.33410469052803</v>
      </c>
      <c r="YF4" s="7" t="n">
        <v>0.0330906492698043</v>
      </c>
      <c r="YG4" s="7" t="n">
        <v>-0.207634661590911</v>
      </c>
      <c r="YH4" s="7" t="n">
        <v>-2.85807416401624</v>
      </c>
      <c r="YI4" s="7" t="n">
        <v>-0.772932461065055</v>
      </c>
      <c r="YJ4" s="7" t="n">
        <v>-1.10807573326358</v>
      </c>
      <c r="YK4" s="7" t="n">
        <v>1.42990394796598</v>
      </c>
      <c r="YL4" s="7" t="n">
        <v>-0.0118768835670028</v>
      </c>
      <c r="YM4" s="7" t="n">
        <v>0.905000411031773</v>
      </c>
      <c r="YN4" s="7" t="n">
        <v>1.56998334174151</v>
      </c>
      <c r="YO4" s="7" t="n">
        <v>0.139795121709398</v>
      </c>
      <c r="YP4" s="7" t="n">
        <v>-0.363884551016052</v>
      </c>
      <c r="YQ4" s="7" t="n">
        <v>-0.0421099791327856</v>
      </c>
      <c r="YR4" s="7" t="n">
        <v>1.65943311200196</v>
      </c>
      <c r="YS4" s="7" t="n">
        <v>-0.512323636809999</v>
      </c>
      <c r="YT4" s="7" t="n">
        <v>-0.791050636977175</v>
      </c>
      <c r="YU4" s="7" t="n">
        <v>0.305360344823742</v>
      </c>
      <c r="YV4" s="7" t="n">
        <v>-0.322889474058902</v>
      </c>
      <c r="YW4" s="7" t="n">
        <v>0.0981778000930566</v>
      </c>
      <c r="YX4" s="7" t="n">
        <v>0.223430964959655</v>
      </c>
      <c r="YY4" s="7" t="n">
        <v>-0.0309940389421993</v>
      </c>
      <c r="YZ4" s="7" t="n">
        <v>0.6558720883614489</v>
      </c>
      <c r="ZA4" s="7" t="n">
        <v>0.857969928790115</v>
      </c>
      <c r="ZB4" s="7" t="n">
        <v>-1.9586695933528</v>
      </c>
      <c r="ZC4" s="7" t="n">
        <v>0.650410191621044</v>
      </c>
      <c r="ZD4" s="7" t="n">
        <v>-0.187816055747725</v>
      </c>
      <c r="ZE4" s="7" t="n">
        <v>-1.82503759044809</v>
      </c>
      <c r="ZF4" s="7" t="n">
        <v>-1.16427521593662</v>
      </c>
      <c r="ZG4" s="7" t="n">
        <v>1.09630674992334</v>
      </c>
      <c r="ZH4" s="7" t="n">
        <v>-0.96841753758959</v>
      </c>
      <c r="ZI4" s="7" t="n">
        <v>-0.35522023871637</v>
      </c>
      <c r="ZJ4" s="7" t="n">
        <v>1.94227596076364</v>
      </c>
      <c r="ZK4" s="7" t="n">
        <v>0.940394777448793</v>
      </c>
      <c r="ZL4" s="7" t="n">
        <v>-0.444886164923854</v>
      </c>
      <c r="ZM4" s="7" t="n">
        <v>-0.703674777225675</v>
      </c>
      <c r="ZN4" s="7" t="n">
        <v>1.91690994730115</v>
      </c>
      <c r="ZO4" s="7" t="n">
        <v>-0.0596021166990263</v>
      </c>
      <c r="ZP4" s="7" t="n">
        <v>-1.12016803988991</v>
      </c>
      <c r="ZQ4" s="7" t="n">
        <v>-1.11629997834919</v>
      </c>
      <c r="ZR4" s="7" t="n">
        <v>0.405590060674378</v>
      </c>
      <c r="ZS4" s="7" t="n">
        <v>1.27529376394633</v>
      </c>
      <c r="ZT4" s="7" t="n">
        <v>1.04387458292691</v>
      </c>
      <c r="ZU4" s="7" t="n">
        <v>-0.637471987362575</v>
      </c>
      <c r="ZV4" s="7" t="n">
        <v>1.11942543750505</v>
      </c>
      <c r="ZW4" s="7" t="n">
        <v>1.38755533934774</v>
      </c>
      <c r="ZX4" s="7" t="n">
        <v>0.0103934578639861</v>
      </c>
      <c r="ZY4" s="7" t="n">
        <v>-0.656508952661225</v>
      </c>
      <c r="ZZ4" s="7" t="n">
        <v>-0.738039814756737</v>
      </c>
      <c r="AAA4" s="7" t="n">
        <v>0.737375693719359</v>
      </c>
      <c r="AAB4" s="7" t="n">
        <v>-0.935357287909527</v>
      </c>
      <c r="AAC4" s="7" t="n">
        <v>-0.394369822930574</v>
      </c>
      <c r="AAD4" s="7" t="n">
        <v>0.226261908286611</v>
      </c>
      <c r="AAE4" s="7" t="n">
        <v>0.14756527490452</v>
      </c>
      <c r="AAF4" s="7" t="n">
        <v>1.3061966300237</v>
      </c>
      <c r="AAG4" s="7" t="n">
        <v>-0.394832428199152</v>
      </c>
      <c r="AAH4" s="7" t="n">
        <v>-1.83363259758871</v>
      </c>
      <c r="AAI4" s="7" t="n">
        <v>-0.169038468859795</v>
      </c>
      <c r="AAJ4" s="7" t="n">
        <v>-0.444016482421184</v>
      </c>
      <c r="AAK4" s="7" t="n">
        <v>0.0895788903153157</v>
      </c>
      <c r="AAL4" s="7" t="n">
        <v>-1.33229634025175</v>
      </c>
      <c r="AAM4" s="7" t="n">
        <v>0.925988918615928</v>
      </c>
      <c r="AAN4" s="7" t="n">
        <v>0.0466158153103073</v>
      </c>
      <c r="AAO4" s="7" t="n">
        <v>0.232518846046564</v>
      </c>
      <c r="AAP4" s="7" t="n">
        <v>-0.978679736416606</v>
      </c>
      <c r="AAQ4" s="7" t="n">
        <v>-0.493506165349071</v>
      </c>
      <c r="AAR4" s="7" t="n">
        <v>0.235303093462403</v>
      </c>
      <c r="AAS4" s="7" t="n">
        <v>-1.25310797255767</v>
      </c>
      <c r="AAT4" s="7" t="n">
        <v>-0.73351590932735</v>
      </c>
      <c r="AAU4" s="7" t="n">
        <v>2.05056719258221</v>
      </c>
      <c r="AAV4" s="7" t="n">
        <v>0.630955442871229</v>
      </c>
      <c r="AAW4" s="7" t="n">
        <v>0.795817213097741</v>
      </c>
      <c r="AAX4" s="7" t="n">
        <v>-0.0575910400905824</v>
      </c>
      <c r="AAY4" s="7" t="n">
        <v>-0.159176625252495</v>
      </c>
      <c r="AAZ4" s="7" t="n">
        <v>0.266356682405921</v>
      </c>
      <c r="ABA4" s="7" t="n">
        <v>-0.207113297163555</v>
      </c>
      <c r="ABB4" s="7" t="n">
        <v>-0.837812292258196</v>
      </c>
      <c r="ABC4" s="7" t="n">
        <v>0.26597621886846</v>
      </c>
      <c r="ABD4" s="7" t="n">
        <v>-0.0384586381207882</v>
      </c>
      <c r="ABE4" s="7" t="n">
        <v>-0.844143210616865</v>
      </c>
      <c r="ABF4" s="7" t="n">
        <v>-0.8104801633693</v>
      </c>
      <c r="ABG4" s="7" t="n">
        <v>0.163163028606359</v>
      </c>
      <c r="ABH4" s="7" t="n">
        <v>0.115856204561085</v>
      </c>
      <c r="ABI4" s="7" t="n">
        <v>-1.06917774959037</v>
      </c>
      <c r="ABJ4" s="7" t="n">
        <v>0.371467818307469</v>
      </c>
      <c r="ABK4" s="7" t="n">
        <v>-0.577439490745016</v>
      </c>
      <c r="ABL4" s="7" t="n">
        <v>-0.713141967088551</v>
      </c>
      <c r="ABM4" s="7" t="n">
        <v>0.0473357559538005</v>
      </c>
      <c r="ABN4" s="7" t="n">
        <v>1.6667248668041</v>
      </c>
      <c r="ABO4" s="7" t="n">
        <v>-0.682348073007937</v>
      </c>
      <c r="ABP4" s="7" t="n">
        <v>-1.97101816957726</v>
      </c>
      <c r="ABQ4" s="7" t="n">
        <v>1.56960147334553</v>
      </c>
      <c r="ABR4" s="7" t="n">
        <v>-2.11110267978717</v>
      </c>
      <c r="ABS4" s="7" t="n">
        <v>-0.490255879983503</v>
      </c>
      <c r="ABT4" s="7" t="n">
        <v>-0.692710098793993</v>
      </c>
      <c r="ABU4" s="7" t="n">
        <v>-0.179723310539549</v>
      </c>
      <c r="ABV4" s="7" t="n">
        <v>-0.152691914196521</v>
      </c>
      <c r="ABW4" s="7" t="n">
        <v>-0.514312147499883</v>
      </c>
      <c r="ABX4" s="7" t="n">
        <v>0.293003464538934</v>
      </c>
      <c r="ABY4" s="7" t="n">
        <v>2.26749621791107</v>
      </c>
      <c r="ABZ4" s="7" t="n">
        <v>0.230162065820889</v>
      </c>
      <c r="ACA4" s="7" t="n">
        <v>-0.149924439869116</v>
      </c>
      <c r="ACB4" s="7" t="n">
        <v>-0.08329867130234531</v>
      </c>
      <c r="ACC4" s="7" t="n">
        <v>1.34251967267266</v>
      </c>
      <c r="ACD4" s="7" t="n">
        <v>0.335985175894844</v>
      </c>
      <c r="ACE4" s="7" t="n">
        <v>-0.490535341420932</v>
      </c>
      <c r="ACF4" s="7" t="n">
        <v>-1.88642628393459</v>
      </c>
      <c r="ACG4" s="7" t="n">
        <v>1.33316587974391</v>
      </c>
      <c r="ACH4" s="7" t="n">
        <v>-0.386261652383903</v>
      </c>
      <c r="ACI4" s="7" t="n">
        <v>-0.0895416898003559</v>
      </c>
      <c r="ACJ4" s="7" t="n">
        <v>1.24656293851492</v>
      </c>
      <c r="ACK4" s="7" t="n">
        <v>-0.009316751038438801</v>
      </c>
      <c r="ACL4" s="7" t="n">
        <v>0.979493881996738</v>
      </c>
      <c r="ACM4" s="7" t="n">
        <v>0.54120155684712</v>
      </c>
      <c r="ACN4" s="7" t="n">
        <v>-0.0378944148803102</v>
      </c>
      <c r="ACO4" s="7" t="n">
        <v>-2.88449496450556</v>
      </c>
      <c r="ACP4" s="7" t="n">
        <v>0.396072827578578</v>
      </c>
      <c r="ACQ4" s="7" t="n">
        <v>-0.243901770560564</v>
      </c>
      <c r="ACR4" s="7" t="n">
        <v>1.13403731740261</v>
      </c>
      <c r="ACS4" s="7" t="n">
        <v>-0.266437127659021</v>
      </c>
      <c r="ACT4" s="7" t="n">
        <v>2.34345996217085</v>
      </c>
      <c r="ACU4" s="7" t="n">
        <v>-1.75655550207313</v>
      </c>
      <c r="ACV4" s="7" t="n">
        <v>0.0942625111055643</v>
      </c>
      <c r="ACW4" s="7" t="n">
        <v>-1.44790469056427</v>
      </c>
      <c r="ACX4" s="7" t="n">
        <v>0.9442159616062</v>
      </c>
      <c r="ACY4" s="7" t="n">
        <v>-1.26328022184784</v>
      </c>
      <c r="ACZ4" s="7" t="n">
        <v>-0.663799682494975</v>
      </c>
      <c r="ADA4" s="7" t="n">
        <v>-2.02365165856109</v>
      </c>
      <c r="ADB4" s="7" t="n">
        <v>1.74294670415905</v>
      </c>
      <c r="ADC4" s="7" t="n">
        <v>1.83701851229998</v>
      </c>
      <c r="ADD4" s="7" t="n">
        <v>0.135203152390131</v>
      </c>
      <c r="ADE4" s="7" t="n">
        <v>1.2038717389268</v>
      </c>
      <c r="ADF4" s="7" t="n">
        <v>-0.956450676983297</v>
      </c>
      <c r="ADG4" s="7" t="n">
        <v>0.721447019934509</v>
      </c>
      <c r="ADH4" s="7" t="n">
        <v>-1.44842430058887</v>
      </c>
      <c r="ADI4" s="7" t="n">
        <v>-0.709763081639625</v>
      </c>
      <c r="ADJ4" s="7" t="n">
        <v>0.479502893914633</v>
      </c>
      <c r="ADK4" s="7" t="n">
        <v>0.0523990231677746</v>
      </c>
      <c r="ADL4" s="7" t="n">
        <v>-0.6534695555121069</v>
      </c>
      <c r="ADM4" s="7" t="n">
        <v>0.284462508632238</v>
      </c>
      <c r="ADN4" s="7" t="n">
        <v>1.0973521668496</v>
      </c>
      <c r="ADO4" s="7" t="n">
        <v>1.03910173567571</v>
      </c>
      <c r="ADP4" s="7" t="n">
        <v>0.481670894429875</v>
      </c>
      <c r="ADQ4" s="7" t="n">
        <v>1.95851017454329</v>
      </c>
      <c r="ADR4" s="7" t="n">
        <v>0.808749649454703</v>
      </c>
      <c r="ADS4" s="7" t="n">
        <v>0.06451867415371799</v>
      </c>
      <c r="ADT4" s="7" t="n">
        <v>-1.14655040299685</v>
      </c>
      <c r="ADU4" s="7" t="n">
        <v>0.88905472996457</v>
      </c>
      <c r="ADV4" s="7" t="n">
        <v>-0.566317568136947</v>
      </c>
      <c r="ADW4" s="7" t="n">
        <v>-1.1379676944852</v>
      </c>
      <c r="ADX4" s="7" t="n">
        <v>1.36056562553928</v>
      </c>
      <c r="ADY4" s="7" t="n">
        <v>1.11748019027872</v>
      </c>
      <c r="ADZ4" s="7" t="n">
        <v>0.770428475061423</v>
      </c>
      <c r="AEA4" s="7" t="n">
        <v>0.646206594564915</v>
      </c>
      <c r="AEB4" s="7" t="n">
        <v>-1.30812638799336</v>
      </c>
      <c r="AEC4" s="7" t="n">
        <v>1.18905010792187</v>
      </c>
      <c r="AED4" s="7" t="n">
        <v>0.701235878989349</v>
      </c>
      <c r="AEE4" s="7" t="n">
        <v>0.508238715228988</v>
      </c>
      <c r="AEF4" s="7" t="n">
        <v>1.07456481849743</v>
      </c>
      <c r="AEG4" s="7" t="n">
        <v>0.206424786932488</v>
      </c>
      <c r="AEH4" s="7" t="n">
        <v>0.390296153050668</v>
      </c>
      <c r="AEI4" s="7" t="n">
        <v>1.46520626339932</v>
      </c>
      <c r="AEJ4" s="7" t="n">
        <v>-0.334968197450598</v>
      </c>
      <c r="AEK4" s="7" t="n">
        <v>1.14739227040171</v>
      </c>
      <c r="AEL4" s="7" t="n">
        <v>-0.0606625326923104</v>
      </c>
      <c r="AEM4" s="7" t="n">
        <v>-0.917760301800019</v>
      </c>
      <c r="AEN4" s="7" t="n">
        <v>-0.643382723183597</v>
      </c>
      <c r="AEO4" s="7" t="n">
        <v>0.986976839672569</v>
      </c>
      <c r="AEP4" s="7" t="n">
        <v>0.310276510820796</v>
      </c>
      <c r="AEQ4" s="7" t="n">
        <v>0.494770579245389</v>
      </c>
      <c r="AER4" s="7" t="n">
        <v>-0.0524425278076769</v>
      </c>
      <c r="AES4" s="7" t="n">
        <v>-0.692461360246571</v>
      </c>
      <c r="AET4" s="7" t="n">
        <v>0.56849519467613</v>
      </c>
      <c r="AEU4" s="7" t="n">
        <v>1.05451902716848</v>
      </c>
      <c r="AEV4" s="7" t="n">
        <v>0.528596077727734</v>
      </c>
      <c r="AEW4" s="7" t="n">
        <v>-0.551434415850048</v>
      </c>
      <c r="AEX4" s="7" t="n">
        <v>-0.317303197019489</v>
      </c>
      <c r="AEY4" s="7" t="n">
        <v>2.44476328642411</v>
      </c>
      <c r="AEZ4" s="7" t="n">
        <v>0.321686804352922</v>
      </c>
      <c r="AFA4" s="7" t="n">
        <v>-0.428463925933124</v>
      </c>
      <c r="AFB4" s="7" t="n">
        <v>-0.474870879722766</v>
      </c>
      <c r="AFC4" s="7" t="n">
        <v>-1.67273347562259</v>
      </c>
      <c r="AFD4" s="7" t="n">
        <v>0.427670107643964</v>
      </c>
      <c r="AFE4" s="7" t="n">
        <v>2.14921252483377</v>
      </c>
      <c r="AFF4" s="7" t="n">
        <v>0.797461555875298</v>
      </c>
      <c r="AFG4" s="7" t="n">
        <v>-0.178805384919036</v>
      </c>
      <c r="AFH4" s="7" t="n">
        <v>1.07797237519635</v>
      </c>
      <c r="AFI4" s="7" t="n">
        <v>-0.558601681841982</v>
      </c>
      <c r="AFJ4" s="7" t="n">
        <v>0.601139908953246</v>
      </c>
      <c r="AFK4" s="7" t="n">
        <v>0.765413795420235</v>
      </c>
      <c r="AFL4" s="7" t="n">
        <v>-0.608529692264729</v>
      </c>
      <c r="AFM4" s="7" t="n">
        <v>1.22847299020966</v>
      </c>
      <c r="AFN4" s="7" t="n">
        <v>-0.171840622784866</v>
      </c>
      <c r="AFO4" s="7" t="n">
        <v>-1.09891325432788</v>
      </c>
      <c r="AFP4" s="7" t="n">
        <v>-0.443566049065221</v>
      </c>
      <c r="AFQ4" s="7" t="n">
        <v>-0.17914993935943</v>
      </c>
      <c r="AFR4" s="7" t="n">
        <v>1.68021809518058</v>
      </c>
      <c r="AFS4" s="7" t="n">
        <v>1.39933444172567</v>
      </c>
      <c r="AFT4" s="7" t="n">
        <v>0.008399095431855399</v>
      </c>
      <c r="AFU4" s="7" t="n">
        <v>-1.64481821578048</v>
      </c>
      <c r="AFV4" s="7" t="n">
        <v>0.663870278092603</v>
      </c>
      <c r="AFW4" s="7" t="n">
        <v>0.720829312238299</v>
      </c>
      <c r="AFX4" s="7" t="n">
        <v>1.00282059092046</v>
      </c>
      <c r="AFY4" s="7" t="n">
        <v>0.0007481141309554</v>
      </c>
      <c r="AFZ4" s="7" t="n">
        <v>-0.529679035289384</v>
      </c>
      <c r="AGA4" s="7" t="n">
        <v>-0.343895545249662</v>
      </c>
      <c r="AGB4" s="7" t="n">
        <v>0.701304361222174</v>
      </c>
      <c r="AGC4" s="7" t="n">
        <v>-2.4211836760302</v>
      </c>
      <c r="AGD4" s="7" t="n">
        <v>0.482690742195072</v>
      </c>
      <c r="AGE4" s="7" t="n">
        <v>-1.2416037884494</v>
      </c>
      <c r="AGF4" s="7" t="n">
        <v>-0.623208062325442</v>
      </c>
      <c r="AGG4" s="7" t="n">
        <v>-1.89314516204347</v>
      </c>
      <c r="AGH4" s="7" t="n">
        <v>-0.726713175120327</v>
      </c>
      <c r="AGI4" s="7" t="n">
        <v>-1.00771088787165</v>
      </c>
      <c r="AGJ4" s="7" t="n">
        <v>-0.385211251368324</v>
      </c>
      <c r="AGK4" s="7" t="n">
        <v>1.14583244802877</v>
      </c>
      <c r="AGL4" s="7" t="n">
        <v>-1.54866794404452</v>
      </c>
      <c r="AGM4" s="7" t="n">
        <v>0.566584399566438</v>
      </c>
      <c r="AGN4" s="7" t="n">
        <v>0.492985648373276</v>
      </c>
      <c r="AGO4" s="7" t="n">
        <v>1.67430099659073</v>
      </c>
      <c r="AGP4" s="7" t="n">
        <v>-0.928947310701007</v>
      </c>
      <c r="AGQ4" s="7" t="n">
        <v>-0.151662553948804</v>
      </c>
      <c r="AGR4" s="7" t="n">
        <v>-0.97036693365301</v>
      </c>
      <c r="AGS4" s="7" t="n">
        <v>-0.64606255756704</v>
      </c>
      <c r="AGT4" s="7" t="n">
        <v>-0.13592262594425</v>
      </c>
      <c r="AGU4" s="7" t="n">
        <v>-0.28186367668069</v>
      </c>
      <c r="AGV4" s="7" t="n">
        <v>-0.326232177201784</v>
      </c>
      <c r="AGW4" s="7" t="n">
        <v>-0.332699405905563</v>
      </c>
      <c r="AGX4" s="7" t="n">
        <v>-2.71010088704089</v>
      </c>
      <c r="AGY4" s="7" t="n">
        <v>-0.283672494354109</v>
      </c>
      <c r="AGZ4" s="7" t="n">
        <v>1.44946275770934</v>
      </c>
      <c r="AHA4" s="7" t="n">
        <v>0.679951667838584</v>
      </c>
      <c r="AHB4" s="7" t="n">
        <v>0.0627997669689689</v>
      </c>
      <c r="AHC4" s="7" t="n">
        <v>1.01635682352738</v>
      </c>
      <c r="AHD4" s="7" t="n">
        <v>0.0137078800068264</v>
      </c>
      <c r="AHE4" s="7" t="n">
        <v>0.225667692801278</v>
      </c>
      <c r="AHF4" s="7" t="n">
        <v>0.169538841102123</v>
      </c>
      <c r="AHG4" s="7" t="n">
        <v>-2.06656132636003</v>
      </c>
      <c r="AHH4" s="7" t="n">
        <v>0.264387800093788</v>
      </c>
      <c r="AHI4" s="7" t="n">
        <v>-0.517237051877</v>
      </c>
      <c r="AHJ4" s="7" t="n">
        <v>-0.12491425921496</v>
      </c>
      <c r="AHK4" s="7" t="n">
        <v>-1.1310335252003</v>
      </c>
      <c r="AHL4" s="7" t="n">
        <v>-0.0685722320681366</v>
      </c>
      <c r="AHM4" s="7" t="n">
        <v>-1.1755279154448</v>
      </c>
      <c r="AHN4" s="7" t="n">
        <v>-0.677033577727827</v>
      </c>
      <c r="AHO4" s="7" t="n">
        <v>-2.02056335153237</v>
      </c>
      <c r="AHP4" s="7" t="n">
        <v>-1.77314427331087</v>
      </c>
      <c r="AHQ4" s="7" t="n">
        <v>-0.605414283431289</v>
      </c>
      <c r="AHR4" s="7" t="n">
        <v>-0.370006508828525</v>
      </c>
      <c r="AHS4" s="7" t="n">
        <v>0.563297868801242</v>
      </c>
      <c r="AHT4" s="7" t="n">
        <v>1.24632277530837</v>
      </c>
      <c r="AHU4" s="7" t="n">
        <v>-0.538805868373858</v>
      </c>
      <c r="AHV4" s="7" t="n">
        <v>-0.350364754128833</v>
      </c>
      <c r="AHW4" s="7" t="n">
        <v>-0.182072878453506</v>
      </c>
      <c r="AHX4" s="7" t="n">
        <v>1.38858701468101</v>
      </c>
      <c r="AHY4" s="7" t="n">
        <v>0.6707619094335771</v>
      </c>
      <c r="AHZ4" s="7" t="n">
        <v>-2.22987375771139</v>
      </c>
      <c r="AIA4" s="7" t="n">
        <v>-1.27418278139644</v>
      </c>
      <c r="AIB4" s="7" t="n">
        <v>0.885639665287247</v>
      </c>
      <c r="AIC4" s="7" t="n">
        <v>1.32180660962205</v>
      </c>
      <c r="AID4" s="7" t="n">
        <v>0.483458927904124</v>
      </c>
      <c r="AIE4" s="7" t="n">
        <v>1.25850935732586</v>
      </c>
      <c r="AIF4" s="7" t="n">
        <v>-0.0738235233125424</v>
      </c>
      <c r="AIG4" s="7" t="n">
        <v>1.49311926876677</v>
      </c>
      <c r="AIH4" s="7" t="n">
        <v>-0.314239578338677</v>
      </c>
      <c r="AII4" s="7" t="n">
        <v>-1.52164571017265</v>
      </c>
      <c r="AIJ4" s="7" t="n">
        <v>-1.8555466431872</v>
      </c>
      <c r="AIK4" s="7" t="n">
        <v>-0.473485815817669</v>
      </c>
      <c r="AIL4" s="7" t="n">
        <v>-0.389251934939848</v>
      </c>
      <c r="AIM4" s="7" t="n">
        <v>0.190483150579089</v>
      </c>
      <c r="AIN4" s="7" t="n">
        <v>1.29196687598388</v>
      </c>
      <c r="AIO4" s="7" t="n">
        <v>-0.117458085212583</v>
      </c>
      <c r="AIP4" s="7" t="n">
        <v>-0.361705003712768</v>
      </c>
      <c r="AIQ4" s="7" t="n">
        <v>1.81088649459586</v>
      </c>
      <c r="AIR4" s="7" t="n">
        <v>0.680048711169141</v>
      </c>
      <c r="AIS4" s="7" t="n">
        <v>-0.824194384730457</v>
      </c>
      <c r="AIT4" s="7" t="n">
        <v>-0.561611173409171</v>
      </c>
      <c r="AIU4" s="7" t="n">
        <v>0.0790903307799993</v>
      </c>
      <c r="AIV4" s="7" t="n">
        <v>0.385121943193226</v>
      </c>
      <c r="AIW4" s="7" t="n">
        <v>0.774491379755869</v>
      </c>
      <c r="AIX4" s="7" t="n">
        <v>-0.185396572688926</v>
      </c>
      <c r="AIY4" s="7" t="n">
        <v>-1.314559792513</v>
      </c>
      <c r="AIZ4" s="7" t="n">
        <v>-1.38119861495442</v>
      </c>
      <c r="AJA4" s="7" t="n">
        <v>0.672954907901217</v>
      </c>
      <c r="AJB4" s="7" t="n">
        <v>-0.991564365416904</v>
      </c>
      <c r="AJC4" s="7" t="n">
        <v>-0.820290590489798</v>
      </c>
      <c r="AJD4" s="7" t="n">
        <v>1.02074492854471</v>
      </c>
      <c r="AJE4" s="7" t="n">
        <v>0.870803971659301</v>
      </c>
      <c r="AJF4" s="7" t="n">
        <v>-0.0593011230721124</v>
      </c>
      <c r="AJG4" s="7" t="n">
        <v>-0.441926620916965</v>
      </c>
      <c r="AJH4" s="7" t="n">
        <v>-1.17539845664102</v>
      </c>
      <c r="AJI4" s="7" t="n">
        <v>1.83409304502523</v>
      </c>
      <c r="AJJ4" s="7" t="n">
        <v>-0.59129636725402</v>
      </c>
      <c r="AJK4" s="7" t="n">
        <v>0.104059004621033</v>
      </c>
      <c r="AJL4" s="7" t="n">
        <v>0.0646506528166788</v>
      </c>
      <c r="AJM4" s="7" t="n">
        <v>0.6204553578755601</v>
      </c>
      <c r="AJN4" s="7" t="n">
        <v>-0.161387818233871</v>
      </c>
      <c r="AJO4" s="7" t="n">
        <v>0.731943977541144</v>
      </c>
      <c r="AJP4" s="7" t="n">
        <v>1.07704987885854</v>
      </c>
      <c r="AJQ4" s="7" t="n">
        <v>1.06226524072657</v>
      </c>
      <c r="AJR4" s="7" t="n">
        <v>0.06661210073723769</v>
      </c>
      <c r="AJS4" s="7" t="n">
        <v>-1.20836993259768</v>
      </c>
      <c r="AJT4" s="7" t="n">
        <v>1.12892630804268</v>
      </c>
      <c r="AJU4" s="7" t="n">
        <v>-0.50876766703934</v>
      </c>
      <c r="AJV4" s="7" t="n">
        <v>0.635721779270047</v>
      </c>
      <c r="AJW4" s="7" t="n">
        <v>1.06575125818883</v>
      </c>
      <c r="AJX4" s="7" t="n">
        <v>1.13068485520118</v>
      </c>
      <c r="AJY4" s="7" t="n">
        <v>0.07035062277859599</v>
      </c>
      <c r="AJZ4" s="7" t="n">
        <v>0.88093593771632</v>
      </c>
      <c r="AKA4" s="7" t="n">
        <v>-1.03268969458297</v>
      </c>
      <c r="AKB4" s="7" t="n">
        <v>-1.5745900250242</v>
      </c>
      <c r="AKC4" s="7" t="n">
        <v>1.53108657476439</v>
      </c>
      <c r="AKD4" s="7" t="n">
        <v>-1.62640829889218</v>
      </c>
      <c r="AKE4" s="7" t="n">
        <v>1.10094927544873</v>
      </c>
      <c r="AKF4" s="7" t="n">
        <v>-0.560262071935984</v>
      </c>
      <c r="AKG4" s="7" t="n">
        <v>-1.20233861151283</v>
      </c>
      <c r="AKH4" s="7" t="n">
        <v>-0.394078642932663</v>
      </c>
      <c r="AKI4" s="7" t="n">
        <v>-0.594449125482523</v>
      </c>
      <c r="AKJ4" s="7" t="n">
        <v>0.33044284474445</v>
      </c>
      <c r="AKK4" s="7" t="n">
        <v>-0.687082475607935</v>
      </c>
      <c r="AKL4" s="7" t="n">
        <v>-0.440522294806327</v>
      </c>
      <c r="AKM4" s="7" t="n">
        <v>-0.792133580983939</v>
      </c>
      <c r="AKN4" s="7" t="n">
        <v>-0.766797396712366</v>
      </c>
      <c r="AKO4" s="7" t="n">
        <v>0.680531020244967</v>
      </c>
      <c r="AKP4" s="7" t="n">
        <v>0.537596208858554</v>
      </c>
      <c r="AKQ4" s="7" t="n">
        <v>-0.364586107894433</v>
      </c>
      <c r="AKR4" s="7" t="n">
        <v>-1.15189049785284</v>
      </c>
      <c r="AKS4" s="7" t="n">
        <v>-0.177933326484572</v>
      </c>
      <c r="AKT4" s="7" t="n">
        <v>1.15544807048862</v>
      </c>
      <c r="AKU4" s="7" t="n">
        <v>-0.518675789029768</v>
      </c>
      <c r="AKV4" s="7" t="n">
        <v>0.405114262979142</v>
      </c>
      <c r="AKW4" s="7" t="n">
        <v>-0.516972643848234</v>
      </c>
      <c r="AKX4" s="7" t="n">
        <v>0.153305083932072</v>
      </c>
      <c r="AKY4" s="7" t="n">
        <v>-0.5379853756303949</v>
      </c>
      <c r="AKZ4" s="7" t="n">
        <v>-0.993039204016899</v>
      </c>
      <c r="ALA4" s="7" t="n">
        <v>1.21385852904843</v>
      </c>
      <c r="ALB4" s="7" t="n">
        <v>-0.35597968692628</v>
      </c>
      <c r="ALC4" s="7" t="n">
        <v>0.486477530451414</v>
      </c>
      <c r="ALD4" s="7" t="n">
        <v>2.02635170476503</v>
      </c>
      <c r="ALE4" s="7" t="n">
        <v>-0.0361439881928486</v>
      </c>
      <c r="ALF4" s="7" t="n">
        <v>-1.30916544696676</v>
      </c>
      <c r="ALG4" s="7" t="n">
        <v>1.07752427103808</v>
      </c>
      <c r="ALH4" s="7" t="n">
        <v>1.70312133703553</v>
      </c>
      <c r="ALI4" s="7" t="n">
        <v>0.605276055324692</v>
      </c>
      <c r="ALJ4" s="7" t="n">
        <v>-0.644729200399336</v>
      </c>
      <c r="ALK4" s="7" t="n">
        <v>-0.627038572635678</v>
      </c>
      <c r="ALL4" s="7" t="n">
        <v>-0.971955011000133</v>
      </c>
      <c r="ALM4" s="7" t="n">
        <v>1.97826325777417</v>
      </c>
      <c r="ALN4" s="7" t="n">
        <v>-0.08442736993094099</v>
      </c>
      <c r="ALO4" s="7" t="n">
        <v>-1.13976950083317</v>
      </c>
      <c r="ALP4" s="7" t="n">
        <v>1.36775636069019</v>
      </c>
      <c r="ALQ4" s="7" t="n">
        <v>0.994907559680933</v>
      </c>
      <c r="ALR4" s="7" t="n">
        <v>-0.28464340811882</v>
      </c>
      <c r="ALS4" s="7" t="n">
        <v>-0.57623468139892</v>
      </c>
      <c r="ALT4" s="7" t="n">
        <v>-1.0042341675318</v>
      </c>
      <c r="ALU4" s="7" t="n">
        <v>0.731648726966832</v>
      </c>
      <c r="ALV4" s="7" t="n">
        <v>-0.526784296585555</v>
      </c>
      <c r="ALW4" s="7" t="n">
        <v>1.03076215201253</v>
      </c>
      <c r="ALX4" s="7" t="n">
        <v>-0.514155742630749</v>
      </c>
      <c r="ALY4" s="7" t="n">
        <v>-0.369784420155924</v>
      </c>
      <c r="ALZ4" s="7" t="n">
        <v>0.569174419641402</v>
      </c>
      <c r="AMA4" s="7" t="n">
        <v>-0.16151306370033</v>
      </c>
      <c r="AMB4" s="7" t="n">
        <v>-0.486909174888284</v>
      </c>
      <c r="AMC4" s="7" t="n">
        <v>-0.376765426312557</v>
      </c>
      <c r="AMD4" s="7" t="n">
        <v>1.5804871746414</v>
      </c>
      <c r="AME4" s="7" t="n">
        <v>0.834167390280864</v>
      </c>
      <c r="AMF4" s="7" t="n">
        <v>-2.58204590294003</v>
      </c>
      <c r="AMG4" s="7" t="n">
        <v>-0.23289372967006</v>
      </c>
      <c r="AMH4" s="7" t="n">
        <v>-0.486756747100029</v>
      </c>
      <c r="AMI4" s="7" t="n">
        <v>1.11815490584392</v>
      </c>
      <c r="AMJ4" s="7" t="n">
        <v>-1.69808084160483</v>
      </c>
      <c r="AMK4" s="7" t="n">
        <v>0.154052640750183</v>
      </c>
      <c r="AML4" s="7" t="n">
        <v>1.29705649399248</v>
      </c>
      <c r="AMM4" s="7" t="n">
        <v>0.449998928212315</v>
      </c>
      <c r="AMN4" s="7" t="n">
        <v>-0.143715496580836</v>
      </c>
      <c r="AMO4" s="7" t="n">
        <v>1.39096423472233</v>
      </c>
      <c r="AMP4" s="7" t="n">
        <v>0.266475994763123</v>
      </c>
      <c r="AMQ4" s="7" t="n">
        <v>0.0931763973750375</v>
      </c>
      <c r="AMR4" s="7" t="n">
        <v>-0.134956689526352</v>
      </c>
      <c r="AMS4" s="7" t="n">
        <v>-0.149203801590321</v>
      </c>
      <c r="AMT4" s="7" t="n">
        <v>-1.69137541634086</v>
      </c>
      <c r="AMU4" s="7" t="n">
        <v>-0.255352588694444</v>
      </c>
      <c r="AMV4" s="7" t="n">
        <v>0.231692808889368</v>
      </c>
      <c r="AMW4" s="7" t="n">
        <v>-0.790383085948074</v>
      </c>
      <c r="AMX4" s="7" t="n">
        <v>-0.194064328480474</v>
      </c>
      <c r="AMY4" s="7" t="n">
        <v>-0.0074570236671117</v>
      </c>
      <c r="AMZ4" s="7" t="n">
        <v>-0.485906674438994</v>
      </c>
      <c r="ANA4" s="7" t="n">
        <v>-0.24763388378122</v>
      </c>
      <c r="ANB4" s="7" t="n">
        <v>-1.83605805682916</v>
      </c>
      <c r="ANC4" s="7" t="n">
        <v>-1.21956517355341</v>
      </c>
      <c r="AND4" s="7" t="n">
        <v>-0.539275038127659</v>
      </c>
      <c r="ANE4" s="7" t="n">
        <v>-0.368422485453427</v>
      </c>
      <c r="ANF4" s="7" t="n">
        <v>0.788847751335108</v>
      </c>
      <c r="ANG4" s="7" t="n">
        <v>0.821038811986289</v>
      </c>
      <c r="ANH4" s="7" t="n">
        <v>-0.410940926145635</v>
      </c>
      <c r="ANI4" s="7" t="n">
        <v>-0.0242388065170207</v>
      </c>
      <c r="ANJ4" s="7" t="n">
        <v>-1.12263194508146</v>
      </c>
      <c r="ANK4" s="7" t="n">
        <v>-0.201497276640932</v>
      </c>
      <c r="ANL4" s="7" t="n">
        <v>-1.00548649300326</v>
      </c>
      <c r="ANM4" s="7" t="n">
        <v>0.862235936984895</v>
      </c>
      <c r="ANN4" s="7" t="n">
        <v>0.623045367819837</v>
      </c>
      <c r="ANO4" s="7" t="n">
        <v>0.21770060137357</v>
      </c>
      <c r="ANP4" s="7" t="n">
        <v>0.0144804634162865</v>
      </c>
      <c r="ANQ4" s="7" t="n">
        <v>1.85713694030443</v>
      </c>
      <c r="ANR4" s="7" t="n">
        <v>-0.282688689675895</v>
      </c>
      <c r="ANS4" s="7" t="n">
        <v>-1.22982685040598</v>
      </c>
      <c r="ANT4" s="7" t="n">
        <v>-1.49795624119946</v>
      </c>
      <c r="ANU4" s="7" t="n">
        <v>-0.0102769429835562</v>
      </c>
      <c r="ANV4" s="7" t="n">
        <v>-0.8458112360864219</v>
      </c>
      <c r="ANW4" s="7" t="n">
        <v>2.78997305608252</v>
      </c>
      <c r="ANX4" s="7" t="n">
        <v>0.999219249007373</v>
      </c>
      <c r="ANY4" s="7" t="n">
        <v>0.715040769645278</v>
      </c>
      <c r="ANZ4" s="7" t="n">
        <v>-0.191011905848403</v>
      </c>
      <c r="AOA4" s="7" t="n">
        <v>-0.609359844770061</v>
      </c>
      <c r="AOB4" s="7" t="n">
        <v>0.404281905872948</v>
      </c>
      <c r="AOC4" s="7" t="n">
        <v>-0.490122935306722</v>
      </c>
      <c r="AOD4" s="7" t="n">
        <v>-0.315199697419168</v>
      </c>
      <c r="AOE4" s="7" t="n">
        <v>-0.0250299900115439</v>
      </c>
      <c r="AOF4" s="7" t="n">
        <v>-0.72193721127334</v>
      </c>
      <c r="AOG4" s="7" t="n">
        <v>1.01738528991126</v>
      </c>
      <c r="AOH4" s="7" t="n">
        <v>1.61845331880319</v>
      </c>
      <c r="AOI4" s="7" t="n">
        <v>0.15559832239589</v>
      </c>
      <c r="AOJ4" s="7" t="n">
        <v>0.7940991952981959</v>
      </c>
      <c r="AOK4" s="7" t="n">
        <v>-0.07912696121790359</v>
      </c>
      <c r="AOL4" s="7" t="n">
        <v>-0.481999663412527</v>
      </c>
      <c r="AOM4" s="7" t="n">
        <v>0.697600351307772</v>
      </c>
      <c r="AON4" s="7" t="n">
        <v>-1.01636003000497</v>
      </c>
      <c r="AOO4" s="7" t="n">
        <v>-1.35415642970299</v>
      </c>
      <c r="AOP4" s="7" t="n">
        <v>0.807860410055952</v>
      </c>
      <c r="AOQ4" s="7" t="n">
        <v>0.297869014247237</v>
      </c>
      <c r="AOR4" s="7" t="n">
        <v>-0.684072338105856</v>
      </c>
      <c r="AOS4" s="7" t="n">
        <v>0.67721025761472</v>
      </c>
      <c r="AOT4" s="7" t="n">
        <v>1.83166094271253</v>
      </c>
      <c r="AOU4" s="7" t="n">
        <v>0.274813328601962</v>
      </c>
      <c r="AOV4" s="7" t="n">
        <v>-1.3799245444728</v>
      </c>
      <c r="AOW4" s="7" t="n">
        <v>-0.595454215636015</v>
      </c>
      <c r="AOX4" s="7" t="n">
        <v>0.720159393236841</v>
      </c>
      <c r="AOY4" s="7" t="n">
        <v>-0.260079812386298</v>
      </c>
      <c r="AOZ4" s="7" t="n">
        <v>-1.41175619458512</v>
      </c>
      <c r="APA4" s="7" t="n">
        <v>0.6455329026639099</v>
      </c>
      <c r="APB4" s="7" t="n">
        <v>-0.592331352151195</v>
      </c>
      <c r="APC4" s="7" t="n">
        <v>0.0335240859143443</v>
      </c>
      <c r="APD4" s="7" t="n">
        <v>-0.08635994858806061</v>
      </c>
      <c r="APE4" s="7" t="n">
        <v>0.0729751479779243</v>
      </c>
      <c r="APF4" s="7" t="n">
        <v>0.525258618693727</v>
      </c>
      <c r="APG4" s="7" t="n">
        <v>-1.18782080720175</v>
      </c>
      <c r="APH4" s="7" t="n">
        <v>1.5528852634927</v>
      </c>
      <c r="API4" s="7" t="n">
        <v>-0.157174849099736</v>
      </c>
      <c r="APJ4" s="7" t="n">
        <v>-1.10261158693894</v>
      </c>
      <c r="APK4" s="7" t="n">
        <v>-2.26951260701146</v>
      </c>
      <c r="APL4" s="7" t="n">
        <v>1.15335020350199</v>
      </c>
      <c r="APM4" s="7" t="n">
        <v>0.415850204674637</v>
      </c>
      <c r="APN4" s="7" t="n">
        <v>-0.199197775901695</v>
      </c>
      <c r="APO4" s="7" t="n">
        <v>-0.642034657762762</v>
      </c>
      <c r="APP4" s="7" t="n">
        <v>-0.0339547623097728</v>
      </c>
      <c r="APQ4" s="7" t="n">
        <v>0.395087899077542</v>
      </c>
      <c r="APR4" s="7" t="n">
        <v>0.36325498202843</v>
      </c>
      <c r="APS4" s="7" t="n">
        <v>0.511498231348685</v>
      </c>
      <c r="APT4" s="7" t="n">
        <v>0.735978490074738</v>
      </c>
      <c r="APU4" s="7" t="n">
        <v>-0.586881147638789</v>
      </c>
      <c r="APV4" s="7" t="n">
        <v>0.9258647234387249</v>
      </c>
      <c r="APW4" s="7" t="n">
        <v>1.76322317013088</v>
      </c>
      <c r="APX4" s="7" t="n">
        <v>0.788924327568847</v>
      </c>
      <c r="APY4" s="7" t="n">
        <v>0.418957914333734</v>
      </c>
      <c r="APZ4" s="7" t="n">
        <v>0.363480731921484</v>
      </c>
      <c r="AQA4" s="7" t="n">
        <v>-1.40578270328289</v>
      </c>
      <c r="AQB4" s="7" t="n">
        <v>-0.548451552952933</v>
      </c>
      <c r="AQC4" s="7" t="n">
        <v>0.296373604793749</v>
      </c>
      <c r="AQD4" s="7" t="n">
        <v>0.239438971892349</v>
      </c>
      <c r="AQE4" s="7" t="n">
        <v>-0.0597431121758498</v>
      </c>
      <c r="AQF4" s="7" t="n">
        <v>1.72932839193069</v>
      </c>
      <c r="AQG4" s="7" t="n">
        <v>1.34728991375552</v>
      </c>
      <c r="AQH4" s="7" t="n">
        <v>-0.7667816704849501</v>
      </c>
      <c r="AQI4" s="7" t="n">
        <v>-1.20854743796443</v>
      </c>
      <c r="AQJ4" s="7" t="n">
        <v>0.375802843678461</v>
      </c>
      <c r="AQK4" s="7" t="n">
        <v>2.56535605738188</v>
      </c>
      <c r="AQL4" s="7" t="n">
        <v>0.303400553872148</v>
      </c>
      <c r="AQM4" s="7" t="n">
        <v>1.75125336784144</v>
      </c>
      <c r="AQN4" s="7" t="n">
        <v>2.26765043653016</v>
      </c>
      <c r="AQO4" s="7" t="n">
        <v>0.783203372312013</v>
      </c>
      <c r="AQP4" s="7" t="n">
        <v>-0.0716295287112779</v>
      </c>
      <c r="AQQ4" s="7" t="n">
        <v>-1.22824893924725</v>
      </c>
      <c r="AQR4" s="7" t="n">
        <v>-0.78397592582968</v>
      </c>
      <c r="AQS4" s="7" t="n">
        <v>0.283840764900902</v>
      </c>
      <c r="AQT4" s="7" t="n">
        <v>1.24837738410521</v>
      </c>
      <c r="AQU4" s="7" t="n">
        <v>-1.39088070415166</v>
      </c>
      <c r="AQV4" s="7" t="n">
        <v>1.21871537601536</v>
      </c>
      <c r="AQW4" s="7" t="n">
        <v>1.00725699114435</v>
      </c>
      <c r="AQX4" s="7" t="n">
        <v>0.357779008323235</v>
      </c>
      <c r="AQY4" s="7" t="n">
        <v>0.28753210535905</v>
      </c>
      <c r="AQZ4" s="7" t="n">
        <v>-0.327943083924342</v>
      </c>
      <c r="ARA4" s="7" t="n">
        <v>-0.344024568736776</v>
      </c>
      <c r="ARB4" s="7" t="n">
        <v>-0.0083791731142003</v>
      </c>
      <c r="ARC4" s="7" t="n">
        <v>0.625133252511876</v>
      </c>
      <c r="ARD4" s="7" t="n">
        <v>0.537340808025925</v>
      </c>
      <c r="ARE4" s="7" t="n">
        <v>-0.84169837143286</v>
      </c>
      <c r="ARF4" s="7" t="n">
        <v>-1.76490573869767</v>
      </c>
      <c r="ARG4" s="7" t="n">
        <v>-1.05115248179904</v>
      </c>
      <c r="ARH4" s="7" t="n">
        <v>-0.98134891486452</v>
      </c>
      <c r="ARI4" s="7" t="n">
        <v>0.949980622426165</v>
      </c>
      <c r="ARJ4" s="7" t="n">
        <v>-2.91794009511598</v>
      </c>
      <c r="ARK4" s="7" t="n">
        <v>0.789031271970849</v>
      </c>
      <c r="ARL4" s="7" t="n">
        <v>-0.320220432546386</v>
      </c>
      <c r="ARM4" s="7" t="n">
        <v>0.804268065153662</v>
      </c>
      <c r="ARN4" s="7" t="n">
        <v>1.54519687632299</v>
      </c>
      <c r="ARO4" s="7" t="n">
        <v>-0.486034639869478</v>
      </c>
      <c r="ARP4" s="7" t="n">
        <v>0.317014570359947</v>
      </c>
      <c r="ARQ4" s="7" t="n">
        <v>0.468384377556505</v>
      </c>
      <c r="ARR4" s="7" t="n">
        <v>0.410624992538653</v>
      </c>
      <c r="ARS4" s="7" t="n">
        <v>-1.26691750472972</v>
      </c>
      <c r="ART4" s="7" t="n">
        <v>-1.23196737922395</v>
      </c>
      <c r="ARU4" s="7" t="n">
        <v>1.82144525625262</v>
      </c>
      <c r="ARV4" s="7" t="n">
        <v>-1.07522663947909</v>
      </c>
      <c r="ARW4" s="7" t="n">
        <v>1.17929820233881</v>
      </c>
      <c r="ARX4" s="7" t="n">
        <v>0.678794499070998</v>
      </c>
      <c r="ARY4" s="7" t="n">
        <v>-0.293409084796316</v>
      </c>
      <c r="ARZ4" s="7" t="n">
        <v>0.140032008252865</v>
      </c>
      <c r="ASA4" s="7" t="n">
        <v>-0.675990845973336</v>
      </c>
      <c r="ASB4" s="7" t="n">
        <v>1.05207240895629</v>
      </c>
      <c r="ASC4" s="7" t="n">
        <v>1.13831329022136</v>
      </c>
      <c r="ASD4" s="7" t="n">
        <v>-0.332071121852228</v>
      </c>
      <c r="ASE4" s="7" t="n">
        <v>-0.444168399409261</v>
      </c>
      <c r="ASF4" s="7" t="n">
        <v>-0.432454416119988</v>
      </c>
      <c r="ASG4" s="7" t="n">
        <v>-0.586141122329823</v>
      </c>
      <c r="ASH4" s="7" t="n">
        <v>-0.16129413899979</v>
      </c>
      <c r="ASI4" s="7" t="n">
        <v>-1.2505321989913</v>
      </c>
      <c r="ASJ4" s="7" t="n">
        <v>-0.676994376150405</v>
      </c>
      <c r="ASK4" s="7" t="n">
        <v>-0.192884183326767</v>
      </c>
      <c r="ASL4" s="7" t="n">
        <v>0.273325850460735</v>
      </c>
      <c r="ASM4" s="7" t="n">
        <v>0.368820314660561</v>
      </c>
      <c r="ASN4" s="7" t="n">
        <v>-0.961324562755087</v>
      </c>
      <c r="ASO4" s="7" t="n">
        <v>0.478147199500485</v>
      </c>
      <c r="ASP4" s="7" t="n">
        <v>-0.013573413367303</v>
      </c>
      <c r="ASQ4" s="7" t="n">
        <v>-0.260098187048849</v>
      </c>
      <c r="ASR4" s="7" t="n">
        <v>0.08772775385258801</v>
      </c>
      <c r="ASS4" s="7" t="n">
        <v>0.189351203393022</v>
      </c>
      <c r="AST4" s="7" t="n">
        <v>0.758377872595083</v>
      </c>
      <c r="ASU4" s="7" t="n">
        <v>-1.036662932458</v>
      </c>
      <c r="ASV4" s="7" t="n">
        <v>0.642103192328728</v>
      </c>
      <c r="ASW4" s="7" t="n">
        <v>1.5024654663566</v>
      </c>
      <c r="ASX4" s="7" t="n">
        <v>-0.72928050433725</v>
      </c>
      <c r="ASY4" s="7" t="n">
        <v>-0.0002736248870252</v>
      </c>
      <c r="ASZ4" s="7" t="n">
        <v>-1.56873701588795</v>
      </c>
      <c r="ATA4" s="7" t="n">
        <v>-0.226327692180796</v>
      </c>
      <c r="ATB4" s="7" t="n">
        <v>1.33165055858489</v>
      </c>
      <c r="ATC4" s="7" t="n">
        <v>-0.365806338552137</v>
      </c>
      <c r="ATD4" s="7" t="n">
        <v>-0.601645363769155</v>
      </c>
      <c r="ATE4" s="7" t="n">
        <v>0.398417975312063</v>
      </c>
      <c r="ATF4" s="7" t="n">
        <v>-1.59986364643839</v>
      </c>
      <c r="ATG4" s="7" t="n">
        <v>-0.790821334803895</v>
      </c>
      <c r="ATH4" s="7" t="n">
        <v>0.692655842454217</v>
      </c>
      <c r="ATI4" s="7" t="n">
        <v>-1.31553173411245</v>
      </c>
      <c r="ATJ4" s="7" t="n">
        <v>-0.334609389726644</v>
      </c>
      <c r="ATK4" s="7" t="n">
        <v>0.693473562112036</v>
      </c>
      <c r="ATL4" s="7" t="n">
        <v>0.311980207603742</v>
      </c>
      <c r="ATM4" s="7" t="n">
        <v>-0.976743862142339</v>
      </c>
      <c r="ATN4" s="7" t="n">
        <v>-0.887394810058413</v>
      </c>
      <c r="ATO4" s="7" t="n">
        <v>1.78371215976014</v>
      </c>
      <c r="ATP4" s="7" t="n">
        <v>-0.635892428493996</v>
      </c>
      <c r="ATQ4" s="7" t="n">
        <v>0.136731821225814</v>
      </c>
      <c r="ATR4" s="7" t="n">
        <v>-1.5293542256035</v>
      </c>
      <c r="ATS4" s="7" t="n">
        <v>1.82238027258509</v>
      </c>
      <c r="ATT4" s="7" t="n">
        <v>-0.260180982241799</v>
      </c>
      <c r="ATU4" s="7" t="n">
        <v>-2.05450720983427</v>
      </c>
      <c r="ATV4" s="7" t="n">
        <v>-0.480271559194886</v>
      </c>
      <c r="ATW4" s="7" t="n">
        <v>0.137917285740469</v>
      </c>
      <c r="ATX4" s="7" t="n">
        <v>1.18206915421995</v>
      </c>
      <c r="ATY4" s="7" t="n">
        <v>0.577035451891956</v>
      </c>
      <c r="ATZ4" s="7" t="n">
        <v>0.898173524862464</v>
      </c>
      <c r="AUA4" s="7" t="n">
        <v>0.254101978090852</v>
      </c>
      <c r="AUB4" s="7" t="n">
        <v>-0.584052502775965</v>
      </c>
      <c r="AUC4" s="7" t="n">
        <v>-0.342452125321965</v>
      </c>
      <c r="AUD4" s="7" t="n">
        <v>1.17552865440835</v>
      </c>
      <c r="AUE4" s="7" t="n">
        <v>-1.31251629643705</v>
      </c>
      <c r="AUF4" s="7" t="n">
        <v>1.97110760025169</v>
      </c>
      <c r="AUG4" s="7" t="n">
        <v>-0.0951413261574522</v>
      </c>
      <c r="AUH4" s="7" t="n">
        <v>-2.61451405288068</v>
      </c>
      <c r="AUI4" s="7" t="n">
        <v>-0.576608046668542</v>
      </c>
      <c r="AUJ4" s="7" t="n">
        <v>0.960825574962878</v>
      </c>
      <c r="AUK4" s="7" t="n">
        <v>1.40298675718523</v>
      </c>
      <c r="AUL4" s="7" t="n">
        <v>-0.562567238252443</v>
      </c>
      <c r="AUM4" s="7" t="n">
        <v>0.980625571292702</v>
      </c>
      <c r="AUN4" s="7" t="n">
        <v>1.09260372760037</v>
      </c>
      <c r="AUO4" s="7" t="n">
        <v>1.54984708369753</v>
      </c>
      <c r="AUP4" s="7" t="n">
        <v>-0.229319131692548</v>
      </c>
      <c r="AUQ4" s="7" t="n">
        <v>-1.04461901023832</v>
      </c>
      <c r="AUR4" s="7" t="n">
        <v>-0.211550498770757</v>
      </c>
      <c r="AUS4" s="7" t="n">
        <v>-0.249287668860929</v>
      </c>
      <c r="AUT4" s="7" t="n">
        <v>1.942406244597</v>
      </c>
      <c r="AUU4" s="7" t="n">
        <v>-0.129123109329471</v>
      </c>
      <c r="AUV4" s="7" t="n">
        <v>0.561598252292024</v>
      </c>
      <c r="AUW4" s="7" t="n">
        <v>0.13144577188792</v>
      </c>
      <c r="AUX4" s="7" t="n">
        <v>0.348282383885734</v>
      </c>
      <c r="AUY4" s="7" t="n">
        <v>-1.12139024842784</v>
      </c>
      <c r="AUZ4" s="7" t="n">
        <v>-1.18714459437915</v>
      </c>
      <c r="AVA4" s="7" t="n">
        <v>-0.556778004844845</v>
      </c>
      <c r="AVB4" s="7" t="n">
        <v>0.025117295074963</v>
      </c>
      <c r="AVC4" s="7" t="n">
        <v>0.162713032541924</v>
      </c>
      <c r="AVD4" s="7" t="n">
        <v>0.206018821243545</v>
      </c>
      <c r="AVE4" s="7" t="n">
        <v>0.4481570015433</v>
      </c>
      <c r="AVF4" s="7" t="n">
        <v>0.646559311154135</v>
      </c>
      <c r="AVG4" s="7" t="n">
        <v>-1.07610712335267</v>
      </c>
      <c r="AVH4" s="7" t="n">
        <v>0.907552152748869</v>
      </c>
      <c r="AVI4" s="7" t="n">
        <v>0.721254761614231</v>
      </c>
      <c r="AVJ4" s="7" t="n">
        <v>0.644263241458759</v>
      </c>
      <c r="AVK4" s="7" t="n">
        <v>0.241190981634458</v>
      </c>
      <c r="AVL4" s="7" t="n">
        <v>0.7209104578204319</v>
      </c>
      <c r="AVM4" s="7" t="n">
        <v>-2.36502894490483</v>
      </c>
      <c r="AVN4" s="7" t="n">
        <v>-0.949459066858966</v>
      </c>
      <c r="AVO4" s="7" t="n">
        <v>-1.14135042195743</v>
      </c>
      <c r="AVP4" s="7" t="n">
        <v>-0.0404089033718958</v>
      </c>
      <c r="AVQ4" s="7" t="n">
        <v>-0.804856602985448</v>
      </c>
      <c r="AVR4" s="7" t="n">
        <v>0.326990091595236</v>
      </c>
      <c r="AVS4" s="7" t="n">
        <v>-2.18185003050366</v>
      </c>
      <c r="AVT4" s="7" t="n">
        <v>-1.40151722366553</v>
      </c>
      <c r="AVU4" s="7" t="n">
        <v>-0.973404108428475</v>
      </c>
      <c r="AVV4" s="7" t="n">
        <v>0.586450007528401</v>
      </c>
      <c r="AVW4" s="7" t="n">
        <v>0.865735780988842</v>
      </c>
      <c r="AVX4" s="7" t="n">
        <v>-0.406734001374843</v>
      </c>
      <c r="AVY4" s="7" t="n">
        <v>0.164314247898309</v>
      </c>
      <c r="AVZ4" s="7" t="n">
        <v>-0.5938676237785609</v>
      </c>
      <c r="AWA4" s="7" t="n">
        <v>0.0400242492024742</v>
      </c>
      <c r="AWB4" s="7" t="n">
        <v>0.184898673012643</v>
      </c>
      <c r="AWC4" s="7" t="n">
        <v>1.78423680476131</v>
      </c>
      <c r="AWD4" s="7" t="n">
        <v>-2.87802222101543</v>
      </c>
      <c r="AWE4" s="7" t="n">
        <v>0.550810182963925</v>
      </c>
      <c r="AWF4" s="7" t="n">
        <v>1.79813275492726</v>
      </c>
      <c r="AWG4" s="7" t="n">
        <v>-0.7919418243434519</v>
      </c>
      <c r="AWH4" s="7" t="n">
        <v>0.875321549620058</v>
      </c>
      <c r="AWI4" s="7" t="n">
        <v>-1.28896851162903</v>
      </c>
      <c r="AWJ4" s="7" t="n">
        <v>1.41588943347603</v>
      </c>
      <c r="AWK4" s="7" t="n">
        <v>0.330841316390072</v>
      </c>
      <c r="AWL4" s="7" t="n">
        <v>0.9404757339081971</v>
      </c>
      <c r="AWM4" s="7" t="n">
        <v>0.847534647868001</v>
      </c>
      <c r="AWN4" s="7" t="n">
        <v>0.171628733903519</v>
      </c>
      <c r="AWO4" s="7" t="n">
        <v>0.35374047968867</v>
      </c>
      <c r="AWP4" s="7" t="n">
        <v>0.352167992911435</v>
      </c>
      <c r="AWQ4" s="7" t="n">
        <v>0.925797555602187</v>
      </c>
      <c r="AWR4" s="7" t="n">
        <v>1.05944720048116</v>
      </c>
      <c r="AWS4" s="7" t="n">
        <v>-1.45054434632603</v>
      </c>
      <c r="AWT4" s="7" t="n">
        <v>1.03983786900323</v>
      </c>
      <c r="AWU4" s="7" t="n">
        <v>-0.130221791847789</v>
      </c>
      <c r="AWV4" s="7" t="n">
        <v>-0.09653919534225661</v>
      </c>
      <c r="AWW4" s="7" t="n">
        <v>0.0652344933348174</v>
      </c>
      <c r="AWX4" s="7" t="n">
        <v>1.07369977297089</v>
      </c>
      <c r="AWY4" s="7" t="n">
        <v>-0.859464822186517</v>
      </c>
      <c r="AWZ4" s="7" t="n">
        <v>-0.6097075696307031</v>
      </c>
      <c r="AXA4" s="7" t="n">
        <v>0.227773175019791</v>
      </c>
      <c r="AXB4" s="7" t="n">
        <v>-0.589642733509195</v>
      </c>
      <c r="AXC4" s="7" t="n">
        <v>0.166603393292349</v>
      </c>
      <c r="AXD4" s="7" t="n">
        <v>-0.295705091051007</v>
      </c>
      <c r="AXE4" s="7" t="n">
        <v>-0.76889782321684</v>
      </c>
      <c r="AXF4" s="7" t="n">
        <v>-0.607364243055398</v>
      </c>
      <c r="AXG4" s="7" t="n">
        <v>-1.02734298838285</v>
      </c>
      <c r="AXH4" s="7" t="n">
        <v>0.711277013785674</v>
      </c>
      <c r="AXI4" s="7" t="n">
        <v>-0.0373373151498609</v>
      </c>
      <c r="AXJ4" s="7" t="n">
        <v>1.13325034716228</v>
      </c>
      <c r="AXK4" s="7" t="n">
        <v>-0.0089439050934548</v>
      </c>
      <c r="AXL4" s="7" t="n">
        <v>1.33259858303747</v>
      </c>
      <c r="AXM4" s="7" t="n">
        <v>-1.34354121716238</v>
      </c>
      <c r="AXN4" s="7" t="n">
        <v>-0.434314061576261</v>
      </c>
      <c r="AXO4" s="7" t="n">
        <v>0.142985223016781</v>
      </c>
      <c r="AXP4" s="7" t="n">
        <v>0.597753715582804</v>
      </c>
      <c r="AXQ4" s="7" t="n">
        <v>-0.469719541693458</v>
      </c>
      <c r="AXR4" s="7" t="n">
        <v>-0.450909804651555</v>
      </c>
      <c r="AXS4" s="7" t="n">
        <v>-2.29342315797757</v>
      </c>
      <c r="AXT4" s="7" t="n">
        <v>0.6425811818142581</v>
      </c>
      <c r="AXU4" s="7" t="n">
        <v>-1.77990606907904</v>
      </c>
      <c r="AXV4" s="7" t="n">
        <v>0.202848190248594</v>
      </c>
      <c r="AXW4" s="7" t="n">
        <v>1.0572652579283</v>
      </c>
      <c r="AXX4" s="7" t="n">
        <v>-0.531627558516363</v>
      </c>
      <c r="AXY4" s="7" t="n">
        <v>0.298699189677051</v>
      </c>
      <c r="AXZ4" s="7" t="n">
        <v>-1.10515655353933</v>
      </c>
      <c r="AYA4" s="7" t="n">
        <v>-1.29555240013524</v>
      </c>
      <c r="AYB4" s="7" t="n">
        <v>-1.50166869009921</v>
      </c>
      <c r="AYC4" s="7" t="n">
        <v>-0.57520422016393</v>
      </c>
      <c r="AYD4" s="7" t="n">
        <v>-0.5745109469740241</v>
      </c>
      <c r="AYE4" s="7" t="n">
        <v>1.02575270486386</v>
      </c>
      <c r="AYF4" s="7" t="n">
        <v>-1.12492379188366</v>
      </c>
      <c r="AYG4" s="7" t="n">
        <v>-0.830519419511213</v>
      </c>
      <c r="AYH4" s="7" t="n">
        <v>-0.0068069426338992</v>
      </c>
      <c r="AYI4" s="7" t="n">
        <v>1.02397646585551</v>
      </c>
      <c r="AYJ4" s="7" t="n">
        <v>-0.342173169915816</v>
      </c>
      <c r="AYK4" s="7" t="n">
        <v>0.404634303036839</v>
      </c>
      <c r="AYL4" s="7" t="n">
        <v>-1.44266376876061</v>
      </c>
      <c r="AYM4" s="7" t="n">
        <v>-1.2759396678287</v>
      </c>
      <c r="AYN4" s="7" t="n">
        <v>-1.51840167354584</v>
      </c>
      <c r="AYO4" s="7" t="n">
        <v>0.883050346171658</v>
      </c>
      <c r="AYP4" s="7" t="n">
        <v>-1.28087982693839</v>
      </c>
      <c r="AYQ4" s="7" t="n">
        <v>0.0205569006465493</v>
      </c>
      <c r="AYR4" s="7" t="n">
        <v>-1.53842450682881</v>
      </c>
      <c r="AYS4" s="7" t="n">
        <v>0.334715200880891</v>
      </c>
      <c r="AYT4" s="7" t="n">
        <v>1.60117263302284</v>
      </c>
      <c r="AYU4" s="7" t="n">
        <v>0.321036717679057</v>
      </c>
      <c r="AYV4" s="7" t="n">
        <v>2.33622802608319</v>
      </c>
      <c r="AYW4" s="7" t="n">
        <v>-1.56257462021181</v>
      </c>
      <c r="AYX4" s="7" t="n">
        <v>1.11509230625638</v>
      </c>
      <c r="AYY4" s="7" t="n">
        <v>-1.05373558772433</v>
      </c>
      <c r="AYZ4" s="7" t="n">
        <v>-0.66580103125118</v>
      </c>
      <c r="AZA4" s="7" t="n">
        <v>-0.33249602219225</v>
      </c>
      <c r="AZB4" s="7" t="n">
        <v>-0.0322609061227516</v>
      </c>
      <c r="AZC4" s="7" t="n">
        <v>-1.53570798731685</v>
      </c>
      <c r="AZD4" s="7" t="n">
        <v>1.1881837234146</v>
      </c>
      <c r="AZE4" s="7" t="n">
        <v>0.218853038487954</v>
      </c>
      <c r="AZF4" s="7" t="n">
        <v>0.21136457631929</v>
      </c>
      <c r="AZG4" s="7" t="n">
        <v>0.0560030707611938</v>
      </c>
      <c r="AZH4" s="7" t="n">
        <v>0.803150874583911</v>
      </c>
      <c r="AZI4" s="7" t="n">
        <v>0.389277197807303</v>
      </c>
      <c r="AZJ4" s="7" t="n">
        <v>-1.0955474188482</v>
      </c>
      <c r="AZK4" s="7" t="n">
        <v>0.383037320273249</v>
      </c>
      <c r="AZL4" s="7" t="n">
        <v>0.952151229203974</v>
      </c>
      <c r="AZM4" s="7" t="n">
        <v>0.828751795520597</v>
      </c>
      <c r="AZN4" s="7" t="n">
        <v>0.267361006355582</v>
      </c>
      <c r="AZO4" s="7" t="n">
        <v>0.40463477105897</v>
      </c>
      <c r="AZP4" s="7" t="n">
        <v>1.4082246367073</v>
      </c>
      <c r="AZQ4" s="7" t="n">
        <v>1.09438369733017</v>
      </c>
      <c r="AZR4" s="7" t="n">
        <v>0.258206400740712</v>
      </c>
      <c r="AZS4" s="7" t="n">
        <v>-0.07391927674071699</v>
      </c>
      <c r="AZT4" s="7" t="n">
        <v>0.759315023048226</v>
      </c>
      <c r="AZU4" s="7" t="n">
        <v>0.207846702527568</v>
      </c>
      <c r="AZV4" s="7" t="n">
        <v>-1.14288759840897</v>
      </c>
      <c r="AZW4" s="7" t="n">
        <v>-0.5638063209533281</v>
      </c>
      <c r="AZX4" s="7" t="n">
        <v>-0.141808507987916</v>
      </c>
      <c r="AZY4" s="7" t="n">
        <v>1.76654095441911</v>
      </c>
      <c r="AZZ4" s="7" t="n">
        <v>-0.84064669662505</v>
      </c>
      <c r="BAA4" s="7" t="n">
        <v>-0.490832813826232</v>
      </c>
      <c r="BAB4" s="7" t="n">
        <v>-1.10003464612802</v>
      </c>
      <c r="BAC4" s="7" t="n">
        <v>0.248497056384361</v>
      </c>
      <c r="BAD4" s="7" t="n">
        <v>-0.318623332993096</v>
      </c>
      <c r="BAE4" s="7" t="n">
        <v>-0.256367034695885</v>
      </c>
      <c r="BAF4" s="7" t="n">
        <v>-0.334792595934753</v>
      </c>
      <c r="BAG4" s="7" t="n">
        <v>-0.651368410131648</v>
      </c>
      <c r="BAH4" s="7" t="n">
        <v>0.605476818457409</v>
      </c>
      <c r="BAI4" s="7" t="n">
        <v>0.429943304681723</v>
      </c>
      <c r="BAJ4" s="7" t="n">
        <v>1.84118976096371</v>
      </c>
      <c r="BAK4" s="7" t="n">
        <v>1.57880288346572</v>
      </c>
      <c r="BAL4" s="7" t="n">
        <v>0.724928037219723</v>
      </c>
      <c r="BAM4" s="7" t="n">
        <v>0.0124547877508724</v>
      </c>
      <c r="BAN4" s="7" t="n">
        <v>0.0299958818675586</v>
      </c>
      <c r="BAO4" s="7" t="n">
        <v>-0.628100851323647</v>
      </c>
      <c r="BAP4" s="7" t="n">
        <v>0.256940579243669</v>
      </c>
      <c r="BAQ4" s="7" t="n">
        <v>0.7429479723667179</v>
      </c>
      <c r="BAR4" s="7" t="n">
        <v>-0.581201058113484</v>
      </c>
      <c r="BAS4" s="7" t="n">
        <v>0.291627083084647</v>
      </c>
      <c r="BAT4" s="7" t="n">
        <v>-2.9562790718591</v>
      </c>
      <c r="BAU4" s="7" t="n">
        <v>-0.257895895370099</v>
      </c>
      <c r="BAV4" s="7" t="n">
        <v>-0.9460299825581771</v>
      </c>
      <c r="BAW4" s="7" t="n">
        <v>0.710142307872635</v>
      </c>
      <c r="BAX4" s="7" t="n">
        <v>-0.765387410663992</v>
      </c>
      <c r="BAY4" s="7" t="n">
        <v>1.08809622561115</v>
      </c>
      <c r="BAZ4" s="7" t="n">
        <v>1.30639514432176</v>
      </c>
      <c r="BBA4" s="7" t="n">
        <v>0.6944815876885631</v>
      </c>
      <c r="BBB4" s="7" t="n">
        <v>-1.86851906640584</v>
      </c>
      <c r="BBC4" s="7" t="n">
        <v>-1.19400448988778</v>
      </c>
      <c r="BBD4" s="7" t="n">
        <v>0.269734353060731</v>
      </c>
      <c r="BBE4" s="7" t="n">
        <v>-2.46392341635886</v>
      </c>
      <c r="BBF4" s="7" t="n">
        <v>-1.1038714864297</v>
      </c>
      <c r="BBG4" s="7" t="n">
        <v>0.197738290011451</v>
      </c>
      <c r="BBH4" s="7" t="n">
        <v>-1.11877222258058</v>
      </c>
      <c r="BBI4" s="7" t="n">
        <v>-0.894964638655299</v>
      </c>
      <c r="BBJ4" s="7" t="n">
        <v>-1.23233713168835</v>
      </c>
      <c r="BBK4" s="7" t="n">
        <v>-0.339003102291952</v>
      </c>
      <c r="BBL4" s="7" t="n">
        <v>0.07681505702706851</v>
      </c>
      <c r="BBM4" s="7" t="n">
        <v>-0.372230287286699</v>
      </c>
      <c r="BBN4" s="7" t="n">
        <v>0.09764182943561529</v>
      </c>
      <c r="BBO4" s="7" t="n">
        <v>-1.64414997134932</v>
      </c>
      <c r="BBP4" s="7" t="n">
        <v>1.41314422355617</v>
      </c>
      <c r="BBQ4" s="7" t="n">
        <v>0.178150980558712</v>
      </c>
      <c r="BBR4" s="7" t="n">
        <v>0.839076339658817</v>
      </c>
      <c r="BBS4" s="7" t="n">
        <v>-0.177590923501856</v>
      </c>
      <c r="BBT4" s="7" t="n">
        <v>0.440890273488491</v>
      </c>
      <c r="BBU4" s="7" t="n">
        <v>-0.265861502095558</v>
      </c>
      <c r="BBV4" s="7" t="n">
        <v>-0.430580416147366</v>
      </c>
      <c r="BBW4" s="7" t="n">
        <v>0.390414704251087</v>
      </c>
      <c r="BBX4" s="7" t="n">
        <v>0.443051836664741</v>
      </c>
      <c r="BBY4" s="7" t="n">
        <v>-0.518940774876312</v>
      </c>
      <c r="BBZ4" s="7" t="n">
        <v>-0.425241095405554</v>
      </c>
      <c r="BCA4" s="7" t="n">
        <v>0.0237051243786092</v>
      </c>
      <c r="BCB4" s="7" t="n">
        <v>-1.60930651163776</v>
      </c>
      <c r="BCC4" s="7" t="n">
        <v>1.36872907227157</v>
      </c>
      <c r="BCD4" s="7" t="n">
        <v>-1.33046492481651</v>
      </c>
      <c r="BCE4" s="7" t="n">
        <v>-0.432615178344184</v>
      </c>
      <c r="BCF4" s="7" t="n">
        <v>-0.06799472579345089</v>
      </c>
      <c r="BCG4" s="7" t="n">
        <v>2.18142778972852</v>
      </c>
      <c r="BCH4" s="7" t="n">
        <v>-1.31316512815068</v>
      </c>
      <c r="BCI4" s="7" t="n">
        <v>-1.19810515895904</v>
      </c>
      <c r="BCJ4" s="7" t="n">
        <v>-0.417449129367255</v>
      </c>
      <c r="BCK4" s="7" t="n">
        <v>0.0175837303219524</v>
      </c>
      <c r="BCL4" s="7" t="n">
        <v>0.286968510352295</v>
      </c>
      <c r="BCM4" s="7" t="n">
        <v>-1.61030582054186</v>
      </c>
      <c r="BCN4" s="7" t="n">
        <v>0.9842813119621679</v>
      </c>
      <c r="BCO4" s="7" t="n">
        <v>0.129893481091902</v>
      </c>
      <c r="BCP4" s="7" t="n">
        <v>-0.0172865144356657</v>
      </c>
      <c r="BCQ4" s="7" t="n">
        <v>0.670302810907768</v>
      </c>
      <c r="BCR4" s="7" t="n">
        <v>1.15747906137612</v>
      </c>
      <c r="BCS4" s="7" t="n">
        <v>-0.59026562888825</v>
      </c>
      <c r="BCT4" s="7" t="n">
        <v>0.111329572532468</v>
      </c>
      <c r="BCU4" s="7" t="n">
        <v>-1.42398784005017</v>
      </c>
      <c r="BCV4" s="7" t="n">
        <v>-0.629976691294667</v>
      </c>
      <c r="BCW4" s="7" t="n">
        <v>1.78131525868117</v>
      </c>
      <c r="BCX4" s="7" t="n">
        <v>0.560550722732455</v>
      </c>
      <c r="BCY4" s="7" t="n">
        <v>-1.57290274661886</v>
      </c>
      <c r="BCZ4" s="7" t="n">
        <v>-0.917212265468257</v>
      </c>
      <c r="BDA4" s="7" t="n">
        <v>-1.17954287859441</v>
      </c>
      <c r="BDB4" s="7" t="n">
        <v>0.921808129086803</v>
      </c>
      <c r="BDC4" s="7" t="n">
        <v>-0.713714857155705</v>
      </c>
      <c r="BDD4" s="7" t="n">
        <v>-1.75572959763325</v>
      </c>
      <c r="BDE4" s="7" t="n">
        <v>-0.6848215172394529</v>
      </c>
      <c r="BDF4" s="7" t="n">
        <v>0.634325071993404</v>
      </c>
      <c r="BDG4" s="7" t="n">
        <v>-0.334586775286706</v>
      </c>
      <c r="BDH4" s="7" t="n">
        <v>-2.33412834889741</v>
      </c>
      <c r="BDI4" s="7" t="n">
        <v>-1.73640677540587</v>
      </c>
      <c r="BDJ4" s="7" t="n">
        <v>1.01651439248919</v>
      </c>
      <c r="BDK4" s="7" t="n">
        <v>-0.542400171627641</v>
      </c>
      <c r="BDL4" s="7" t="n">
        <v>-0.165122697282064</v>
      </c>
      <c r="BDM4" s="7" t="n">
        <v>-0.842882420825</v>
      </c>
      <c r="BDN4" s="7" t="n">
        <v>-0.567296620179815</v>
      </c>
      <c r="BDO4" s="7" t="n">
        <v>0.113534628884304</v>
      </c>
      <c r="BDP4" s="7" t="n">
        <v>-0.759482466366003</v>
      </c>
      <c r="BDQ4" s="7" t="n">
        <v>0.631984809816759</v>
      </c>
      <c r="BDR4" s="7" t="n">
        <v>-0.90251834180678</v>
      </c>
      <c r="BDS4" s="7" t="n">
        <v>-1.27037268439287</v>
      </c>
      <c r="BDT4" s="7" t="n">
        <v>1.16257419194248</v>
      </c>
      <c r="BDU4" s="7" t="n">
        <v>-0.437413370010691</v>
      </c>
      <c r="BDV4" s="7" t="n">
        <v>-0.264213632795198</v>
      </c>
      <c r="BDW4" s="7" t="n">
        <v>-0.549043436593514</v>
      </c>
      <c r="BDX4" s="7" t="n">
        <v>0.473994465300994</v>
      </c>
      <c r="BDY4" s="7" t="n">
        <v>-1.33096041647416</v>
      </c>
      <c r="BDZ4" s="7" t="n">
        <v>0.264476974567422</v>
      </c>
      <c r="BEA4" s="7" t="n">
        <v>-0.748628076832577</v>
      </c>
      <c r="BEB4" s="7" t="n">
        <v>1.95017067769889</v>
      </c>
      <c r="BEC4" s="7" t="n">
        <v>0.220975901600738</v>
      </c>
      <c r="BED4" s="7" t="n">
        <v>0.184157195087446</v>
      </c>
      <c r="BEE4" s="7" t="n">
        <v>0.784617481873187</v>
      </c>
      <c r="BEF4" s="7" t="n">
        <v>-0.254495909088683</v>
      </c>
      <c r="BEG4" s="7" t="n">
        <v>-0.0209948949092548</v>
      </c>
      <c r="BEH4" s="7" t="n">
        <v>-0.561546702576276</v>
      </c>
      <c r="BEI4" s="7" t="n">
        <v>-0.508093006218478</v>
      </c>
      <c r="BEJ4" s="7" t="n">
        <v>-0.846039274936588</v>
      </c>
      <c r="BEK4" s="7" t="n">
        <v>0.975744120063852</v>
      </c>
      <c r="BEL4" s="7" t="n">
        <v>0.165063552685466</v>
      </c>
      <c r="BEM4" s="7" t="n">
        <v>0.2248636101764</v>
      </c>
      <c r="BEN4" s="7" t="n">
        <v>-0.19103954428207</v>
      </c>
      <c r="BEO4" s="7" t="n">
        <v>0.632176047263308</v>
      </c>
      <c r="BEP4" s="7" t="n">
        <v>-0.942756991841221</v>
      </c>
      <c r="BEQ4" s="7" t="n">
        <v>0.946690436024936</v>
      </c>
      <c r="BER4" s="7" t="n">
        <v>-0.133806605470657</v>
      </c>
      <c r="BES4" s="7" t="n">
        <v>0.135262933712725</v>
      </c>
      <c r="BET4" s="7" t="n">
        <v>-0.338616556906712</v>
      </c>
      <c r="BEU4" s="7" t="n">
        <v>-0.6410706171587131</v>
      </c>
      <c r="BEV4" s="7" t="n">
        <v>-0.809434964721682</v>
      </c>
      <c r="BEW4" s="7" t="n">
        <v>0.28716997452079</v>
      </c>
      <c r="BEX4" s="7" t="n">
        <v>-0.552128981213895</v>
      </c>
      <c r="BEY4" s="7" t="n">
        <v>-0.187207744720727</v>
      </c>
      <c r="BEZ4" s="7" t="n">
        <v>-0.538966325694355</v>
      </c>
      <c r="BFA4" s="7" t="n">
        <v>-1.26139663684624</v>
      </c>
      <c r="BFB4" s="7" t="n">
        <v>-0.60922603427641</v>
      </c>
      <c r="BFC4" s="7" t="n">
        <v>-1.52968093497892</v>
      </c>
      <c r="BFD4" s="7" t="n">
        <v>1.71318787543901</v>
      </c>
      <c r="BFE4" s="7" t="n">
        <v>-0.64516942550725</v>
      </c>
      <c r="BFF4" s="7" t="n">
        <v>1.24910290974502</v>
      </c>
      <c r="BFG4" s="7" t="n">
        <v>0.261898690233489</v>
      </c>
      <c r="BFH4" s="7" t="n">
        <v>1.09818770333784</v>
      </c>
      <c r="BFI4" s="7" t="n">
        <v>-0.846504032046039</v>
      </c>
      <c r="BFJ4" s="7" t="n">
        <v>0.379754145354597</v>
      </c>
      <c r="BFK4" s="7" t="n">
        <v>-0.138320868574255</v>
      </c>
      <c r="BFL4" s="7" t="n">
        <v>-0.960547936059689</v>
      </c>
      <c r="BFM4" s="7" t="n">
        <v>0.375530160152996</v>
      </c>
      <c r="BFN4" s="7" t="n">
        <v>-0.18777419847217</v>
      </c>
      <c r="BFO4" s="7" t="n">
        <v>1.22046878415088</v>
      </c>
      <c r="BFP4" s="7" t="n">
        <v>-0.711495445719122</v>
      </c>
      <c r="BFQ4" s="7" t="n">
        <v>0.964261854753615</v>
      </c>
      <c r="BFR4" s="7" t="n">
        <v>0.320129583535205</v>
      </c>
      <c r="BFS4" s="7" t="n">
        <v>-0.42508489998854</v>
      </c>
      <c r="BFT4" s="7" t="n">
        <v>0.415911493083841</v>
      </c>
      <c r="BFU4" s="7" t="n">
        <v>0.100644857867187</v>
      </c>
      <c r="BFV4" s="7" t="n">
        <v>-0.526488086638133</v>
      </c>
      <c r="BFW4" s="7" t="n">
        <v>0.580195619249512</v>
      </c>
      <c r="BFX4" s="7" t="n">
        <v>-0.208244500114728</v>
      </c>
      <c r="BFY4" s="7" t="n">
        <v>-1.15639777014671</v>
      </c>
      <c r="BFZ4" s="7" t="n">
        <v>0.0171808374639899</v>
      </c>
      <c r="BGA4" s="7" t="n">
        <v>-0.028901338463482</v>
      </c>
      <c r="BGB4" s="7" t="n">
        <v>-0.9520695391105169</v>
      </c>
      <c r="BGC4" s="7" t="n">
        <v>-1.61941733640924</v>
      </c>
      <c r="BGD4" s="7" t="n">
        <v>0.312025859614549</v>
      </c>
      <c r="BGE4" s="7" t="n">
        <v>-0.0641722670768685</v>
      </c>
      <c r="BGF4" s="7" t="n">
        <v>2.36783418505108</v>
      </c>
      <c r="BGG4" s="7" t="n">
        <v>-0.19332433411199</v>
      </c>
      <c r="BGH4" s="7" t="n">
        <v>-1.53423583728794</v>
      </c>
      <c r="BGI4" s="7" t="n">
        <v>-0.697941403176576</v>
      </c>
      <c r="BGJ4" s="7" t="n">
        <v>-0.0022826343713315</v>
      </c>
      <c r="BGK4" s="7" t="n">
        <v>-1.90957367033062</v>
      </c>
      <c r="BGL4" s="7" t="n">
        <v>-0.64784675329074</v>
      </c>
      <c r="BGM4" s="7" t="n">
        <v>-0.296723505572321</v>
      </c>
      <c r="BGN4" s="7" t="n">
        <v>-0.287273634029025</v>
      </c>
      <c r="BGO4" s="7" t="n">
        <v>0.340376328271657</v>
      </c>
      <c r="BGP4" s="7" t="n">
        <v>-0.165114600859944</v>
      </c>
      <c r="BGQ4" s="7" t="n">
        <v>2.06992019068269</v>
      </c>
      <c r="BGR4" s="7" t="n">
        <v>0.521617995755053</v>
      </c>
      <c r="BGS4" s="7" t="n">
        <v>-0.867246229838358</v>
      </c>
      <c r="BGT4" s="7" t="n">
        <v>-0.73225430039998</v>
      </c>
      <c r="BGU4" s="7" t="n">
        <v>2.07646484547838</v>
      </c>
      <c r="BGV4" s="7" t="n">
        <v>-1.04829182300571</v>
      </c>
      <c r="BGW4" s="7" t="n">
        <v>0.183131347517431</v>
      </c>
      <c r="BGX4" s="7" t="n">
        <v>-0.249967570993405</v>
      </c>
      <c r="BGY4" s="7" t="n">
        <v>-0.9405659974889971</v>
      </c>
      <c r="BGZ4" s="7" t="n">
        <v>-0.0745373603094497</v>
      </c>
      <c r="BHA4" s="7" t="n">
        <v>0.985079042581635</v>
      </c>
      <c r="BHB4" s="7" t="n">
        <v>2.10103721222093</v>
      </c>
      <c r="BHC4" s="7" t="n">
        <v>-0.168159191494206</v>
      </c>
      <c r="BHD4" s="7" t="n">
        <v>1.52378025599481</v>
      </c>
      <c r="BHE4" s="7" t="n">
        <v>1.04049188595339</v>
      </c>
      <c r="BHF4" s="7" t="n">
        <v>-0.597522110468466</v>
      </c>
      <c r="BHG4" s="7" t="n">
        <v>0.304356503620983</v>
      </c>
      <c r="BHH4" s="7" t="n">
        <v>-0.202910766889022</v>
      </c>
      <c r="BHI4" s="7" t="n">
        <v>-0.18047424983492</v>
      </c>
      <c r="BHJ4" s="7" t="n">
        <v>0.476382514557422</v>
      </c>
      <c r="BHK4" s="7" t="n">
        <v>-0.0244002671325789</v>
      </c>
      <c r="BHL4" s="7" t="n">
        <v>0.258798756370032</v>
      </c>
      <c r="BHM4" s="7" t="n">
        <v>-1.59186241977896</v>
      </c>
      <c r="BHN4" s="7" t="n">
        <v>1.53859879099981</v>
      </c>
      <c r="BHO4" s="7" t="n">
        <v>-0.744567115155514</v>
      </c>
      <c r="BHP4" s="7" t="n">
        <v>1.12108581942332</v>
      </c>
      <c r="BHQ4" s="7" t="n">
        <v>0.816334976864639</v>
      </c>
      <c r="BHR4" s="7" t="n">
        <v>0.17598425693384</v>
      </c>
      <c r="BHS4" s="7" t="n">
        <v>-1.99210743523686</v>
      </c>
      <c r="BHT4" s="7" t="n">
        <v>-0.278227807304876</v>
      </c>
      <c r="BHU4" s="7" t="n">
        <v>-1.23838667418836</v>
      </c>
      <c r="BHV4" s="7" t="n">
        <v>0.434093386432983</v>
      </c>
      <c r="BHW4" s="7" t="n">
        <v>-0.852210001029322</v>
      </c>
      <c r="BHX4" s="7" t="n">
        <v>-0.29677845076403</v>
      </c>
      <c r="BHY4" s="7" t="n">
        <v>0.163727930308794</v>
      </c>
      <c r="BHZ4" s="7" t="n">
        <v>-0.922413477658744</v>
      </c>
      <c r="BIA4" s="7" t="n">
        <v>-0.203569773071036</v>
      </c>
      <c r="BIB4" s="7" t="n">
        <v>1.50937421340551</v>
      </c>
      <c r="BIC4" s="7" t="n">
        <v>-1.66025763530672</v>
      </c>
      <c r="BID4" s="7" t="n">
        <v>-0.0748275362694337</v>
      </c>
      <c r="BIE4" s="7" t="n">
        <v>0.76408065427938</v>
      </c>
      <c r="BIF4" s="7" t="n">
        <v>-0.253232009104649</v>
      </c>
      <c r="BIG4" s="7" t="n">
        <v>-0.615721617334719</v>
      </c>
      <c r="BIH4" s="7" t="n">
        <v>0.0853232814384773</v>
      </c>
      <c r="BII4" s="7" t="n">
        <v>-1.01110036920985</v>
      </c>
      <c r="BIJ4" s="7" t="n">
        <v>0.476021045661574</v>
      </c>
      <c r="BIK4" s="7" t="n">
        <v>2.38243306090292</v>
      </c>
      <c r="BIL4" s="7" t="n">
        <v>-0.534646829365819</v>
      </c>
      <c r="BIM4" s="7" t="n">
        <v>-0.364596182899548</v>
      </c>
      <c r="BIN4" s="7" t="n">
        <v>0.148131639601498</v>
      </c>
      <c r="BIO4" s="7" t="n">
        <v>-0.119192849710362</v>
      </c>
      <c r="BIP4" s="7" t="n">
        <v>-0.0179395611346877</v>
      </c>
      <c r="BIQ4" s="7" t="n">
        <v>1.84839406786301</v>
      </c>
      <c r="BIR4" s="7" t="n">
        <v>0.136622264921256</v>
      </c>
      <c r="BIS4" s="7" t="n">
        <v>0.299494251495726</v>
      </c>
      <c r="BIT4" s="7" t="n">
        <v>-0.261419003384553</v>
      </c>
      <c r="BIU4" s="7" t="n">
        <v>-0.31948321984294</v>
      </c>
      <c r="BIV4" s="7" t="n">
        <v>0.781427589712013</v>
      </c>
      <c r="BIW4" s="7" t="n">
        <v>2.72422172891776</v>
      </c>
      <c r="BIX4" s="7" t="n">
        <v>0.805827126456363</v>
      </c>
      <c r="BIY4" s="7" t="n">
        <v>-0.983094054887012</v>
      </c>
      <c r="BIZ4" s="7" t="n">
        <v>0.441306130992167</v>
      </c>
      <c r="BJA4" s="7" t="n">
        <v>0.802895702577074</v>
      </c>
      <c r="BJB4" s="7" t="n">
        <v>0.78566146728862</v>
      </c>
      <c r="BJC4" s="7" t="n">
        <v>1.08376838971873</v>
      </c>
      <c r="BJD4" s="7" t="n">
        <v>0.511374141353878</v>
      </c>
      <c r="BJE4" s="7" t="n">
        <v>-0.923168934779943</v>
      </c>
      <c r="BJF4" s="7" t="n">
        <v>0.399848906341183</v>
      </c>
      <c r="BJG4" s="7" t="n">
        <v>0.443131934428397</v>
      </c>
      <c r="BJH4" s="7" t="n">
        <v>-0.679173111861756</v>
      </c>
      <c r="BJI4" s="7" t="n">
        <v>-0.100550657276832</v>
      </c>
      <c r="BJJ4" s="7" t="n">
        <v>-0.503929666127429</v>
      </c>
      <c r="BJK4" s="7" t="n">
        <v>0.186832558689987</v>
      </c>
      <c r="BJL4" s="7" t="n">
        <v>0.220314368142093</v>
      </c>
      <c r="BJM4" s="7" t="n">
        <v>-0.380231121207637</v>
      </c>
      <c r="BJN4" s="7" t="n">
        <v>0.859256474095122</v>
      </c>
      <c r="BJO4" s="7" t="n">
        <v>-1.48502482987912</v>
      </c>
      <c r="BJP4" s="7" t="n">
        <v>-0.704131650040866</v>
      </c>
      <c r="BJQ4" s="7" t="n">
        <v>0.296192796222707</v>
      </c>
      <c r="BJR4" s="7" t="n">
        <v>0.375738227052117</v>
      </c>
      <c r="BJS4" s="7" t="n">
        <v>-0.31461641824459</v>
      </c>
      <c r="BJT4" s="7" t="n">
        <v>0.289069835284382</v>
      </c>
      <c r="BJU4" s="7" t="n">
        <v>0.834941354320845</v>
      </c>
      <c r="BJV4" s="7" t="n">
        <v>-1.14234142081829</v>
      </c>
      <c r="BJW4" s="7" t="n">
        <v>0.14085735109442</v>
      </c>
      <c r="BJX4" s="7" t="n">
        <v>0.487905846137697</v>
      </c>
      <c r="BJY4" s="7" t="n">
        <v>1.24981965855135</v>
      </c>
      <c r="BJZ4" s="7" t="n">
        <v>-0.18623506156092</v>
      </c>
      <c r="BKA4" s="7" t="n">
        <v>1.09263353587407</v>
      </c>
      <c r="BKB4" s="7" t="n">
        <v>-0.8769040819018949</v>
      </c>
      <c r="BKC4" s="7" t="n">
        <v>0.052630000079911</v>
      </c>
      <c r="BKD4" s="7" t="n">
        <v>-1.54769876251882</v>
      </c>
      <c r="BKE4" s="7" t="n">
        <v>-0.84808561440691</v>
      </c>
      <c r="BKF4" s="7" t="n">
        <v>0.316033946467914</v>
      </c>
      <c r="BKG4" s="7" t="n">
        <v>0.822890840518679</v>
      </c>
      <c r="BKH4" s="7" t="n">
        <v>-2.238198472417</v>
      </c>
      <c r="BKI4" s="7" t="n">
        <v>-0.196240903484879</v>
      </c>
      <c r="BKJ4" s="7" t="n">
        <v>-0.421535177617892</v>
      </c>
      <c r="BKK4" s="7" t="n">
        <v>0.523582399949543</v>
      </c>
      <c r="BKL4" s="7" t="n">
        <v>0.0281035825833921</v>
      </c>
      <c r="BKM4" s="7" t="n">
        <v>-0.330708963550422</v>
      </c>
      <c r="BKN4" s="7" t="n">
        <v>1.44705602991248</v>
      </c>
      <c r="BKO4" s="7" t="n">
        <v>-1.39188823520024</v>
      </c>
      <c r="BKP4" s="7" t="n">
        <v>-1.00582199324132</v>
      </c>
      <c r="BKQ4" s="7" t="n">
        <v>0.314491327335563</v>
      </c>
      <c r="BKR4" s="7" t="n">
        <v>-0.319026666491549</v>
      </c>
      <c r="BKS4" s="7" t="n">
        <v>1.43721655461317</v>
      </c>
      <c r="BKT4" s="7" t="n">
        <v>-2.78378143328358</v>
      </c>
      <c r="BKU4" s="7" t="n">
        <v>-2.34689527454787</v>
      </c>
      <c r="BKV4" s="7" t="n">
        <v>-0.292930386792731</v>
      </c>
      <c r="BKW4" s="7" t="n">
        <v>0.952797353460785</v>
      </c>
      <c r="BKX4" s="7" t="n">
        <v>1.2199130633582</v>
      </c>
      <c r="BKY4" s="7" t="n">
        <v>1.71817748727777</v>
      </c>
      <c r="BKZ4" s="7" t="n">
        <v>-0.399460617067293</v>
      </c>
      <c r="BLA4" s="7" t="n">
        <v>-0.902202439336298</v>
      </c>
      <c r="BLB4" s="7" t="n">
        <v>-1.18402881721295</v>
      </c>
      <c r="BLC4" s="7" t="n">
        <v>0.675388292642752</v>
      </c>
      <c r="BLD4" s="7" t="n">
        <v>-1.61055628700423</v>
      </c>
      <c r="BLE4" s="7" t="n">
        <v>0.740301528099142</v>
      </c>
      <c r="BLF4" s="7" t="n">
        <v>-1.06467396913043</v>
      </c>
      <c r="BLG4" s="7" t="n">
        <v>0.294345199585831</v>
      </c>
      <c r="BLH4" s="7" t="n">
        <v>0.521144945160813</v>
      </c>
      <c r="BLI4" s="7" t="n">
        <v>-1.31907701324573</v>
      </c>
      <c r="BLJ4" s="7" t="n">
        <v>1.32004497225294</v>
      </c>
      <c r="BLK4" s="7" t="n">
        <v>0.628844616586369</v>
      </c>
      <c r="BLL4" s="7" t="n">
        <v>0.461282799977829</v>
      </c>
      <c r="BLM4" s="7" t="n">
        <v>0.453160118699093</v>
      </c>
      <c r="BLN4" s="7" t="n">
        <v>1.26440648767573</v>
      </c>
      <c r="BLO4" s="7" t="n">
        <v>0.815403086684877</v>
      </c>
      <c r="BLP4" s="7" t="n">
        <v>0.687669594237892</v>
      </c>
      <c r="BLQ4" s="7" t="n">
        <v>0.399421648283393</v>
      </c>
      <c r="BLR4" s="7" t="n">
        <v>0.471432533367916</v>
      </c>
      <c r="BLS4" s="7" t="n">
        <v>0.330387266232473</v>
      </c>
      <c r="BLT4" s="7" t="n">
        <v>-0.956931345937302</v>
      </c>
      <c r="BLU4" s="7" t="n">
        <v>-0.3082245078292</v>
      </c>
      <c r="BLV4" s="7" t="n">
        <v>-0.109378714167332</v>
      </c>
      <c r="BLW4" s="7" t="n">
        <v>0.920927285974361</v>
      </c>
      <c r="BLX4" s="7" t="n">
        <v>0.563222094984717</v>
      </c>
      <c r="BLY4" s="7" t="n">
        <v>0.122775650499176</v>
      </c>
      <c r="BLZ4" s="7" t="n">
        <v>-0.809995194203274</v>
      </c>
      <c r="BMA4" s="7" t="n">
        <v>0.244216610834488</v>
      </c>
      <c r="BMB4" s="7" t="n">
        <v>-0.551370295830203</v>
      </c>
      <c r="BMC4" s="7" t="n">
        <v>1.01670861344468</v>
      </c>
      <c r="BMD4" s="7" t="n">
        <v>-1.12057273929786</v>
      </c>
      <c r="BME4" s="7" t="n">
        <v>-0.180633943527296</v>
      </c>
      <c r="BMF4" s="7" t="n">
        <v>0.414663316327596</v>
      </c>
      <c r="BMG4" s="7" t="n">
        <v>-0.812155473354599</v>
      </c>
      <c r="BMH4" s="7" t="n">
        <v>0.6525186237114901</v>
      </c>
      <c r="BMI4" s="7" t="n">
        <v>-0.8367292153128409</v>
      </c>
      <c r="BMJ4" s="7" t="n">
        <v>0.0408358394094546</v>
      </c>
      <c r="BMK4" s="7" t="n">
        <v>0.136007986137545</v>
      </c>
      <c r="BML4" s="7" t="n">
        <v>1.10752102346923</v>
      </c>
      <c r="BMM4" s="7" t="n">
        <v>0.0989576517817006</v>
      </c>
      <c r="BMN4" s="7" t="n">
        <v>1.02835025049044</v>
      </c>
      <c r="BMO4" s="7" t="n">
        <v>0.161010388008168</v>
      </c>
      <c r="BMP4" s="7" t="n">
        <v>-1.60297447752158</v>
      </c>
      <c r="BMQ4" s="7" t="n">
        <v>0.288710975893505</v>
      </c>
      <c r="BMR4" s="7" t="n">
        <v>1.12208674717247</v>
      </c>
      <c r="BMS4" s="7" t="n">
        <v>1.53498682097119</v>
      </c>
      <c r="BMT4" s="7" t="n">
        <v>0.938551719678613</v>
      </c>
      <c r="BMU4" s="7" t="n">
        <v>0.19642453179424</v>
      </c>
      <c r="BMV4" s="7" t="n">
        <v>-0.108095895544609</v>
      </c>
      <c r="BMW4" s="7" t="n">
        <v>-0.275248300054097</v>
      </c>
      <c r="BMX4" s="7" t="n">
        <v>-2.25448055977583</v>
      </c>
      <c r="BMY4" s="7" t="n">
        <v>0.629654668766598</v>
      </c>
      <c r="BMZ4" s="7" t="n">
        <v>-1.16663793875995</v>
      </c>
      <c r="BNA4" s="7" t="n">
        <v>-0.350685617771896</v>
      </c>
      <c r="BNB4" s="7" t="n">
        <v>0.871471959830916</v>
      </c>
      <c r="BNC4" s="7" t="n">
        <v>-1.93785815880908</v>
      </c>
      <c r="BND4" s="7" t="n">
        <v>-0.0289025073633559</v>
      </c>
      <c r="BNE4" s="7" t="n">
        <v>-0.223724285316445</v>
      </c>
      <c r="BNF4" s="7" t="n">
        <v>-1.16961630983241</v>
      </c>
      <c r="BNG4" s="7" t="n">
        <v>-1.12009409822363</v>
      </c>
      <c r="BNH4" s="7" t="n">
        <v>1.0998251880019</v>
      </c>
      <c r="BNI4" s="7" t="n">
        <v>0.180196348797037</v>
      </c>
      <c r="BNJ4" s="7" t="n">
        <v>0.496037575457546</v>
      </c>
      <c r="BNK4" s="7" t="n">
        <v>-0.718650323122164</v>
      </c>
      <c r="BNL4" s="7" t="n">
        <v>-0.261107586846154</v>
      </c>
      <c r="BNM4" s="7" t="n">
        <v>0.251236250045779</v>
      </c>
      <c r="BNN4" s="7" t="n">
        <v>-0.32640935074241</v>
      </c>
      <c r="BNO4" s="7" t="n">
        <v>-0.634022484711797</v>
      </c>
      <c r="BNP4" s="7" t="n">
        <v>-0.614022054912294</v>
      </c>
      <c r="BNQ4" s="7" t="n">
        <v>0.847224214992068</v>
      </c>
      <c r="BNR4" s="7" t="n">
        <v>-1.38545032415448</v>
      </c>
      <c r="BNS4" s="7" t="n">
        <v>1.3231451551878</v>
      </c>
      <c r="BNT4" s="7" t="n">
        <v>-0.370434941006491</v>
      </c>
      <c r="BNU4" s="7" t="n">
        <v>-0.931525915708008</v>
      </c>
      <c r="BNV4" s="7" t="n">
        <v>-0.967685499916955</v>
      </c>
      <c r="BNW4" s="7" t="n">
        <v>-0.0582712064783212</v>
      </c>
      <c r="BNX4" s="7" t="n">
        <v>0.156246916039979</v>
      </c>
      <c r="BNY4" s="7" t="n">
        <v>-0.730897904268839</v>
      </c>
      <c r="BNZ4" s="7" t="n">
        <v>-0.219924939165364</v>
      </c>
      <c r="BOA4" s="7" t="n">
        <v>-0.14983757309712</v>
      </c>
      <c r="BOB4" s="7" t="n">
        <v>-0.951854686417329</v>
      </c>
      <c r="BOC4" s="7" t="n">
        <v>-0.527326155083138</v>
      </c>
      <c r="BOD4" s="7" t="n">
        <v>0.989510502211281</v>
      </c>
      <c r="BOE4" s="7" t="n">
        <v>-0.0098813423279505</v>
      </c>
      <c r="BOF4" s="7" t="n">
        <v>1.67090635545761</v>
      </c>
      <c r="BOG4" s="7" t="n">
        <v>-0.284762868564717</v>
      </c>
      <c r="BOH4" s="7" t="n">
        <v>-0.997070008896187</v>
      </c>
      <c r="BOI4" s="7" t="n">
        <v>0.653078852942295</v>
      </c>
      <c r="BOJ4" s="7" t="n">
        <v>-0.0099434801682718</v>
      </c>
      <c r="BOK4" s="7" t="n">
        <v>-0.44499244816626</v>
      </c>
      <c r="BOL4" s="7" t="n">
        <v>1.2911305322193</v>
      </c>
      <c r="BOM4" s="7" t="n">
        <v>0.806410388287322</v>
      </c>
      <c r="BON4" s="7" t="n">
        <v>2.21454919109387</v>
      </c>
      <c r="BOO4" s="7" t="n">
        <v>-0.66943528562994</v>
      </c>
      <c r="BOP4" s="7" t="n">
        <v>-1.62490333397061</v>
      </c>
      <c r="BOQ4" s="7" t="n">
        <v>1.27326535118664</v>
      </c>
      <c r="BOR4" s="7" t="n">
        <v>0.228137831920857</v>
      </c>
      <c r="BOS4" s="7" t="n">
        <v>-0.413307744756077</v>
      </c>
      <c r="BOT4" s="7" t="n">
        <v>-0.215096619639871</v>
      </c>
      <c r="BOU4" s="7" t="n">
        <v>0.300426726323077</v>
      </c>
      <c r="BOV4" s="7" t="n">
        <v>-0.22151801796122</v>
      </c>
      <c r="BOW4" s="7" t="n">
        <v>0.6396759547938941</v>
      </c>
      <c r="BOX4" s="7" t="n">
        <v>1.11096303910923</v>
      </c>
      <c r="BOY4" s="7" t="n">
        <v>-1.07859651928622</v>
      </c>
      <c r="BOZ4" s="7" t="n">
        <v>-0.53328349441435</v>
      </c>
      <c r="BPA4" s="7" t="n">
        <v>0.824792593439572</v>
      </c>
      <c r="BPB4" s="7" t="n">
        <v>-0.928147554790942</v>
      </c>
      <c r="BPC4" s="7" t="n">
        <v>-1.30768131202329</v>
      </c>
      <c r="BPD4" s="7" t="n">
        <v>0.35982975855106</v>
      </c>
      <c r="BPE4" s="7" t="n">
        <v>-1.71204430403052</v>
      </c>
      <c r="BPF4" s="7" t="n">
        <v>1.58688213446843</v>
      </c>
      <c r="BPG4" s="7" t="n">
        <v>-2.27916645910161</v>
      </c>
      <c r="BPH4" s="7" t="n">
        <v>-0.343083105383149</v>
      </c>
      <c r="BPI4" s="7" t="n">
        <v>-0.190166181875706</v>
      </c>
      <c r="BPJ4" s="7" t="n">
        <v>0.121751725543624</v>
      </c>
      <c r="BPK4" s="7" t="n">
        <v>-0.621418670936011</v>
      </c>
      <c r="BPL4" s="7" t="n">
        <v>-1.87356083690792</v>
      </c>
      <c r="BPM4" s="7" t="n">
        <v>-0.737916374936895</v>
      </c>
      <c r="BPN4" s="7" t="n">
        <v>1.70445621531991</v>
      </c>
      <c r="BPO4" s="7" t="n">
        <v>0.457360752437026</v>
      </c>
      <c r="BPP4" s="7" t="n">
        <v>0.72654611271685</v>
      </c>
      <c r="BPQ4" s="7" t="n">
        <v>0.504016501964791</v>
      </c>
      <c r="BPR4" s="7" t="n">
        <v>0.672963345496056</v>
      </c>
      <c r="BPS4" s="7" t="n">
        <v>-0.625277230141458</v>
      </c>
      <c r="BPT4" s="7" t="n">
        <v>0.425035919583541</v>
      </c>
      <c r="BPU4" s="7" t="n">
        <v>-1.07356755678275</v>
      </c>
      <c r="BPV4" s="7" t="n">
        <v>0.0925088374335683</v>
      </c>
      <c r="BPW4" s="7" t="n">
        <v>-0.674313489610764</v>
      </c>
      <c r="BPX4" s="7" t="n">
        <v>-1.04269490667343</v>
      </c>
      <c r="BPY4" s="7" t="n">
        <v>-0.330135622518956</v>
      </c>
      <c r="BPZ4" s="7" t="n">
        <v>0.277817256052436</v>
      </c>
      <c r="BQA4" s="7" t="n">
        <v>0.552095904023164</v>
      </c>
      <c r="BQB4" s="7" t="n">
        <v>-0.47206690926418</v>
      </c>
      <c r="BQC4" s="7" t="n">
        <v>-0.580348754113548</v>
      </c>
      <c r="BQD4" s="7" t="n">
        <v>0.150550408492052</v>
      </c>
      <c r="BQE4" s="7" t="n">
        <v>-0.494021642516627</v>
      </c>
      <c r="BQF4" s="7" t="n">
        <v>0.129454241775702</v>
      </c>
      <c r="BQG4" s="7" t="n">
        <v>-0.577197980121003</v>
      </c>
      <c r="BQH4" s="7" t="n">
        <v>-1.10331362538736</v>
      </c>
    </row>
    <row r="5">
      <c r="A5" s="7" t="n">
        <v>3</v>
      </c>
      <c r="B5" s="7" t="n">
        <v>1.3056923399367</v>
      </c>
      <c r="C5" s="7" t="n">
        <v>1.71051564366429</v>
      </c>
      <c r="D5" s="7" t="n">
        <v>-0.24815810451221</v>
      </c>
      <c r="E5" s="7" t="n">
        <v>0.647896059258311</v>
      </c>
      <c r="F5" s="7" t="n">
        <v>0.29421739488874</v>
      </c>
      <c r="G5" s="7" t="n">
        <v>0.556823383151469</v>
      </c>
      <c r="H5" s="7" t="n">
        <v>-0.384917880011333</v>
      </c>
      <c r="I5" s="7" t="n">
        <v>-0.883782605289039</v>
      </c>
      <c r="J5" s="7" t="n">
        <v>-1.00511745151188</v>
      </c>
      <c r="K5" s="7" t="n">
        <v>-1.13327959008551</v>
      </c>
      <c r="L5" s="7" t="n">
        <v>-1.30622261670894</v>
      </c>
      <c r="M5" s="7" t="n">
        <v>0.483747137380212</v>
      </c>
      <c r="N5" s="7" t="n">
        <v>0.140487147743942</v>
      </c>
      <c r="O5" s="7" t="n">
        <v>-1.36863735986866</v>
      </c>
      <c r="P5" s="7" t="n">
        <v>0.580267612546532</v>
      </c>
      <c r="Q5" s="7" t="n">
        <v>-0.653592042859836</v>
      </c>
      <c r="R5" s="7" t="n">
        <v>-0.727582728362552</v>
      </c>
      <c r="S5" s="7" t="n">
        <v>3.10516455111593</v>
      </c>
      <c r="T5" s="7" t="n">
        <v>-1.0441792600723</v>
      </c>
      <c r="U5" s="7" t="n">
        <v>-1.3114512371589</v>
      </c>
      <c r="V5" s="7" t="n">
        <v>-1.24292264308411</v>
      </c>
      <c r="W5" s="7" t="n">
        <v>-0.754798325854654</v>
      </c>
      <c r="X5" s="7" t="n">
        <v>2.45613046081562</v>
      </c>
      <c r="Y5" s="7" t="n">
        <v>0.399239224793547</v>
      </c>
      <c r="Z5" s="7" t="n">
        <v>-0.250883699919711</v>
      </c>
      <c r="AA5" s="7" t="n">
        <v>1.14668198242247</v>
      </c>
      <c r="AB5" s="7" t="n">
        <v>-0.781250962069886</v>
      </c>
      <c r="AC5" s="7" t="n">
        <v>1.81088418192317</v>
      </c>
      <c r="AD5" s="7" t="n">
        <v>-0.6608939845714979</v>
      </c>
      <c r="AE5" s="7" t="n">
        <v>0.626180834452806</v>
      </c>
      <c r="AF5" s="7" t="n">
        <v>0.604863671293576</v>
      </c>
      <c r="AG5" s="7" t="n">
        <v>0.7187659730806401</v>
      </c>
      <c r="AH5" s="7" t="n">
        <v>-1.26763647880959</v>
      </c>
      <c r="AI5" s="7" t="n">
        <v>1.19008471431741</v>
      </c>
      <c r="AJ5" s="7" t="n">
        <v>0.694344493456456</v>
      </c>
      <c r="AK5" s="7" t="n">
        <v>-0.0298337571391221</v>
      </c>
      <c r="AL5" s="7" t="n">
        <v>0.42233709295954</v>
      </c>
      <c r="AM5" s="7" t="n">
        <v>-0.828554304408209</v>
      </c>
      <c r="AN5" s="7" t="n">
        <v>1.72668272836935</v>
      </c>
      <c r="AO5" s="7" t="n">
        <v>-0.0277882635338629</v>
      </c>
      <c r="AP5" s="7" t="n">
        <v>-0.973757829864308</v>
      </c>
      <c r="AQ5" s="7" t="n">
        <v>-1.14230469189342</v>
      </c>
      <c r="AR5" s="7" t="n">
        <v>-1.52774343061304</v>
      </c>
      <c r="AS5" s="7" t="n">
        <v>1.49130780410404</v>
      </c>
      <c r="AT5" s="7" t="n">
        <v>-1.55607625477902</v>
      </c>
      <c r="AU5" s="7" t="n">
        <v>-0.398812915055348</v>
      </c>
      <c r="AV5" s="7" t="n">
        <v>1.51251195426238</v>
      </c>
      <c r="AW5" s="7" t="n">
        <v>-0.491512998826763</v>
      </c>
      <c r="AX5" s="7" t="n">
        <v>0.0575045281654349</v>
      </c>
      <c r="AY5" s="7" t="n">
        <v>-0.216007059311969</v>
      </c>
      <c r="AZ5" s="7" t="n">
        <v>-0.208076709529446</v>
      </c>
      <c r="BA5" s="7" t="n">
        <v>-0.399210750207745</v>
      </c>
      <c r="BB5" s="7" t="n">
        <v>-0.460536957378309</v>
      </c>
      <c r="BC5" s="7" t="n">
        <v>-0.431368825491006</v>
      </c>
      <c r="BD5" s="7" t="n">
        <v>1.31948887950434</v>
      </c>
      <c r="BE5" s="7" t="n">
        <v>-0.0690985183421715</v>
      </c>
      <c r="BF5" s="7" t="n">
        <v>-0.871311356118586</v>
      </c>
      <c r="BG5" s="7" t="n">
        <v>1.18101211056387</v>
      </c>
      <c r="BH5" s="7" t="n">
        <v>2.85451399243875</v>
      </c>
      <c r="BI5" s="7" t="n">
        <v>-0.0182442280904573</v>
      </c>
      <c r="BJ5" s="7" t="n">
        <v>-0.0545834980911659</v>
      </c>
      <c r="BK5" s="7" t="n">
        <v>-3.11917807149143</v>
      </c>
      <c r="BL5" s="7" t="n">
        <v>1.60427298226685</v>
      </c>
      <c r="BM5" s="7" t="n">
        <v>0.442174811338332</v>
      </c>
      <c r="BN5" s="7" t="n">
        <v>-0.218693050183033</v>
      </c>
      <c r="BO5" s="7" t="n">
        <v>-1.57287059495123</v>
      </c>
      <c r="BP5" s="7" t="n">
        <v>1.2662328033798</v>
      </c>
      <c r="BQ5" s="7" t="n">
        <v>0.177298182022305</v>
      </c>
      <c r="BR5" s="7" t="n">
        <v>0.217030443942581</v>
      </c>
      <c r="BS5" s="7" t="n">
        <v>0.738601095723374</v>
      </c>
      <c r="BT5" s="7" t="n">
        <v>-1.66874773949506</v>
      </c>
      <c r="BU5" s="7" t="n">
        <v>-1.14575708934576</v>
      </c>
      <c r="BV5" s="7" t="n">
        <v>1.67049073959763</v>
      </c>
      <c r="BW5" s="7" t="n">
        <v>0.6348696491817311</v>
      </c>
      <c r="BX5" s="7" t="n">
        <v>0.192787865259191</v>
      </c>
      <c r="BY5" s="7" t="n">
        <v>0.706705058601503</v>
      </c>
      <c r="BZ5" s="7" t="n">
        <v>1.10969869360071</v>
      </c>
      <c r="CA5" s="7" t="n">
        <v>0.219620997705641</v>
      </c>
      <c r="CB5" s="7" t="n">
        <v>-0.217970882886501</v>
      </c>
      <c r="CC5" s="7" t="n">
        <v>0.405187097362267</v>
      </c>
      <c r="CD5" s="7" t="n">
        <v>-0.209549850320322</v>
      </c>
      <c r="CE5" s="7" t="n">
        <v>1.75124341603531</v>
      </c>
      <c r="CF5" s="7" t="n">
        <v>-0.49498453691087</v>
      </c>
      <c r="CG5" s="7" t="n">
        <v>0.343279869431757</v>
      </c>
      <c r="CH5" s="7" t="n">
        <v>-0.376024553569695</v>
      </c>
      <c r="CI5" s="7" t="n">
        <v>-0.351264426228309</v>
      </c>
      <c r="CJ5" s="7" t="n">
        <v>-0.578288620213246</v>
      </c>
      <c r="CK5" s="7" t="n">
        <v>0.5302515286327359</v>
      </c>
      <c r="CL5" s="7" t="n">
        <v>1.68080087067247</v>
      </c>
      <c r="CM5" s="7" t="n">
        <v>-0.780058222542124</v>
      </c>
      <c r="CN5" s="7" t="n">
        <v>-1.32271497493477</v>
      </c>
      <c r="CO5" s="7" t="n">
        <v>-0.133253757236631</v>
      </c>
      <c r="CP5" s="7" t="n">
        <v>-0.1748432351392</v>
      </c>
      <c r="CQ5" s="7" t="n">
        <v>0.134770883831962</v>
      </c>
      <c r="CR5" s="7" t="n">
        <v>1.11017579170602</v>
      </c>
      <c r="CS5" s="7" t="n">
        <v>1.54083858062838</v>
      </c>
      <c r="CT5" s="7" t="n">
        <v>1.36824709705553</v>
      </c>
      <c r="CU5" s="7" t="n">
        <v>-0.468220585393862</v>
      </c>
      <c r="CV5" s="7" t="n">
        <v>0.791891770090518</v>
      </c>
      <c r="CW5" s="7" t="n">
        <v>-1.19739795815324</v>
      </c>
      <c r="CX5" s="7" t="n">
        <v>-0.439894599810565</v>
      </c>
      <c r="CY5" s="7" t="n">
        <v>-1.22942874790106</v>
      </c>
      <c r="CZ5" s="7" t="n">
        <v>0.398770412998974</v>
      </c>
      <c r="DA5" s="7" t="n">
        <v>0.789732750643404</v>
      </c>
      <c r="DB5" s="7" t="n">
        <v>-0.983701697714097</v>
      </c>
      <c r="DC5" s="7" t="n">
        <v>0.330003209537492</v>
      </c>
      <c r="DD5" s="7" t="n">
        <v>-0.584351186165187</v>
      </c>
      <c r="DE5" s="7" t="n">
        <v>-1.42396436787837</v>
      </c>
      <c r="DF5" s="7" t="n">
        <v>0.55585676949415</v>
      </c>
      <c r="DG5" s="7" t="n">
        <v>-1.90160614757269</v>
      </c>
      <c r="DH5" s="7" t="n">
        <v>-0.217264121043065</v>
      </c>
      <c r="DI5" s="7" t="n">
        <v>-0.771863142216011</v>
      </c>
      <c r="DJ5" s="7" t="n">
        <v>-0.84029402249596</v>
      </c>
      <c r="DK5" s="7" t="n">
        <v>-0.907923283278843</v>
      </c>
      <c r="DL5" s="7" t="n">
        <v>1.01588863337292</v>
      </c>
      <c r="DM5" s="7" t="n">
        <v>-1.25206341052243</v>
      </c>
      <c r="DN5" s="7" t="n">
        <v>0.998233614002335</v>
      </c>
      <c r="DO5" s="7" t="n">
        <v>-0.733434583188905</v>
      </c>
      <c r="DP5" s="7" t="n">
        <v>-2.49538180610007</v>
      </c>
      <c r="DQ5" s="7" t="n">
        <v>-0.977355926456051</v>
      </c>
      <c r="DR5" s="7" t="n">
        <v>-0.686244261139586</v>
      </c>
      <c r="DS5" s="7" t="n">
        <v>2.92575999177313</v>
      </c>
      <c r="DT5" s="7" t="n">
        <v>0.468969750271734</v>
      </c>
      <c r="DU5" s="7" t="n">
        <v>-0.0964794296383419</v>
      </c>
      <c r="DV5" s="7" t="n">
        <v>-0.677110617263282</v>
      </c>
      <c r="DW5" s="7" t="n">
        <v>-0.0898400274749591</v>
      </c>
      <c r="DX5" s="7" t="n">
        <v>1.45587915812957</v>
      </c>
      <c r="DY5" s="7" t="n">
        <v>0.5816198582263959</v>
      </c>
      <c r="DZ5" s="7" t="n">
        <v>-0.653686466895587</v>
      </c>
      <c r="EA5" s="7" t="n">
        <v>0.545870816505871</v>
      </c>
      <c r="EB5" s="7" t="n">
        <v>1.34155366092878</v>
      </c>
      <c r="EC5" s="7" t="n">
        <v>-1.55679339827142</v>
      </c>
      <c r="ED5" s="7" t="n">
        <v>1.6479540608778</v>
      </c>
      <c r="EE5" s="7" t="n">
        <v>-0.0067574895745628</v>
      </c>
      <c r="EF5" s="7" t="n">
        <v>-1.50860935046239</v>
      </c>
      <c r="EG5" s="7" t="n">
        <v>-0.494428803924419</v>
      </c>
      <c r="EH5" s="7" t="n">
        <v>0.262777779838805</v>
      </c>
      <c r="EI5" s="7" t="n">
        <v>-0.27272705473774</v>
      </c>
      <c r="EJ5" s="7" t="n">
        <v>-0.68978081999263</v>
      </c>
      <c r="EK5" s="7" t="n">
        <v>-2.52539020903151</v>
      </c>
      <c r="EL5" s="7" t="n">
        <v>-0.825205232532199</v>
      </c>
      <c r="EM5" s="7" t="n">
        <v>0.432304023181918</v>
      </c>
      <c r="EN5" s="7" t="n">
        <v>0.0071635746296002</v>
      </c>
      <c r="EO5" s="7" t="n">
        <v>0.377420595877412</v>
      </c>
      <c r="EP5" s="7" t="n">
        <v>1.91851861623928</v>
      </c>
      <c r="EQ5" s="7" t="n">
        <v>-1.63824593422994</v>
      </c>
      <c r="ER5" s="7" t="n">
        <v>-0.522807491937282</v>
      </c>
      <c r="ES5" s="7" t="n">
        <v>-0.83405418178818</v>
      </c>
      <c r="ET5" s="7" t="n">
        <v>-0.34166280334099</v>
      </c>
      <c r="EU5" s="7" t="n">
        <v>-1.45287665785443</v>
      </c>
      <c r="EV5" s="7" t="n">
        <v>-1.07817613736264</v>
      </c>
      <c r="EW5" s="7" t="n">
        <v>1.79579994181716</v>
      </c>
      <c r="EX5" s="7" t="n">
        <v>0.308018438436235</v>
      </c>
      <c r="EY5" s="7" t="n">
        <v>-0.13783786996092</v>
      </c>
      <c r="EZ5" s="7" t="n">
        <v>-0.657560040777682</v>
      </c>
      <c r="FA5" s="7" t="n">
        <v>0.08455437898962791</v>
      </c>
      <c r="FB5" s="7" t="n">
        <v>0.933271777555574</v>
      </c>
      <c r="FC5" s="7" t="n">
        <v>-0.6021909983556361</v>
      </c>
      <c r="FD5" s="7" t="n">
        <v>0.279048747172418</v>
      </c>
      <c r="FE5" s="7" t="n">
        <v>0.477628133042437</v>
      </c>
      <c r="FF5" s="7" t="n">
        <v>-1.97928099098042</v>
      </c>
      <c r="FG5" s="7" t="n">
        <v>-0.78701726426837</v>
      </c>
      <c r="FH5" s="7" t="n">
        <v>0.170286384983688</v>
      </c>
      <c r="FI5" s="7" t="n">
        <v>-1.34595457599144</v>
      </c>
      <c r="FJ5" s="7" t="n">
        <v>-0.319760706049</v>
      </c>
      <c r="FK5" s="7" t="n">
        <v>0.0527221037230413</v>
      </c>
      <c r="FL5" s="7" t="n">
        <v>0.218063915999016</v>
      </c>
      <c r="FM5" s="7" t="n">
        <v>-0.824119951769599</v>
      </c>
      <c r="FN5" s="7" t="n">
        <v>-0.947231263341422</v>
      </c>
      <c r="FO5" s="7" t="n">
        <v>0.0831266203293254</v>
      </c>
      <c r="FP5" s="7" t="n">
        <v>-0.593236481938221</v>
      </c>
      <c r="FQ5" s="7" t="n">
        <v>-2.00481501106097</v>
      </c>
      <c r="FR5" s="7" t="n">
        <v>0.445511183516412</v>
      </c>
      <c r="FS5" s="7" t="n">
        <v>1.18044849811774</v>
      </c>
      <c r="FT5" s="7" t="n">
        <v>0.607758499714611</v>
      </c>
      <c r="FU5" s="7" t="n">
        <v>-0.126519191147172</v>
      </c>
      <c r="FV5" s="7" t="n">
        <v>1.14734194832687</v>
      </c>
      <c r="FW5" s="7" t="n">
        <v>1.0643898187973</v>
      </c>
      <c r="FX5" s="7" t="n">
        <v>-0.758632845579269</v>
      </c>
      <c r="FY5" s="7" t="n">
        <v>-1.21666714128927</v>
      </c>
      <c r="FZ5" s="7" t="n">
        <v>-1.13417628607114</v>
      </c>
      <c r="GA5" s="7" t="n">
        <v>-0.315254107375127</v>
      </c>
      <c r="GB5" s="7" t="n">
        <v>-1.3457275612716</v>
      </c>
      <c r="GC5" s="7" t="n">
        <v>-0.38410530044564</v>
      </c>
      <c r="GD5" s="7" t="n">
        <v>0.0776642369653761</v>
      </c>
      <c r="GE5" s="7" t="n">
        <v>0.42231451456662</v>
      </c>
      <c r="GF5" s="7" t="n">
        <v>-0.992752820388939</v>
      </c>
      <c r="GG5" s="7" t="n">
        <v>0.14084025056338</v>
      </c>
      <c r="GH5" s="7" t="n">
        <v>0.621086550468658</v>
      </c>
      <c r="GI5" s="7" t="n">
        <v>1.20597224969706</v>
      </c>
      <c r="GJ5" s="7" t="n">
        <v>0.190137374605363</v>
      </c>
      <c r="GK5" s="7" t="n">
        <v>2.19968626519823</v>
      </c>
      <c r="GL5" s="7" t="n">
        <v>0.0360345189573742</v>
      </c>
      <c r="GM5" s="7" t="n">
        <v>-1.58187945902652</v>
      </c>
      <c r="GN5" s="7" t="n">
        <v>0.199108192011203</v>
      </c>
      <c r="GO5" s="7" t="n">
        <v>-0.955843033879177</v>
      </c>
      <c r="GP5" s="7" t="n">
        <v>-1.35230688550803</v>
      </c>
      <c r="GQ5" s="7" t="n">
        <v>-0.298321298715687</v>
      </c>
      <c r="GR5" s="7" t="n">
        <v>-0.908652934801491</v>
      </c>
      <c r="GS5" s="7" t="n">
        <v>1.20120935010351</v>
      </c>
      <c r="GT5" s="7" t="n">
        <v>-0.532968973932086</v>
      </c>
      <c r="GU5" s="7" t="n">
        <v>0.0593467325555913</v>
      </c>
      <c r="GV5" s="7" t="n">
        <v>0.0185317640105243</v>
      </c>
      <c r="GW5" s="7" t="n">
        <v>3.25737634309152</v>
      </c>
      <c r="GX5" s="7" t="n">
        <v>-0.215250550962552</v>
      </c>
      <c r="GY5" s="7" t="n">
        <v>-1.3566990169751</v>
      </c>
      <c r="GZ5" s="7" t="n">
        <v>1.9116150658849</v>
      </c>
      <c r="HA5" s="7" t="n">
        <v>1.58366100665177</v>
      </c>
      <c r="HB5" s="7" t="n">
        <v>0.236040450099842</v>
      </c>
      <c r="HC5" s="7" t="n">
        <v>1.11749846011882</v>
      </c>
      <c r="HD5" s="7" t="n">
        <v>1.06724772689166</v>
      </c>
      <c r="HE5" s="7" t="n">
        <v>-1.67205140678574</v>
      </c>
      <c r="HF5" s="7" t="n">
        <v>-0.589990918875688</v>
      </c>
      <c r="HG5" s="7" t="n">
        <v>1.90217401923068</v>
      </c>
      <c r="HH5" s="7" t="n">
        <v>-0.091804300105384</v>
      </c>
      <c r="HI5" s="7" t="n">
        <v>1.22543548624145</v>
      </c>
      <c r="HJ5" s="7" t="n">
        <v>-0.540455076542981</v>
      </c>
      <c r="HK5" s="7" t="n">
        <v>-0.156724127967522</v>
      </c>
      <c r="HL5" s="7" t="n">
        <v>-1.81970135949495</v>
      </c>
      <c r="HM5" s="7" t="n">
        <v>0.634089707866839</v>
      </c>
      <c r="HN5" s="7" t="n">
        <v>-1.77110368391641</v>
      </c>
      <c r="HO5" s="7" t="n">
        <v>0.759063571321375</v>
      </c>
      <c r="HP5" s="7" t="n">
        <v>0.244548543272208</v>
      </c>
      <c r="HQ5" s="7" t="n">
        <v>-1.28545860472175</v>
      </c>
      <c r="HR5" s="7" t="n">
        <v>-1.65885895344421</v>
      </c>
      <c r="HS5" s="7" t="n">
        <v>-0.715359857311763</v>
      </c>
      <c r="HT5" s="7" t="n">
        <v>-0.261111941332547</v>
      </c>
      <c r="HU5" s="7" t="n">
        <v>-0.56081838984534</v>
      </c>
      <c r="HV5" s="7" t="n">
        <v>0.679083958990679</v>
      </c>
      <c r="HW5" s="7" t="n">
        <v>1.47228511584763</v>
      </c>
      <c r="HX5" s="7" t="n">
        <v>-0.843928429662018</v>
      </c>
      <c r="HY5" s="7" t="n">
        <v>1.35379293402308</v>
      </c>
      <c r="HZ5" s="7" t="n">
        <v>2.22875826169144</v>
      </c>
      <c r="IA5" s="7" t="n">
        <v>1.31199047842402</v>
      </c>
      <c r="IB5" s="7" t="n">
        <v>1.01308700565478</v>
      </c>
      <c r="IC5" s="7" t="n">
        <v>0.864060459777913</v>
      </c>
      <c r="ID5" s="7" t="n">
        <v>-2.35740118431016</v>
      </c>
      <c r="IE5" s="7" t="n">
        <v>0.77164571771462</v>
      </c>
      <c r="IF5" s="7" t="n">
        <v>-1.39227336760195</v>
      </c>
      <c r="IG5" s="7" t="n">
        <v>-2.49232440865672</v>
      </c>
      <c r="IH5" s="7" t="n">
        <v>-0.074092189265149</v>
      </c>
      <c r="II5" s="7" t="n">
        <v>-1.83325346391082</v>
      </c>
      <c r="IJ5" s="7" t="n">
        <v>0.0211513011347627</v>
      </c>
      <c r="IK5" s="7" t="n">
        <v>-2.23198075963249</v>
      </c>
      <c r="IL5" s="7" t="n">
        <v>1.6930496261269</v>
      </c>
      <c r="IM5" s="7" t="n">
        <v>1.81163401141717</v>
      </c>
      <c r="IN5" s="7" t="n">
        <v>-2.43181854554481</v>
      </c>
      <c r="IO5" s="7" t="n">
        <v>0.280679790026882</v>
      </c>
      <c r="IP5" s="7" t="n">
        <v>-0.205234340179736</v>
      </c>
      <c r="IQ5" s="7" t="n">
        <v>2.3831330621039</v>
      </c>
      <c r="IR5" s="7" t="n">
        <v>-0.809359910573402</v>
      </c>
      <c r="IS5" s="7" t="n">
        <v>1.0608814139714</v>
      </c>
      <c r="IT5" s="7" t="n">
        <v>-0.227571932379123</v>
      </c>
      <c r="IU5" s="7" t="n">
        <v>2.24866208840413</v>
      </c>
      <c r="IV5" s="7" t="n">
        <v>-1.40494762816861</v>
      </c>
      <c r="IW5" s="7" t="n">
        <v>2.19385066072142</v>
      </c>
      <c r="IX5" s="7" t="n">
        <v>-0.954438616258148</v>
      </c>
      <c r="IY5" s="7" t="n">
        <v>-2.35764071885323</v>
      </c>
      <c r="IZ5" s="7" t="n">
        <v>-0.367085129148256</v>
      </c>
      <c r="JA5" s="7" t="n">
        <v>-0.957890702807603</v>
      </c>
      <c r="JB5" s="7" t="n">
        <v>-0.771280012878343</v>
      </c>
      <c r="JC5" s="7" t="n">
        <v>0.293031739298719</v>
      </c>
      <c r="JD5" s="7" t="n">
        <v>-0.968172126087028</v>
      </c>
      <c r="JE5" s="7" t="n">
        <v>-0.893794895427606</v>
      </c>
      <c r="JF5" s="7" t="n">
        <v>1.47566974389444</v>
      </c>
      <c r="JG5" s="7" t="n">
        <v>0.548357494156454</v>
      </c>
      <c r="JH5" s="7" t="n">
        <v>2.29945115718021</v>
      </c>
      <c r="JI5" s="7" t="n">
        <v>-0.223296732120416</v>
      </c>
      <c r="JJ5" s="7" t="n">
        <v>0.254915941263783</v>
      </c>
      <c r="JK5" s="7" t="n">
        <v>0.707009177791355</v>
      </c>
      <c r="JL5" s="7" t="n">
        <v>0.8005832311508571</v>
      </c>
      <c r="JM5" s="7" t="n">
        <v>-0.726935396614919</v>
      </c>
      <c r="JN5" s="7" t="n">
        <v>-1.08388917636645</v>
      </c>
      <c r="JO5" s="7" t="n">
        <v>0.316306702213209</v>
      </c>
      <c r="JP5" s="7" t="n">
        <v>0.787364199909267</v>
      </c>
      <c r="JQ5" s="7" t="n">
        <v>0.629154889950425</v>
      </c>
      <c r="JR5" s="7" t="n">
        <v>-1.81467476545567</v>
      </c>
      <c r="JS5" s="7" t="n">
        <v>0.259034015517978</v>
      </c>
      <c r="JT5" s="7" t="n">
        <v>0.748706691175259</v>
      </c>
      <c r="JU5" s="7" t="n">
        <v>-0.378063377633509</v>
      </c>
      <c r="JV5" s="7" t="n">
        <v>-0.227575133877164</v>
      </c>
      <c r="JW5" s="7" t="n">
        <v>-0.0486949114655703</v>
      </c>
      <c r="JX5" s="7" t="n">
        <v>2.45824040108008</v>
      </c>
      <c r="JY5" s="7" t="n">
        <v>0.458593445165058</v>
      </c>
      <c r="JZ5" s="7" t="n">
        <v>0.353579873094927</v>
      </c>
      <c r="KA5" s="7" t="n">
        <v>-0.0302185873254035</v>
      </c>
      <c r="KB5" s="7" t="n">
        <v>0.71344522764327</v>
      </c>
      <c r="KC5" s="7" t="n">
        <v>0.429247917747099</v>
      </c>
      <c r="KD5" s="7" t="n">
        <v>1.03748066142282</v>
      </c>
      <c r="KE5" s="7" t="n">
        <v>-0.14449411460583</v>
      </c>
      <c r="KF5" s="7" t="n">
        <v>1.1371379067641</v>
      </c>
      <c r="KG5" s="7" t="n">
        <v>-0.042349576772569</v>
      </c>
      <c r="KH5" s="7" t="n">
        <v>-0.9773067769117491</v>
      </c>
      <c r="KI5" s="7" t="n">
        <v>-0.058466966487385</v>
      </c>
      <c r="KJ5" s="7" t="n">
        <v>0.585451776335816</v>
      </c>
      <c r="KK5" s="7" t="n">
        <v>1.04501170006236</v>
      </c>
      <c r="KL5" s="7" t="n">
        <v>-1.64479885820015</v>
      </c>
      <c r="KM5" s="7" t="n">
        <v>1.70477485725579</v>
      </c>
      <c r="KN5" s="7" t="n">
        <v>1.4761887418613</v>
      </c>
      <c r="KO5" s="7" t="n">
        <v>0.12167077510152</v>
      </c>
      <c r="KP5" s="7" t="n">
        <v>-0.231906603748661</v>
      </c>
      <c r="KQ5" s="7" t="n">
        <v>-0.07040777067786649</v>
      </c>
      <c r="KR5" s="7" t="n">
        <v>-1.05825277973709</v>
      </c>
      <c r="KS5" s="7" t="n">
        <v>-0.519828508628936</v>
      </c>
      <c r="KT5" s="7" t="n">
        <v>0.505286593029614</v>
      </c>
      <c r="KU5" s="7" t="n">
        <v>-0.826387175222302</v>
      </c>
      <c r="KV5" s="7" t="n">
        <v>-0.799242698297975</v>
      </c>
      <c r="KW5" s="7" t="n">
        <v>0.84013967988167</v>
      </c>
      <c r="KX5" s="7" t="n">
        <v>-0.170845559786836</v>
      </c>
      <c r="KY5" s="7" t="n">
        <v>0.260339150700734</v>
      </c>
      <c r="KZ5" s="7" t="n">
        <v>0.201057269095543</v>
      </c>
      <c r="LA5" s="7" t="n">
        <v>-0.169446322298972</v>
      </c>
      <c r="LB5" s="7" t="n">
        <v>-2.42940811792171</v>
      </c>
      <c r="LC5" s="7" t="n">
        <v>0.741888282812072</v>
      </c>
      <c r="LD5" s="7" t="n">
        <v>-0.526258882498599</v>
      </c>
      <c r="LE5" s="7" t="n">
        <v>-0.644793347148376</v>
      </c>
      <c r="LF5" s="7" t="n">
        <v>0.0295258077612226</v>
      </c>
      <c r="LG5" s="7" t="n">
        <v>0.309081062727121</v>
      </c>
      <c r="LH5" s="7" t="n">
        <v>0.191845181220917</v>
      </c>
      <c r="LI5" s="7" t="n">
        <v>0.233555712044825</v>
      </c>
      <c r="LJ5" s="7" t="n">
        <v>-0.195216101769582</v>
      </c>
      <c r="LK5" s="7" t="n">
        <v>0.983338132576534</v>
      </c>
      <c r="LL5" s="7" t="n">
        <v>1.12262220468277</v>
      </c>
      <c r="LM5" s="7" t="n">
        <v>0.64039755061396</v>
      </c>
      <c r="LN5" s="7" t="n">
        <v>-0.07824074202279691</v>
      </c>
      <c r="LO5" s="7" t="n">
        <v>-1.78075403179813</v>
      </c>
      <c r="LP5" s="7" t="n">
        <v>-0.888400284202517</v>
      </c>
      <c r="LQ5" s="7" t="n">
        <v>-0.915215529606253</v>
      </c>
      <c r="LR5" s="7" t="n">
        <v>0.292051549408741</v>
      </c>
      <c r="LS5" s="7" t="n">
        <v>1.10758099842303</v>
      </c>
      <c r="LT5" s="7" t="n">
        <v>-0.403852899644084</v>
      </c>
      <c r="LU5" s="7" t="n">
        <v>0.98969554089281</v>
      </c>
      <c r="LV5" s="7" t="n">
        <v>0.237886157734801</v>
      </c>
      <c r="LW5" s="7" t="n">
        <v>-2.41000209648796</v>
      </c>
      <c r="LX5" s="7" t="n">
        <v>0.0940927256802352</v>
      </c>
      <c r="LY5" s="7" t="n">
        <v>0.499042571203474</v>
      </c>
      <c r="LZ5" s="7" t="n">
        <v>-1.32983529028666</v>
      </c>
      <c r="MA5" s="7" t="n">
        <v>-0.311395806318851</v>
      </c>
      <c r="MB5" s="7" t="n">
        <v>-1.42009972748538</v>
      </c>
      <c r="MC5" s="7" t="n">
        <v>0.485872023180621</v>
      </c>
      <c r="MD5" s="7" t="n">
        <v>1.8755125712544</v>
      </c>
      <c r="ME5" s="7" t="n">
        <v>-0.165423169073637</v>
      </c>
      <c r="MF5" s="7" t="n">
        <v>-0.634085271867617</v>
      </c>
      <c r="MG5" s="7" t="n">
        <v>-0.0455872316223194</v>
      </c>
      <c r="MH5" s="7" t="n">
        <v>-0.515418290558217</v>
      </c>
      <c r="MI5" s="7" t="n">
        <v>-0.365122900671962</v>
      </c>
      <c r="MJ5" s="7" t="n">
        <v>0.0561051752250512</v>
      </c>
      <c r="MK5" s="7" t="n">
        <v>-1.09538558067474</v>
      </c>
      <c r="ML5" s="7" t="n">
        <v>-0.26635560275257</v>
      </c>
      <c r="MM5" s="7" t="n">
        <v>0.734628673549361</v>
      </c>
      <c r="MN5" s="7" t="n">
        <v>0.195868235870681</v>
      </c>
      <c r="MO5" s="7" t="n">
        <v>-0.47836969616597</v>
      </c>
      <c r="MP5" s="7" t="n">
        <v>-0.835490281311121</v>
      </c>
      <c r="MQ5" s="7" t="n">
        <v>0.522973627416862</v>
      </c>
      <c r="MR5" s="7" t="n">
        <v>-1.16065013608652</v>
      </c>
      <c r="MS5" s="7" t="n">
        <v>-0.303523148940121</v>
      </c>
      <c r="MT5" s="7" t="n">
        <v>-0.441571705912842</v>
      </c>
      <c r="MU5" s="7" t="n">
        <v>1.43251845617378</v>
      </c>
      <c r="MV5" s="7" t="n">
        <v>0.438928406689425</v>
      </c>
      <c r="MW5" s="7" t="n">
        <v>-0.242220790028325</v>
      </c>
      <c r="MX5" s="7" t="n">
        <v>0.180003896513539</v>
      </c>
      <c r="MY5" s="7" t="n">
        <v>-0.678469295902544</v>
      </c>
      <c r="MZ5" s="7" t="n">
        <v>1.88746362407954</v>
      </c>
      <c r="NA5" s="7" t="n">
        <v>0.372227714682042</v>
      </c>
      <c r="NB5" s="7" t="n">
        <v>-0.8538826875254391</v>
      </c>
      <c r="NC5" s="7" t="n">
        <v>-0.383324841611568</v>
      </c>
      <c r="ND5" s="7" t="n">
        <v>-0.760943114139751</v>
      </c>
      <c r="NE5" s="7" t="n">
        <v>-0.0540059190066467</v>
      </c>
      <c r="NF5" s="7" t="n">
        <v>0.324579360592867</v>
      </c>
      <c r="NG5" s="7" t="n">
        <v>0.495377903551937</v>
      </c>
      <c r="NH5" s="7" t="n">
        <v>-2.33619357776833</v>
      </c>
      <c r="NI5" s="7" t="n">
        <v>-1.88659483617681</v>
      </c>
      <c r="NJ5" s="7" t="n">
        <v>0.960520980974605</v>
      </c>
      <c r="NK5" s="7" t="n">
        <v>-0.6679270205924021</v>
      </c>
      <c r="NL5" s="7" t="n">
        <v>-0.218650856905406</v>
      </c>
      <c r="NM5" s="7" t="n">
        <v>-1.62456954988099</v>
      </c>
      <c r="NN5" s="7" t="n">
        <v>-0.497528140659552</v>
      </c>
      <c r="NO5" s="7" t="n">
        <v>0.5500651774780621</v>
      </c>
      <c r="NP5" s="7" t="n">
        <v>0.0287654052843159</v>
      </c>
      <c r="NQ5" s="7" t="n">
        <v>-0.289559886181625</v>
      </c>
      <c r="NR5" s="7" t="n">
        <v>-0.392183193407773</v>
      </c>
      <c r="NS5" s="7" t="n">
        <v>0.0630585611107965</v>
      </c>
      <c r="NT5" s="7" t="n">
        <v>-0.448008929178948</v>
      </c>
      <c r="NU5" s="7" t="n">
        <v>-0.0397264473601866</v>
      </c>
      <c r="NV5" s="7" t="n">
        <v>-0.954368571692313</v>
      </c>
      <c r="NW5" s="7" t="n">
        <v>-1.69451290061706</v>
      </c>
      <c r="NX5" s="7" t="n">
        <v>-0.538889492482976</v>
      </c>
      <c r="NY5" s="7" t="n">
        <v>0.197910043517057</v>
      </c>
      <c r="NZ5" s="7" t="n">
        <v>0.215887044785076</v>
      </c>
      <c r="OA5" s="7" t="n">
        <v>-1.84328532956128</v>
      </c>
      <c r="OB5" s="7" t="n">
        <v>-0.232231920343706</v>
      </c>
      <c r="OC5" s="7" t="n">
        <v>-1.15863328505013</v>
      </c>
      <c r="OD5" s="7" t="n">
        <v>-0.452844564933161</v>
      </c>
      <c r="OE5" s="7" t="n">
        <v>0.314235399311839</v>
      </c>
      <c r="OF5" s="7" t="n">
        <v>-1.13896970551963</v>
      </c>
      <c r="OG5" s="7" t="n">
        <v>-1.02347168674543</v>
      </c>
      <c r="OH5" s="7" t="n">
        <v>-0.5229472496969561</v>
      </c>
      <c r="OI5" s="7" t="n">
        <v>0.415478092448256</v>
      </c>
      <c r="OJ5" s="7" t="n">
        <v>0.0592776631623027</v>
      </c>
      <c r="OK5" s="7" t="n">
        <v>-0.86098133048459</v>
      </c>
      <c r="OL5" s="7" t="n">
        <v>-0.970732915435068</v>
      </c>
      <c r="OM5" s="7" t="n">
        <v>-1.08727175169033</v>
      </c>
      <c r="ON5" s="7" t="n">
        <v>-1.63328562939616</v>
      </c>
      <c r="OO5" s="7" t="n">
        <v>0.137909587053258</v>
      </c>
      <c r="OP5" s="7" t="n">
        <v>-1.0798323712149</v>
      </c>
      <c r="OQ5" s="7" t="n">
        <v>0.0377307299909533</v>
      </c>
      <c r="OR5" s="7" t="n">
        <v>-0.525718703594578</v>
      </c>
      <c r="OS5" s="7" t="n">
        <v>0.209071701109055</v>
      </c>
      <c r="OT5" s="7" t="n">
        <v>-0.946632543746075</v>
      </c>
      <c r="OU5" s="7" t="n">
        <v>-0.311025413767577</v>
      </c>
      <c r="OV5" s="7" t="n">
        <v>-0.194414080222273</v>
      </c>
      <c r="OW5" s="7" t="n">
        <v>0.07277132282538359</v>
      </c>
      <c r="OX5" s="7" t="n">
        <v>-1.3427394862054</v>
      </c>
      <c r="OY5" s="7" t="n">
        <v>1.15780268179505</v>
      </c>
      <c r="OZ5" s="7" t="n">
        <v>0.322389839044037</v>
      </c>
      <c r="PA5" s="7" t="n">
        <v>-0.198784099016687</v>
      </c>
      <c r="PB5" s="7" t="n">
        <v>1.30959638548161</v>
      </c>
      <c r="PC5" s="7" t="n">
        <v>-0.787193169845981</v>
      </c>
      <c r="PD5" s="7" t="n">
        <v>-0.954565342794489</v>
      </c>
      <c r="PE5" s="7" t="n">
        <v>-0.7865093149515699</v>
      </c>
      <c r="PF5" s="7" t="n">
        <v>1.65662994771684</v>
      </c>
      <c r="PG5" s="7" t="n">
        <v>0.102137742187742</v>
      </c>
      <c r="PH5" s="7" t="n">
        <v>1.64693980370754</v>
      </c>
      <c r="PI5" s="7" t="n">
        <v>-0.398323238629636</v>
      </c>
      <c r="PJ5" s="7" t="n">
        <v>0.550897067941827</v>
      </c>
      <c r="PK5" s="7" t="n">
        <v>-0.228078968466766</v>
      </c>
      <c r="PL5" s="7" t="n">
        <v>-0.210403665373823</v>
      </c>
      <c r="PM5" s="7" t="n">
        <v>0.9038093188738791</v>
      </c>
      <c r="PN5" s="7" t="n">
        <v>-1.07932687921081</v>
      </c>
      <c r="PO5" s="7" t="n">
        <v>-0.372168772194461</v>
      </c>
      <c r="PP5" s="7" t="n">
        <v>0.220192718457017</v>
      </c>
      <c r="PQ5" s="7" t="n">
        <v>-0.226312218396707</v>
      </c>
      <c r="PR5" s="7" t="n">
        <v>0.051842601178781</v>
      </c>
      <c r="PS5" s="7" t="n">
        <v>-0.246035389498976</v>
      </c>
      <c r="PT5" s="7" t="n">
        <v>-1.41343682473372</v>
      </c>
      <c r="PU5" s="7" t="n">
        <v>-0.2753784484859</v>
      </c>
      <c r="PV5" s="7" t="n">
        <v>-0.214814885278363</v>
      </c>
      <c r="PW5" s="7" t="n">
        <v>0.104691278600354</v>
      </c>
      <c r="PX5" s="7" t="n">
        <v>1.33192013274029</v>
      </c>
      <c r="PY5" s="7" t="n">
        <v>0.73717651529591</v>
      </c>
      <c r="PZ5" s="7" t="n">
        <v>0.112149400740142</v>
      </c>
      <c r="QA5" s="7" t="n">
        <v>3.54713794652404</v>
      </c>
      <c r="QB5" s="7" t="n">
        <v>0.0746428720961792</v>
      </c>
      <c r="QC5" s="7" t="n">
        <v>1.08641124608086</v>
      </c>
      <c r="QD5" s="7" t="n">
        <v>0.341224495291632</v>
      </c>
      <c r="QE5" s="7" t="n">
        <v>0.90846513569037</v>
      </c>
      <c r="QF5" s="7" t="n">
        <v>-0.662384141822204</v>
      </c>
      <c r="QG5" s="7" t="n">
        <v>0.06330768583942969</v>
      </c>
      <c r="QH5" s="7" t="n">
        <v>-0.34426824760999</v>
      </c>
      <c r="QI5" s="7" t="n">
        <v>0.823880698839321</v>
      </c>
      <c r="QJ5" s="7" t="n">
        <v>-0.183329291523507</v>
      </c>
      <c r="QK5" s="7" t="n">
        <v>-1.83650624397165</v>
      </c>
      <c r="QL5" s="7" t="n">
        <v>0.974394187217916</v>
      </c>
      <c r="QM5" s="7" t="n">
        <v>-0.0235468450494376</v>
      </c>
      <c r="QN5" s="7" t="n">
        <v>0.161309886586005</v>
      </c>
      <c r="QO5" s="7" t="n">
        <v>1.54846775762585</v>
      </c>
      <c r="QP5" s="7" t="n">
        <v>2.24475849367419</v>
      </c>
      <c r="QQ5" s="7" t="n">
        <v>2.38437100596874</v>
      </c>
      <c r="QR5" s="7" t="n">
        <v>0.160534432192419</v>
      </c>
      <c r="QS5" s="7" t="n">
        <v>-1.03841850963118</v>
      </c>
      <c r="QT5" s="7" t="n">
        <v>-0.450271515566984</v>
      </c>
      <c r="QU5" s="7" t="n">
        <v>0.17406464137517</v>
      </c>
      <c r="QV5" s="7" t="n">
        <v>-2.06020761284018</v>
      </c>
      <c r="QW5" s="7" t="n">
        <v>-0.145701148655326</v>
      </c>
      <c r="QX5" s="7" t="n">
        <v>0.529201923595331</v>
      </c>
      <c r="QY5" s="7" t="n">
        <v>0.443512933712526</v>
      </c>
      <c r="QZ5" s="7" t="n">
        <v>-1.22647783982562</v>
      </c>
      <c r="RA5" s="7" t="n">
        <v>-1.75435570438967</v>
      </c>
      <c r="RB5" s="7" t="n">
        <v>1.80239983579141</v>
      </c>
      <c r="RC5" s="7" t="n">
        <v>0.215080203742213</v>
      </c>
      <c r="RD5" s="7" t="n">
        <v>2.39389922268818</v>
      </c>
      <c r="RE5" s="7" t="n">
        <v>2.22113750627329</v>
      </c>
      <c r="RF5" s="7" t="n">
        <v>1.721395474158</v>
      </c>
      <c r="RG5" s="7" t="n">
        <v>-0.780561430856376</v>
      </c>
      <c r="RH5" s="7" t="n">
        <v>0.112655728572362</v>
      </c>
      <c r="RI5" s="7" t="n">
        <v>-0.540932941094835</v>
      </c>
      <c r="RJ5" s="7" t="n">
        <v>0.485507158133232</v>
      </c>
      <c r="RK5" s="7" t="n">
        <v>1.52997757870068</v>
      </c>
      <c r="RL5" s="7" t="n">
        <v>2.00143915855388</v>
      </c>
      <c r="RM5" s="7" t="n">
        <v>-1.25497019217634</v>
      </c>
      <c r="RN5" s="7" t="n">
        <v>1.63835503463754</v>
      </c>
      <c r="RO5" s="7" t="n">
        <v>1.90778717748025</v>
      </c>
      <c r="RP5" s="7" t="n">
        <v>0.40070242044395</v>
      </c>
      <c r="RQ5" s="7" t="n">
        <v>-0.386338840808997</v>
      </c>
      <c r="RR5" s="7" t="n">
        <v>0.208554570063577</v>
      </c>
      <c r="RS5" s="7" t="n">
        <v>1.38761693746266</v>
      </c>
      <c r="RT5" s="7" t="n">
        <v>-0.6075736626831491</v>
      </c>
      <c r="RU5" s="7" t="n">
        <v>-1.36360919578421</v>
      </c>
      <c r="RV5" s="7" t="n">
        <v>-1.81918118810342</v>
      </c>
      <c r="RW5" s="7" t="n">
        <v>-0.525138591759818</v>
      </c>
      <c r="RX5" s="7" t="n">
        <v>-0.478958583665273</v>
      </c>
      <c r="RY5" s="7" t="n">
        <v>-0.529129038485824</v>
      </c>
      <c r="RZ5" s="7" t="n">
        <v>0.0189049915717762</v>
      </c>
      <c r="SA5" s="7" t="n">
        <v>-0.761358422685906</v>
      </c>
      <c r="SB5" s="7" t="n">
        <v>-0.7534947181216221</v>
      </c>
      <c r="SC5" s="7" t="n">
        <v>0.22019859394183</v>
      </c>
      <c r="SD5" s="7" t="n">
        <v>-2.09056082953787</v>
      </c>
      <c r="SE5" s="7" t="n">
        <v>1.34239847853335</v>
      </c>
      <c r="SF5" s="7" t="n">
        <v>-0.308739487827017</v>
      </c>
      <c r="SG5" s="7" t="n">
        <v>-0.0644283997037456</v>
      </c>
      <c r="SH5" s="7" t="n">
        <v>2.22436095206871</v>
      </c>
      <c r="SI5" s="7" t="n">
        <v>-0.440785370115218</v>
      </c>
      <c r="SJ5" s="7" t="n">
        <v>0.468987425680047</v>
      </c>
      <c r="SK5" s="7" t="n">
        <v>-0.952156459921552</v>
      </c>
      <c r="SL5" s="7" t="n">
        <v>0.663777026634627</v>
      </c>
      <c r="SM5" s="7" t="n">
        <v>-0.98789264492488</v>
      </c>
      <c r="SN5" s="7" t="n">
        <v>0.145985047993728</v>
      </c>
      <c r="SO5" s="7" t="n">
        <v>0.208283173033718</v>
      </c>
      <c r="SP5" s="7" t="n">
        <v>-2.36361146201033</v>
      </c>
      <c r="SQ5" s="7" t="n">
        <v>-1.14267840408387</v>
      </c>
      <c r="SR5" s="7" t="n">
        <v>-0.54051115186132</v>
      </c>
      <c r="SS5" s="7" t="n">
        <v>0.952819795853792</v>
      </c>
      <c r="ST5" s="7" t="n">
        <v>1.19383498338315</v>
      </c>
      <c r="SU5" s="7" t="n">
        <v>-0.469787044407928</v>
      </c>
      <c r="SV5" s="7" t="n">
        <v>-0.575292737653865</v>
      </c>
      <c r="SW5" s="7" t="n">
        <v>-0.9882669486349011</v>
      </c>
      <c r="SX5" s="7" t="n">
        <v>0.794889991691337</v>
      </c>
      <c r="SY5" s="7" t="n">
        <v>0.6313966673007519</v>
      </c>
      <c r="SZ5" s="7" t="n">
        <v>-0.915325183354599</v>
      </c>
      <c r="TA5" s="7" t="n">
        <v>-0.434189244317464</v>
      </c>
      <c r="TB5" s="7" t="n">
        <v>0.257242544078539</v>
      </c>
      <c r="TC5" s="7" t="n">
        <v>-0.589480122866716</v>
      </c>
      <c r="TD5" s="7" t="n">
        <v>-0.0283508145375883</v>
      </c>
      <c r="TE5" s="7" t="n">
        <v>-0.823993995469289</v>
      </c>
      <c r="TF5" s="7" t="n">
        <v>0.218748883046272</v>
      </c>
      <c r="TG5" s="7" t="n">
        <v>-0.338599027466484</v>
      </c>
      <c r="TH5" s="7" t="n">
        <v>0.280995783733793</v>
      </c>
      <c r="TI5" s="7" t="n">
        <v>0.453021487751265</v>
      </c>
      <c r="TJ5" s="7" t="n">
        <v>0.596487032964514</v>
      </c>
      <c r="TK5" s="7" t="n">
        <v>-2.98600631979593</v>
      </c>
      <c r="TL5" s="7" t="n">
        <v>-0.569759027214932</v>
      </c>
      <c r="TM5" s="7" t="n">
        <v>-1.43944829751455</v>
      </c>
      <c r="TN5" s="7" t="n">
        <v>-0.497989373144661</v>
      </c>
      <c r="TO5" s="7" t="n">
        <v>1.45215879547088</v>
      </c>
      <c r="TP5" s="7" t="n">
        <v>0.755163427575792</v>
      </c>
      <c r="TQ5" s="7" t="n">
        <v>-0.0631268625875876</v>
      </c>
      <c r="TR5" s="7" t="n">
        <v>-0.907631256343663</v>
      </c>
      <c r="TS5" s="7" t="n">
        <v>0.519655978348437</v>
      </c>
      <c r="TT5" s="7" t="n">
        <v>-1.44261820013001</v>
      </c>
      <c r="TU5" s="7" t="n">
        <v>-0.235975799617699</v>
      </c>
      <c r="TV5" s="7" t="n">
        <v>1.95172711364334</v>
      </c>
      <c r="TW5" s="7" t="n">
        <v>-1.45316133492553</v>
      </c>
      <c r="TX5" s="7" t="n">
        <v>0.461221527302123</v>
      </c>
      <c r="TY5" s="7" t="n">
        <v>0.13222687120172</v>
      </c>
      <c r="TZ5" s="7" t="n">
        <v>0.0993736043370558</v>
      </c>
      <c r="UA5" s="7" t="n">
        <v>1.25873388654285</v>
      </c>
      <c r="UB5" s="7" t="n">
        <v>-0.974752671676183</v>
      </c>
      <c r="UC5" s="7" t="n">
        <v>-0.150157020376919</v>
      </c>
      <c r="UD5" s="7" t="n">
        <v>-0.566621439341475</v>
      </c>
      <c r="UE5" s="7" t="n">
        <v>0.392716597915375</v>
      </c>
      <c r="UF5" s="7" t="n">
        <v>0.738603786814951</v>
      </c>
      <c r="UG5" s="7" t="n">
        <v>-1.08921015058432</v>
      </c>
      <c r="UH5" s="7" t="n">
        <v>-0.820022414004664</v>
      </c>
      <c r="UI5" s="7" t="n">
        <v>0.752890439853806</v>
      </c>
      <c r="UJ5" s="7" t="n">
        <v>0.761751306418585</v>
      </c>
      <c r="UK5" s="7" t="n">
        <v>0.923421004767391</v>
      </c>
      <c r="UL5" s="7" t="n">
        <v>1.22798562490403</v>
      </c>
      <c r="UM5" s="7" t="n">
        <v>2.32975015762395</v>
      </c>
      <c r="UN5" s="7" t="n">
        <v>-2.31498492946122</v>
      </c>
      <c r="UO5" s="7" t="n">
        <v>-0.488969886738063</v>
      </c>
      <c r="UP5" s="7" t="n">
        <v>0.959909048041292</v>
      </c>
      <c r="UQ5" s="7" t="n">
        <v>0.918283896699247</v>
      </c>
      <c r="UR5" s="7" t="n">
        <v>0.394589100710819</v>
      </c>
      <c r="US5" s="7" t="n">
        <v>0.786494136016861</v>
      </c>
      <c r="UT5" s="7" t="n">
        <v>1.16581317945391</v>
      </c>
      <c r="UU5" s="7" t="n">
        <v>-0.441620584445553</v>
      </c>
      <c r="UV5" s="7" t="n">
        <v>-1.60337704430522</v>
      </c>
      <c r="UW5" s="7" t="n">
        <v>-1.13665065064081</v>
      </c>
      <c r="UX5" s="7" t="n">
        <v>0.124983396027592</v>
      </c>
      <c r="UY5" s="7" t="n">
        <v>-0.0924230993216332</v>
      </c>
      <c r="UZ5" s="7" t="n">
        <v>-0.395137242499997</v>
      </c>
      <c r="VA5" s="7" t="n">
        <v>-0.298580477586797</v>
      </c>
      <c r="VB5" s="7" t="n">
        <v>0.472846440797017</v>
      </c>
      <c r="VC5" s="7" t="n">
        <v>-0.8678587567331431</v>
      </c>
      <c r="VD5" s="7" t="n">
        <v>-0.779579188755219</v>
      </c>
      <c r="VE5" s="7" t="n">
        <v>0.689840049128801</v>
      </c>
      <c r="VF5" s="7" t="n">
        <v>0.518150076679063</v>
      </c>
      <c r="VG5" s="7" t="n">
        <v>0.596496934426165</v>
      </c>
      <c r="VH5" s="7" t="n">
        <v>0.978650291352883</v>
      </c>
      <c r="VI5" s="7" t="n">
        <v>0.970949291030152</v>
      </c>
      <c r="VJ5" s="7" t="n">
        <v>-0.462009625595737</v>
      </c>
      <c r="VK5" s="7" t="n">
        <v>-0.171966295783405</v>
      </c>
      <c r="VL5" s="7" t="n">
        <v>0.0942951550113978</v>
      </c>
      <c r="VM5" s="7" t="n">
        <v>1.90503886128051</v>
      </c>
      <c r="VN5" s="7" t="n">
        <v>-0.710410312501396</v>
      </c>
      <c r="VO5" s="7" t="n">
        <v>1.95848935952586</v>
      </c>
      <c r="VP5" s="7" t="n">
        <v>-0.0820697145440475</v>
      </c>
      <c r="VQ5" s="7" t="n">
        <v>-0.194591079922256</v>
      </c>
      <c r="VR5" s="7" t="n">
        <v>0.943607317355434</v>
      </c>
      <c r="VS5" s="7" t="n">
        <v>-0.969737985397686</v>
      </c>
      <c r="VT5" s="7" t="n">
        <v>-0.622875030853606</v>
      </c>
      <c r="VU5" s="7" t="n">
        <v>0.128823086887339</v>
      </c>
      <c r="VV5" s="7" t="n">
        <v>1.01354358276818</v>
      </c>
      <c r="VW5" s="7" t="n">
        <v>0.104161718658396</v>
      </c>
      <c r="VX5" s="7" t="n">
        <v>1.30739200418389</v>
      </c>
      <c r="VY5" s="7" t="n">
        <v>-0.314326761275699</v>
      </c>
      <c r="VZ5" s="7" t="n">
        <v>0.196676445608847</v>
      </c>
      <c r="WA5" s="7" t="n">
        <v>1.17760121740593</v>
      </c>
      <c r="WB5" s="7" t="n">
        <v>-0.252669070542129</v>
      </c>
      <c r="WC5" s="7" t="n">
        <v>-0.830672417744699</v>
      </c>
      <c r="WD5" s="7" t="n">
        <v>-0.620383094420195</v>
      </c>
      <c r="WE5" s="7" t="n">
        <v>1.28712393681635</v>
      </c>
      <c r="WF5" s="7" t="n">
        <v>-0.27123719598282</v>
      </c>
      <c r="WG5" s="7" t="n">
        <v>-0.201557880394206</v>
      </c>
      <c r="WH5" s="7" t="n">
        <v>-0.110015196983096</v>
      </c>
      <c r="WI5" s="7" t="n">
        <v>1.7082004838176</v>
      </c>
      <c r="WJ5" s="7" t="n">
        <v>-0.969335217176086</v>
      </c>
      <c r="WK5" s="7" t="n">
        <v>1.81986509173117</v>
      </c>
      <c r="WL5" s="7" t="n">
        <v>-0.7619406375333601</v>
      </c>
      <c r="WM5" s="7" t="n">
        <v>-1.57524950280531</v>
      </c>
      <c r="WN5" s="7" t="n">
        <v>-0.828350622626019</v>
      </c>
      <c r="WO5" s="7" t="n">
        <v>0.492283394954503</v>
      </c>
      <c r="WP5" s="7" t="n">
        <v>-0.503824749450681</v>
      </c>
      <c r="WQ5" s="7" t="n">
        <v>-0.307931446653979</v>
      </c>
      <c r="WR5" s="7" t="n">
        <v>1.8855515913959</v>
      </c>
      <c r="WS5" s="7" t="n">
        <v>-0.402112089431344</v>
      </c>
      <c r="WT5" s="7" t="n">
        <v>-0.315465135824201</v>
      </c>
      <c r="WU5" s="7" t="n">
        <v>-0.457883215182525</v>
      </c>
      <c r="WV5" s="7" t="n">
        <v>-1.41257778770457</v>
      </c>
      <c r="WW5" s="7" t="n">
        <v>-0.127293690949462</v>
      </c>
      <c r="WX5" s="7" t="n">
        <v>0.733246918363636</v>
      </c>
      <c r="WY5" s="7" t="n">
        <v>0.189608224443401</v>
      </c>
      <c r="WZ5" s="7" t="n">
        <v>1.30677421937867</v>
      </c>
      <c r="XA5" s="7" t="n">
        <v>0.139638602733995</v>
      </c>
      <c r="XB5" s="7" t="n">
        <v>0.168881043699631</v>
      </c>
      <c r="XC5" s="7" t="n">
        <v>0.0236337313271118</v>
      </c>
      <c r="XD5" s="7" t="n">
        <v>1.81283577637923</v>
      </c>
      <c r="XE5" s="7" t="n">
        <v>1.90838622451323</v>
      </c>
      <c r="XF5" s="7" t="n">
        <v>0.209767813068789</v>
      </c>
      <c r="XG5" s="7" t="n">
        <v>-0.589022677610552</v>
      </c>
      <c r="XH5" s="7" t="n">
        <v>-0.072909882613185</v>
      </c>
      <c r="XI5" s="7" t="n">
        <v>0.759618154444659</v>
      </c>
      <c r="XJ5" s="7" t="n">
        <v>-0.262392910446828</v>
      </c>
      <c r="XK5" s="7" t="n">
        <v>1.41747603249446</v>
      </c>
      <c r="XL5" s="7" t="n">
        <v>0.394074745061918</v>
      </c>
      <c r="XM5" s="7" t="n">
        <v>-1.01953950859258</v>
      </c>
      <c r="XN5" s="7" t="n">
        <v>0.850579256102478</v>
      </c>
      <c r="XO5" s="7" t="n">
        <v>-0.425027505291033</v>
      </c>
      <c r="XP5" s="7" t="n">
        <v>-1.28697507906485</v>
      </c>
      <c r="XQ5" s="7" t="n">
        <v>3.26821467494965</v>
      </c>
      <c r="XR5" s="7" t="n">
        <v>-0.993973087572424</v>
      </c>
      <c r="XS5" s="7" t="n">
        <v>0.0475373595410547</v>
      </c>
      <c r="XT5" s="7" t="n">
        <v>-0.676992237839208</v>
      </c>
      <c r="XU5" s="7" t="n">
        <v>0.631319671031084</v>
      </c>
      <c r="XV5" s="7" t="n">
        <v>0.7699396283827</v>
      </c>
      <c r="XW5" s="7" t="n">
        <v>-0.129503128577571</v>
      </c>
      <c r="XX5" s="7" t="n">
        <v>0.0974847356949438</v>
      </c>
      <c r="XY5" s="7" t="n">
        <v>0.21285992491408</v>
      </c>
      <c r="XZ5" s="7" t="n">
        <v>-0.687327441493537</v>
      </c>
      <c r="YA5" s="7" t="n">
        <v>-1.0014069400414</v>
      </c>
      <c r="YB5" s="7" t="n">
        <v>0.401170589419687</v>
      </c>
      <c r="YC5" s="7" t="n">
        <v>0.866800920960865</v>
      </c>
      <c r="YD5" s="7" t="n">
        <v>-0.264766383929381</v>
      </c>
      <c r="YE5" s="7" t="n">
        <v>-1.06786815833151</v>
      </c>
      <c r="YF5" s="7" t="n">
        <v>0.101171805961459</v>
      </c>
      <c r="YG5" s="7" t="n">
        <v>-1.40391032758407</v>
      </c>
      <c r="YH5" s="7" t="n">
        <v>1.45969518799849</v>
      </c>
      <c r="YI5" s="7" t="n">
        <v>0.473139254291785</v>
      </c>
      <c r="YJ5" s="7" t="n">
        <v>1.75479425685685</v>
      </c>
      <c r="YK5" s="7" t="n">
        <v>-2.37838996139897</v>
      </c>
      <c r="YL5" s="7" t="n">
        <v>0.756506588238088</v>
      </c>
      <c r="YM5" s="7" t="n">
        <v>-0.366634026081871</v>
      </c>
      <c r="YN5" s="7" t="n">
        <v>0.9093930499884459</v>
      </c>
      <c r="YO5" s="7" t="n">
        <v>1.47216854251263</v>
      </c>
      <c r="YP5" s="7" t="n">
        <v>-1.06596227777969</v>
      </c>
      <c r="YQ5" s="7" t="n">
        <v>0.426992840682723</v>
      </c>
      <c r="YR5" s="7" t="n">
        <v>0.0565678154525692</v>
      </c>
      <c r="YS5" s="7" t="n">
        <v>-1.25211999822048</v>
      </c>
      <c r="YT5" s="7" t="n">
        <v>0.763463558373474</v>
      </c>
      <c r="YU5" s="7" t="n">
        <v>-0.237797827813172</v>
      </c>
      <c r="YV5" s="7" t="n">
        <v>-0.254182420944</v>
      </c>
      <c r="YW5" s="7" t="n">
        <v>0.098039666747681</v>
      </c>
      <c r="YX5" s="7" t="n">
        <v>0.601866859526449</v>
      </c>
      <c r="YY5" s="7" t="n">
        <v>-0.201701100252324</v>
      </c>
      <c r="YZ5" s="7" t="n">
        <v>0.208933193281071</v>
      </c>
      <c r="ZA5" s="7" t="n">
        <v>-1.94019755667667</v>
      </c>
      <c r="ZB5" s="7" t="n">
        <v>1.1592525304252</v>
      </c>
      <c r="ZC5" s="7" t="n">
        <v>0.6013890025668031</v>
      </c>
      <c r="ZD5" s="7" t="n">
        <v>1.79180079778245</v>
      </c>
      <c r="ZE5" s="7" t="n">
        <v>0.298977364792174</v>
      </c>
      <c r="ZF5" s="7" t="n">
        <v>-0.154789531555984</v>
      </c>
      <c r="ZG5" s="7" t="n">
        <v>-0.842212659873447</v>
      </c>
      <c r="ZH5" s="7" t="n">
        <v>-0.12152429655959</v>
      </c>
      <c r="ZI5" s="7" t="n">
        <v>0.421236763755372</v>
      </c>
      <c r="ZJ5" s="7" t="n">
        <v>0.571997209497316</v>
      </c>
      <c r="ZK5" s="7" t="n">
        <v>0.661525314720858</v>
      </c>
      <c r="ZL5" s="7" t="n">
        <v>-0.0192259899670568</v>
      </c>
      <c r="ZM5" s="7" t="n">
        <v>-0.757869768776422</v>
      </c>
      <c r="ZN5" s="7" t="n">
        <v>1.37685859247296</v>
      </c>
      <c r="ZO5" s="7" t="n">
        <v>-1.23341114690172</v>
      </c>
      <c r="ZP5" s="7" t="n">
        <v>1.70107466048465</v>
      </c>
      <c r="ZQ5" s="7" t="n">
        <v>-0.438860113540264</v>
      </c>
      <c r="ZR5" s="7" t="n">
        <v>-1.75131796888091</v>
      </c>
      <c r="ZS5" s="7" t="n">
        <v>-0.12869897438658</v>
      </c>
      <c r="ZT5" s="7" t="n">
        <v>-1.39971816501929</v>
      </c>
      <c r="ZU5" s="7" t="n">
        <v>0.481067123277354</v>
      </c>
      <c r="ZV5" s="7" t="n">
        <v>-0.2563030969635</v>
      </c>
      <c r="ZW5" s="7" t="n">
        <v>-2.34390091523612</v>
      </c>
      <c r="ZX5" s="7" t="n">
        <v>1.02206126309631</v>
      </c>
      <c r="ZY5" s="7" t="n">
        <v>1.10009455617344</v>
      </c>
      <c r="ZZ5" s="7" t="n">
        <v>0.132401673309622</v>
      </c>
      <c r="AAA5" s="7" t="n">
        <v>-0.49834899095236</v>
      </c>
      <c r="AAB5" s="7" t="n">
        <v>-0.197077491693435</v>
      </c>
      <c r="AAC5" s="7" t="n">
        <v>0.61198769686694</v>
      </c>
      <c r="AAD5" s="7" t="n">
        <v>-0.921080687224842</v>
      </c>
      <c r="AAE5" s="7" t="n">
        <v>1.3980377327303</v>
      </c>
      <c r="AAF5" s="7" t="n">
        <v>0.218189937399736</v>
      </c>
      <c r="AAG5" s="7" t="n">
        <v>1.45093248565533</v>
      </c>
      <c r="AAH5" s="7" t="n">
        <v>1.13213659551209</v>
      </c>
      <c r="AAI5" s="7" t="n">
        <v>-0.440947185630712</v>
      </c>
      <c r="AAJ5" s="7" t="n">
        <v>0.413202553119215</v>
      </c>
      <c r="AAK5" s="7" t="n">
        <v>-0.883843832397038</v>
      </c>
      <c r="AAL5" s="7" t="n">
        <v>-0.631180545428777</v>
      </c>
      <c r="AAM5" s="7" t="n">
        <v>-1.65012935374752</v>
      </c>
      <c r="AAN5" s="7" t="n">
        <v>0.84952141785844</v>
      </c>
      <c r="AAO5" s="7" t="n">
        <v>-0.702270267880977</v>
      </c>
      <c r="AAP5" s="7" t="n">
        <v>-0.0641264886262289</v>
      </c>
      <c r="AAQ5" s="7" t="n">
        <v>1.1193667907432</v>
      </c>
      <c r="AAR5" s="7" t="n">
        <v>0.503563770491125</v>
      </c>
      <c r="AAS5" s="7" t="n">
        <v>0.5410717340360059</v>
      </c>
      <c r="AAT5" s="7" t="n">
        <v>-1.16931945102467</v>
      </c>
      <c r="AAU5" s="7" t="n">
        <v>1.08348883246804</v>
      </c>
      <c r="AAV5" s="7" t="n">
        <v>0.398533237695925</v>
      </c>
      <c r="AAW5" s="7" t="n">
        <v>0.852915390511191</v>
      </c>
      <c r="AAX5" s="7" t="n">
        <v>1.28881631864539</v>
      </c>
      <c r="AAY5" s="7" t="n">
        <v>1.10440857709177</v>
      </c>
      <c r="AAZ5" s="7" t="n">
        <v>-0.659427460568096</v>
      </c>
      <c r="ABA5" s="7" t="n">
        <v>0.79365463283584</v>
      </c>
      <c r="ABB5" s="7" t="n">
        <v>0.972806344370061</v>
      </c>
      <c r="ABC5" s="7" t="n">
        <v>0.790745212147769</v>
      </c>
      <c r="ABD5" s="7" t="n">
        <v>-0.339047279830752</v>
      </c>
      <c r="ABE5" s="7" t="n">
        <v>-0.07086230590949</v>
      </c>
      <c r="ABF5" s="7" t="n">
        <v>0.749385876522916</v>
      </c>
      <c r="ABG5" s="7" t="n">
        <v>-0.962279558882752</v>
      </c>
      <c r="ABH5" s="7" t="n">
        <v>0.287113256891964</v>
      </c>
      <c r="ABI5" s="7" t="n">
        <v>0.281177630610348</v>
      </c>
      <c r="ABJ5" s="7" t="n">
        <v>0.617632891557174</v>
      </c>
      <c r="ABK5" s="7" t="n">
        <v>-0.180157237648481</v>
      </c>
      <c r="ABL5" s="7" t="n">
        <v>3.39969666954034</v>
      </c>
      <c r="ABM5" s="7" t="n">
        <v>0.13971766648653</v>
      </c>
      <c r="ABN5" s="7" t="n">
        <v>1.73777969082368</v>
      </c>
      <c r="ABO5" s="7" t="n">
        <v>1.15458136021614</v>
      </c>
      <c r="ABP5" s="7" t="n">
        <v>0.193797217786093</v>
      </c>
      <c r="ABQ5" s="7" t="n">
        <v>1.24355243214362</v>
      </c>
      <c r="ABR5" s="7" t="n">
        <v>-0.182719581360356</v>
      </c>
      <c r="ABS5" s="7" t="n">
        <v>1.64875169279862</v>
      </c>
      <c r="ABT5" s="7" t="n">
        <v>0.430764893197327</v>
      </c>
      <c r="ABU5" s="7" t="n">
        <v>0.313073317173129</v>
      </c>
      <c r="ABV5" s="7" t="n">
        <v>-0.0359287598157972</v>
      </c>
      <c r="ABW5" s="7" t="n">
        <v>1.30375978879904</v>
      </c>
      <c r="ABX5" s="7" t="n">
        <v>-0.09635866170733259</v>
      </c>
      <c r="ABY5" s="7" t="n">
        <v>0.353193700456451</v>
      </c>
      <c r="ABZ5" s="7" t="n">
        <v>0.470589405148893</v>
      </c>
      <c r="ACA5" s="7" t="n">
        <v>0.286554960433564</v>
      </c>
      <c r="ACB5" s="7" t="n">
        <v>0.595370599796353</v>
      </c>
      <c r="ACC5" s="7" t="n">
        <v>-1.26289602633737</v>
      </c>
      <c r="ACD5" s="7" t="n">
        <v>2.22692812190106</v>
      </c>
      <c r="ACE5" s="7" t="n">
        <v>0.962819559209275</v>
      </c>
      <c r="ACF5" s="7" t="n">
        <v>-0.296066314647531</v>
      </c>
      <c r="ACG5" s="7" t="n">
        <v>-1.0602458765437</v>
      </c>
      <c r="ACH5" s="7" t="n">
        <v>0.480945212753054</v>
      </c>
      <c r="ACI5" s="7" t="n">
        <v>1.15959735754851</v>
      </c>
      <c r="ACJ5" s="7" t="n">
        <v>1.23263065223763</v>
      </c>
      <c r="ACK5" s="7" t="n">
        <v>2.28690828244506</v>
      </c>
      <c r="ACL5" s="7" t="n">
        <v>0.936017645003115</v>
      </c>
      <c r="ACM5" s="7" t="n">
        <v>0.239736181843731</v>
      </c>
      <c r="ACN5" s="7" t="n">
        <v>-0.985148272275879</v>
      </c>
      <c r="ACO5" s="7" t="n">
        <v>-1.74940725502787</v>
      </c>
      <c r="ACP5" s="7" t="n">
        <v>-0.347267397869921</v>
      </c>
      <c r="ACQ5" s="7" t="n">
        <v>1.03150821903279</v>
      </c>
      <c r="ACR5" s="7" t="n">
        <v>0.259842452465377</v>
      </c>
      <c r="ACS5" s="7" t="n">
        <v>-1.20561094057664</v>
      </c>
      <c r="ACT5" s="7" t="n">
        <v>-1.86406724038121</v>
      </c>
      <c r="ACU5" s="7" t="n">
        <v>1.52733407684029</v>
      </c>
      <c r="ACV5" s="7" t="n">
        <v>-3.28870635534782</v>
      </c>
      <c r="ACW5" s="7" t="n">
        <v>-0.169890201711411</v>
      </c>
      <c r="ACX5" s="7" t="n">
        <v>-0.221554784665824</v>
      </c>
      <c r="ACY5" s="7" t="n">
        <v>2.55736519382185</v>
      </c>
      <c r="ACZ5" s="7" t="n">
        <v>-1.04759203821565</v>
      </c>
      <c r="ADA5" s="7" t="n">
        <v>0.627480650224856</v>
      </c>
      <c r="ADB5" s="7" t="n">
        <v>1.36372277554522</v>
      </c>
      <c r="ADC5" s="7" t="n">
        <v>1.89994023469</v>
      </c>
      <c r="ADD5" s="7" t="n">
        <v>-0.243951556426943</v>
      </c>
      <c r="ADE5" s="7" t="n">
        <v>-0.425801871900659</v>
      </c>
      <c r="ADF5" s="7" t="n">
        <v>-1.10114588352037</v>
      </c>
      <c r="ADG5" s="7" t="n">
        <v>0.717464540922638</v>
      </c>
      <c r="ADH5" s="7" t="n">
        <v>-0.807742866837766</v>
      </c>
      <c r="ADI5" s="7" t="n">
        <v>1.03077764445619</v>
      </c>
      <c r="ADJ5" s="7" t="n">
        <v>-2.40275410257041</v>
      </c>
      <c r="ADK5" s="7" t="n">
        <v>-0.168781578261434</v>
      </c>
      <c r="ADL5" s="7" t="n">
        <v>0.0339921129863306</v>
      </c>
      <c r="ADM5" s="7" t="n">
        <v>-0.0103951180824342</v>
      </c>
      <c r="ADN5" s="7" t="n">
        <v>1.30756493118746</v>
      </c>
      <c r="ADO5" s="7" t="n">
        <v>-0.201769073613686</v>
      </c>
      <c r="ADP5" s="7" t="n">
        <v>-0.610143965156174</v>
      </c>
      <c r="ADQ5" s="7" t="n">
        <v>-0.28792614511703</v>
      </c>
      <c r="ADR5" s="7" t="n">
        <v>-0.0236793546984358</v>
      </c>
      <c r="ADS5" s="7" t="n">
        <v>0.607137673468672</v>
      </c>
      <c r="ADT5" s="7" t="n">
        <v>0.84596494506585</v>
      </c>
      <c r="ADU5" s="7" t="n">
        <v>0.059383288507247</v>
      </c>
      <c r="ADV5" s="7" t="n">
        <v>-1.83537704656726</v>
      </c>
      <c r="ADW5" s="7" t="n">
        <v>-1.47892321389661</v>
      </c>
      <c r="ADX5" s="7" t="n">
        <v>0.281562337832737</v>
      </c>
      <c r="ADY5" s="7" t="n">
        <v>1.2040476396244</v>
      </c>
      <c r="ADZ5" s="7" t="n">
        <v>1.3723914829211</v>
      </c>
      <c r="AEA5" s="7" t="n">
        <v>1.00756681318285</v>
      </c>
      <c r="AEB5" s="7" t="n">
        <v>2.51094333772077</v>
      </c>
      <c r="AEC5" s="7" t="n">
        <v>0.987724358986915</v>
      </c>
      <c r="AED5" s="7" t="n">
        <v>0.665456210646113</v>
      </c>
      <c r="AEE5" s="7" t="n">
        <v>1.29188781803389</v>
      </c>
      <c r="AEF5" s="7" t="n">
        <v>0.301595459071531</v>
      </c>
      <c r="AEG5" s="7" t="n">
        <v>-1.19013372472019</v>
      </c>
      <c r="AEH5" s="7" t="n">
        <v>0.314857238678566</v>
      </c>
      <c r="AEI5" s="7" t="n">
        <v>0.08876900603226651</v>
      </c>
      <c r="AEJ5" s="7" t="n">
        <v>0.130021675490173</v>
      </c>
      <c r="AEK5" s="7" t="n">
        <v>0.453937048110758</v>
      </c>
      <c r="AEL5" s="7" t="n">
        <v>-0.10254150827069</v>
      </c>
      <c r="AEM5" s="7" t="n">
        <v>-0.679966358640245</v>
      </c>
      <c r="AEN5" s="7" t="n">
        <v>-0.751364068467449</v>
      </c>
      <c r="AEO5" s="7" t="n">
        <v>-1.36415114403855</v>
      </c>
      <c r="AEP5" s="7" t="n">
        <v>-1.07477763597815</v>
      </c>
      <c r="AEQ5" s="7" t="n">
        <v>0.100110913592096</v>
      </c>
      <c r="AER5" s="7" t="n">
        <v>-0.556992600494856</v>
      </c>
      <c r="AES5" s="7" t="n">
        <v>0.459697585149791</v>
      </c>
      <c r="AET5" s="7" t="n">
        <v>-0.507294190338765</v>
      </c>
      <c r="AEU5" s="7" t="n">
        <v>0.564382371228712</v>
      </c>
      <c r="AEV5" s="7" t="n">
        <v>-0.294829895207025</v>
      </c>
      <c r="AEW5" s="7" t="n">
        <v>0.688565034674139</v>
      </c>
      <c r="AEX5" s="7" t="n">
        <v>1.63464074153223</v>
      </c>
      <c r="AEY5" s="7" t="n">
        <v>0.314898318383129</v>
      </c>
      <c r="AEZ5" s="7" t="n">
        <v>1.11174795423861</v>
      </c>
      <c r="AFA5" s="7" t="n">
        <v>-1.5194872270998</v>
      </c>
      <c r="AFB5" s="7" t="n">
        <v>-0.8617000166476479</v>
      </c>
      <c r="AFC5" s="7" t="n">
        <v>0.395112480254433</v>
      </c>
      <c r="AFD5" s="7" t="n">
        <v>-0.892038400145392</v>
      </c>
      <c r="AFE5" s="7" t="n">
        <v>0.81267153987439</v>
      </c>
      <c r="AFF5" s="7" t="n">
        <v>0.231497380224148</v>
      </c>
      <c r="AFG5" s="7" t="n">
        <v>0.906534985939435</v>
      </c>
      <c r="AFH5" s="7" t="n">
        <v>-0.444577771025554</v>
      </c>
      <c r="AFI5" s="7" t="n">
        <v>0.169547516585397</v>
      </c>
      <c r="AFJ5" s="7" t="n">
        <v>0.827945243053927</v>
      </c>
      <c r="AFK5" s="7" t="n">
        <v>-1.76706158864289</v>
      </c>
      <c r="AFL5" s="7" t="n">
        <v>-0.434160182225803</v>
      </c>
      <c r="AFM5" s="7" t="n">
        <v>-0.135252528971696</v>
      </c>
      <c r="AFN5" s="7" t="n">
        <v>-1.11714489226753</v>
      </c>
      <c r="AFO5" s="7" t="n">
        <v>-1.14271370861312</v>
      </c>
      <c r="AFP5" s="7" t="n">
        <v>-0.794357243022759</v>
      </c>
      <c r="AFQ5" s="7" t="n">
        <v>-1.96185736966738</v>
      </c>
      <c r="AFR5" s="7" t="n">
        <v>-0.586001386196473</v>
      </c>
      <c r="AFS5" s="7" t="n">
        <v>-2.02154034146751</v>
      </c>
      <c r="AFT5" s="7" t="n">
        <v>-0.230410036771928</v>
      </c>
      <c r="AFU5" s="7" t="n">
        <v>0.46556016497044</v>
      </c>
      <c r="AFV5" s="7" t="n">
        <v>0.277795341994832</v>
      </c>
      <c r="AFW5" s="7" t="n">
        <v>0.0696698034861797</v>
      </c>
      <c r="AFX5" s="7" t="n">
        <v>-0.7920010218781171</v>
      </c>
      <c r="AFY5" s="7" t="n">
        <v>-0.217236335626494</v>
      </c>
      <c r="AFZ5" s="7" t="n">
        <v>-0.18351829305192</v>
      </c>
      <c r="AGA5" s="7" t="n">
        <v>-0.0433998132927407</v>
      </c>
      <c r="AGB5" s="7" t="n">
        <v>-0.68400722040315</v>
      </c>
      <c r="AGC5" s="7" t="n">
        <v>0.899418264460167</v>
      </c>
      <c r="AGD5" s="7" t="n">
        <v>-0.731625903325108</v>
      </c>
      <c r="AGE5" s="7" t="n">
        <v>-0.838516006840746</v>
      </c>
      <c r="AGF5" s="7" t="n">
        <v>0.416942854659214</v>
      </c>
      <c r="AGG5" s="7" t="n">
        <v>0.325503697985249</v>
      </c>
      <c r="AGH5" s="7" t="n">
        <v>0.933919371937436</v>
      </c>
      <c r="AGI5" s="7" t="n">
        <v>-0.617576085590306</v>
      </c>
      <c r="AGJ5" s="7" t="n">
        <v>-0.622235412730613</v>
      </c>
      <c r="AGK5" s="7" t="n">
        <v>-0.669642696393291</v>
      </c>
      <c r="AGL5" s="7" t="n">
        <v>-0.367589968673569</v>
      </c>
      <c r="AGM5" s="7" t="n">
        <v>1.0918739140784</v>
      </c>
      <c r="AGN5" s="7" t="n">
        <v>1.15572058426708</v>
      </c>
      <c r="AGO5" s="7" t="n">
        <v>0.0481397813853448</v>
      </c>
      <c r="AGP5" s="7" t="n">
        <v>0.199127027351429</v>
      </c>
      <c r="AGQ5" s="7" t="n">
        <v>-0.266060200669657</v>
      </c>
      <c r="AGR5" s="7" t="n">
        <v>0.199398571561334</v>
      </c>
      <c r="AGS5" s="7" t="n">
        <v>-0.390905154369151</v>
      </c>
      <c r="AGT5" s="7" t="n">
        <v>-1.10913883087062</v>
      </c>
      <c r="AGU5" s="7" t="n">
        <v>0.177786558697789</v>
      </c>
      <c r="AGV5" s="7" t="n">
        <v>0.709751734222718</v>
      </c>
      <c r="AGW5" s="7" t="n">
        <v>0.733343464085264</v>
      </c>
      <c r="AGX5" s="7" t="n">
        <v>-0.0561913805413469</v>
      </c>
      <c r="AGY5" s="7" t="n">
        <v>-0.196890712813992</v>
      </c>
      <c r="AGZ5" s="7" t="n">
        <v>-1.72657593863075</v>
      </c>
      <c r="AHA5" s="7" t="n">
        <v>-1.63833357160611</v>
      </c>
      <c r="AHB5" s="7" t="n">
        <v>0.270992347209164</v>
      </c>
      <c r="AHC5" s="7" t="n">
        <v>0.448016552027754</v>
      </c>
      <c r="AHD5" s="7" t="n">
        <v>-0.512748008531435</v>
      </c>
      <c r="AHE5" s="7" t="n">
        <v>0.199845544961</v>
      </c>
      <c r="AHF5" s="7" t="n">
        <v>0.804999034624075</v>
      </c>
      <c r="AHG5" s="7" t="n">
        <v>2.27264033866456</v>
      </c>
      <c r="AHH5" s="7" t="n">
        <v>-0.739125881022323</v>
      </c>
      <c r="AHI5" s="7" t="n">
        <v>-0.892524229791515</v>
      </c>
      <c r="AHJ5" s="7" t="n">
        <v>0.965115108999979</v>
      </c>
      <c r="AHK5" s="7" t="n">
        <v>-0.0461215773320644</v>
      </c>
      <c r="AHL5" s="7" t="n">
        <v>-0.532324693844853</v>
      </c>
      <c r="AHM5" s="7" t="n">
        <v>-0.751672941949125</v>
      </c>
      <c r="AHN5" s="7" t="n">
        <v>-1.42543886416773</v>
      </c>
      <c r="AHO5" s="7" t="n">
        <v>-0.158917305035005</v>
      </c>
      <c r="AHP5" s="7" t="n">
        <v>1.33682305485524</v>
      </c>
      <c r="AHQ5" s="7" t="n">
        <v>-0.951309169164352</v>
      </c>
      <c r="AHR5" s="7" t="n">
        <v>-0.269024286862576</v>
      </c>
      <c r="AHS5" s="7" t="n">
        <v>0.0835120743601243</v>
      </c>
      <c r="AHT5" s="7" t="n">
        <v>0.244852902905479</v>
      </c>
      <c r="AHU5" s="7" t="n">
        <v>-1.69598259147874</v>
      </c>
      <c r="AHV5" s="7" t="n">
        <v>-1.28465565558878</v>
      </c>
      <c r="AHW5" s="7" t="n">
        <v>0.06503559742881369</v>
      </c>
      <c r="AHX5" s="7" t="n">
        <v>-0.354415009568837</v>
      </c>
      <c r="AHY5" s="7" t="n">
        <v>-0.917480099145383</v>
      </c>
      <c r="AHZ5" s="7" t="n">
        <v>-0.184458096282734</v>
      </c>
      <c r="AIA5" s="7" t="n">
        <v>-2.97820998343263</v>
      </c>
      <c r="AIB5" s="7" t="n">
        <v>-0.82858352988502</v>
      </c>
      <c r="AIC5" s="7" t="n">
        <v>-0.927055386096876</v>
      </c>
      <c r="AID5" s="7" t="n">
        <v>0.994038057854813</v>
      </c>
      <c r="AIE5" s="7" t="n">
        <v>1.1515130761231</v>
      </c>
      <c r="AIF5" s="7" t="n">
        <v>-1.09424843387573</v>
      </c>
      <c r="AIG5" s="7" t="n">
        <v>0.07229498971322131</v>
      </c>
      <c r="AIH5" s="7" t="n">
        <v>1.79706714407157</v>
      </c>
      <c r="AII5" s="7" t="n">
        <v>-1.40382133220504</v>
      </c>
      <c r="AIJ5" s="7" t="n">
        <v>-1.03304915178488</v>
      </c>
      <c r="AIK5" s="7" t="n">
        <v>-0.374174881074626</v>
      </c>
      <c r="AIL5" s="7" t="n">
        <v>-1.01920478515075</v>
      </c>
      <c r="AIM5" s="7" t="n">
        <v>1.08659950715723</v>
      </c>
      <c r="AIN5" s="7" t="n">
        <v>0.70322852589524</v>
      </c>
      <c r="AIO5" s="7" t="n">
        <v>0.63120726466377</v>
      </c>
      <c r="AIP5" s="7" t="n">
        <v>-0.835385063103676</v>
      </c>
      <c r="AIQ5" s="7" t="n">
        <v>-2.34087098765785</v>
      </c>
      <c r="AIR5" s="7" t="n">
        <v>2.51617954649049</v>
      </c>
      <c r="AIS5" s="7" t="n">
        <v>0.254435125526275</v>
      </c>
      <c r="AIT5" s="7" t="n">
        <v>0.5868155331520311</v>
      </c>
      <c r="AIU5" s="7" t="n">
        <v>-0.225834332679921</v>
      </c>
      <c r="AIV5" s="7" t="n">
        <v>-0.625923074005068</v>
      </c>
      <c r="AIW5" s="7" t="n">
        <v>2.19322293375675</v>
      </c>
      <c r="AIX5" s="7" t="n">
        <v>-0.594095584030685</v>
      </c>
      <c r="AIY5" s="7" t="n">
        <v>1.50947795084869</v>
      </c>
      <c r="AIZ5" s="7" t="n">
        <v>0.46719265970547</v>
      </c>
      <c r="AJA5" s="7" t="n">
        <v>0.77864529018895</v>
      </c>
      <c r="AJB5" s="7" t="n">
        <v>0.330273858247371</v>
      </c>
      <c r="AJC5" s="7" t="n">
        <v>1.03621141987056</v>
      </c>
      <c r="AJD5" s="7" t="n">
        <v>2.00403593966872</v>
      </c>
      <c r="AJE5" s="7" t="n">
        <v>-0.604420509332362</v>
      </c>
      <c r="AJF5" s="7" t="n">
        <v>0.699556092116135</v>
      </c>
      <c r="AJG5" s="7" t="n">
        <v>0.508466815410045</v>
      </c>
      <c r="AJH5" s="7" t="n">
        <v>0.101996768113526</v>
      </c>
      <c r="AJI5" s="7" t="n">
        <v>0.360239168805625</v>
      </c>
      <c r="AJJ5" s="7" t="n">
        <v>1.57239360029042</v>
      </c>
      <c r="AJK5" s="7" t="n">
        <v>0.2583126340267</v>
      </c>
      <c r="AJL5" s="7" t="n">
        <v>0.463989877909441</v>
      </c>
      <c r="AJM5" s="7" t="n">
        <v>1.18589234335915</v>
      </c>
      <c r="AJN5" s="7" t="n">
        <v>0.411675545087076</v>
      </c>
      <c r="AJO5" s="7" t="n">
        <v>0.161381050010174</v>
      </c>
      <c r="AJP5" s="7" t="n">
        <v>1.26343731004104</v>
      </c>
      <c r="AJQ5" s="7" t="n">
        <v>1.04245230254475</v>
      </c>
      <c r="AJR5" s="7" t="n">
        <v>-1.15277673981048</v>
      </c>
      <c r="AJS5" s="7" t="n">
        <v>0.898944407399169</v>
      </c>
      <c r="AJT5" s="7" t="n">
        <v>-0.0711210718632309</v>
      </c>
      <c r="AJU5" s="7" t="n">
        <v>0.696753091429318</v>
      </c>
      <c r="AJV5" s="7" t="n">
        <v>0.692299600501158</v>
      </c>
      <c r="AJW5" s="7" t="n">
        <v>-1.27187896318508</v>
      </c>
      <c r="AJX5" s="7" t="n">
        <v>-0.124021461823638</v>
      </c>
      <c r="AJY5" s="7" t="n">
        <v>0.203591782708499</v>
      </c>
      <c r="AJZ5" s="7" t="n">
        <v>0.58853784411671</v>
      </c>
      <c r="AKA5" s="7" t="n">
        <v>-0.54172456345841</v>
      </c>
      <c r="AKB5" s="7" t="n">
        <v>1.61868759787961</v>
      </c>
      <c r="AKC5" s="7" t="n">
        <v>0.689200924428265</v>
      </c>
      <c r="AKD5" s="7" t="n">
        <v>1.13272966085434</v>
      </c>
      <c r="AKE5" s="7" t="n">
        <v>0.190001789751728</v>
      </c>
      <c r="AKF5" s="7" t="n">
        <v>0.151056341198474</v>
      </c>
      <c r="AKG5" s="7" t="n">
        <v>1.43922264060633</v>
      </c>
      <c r="AKH5" s="7" t="n">
        <v>1.65052758411272</v>
      </c>
      <c r="AKI5" s="7" t="n">
        <v>0.880988053829948</v>
      </c>
      <c r="AKJ5" s="7" t="n">
        <v>0.858992322620811</v>
      </c>
      <c r="AKK5" s="7" t="n">
        <v>-1.30610231644658</v>
      </c>
      <c r="AKL5" s="7" t="n">
        <v>-2.86504597209942</v>
      </c>
      <c r="AKM5" s="7" t="n">
        <v>0.556880624004376</v>
      </c>
      <c r="AKN5" s="7" t="n">
        <v>0.199889874976736</v>
      </c>
      <c r="AKO5" s="7" t="n">
        <v>0.347493987107113</v>
      </c>
      <c r="AKP5" s="7" t="n">
        <v>1.0408413654417</v>
      </c>
      <c r="AKQ5" s="7" t="n">
        <v>-1.668461262959</v>
      </c>
      <c r="AKR5" s="7" t="n">
        <v>0.177878163661512</v>
      </c>
      <c r="AKS5" s="7" t="n">
        <v>0.08118831051219851</v>
      </c>
      <c r="AKT5" s="7" t="n">
        <v>0.571329892860593</v>
      </c>
      <c r="AKU5" s="7" t="n">
        <v>-0.0401957738231781</v>
      </c>
      <c r="AKV5" s="7" t="n">
        <v>0.350734271146235</v>
      </c>
      <c r="AKW5" s="7" t="n">
        <v>-1.14308870691236</v>
      </c>
      <c r="AKX5" s="7" t="n">
        <v>-0.327618387464991</v>
      </c>
      <c r="AKY5" s="7" t="n">
        <v>1.18941689828161</v>
      </c>
      <c r="AKZ5" s="7" t="n">
        <v>-0.89964279564307</v>
      </c>
      <c r="ALA5" s="7" t="n">
        <v>-1.4600225528569</v>
      </c>
      <c r="ALB5" s="7" t="n">
        <v>-1.72224866911085</v>
      </c>
      <c r="ALC5" s="7" t="n">
        <v>0.197342906569667</v>
      </c>
      <c r="ALD5" s="7" t="n">
        <v>0.713463485240312</v>
      </c>
      <c r="ALE5" s="7" t="n">
        <v>-0.12718611652391</v>
      </c>
      <c r="ALF5" s="7" t="n">
        <v>-0.17437785509469</v>
      </c>
      <c r="ALG5" s="7" t="n">
        <v>0.664884566319264</v>
      </c>
      <c r="ALH5" s="7" t="n">
        <v>-0.277750615492278</v>
      </c>
      <c r="ALI5" s="7" t="n">
        <v>1.03395926949436</v>
      </c>
      <c r="ALJ5" s="7" t="n">
        <v>-1.40271930360305</v>
      </c>
      <c r="ALK5" s="7" t="n">
        <v>1.40230867800599</v>
      </c>
      <c r="ALL5" s="7" t="n">
        <v>0.427943729384802</v>
      </c>
      <c r="ALM5" s="7" t="n">
        <v>-0.0828772779741241</v>
      </c>
      <c r="ALN5" s="7" t="n">
        <v>-1.64758355264702</v>
      </c>
      <c r="ALO5" s="7" t="n">
        <v>-0.237107473412051</v>
      </c>
      <c r="ALP5" s="7" t="n">
        <v>-0.17711694168546</v>
      </c>
      <c r="ALQ5" s="7" t="n">
        <v>-0.883945509526914</v>
      </c>
      <c r="ALR5" s="7" t="n">
        <v>-0.513276165673698</v>
      </c>
      <c r="ALS5" s="7" t="n">
        <v>0.0489534598058569</v>
      </c>
      <c r="ALT5" s="7" t="n">
        <v>-2.4569503375542</v>
      </c>
      <c r="ALU5" s="7" t="n">
        <v>1.03280420416478</v>
      </c>
      <c r="ALV5" s="7" t="n">
        <v>0.689949043192866</v>
      </c>
      <c r="ALW5" s="7" t="n">
        <v>-0.121385418872132</v>
      </c>
      <c r="ALX5" s="7" t="n">
        <v>0.0637494160487595</v>
      </c>
      <c r="ALY5" s="7" t="n">
        <v>2.10559280250944</v>
      </c>
      <c r="ALZ5" s="7" t="n">
        <v>0.967395578870867</v>
      </c>
      <c r="AMA5" s="7" t="n">
        <v>0.527496219582351</v>
      </c>
      <c r="AMB5" s="7" t="n">
        <v>0.587979682332366</v>
      </c>
      <c r="AMC5" s="7" t="n">
        <v>1.20313309280205</v>
      </c>
      <c r="AMD5" s="7" t="n">
        <v>0.277954689062265</v>
      </c>
      <c r="AME5" s="7" t="n">
        <v>-0.31198788755671</v>
      </c>
      <c r="AMF5" s="7" t="n">
        <v>-0.515272566260447</v>
      </c>
      <c r="AMG5" s="7" t="n">
        <v>-0.145730098754551</v>
      </c>
      <c r="AMH5" s="7" t="n">
        <v>-0.165815836631878</v>
      </c>
      <c r="AMI5" s="7" t="n">
        <v>0.600107422330998</v>
      </c>
      <c r="AMJ5" s="7" t="n">
        <v>-0.791019440916214</v>
      </c>
      <c r="AMK5" s="7" t="n">
        <v>0.435146729955286</v>
      </c>
      <c r="AML5" s="7" t="n">
        <v>-1.78122053091835</v>
      </c>
      <c r="AMM5" s="7" t="n">
        <v>1.8729655191724</v>
      </c>
      <c r="AMN5" s="7" t="n">
        <v>1.76519364207966</v>
      </c>
      <c r="AMO5" s="7" t="n">
        <v>-0.384965662446447</v>
      </c>
      <c r="AMP5" s="7" t="n">
        <v>-2.12194841562604</v>
      </c>
      <c r="AMQ5" s="7" t="n">
        <v>0.0947626111066483</v>
      </c>
      <c r="AMR5" s="7" t="n">
        <v>0.0117714527913168</v>
      </c>
      <c r="AMS5" s="7" t="n">
        <v>-0.334666488298613</v>
      </c>
      <c r="AMT5" s="7" t="n">
        <v>-0.023774945136729</v>
      </c>
      <c r="AMU5" s="7" t="n">
        <v>0.947302540362457</v>
      </c>
      <c r="AMV5" s="7" t="n">
        <v>0.144697504534847</v>
      </c>
      <c r="AMW5" s="7" t="n">
        <v>0.5326101168205249</v>
      </c>
      <c r="AMX5" s="7" t="n">
        <v>-0.0579113791341771</v>
      </c>
      <c r="AMY5" s="7" t="n">
        <v>0.716089743667934</v>
      </c>
      <c r="AMZ5" s="7" t="n">
        <v>1.19045757192122</v>
      </c>
      <c r="ANA5" s="7" t="n">
        <v>0.796653731422711</v>
      </c>
      <c r="ANB5" s="7" t="n">
        <v>-1.78980168152348</v>
      </c>
      <c r="ANC5" s="7" t="n">
        <v>-0.0500529864314288</v>
      </c>
      <c r="AND5" s="7" t="n">
        <v>0.0303081470247006</v>
      </c>
      <c r="ANE5" s="7" t="n">
        <v>0.0503702718502954</v>
      </c>
      <c r="ANF5" s="7" t="n">
        <v>0.699123805128816</v>
      </c>
      <c r="ANG5" s="7" t="n">
        <v>-0.422333774628964</v>
      </c>
      <c r="ANH5" s="7" t="n">
        <v>0.194996080960792</v>
      </c>
      <c r="ANI5" s="7" t="n">
        <v>-1.28751604974173</v>
      </c>
      <c r="ANJ5" s="7" t="n">
        <v>-0.721439823741105</v>
      </c>
      <c r="ANK5" s="7" t="n">
        <v>1.22070766014715</v>
      </c>
      <c r="ANL5" s="7" t="n">
        <v>-1.25151142233636</v>
      </c>
      <c r="ANM5" s="7" t="n">
        <v>-0.183540584017652</v>
      </c>
      <c r="ANN5" s="7" t="n">
        <v>1.5683610262303</v>
      </c>
      <c r="ANO5" s="7" t="n">
        <v>0.8643104966667911</v>
      </c>
      <c r="ANP5" s="7" t="n">
        <v>-1.50640703014367</v>
      </c>
      <c r="ANQ5" s="7" t="n">
        <v>-1.95518921584396</v>
      </c>
      <c r="ANR5" s="7" t="n">
        <v>-0.9375155164089209</v>
      </c>
      <c r="ANS5" s="7" t="n">
        <v>-0.675402674640488</v>
      </c>
      <c r="ANT5" s="7" t="n">
        <v>0.916634326320762</v>
      </c>
      <c r="ANU5" s="7" t="n">
        <v>-0.662510678971894</v>
      </c>
      <c r="ANV5" s="7" t="n">
        <v>-0.403943077871938</v>
      </c>
      <c r="ANW5" s="7" t="n">
        <v>-1.0323669394484</v>
      </c>
      <c r="ANX5" s="7" t="n">
        <v>0.776142476160644</v>
      </c>
      <c r="ANY5" s="7" t="n">
        <v>0.978278489711325</v>
      </c>
      <c r="ANZ5" s="7" t="n">
        <v>-0.801575915028405</v>
      </c>
      <c r="AOA5" s="7" t="n">
        <v>-1.32911289524649</v>
      </c>
      <c r="AOB5" s="7" t="n">
        <v>-0.0308823065643057</v>
      </c>
      <c r="AOC5" s="7" t="n">
        <v>-0.505345958717799</v>
      </c>
      <c r="AOD5" s="7" t="n">
        <v>1.90955080689452</v>
      </c>
      <c r="AOE5" s="7" t="n">
        <v>-2.10794821675905</v>
      </c>
      <c r="AOF5" s="7" t="n">
        <v>1.02290835011421</v>
      </c>
      <c r="AOG5" s="7" t="n">
        <v>-0.398967217449869</v>
      </c>
      <c r="AOH5" s="7" t="n">
        <v>-0.33887506219219</v>
      </c>
      <c r="AOI5" s="7" t="n">
        <v>-0.826162471049841</v>
      </c>
      <c r="AOJ5" s="7" t="n">
        <v>0.247601224043388</v>
      </c>
      <c r="AOK5" s="7" t="n">
        <v>0.8838585486151</v>
      </c>
      <c r="AOL5" s="7" t="n">
        <v>-1.80844139056982</v>
      </c>
      <c r="AOM5" s="7" t="n">
        <v>0.07261890217689269</v>
      </c>
      <c r="AON5" s="7" t="n">
        <v>-1.30939658825188</v>
      </c>
      <c r="AOO5" s="7" t="n">
        <v>0.469758507587348</v>
      </c>
      <c r="AOP5" s="7" t="n">
        <v>-1.7155545326175</v>
      </c>
      <c r="AOQ5" s="7" t="n">
        <v>-1.0601156773061</v>
      </c>
      <c r="AOR5" s="7" t="n">
        <v>-0.6593771471897329</v>
      </c>
      <c r="AOS5" s="7" t="n">
        <v>-2.03563465268018</v>
      </c>
      <c r="AOT5" s="7" t="n">
        <v>0.303645048650631</v>
      </c>
      <c r="AOU5" s="7" t="n">
        <v>-0.369818431097996</v>
      </c>
      <c r="AOV5" s="7" t="n">
        <v>-0.094551256228044</v>
      </c>
      <c r="AOW5" s="7" t="n">
        <v>0.884078218414162</v>
      </c>
      <c r="AOX5" s="7" t="n">
        <v>0.7317363259901279</v>
      </c>
      <c r="AOY5" s="7" t="n">
        <v>-1.10189435543907</v>
      </c>
      <c r="AOZ5" s="7" t="n">
        <v>-1.18806547605152</v>
      </c>
      <c r="APA5" s="7" t="n">
        <v>0.516627302237754</v>
      </c>
      <c r="APB5" s="7" t="n">
        <v>1.52663803379792</v>
      </c>
      <c r="APC5" s="7" t="n">
        <v>0.0211864665730687</v>
      </c>
      <c r="APD5" s="7" t="n">
        <v>0.44519888286323</v>
      </c>
      <c r="APE5" s="7" t="n">
        <v>0.560357092102242</v>
      </c>
      <c r="APF5" s="7" t="n">
        <v>-1.00963315848783</v>
      </c>
      <c r="APG5" s="7" t="n">
        <v>-1.13246294623728</v>
      </c>
      <c r="APH5" s="7" t="n">
        <v>0.318007041868682</v>
      </c>
      <c r="API5" s="7" t="n">
        <v>-0.009454915366802199</v>
      </c>
      <c r="APJ5" s="7" t="n">
        <v>0.268859358942515</v>
      </c>
      <c r="APK5" s="7" t="n">
        <v>-0.986920710120491</v>
      </c>
      <c r="APL5" s="7" t="n">
        <v>1.25171050685644</v>
      </c>
      <c r="APM5" s="7" t="n">
        <v>-1.30869503650425</v>
      </c>
      <c r="APN5" s="7" t="n">
        <v>-0.0346635975448225</v>
      </c>
      <c r="APO5" s="7" t="n">
        <v>0.908805437292132</v>
      </c>
      <c r="APP5" s="7" t="n">
        <v>-0.464768815778593</v>
      </c>
      <c r="APQ5" s="7" t="n">
        <v>1.27071745045867</v>
      </c>
      <c r="APR5" s="7" t="n">
        <v>-0.0219374734446234</v>
      </c>
      <c r="APS5" s="7" t="n">
        <v>1.59419264887152</v>
      </c>
      <c r="APT5" s="7" t="n">
        <v>-0.0490172946671253</v>
      </c>
      <c r="APU5" s="7" t="n">
        <v>-0.954977256859459</v>
      </c>
      <c r="APV5" s="7" t="n">
        <v>0.340711114537297</v>
      </c>
      <c r="APW5" s="7" t="n">
        <v>-0.142355692179265</v>
      </c>
      <c r="APX5" s="7" t="n">
        <v>-0.428919977542445</v>
      </c>
      <c r="APY5" s="7" t="n">
        <v>-1.26906589010531</v>
      </c>
      <c r="APZ5" s="7" t="n">
        <v>1.93551456877753</v>
      </c>
      <c r="AQA5" s="7" t="n">
        <v>0.273818981128993</v>
      </c>
      <c r="AQB5" s="7" t="n">
        <v>0.596310187578187</v>
      </c>
      <c r="AQC5" s="7" t="n">
        <v>-0.308950872927304</v>
      </c>
      <c r="AQD5" s="7" t="n">
        <v>0.380130122279108</v>
      </c>
      <c r="AQE5" s="7" t="n">
        <v>1.89089413791201</v>
      </c>
      <c r="AQF5" s="7" t="n">
        <v>0.877909420380435</v>
      </c>
      <c r="AQG5" s="7" t="n">
        <v>-0.370374913412882</v>
      </c>
      <c r="AQH5" s="7" t="n">
        <v>0.389721824202192</v>
      </c>
      <c r="AQI5" s="7" t="n">
        <v>2.03709337145576</v>
      </c>
      <c r="AQJ5" s="7" t="n">
        <v>0.412561377997372</v>
      </c>
      <c r="AQK5" s="7" t="n">
        <v>0.546024829286528</v>
      </c>
      <c r="AQL5" s="7" t="n">
        <v>0.373808168408361</v>
      </c>
      <c r="AQM5" s="7" t="n">
        <v>0.5071885468405311</v>
      </c>
      <c r="AQN5" s="7" t="n">
        <v>0.0584336181340088</v>
      </c>
      <c r="AQO5" s="7" t="n">
        <v>-1.79470070530165</v>
      </c>
      <c r="AQP5" s="7" t="n">
        <v>-0.668213749695944</v>
      </c>
      <c r="AQQ5" s="7" t="n">
        <v>1.46782089080139</v>
      </c>
      <c r="AQR5" s="7" t="n">
        <v>0.0498099600327852</v>
      </c>
      <c r="AQS5" s="7" t="n">
        <v>-0.045137973322044</v>
      </c>
      <c r="AQT5" s="7" t="n">
        <v>2.24197000700309</v>
      </c>
      <c r="AQU5" s="7" t="n">
        <v>-0.628656875335588</v>
      </c>
      <c r="AQV5" s="7" t="n">
        <v>0.526936905892515</v>
      </c>
      <c r="AQW5" s="7" t="n">
        <v>2.10281978583851</v>
      </c>
      <c r="AQX5" s="7" t="n">
        <v>-0.497722520499114</v>
      </c>
      <c r="AQY5" s="7" t="n">
        <v>-0.858563796693568</v>
      </c>
      <c r="AQZ5" s="7" t="n">
        <v>-1.8461812459884</v>
      </c>
      <c r="ARA5" s="7" t="n">
        <v>0.689557677446103</v>
      </c>
      <c r="ARB5" s="7" t="n">
        <v>0.6150343108066481</v>
      </c>
      <c r="ARC5" s="7" t="n">
        <v>0.517186998736837</v>
      </c>
      <c r="ARD5" s="7" t="n">
        <v>-1.91900408829112</v>
      </c>
      <c r="ARE5" s="7" t="n">
        <v>-0.768278469124015</v>
      </c>
      <c r="ARF5" s="7" t="n">
        <v>-0.486231358012299</v>
      </c>
      <c r="ARG5" s="7" t="n">
        <v>1.43205045805483</v>
      </c>
      <c r="ARH5" s="7" t="n">
        <v>0.550532434399437</v>
      </c>
      <c r="ARI5" s="7" t="n">
        <v>0.40508668274008</v>
      </c>
      <c r="ARJ5" s="7" t="n">
        <v>0.355824329870422</v>
      </c>
      <c r="ARK5" s="7" t="n">
        <v>-0.642885852918372</v>
      </c>
      <c r="ARL5" s="7" t="n">
        <v>-0.161046531374307</v>
      </c>
      <c r="ARM5" s="7" t="n">
        <v>0.270956272303415</v>
      </c>
      <c r="ARN5" s="7" t="n">
        <v>0.833825292269106</v>
      </c>
      <c r="ARO5" s="7" t="n">
        <v>1.3489260983096</v>
      </c>
      <c r="ARP5" s="7" t="n">
        <v>1.2294525002834</v>
      </c>
      <c r="ARQ5" s="7" t="n">
        <v>-0.447897512172232</v>
      </c>
      <c r="ARR5" s="7" t="n">
        <v>-1.12005703698363</v>
      </c>
      <c r="ARS5" s="7" t="n">
        <v>0.756855023837776</v>
      </c>
      <c r="ART5" s="7" t="n">
        <v>0.791303387868697</v>
      </c>
      <c r="ARU5" s="7" t="n">
        <v>0.0395595729812938</v>
      </c>
      <c r="ARV5" s="7" t="n">
        <v>-0.46347356722699</v>
      </c>
      <c r="ARW5" s="7" t="n">
        <v>0.16293447561013</v>
      </c>
      <c r="ARX5" s="7" t="n">
        <v>0.995186379376112</v>
      </c>
      <c r="ARY5" s="7" t="n">
        <v>0.0222264964391048</v>
      </c>
      <c r="ARZ5" s="7" t="n">
        <v>-0.607658038442686</v>
      </c>
      <c r="ASA5" s="7" t="n">
        <v>0.645552694030756</v>
      </c>
      <c r="ASB5" s="7" t="n">
        <v>-0.571431229670842</v>
      </c>
      <c r="ASC5" s="7" t="n">
        <v>0.57307076445692</v>
      </c>
      <c r="ASD5" s="7" t="n">
        <v>1.23317070323145</v>
      </c>
      <c r="ASE5" s="7" t="n">
        <v>-0.0100704852679173</v>
      </c>
      <c r="ASF5" s="7" t="n">
        <v>0.68168276509653</v>
      </c>
      <c r="ASG5" s="7" t="n">
        <v>-1.28395050439048</v>
      </c>
      <c r="ASH5" s="7" t="n">
        <v>-0.5486511525823879</v>
      </c>
      <c r="ASI5" s="7" t="n">
        <v>0.931028590575495</v>
      </c>
      <c r="ASJ5" s="7" t="n">
        <v>0.979863044518656</v>
      </c>
      <c r="ASK5" s="7" t="n">
        <v>1.53116171458721</v>
      </c>
      <c r="ASL5" s="7" t="n">
        <v>-0.0037312408276825</v>
      </c>
      <c r="ASM5" s="7" t="n">
        <v>1.47530308687251</v>
      </c>
      <c r="ASN5" s="7" t="n">
        <v>-1.88792767478737</v>
      </c>
      <c r="ASO5" s="7" t="n">
        <v>-1.94173812743768</v>
      </c>
      <c r="ASP5" s="7" t="n">
        <v>1.62197784597811</v>
      </c>
      <c r="ASQ5" s="7" t="n">
        <v>-0.0063997159552672</v>
      </c>
      <c r="ASR5" s="7" t="n">
        <v>-0.07338770884320441</v>
      </c>
      <c r="ASS5" s="7" t="n">
        <v>-0.4812813367259</v>
      </c>
      <c r="AST5" s="7" t="n">
        <v>0.0700331460670946</v>
      </c>
      <c r="ASU5" s="7" t="n">
        <v>0.262766820653221</v>
      </c>
      <c r="ASV5" s="7" t="n">
        <v>1.22273548738161</v>
      </c>
      <c r="ASW5" s="7" t="n">
        <v>-0.889025425133755</v>
      </c>
      <c r="ASX5" s="7" t="n">
        <v>0.456428867771478</v>
      </c>
      <c r="ASY5" s="7" t="n">
        <v>-0.143972067804367</v>
      </c>
      <c r="ASZ5" s="7" t="n">
        <v>-0.801065594436271</v>
      </c>
      <c r="ATA5" s="7" t="n">
        <v>0.249087118096974</v>
      </c>
      <c r="ATB5" s="7" t="n">
        <v>-1.19167131775566</v>
      </c>
      <c r="ATC5" s="7" t="n">
        <v>1.12080543683147</v>
      </c>
      <c r="ATD5" s="7" t="n">
        <v>0.0472769609412784</v>
      </c>
      <c r="ATE5" s="7" t="n">
        <v>0.866756617667143</v>
      </c>
      <c r="ATF5" s="7" t="n">
        <v>-1.2524900888659</v>
      </c>
      <c r="ATG5" s="7" t="n">
        <v>0.625390998465414</v>
      </c>
      <c r="ATH5" s="7" t="n">
        <v>0.711108898452223</v>
      </c>
      <c r="ATI5" s="7" t="n">
        <v>-0.0912994769359699</v>
      </c>
      <c r="ATJ5" s="7" t="n">
        <v>-1.40797434340902</v>
      </c>
      <c r="ATK5" s="7" t="n">
        <v>-0.87189649951651</v>
      </c>
      <c r="ATL5" s="7" t="n">
        <v>-0.123136507121919</v>
      </c>
      <c r="ATM5" s="7" t="n">
        <v>0.799363549480142</v>
      </c>
      <c r="ATN5" s="7" t="n">
        <v>0.874580176043064</v>
      </c>
      <c r="ATO5" s="7" t="n">
        <v>1.59243149578936</v>
      </c>
      <c r="ATP5" s="7" t="n">
        <v>-0.0955393095394679</v>
      </c>
      <c r="ATQ5" s="7" t="n">
        <v>1.08194017022401</v>
      </c>
      <c r="ATR5" s="7" t="n">
        <v>0.0412213515540941</v>
      </c>
      <c r="ATS5" s="7" t="n">
        <v>-0.0028399441659236</v>
      </c>
      <c r="ATT5" s="7" t="n">
        <v>-1.97366310525893</v>
      </c>
      <c r="ATU5" s="7" t="n">
        <v>-0.54828238131985</v>
      </c>
      <c r="ATV5" s="7" t="n">
        <v>-0.154167467728559</v>
      </c>
      <c r="ATW5" s="7" t="n">
        <v>-1.01921130785003</v>
      </c>
      <c r="ATX5" s="7" t="n">
        <v>-0.51128717114064</v>
      </c>
      <c r="ATY5" s="7" t="n">
        <v>0.5846192172151921</v>
      </c>
      <c r="ATZ5" s="7" t="n">
        <v>-0.152295638669851</v>
      </c>
      <c r="AUA5" s="7" t="n">
        <v>1.85994752504609</v>
      </c>
      <c r="AUB5" s="7" t="n">
        <v>-0.671346592817989</v>
      </c>
      <c r="AUC5" s="7" t="n">
        <v>0.156944033409753</v>
      </c>
      <c r="AUD5" s="7" t="n">
        <v>1.25555309354073</v>
      </c>
      <c r="AUE5" s="7" t="n">
        <v>-1.11937866407029</v>
      </c>
      <c r="AUF5" s="7" t="n">
        <v>1.8554606391056</v>
      </c>
      <c r="AUG5" s="7" t="n">
        <v>0.393222435536807</v>
      </c>
      <c r="AUH5" s="7" t="n">
        <v>0.6929747139658819</v>
      </c>
      <c r="AUI5" s="7" t="n">
        <v>1.78590725563756</v>
      </c>
      <c r="AUJ5" s="7" t="n">
        <v>0.41881896371273</v>
      </c>
      <c r="AUK5" s="7" t="n">
        <v>-0.51345846036583</v>
      </c>
      <c r="AUL5" s="7" t="n">
        <v>0.6278182822048189</v>
      </c>
      <c r="AUM5" s="7" t="n">
        <v>-1.44303717069605</v>
      </c>
      <c r="AUN5" s="7" t="n">
        <v>0.367973800988653</v>
      </c>
      <c r="AUO5" s="7" t="n">
        <v>1.14084707388607</v>
      </c>
      <c r="AUP5" s="7" t="n">
        <v>-0.598238474833534</v>
      </c>
      <c r="AUQ5" s="7" t="n">
        <v>1.15094639687046</v>
      </c>
      <c r="AUR5" s="7" t="n">
        <v>0.429483245695052</v>
      </c>
      <c r="AUS5" s="7" t="n">
        <v>-1.98228873545428</v>
      </c>
      <c r="AUT5" s="7" t="n">
        <v>-0.0140212140507218</v>
      </c>
      <c r="AUU5" s="7" t="n">
        <v>0.332700769294574</v>
      </c>
      <c r="AUV5" s="7" t="n">
        <v>-0.421926973465594</v>
      </c>
      <c r="AUW5" s="7" t="n">
        <v>0.667622123930239</v>
      </c>
      <c r="AUX5" s="7" t="n">
        <v>-1.50208503276003</v>
      </c>
      <c r="AUY5" s="7" t="n">
        <v>0.0543793417103952</v>
      </c>
      <c r="AUZ5" s="7" t="n">
        <v>1.29836002491006</v>
      </c>
      <c r="AVA5" s="7" t="n">
        <v>0.62384681016346</v>
      </c>
      <c r="AVB5" s="7" t="n">
        <v>-0.164132589495677</v>
      </c>
      <c r="AVC5" s="7" t="n">
        <v>-1.14543232740177</v>
      </c>
      <c r="AVD5" s="7" t="n">
        <v>0.126303389908132</v>
      </c>
      <c r="AVE5" s="7" t="n">
        <v>-0.0810689492868813</v>
      </c>
      <c r="AVF5" s="7" t="n">
        <v>-1.32190631168941</v>
      </c>
      <c r="AVG5" s="7" t="n">
        <v>-2.29539693719614</v>
      </c>
      <c r="AVH5" s="7" t="n">
        <v>-1.49703372762108</v>
      </c>
      <c r="AVI5" s="7" t="n">
        <v>0.898334552287257</v>
      </c>
      <c r="AVJ5" s="7" t="n">
        <v>-0.22246130543491</v>
      </c>
      <c r="AVK5" s="7" t="n">
        <v>0.365676717248831</v>
      </c>
      <c r="AVL5" s="7" t="n">
        <v>0.39035045770076</v>
      </c>
      <c r="AVM5" s="7" t="n">
        <v>-0.112863335977283</v>
      </c>
      <c r="AVN5" s="7" t="n">
        <v>-0.78892595327174</v>
      </c>
      <c r="AVO5" s="7" t="n">
        <v>1.02696637302783</v>
      </c>
      <c r="AVP5" s="7" t="n">
        <v>-1.13943738778505</v>
      </c>
      <c r="AVQ5" s="7" t="n">
        <v>-0.0283354174769012</v>
      </c>
      <c r="AVR5" s="7" t="n">
        <v>-0.218139459465847</v>
      </c>
      <c r="AVS5" s="7" t="n">
        <v>-0.327885002338809</v>
      </c>
      <c r="AVT5" s="7" t="n">
        <v>0.367844420911987</v>
      </c>
      <c r="AVU5" s="7" t="n">
        <v>1.19468214689259</v>
      </c>
      <c r="AVV5" s="7" t="n">
        <v>1.42854441901624</v>
      </c>
      <c r="AVW5" s="7" t="n">
        <v>0.590718849947078</v>
      </c>
      <c r="AVX5" s="7" t="n">
        <v>-0.0334928803990135</v>
      </c>
      <c r="AVY5" s="7" t="n">
        <v>1.13815486521202</v>
      </c>
      <c r="AVZ5" s="7" t="n">
        <v>0.58791013113824</v>
      </c>
      <c r="AWA5" s="7" t="n">
        <v>-1.53957696387801</v>
      </c>
      <c r="AWB5" s="7" t="n">
        <v>0.308131455809457</v>
      </c>
      <c r="AWC5" s="7" t="n">
        <v>0.176017281539989</v>
      </c>
      <c r="AWD5" s="7" t="n">
        <v>1.40910456780196</v>
      </c>
      <c r="AWE5" s="7" t="n">
        <v>-0.70980228714877</v>
      </c>
      <c r="AWF5" s="7" t="n">
        <v>-0.54384589646933</v>
      </c>
      <c r="AWG5" s="7" t="n">
        <v>1.41693112912612</v>
      </c>
      <c r="AWH5" s="7" t="n">
        <v>-0.09611947322372361</v>
      </c>
      <c r="AWI5" s="7" t="n">
        <v>0.266484950103211</v>
      </c>
      <c r="AWJ5" s="7" t="n">
        <v>0.224321216143949</v>
      </c>
      <c r="AWK5" s="7" t="n">
        <v>-2.07267034667825</v>
      </c>
      <c r="AWL5" s="7" t="n">
        <v>0.576094112135454</v>
      </c>
      <c r="AWM5" s="7" t="n">
        <v>1.73527187888572</v>
      </c>
      <c r="AWN5" s="7" t="n">
        <v>-0.131551272212645</v>
      </c>
      <c r="AWO5" s="7" t="n">
        <v>-0.680373092099369</v>
      </c>
      <c r="AWP5" s="7" t="n">
        <v>-0.36944042257724</v>
      </c>
      <c r="AWQ5" s="7" t="n">
        <v>0.853847351646259</v>
      </c>
      <c r="AWR5" s="7" t="n">
        <v>-1.52316064117033</v>
      </c>
      <c r="AWS5" s="7" t="n">
        <v>0.71174948561281</v>
      </c>
      <c r="AWT5" s="7" t="n">
        <v>-0.931704969035243</v>
      </c>
      <c r="AWU5" s="7" t="n">
        <v>-0.956531124998021</v>
      </c>
      <c r="AWV5" s="7" t="n">
        <v>0.790428707734624</v>
      </c>
      <c r="AWW5" s="7" t="n">
        <v>-0.136104005169265</v>
      </c>
      <c r="AWX5" s="7" t="n">
        <v>0.222720896868379</v>
      </c>
      <c r="AWY5" s="7" t="n">
        <v>-0.485835637275847</v>
      </c>
      <c r="AWZ5" s="7" t="n">
        <v>-0.362766864435012</v>
      </c>
      <c r="AXA5" s="7" t="n">
        <v>0.13431609558843</v>
      </c>
      <c r="AXB5" s="7" t="n">
        <v>-0.968751233472294</v>
      </c>
      <c r="AXC5" s="7" t="n">
        <v>0.7007230334011459</v>
      </c>
      <c r="AXD5" s="7" t="n">
        <v>-0.767185989205698</v>
      </c>
      <c r="AXE5" s="7" t="n">
        <v>1.73252309377965</v>
      </c>
      <c r="AXF5" s="7" t="n">
        <v>-0.486763515611678</v>
      </c>
      <c r="AXG5" s="7" t="n">
        <v>-1.21245298868889</v>
      </c>
      <c r="AXH5" s="7" t="n">
        <v>0.160592813443153</v>
      </c>
      <c r="AXI5" s="7" t="n">
        <v>-1.72978099500892</v>
      </c>
      <c r="AXJ5" s="7" t="n">
        <v>1.1307208047897</v>
      </c>
      <c r="AXK5" s="7" t="n">
        <v>-2.37988616106842</v>
      </c>
      <c r="AXL5" s="7" t="n">
        <v>-0.439276348892935</v>
      </c>
      <c r="AXM5" s="7" t="n">
        <v>-0.967815076253233</v>
      </c>
      <c r="AXN5" s="7" t="n">
        <v>-0.458002016599236</v>
      </c>
      <c r="AXO5" s="7" t="n">
        <v>0.386991271016014</v>
      </c>
      <c r="AXP5" s="7" t="n">
        <v>-0.597579715967427</v>
      </c>
      <c r="AXQ5" s="7" t="n">
        <v>0.9748094215030511</v>
      </c>
      <c r="AXR5" s="7" t="n">
        <v>1.2716762978451</v>
      </c>
      <c r="AXS5" s="7" t="n">
        <v>0.295240497357406</v>
      </c>
      <c r="AXT5" s="7" t="n">
        <v>1.37562512489632</v>
      </c>
      <c r="AXU5" s="7" t="n">
        <v>-0.299999540965974</v>
      </c>
      <c r="AXV5" s="7" t="n">
        <v>0.152896039924822</v>
      </c>
      <c r="AXW5" s="7" t="n">
        <v>0.150228295192961</v>
      </c>
      <c r="AXX5" s="7" t="n">
        <v>-1.24178948532602</v>
      </c>
      <c r="AXY5" s="7" t="n">
        <v>-0.768159098604982</v>
      </c>
      <c r="AXZ5" s="7" t="n">
        <v>0.163018514970676</v>
      </c>
      <c r="AYA5" s="7" t="n">
        <v>-0.5705649944508701</v>
      </c>
      <c r="AYB5" s="7" t="n">
        <v>0.4333453389904</v>
      </c>
      <c r="AYC5" s="7" t="n">
        <v>-0.25358216708347</v>
      </c>
      <c r="AYD5" s="7" t="n">
        <v>-0.24871620793242</v>
      </c>
      <c r="AYE5" s="7" t="n">
        <v>-0.900434900058512</v>
      </c>
      <c r="AYF5" s="7" t="n">
        <v>0.348055413724706</v>
      </c>
      <c r="AYG5" s="7" t="n">
        <v>-1.06627903778842</v>
      </c>
      <c r="AYH5" s="7" t="n">
        <v>0.0072537847343157</v>
      </c>
      <c r="AYI5" s="7" t="n">
        <v>0.472481215548972</v>
      </c>
      <c r="AYJ5" s="7" t="n">
        <v>0.26842689668137</v>
      </c>
      <c r="AYK5" s="7" t="n">
        <v>1.43305299393115</v>
      </c>
      <c r="AYL5" s="7" t="n">
        <v>0.13599396521466</v>
      </c>
      <c r="AYM5" s="7" t="n">
        <v>-1.07035761957501</v>
      </c>
      <c r="AYN5" s="7" t="n">
        <v>0.398822324470862</v>
      </c>
      <c r="AYO5" s="7" t="n">
        <v>-0.391858060681411</v>
      </c>
      <c r="AYP5" s="7" t="n">
        <v>0.471939008464366</v>
      </c>
      <c r="AYQ5" s="7" t="n">
        <v>0.463965576368776</v>
      </c>
      <c r="AYR5" s="7" t="n">
        <v>0.518157210121264</v>
      </c>
      <c r="AYS5" s="7" t="n">
        <v>0.407998071763998</v>
      </c>
      <c r="AYT5" s="7" t="n">
        <v>-0.858925645994054</v>
      </c>
      <c r="AYU5" s="7" t="n">
        <v>-0.831066379666386</v>
      </c>
      <c r="AYV5" s="7" t="n">
        <v>-1.68347668697583</v>
      </c>
      <c r="AYW5" s="7" t="n">
        <v>-0.200351658938891</v>
      </c>
      <c r="AYX5" s="7" t="n">
        <v>1.15725958362931</v>
      </c>
      <c r="AYY5" s="7" t="n">
        <v>0.245473849609616</v>
      </c>
      <c r="AYZ5" s="7" t="n">
        <v>-0.64633722212586</v>
      </c>
      <c r="AZA5" s="7" t="n">
        <v>0.0642348820056866</v>
      </c>
      <c r="AZB5" s="7" t="n">
        <v>-1.46890169805371</v>
      </c>
      <c r="AZC5" s="7" t="n">
        <v>-1.17746754778575</v>
      </c>
      <c r="AZD5" s="7" t="n">
        <v>0.382253740232915</v>
      </c>
      <c r="AZE5" s="7" t="n">
        <v>-0.309570205357396</v>
      </c>
      <c r="AZF5" s="7" t="n">
        <v>0.0671362968096763</v>
      </c>
      <c r="AZG5" s="7" t="n">
        <v>-0.407480823090185</v>
      </c>
      <c r="AZH5" s="7" t="n">
        <v>0.454621286157369</v>
      </c>
      <c r="AZI5" s="7" t="n">
        <v>-0.7479071852345039</v>
      </c>
      <c r="AZJ5" s="7" t="n">
        <v>-0.0357793896664516</v>
      </c>
      <c r="AZK5" s="7" t="n">
        <v>0.538783604423401</v>
      </c>
      <c r="AZL5" s="7" t="n">
        <v>0.738568371200009</v>
      </c>
      <c r="AZM5" s="7" t="n">
        <v>-1.99189184034507</v>
      </c>
      <c r="AZN5" s="7" t="n">
        <v>-1.85743363788034</v>
      </c>
      <c r="AZO5" s="7" t="n">
        <v>0.250084425368402</v>
      </c>
      <c r="AZP5" s="7" t="n">
        <v>1.07523328672392</v>
      </c>
      <c r="AZQ5" s="7" t="n">
        <v>-0.237912523381891</v>
      </c>
      <c r="AZR5" s="7" t="n">
        <v>1.03263337092047</v>
      </c>
      <c r="AZS5" s="7" t="n">
        <v>-0.328355838114369</v>
      </c>
      <c r="AZT5" s="7" t="n">
        <v>1.72470421042321</v>
      </c>
      <c r="AZU5" s="7" t="n">
        <v>-0.0436953205663932</v>
      </c>
      <c r="AZV5" s="7" t="n">
        <v>0.525203233442381</v>
      </c>
      <c r="AZW5" s="7" t="n">
        <v>0.418185503429359</v>
      </c>
      <c r="AZX5" s="7" t="n">
        <v>1.38408799208941</v>
      </c>
      <c r="AZY5" s="7" t="n">
        <v>-0.86513146122214</v>
      </c>
      <c r="AZZ5" s="7" t="n">
        <v>-0.875120935729211</v>
      </c>
      <c r="BAA5" s="7" t="n">
        <v>-0.385677723586343</v>
      </c>
      <c r="BAB5" s="7" t="n">
        <v>0.414218386744759</v>
      </c>
      <c r="BAC5" s="7" t="n">
        <v>-0.0195651602944569</v>
      </c>
      <c r="BAD5" s="7" t="n">
        <v>-1.57799726987714</v>
      </c>
      <c r="BAE5" s="7" t="n">
        <v>-0.034109939968779</v>
      </c>
      <c r="BAF5" s="7" t="n">
        <v>0.711281841737764</v>
      </c>
      <c r="BAG5" s="7" t="n">
        <v>1.95187840389952</v>
      </c>
      <c r="BAH5" s="7" t="n">
        <v>-0.248772849664992</v>
      </c>
      <c r="BAI5" s="7" t="n">
        <v>-1.60455916351849</v>
      </c>
      <c r="BAJ5" s="7" t="n">
        <v>-0.0618071421769005</v>
      </c>
      <c r="BAK5" s="7" t="n">
        <v>1.39383017152682</v>
      </c>
      <c r="BAL5" s="7" t="n">
        <v>-0.13574187959349</v>
      </c>
      <c r="BAM5" s="7" t="n">
        <v>-0.848896116381585</v>
      </c>
      <c r="BAN5" s="7" t="n">
        <v>-0.290007057042101</v>
      </c>
      <c r="BAO5" s="7" t="n">
        <v>-0.286176479508568</v>
      </c>
      <c r="BAP5" s="7" t="n">
        <v>1.333463860248</v>
      </c>
      <c r="BAQ5" s="7" t="n">
        <v>-0.0894370582863669</v>
      </c>
      <c r="BAR5" s="7" t="n">
        <v>-0.190067445346431</v>
      </c>
      <c r="BAS5" s="7" t="n">
        <v>2.20569871205733</v>
      </c>
      <c r="BAT5" s="7" t="n">
        <v>-0.0977469443419649</v>
      </c>
      <c r="BAU5" s="7" t="n">
        <v>1.77225206713675</v>
      </c>
      <c r="BAV5" s="7" t="n">
        <v>1.12387569066408</v>
      </c>
      <c r="BAW5" s="7" t="n">
        <v>-1.56105691043539</v>
      </c>
      <c r="BAX5" s="7" t="n">
        <v>-0.50117927082352</v>
      </c>
      <c r="BAY5" s="7" t="n">
        <v>-0.415121753877626</v>
      </c>
      <c r="BAZ5" s="7" t="n">
        <v>-0.345655564789787</v>
      </c>
      <c r="BBA5" s="7" t="n">
        <v>0.336433457211679</v>
      </c>
      <c r="BBB5" s="7" t="n">
        <v>-1.00381287535465</v>
      </c>
      <c r="BBC5" s="7" t="n">
        <v>0.220740860663892</v>
      </c>
      <c r="BBD5" s="7" t="n">
        <v>-0.195723832911209</v>
      </c>
      <c r="BBE5" s="7" t="n">
        <v>0.563725977901635</v>
      </c>
      <c r="BBF5" s="7" t="n">
        <v>0.204035419835886</v>
      </c>
      <c r="BBG5" s="7" t="n">
        <v>-1.69255849411771</v>
      </c>
      <c r="BBH5" s="7" t="n">
        <v>1.61616181372472</v>
      </c>
      <c r="BBI5" s="7" t="n">
        <v>0.58914488404192</v>
      </c>
      <c r="BBJ5" s="7" t="n">
        <v>-0.839743592715108</v>
      </c>
      <c r="BBK5" s="7" t="n">
        <v>0.358766753893172</v>
      </c>
      <c r="BBL5" s="7" t="n">
        <v>-0.524301290994975</v>
      </c>
      <c r="BBM5" s="7" t="n">
        <v>-0.433139378835224</v>
      </c>
      <c r="BBN5" s="7" t="n">
        <v>-1.70615302739018</v>
      </c>
      <c r="BBO5" s="7" t="n">
        <v>-0.367245555527405</v>
      </c>
      <c r="BBP5" s="7" t="n">
        <v>-0.818994599509328</v>
      </c>
      <c r="BBQ5" s="7" t="n">
        <v>-0.639562603121496</v>
      </c>
      <c r="BBR5" s="7" t="n">
        <v>0.321431227621333</v>
      </c>
      <c r="BBS5" s="7" t="n">
        <v>-0.785477296475973</v>
      </c>
      <c r="BBT5" s="7" t="n">
        <v>0.291746292623476</v>
      </c>
      <c r="BBU5" s="7" t="n">
        <v>0.53991602821881</v>
      </c>
      <c r="BBV5" s="7" t="n">
        <v>-0.210759116256382</v>
      </c>
      <c r="BBW5" s="7" t="n">
        <v>2.15893690236506</v>
      </c>
      <c r="BBX5" s="7" t="n">
        <v>1.91251675300328</v>
      </c>
      <c r="BBY5" s="7" t="n">
        <v>1.13364310328611</v>
      </c>
      <c r="BBZ5" s="7" t="n">
        <v>-0.922250699837504</v>
      </c>
      <c r="BCA5" s="7" t="n">
        <v>0.718574128583278</v>
      </c>
      <c r="BCB5" s="7" t="n">
        <v>-0.51790439197413</v>
      </c>
      <c r="BCC5" s="7" t="n">
        <v>-1.70533514375011</v>
      </c>
      <c r="BCD5" s="7" t="n">
        <v>0.08439637950199499</v>
      </c>
      <c r="BCE5" s="7" t="n">
        <v>0.13251983454192</v>
      </c>
      <c r="BCF5" s="7" t="n">
        <v>-0.792070520223946</v>
      </c>
      <c r="BCG5" s="7" t="n">
        <v>0.942871485355289</v>
      </c>
      <c r="BCH5" s="7" t="n">
        <v>0.704505813934003</v>
      </c>
      <c r="BCI5" s="7" t="n">
        <v>0.71136408707419</v>
      </c>
      <c r="BCJ5" s="7" t="n">
        <v>-0.940164072333587</v>
      </c>
      <c r="BCK5" s="7" t="n">
        <v>0.0152343970437074</v>
      </c>
      <c r="BCL5" s="7" t="n">
        <v>0.148289026207129</v>
      </c>
      <c r="BCM5" s="7" t="n">
        <v>0.291758671714829</v>
      </c>
      <c r="BCN5" s="7" t="n">
        <v>1.7628563653935</v>
      </c>
      <c r="BCO5" s="7" t="n">
        <v>-0.311355781672323</v>
      </c>
      <c r="BCP5" s="7" t="n">
        <v>1.43853786096669</v>
      </c>
      <c r="BCQ5" s="7" t="n">
        <v>-1.53779811433528</v>
      </c>
      <c r="BCR5" s="7" t="n">
        <v>0.258795574859617</v>
      </c>
      <c r="BCS5" s="7" t="n">
        <v>1.30120631408104</v>
      </c>
      <c r="BCT5" s="7" t="n">
        <v>0.620545879144734</v>
      </c>
      <c r="BCU5" s="7" t="n">
        <v>-1.16474910672528</v>
      </c>
      <c r="BCV5" s="7" t="n">
        <v>-0.555327962290465</v>
      </c>
      <c r="BCW5" s="7" t="n">
        <v>-2.5509221000165</v>
      </c>
      <c r="BCX5" s="7" t="n">
        <v>1.45687931097276</v>
      </c>
      <c r="BCY5" s="7" t="n">
        <v>1.09788612175139</v>
      </c>
      <c r="BCZ5" s="7" t="n">
        <v>-2.144817259166</v>
      </c>
      <c r="BDA5" s="7" t="n">
        <v>-0.658042280471245</v>
      </c>
      <c r="BDB5" s="7" t="n">
        <v>1.41068084834488</v>
      </c>
      <c r="BDC5" s="7" t="n">
        <v>-0.672065111464018</v>
      </c>
      <c r="BDD5" s="7" t="n">
        <v>-0.487974745321995</v>
      </c>
      <c r="BDE5" s="7" t="n">
        <v>-0.812534689994204</v>
      </c>
      <c r="BDF5" s="7" t="n">
        <v>-0.658812384207473</v>
      </c>
      <c r="BDG5" s="7" t="n">
        <v>-0.226953058308914</v>
      </c>
      <c r="BDH5" s="7" t="n">
        <v>-0.685442840192501</v>
      </c>
      <c r="BDI5" s="7" t="n">
        <v>1.32186698879014</v>
      </c>
      <c r="BDJ5" s="7" t="n">
        <v>-1.00913345841469</v>
      </c>
      <c r="BDK5" s="7" t="n">
        <v>1.32246033021276</v>
      </c>
      <c r="BDL5" s="7" t="n">
        <v>0.0693954327451842</v>
      </c>
      <c r="BDM5" s="7" t="n">
        <v>0.295268065379486</v>
      </c>
      <c r="BDN5" s="7" t="n">
        <v>0.539040451953995</v>
      </c>
      <c r="BDO5" s="7" t="n">
        <v>1.76928954436842</v>
      </c>
      <c r="BDP5" s="7" t="n">
        <v>0.15556771503985</v>
      </c>
      <c r="BDQ5" s="7" t="n">
        <v>-1.34538479976633</v>
      </c>
      <c r="BDR5" s="7" t="n">
        <v>1.11009904334994</v>
      </c>
      <c r="BDS5" s="7" t="n">
        <v>0.322603758381176</v>
      </c>
      <c r="BDT5" s="7" t="n">
        <v>1.05803069757766</v>
      </c>
      <c r="BDU5" s="7" t="n">
        <v>1.76712248081231</v>
      </c>
      <c r="BDV5" s="7" t="n">
        <v>0.117698856768672</v>
      </c>
      <c r="BDW5" s="7" t="n">
        <v>-1.42918849306175</v>
      </c>
      <c r="BDX5" s="7" t="n">
        <v>-3.05715328086167</v>
      </c>
      <c r="BDY5" s="7" t="n">
        <v>-0.350864338205432</v>
      </c>
      <c r="BDZ5" s="7" t="n">
        <v>-1.28034408771972</v>
      </c>
      <c r="BEA5" s="7" t="n">
        <v>-0.442805055388951</v>
      </c>
      <c r="BEB5" s="7" t="n">
        <v>-1.11209862003</v>
      </c>
      <c r="BEC5" s="7" t="n">
        <v>0.517267860027951</v>
      </c>
      <c r="BED5" s="7" t="n">
        <v>-1.54274311469783</v>
      </c>
      <c r="BEE5" s="7" t="n">
        <v>-1.16135254935912</v>
      </c>
      <c r="BEF5" s="7" t="n">
        <v>1.1695201192627</v>
      </c>
      <c r="BEG5" s="7" t="n">
        <v>-1.11074064235389</v>
      </c>
      <c r="BEH5" s="7" t="n">
        <v>-0.743301988925365</v>
      </c>
      <c r="BEI5" s="7" t="n">
        <v>0.143910086507878</v>
      </c>
      <c r="BEJ5" s="7" t="n">
        <v>-0.737066349328295</v>
      </c>
      <c r="BEK5" s="7" t="n">
        <v>1.24009210961031</v>
      </c>
      <c r="BEL5" s="7" t="n">
        <v>-1.01131614646633</v>
      </c>
      <c r="BEM5" s="7" t="n">
        <v>1.55604893751607</v>
      </c>
      <c r="BEN5" s="7" t="n">
        <v>-1.79435140938107</v>
      </c>
      <c r="BEO5" s="7" t="n">
        <v>2.87620068479218</v>
      </c>
      <c r="BEP5" s="7" t="n">
        <v>-0.559150038320353</v>
      </c>
      <c r="BEQ5" s="7" t="n">
        <v>0.5517243637750781</v>
      </c>
      <c r="BER5" s="7" t="n">
        <v>-0.226194048898816</v>
      </c>
      <c r="BES5" s="7" t="n">
        <v>0.53301716517869</v>
      </c>
      <c r="BET5" s="7" t="n">
        <v>-2.39811603790977</v>
      </c>
      <c r="BEU5" s="7" t="n">
        <v>-0.185899332041909</v>
      </c>
      <c r="BEV5" s="7" t="n">
        <v>-0.186776012543742</v>
      </c>
      <c r="BEW5" s="7" t="n">
        <v>0.845367374297595</v>
      </c>
      <c r="BEX5" s="7" t="n">
        <v>-0.260985936102616</v>
      </c>
      <c r="BEY5" s="7" t="n">
        <v>-1.22513187757858</v>
      </c>
      <c r="BEZ5" s="7" t="n">
        <v>-1.61396296806774</v>
      </c>
      <c r="BFA5" s="7" t="n">
        <v>-0.288401805466859</v>
      </c>
      <c r="BFB5" s="7" t="n">
        <v>-0.435012516769098</v>
      </c>
      <c r="BFC5" s="7" t="n">
        <v>-0.487926733162499</v>
      </c>
      <c r="BFD5" s="7" t="n">
        <v>-0.868372617111384</v>
      </c>
      <c r="BFE5" s="7" t="n">
        <v>1.27621092304134</v>
      </c>
      <c r="BFF5" s="7" t="n">
        <v>-0.327822918620268</v>
      </c>
      <c r="BFG5" s="7" t="n">
        <v>-0.734310581886373</v>
      </c>
      <c r="BFH5" s="7" t="n">
        <v>0.580862139770307</v>
      </c>
      <c r="BFI5" s="7" t="n">
        <v>-0.454390709881612</v>
      </c>
      <c r="BFJ5" s="7" t="n">
        <v>-0.0273066297564982</v>
      </c>
      <c r="BFK5" s="7" t="n">
        <v>0.924575590551144</v>
      </c>
      <c r="BFL5" s="7" t="n">
        <v>0.209105623921848</v>
      </c>
      <c r="BFM5" s="7" t="n">
        <v>0.124517423112367</v>
      </c>
      <c r="BFN5" s="7" t="n">
        <v>1.39820819479997</v>
      </c>
      <c r="BFO5" s="7" t="n">
        <v>-0.45023403327717</v>
      </c>
      <c r="BFP5" s="7" t="n">
        <v>-1.23023190178067</v>
      </c>
      <c r="BFQ5" s="7" t="n">
        <v>-0.558706192000383</v>
      </c>
      <c r="BFR5" s="7" t="n">
        <v>-0.658467776419086</v>
      </c>
      <c r="BFS5" s="7" t="n">
        <v>0.414329005119016</v>
      </c>
      <c r="BFT5" s="7" t="n">
        <v>-0.454772612663022</v>
      </c>
      <c r="BFU5" s="7" t="n">
        <v>-0.621167854226475</v>
      </c>
      <c r="BFV5" s="7" t="n">
        <v>0.480473041951981</v>
      </c>
      <c r="BFW5" s="7" t="n">
        <v>1.01399311906289</v>
      </c>
      <c r="BFX5" s="7" t="n">
        <v>1.00710280364327</v>
      </c>
      <c r="BFY5" s="7" t="n">
        <v>-2.35999346689205</v>
      </c>
      <c r="BFZ5" s="7" t="n">
        <v>1.39940566102753</v>
      </c>
      <c r="BGA5" s="7" t="n">
        <v>-0.924140294985097</v>
      </c>
      <c r="BGB5" s="7" t="n">
        <v>0.374024217514919</v>
      </c>
      <c r="BGC5" s="7" t="n">
        <v>-1.61963684176008</v>
      </c>
      <c r="BGD5" s="7" t="n">
        <v>0.340904965949397</v>
      </c>
      <c r="BGE5" s="7" t="n">
        <v>0.500130113807023</v>
      </c>
      <c r="BGF5" s="7" t="n">
        <v>-0.966400675557358</v>
      </c>
      <c r="BGG5" s="7" t="n">
        <v>0.8184309600283139</v>
      </c>
      <c r="BGH5" s="7" t="n">
        <v>0.267935906666022</v>
      </c>
      <c r="BGI5" s="7" t="n">
        <v>-0.8382617055564</v>
      </c>
      <c r="BGJ5" s="7" t="n">
        <v>1.38173954821868</v>
      </c>
      <c r="BGK5" s="7" t="n">
        <v>0.883659638270773</v>
      </c>
      <c r="BGL5" s="7" t="n">
        <v>-1.97603465950094</v>
      </c>
      <c r="BGM5" s="7" t="n">
        <v>0.92240537430008</v>
      </c>
      <c r="BGN5" s="7" t="n">
        <v>0.146511844003185</v>
      </c>
      <c r="BGO5" s="7" t="n">
        <v>-0.920532874712662</v>
      </c>
      <c r="BGP5" s="7" t="n">
        <v>-1.05234049908419</v>
      </c>
      <c r="BGQ5" s="7" t="n">
        <v>1.75674019787201</v>
      </c>
      <c r="BGR5" s="7" t="n">
        <v>-0.227638283367637</v>
      </c>
      <c r="BGS5" s="7" t="n">
        <v>1.71201009928737</v>
      </c>
      <c r="BGT5" s="7" t="n">
        <v>-0.434158606977193</v>
      </c>
      <c r="BGU5" s="7" t="n">
        <v>0.593508540847162</v>
      </c>
      <c r="BGV5" s="7" t="n">
        <v>1.72465481607925</v>
      </c>
      <c r="BGW5" s="7" t="n">
        <v>-0.12613297283344</v>
      </c>
      <c r="BGX5" s="7" t="n">
        <v>0.698482353461074</v>
      </c>
      <c r="BGY5" s="7" t="n">
        <v>0.553542302702537</v>
      </c>
      <c r="BGZ5" s="7" t="n">
        <v>-0.20503663048487</v>
      </c>
      <c r="BHA5" s="7" t="n">
        <v>-0.675688010026807</v>
      </c>
      <c r="BHB5" s="7" t="n">
        <v>-0.141272734984118</v>
      </c>
      <c r="BHC5" s="7" t="n">
        <v>-0.168232743376263</v>
      </c>
      <c r="BHD5" s="7" t="n">
        <v>-1.27976195618341</v>
      </c>
      <c r="BHE5" s="7" t="n">
        <v>0.242139501468948</v>
      </c>
      <c r="BHF5" s="7" t="n">
        <v>-1.69217616889854</v>
      </c>
      <c r="BHG5" s="7" t="n">
        <v>0.473142435418774</v>
      </c>
      <c r="BHH5" s="7" t="n">
        <v>1.0806327508265</v>
      </c>
      <c r="BHI5" s="7" t="n">
        <v>-1.13047453720172</v>
      </c>
      <c r="BHJ5" s="7" t="n">
        <v>-1.19097652048251</v>
      </c>
      <c r="BHK5" s="7" t="n">
        <v>0.430718729172474</v>
      </c>
      <c r="BHL5" s="7" t="n">
        <v>1.42732928875078</v>
      </c>
      <c r="BHM5" s="7" t="n">
        <v>0.774682335681446</v>
      </c>
      <c r="BHN5" s="7" t="n">
        <v>0.213801899711654</v>
      </c>
      <c r="BHO5" s="7" t="n">
        <v>-1.12411905651688</v>
      </c>
      <c r="BHP5" s="7" t="n">
        <v>0.422191423494531</v>
      </c>
      <c r="BHQ5" s="7" t="n">
        <v>1.93908726259794</v>
      </c>
      <c r="BHR5" s="7" t="n">
        <v>-0.917848039526118</v>
      </c>
      <c r="BHS5" s="7" t="n">
        <v>-2.80961396389055</v>
      </c>
      <c r="BHT5" s="7" t="n">
        <v>-0.310998428982962</v>
      </c>
      <c r="BHU5" s="7" t="n">
        <v>-0.456953118553225</v>
      </c>
      <c r="BHV5" s="7" t="n">
        <v>-0.496041617703154</v>
      </c>
      <c r="BHW5" s="7" t="n">
        <v>0.0145678045591821</v>
      </c>
      <c r="BHX5" s="7" t="n">
        <v>-0.321876401283437</v>
      </c>
      <c r="BHY5" s="7" t="n">
        <v>0.874588914268145</v>
      </c>
      <c r="BHZ5" s="7" t="n">
        <v>0.673193699725646</v>
      </c>
      <c r="BIA5" s="7" t="n">
        <v>0.549582385698799</v>
      </c>
      <c r="BIB5" s="7" t="n">
        <v>-0.533374998628817</v>
      </c>
      <c r="BIC5" s="7" t="n">
        <v>0.808265097892786</v>
      </c>
      <c r="BID5" s="7" t="n">
        <v>-2.29764163343278</v>
      </c>
      <c r="BIE5" s="7" t="n">
        <v>1.57204537883129</v>
      </c>
      <c r="BIF5" s="7" t="n">
        <v>-0.938529610166613</v>
      </c>
      <c r="BIG5" s="7" t="n">
        <v>-0.09755015809874699</v>
      </c>
      <c r="BIH5" s="7" t="n">
        <v>1.58789777975494</v>
      </c>
      <c r="BII5" s="7" t="n">
        <v>0.0668878613046914</v>
      </c>
      <c r="BIJ5" s="7" t="n">
        <v>-0.786078214583062</v>
      </c>
      <c r="BIK5" s="7" t="n">
        <v>1.53357802800127</v>
      </c>
      <c r="BIL5" s="7" t="n">
        <v>-1.39392782350699</v>
      </c>
      <c r="BIM5" s="7" t="n">
        <v>1.50255144011965</v>
      </c>
      <c r="BIN5" s="7" t="n">
        <v>-1.38654095244119</v>
      </c>
      <c r="BIO5" s="7" t="n">
        <v>0.6751220330930811</v>
      </c>
      <c r="BIP5" s="7" t="n">
        <v>-0.650759349014048</v>
      </c>
      <c r="BIQ5" s="7" t="n">
        <v>-0.479141520978166</v>
      </c>
      <c r="BIR5" s="7" t="n">
        <v>0.179815358015187</v>
      </c>
      <c r="BIS5" s="7" t="n">
        <v>-0.315954677702632</v>
      </c>
      <c r="BIT5" s="7" t="n">
        <v>-0.132427324746192</v>
      </c>
      <c r="BIU5" s="7" t="n">
        <v>0.386525697512297</v>
      </c>
      <c r="BIV5" s="7" t="n">
        <v>-1.29999733208268</v>
      </c>
      <c r="BIW5" s="7" t="n">
        <v>0.934459705703765</v>
      </c>
      <c r="BIX5" s="7" t="n">
        <v>0.437876416653397</v>
      </c>
      <c r="BIY5" s="7" t="n">
        <v>0.0974103091681183</v>
      </c>
      <c r="BIZ5" s="7" t="n">
        <v>-1.538659290123</v>
      </c>
      <c r="BJA5" s="7" t="n">
        <v>-1.38982266270036</v>
      </c>
      <c r="BJB5" s="7" t="n">
        <v>-0.130925207525496</v>
      </c>
      <c r="BJC5" s="7" t="n">
        <v>-0.579265777264113</v>
      </c>
      <c r="BJD5" s="7" t="n">
        <v>-0.02231644240076</v>
      </c>
      <c r="BJE5" s="7" t="n">
        <v>-0.0303249316237082</v>
      </c>
      <c r="BJF5" s="7" t="n">
        <v>-0.160403872637317</v>
      </c>
      <c r="BJG5" s="7" t="n">
        <v>0.553940918219177</v>
      </c>
      <c r="BJH5" s="7" t="n">
        <v>0.0751742827095384</v>
      </c>
      <c r="BJI5" s="7" t="n">
        <v>0.55467299979036</v>
      </c>
      <c r="BJJ5" s="7" t="n">
        <v>-1.60682707003797</v>
      </c>
      <c r="BJK5" s="7" t="n">
        <v>0.59199613216596</v>
      </c>
      <c r="BJL5" s="7" t="n">
        <v>-1.41186135637807</v>
      </c>
      <c r="BJM5" s="7" t="n">
        <v>-1.40843979745834</v>
      </c>
      <c r="BJN5" s="7" t="n">
        <v>0.255583767031511</v>
      </c>
      <c r="BJO5" s="7" t="n">
        <v>0.236766857228705</v>
      </c>
      <c r="BJP5" s="7" t="n">
        <v>-0.611723520073429</v>
      </c>
      <c r="BJQ5" s="7" t="n">
        <v>-0.859598274993105</v>
      </c>
      <c r="BJR5" s="7" t="n">
        <v>0.723777426744775</v>
      </c>
      <c r="BJS5" s="7" t="n">
        <v>1.78485167754032</v>
      </c>
      <c r="BJT5" s="7" t="n">
        <v>-0.368138050649243</v>
      </c>
      <c r="BJU5" s="7" t="n">
        <v>0.802657518802022</v>
      </c>
      <c r="BJV5" s="7" t="n">
        <v>-0.296863531403092</v>
      </c>
      <c r="BJW5" s="7" t="n">
        <v>0.196949553838546</v>
      </c>
      <c r="BJX5" s="7" t="n">
        <v>-0.134749583427065</v>
      </c>
      <c r="BJY5" s="7" t="n">
        <v>-0.41878488011724</v>
      </c>
      <c r="BJZ5" s="7" t="n">
        <v>0.786552019502944</v>
      </c>
      <c r="BKA5" s="7" t="n">
        <v>-1.63803874380428</v>
      </c>
      <c r="BKB5" s="7" t="n">
        <v>-0.550015619759641</v>
      </c>
      <c r="BKC5" s="7" t="n">
        <v>1.32645107192198</v>
      </c>
      <c r="BKD5" s="7" t="n">
        <v>0.605504728630888</v>
      </c>
      <c r="BKE5" s="7" t="n">
        <v>0.459188809767153</v>
      </c>
      <c r="BKF5" s="7" t="n">
        <v>0.416264852404901</v>
      </c>
      <c r="BKG5" s="7" t="n">
        <v>0.906095842525043</v>
      </c>
      <c r="BKH5" s="7" t="n">
        <v>0.0537415968493534</v>
      </c>
      <c r="BKI5" s="7" t="n">
        <v>-0.0293573168206874</v>
      </c>
      <c r="BKJ5" s="7" t="n">
        <v>-0.233043275492036</v>
      </c>
      <c r="BKK5" s="7" t="n">
        <v>0.049306748323559</v>
      </c>
      <c r="BKL5" s="7" t="n">
        <v>0.9653972215126631</v>
      </c>
      <c r="BKM5" s="7" t="n">
        <v>0.191932640252752</v>
      </c>
      <c r="BKN5" s="7" t="n">
        <v>0.0183214924664291</v>
      </c>
      <c r="BKO5" s="7" t="n">
        <v>0.0727286465572452</v>
      </c>
      <c r="BKP5" s="7" t="n">
        <v>0.135391220287577</v>
      </c>
      <c r="BKQ5" s="7" t="n">
        <v>-0.0556732362732673</v>
      </c>
      <c r="BKR5" s="7" t="n">
        <v>-0.0589378377424673</v>
      </c>
      <c r="BKS5" s="7" t="n">
        <v>0.8121264338458269</v>
      </c>
      <c r="BKT5" s="7" t="n">
        <v>-0.948605294524392</v>
      </c>
      <c r="BKU5" s="7" t="n">
        <v>0.210468547140276</v>
      </c>
      <c r="BKV5" s="7" t="n">
        <v>0.0412552265752547</v>
      </c>
      <c r="BKW5" s="7" t="n">
        <v>0.0600473006229725</v>
      </c>
      <c r="BKX5" s="7" t="n">
        <v>0.385365287950896</v>
      </c>
      <c r="BKY5" s="7" t="n">
        <v>0.143419001728649</v>
      </c>
      <c r="BKZ5" s="7" t="n">
        <v>-0.719409020965048</v>
      </c>
      <c r="BLA5" s="7" t="n">
        <v>0.194087233202308</v>
      </c>
      <c r="BLB5" s="7" t="n">
        <v>-1.78619216704286</v>
      </c>
      <c r="BLC5" s="7" t="n">
        <v>1.11852562226732</v>
      </c>
      <c r="BLD5" s="7" t="n">
        <v>0.0084975182213068</v>
      </c>
      <c r="BLE5" s="7" t="n">
        <v>1.02030196800496</v>
      </c>
      <c r="BLF5" s="7" t="n">
        <v>1.10415255320435</v>
      </c>
      <c r="BLG5" s="7" t="n">
        <v>2.74840465075878</v>
      </c>
      <c r="BLH5" s="7" t="n">
        <v>-0.190739735745593</v>
      </c>
      <c r="BLI5" s="7" t="n">
        <v>-1.25055432503617</v>
      </c>
      <c r="BLJ5" s="7" t="n">
        <v>0.314576512901673</v>
      </c>
      <c r="BLK5" s="7" t="n">
        <v>-1.99153414362025</v>
      </c>
      <c r="BLL5" s="7" t="n">
        <v>0.567403413028458</v>
      </c>
      <c r="BLM5" s="7" t="n">
        <v>-0.0483148901193218</v>
      </c>
      <c r="BLN5" s="7" t="n">
        <v>0.350054870608684</v>
      </c>
      <c r="BLO5" s="7" t="n">
        <v>-1.13471586647115</v>
      </c>
      <c r="BLP5" s="7" t="n">
        <v>0.7430426872360431</v>
      </c>
      <c r="BLQ5" s="7" t="n">
        <v>0.142956759098231</v>
      </c>
      <c r="BLR5" s="7" t="n">
        <v>0.438663716802838</v>
      </c>
      <c r="BLS5" s="7" t="n">
        <v>1.29153342271918</v>
      </c>
      <c r="BLT5" s="7" t="n">
        <v>-0.0696647343775873</v>
      </c>
      <c r="BLU5" s="7" t="n">
        <v>-0.886420339966199</v>
      </c>
      <c r="BLV5" s="7" t="n">
        <v>0.29113997586972</v>
      </c>
      <c r="BLW5" s="7" t="n">
        <v>0.512305597744129</v>
      </c>
      <c r="BLX5" s="7" t="n">
        <v>-0.907453622077845</v>
      </c>
      <c r="BLY5" s="7" t="n">
        <v>-1.1961356371455</v>
      </c>
      <c r="BLZ5" s="7" t="n">
        <v>-2.26286992366892</v>
      </c>
      <c r="BMA5" s="7" t="n">
        <v>-0.528105063846403</v>
      </c>
      <c r="BMB5" s="7" t="n">
        <v>1.4247627950704</v>
      </c>
      <c r="BMC5" s="7" t="n">
        <v>0.853179902219328</v>
      </c>
      <c r="BMD5" s="7" t="n">
        <v>1.18973501762029</v>
      </c>
      <c r="BME5" s="7" t="n">
        <v>1.40723171043253</v>
      </c>
      <c r="BMF5" s="7" t="n">
        <v>1.9189754751802</v>
      </c>
      <c r="BMG5" s="7" t="n">
        <v>0.404113234036767</v>
      </c>
      <c r="BMH5" s="7" t="n">
        <v>-0.5241143908475701</v>
      </c>
      <c r="BMI5" s="7" t="n">
        <v>1.44256686136673</v>
      </c>
      <c r="BMJ5" s="7" t="n">
        <v>-0.0296224566800399</v>
      </c>
      <c r="BMK5" s="7" t="n">
        <v>0.719293417586665</v>
      </c>
      <c r="BML5" s="7" t="n">
        <v>0.66027543713879</v>
      </c>
      <c r="BMM5" s="7" t="n">
        <v>-0.8106978770254361</v>
      </c>
      <c r="BMN5" s="7" t="n">
        <v>-0.539472829630769</v>
      </c>
      <c r="BMO5" s="7" t="n">
        <v>0.252905437043858</v>
      </c>
      <c r="BMP5" s="7" t="n">
        <v>-1.7329117537237</v>
      </c>
      <c r="BMQ5" s="7" t="n">
        <v>-1.39745617811904</v>
      </c>
      <c r="BMR5" s="7" t="n">
        <v>-0.889390028879932</v>
      </c>
      <c r="BMS5" s="7" t="n">
        <v>1.23880181339613</v>
      </c>
      <c r="BMT5" s="7" t="n">
        <v>0.880119545478047</v>
      </c>
      <c r="BMU5" s="7" t="n">
        <v>-0.53543772233457</v>
      </c>
      <c r="BMV5" s="7" t="n">
        <v>-0.400610305878015</v>
      </c>
      <c r="BMW5" s="7" t="n">
        <v>1.03651452163632</v>
      </c>
      <c r="BMX5" s="7" t="n">
        <v>1.12068773048386</v>
      </c>
      <c r="BMY5" s="7" t="n">
        <v>0.601631434991345</v>
      </c>
      <c r="BMZ5" s="7" t="n">
        <v>0.547103622313452</v>
      </c>
      <c r="BNA5" s="7" t="n">
        <v>-0.378764971050143</v>
      </c>
      <c r="BNB5" s="7" t="n">
        <v>-0.177944332929939</v>
      </c>
      <c r="BNC5" s="7" t="n">
        <v>0.184658564962586</v>
      </c>
      <c r="BND5" s="7" t="n">
        <v>1.03038463387606</v>
      </c>
      <c r="BNE5" s="7" t="n">
        <v>0.761989072121408</v>
      </c>
      <c r="BNF5" s="7" t="n">
        <v>0.506706758205132</v>
      </c>
      <c r="BNG5" s="7" t="n">
        <v>0.6042499922533699</v>
      </c>
      <c r="BNH5" s="7" t="n">
        <v>1.38140896461436</v>
      </c>
      <c r="BNI5" s="7" t="n">
        <v>2.26291088799589</v>
      </c>
      <c r="BNJ5" s="7" t="n">
        <v>-0.876937725707203</v>
      </c>
      <c r="BNK5" s="7" t="n">
        <v>1.55101002137925</v>
      </c>
      <c r="BNL5" s="7" t="n">
        <v>-0.514191288594782</v>
      </c>
      <c r="BNM5" s="7" t="n">
        <v>-1.73181583360421</v>
      </c>
      <c r="BNN5" s="7" t="n">
        <v>-0.975174628687813</v>
      </c>
      <c r="BNO5" s="7" t="n">
        <v>0.264998262792679</v>
      </c>
      <c r="BNP5" s="7" t="n">
        <v>0.439865597007741</v>
      </c>
      <c r="BNQ5" s="7" t="n">
        <v>0.867867549816427</v>
      </c>
      <c r="BNR5" s="7" t="n">
        <v>-1.13025736095364</v>
      </c>
      <c r="BNS5" s="7" t="n">
        <v>0.601821918249404</v>
      </c>
      <c r="BNT5" s="7" t="n">
        <v>0.668824097616424</v>
      </c>
      <c r="BNU5" s="7" t="n">
        <v>0.60863720225647</v>
      </c>
      <c r="BNV5" s="7" t="n">
        <v>0.196858440561287</v>
      </c>
      <c r="BNW5" s="7" t="n">
        <v>0.036287636831707</v>
      </c>
      <c r="BNX5" s="7" t="n">
        <v>-0.452846341358915</v>
      </c>
      <c r="BNY5" s="7" t="n">
        <v>-0.332295919913424</v>
      </c>
      <c r="BNZ5" s="7" t="n">
        <v>-0.278956209202043</v>
      </c>
      <c r="BOA5" s="7" t="n">
        <v>-1.61070170839197</v>
      </c>
      <c r="BOB5" s="7" t="n">
        <v>0.98421573994918</v>
      </c>
      <c r="BOC5" s="7" t="n">
        <v>1.21845556929069</v>
      </c>
      <c r="BOD5" s="7" t="n">
        <v>1.2003376677549</v>
      </c>
      <c r="BOE5" s="7" t="n">
        <v>-1.93597599829525</v>
      </c>
      <c r="BOF5" s="7" t="n">
        <v>-1.18595353450026</v>
      </c>
      <c r="BOG5" s="7" t="n">
        <v>1.14515634157132</v>
      </c>
      <c r="BOH5" s="7" t="n">
        <v>-0.302986151982981</v>
      </c>
      <c r="BOI5" s="7" t="n">
        <v>1.00396834769833</v>
      </c>
      <c r="BOJ5" s="7" t="n">
        <v>-1.66744879307318</v>
      </c>
      <c r="BOK5" s="7" t="n">
        <v>-0.73708126593469</v>
      </c>
      <c r="BOL5" s="7" t="n">
        <v>1.31693168990318</v>
      </c>
      <c r="BOM5" s="7" t="n">
        <v>-0.430138992806233</v>
      </c>
      <c r="BON5" s="7" t="n">
        <v>-0.745170801267219</v>
      </c>
      <c r="BOO5" s="7" t="n">
        <v>1.03682314542775</v>
      </c>
      <c r="BOP5" s="7" t="n">
        <v>-0.721778595261015</v>
      </c>
      <c r="BOQ5" s="7" t="n">
        <v>0.715114838560592</v>
      </c>
      <c r="BOR5" s="7" t="n">
        <v>1.86586178546818</v>
      </c>
      <c r="BOS5" s="7" t="n">
        <v>0.186249132428943</v>
      </c>
      <c r="BOT5" s="7" t="n">
        <v>-0.314381344287305</v>
      </c>
      <c r="BOU5" s="7" t="n">
        <v>-0.810990344314598</v>
      </c>
      <c r="BOV5" s="7" t="n">
        <v>-0.340854689343192</v>
      </c>
      <c r="BOW5" s="7" t="n">
        <v>0.869771058163692</v>
      </c>
      <c r="BOX5" s="7" t="n">
        <v>0.331161041275558</v>
      </c>
      <c r="BOY5" s="7" t="n">
        <v>-1.2734335765948</v>
      </c>
      <c r="BOZ5" s="7" t="n">
        <v>1.21713154073616</v>
      </c>
      <c r="BPA5" s="7" t="n">
        <v>0.478593105390767</v>
      </c>
      <c r="BPB5" s="7" t="n">
        <v>-0.337661448137382</v>
      </c>
      <c r="BPC5" s="7" t="n">
        <v>0.228369354246021</v>
      </c>
      <c r="BPD5" s="7" t="n">
        <v>-0.0175198151340878</v>
      </c>
      <c r="BPE5" s="7" t="n">
        <v>1.3976151899378</v>
      </c>
      <c r="BPF5" s="7" t="n">
        <v>-1.84905958272402</v>
      </c>
      <c r="BPG5" s="7" t="n">
        <v>0.292300599762693</v>
      </c>
      <c r="BPH5" s="7" t="n">
        <v>1.90813219416608</v>
      </c>
      <c r="BPI5" s="7" t="n">
        <v>-0.32839288785548</v>
      </c>
      <c r="BPJ5" s="7" t="n">
        <v>1.96678937951333</v>
      </c>
      <c r="BPK5" s="7" t="n">
        <v>0.261401792561797</v>
      </c>
      <c r="BPL5" s="7" t="n">
        <v>-0.83569435203167</v>
      </c>
      <c r="BPM5" s="7" t="n">
        <v>-0.462977458064936</v>
      </c>
      <c r="BPN5" s="7" t="n">
        <v>1.53842195260874</v>
      </c>
      <c r="BPO5" s="7" t="n">
        <v>-1.1305194391399</v>
      </c>
      <c r="BPP5" s="7" t="n">
        <v>-1.96780225211132</v>
      </c>
      <c r="BPQ5" s="7" t="n">
        <v>0.782610874239377</v>
      </c>
      <c r="BPR5" s="7" t="n">
        <v>0.12809966467077</v>
      </c>
      <c r="BPS5" s="7" t="n">
        <v>-0.869622840742289</v>
      </c>
      <c r="BPT5" s="7" t="n">
        <v>1.53950520381353</v>
      </c>
      <c r="BPU5" s="7" t="n">
        <v>-0.0940366031855789</v>
      </c>
      <c r="BPV5" s="7" t="n">
        <v>-0.664873609586614</v>
      </c>
      <c r="BPW5" s="7" t="n">
        <v>-1.14601874562246</v>
      </c>
      <c r="BPX5" s="7" t="n">
        <v>0.27582198958479</v>
      </c>
      <c r="BPY5" s="7" t="n">
        <v>-0.695692478041639</v>
      </c>
      <c r="BPZ5" s="7" t="n">
        <v>0.98889963582825</v>
      </c>
      <c r="BQA5" s="7" t="n">
        <v>-0.731669902026122</v>
      </c>
      <c r="BQB5" s="7" t="n">
        <v>2.64210946862815</v>
      </c>
      <c r="BQC5" s="7" t="n">
        <v>0.242317296685598</v>
      </c>
      <c r="BQD5" s="7" t="n">
        <v>0.523274917101878</v>
      </c>
      <c r="BQE5" s="7" t="n">
        <v>0.447801299353428</v>
      </c>
      <c r="BQF5" s="7" t="n">
        <v>0.558626989852942</v>
      </c>
      <c r="BQG5" s="7" t="n">
        <v>-0.74850467098567</v>
      </c>
      <c r="BQH5" s="7" t="n">
        <v>0.818560101352853</v>
      </c>
    </row>
    <row r="6">
      <c r="A6" s="7" t="n">
        <v>4</v>
      </c>
      <c r="B6" s="7" t="n">
        <v>0.778104240880311</v>
      </c>
      <c r="C6" s="7" t="n">
        <v>-1.43762561543666</v>
      </c>
      <c r="D6" s="7" t="n">
        <v>0.377102649607829</v>
      </c>
      <c r="E6" s="7" t="n">
        <v>-0.258186765836826</v>
      </c>
      <c r="F6" s="7" t="n">
        <v>0.401614793272367</v>
      </c>
      <c r="G6" s="7" t="n">
        <v>0.558425154437612</v>
      </c>
      <c r="H6" s="7" t="n">
        <v>1.36910765855846</v>
      </c>
      <c r="I6" s="7" t="n">
        <v>-1.1492899668515</v>
      </c>
      <c r="J6" s="7" t="n">
        <v>0.31549797809486</v>
      </c>
      <c r="K6" s="7" t="n">
        <v>1.2165916928732</v>
      </c>
      <c r="L6" s="7" t="n">
        <v>0.294396940902331</v>
      </c>
      <c r="M6" s="7" t="n">
        <v>1.44390781970529</v>
      </c>
      <c r="N6" s="7" t="n">
        <v>1.55634685265207</v>
      </c>
      <c r="O6" s="7" t="n">
        <v>-1.60242813722859</v>
      </c>
      <c r="P6" s="7" t="n">
        <v>-0.0504003900806361</v>
      </c>
      <c r="Q6" s="7" t="n">
        <v>-1.02099352530602</v>
      </c>
      <c r="R6" s="7" t="n">
        <v>1.05992788823372</v>
      </c>
      <c r="S6" s="7" t="n">
        <v>-1.38105166503899</v>
      </c>
      <c r="T6" s="7" t="n">
        <v>-0.353034422327422</v>
      </c>
      <c r="U6" s="7" t="n">
        <v>0.272639238977519</v>
      </c>
      <c r="V6" s="7" t="n">
        <v>-1.80201964132277</v>
      </c>
      <c r="W6" s="7" t="n">
        <v>1.16582026367652</v>
      </c>
      <c r="X6" s="7" t="n">
        <v>0.187185634612664</v>
      </c>
      <c r="Y6" s="7" t="n">
        <v>-0.623383941428435</v>
      </c>
      <c r="Z6" s="7" t="n">
        <v>1.11297452014407</v>
      </c>
      <c r="AA6" s="7" t="n">
        <v>-0.100880244376618</v>
      </c>
      <c r="AB6" s="7" t="n">
        <v>-0.335754366695776</v>
      </c>
      <c r="AC6" s="7" t="n">
        <v>-1.38084768569824</v>
      </c>
      <c r="AD6" s="7" t="n">
        <v>-0.012326531746024</v>
      </c>
      <c r="AE6" s="7" t="n">
        <v>1.51476716078745</v>
      </c>
      <c r="AF6" s="7" t="n">
        <v>-0.798734254909564</v>
      </c>
      <c r="AG6" s="7" t="n">
        <v>1.14691515985023</v>
      </c>
      <c r="AH6" s="7" t="n">
        <v>0.312223232737592</v>
      </c>
      <c r="AI6" s="7" t="n">
        <v>0.165514824160877</v>
      </c>
      <c r="AJ6" s="7" t="n">
        <v>-0.614211300480349</v>
      </c>
      <c r="AK6" s="7" t="n">
        <v>-1.28735449089717</v>
      </c>
      <c r="AL6" s="7" t="n">
        <v>-2.04605480628628</v>
      </c>
      <c r="AM6" s="7" t="n">
        <v>-1.61046602421012</v>
      </c>
      <c r="AN6" s="7" t="n">
        <v>-0.390814935054824</v>
      </c>
      <c r="AO6" s="7" t="n">
        <v>0.341857067998433</v>
      </c>
      <c r="AP6" s="7" t="n">
        <v>1.13005935127961</v>
      </c>
      <c r="AQ6" s="7" t="n">
        <v>0.56322106775423</v>
      </c>
      <c r="AR6" s="7" t="n">
        <v>0.0266814196032561</v>
      </c>
      <c r="AS6" s="7" t="n">
        <v>-0.206637276159693</v>
      </c>
      <c r="AT6" s="7" t="n">
        <v>0.866390855875851</v>
      </c>
      <c r="AU6" s="7" t="n">
        <v>-0.701270339838211</v>
      </c>
      <c r="AV6" s="7" t="n">
        <v>-0.177373616288218</v>
      </c>
      <c r="AW6" s="7" t="n">
        <v>0.497585067722867</v>
      </c>
      <c r="AX6" s="7" t="n">
        <v>-0.0413662299702434</v>
      </c>
      <c r="AY6" s="7" t="n">
        <v>0.615710515818859</v>
      </c>
      <c r="AZ6" s="7" t="n">
        <v>-0.587339738663481</v>
      </c>
      <c r="BA6" s="7" t="n">
        <v>0.515960379651013</v>
      </c>
      <c r="BB6" s="7" t="n">
        <v>0.09049366404241781</v>
      </c>
      <c r="BC6" s="7" t="n">
        <v>-0.97354582662849</v>
      </c>
      <c r="BD6" s="7" t="n">
        <v>-0.220164746660134</v>
      </c>
      <c r="BE6" s="7" t="n">
        <v>0.624053028463869</v>
      </c>
      <c r="BF6" s="7" t="n">
        <v>0.292203320920993</v>
      </c>
      <c r="BG6" s="7" t="n">
        <v>0.638803590274724</v>
      </c>
      <c r="BH6" s="7" t="n">
        <v>1.3286533592224</v>
      </c>
      <c r="BI6" s="7" t="n">
        <v>1.14717390827563</v>
      </c>
      <c r="BJ6" s="7" t="n">
        <v>0.201464011474724</v>
      </c>
      <c r="BK6" s="7" t="n">
        <v>-1.37104254544211</v>
      </c>
      <c r="BL6" s="7" t="n">
        <v>-1.65934178054923</v>
      </c>
      <c r="BM6" s="7" t="n">
        <v>-0.871014318492416</v>
      </c>
      <c r="BN6" s="7" t="n">
        <v>1.80908754372992</v>
      </c>
      <c r="BO6" s="7" t="n">
        <v>1.11308754194241</v>
      </c>
      <c r="BP6" s="7" t="n">
        <v>0.404120146015441</v>
      </c>
      <c r="BQ6" s="7" t="n">
        <v>-2.77629953075601</v>
      </c>
      <c r="BR6" s="7" t="n">
        <v>-0.489298222041377</v>
      </c>
      <c r="BS6" s="7" t="n">
        <v>0.51154489857878</v>
      </c>
      <c r="BT6" s="7" t="n">
        <v>-0.8658768395870829</v>
      </c>
      <c r="BU6" s="7" t="n">
        <v>0.351641210862127</v>
      </c>
      <c r="BV6" s="7" t="n">
        <v>0.427103670747218</v>
      </c>
      <c r="BW6" s="7" t="n">
        <v>0.23522730339228</v>
      </c>
      <c r="BX6" s="7" t="n">
        <v>0.0369375792868888</v>
      </c>
      <c r="BY6" s="7" t="n">
        <v>0.714196194759168</v>
      </c>
      <c r="BZ6" s="7" t="n">
        <v>-0.65480953862431</v>
      </c>
      <c r="CA6" s="7" t="n">
        <v>-0.111524162203262</v>
      </c>
      <c r="CB6" s="7" t="n">
        <v>0.220046320143597</v>
      </c>
      <c r="CC6" s="7" t="n">
        <v>-0.780184475844833</v>
      </c>
      <c r="CD6" s="7" t="n">
        <v>-0.98270915063285</v>
      </c>
      <c r="CE6" s="7" t="n">
        <v>-1.30770683584734</v>
      </c>
      <c r="CF6" s="7" t="n">
        <v>-1.65150442423096</v>
      </c>
      <c r="CG6" s="7" t="n">
        <v>-0.327262980219726</v>
      </c>
      <c r="CH6" s="7" t="n">
        <v>-1.03873231008656</v>
      </c>
      <c r="CI6" s="7" t="n">
        <v>0.215560518331327</v>
      </c>
      <c r="CJ6" s="7" t="n">
        <v>0.83902919158205</v>
      </c>
      <c r="CK6" s="7" t="n">
        <v>-0.729518646603412</v>
      </c>
      <c r="CL6" s="7" t="n">
        <v>1.01201689771296</v>
      </c>
      <c r="CM6" s="7" t="n">
        <v>0.0622528405362711</v>
      </c>
      <c r="CN6" s="7" t="n">
        <v>-1.31430868602487</v>
      </c>
      <c r="CO6" s="7" t="n">
        <v>2.00621355964413</v>
      </c>
      <c r="CP6" s="7" t="n">
        <v>-1.90670376044494</v>
      </c>
      <c r="CQ6" s="7" t="n">
        <v>-0.858925195571286</v>
      </c>
      <c r="CR6" s="7" t="n">
        <v>1.39608084131136</v>
      </c>
      <c r="CS6" s="7" t="n">
        <v>0.303294665698508</v>
      </c>
      <c r="CT6" s="7" t="n">
        <v>-0.47393405086907</v>
      </c>
      <c r="CU6" s="7" t="n">
        <v>-0.153451977796638</v>
      </c>
      <c r="CV6" s="7" t="n">
        <v>1.52592184776854</v>
      </c>
      <c r="CW6" s="7" t="n">
        <v>0.931443392052251</v>
      </c>
      <c r="CX6" s="7" t="n">
        <v>1.26294151374935</v>
      </c>
      <c r="CY6" s="7" t="n">
        <v>-0.19224976947873</v>
      </c>
      <c r="CZ6" s="7" t="n">
        <v>0.896050491603777</v>
      </c>
      <c r="DA6" s="7" t="n">
        <v>1.17959553676807</v>
      </c>
      <c r="DB6" s="7" t="n">
        <v>-1.34242866459515</v>
      </c>
      <c r="DC6" s="7" t="n">
        <v>1.32583725612142</v>
      </c>
      <c r="DD6" s="7" t="n">
        <v>1.8826796886727</v>
      </c>
      <c r="DE6" s="7" t="n">
        <v>-0.0916626465508289</v>
      </c>
      <c r="DF6" s="7" t="n">
        <v>-0.78019143873853</v>
      </c>
      <c r="DG6" s="7" t="n">
        <v>1.83797342897089</v>
      </c>
      <c r="DH6" s="7" t="n">
        <v>1.02162391126849</v>
      </c>
      <c r="DI6" s="7" t="n">
        <v>0.323595182219214</v>
      </c>
      <c r="DJ6" s="7" t="n">
        <v>0.330596142068585</v>
      </c>
      <c r="DK6" s="7" t="n">
        <v>0.568891427442603</v>
      </c>
      <c r="DL6" s="7" t="n">
        <v>0.543827611589354</v>
      </c>
      <c r="DM6" s="7" t="n">
        <v>0.7863609232248731</v>
      </c>
      <c r="DN6" s="7" t="n">
        <v>0.7697822042704791</v>
      </c>
      <c r="DO6" s="7" t="n">
        <v>-0.299412025046939</v>
      </c>
      <c r="DP6" s="7" t="n">
        <v>-1.3347339531256</v>
      </c>
      <c r="DQ6" s="7" t="n">
        <v>1.41027866717005</v>
      </c>
      <c r="DR6" s="7" t="n">
        <v>0.330732299597813</v>
      </c>
      <c r="DS6" s="7" t="n">
        <v>-0.0584119790902062</v>
      </c>
      <c r="DT6" s="7" t="n">
        <v>-1.67649204560569</v>
      </c>
      <c r="DU6" s="7" t="n">
        <v>-1.39319012549099</v>
      </c>
      <c r="DV6" s="7" t="n">
        <v>-0.993950823573549</v>
      </c>
      <c r="DW6" s="7" t="n">
        <v>0.602325059599452</v>
      </c>
      <c r="DX6" s="7" t="n">
        <v>-0.156326243868258</v>
      </c>
      <c r="DY6" s="7" t="n">
        <v>0.761032396895846</v>
      </c>
      <c r="DZ6" s="7" t="n">
        <v>-0.290482825573168</v>
      </c>
      <c r="EA6" s="7" t="n">
        <v>0.188621045483153</v>
      </c>
      <c r="EB6" s="7" t="n">
        <v>0.208085252418384</v>
      </c>
      <c r="EC6" s="7" t="n">
        <v>-1.51480993904692</v>
      </c>
      <c r="ED6" s="7" t="n">
        <v>-0.792920244118396</v>
      </c>
      <c r="EE6" s="7" t="n">
        <v>0.0004964776254888</v>
      </c>
      <c r="EF6" s="7" t="n">
        <v>-1.29080700506798</v>
      </c>
      <c r="EG6" s="7" t="n">
        <v>2.032456286704</v>
      </c>
      <c r="EH6" s="7" t="n">
        <v>0.255574729409581</v>
      </c>
      <c r="EI6" s="7" t="n">
        <v>-0.132248736782012</v>
      </c>
      <c r="EJ6" s="7" t="n">
        <v>0.875912870732078</v>
      </c>
      <c r="EK6" s="7" t="n">
        <v>-0.773029451067889</v>
      </c>
      <c r="EL6" s="7" t="n">
        <v>0.407117085370101</v>
      </c>
      <c r="EM6" s="7" t="n">
        <v>-0.425863792745062</v>
      </c>
      <c r="EN6" s="7" t="n">
        <v>-0.815815055754083</v>
      </c>
      <c r="EO6" s="7" t="n">
        <v>-0.250893935434023</v>
      </c>
      <c r="EP6" s="7" t="n">
        <v>1.19732719264001</v>
      </c>
      <c r="EQ6" s="7" t="n">
        <v>-0.338380127451237</v>
      </c>
      <c r="ER6" s="7" t="n">
        <v>1.28059424288788</v>
      </c>
      <c r="ES6" s="7" t="n">
        <v>0.41618825614784</v>
      </c>
      <c r="ET6" s="7" t="n">
        <v>-0.422635941079308</v>
      </c>
      <c r="EU6" s="7" t="n">
        <v>1.04086667266402</v>
      </c>
      <c r="EV6" s="7" t="n">
        <v>-1.85533935934823</v>
      </c>
      <c r="EW6" s="7" t="n">
        <v>-0.571304827585462</v>
      </c>
      <c r="EX6" s="7" t="n">
        <v>-1.23445408470582</v>
      </c>
      <c r="EY6" s="7" t="n">
        <v>-0.6748102566441661</v>
      </c>
      <c r="EZ6" s="7" t="n">
        <v>0.8709448299814651</v>
      </c>
      <c r="FA6" s="7" t="n">
        <v>-0.58845834969671</v>
      </c>
      <c r="FB6" s="7" t="n">
        <v>-1.50641818126794</v>
      </c>
      <c r="FC6" s="7" t="n">
        <v>0.288905712348027</v>
      </c>
      <c r="FD6" s="7" t="n">
        <v>0.318224060019002</v>
      </c>
      <c r="FE6" s="7" t="n">
        <v>0.5559441578550119</v>
      </c>
      <c r="FF6" s="7" t="n">
        <v>1.6031514768277</v>
      </c>
      <c r="FG6" s="7" t="n">
        <v>-0.282477826819623</v>
      </c>
      <c r="FH6" s="7" t="n">
        <v>0.368183736877461</v>
      </c>
      <c r="FI6" s="7" t="n">
        <v>0.186494973302563</v>
      </c>
      <c r="FJ6" s="7" t="n">
        <v>-1.56770701799345</v>
      </c>
      <c r="FK6" s="7" t="n">
        <v>-0.0753614376288026</v>
      </c>
      <c r="FL6" s="7" t="n">
        <v>-0.68815977917861</v>
      </c>
      <c r="FM6" s="7" t="n">
        <v>-0.183733617453395</v>
      </c>
      <c r="FN6" s="7" t="n">
        <v>-0.299071345645021</v>
      </c>
      <c r="FO6" s="7" t="n">
        <v>2.84313571290201</v>
      </c>
      <c r="FP6" s="7" t="n">
        <v>-0.236737877249815</v>
      </c>
      <c r="FQ6" s="7" t="n">
        <v>-1.35534007608127</v>
      </c>
      <c r="FR6" s="7" t="n">
        <v>0.645988175757334</v>
      </c>
      <c r="FS6" s="7" t="n">
        <v>-0.220236903966861</v>
      </c>
      <c r="FT6" s="7" t="n">
        <v>-0.269731290401532</v>
      </c>
      <c r="FU6" s="7" t="n">
        <v>0.252071668935056</v>
      </c>
      <c r="FV6" s="7" t="n">
        <v>-1.37554183150033</v>
      </c>
      <c r="FW6" s="7" t="n">
        <v>-1.41449254468322</v>
      </c>
      <c r="FX6" s="7" t="n">
        <v>1.36505909469918</v>
      </c>
      <c r="FY6" s="7" t="n">
        <v>2.97561309007908</v>
      </c>
      <c r="FZ6" s="7" t="n">
        <v>0.16318494280217</v>
      </c>
      <c r="GA6" s="7" t="n">
        <v>0.259108494398602</v>
      </c>
      <c r="GB6" s="7" t="n">
        <v>1.16582545209228</v>
      </c>
      <c r="GC6" s="7" t="n">
        <v>0.784907492607958</v>
      </c>
      <c r="GD6" s="7" t="n">
        <v>1.13120300691784</v>
      </c>
      <c r="GE6" s="7" t="n">
        <v>0.11411247835747</v>
      </c>
      <c r="GF6" s="7" t="n">
        <v>-0.966498705160291</v>
      </c>
      <c r="GG6" s="7" t="n">
        <v>-0.0583461921256899</v>
      </c>
      <c r="GH6" s="7" t="n">
        <v>0.323090612318706</v>
      </c>
      <c r="GI6" s="7" t="n">
        <v>0.336533526572658</v>
      </c>
      <c r="GJ6" s="7" t="n">
        <v>0.380224487139702</v>
      </c>
      <c r="GK6" s="7" t="n">
        <v>-2.33950104529522</v>
      </c>
      <c r="GL6" s="7" t="n">
        <v>0.181598925802992</v>
      </c>
      <c r="GM6" s="7" t="n">
        <v>1.71628717453611</v>
      </c>
      <c r="GN6" s="7" t="n">
        <v>0.35137780269584</v>
      </c>
      <c r="GO6" s="7" t="n">
        <v>-0.595132554760688</v>
      </c>
      <c r="GP6" s="7" t="n">
        <v>-0.551258365147185</v>
      </c>
      <c r="GQ6" s="7" t="n">
        <v>-1.06689114038872</v>
      </c>
      <c r="GR6" s="7" t="n">
        <v>-0.481274694296184</v>
      </c>
      <c r="GS6" s="7" t="n">
        <v>1.13663372789274</v>
      </c>
      <c r="GT6" s="7" t="n">
        <v>1.52432806317018</v>
      </c>
      <c r="GU6" s="7" t="n">
        <v>-0.209538787704553</v>
      </c>
      <c r="GV6" s="7" t="n">
        <v>0.585390095429467</v>
      </c>
      <c r="GW6" s="7" t="n">
        <v>-1.04615363771166</v>
      </c>
      <c r="GX6" s="7" t="n">
        <v>-0.603517066448564</v>
      </c>
      <c r="GY6" s="7" t="n">
        <v>-0.288980852394303</v>
      </c>
      <c r="GZ6" s="7" t="n">
        <v>1.50002668707451</v>
      </c>
      <c r="HA6" s="7" t="n">
        <v>-0.59107631157012</v>
      </c>
      <c r="HB6" s="7" t="n">
        <v>0.350089904186949</v>
      </c>
      <c r="HC6" s="7" t="n">
        <v>1.52104471543055</v>
      </c>
      <c r="HD6" s="7" t="n">
        <v>0.277726213094101</v>
      </c>
      <c r="HE6" s="7" t="n">
        <v>-0.08739497893420591</v>
      </c>
      <c r="HF6" s="7" t="n">
        <v>1.66976027531693</v>
      </c>
      <c r="HG6" s="7" t="n">
        <v>-0.279134469456911</v>
      </c>
      <c r="HH6" s="7" t="n">
        <v>1.05114319164072</v>
      </c>
      <c r="HI6" s="7" t="n">
        <v>-0.168218547223106</v>
      </c>
      <c r="HJ6" s="7" t="n">
        <v>0.288265634570563</v>
      </c>
      <c r="HK6" s="7" t="n">
        <v>-0.636418615941626</v>
      </c>
      <c r="HL6" s="7" t="n">
        <v>-0.28480825624519</v>
      </c>
      <c r="HM6" s="7" t="n">
        <v>-0.415013235791368</v>
      </c>
      <c r="HN6" s="7" t="n">
        <v>0.509882080471776</v>
      </c>
      <c r="HO6" s="7" t="n">
        <v>-1.15548320600063</v>
      </c>
      <c r="HP6" s="7" t="n">
        <v>-0.873250834630209</v>
      </c>
      <c r="HQ6" s="7" t="n">
        <v>-1.02815163496725</v>
      </c>
      <c r="HR6" s="7" t="n">
        <v>-0.728923393373711</v>
      </c>
      <c r="HS6" s="7" t="n">
        <v>0.126711642206607</v>
      </c>
      <c r="HT6" s="7" t="n">
        <v>0.823691435847158</v>
      </c>
      <c r="HU6" s="7" t="n">
        <v>0.111751340886477</v>
      </c>
      <c r="HV6" s="7" t="n">
        <v>-1.36923270570875</v>
      </c>
      <c r="HW6" s="7" t="n">
        <v>-0.363542647606071</v>
      </c>
      <c r="HX6" s="7" t="n">
        <v>3.01596626013111</v>
      </c>
      <c r="HY6" s="7" t="n">
        <v>-0.0220420827023495</v>
      </c>
      <c r="HZ6" s="7" t="n">
        <v>0.953867228917832</v>
      </c>
      <c r="IA6" s="7" t="n">
        <v>1.01141067010731</v>
      </c>
      <c r="IB6" s="7" t="n">
        <v>-1.66817401874343</v>
      </c>
      <c r="IC6" s="7" t="n">
        <v>1.0085534773013</v>
      </c>
      <c r="ID6" s="7" t="n">
        <v>1.81905078325511</v>
      </c>
      <c r="IE6" s="7" t="n">
        <v>-2.10436011550174</v>
      </c>
      <c r="IF6" s="7" t="n">
        <v>0.37495619783181</v>
      </c>
      <c r="IG6" s="7" t="n">
        <v>0.741407402709345</v>
      </c>
      <c r="IH6" s="7" t="n">
        <v>-0.128936387636145</v>
      </c>
      <c r="II6" s="7" t="n">
        <v>0.255562194845761</v>
      </c>
      <c r="IJ6" s="7" t="n">
        <v>0.21197525634114</v>
      </c>
      <c r="IK6" s="7" t="n">
        <v>1.1739365048371</v>
      </c>
      <c r="IL6" s="7" t="n">
        <v>-0.584074040863227</v>
      </c>
      <c r="IM6" s="7" t="n">
        <v>1.27627904537792</v>
      </c>
      <c r="IN6" s="7" t="n">
        <v>-0.459056458029523</v>
      </c>
      <c r="IO6" s="7" t="n">
        <v>-0.164774908439921</v>
      </c>
      <c r="IP6" s="7" t="n">
        <v>-0.08127478338312311</v>
      </c>
      <c r="IQ6" s="7" t="n">
        <v>-1.11736458890825</v>
      </c>
      <c r="IR6" s="7" t="n">
        <v>0.0522847047647684</v>
      </c>
      <c r="IS6" s="7" t="n">
        <v>0.491883628144688</v>
      </c>
      <c r="IT6" s="7" t="n">
        <v>0.478628995541856</v>
      </c>
      <c r="IU6" s="7" t="n">
        <v>1.30003862937745</v>
      </c>
      <c r="IV6" s="7" t="n">
        <v>0.299480978846807</v>
      </c>
      <c r="IW6" s="7" t="n">
        <v>-0.53735196542158</v>
      </c>
      <c r="IX6" s="7" t="n">
        <v>-0.915387482475865</v>
      </c>
      <c r="IY6" s="7" t="n">
        <v>0.655521559759133</v>
      </c>
      <c r="IZ6" s="7" t="n">
        <v>-1.12806070670839</v>
      </c>
      <c r="JA6" s="7" t="n">
        <v>0.0001093831887518</v>
      </c>
      <c r="JB6" s="7" t="n">
        <v>-1.03306173177056</v>
      </c>
      <c r="JC6" s="7" t="n">
        <v>0.08712413813518299</v>
      </c>
      <c r="JD6" s="7" t="n">
        <v>0.461687832393277</v>
      </c>
      <c r="JE6" s="7" t="n">
        <v>0.707417420355817</v>
      </c>
      <c r="JF6" s="7" t="n">
        <v>-0.904253465587896</v>
      </c>
      <c r="JG6" s="7" t="n">
        <v>-1.08155466103839</v>
      </c>
      <c r="JH6" s="7" t="n">
        <v>-0.092737576435203</v>
      </c>
      <c r="JI6" s="7" t="n">
        <v>-1.66038422934513</v>
      </c>
      <c r="JJ6" s="7" t="n">
        <v>0.283262464621865</v>
      </c>
      <c r="JK6" s="7" t="n">
        <v>0.9151561399800699</v>
      </c>
      <c r="JL6" s="7" t="n">
        <v>1.09205337339726</v>
      </c>
      <c r="JM6" s="7" t="n">
        <v>0.92067350043467</v>
      </c>
      <c r="JN6" s="7" t="n">
        <v>1.74044240509771</v>
      </c>
      <c r="JO6" s="7" t="n">
        <v>-0.88645692276403</v>
      </c>
      <c r="JP6" s="7" t="n">
        <v>-1.06708541957883</v>
      </c>
      <c r="JQ6" s="7" t="n">
        <v>-1.90552482211848</v>
      </c>
      <c r="JR6" s="7" t="n">
        <v>1.075080198464</v>
      </c>
      <c r="JS6" s="7" t="n">
        <v>-0.182810823599667</v>
      </c>
      <c r="JT6" s="7" t="n">
        <v>-1.94921474205397</v>
      </c>
      <c r="JU6" s="7" t="n">
        <v>0.2149209454017</v>
      </c>
      <c r="JV6" s="7" t="n">
        <v>-0.676063037928474</v>
      </c>
      <c r="JW6" s="7" t="n">
        <v>0.763348858786566</v>
      </c>
      <c r="JX6" s="7" t="n">
        <v>-1.14927562968326</v>
      </c>
      <c r="JY6" s="7" t="n">
        <v>-0.567895959401608</v>
      </c>
      <c r="JZ6" s="7" t="n">
        <v>0.206067024695258</v>
      </c>
      <c r="KA6" s="7" t="n">
        <v>0.429770430783361</v>
      </c>
      <c r="KB6" s="7" t="n">
        <v>0.0974240613339043</v>
      </c>
      <c r="KC6" s="7" t="n">
        <v>-1.39242737588716</v>
      </c>
      <c r="KD6" s="7" t="n">
        <v>-0.231849402655257</v>
      </c>
      <c r="KE6" s="7" t="n">
        <v>0.585942304047865</v>
      </c>
      <c r="KF6" s="7" t="n">
        <v>1.03156752343797</v>
      </c>
      <c r="KG6" s="7" t="n">
        <v>-0.405047365265407</v>
      </c>
      <c r="KH6" s="7" t="n">
        <v>0.165482748779326</v>
      </c>
      <c r="KI6" s="7" t="n">
        <v>0.972466057828385</v>
      </c>
      <c r="KJ6" s="7" t="n">
        <v>0.322989723980308</v>
      </c>
      <c r="KK6" s="7" t="n">
        <v>0.426461685474317</v>
      </c>
      <c r="KL6" s="7" t="n">
        <v>-0.937085657159713</v>
      </c>
      <c r="KM6" s="7" t="n">
        <v>0.376606335940784</v>
      </c>
      <c r="KN6" s="7" t="n">
        <v>1.28387637621417</v>
      </c>
      <c r="KO6" s="7" t="n">
        <v>-0.0444799863464168</v>
      </c>
      <c r="KP6" s="7" t="n">
        <v>-1.34781770102306</v>
      </c>
      <c r="KQ6" s="7" t="n">
        <v>-0.105926231541831</v>
      </c>
      <c r="KR6" s="7" t="n">
        <v>-0.401086301596298</v>
      </c>
      <c r="KS6" s="7" t="n">
        <v>-0.864432752256014</v>
      </c>
      <c r="KT6" s="7" t="n">
        <v>-0.812854200790645</v>
      </c>
      <c r="KU6" s="7" t="n">
        <v>-1.46581682262741</v>
      </c>
      <c r="KV6" s="7" t="n">
        <v>-0.545919956630476</v>
      </c>
      <c r="KW6" s="7" t="n">
        <v>-0.240755962751785</v>
      </c>
      <c r="KX6" s="7" t="n">
        <v>0.0456424020221975</v>
      </c>
      <c r="KY6" s="7" t="n">
        <v>0.945812882437679</v>
      </c>
      <c r="KZ6" s="7" t="n">
        <v>1.13539333831958</v>
      </c>
      <c r="LA6" s="7" t="n">
        <v>-0.946065895089269</v>
      </c>
      <c r="LB6" s="7" t="n">
        <v>1.36659502357562</v>
      </c>
      <c r="LC6" s="7" t="n">
        <v>1.34944189373446</v>
      </c>
      <c r="LD6" s="7" t="n">
        <v>-0.253584769637972</v>
      </c>
      <c r="LE6" s="7" t="n">
        <v>0.508598700090131</v>
      </c>
      <c r="LF6" s="7" t="n">
        <v>0.0645596646481456</v>
      </c>
      <c r="LG6" s="7" t="n">
        <v>-0.7548572267589611</v>
      </c>
      <c r="LH6" s="7" t="n">
        <v>0.453017691302334</v>
      </c>
      <c r="LI6" s="7" t="n">
        <v>-0.0584307086004676</v>
      </c>
      <c r="LJ6" s="7" t="n">
        <v>0.429758617999779</v>
      </c>
      <c r="LK6" s="7" t="n">
        <v>-1.61973076348781</v>
      </c>
      <c r="LL6" s="7" t="n">
        <v>-1.86652254657979</v>
      </c>
      <c r="LM6" s="7" t="n">
        <v>-1.46034460688085</v>
      </c>
      <c r="LN6" s="7" t="n">
        <v>-0.0848579655259623</v>
      </c>
      <c r="LO6" s="7" t="n">
        <v>-0.0157475839874485</v>
      </c>
      <c r="LP6" s="7" t="n">
        <v>0.299275295482314</v>
      </c>
      <c r="LQ6" s="7" t="n">
        <v>1.36079806735798</v>
      </c>
      <c r="LR6" s="7" t="n">
        <v>-0.487232034615558</v>
      </c>
      <c r="LS6" s="7" t="n">
        <v>-1.66399232858529</v>
      </c>
      <c r="LT6" s="7" t="n">
        <v>0.529746727443046</v>
      </c>
      <c r="LU6" s="7" t="n">
        <v>-0.738168004676762</v>
      </c>
      <c r="LV6" s="7" t="n">
        <v>-3.00856657110482</v>
      </c>
      <c r="LW6" s="7" t="n">
        <v>2.05777478508409</v>
      </c>
      <c r="LX6" s="7" t="n">
        <v>0.969721075566311</v>
      </c>
      <c r="LY6" s="7" t="n">
        <v>0.994247159601889</v>
      </c>
      <c r="LZ6" s="7" t="n">
        <v>-2.33172037632035</v>
      </c>
      <c r="MA6" s="7" t="n">
        <v>0.0546234473957315</v>
      </c>
      <c r="MB6" s="7" t="n">
        <v>0.118608770755883</v>
      </c>
      <c r="MC6" s="7" t="n">
        <v>-0.633174805262401</v>
      </c>
      <c r="MD6" s="7" t="n">
        <v>0.319117811015072</v>
      </c>
      <c r="ME6" s="7" t="n">
        <v>0.0803204746208261</v>
      </c>
      <c r="MF6" s="7" t="n">
        <v>-0.0580585140928886</v>
      </c>
      <c r="MG6" s="7" t="n">
        <v>-0.3092655022599</v>
      </c>
      <c r="MH6" s="7" t="n">
        <v>0.698553869760832</v>
      </c>
      <c r="MI6" s="7" t="n">
        <v>-0.17290115512121</v>
      </c>
      <c r="MJ6" s="7" t="n">
        <v>-1.52183474141846</v>
      </c>
      <c r="MK6" s="7" t="n">
        <v>-0.510994613918927</v>
      </c>
      <c r="ML6" s="7" t="n">
        <v>2.43428930379101</v>
      </c>
      <c r="MM6" s="7" t="n">
        <v>0.6633132494177409</v>
      </c>
      <c r="MN6" s="7" t="n">
        <v>-1.64613415506154</v>
      </c>
      <c r="MO6" s="7" t="n">
        <v>-0.06571785568411539</v>
      </c>
      <c r="MP6" s="7" t="n">
        <v>0.973419346124623</v>
      </c>
      <c r="MQ6" s="7" t="n">
        <v>-0.000111212631167</v>
      </c>
      <c r="MR6" s="7" t="n">
        <v>0.264789907818592</v>
      </c>
      <c r="MS6" s="7" t="n">
        <v>-1.49252377835573</v>
      </c>
      <c r="MT6" s="7" t="n">
        <v>0.176420153041811</v>
      </c>
      <c r="MU6" s="7" t="n">
        <v>0.363863551961347</v>
      </c>
      <c r="MV6" s="7" t="n">
        <v>-0.8316381308192921</v>
      </c>
      <c r="MW6" s="7" t="n">
        <v>0.930823815886631</v>
      </c>
      <c r="MX6" s="7" t="n">
        <v>0.936754992281399</v>
      </c>
      <c r="MY6" s="7" t="n">
        <v>-0.7123020362044939</v>
      </c>
      <c r="MZ6" s="7" t="n">
        <v>-1.29589426202748</v>
      </c>
      <c r="NA6" s="7" t="n">
        <v>-0.103033545467618</v>
      </c>
      <c r="NB6" s="7" t="n">
        <v>0.853555515666192</v>
      </c>
      <c r="NC6" s="7" t="n">
        <v>-0.352836330452116</v>
      </c>
      <c r="ND6" s="7" t="n">
        <v>1.07818236202465</v>
      </c>
      <c r="NE6" s="7" t="n">
        <v>-1.09351322914894</v>
      </c>
      <c r="NF6" s="7" t="n">
        <v>0.199481670285415</v>
      </c>
      <c r="NG6" s="7" t="n">
        <v>0.108991160639341</v>
      </c>
      <c r="NH6" s="7" t="n">
        <v>-2.04501528332402</v>
      </c>
      <c r="NI6" s="7" t="n">
        <v>-0.849621538995283</v>
      </c>
      <c r="NJ6" s="7" t="n">
        <v>0.129747235465581</v>
      </c>
      <c r="NK6" s="7" t="n">
        <v>1.09874535116064</v>
      </c>
      <c r="NL6" s="7" t="n">
        <v>1.4681884438487</v>
      </c>
      <c r="NM6" s="7" t="n">
        <v>2.29195852272885</v>
      </c>
      <c r="NN6" s="7" t="n">
        <v>-1.69005632922126</v>
      </c>
      <c r="NO6" s="7" t="n">
        <v>0.738235120758549</v>
      </c>
      <c r="NP6" s="7" t="n">
        <v>1.21952624456779</v>
      </c>
      <c r="NQ6" s="7" t="n">
        <v>1.41890711445819</v>
      </c>
      <c r="NR6" s="7" t="n">
        <v>-0.034895873563446</v>
      </c>
      <c r="NS6" s="7" t="n">
        <v>0.606366073822158</v>
      </c>
      <c r="NT6" s="7" t="n">
        <v>0.137979912311985</v>
      </c>
      <c r="NU6" s="7" t="n">
        <v>0.966266001801209</v>
      </c>
      <c r="NV6" s="7" t="n">
        <v>1.59215652108231</v>
      </c>
      <c r="NW6" s="7" t="n">
        <v>-0.947815211661948</v>
      </c>
      <c r="NX6" s="7" t="n">
        <v>-0.215466455500794</v>
      </c>
      <c r="NY6" s="7" t="n">
        <v>-0.12744339691488</v>
      </c>
      <c r="NZ6" s="7" t="n">
        <v>0.597359811205447</v>
      </c>
      <c r="OA6" s="7" t="n">
        <v>0.597181021661249</v>
      </c>
      <c r="OB6" s="7" t="n">
        <v>-0.261264262826784</v>
      </c>
      <c r="OC6" s="7" t="n">
        <v>-1.04601566600161</v>
      </c>
      <c r="OD6" s="7" t="n">
        <v>-0.0859685015846753</v>
      </c>
      <c r="OE6" s="7" t="n">
        <v>0.29080379254959</v>
      </c>
      <c r="OF6" s="7" t="n">
        <v>0.302028844105392</v>
      </c>
      <c r="OG6" s="7" t="n">
        <v>0.0819784571836774</v>
      </c>
      <c r="OH6" s="7" t="n">
        <v>-1.25979041056531</v>
      </c>
      <c r="OI6" s="7" t="n">
        <v>0.293778622860632</v>
      </c>
      <c r="OJ6" s="7" t="n">
        <v>0.707810504675232</v>
      </c>
      <c r="OK6" s="7" t="n">
        <v>1.17911316080394</v>
      </c>
      <c r="OL6" s="7" t="n">
        <v>-0.818923940525641</v>
      </c>
      <c r="OM6" s="7" t="n">
        <v>0.922540182341207</v>
      </c>
      <c r="ON6" s="7" t="n">
        <v>-0.866819742302592</v>
      </c>
      <c r="OO6" s="7" t="n">
        <v>0.549136179756809</v>
      </c>
      <c r="OP6" s="7" t="n">
        <v>-0.794640180030995</v>
      </c>
      <c r="OQ6" s="7" t="n">
        <v>-0.810741356215029</v>
      </c>
      <c r="OR6" s="7" t="n">
        <v>-0.716004195107214</v>
      </c>
      <c r="OS6" s="7" t="n">
        <v>1.63657213795604</v>
      </c>
      <c r="OT6" s="7" t="n">
        <v>-0.478227518740789</v>
      </c>
      <c r="OU6" s="7" t="n">
        <v>0.68077444791321</v>
      </c>
      <c r="OV6" s="7" t="n">
        <v>-0.657608258125116</v>
      </c>
      <c r="OW6" s="7" t="n">
        <v>0.372437611250461</v>
      </c>
      <c r="OX6" s="7" t="n">
        <v>0.581878453882974</v>
      </c>
      <c r="OY6" s="7" t="n">
        <v>1.21461377351391</v>
      </c>
      <c r="OZ6" s="7" t="n">
        <v>-0.53889475021684</v>
      </c>
      <c r="PA6" s="7" t="n">
        <v>-1.22696983252391</v>
      </c>
      <c r="PB6" s="7" t="n">
        <v>0.358193069427475</v>
      </c>
      <c r="PC6" s="7" t="n">
        <v>1.88283013739834</v>
      </c>
      <c r="PD6" s="7" t="n">
        <v>-0.15206293652675</v>
      </c>
      <c r="PE6" s="7" t="n">
        <v>-1.12354687194816</v>
      </c>
      <c r="PF6" s="7" t="n">
        <v>1.55612743075959</v>
      </c>
      <c r="PG6" s="7" t="n">
        <v>-0.290269168583038</v>
      </c>
      <c r="PH6" s="7" t="n">
        <v>2.02816027435944</v>
      </c>
      <c r="PI6" s="7" t="n">
        <v>-0.840893274343061</v>
      </c>
      <c r="PJ6" s="7" t="n">
        <v>-1.02947045471151</v>
      </c>
      <c r="PK6" s="7" t="n">
        <v>1.29996323125366</v>
      </c>
      <c r="PL6" s="7" t="n">
        <v>-0.476304973333274</v>
      </c>
      <c r="PM6" s="7" t="n">
        <v>0.222250523372178</v>
      </c>
      <c r="PN6" s="7" t="n">
        <v>-0.405714005433996</v>
      </c>
      <c r="PO6" s="7" t="n">
        <v>0.645759904849573</v>
      </c>
      <c r="PP6" s="7" t="n">
        <v>1.12176393579604</v>
      </c>
      <c r="PQ6" s="7" t="n">
        <v>0.249136260188004</v>
      </c>
      <c r="PR6" s="7" t="n">
        <v>-0.0945520591466802</v>
      </c>
      <c r="PS6" s="7" t="n">
        <v>1.90373820707488</v>
      </c>
      <c r="PT6" s="7" t="n">
        <v>0.763473329240491</v>
      </c>
      <c r="PU6" s="7" t="n">
        <v>-0.404508800077349</v>
      </c>
      <c r="PV6" s="7" t="n">
        <v>-1.88646275687954</v>
      </c>
      <c r="PW6" s="7" t="n">
        <v>-0.681019074630502</v>
      </c>
      <c r="PX6" s="7" t="n">
        <v>-0.81441230691941</v>
      </c>
      <c r="PY6" s="7" t="n">
        <v>-0.660910465281318</v>
      </c>
      <c r="PZ6" s="7" t="n">
        <v>-0.377667809976581</v>
      </c>
      <c r="QA6" s="7" t="n">
        <v>-0.481460501096753</v>
      </c>
      <c r="QB6" s="7" t="n">
        <v>-0.4898523021462</v>
      </c>
      <c r="QC6" s="7" t="n">
        <v>-0.920997820108565</v>
      </c>
      <c r="QD6" s="7" t="n">
        <v>-1.06724575212093</v>
      </c>
      <c r="QE6" s="7" t="n">
        <v>0.42334726422448</v>
      </c>
      <c r="QF6" s="7" t="n">
        <v>0.0408149706438682</v>
      </c>
      <c r="QG6" s="7" t="n">
        <v>-0.356120631921696</v>
      </c>
      <c r="QH6" s="7" t="n">
        <v>-1.23965997483323</v>
      </c>
      <c r="QI6" s="7" t="n">
        <v>-2.00649463552185</v>
      </c>
      <c r="QJ6" s="7" t="n">
        <v>-0.0261495311048074</v>
      </c>
      <c r="QK6" s="7" t="n">
        <v>-1.41849819911256</v>
      </c>
      <c r="QL6" s="7" t="n">
        <v>0.230132275309301</v>
      </c>
      <c r="QM6" s="7" t="n">
        <v>0.91540412840406</v>
      </c>
      <c r="QN6" s="7" t="n">
        <v>0.786921241512717</v>
      </c>
      <c r="QO6" s="7" t="n">
        <v>-2.24691732027149</v>
      </c>
      <c r="QP6" s="7" t="n">
        <v>-1.69278653258274</v>
      </c>
      <c r="QQ6" s="7" t="n">
        <v>1.50776396045654</v>
      </c>
      <c r="QR6" s="7" t="n">
        <v>-0.29018279165076</v>
      </c>
      <c r="QS6" s="7" t="n">
        <v>-1.49326871361296</v>
      </c>
      <c r="QT6" s="7" t="n">
        <v>-0.296912384168532</v>
      </c>
      <c r="QU6" s="7" t="n">
        <v>-0.249863464779141</v>
      </c>
      <c r="QV6" s="7" t="n">
        <v>-0.86439845633501</v>
      </c>
      <c r="QW6" s="7" t="n">
        <v>0.604305922796174</v>
      </c>
      <c r="QX6" s="7" t="n">
        <v>-0.255995269237021</v>
      </c>
      <c r="QY6" s="7" t="n">
        <v>-0.0275759891527245</v>
      </c>
      <c r="QZ6" s="7" t="n">
        <v>0.112432507096312</v>
      </c>
      <c r="RA6" s="7" t="n">
        <v>0.761093458041243</v>
      </c>
      <c r="RB6" s="7" t="n">
        <v>-0.54562468402526</v>
      </c>
      <c r="RC6" s="7" t="n">
        <v>1.26489307085519</v>
      </c>
      <c r="RD6" s="7" t="n">
        <v>1.26411146666307</v>
      </c>
      <c r="RE6" s="7" t="n">
        <v>0.437760827981289</v>
      </c>
      <c r="RF6" s="7" t="n">
        <v>-0.28596746036303</v>
      </c>
      <c r="RG6" s="7" t="n">
        <v>0.577040182476389</v>
      </c>
      <c r="RH6" s="7" t="n">
        <v>-0.944768692934024</v>
      </c>
      <c r="RI6" s="7" t="n">
        <v>-0.578490099191279</v>
      </c>
      <c r="RJ6" s="7" t="n">
        <v>0.436021567963635</v>
      </c>
      <c r="RK6" s="7" t="n">
        <v>0.899002434898724</v>
      </c>
      <c r="RL6" s="7" t="n">
        <v>0.373725574780233</v>
      </c>
      <c r="RM6" s="7" t="n">
        <v>0.694536847711176</v>
      </c>
      <c r="RN6" s="7" t="n">
        <v>1.54576884150182</v>
      </c>
      <c r="RO6" s="7" t="n">
        <v>0.529027113178935</v>
      </c>
      <c r="RP6" s="7" t="n">
        <v>-1.24291758438972</v>
      </c>
      <c r="RQ6" s="7" t="n">
        <v>-0.103404222524872</v>
      </c>
      <c r="RR6" s="7" t="n">
        <v>-0.680652981744322</v>
      </c>
      <c r="RS6" s="7" t="n">
        <v>-1.57526637662029</v>
      </c>
      <c r="RT6" s="7" t="n">
        <v>0.6874660977707731</v>
      </c>
      <c r="RU6" s="7" t="n">
        <v>0.956677892579499</v>
      </c>
      <c r="RV6" s="7" t="n">
        <v>-0.436292278427092</v>
      </c>
      <c r="RW6" s="7" t="n">
        <v>-0.818758855412943</v>
      </c>
      <c r="RX6" s="7" t="n">
        <v>0.200659144870987</v>
      </c>
      <c r="RY6" s="7" t="n">
        <v>-0.552789632580953</v>
      </c>
      <c r="RZ6" s="7" t="n">
        <v>0.354330675939215</v>
      </c>
      <c r="SA6" s="7" t="n">
        <v>-0.204203892172524</v>
      </c>
      <c r="SB6" s="7" t="n">
        <v>-0.69387822758967</v>
      </c>
      <c r="SC6" s="7" t="n">
        <v>-0.345271950951835</v>
      </c>
      <c r="SD6" s="7" t="n">
        <v>0.0339782152145781</v>
      </c>
      <c r="SE6" s="7" t="n">
        <v>0.373428424841618</v>
      </c>
      <c r="SF6" s="7" t="n">
        <v>1.5608659807956</v>
      </c>
      <c r="SG6" s="7" t="n">
        <v>1.12310997673085</v>
      </c>
      <c r="SH6" s="7" t="n">
        <v>-1.07822565898548</v>
      </c>
      <c r="SI6" s="7" t="n">
        <v>-1.3984097829996</v>
      </c>
      <c r="SJ6" s="7" t="n">
        <v>-0.608583022391027</v>
      </c>
      <c r="SK6" s="7" t="n">
        <v>0.5803865474602929</v>
      </c>
      <c r="SL6" s="7" t="n">
        <v>-0.88085513214847</v>
      </c>
      <c r="SM6" s="7" t="n">
        <v>-0.0416303140136072</v>
      </c>
      <c r="SN6" s="7" t="n">
        <v>0.218405157660844</v>
      </c>
      <c r="SO6" s="7" t="n">
        <v>1.37390651938263</v>
      </c>
      <c r="SP6" s="7" t="n">
        <v>0.231645237934929</v>
      </c>
      <c r="SQ6" s="7" t="n">
        <v>-0.929039343597051</v>
      </c>
      <c r="SR6" s="7" t="n">
        <v>-0.0224104101454938</v>
      </c>
      <c r="SS6" s="7" t="n">
        <v>-0.435602042111579</v>
      </c>
      <c r="ST6" s="7" t="n">
        <v>0.649325002895065</v>
      </c>
      <c r="SU6" s="7" t="n">
        <v>2.29949316042078</v>
      </c>
      <c r="SV6" s="7" t="n">
        <v>0.823204260497487</v>
      </c>
      <c r="SW6" s="7" t="n">
        <v>-0.427860948183237</v>
      </c>
      <c r="SX6" s="7" t="n">
        <v>-0.209818772968748</v>
      </c>
      <c r="SY6" s="7" t="n">
        <v>0.734366657093659</v>
      </c>
      <c r="SZ6" s="7" t="n">
        <v>-0.114933410755034</v>
      </c>
      <c r="TA6" s="7" t="n">
        <v>0.357981986701795</v>
      </c>
      <c r="TB6" s="7" t="n">
        <v>0.0820434160887656</v>
      </c>
      <c r="TC6" s="7" t="n">
        <v>-1.66990464257295</v>
      </c>
      <c r="TD6" s="7" t="n">
        <v>-1.14588460241444</v>
      </c>
      <c r="TE6" s="7" t="n">
        <v>0.0224866716024195</v>
      </c>
      <c r="TF6" s="7" t="n">
        <v>0.726588775782983</v>
      </c>
      <c r="TG6" s="7" t="n">
        <v>-0.342719725059464</v>
      </c>
      <c r="TH6" s="7" t="n">
        <v>0.797635399492907</v>
      </c>
      <c r="TI6" s="7" t="n">
        <v>-1.16591912003825</v>
      </c>
      <c r="TJ6" s="7" t="n">
        <v>0.6613404061639639</v>
      </c>
      <c r="TK6" s="7" t="n">
        <v>-1.08324185300986</v>
      </c>
      <c r="TL6" s="7" t="n">
        <v>0.598763736986463</v>
      </c>
      <c r="TM6" s="7" t="n">
        <v>2.01898720485245</v>
      </c>
      <c r="TN6" s="7" t="n">
        <v>0.28186319756248</v>
      </c>
      <c r="TO6" s="7" t="n">
        <v>-0.0568932864917084</v>
      </c>
      <c r="TP6" s="7" t="n">
        <v>-0.966878798883575</v>
      </c>
      <c r="TQ6" s="7" t="n">
        <v>-1.5392104489614</v>
      </c>
      <c r="TR6" s="7" t="n">
        <v>0.462692797488359</v>
      </c>
      <c r="TS6" s="7" t="n">
        <v>-0.991546051511267</v>
      </c>
      <c r="TT6" s="7" t="n">
        <v>0.593852360299731</v>
      </c>
      <c r="TU6" s="7" t="n">
        <v>-0.348017845293794</v>
      </c>
      <c r="TV6" s="7" t="n">
        <v>1.72193470130763</v>
      </c>
      <c r="TW6" s="7" t="n">
        <v>-0.819707009688812</v>
      </c>
      <c r="TX6" s="7" t="n">
        <v>2.03899825961525</v>
      </c>
      <c r="TY6" s="7" t="n">
        <v>-0.830209049740196</v>
      </c>
      <c r="TZ6" s="7" t="n">
        <v>-0.515556181572373</v>
      </c>
      <c r="UA6" s="7" t="n">
        <v>0.799924431482616</v>
      </c>
      <c r="UB6" s="7" t="n">
        <v>1.43310205112566</v>
      </c>
      <c r="UC6" s="7" t="n">
        <v>-2.02356392232345</v>
      </c>
      <c r="UD6" s="7" t="n">
        <v>-0.0610964038899767</v>
      </c>
      <c r="UE6" s="7" t="n">
        <v>-1.73085164312459</v>
      </c>
      <c r="UF6" s="7" t="n">
        <v>0.0759868949936984</v>
      </c>
      <c r="UG6" s="7" t="n">
        <v>-1.85220828550657</v>
      </c>
      <c r="UH6" s="7" t="n">
        <v>-0.251228396793422</v>
      </c>
      <c r="UI6" s="7" t="n">
        <v>-0.0910811161833502</v>
      </c>
      <c r="UJ6" s="7" t="n">
        <v>-1.35477790520086</v>
      </c>
      <c r="UK6" s="7" t="n">
        <v>-0.900661065236903</v>
      </c>
      <c r="UL6" s="7" t="n">
        <v>-2.11339016759443</v>
      </c>
      <c r="UM6" s="7" t="n">
        <v>0.671031829508792</v>
      </c>
      <c r="UN6" s="7" t="n">
        <v>0.819303495193473</v>
      </c>
      <c r="UO6" s="7" t="n">
        <v>2.00954864906456</v>
      </c>
      <c r="UP6" s="7" t="n">
        <v>0.68209563104557</v>
      </c>
      <c r="UQ6" s="7" t="n">
        <v>2.32550693057551</v>
      </c>
      <c r="UR6" s="7" t="n">
        <v>-0.68431637324669</v>
      </c>
      <c r="US6" s="7" t="n">
        <v>-1.13713670991601</v>
      </c>
      <c r="UT6" s="7" t="n">
        <v>0.165559903098896</v>
      </c>
      <c r="UU6" s="7" t="n">
        <v>0.049454439076555</v>
      </c>
      <c r="UV6" s="7" t="n">
        <v>-1.32535639266117</v>
      </c>
      <c r="UW6" s="7" t="n">
        <v>0.973286805842824</v>
      </c>
      <c r="UX6" s="7" t="n">
        <v>0.249752058578644</v>
      </c>
      <c r="UY6" s="7" t="n">
        <v>-2.71386921027424</v>
      </c>
      <c r="UZ6" s="7" t="n">
        <v>2.36895742910348</v>
      </c>
      <c r="VA6" s="7" t="n">
        <v>0.611589805067498</v>
      </c>
      <c r="VB6" s="7" t="n">
        <v>1.22959683435445</v>
      </c>
      <c r="VC6" s="7" t="n">
        <v>-0.510377410088463</v>
      </c>
      <c r="VD6" s="7" t="n">
        <v>0.389887222874244</v>
      </c>
      <c r="VE6" s="7" t="n">
        <v>0.33904475148328</v>
      </c>
      <c r="VF6" s="7" t="n">
        <v>-0.58719575215732</v>
      </c>
      <c r="VG6" s="7" t="n">
        <v>1.87767230524136</v>
      </c>
      <c r="VH6" s="7" t="n">
        <v>0.112185059295769</v>
      </c>
      <c r="VI6" s="7" t="n">
        <v>1.38028244221734</v>
      </c>
      <c r="VJ6" s="7" t="n">
        <v>-0.722411542959369</v>
      </c>
      <c r="VK6" s="7" t="n">
        <v>0.551254847299061</v>
      </c>
      <c r="VL6" s="7" t="n">
        <v>-0.0983526688764564</v>
      </c>
      <c r="VM6" s="7" t="n">
        <v>1.43962535595849</v>
      </c>
      <c r="VN6" s="7" t="n">
        <v>1.48106149704175</v>
      </c>
      <c r="VO6" s="7" t="n">
        <v>-1.27791505300815</v>
      </c>
      <c r="VP6" s="7" t="n">
        <v>-0.339242776484231</v>
      </c>
      <c r="VQ6" s="7" t="n">
        <v>-1.31761734421329</v>
      </c>
      <c r="VR6" s="7" t="n">
        <v>0.13463997644199</v>
      </c>
      <c r="VS6" s="7" t="n">
        <v>0.0136170397467538</v>
      </c>
      <c r="VT6" s="7" t="n">
        <v>-0.142214632173256</v>
      </c>
      <c r="VU6" s="7" t="n">
        <v>0.635710101351177</v>
      </c>
      <c r="VV6" s="7" t="n">
        <v>-0.682028538526694</v>
      </c>
      <c r="VW6" s="7" t="n">
        <v>-0.691283356075208</v>
      </c>
      <c r="VX6" s="7" t="n">
        <v>-2.07058111040532</v>
      </c>
      <c r="VY6" s="7" t="n">
        <v>-0.691205735299544</v>
      </c>
      <c r="VZ6" s="7" t="n">
        <v>0.879751282216149</v>
      </c>
      <c r="WA6" s="7" t="n">
        <v>0.864183193642917</v>
      </c>
      <c r="WB6" s="7" t="n">
        <v>0.667059105145604</v>
      </c>
      <c r="WC6" s="7" t="n">
        <v>0.420752325216552</v>
      </c>
      <c r="WD6" s="7" t="n">
        <v>1.1971600617999</v>
      </c>
      <c r="WE6" s="7" t="n">
        <v>1.67194771444079</v>
      </c>
      <c r="WF6" s="7" t="n">
        <v>-1.23094960062527</v>
      </c>
      <c r="WG6" s="7" t="n">
        <v>0.563807225479585</v>
      </c>
      <c r="WH6" s="7" t="n">
        <v>-0.06937066924898271</v>
      </c>
      <c r="WI6" s="7" t="n">
        <v>1.12330657936292</v>
      </c>
      <c r="WJ6" s="7" t="n">
        <v>-0.952387012575746</v>
      </c>
      <c r="WK6" s="7" t="n">
        <v>-1.15598984390346</v>
      </c>
      <c r="WL6" s="7" t="n">
        <v>-1.27378822278416</v>
      </c>
      <c r="WM6" s="7" t="n">
        <v>-0.0163735537344912</v>
      </c>
      <c r="WN6" s="7" t="n">
        <v>-0.0743650301390508</v>
      </c>
      <c r="WO6" s="7" t="n">
        <v>-1.1349050877533</v>
      </c>
      <c r="WP6" s="7" t="n">
        <v>0.124935550682591</v>
      </c>
      <c r="WQ6" s="7" t="n">
        <v>-0.954721540999146</v>
      </c>
      <c r="WR6" s="7" t="n">
        <v>0.33266622524489</v>
      </c>
      <c r="WS6" s="7" t="n">
        <v>-0.8046107769563819</v>
      </c>
      <c r="WT6" s="7" t="n">
        <v>-0.17061814540583</v>
      </c>
      <c r="WU6" s="7" t="n">
        <v>0.824347230846643</v>
      </c>
      <c r="WV6" s="7" t="n">
        <v>-0.82571377402171</v>
      </c>
      <c r="WW6" s="7" t="n">
        <v>-0.418356622100521</v>
      </c>
      <c r="WX6" s="7" t="n">
        <v>-0.724381566713574</v>
      </c>
      <c r="WY6" s="7" t="n">
        <v>0.55374794012826</v>
      </c>
      <c r="WZ6" s="7" t="n">
        <v>-1.29123264201932</v>
      </c>
      <c r="XA6" s="7" t="n">
        <v>0.960638210952368</v>
      </c>
      <c r="XB6" s="7" t="n">
        <v>0.366331972333749</v>
      </c>
      <c r="XC6" s="7" t="n">
        <v>0.129516671352409</v>
      </c>
      <c r="XD6" s="7" t="n">
        <v>-0.453677233549659</v>
      </c>
      <c r="XE6" s="7" t="n">
        <v>0.0555550242067364</v>
      </c>
      <c r="XF6" s="7" t="n">
        <v>0.980246528920285</v>
      </c>
      <c r="XG6" s="7" t="n">
        <v>1.20042783858173</v>
      </c>
      <c r="XH6" s="7" t="n">
        <v>-0.3813923932101</v>
      </c>
      <c r="XI6" s="7" t="n">
        <v>-0.115566111821526</v>
      </c>
      <c r="XJ6" s="7" t="n">
        <v>0.341549497518384</v>
      </c>
      <c r="XK6" s="7" t="n">
        <v>-0.599250006835249</v>
      </c>
      <c r="XL6" s="7" t="n">
        <v>-1.11241248691155</v>
      </c>
      <c r="XM6" s="7" t="n">
        <v>1.80716751623445</v>
      </c>
      <c r="XN6" s="7" t="n">
        <v>0.116436506814647</v>
      </c>
      <c r="XO6" s="7" t="n">
        <v>-0.626500988823983</v>
      </c>
      <c r="XP6" s="7" t="n">
        <v>1.48281729027508</v>
      </c>
      <c r="XQ6" s="7" t="n">
        <v>-0.35626113654961</v>
      </c>
      <c r="XR6" s="7" t="n">
        <v>-1.04586877959279</v>
      </c>
      <c r="XS6" s="7" t="n">
        <v>2.00323849880874</v>
      </c>
      <c r="XT6" s="7" t="n">
        <v>0.364420653952623</v>
      </c>
      <c r="XU6" s="7" t="n">
        <v>-0.241449305895077</v>
      </c>
      <c r="XV6" s="7" t="n">
        <v>-0.0573180306929235</v>
      </c>
      <c r="XW6" s="7" t="n">
        <v>1.55256240965465</v>
      </c>
      <c r="XX6" s="7" t="n">
        <v>1.41916746871733</v>
      </c>
      <c r="XY6" s="7" t="n">
        <v>2.2889299966121</v>
      </c>
      <c r="XZ6" s="7" t="n">
        <v>-0.514330369582422</v>
      </c>
      <c r="YA6" s="7" t="n">
        <v>2.21762811945103</v>
      </c>
      <c r="YB6" s="7" t="n">
        <v>-0.317911047498705</v>
      </c>
      <c r="YC6" s="7" t="n">
        <v>0.440579752708495</v>
      </c>
      <c r="YD6" s="7" t="n">
        <v>-0.311870082809727</v>
      </c>
      <c r="YE6" s="7" t="n">
        <v>-0.980546311493246</v>
      </c>
      <c r="YF6" s="7" t="n">
        <v>0.0111671883171782</v>
      </c>
      <c r="YG6" s="7" t="n">
        <v>0.7393974928529869</v>
      </c>
      <c r="YH6" s="7" t="n">
        <v>0.824946423589798</v>
      </c>
      <c r="YI6" s="7" t="n">
        <v>0.456878228201193</v>
      </c>
      <c r="YJ6" s="7" t="n">
        <v>-0.470097520852415</v>
      </c>
      <c r="YK6" s="7" t="n">
        <v>-1.32840175457633</v>
      </c>
      <c r="YL6" s="7" t="n">
        <v>0.159433301975449</v>
      </c>
      <c r="YM6" s="7" t="n">
        <v>-0.37125362735592</v>
      </c>
      <c r="YN6" s="7" t="n">
        <v>-0.6971999249192971</v>
      </c>
      <c r="YO6" s="7" t="n">
        <v>0.641114625828502</v>
      </c>
      <c r="YP6" s="7" t="n">
        <v>0.435591907363675</v>
      </c>
      <c r="YQ6" s="7" t="n">
        <v>1.12273041340569</v>
      </c>
      <c r="YR6" s="7" t="n">
        <v>-0.188040387778979</v>
      </c>
      <c r="YS6" s="7" t="n">
        <v>-0.241419522291525</v>
      </c>
      <c r="YT6" s="7" t="n">
        <v>2.97688064492114</v>
      </c>
      <c r="YU6" s="7" t="n">
        <v>0.997805507646887</v>
      </c>
      <c r="YV6" s="7" t="n">
        <v>-0.200447348479181</v>
      </c>
      <c r="YW6" s="7" t="n">
        <v>1.44535028002221</v>
      </c>
      <c r="YX6" s="7" t="n">
        <v>-1.22175816406814</v>
      </c>
      <c r="YY6" s="7" t="n">
        <v>0.507826798988762</v>
      </c>
      <c r="YZ6" s="7" t="n">
        <v>-1.34411469802568</v>
      </c>
      <c r="ZA6" s="7" t="n">
        <v>0.551146465932111</v>
      </c>
      <c r="ZB6" s="7" t="n">
        <v>0.811787920704372</v>
      </c>
      <c r="ZC6" s="7" t="n">
        <v>-0.798199384463554</v>
      </c>
      <c r="ZD6" s="7" t="n">
        <v>1.71242208246948</v>
      </c>
      <c r="ZE6" s="7" t="n">
        <v>-0.329926661406461</v>
      </c>
      <c r="ZF6" s="7" t="n">
        <v>-2.12148277115992</v>
      </c>
      <c r="ZG6" s="7" t="n">
        <v>0.820927449678247</v>
      </c>
      <c r="ZH6" s="7" t="n">
        <v>-1.15763210880867</v>
      </c>
      <c r="ZI6" s="7" t="n">
        <v>0.343701544040004</v>
      </c>
      <c r="ZJ6" s="7" t="n">
        <v>0.597538496338992</v>
      </c>
      <c r="ZK6" s="7" t="n">
        <v>-1.10779597024463</v>
      </c>
      <c r="ZL6" s="7" t="n">
        <v>0.357567170659914</v>
      </c>
      <c r="ZM6" s="7" t="n">
        <v>-0.0329459502481472</v>
      </c>
      <c r="ZN6" s="7" t="n">
        <v>0.887544993369908</v>
      </c>
      <c r="ZO6" s="7" t="n">
        <v>-0.952100307047714</v>
      </c>
      <c r="ZP6" s="7" t="n">
        <v>-0.381281699513754</v>
      </c>
      <c r="ZQ6" s="7" t="n">
        <v>-0.653624685000012</v>
      </c>
      <c r="ZR6" s="7" t="n">
        <v>-0.885443625460582</v>
      </c>
      <c r="ZS6" s="7" t="n">
        <v>-0.0974931754870174</v>
      </c>
      <c r="ZT6" s="7" t="n">
        <v>-0.32668255092977</v>
      </c>
      <c r="ZU6" s="7" t="n">
        <v>1.0955731991109</v>
      </c>
      <c r="ZV6" s="7" t="n">
        <v>-1.45331416941795</v>
      </c>
      <c r="ZW6" s="7" t="n">
        <v>-1.48207607150876</v>
      </c>
      <c r="ZX6" s="7" t="n">
        <v>-0.309210582108178</v>
      </c>
      <c r="ZY6" s="7" t="n">
        <v>0.819009594211091</v>
      </c>
      <c r="ZZ6" s="7" t="n">
        <v>1.37862195381236</v>
      </c>
      <c r="AAA6" s="7" t="n">
        <v>-0.646479686339709</v>
      </c>
      <c r="AAB6" s="7" t="n">
        <v>-0.595428213578462</v>
      </c>
      <c r="AAC6" s="7" t="n">
        <v>-0.0243518044905093</v>
      </c>
      <c r="AAD6" s="7" t="n">
        <v>0.210175696003669</v>
      </c>
      <c r="AAE6" s="7" t="n">
        <v>0.910943685496126</v>
      </c>
      <c r="AAF6" s="7" t="n">
        <v>0.701112595915485</v>
      </c>
      <c r="AAG6" s="7" t="n">
        <v>-0.367505057466366</v>
      </c>
      <c r="AAH6" s="7" t="n">
        <v>-0.885503358670081</v>
      </c>
      <c r="AAI6" s="7" t="n">
        <v>-1.38511845320911</v>
      </c>
      <c r="AAJ6" s="7" t="n">
        <v>-1.91348764291943</v>
      </c>
      <c r="AAK6" s="7" t="n">
        <v>-0.308322466088131</v>
      </c>
      <c r="AAL6" s="7" t="n">
        <v>0.471231316055942</v>
      </c>
      <c r="AAM6" s="7" t="n">
        <v>0.884078280348863</v>
      </c>
      <c r="AAN6" s="7" t="n">
        <v>-0.346515265892733</v>
      </c>
      <c r="AAO6" s="7" t="n">
        <v>-0.07494456348043969</v>
      </c>
      <c r="AAP6" s="7" t="n">
        <v>0.0571178283177299</v>
      </c>
      <c r="AAQ6" s="7" t="n">
        <v>0.597725480481461</v>
      </c>
      <c r="AAR6" s="7" t="n">
        <v>0.115486297272678</v>
      </c>
      <c r="AAS6" s="7" t="n">
        <v>2.7426103610097</v>
      </c>
      <c r="AAT6" s="7" t="n">
        <v>0.594465938678832</v>
      </c>
      <c r="AAU6" s="7" t="n">
        <v>-0.162716114780154</v>
      </c>
      <c r="AAV6" s="7" t="n">
        <v>2.03993840169881</v>
      </c>
      <c r="AAW6" s="7" t="n">
        <v>-2.51529948486662</v>
      </c>
      <c r="AAX6" s="7" t="n">
        <v>-0.275071964498122</v>
      </c>
      <c r="AAY6" s="7" t="n">
        <v>0.956981713619419</v>
      </c>
      <c r="AAZ6" s="7" t="n">
        <v>-1.31823560326428</v>
      </c>
      <c r="ABA6" s="7" t="n">
        <v>-1.2218478359777</v>
      </c>
      <c r="ABB6" s="7" t="n">
        <v>-0.961663364401274</v>
      </c>
      <c r="ABC6" s="7" t="n">
        <v>-0.0519275703998667</v>
      </c>
      <c r="ABD6" s="7" t="n">
        <v>0.568173077918435</v>
      </c>
      <c r="ABE6" s="7" t="n">
        <v>-0.267270889746221</v>
      </c>
      <c r="ABF6" s="7" t="n">
        <v>-0.618211577618635</v>
      </c>
      <c r="ABG6" s="7" t="n">
        <v>-0.829249323214478</v>
      </c>
      <c r="ABH6" s="7" t="n">
        <v>1.19215909304169</v>
      </c>
      <c r="ABI6" s="7" t="n">
        <v>-1.97135088410613</v>
      </c>
      <c r="ABJ6" s="7" t="n">
        <v>-0.609942323616572</v>
      </c>
      <c r="ABK6" s="7" t="n">
        <v>0.348211545627276</v>
      </c>
      <c r="ABL6" s="7" t="n">
        <v>2.67911935315752</v>
      </c>
      <c r="ABM6" s="7" t="n">
        <v>-1.05996036989774</v>
      </c>
      <c r="ABN6" s="7" t="n">
        <v>1.27139614787056</v>
      </c>
      <c r="ABO6" s="7" t="n">
        <v>-0.298105465784851</v>
      </c>
      <c r="ABP6" s="7" t="n">
        <v>0.462126943142456</v>
      </c>
      <c r="ABQ6" s="7" t="n">
        <v>0.505817826446839</v>
      </c>
      <c r="ABR6" s="7" t="n">
        <v>0.458172345080494</v>
      </c>
      <c r="ABS6" s="7" t="n">
        <v>1.20823846266907</v>
      </c>
      <c r="ABT6" s="7" t="n">
        <v>-0.0228134875680949</v>
      </c>
      <c r="ABU6" s="7" t="n">
        <v>-1.85184195329692</v>
      </c>
      <c r="ABV6" s="7" t="n">
        <v>-1.39242433508816</v>
      </c>
      <c r="ABW6" s="7" t="n">
        <v>0.211219541065772</v>
      </c>
      <c r="ABX6" s="7" t="n">
        <v>0.0025939546889665</v>
      </c>
      <c r="ABY6" s="7" t="n">
        <v>-0.206416755936163</v>
      </c>
      <c r="ABZ6" s="7" t="n">
        <v>-0.0046653948116456</v>
      </c>
      <c r="ACA6" s="7" t="n">
        <v>0.5069632334777719</v>
      </c>
      <c r="ACB6" s="7" t="n">
        <v>-0.55872770113715</v>
      </c>
      <c r="ACC6" s="7" t="n">
        <v>-0.81056611874956</v>
      </c>
      <c r="ACD6" s="7" t="n">
        <v>-1.73292813700357</v>
      </c>
      <c r="ACE6" s="7" t="n">
        <v>0.766229792869999</v>
      </c>
      <c r="ACF6" s="7" t="n">
        <v>-1.61454306040678</v>
      </c>
      <c r="ACG6" s="7" t="n">
        <v>-0.21021662657937</v>
      </c>
      <c r="ACH6" s="7" t="n">
        <v>-1.39305744757929</v>
      </c>
      <c r="ACI6" s="7" t="n">
        <v>1.23058156436157</v>
      </c>
      <c r="ACJ6" s="7" t="n">
        <v>1.10391558820918</v>
      </c>
      <c r="ACK6" s="7" t="n">
        <v>0.278729868865727</v>
      </c>
      <c r="ACL6" s="7" t="n">
        <v>1.41696068930774</v>
      </c>
      <c r="ACM6" s="7" t="n">
        <v>0.807918070147714</v>
      </c>
      <c r="ACN6" s="7" t="n">
        <v>-0.326029965947944</v>
      </c>
      <c r="ACO6" s="7" t="n">
        <v>1.01344784027534</v>
      </c>
      <c r="ACP6" s="7" t="n">
        <v>0.431084884346233</v>
      </c>
      <c r="ACQ6" s="7" t="n">
        <v>-0.205936295823094</v>
      </c>
      <c r="ACR6" s="7" t="n">
        <v>-0.307292421401768</v>
      </c>
      <c r="ACS6" s="7" t="n">
        <v>1.08546156357549</v>
      </c>
      <c r="ACT6" s="7" t="n">
        <v>-0.63238458206127</v>
      </c>
      <c r="ACU6" s="7" t="n">
        <v>0.289883726864269</v>
      </c>
      <c r="ACV6" s="7" t="n">
        <v>-0.400188372263442</v>
      </c>
      <c r="ACW6" s="7" t="n">
        <v>-0.42957228465495</v>
      </c>
      <c r="ACX6" s="7" t="n">
        <v>1.04153663337405</v>
      </c>
      <c r="ACY6" s="7" t="n">
        <v>2.8294126783583</v>
      </c>
      <c r="ACZ6" s="7" t="n">
        <v>-0.324602215620498</v>
      </c>
      <c r="ADA6" s="7" t="n">
        <v>-1.24252729129339</v>
      </c>
      <c r="ADB6" s="7" t="n">
        <v>-0.228368572436291</v>
      </c>
      <c r="ADC6" s="7" t="n">
        <v>-0.290294910147723</v>
      </c>
      <c r="ADD6" s="7" t="n">
        <v>-0.807559121762834</v>
      </c>
      <c r="ADE6" s="7" t="n">
        <v>0.897515082016678</v>
      </c>
      <c r="ADF6" s="7" t="n">
        <v>0.649630237363365</v>
      </c>
      <c r="ADG6" s="7" t="n">
        <v>1.69295550010128</v>
      </c>
      <c r="ADH6" s="7" t="n">
        <v>-0.5455924376062981</v>
      </c>
      <c r="ADI6" s="7" t="n">
        <v>0.926640724611819</v>
      </c>
      <c r="ADJ6" s="7" t="n">
        <v>-2.28330677503444</v>
      </c>
      <c r="ADK6" s="7" t="n">
        <v>2.72781826093639</v>
      </c>
      <c r="ADL6" s="7" t="n">
        <v>0.09975894818780889</v>
      </c>
      <c r="ADM6" s="7" t="n">
        <v>0.361010680267454</v>
      </c>
      <c r="ADN6" s="7" t="n">
        <v>-1.13024397938624</v>
      </c>
      <c r="ADO6" s="7" t="n">
        <v>0.593236187501467</v>
      </c>
      <c r="ADP6" s="7" t="n">
        <v>0.408579134835482</v>
      </c>
      <c r="ADQ6" s="7" t="n">
        <v>-0.344047698806475</v>
      </c>
      <c r="ADR6" s="7" t="n">
        <v>0.753384156805329</v>
      </c>
      <c r="ADS6" s="7" t="n">
        <v>-1.7335833064059</v>
      </c>
      <c r="ADT6" s="7" t="n">
        <v>0.221758614382064</v>
      </c>
      <c r="ADU6" s="7" t="n">
        <v>1.96503995119851</v>
      </c>
      <c r="ADV6" s="7" t="n">
        <v>-0.453588829265882</v>
      </c>
      <c r="ADW6" s="7" t="n">
        <v>0.477122729261262</v>
      </c>
      <c r="ADX6" s="7" t="n">
        <v>0.070903695387991</v>
      </c>
      <c r="ADY6" s="7" t="n">
        <v>-0.0045926891798867</v>
      </c>
      <c r="ADZ6" s="7" t="n">
        <v>0.341828894937836</v>
      </c>
      <c r="AEA6" s="7" t="n">
        <v>-0.460260339237473</v>
      </c>
      <c r="AEB6" s="7" t="n">
        <v>-1.05107602640357</v>
      </c>
      <c r="AEC6" s="7" t="n">
        <v>1.07830575115349</v>
      </c>
      <c r="AED6" s="7" t="n">
        <v>0.273538405226017</v>
      </c>
      <c r="AEE6" s="7" t="n">
        <v>0.36389202233287</v>
      </c>
      <c r="AEF6" s="7" t="n">
        <v>-1.24699097791208</v>
      </c>
      <c r="AEG6" s="7" t="n">
        <v>0.179942320927295</v>
      </c>
      <c r="AEH6" s="7" t="n">
        <v>0.215971579600667</v>
      </c>
      <c r="AEI6" s="7" t="n">
        <v>-0.621802975288072</v>
      </c>
      <c r="AEJ6" s="7" t="n">
        <v>-1.65859084496514</v>
      </c>
      <c r="AEK6" s="7" t="n">
        <v>0.989563985963589</v>
      </c>
      <c r="AEL6" s="7" t="n">
        <v>0.0794819545301263</v>
      </c>
      <c r="AEM6" s="7" t="n">
        <v>0.998662972915376</v>
      </c>
      <c r="AEN6" s="7" t="n">
        <v>0.275807701662487</v>
      </c>
      <c r="AEO6" s="7" t="n">
        <v>0.6869701277928399</v>
      </c>
      <c r="AEP6" s="7" t="n">
        <v>0.08110151601939</v>
      </c>
      <c r="AEQ6" s="7" t="n">
        <v>-0.47491884395292</v>
      </c>
      <c r="AER6" s="7" t="n">
        <v>0.406282394341151</v>
      </c>
      <c r="AES6" s="7" t="n">
        <v>-0.252789314428344</v>
      </c>
      <c r="AET6" s="7" t="n">
        <v>0.176415161617447</v>
      </c>
      <c r="AEU6" s="7" t="n">
        <v>0.09477581808145701</v>
      </c>
      <c r="AEV6" s="7" t="n">
        <v>1.99578631461515</v>
      </c>
      <c r="AEW6" s="7" t="n">
        <v>-0.481059011792274</v>
      </c>
      <c r="AEX6" s="7" t="n">
        <v>-1.2389493221779</v>
      </c>
      <c r="AEY6" s="7" t="n">
        <v>-0.287268067817852</v>
      </c>
      <c r="AEZ6" s="7" t="n">
        <v>0.213527448393559</v>
      </c>
      <c r="AFA6" s="7" t="n">
        <v>-0.9846835486418</v>
      </c>
      <c r="AFB6" s="7" t="n">
        <v>-0.658132241123481</v>
      </c>
      <c r="AFC6" s="7" t="n">
        <v>-1.46728442002098</v>
      </c>
      <c r="AFD6" s="7" t="n">
        <v>0.372663631948272</v>
      </c>
      <c r="AFE6" s="7" t="n">
        <v>0.368608414226785</v>
      </c>
      <c r="AFF6" s="7" t="n">
        <v>-1.24131725545799</v>
      </c>
      <c r="AFG6" s="7" t="n">
        <v>-1.4834557622605</v>
      </c>
      <c r="AFH6" s="7" t="n">
        <v>-0.269297283717313</v>
      </c>
      <c r="AFI6" s="7" t="n">
        <v>-0.0942355992581799</v>
      </c>
      <c r="AFJ6" s="7" t="n">
        <v>-1.02620018043628</v>
      </c>
      <c r="AFK6" s="7" t="n">
        <v>-0.7505486690558389</v>
      </c>
      <c r="AFL6" s="7" t="n">
        <v>-0.301246754609245</v>
      </c>
      <c r="AFM6" s="7" t="n">
        <v>-1.0360119445315</v>
      </c>
      <c r="AFN6" s="7" t="n">
        <v>-1.11250804981349</v>
      </c>
      <c r="AFO6" s="7" t="n">
        <v>0.606124429325996</v>
      </c>
      <c r="AFP6" s="7" t="n">
        <v>0.0503952382307601</v>
      </c>
      <c r="AFQ6" s="7" t="n">
        <v>-1.61204810076455</v>
      </c>
      <c r="AFR6" s="7" t="n">
        <v>-0.6852426155283891</v>
      </c>
      <c r="AFS6" s="7" t="n">
        <v>-0.5150120981445721</v>
      </c>
      <c r="AFT6" s="7" t="n">
        <v>0.654482085080815</v>
      </c>
      <c r="AFU6" s="7" t="n">
        <v>0.507358765976056</v>
      </c>
      <c r="AFV6" s="7" t="n">
        <v>-0.991103461320903</v>
      </c>
      <c r="AFW6" s="7" t="n">
        <v>0.605764416631315</v>
      </c>
      <c r="AFX6" s="7" t="n">
        <v>-0.871259096805048</v>
      </c>
      <c r="AFY6" s="7" t="n">
        <v>-0.335806535437255</v>
      </c>
      <c r="AFZ6" s="7" t="n">
        <v>-1.09463672275525</v>
      </c>
      <c r="AGA6" s="7" t="n">
        <v>-1.24972600269509</v>
      </c>
      <c r="AGB6" s="7" t="n">
        <v>0.0274428056069995</v>
      </c>
      <c r="AGC6" s="7" t="n">
        <v>-1.52765923113211</v>
      </c>
      <c r="AGD6" s="7" t="n">
        <v>1.54456823873941</v>
      </c>
      <c r="AGE6" s="7" t="n">
        <v>-1.75543026358679</v>
      </c>
      <c r="AGF6" s="7" t="n">
        <v>-0.612635266497045</v>
      </c>
      <c r="AGG6" s="7" t="n">
        <v>-0.513995258429554</v>
      </c>
      <c r="AGH6" s="7" t="n">
        <v>-0.793222946638767</v>
      </c>
      <c r="AGI6" s="7" t="n">
        <v>2.00720824360249</v>
      </c>
      <c r="AGJ6" s="7" t="n">
        <v>0.348464664798101</v>
      </c>
      <c r="AGK6" s="7" t="n">
        <v>-0.612232124209043</v>
      </c>
      <c r="AGL6" s="7" t="n">
        <v>-1.89407690326412</v>
      </c>
      <c r="AGM6" s="7" t="n">
        <v>-0.303494126491116</v>
      </c>
      <c r="AGN6" s="7" t="n">
        <v>0.218498106632518</v>
      </c>
      <c r="AGO6" s="7" t="n">
        <v>1.29552768733462</v>
      </c>
      <c r="AGP6" s="7" t="n">
        <v>-0.5623504453172929</v>
      </c>
      <c r="AGQ6" s="7" t="n">
        <v>-1.60343646507509</v>
      </c>
      <c r="AGR6" s="7" t="n">
        <v>1.34584835190684</v>
      </c>
      <c r="AGS6" s="7" t="n">
        <v>0.605152637699764</v>
      </c>
      <c r="AGT6" s="7" t="n">
        <v>-1.6165585222473</v>
      </c>
      <c r="AGU6" s="7" t="n">
        <v>0.554986092049655</v>
      </c>
      <c r="AGV6" s="7" t="n">
        <v>0.814882375466921</v>
      </c>
      <c r="AGW6" s="7" t="n">
        <v>-2.93257044639709</v>
      </c>
      <c r="AGX6" s="7" t="n">
        <v>-0.249579795566716</v>
      </c>
      <c r="AGY6" s="7" t="n">
        <v>-0.60077718443643</v>
      </c>
      <c r="AGZ6" s="7" t="n">
        <v>-0.12199055038159</v>
      </c>
      <c r="AHA6" s="7" t="n">
        <v>0.230591810346632</v>
      </c>
      <c r="AHB6" s="7" t="n">
        <v>-0.119474633153808</v>
      </c>
      <c r="AHC6" s="7" t="n">
        <v>0.476949758469814</v>
      </c>
      <c r="AHD6" s="7" t="n">
        <v>-0.642759537384801</v>
      </c>
      <c r="AHE6" s="7" t="n">
        <v>-0.947700396043232</v>
      </c>
      <c r="AHF6" s="7" t="n">
        <v>0.224902322529179</v>
      </c>
      <c r="AHG6" s="7" t="n">
        <v>-0.641229287307194</v>
      </c>
      <c r="AHH6" s="7" t="n">
        <v>1.76104210734136</v>
      </c>
      <c r="AHI6" s="7" t="n">
        <v>-0.534319412271218</v>
      </c>
      <c r="AHJ6" s="7" t="n">
        <v>-0.514677771201422</v>
      </c>
      <c r="AHK6" s="7" t="n">
        <v>-0.497062388432102</v>
      </c>
      <c r="AHL6" s="7" t="n">
        <v>2.29875828728153</v>
      </c>
      <c r="AHM6" s="7" t="n">
        <v>-0.0599642247420545</v>
      </c>
      <c r="AHN6" s="7" t="n">
        <v>-0.244160167520036</v>
      </c>
      <c r="AHO6" s="7" t="n">
        <v>0.923049239701884</v>
      </c>
      <c r="AHP6" s="7" t="n">
        <v>0.8689642683504381</v>
      </c>
      <c r="AHQ6" s="7" t="n">
        <v>0.278397534386266</v>
      </c>
      <c r="AHR6" s="7" t="n">
        <v>-0.733397719007141</v>
      </c>
      <c r="AHS6" s="7" t="n">
        <v>1.19855313598489</v>
      </c>
      <c r="AHT6" s="7" t="n">
        <v>2.78617432403933</v>
      </c>
      <c r="AHU6" s="7" t="n">
        <v>1.07632240788941</v>
      </c>
      <c r="AHV6" s="7" t="n">
        <v>-1.62434367251621</v>
      </c>
      <c r="AHW6" s="7" t="n">
        <v>-0.787981215090919</v>
      </c>
      <c r="AHX6" s="7" t="n">
        <v>-0.106350479550042</v>
      </c>
      <c r="AHY6" s="7" t="n">
        <v>-0.212663387638648</v>
      </c>
      <c r="AHZ6" s="7" t="n">
        <v>1.43772055757368</v>
      </c>
      <c r="AIA6" s="7" t="n">
        <v>0.89789025399122</v>
      </c>
      <c r="AIB6" s="7" t="n">
        <v>-1.25910153819144</v>
      </c>
      <c r="AIC6" s="7" t="n">
        <v>-1.12555459145278</v>
      </c>
      <c r="AID6" s="7" t="n">
        <v>0.623223423709901</v>
      </c>
      <c r="AIE6" s="7" t="n">
        <v>-1.61877236540708</v>
      </c>
      <c r="AIF6" s="7" t="n">
        <v>-0.335488806726899</v>
      </c>
      <c r="AIG6" s="7" t="n">
        <v>0.39043727480121</v>
      </c>
      <c r="AIH6" s="7" t="n">
        <v>-0.129052440255418</v>
      </c>
      <c r="AII6" s="7" t="n">
        <v>-0.104120392689721</v>
      </c>
      <c r="AIJ6" s="7" t="n">
        <v>-0.0125545057880618</v>
      </c>
      <c r="AIK6" s="7" t="n">
        <v>1.8354638273238</v>
      </c>
      <c r="AIL6" s="7" t="n">
        <v>0.0606502208002183</v>
      </c>
      <c r="AIM6" s="7" t="n">
        <v>0.826490985750775</v>
      </c>
      <c r="AIN6" s="7" t="n">
        <v>-0.295581003109118</v>
      </c>
      <c r="AIO6" s="7" t="n">
        <v>-0.0401133129663738</v>
      </c>
      <c r="AIP6" s="7" t="n">
        <v>-1.33743402096489</v>
      </c>
      <c r="AIQ6" s="7" t="n">
        <v>0.0425257880999468</v>
      </c>
      <c r="AIR6" s="7" t="n">
        <v>-0.197452250177822</v>
      </c>
      <c r="AIS6" s="7" t="n">
        <v>0.735051820378787</v>
      </c>
      <c r="AIT6" s="7" t="n">
        <v>2.24767703821877</v>
      </c>
      <c r="AIU6" s="7" t="n">
        <v>-1.37221774947783</v>
      </c>
      <c r="AIV6" s="7" t="n">
        <v>-1.61214760892232</v>
      </c>
      <c r="AIW6" s="7" t="n">
        <v>0.636056096445802</v>
      </c>
      <c r="AIX6" s="7" t="n">
        <v>0.580895909212917</v>
      </c>
      <c r="AIY6" s="7" t="n">
        <v>-1.40100852575705</v>
      </c>
      <c r="AIZ6" s="7" t="n">
        <v>-0.286525813391169</v>
      </c>
      <c r="AJA6" s="7" t="n">
        <v>-2.21548983803089</v>
      </c>
      <c r="AJB6" s="7" t="n">
        <v>0.686232552602006</v>
      </c>
      <c r="AJC6" s="7" t="n">
        <v>0.325033919818767</v>
      </c>
      <c r="AJD6" s="7" t="n">
        <v>-0.257528568719786</v>
      </c>
      <c r="AJE6" s="7" t="n">
        <v>-0.266553155375237</v>
      </c>
      <c r="AJF6" s="7" t="n">
        <v>2.19626739608326</v>
      </c>
      <c r="AJG6" s="7" t="n">
        <v>0.352180965030378</v>
      </c>
      <c r="AJH6" s="7" t="n">
        <v>-1.00715321408009</v>
      </c>
      <c r="AJI6" s="7" t="n">
        <v>0.0660522366564867</v>
      </c>
      <c r="AJJ6" s="7" t="n">
        <v>-0.192044606031726</v>
      </c>
      <c r="AJK6" s="7" t="n">
        <v>2.19496433785502</v>
      </c>
      <c r="AJL6" s="7" t="n">
        <v>-1.33024688672262</v>
      </c>
      <c r="AJM6" s="7" t="n">
        <v>1.48019933325732</v>
      </c>
      <c r="AJN6" s="7" t="n">
        <v>-0.887566044862566</v>
      </c>
      <c r="AJO6" s="7" t="n">
        <v>-0.935849324694214</v>
      </c>
      <c r="AJP6" s="7" t="n">
        <v>-0.7109356468507551</v>
      </c>
      <c r="AJQ6" s="7" t="n">
        <v>-1.95484647328725</v>
      </c>
      <c r="AJR6" s="7" t="n">
        <v>-0.135372190772152</v>
      </c>
      <c r="AJS6" s="7" t="n">
        <v>1.12401619132417</v>
      </c>
      <c r="AJT6" s="7" t="n">
        <v>0.160362307037365</v>
      </c>
      <c r="AJU6" s="7" t="n">
        <v>-0.188763489894647</v>
      </c>
      <c r="AJV6" s="7" t="n">
        <v>0.154056538799873</v>
      </c>
      <c r="AJW6" s="7" t="n">
        <v>1.15841220746846</v>
      </c>
      <c r="AJX6" s="7" t="n">
        <v>-0.09411661399437291</v>
      </c>
      <c r="AJY6" s="7" t="n">
        <v>-2.06393128893941</v>
      </c>
      <c r="AJZ6" s="7" t="n">
        <v>0.882276209613585</v>
      </c>
      <c r="AKA6" s="7" t="n">
        <v>-0.185096729629527</v>
      </c>
      <c r="AKB6" s="7" t="n">
        <v>-0.438725993918827</v>
      </c>
      <c r="AKC6" s="7" t="n">
        <v>-1.83507210431408</v>
      </c>
      <c r="AKD6" s="7" t="n">
        <v>1.08734839265993</v>
      </c>
      <c r="AKE6" s="7" t="n">
        <v>0.198726255752908</v>
      </c>
      <c r="AKF6" s="7" t="n">
        <v>1.01590099464338</v>
      </c>
      <c r="AKG6" s="7" t="n">
        <v>-0.199217927603312</v>
      </c>
      <c r="AKH6" s="7" t="n">
        <v>-0.544555330206255</v>
      </c>
      <c r="AKI6" s="7" t="n">
        <v>-0.149492706412338</v>
      </c>
      <c r="AKJ6" s="7" t="n">
        <v>-1.15443296496157</v>
      </c>
      <c r="AKK6" s="7" t="n">
        <v>-0.51428881500997</v>
      </c>
      <c r="AKL6" s="7" t="n">
        <v>0.892270677001382</v>
      </c>
      <c r="AKM6" s="7" t="n">
        <v>-0.43646168348435</v>
      </c>
      <c r="AKN6" s="7" t="n">
        <v>1.09741785969508</v>
      </c>
      <c r="AKO6" s="7" t="n">
        <v>-1.59616835912535</v>
      </c>
      <c r="AKP6" s="7" t="n">
        <v>-2.73655018504533</v>
      </c>
      <c r="AKQ6" s="7" t="n">
        <v>-0.711158190506527</v>
      </c>
      <c r="AKR6" s="7" t="n">
        <v>-0.638634672965377</v>
      </c>
      <c r="AKS6" s="7" t="n">
        <v>0.0219270483107801</v>
      </c>
      <c r="AKT6" s="7" t="n">
        <v>-0.000749317627755</v>
      </c>
      <c r="AKU6" s="7" t="n">
        <v>-1.436604243696</v>
      </c>
      <c r="AKV6" s="7" t="n">
        <v>0.704193917742637</v>
      </c>
      <c r="AKW6" s="7" t="n">
        <v>0.846975548270732</v>
      </c>
      <c r="AKX6" s="7" t="n">
        <v>0.964219043563337</v>
      </c>
      <c r="AKY6" s="7" t="n">
        <v>1.52304895022737</v>
      </c>
      <c r="AKZ6" s="7" t="n">
        <v>-0.605634631094816</v>
      </c>
      <c r="ALA6" s="7" t="n">
        <v>-0.527371956013405</v>
      </c>
      <c r="ALB6" s="7" t="n">
        <v>0.125048041387436</v>
      </c>
      <c r="ALC6" s="7" t="n">
        <v>0.132766507202424</v>
      </c>
      <c r="ALD6" s="7" t="n">
        <v>-0.590723174145267</v>
      </c>
      <c r="ALE6" s="7" t="n">
        <v>0.749319899072646</v>
      </c>
      <c r="ALF6" s="7" t="n">
        <v>-0.0295615517842166</v>
      </c>
      <c r="ALG6" s="7" t="n">
        <v>0.365793680679677</v>
      </c>
      <c r="ALH6" s="7" t="n">
        <v>-0.523219356910673</v>
      </c>
      <c r="ALI6" s="7" t="n">
        <v>1.44633250832951</v>
      </c>
      <c r="ALJ6" s="7" t="n">
        <v>0.551770850845381</v>
      </c>
      <c r="ALK6" s="7" t="n">
        <v>-0.837241194456578</v>
      </c>
      <c r="ALL6" s="7" t="n">
        <v>2.02641913551911</v>
      </c>
      <c r="ALM6" s="7" t="n">
        <v>2.08601595221043</v>
      </c>
      <c r="ALN6" s="7" t="n">
        <v>0.316148831628248</v>
      </c>
      <c r="ALO6" s="7" t="n">
        <v>-0.267912294330689</v>
      </c>
      <c r="ALP6" s="7" t="n">
        <v>-2.77561945863658</v>
      </c>
      <c r="ALQ6" s="7" t="n">
        <v>0.063550156360747</v>
      </c>
      <c r="ALR6" s="7" t="n">
        <v>0.0034162111660218</v>
      </c>
      <c r="ALS6" s="7" t="n">
        <v>0.643266303648184</v>
      </c>
      <c r="ALT6" s="7" t="n">
        <v>-0.650231676130066</v>
      </c>
      <c r="ALU6" s="7" t="n">
        <v>-0.809959439424548</v>
      </c>
      <c r="ALV6" s="7" t="n">
        <v>-0.425904989976464</v>
      </c>
      <c r="ALW6" s="7" t="n">
        <v>1.41160329773292</v>
      </c>
      <c r="ALX6" s="7" t="n">
        <v>1.8086360968888</v>
      </c>
      <c r="ALY6" s="7" t="n">
        <v>-2.81442737952221</v>
      </c>
      <c r="ALZ6" s="7" t="n">
        <v>-0.166817418583701</v>
      </c>
      <c r="AMA6" s="7" t="n">
        <v>-0.305855551951972</v>
      </c>
      <c r="AMB6" s="7" t="n">
        <v>-1.67965776459447</v>
      </c>
      <c r="AMC6" s="7" t="n">
        <v>0.952223781398707</v>
      </c>
      <c r="AMD6" s="7" t="n">
        <v>0.33418329406447</v>
      </c>
      <c r="AME6" s="7" t="n">
        <v>-0.471412240826663</v>
      </c>
      <c r="AMF6" s="7" t="n">
        <v>-0.0766625099455671</v>
      </c>
      <c r="AMG6" s="7" t="n">
        <v>0.121172180255786</v>
      </c>
      <c r="AMH6" s="7" t="n">
        <v>-1.08045419328199</v>
      </c>
      <c r="AMI6" s="7" t="n">
        <v>0.124075646546145</v>
      </c>
      <c r="AMJ6" s="7" t="n">
        <v>-0.805357389394731</v>
      </c>
      <c r="AMK6" s="7" t="n">
        <v>0.403497049130419</v>
      </c>
      <c r="AML6" s="7" t="n">
        <v>-0.603148278653049</v>
      </c>
      <c r="AMM6" s="7" t="n">
        <v>-0.71964255567331</v>
      </c>
      <c r="AMN6" s="7" t="n">
        <v>-1.17868808365362</v>
      </c>
      <c r="AMO6" s="7" t="n">
        <v>-1.68062974568796</v>
      </c>
      <c r="AMP6" s="7" t="n">
        <v>-1.45246961653796</v>
      </c>
      <c r="AMQ6" s="7" t="n">
        <v>0.0584336778674479</v>
      </c>
      <c r="AMR6" s="7" t="n">
        <v>-0.622682045998572</v>
      </c>
      <c r="AMS6" s="7" t="n">
        <v>0.388768209936028</v>
      </c>
      <c r="AMT6" s="7" t="n">
        <v>-0.91993217016756</v>
      </c>
      <c r="AMU6" s="7" t="n">
        <v>0.651532448585962</v>
      </c>
      <c r="AMV6" s="7" t="n">
        <v>-0.173268004320605</v>
      </c>
      <c r="AMW6" s="7" t="n">
        <v>0.791570725826181</v>
      </c>
      <c r="AMX6" s="7" t="n">
        <v>-0.425384374572071</v>
      </c>
      <c r="AMY6" s="7" t="n">
        <v>3.07793044188511</v>
      </c>
      <c r="AMZ6" s="7" t="n">
        <v>0.0435080113329195</v>
      </c>
      <c r="ANA6" s="7" t="n">
        <v>-0.133757538068105</v>
      </c>
      <c r="ANB6" s="7" t="n">
        <v>0.139783362038645</v>
      </c>
      <c r="ANC6" s="7" t="n">
        <v>-0.0751089807259879</v>
      </c>
      <c r="AND6" s="7" t="n">
        <v>0.194549373902735</v>
      </c>
      <c r="ANE6" s="7" t="n">
        <v>-0.671682447722725</v>
      </c>
      <c r="ANF6" s="7" t="n">
        <v>0.423322642127194</v>
      </c>
      <c r="ANG6" s="7" t="n">
        <v>1.97653644101094</v>
      </c>
      <c r="ANH6" s="7" t="n">
        <v>1.33525528457053</v>
      </c>
      <c r="ANI6" s="7" t="n">
        <v>-0.235489502943533</v>
      </c>
      <c r="ANJ6" s="7" t="n">
        <v>-0.173550822137766</v>
      </c>
      <c r="ANK6" s="7" t="n">
        <v>1.00912421544855</v>
      </c>
      <c r="ANL6" s="7" t="n">
        <v>1.45778078104962</v>
      </c>
      <c r="ANM6" s="7" t="n">
        <v>0.362177376651448</v>
      </c>
      <c r="ANN6" s="7" t="n">
        <v>0.997690220614789</v>
      </c>
      <c r="ANO6" s="7" t="n">
        <v>-0.879252270323356</v>
      </c>
      <c r="ANP6" s="7" t="n">
        <v>-0.07283149499004959</v>
      </c>
      <c r="ANQ6" s="7" t="n">
        <v>0.776695441604335</v>
      </c>
      <c r="ANR6" s="7" t="n">
        <v>1.83035649947761</v>
      </c>
      <c r="ANS6" s="7" t="n">
        <v>0.19175083755068</v>
      </c>
      <c r="ANT6" s="7" t="n">
        <v>0.885517575030297</v>
      </c>
      <c r="ANU6" s="7" t="n">
        <v>-0.2566221996272</v>
      </c>
      <c r="ANV6" s="7" t="n">
        <v>0.259797031148391</v>
      </c>
      <c r="ANW6" s="7" t="n">
        <v>0.0814428209541786</v>
      </c>
      <c r="ANX6" s="7" t="n">
        <v>1.49585371218934</v>
      </c>
      <c r="ANY6" s="7" t="n">
        <v>-1.14171250634366</v>
      </c>
      <c r="ANZ6" s="7" t="n">
        <v>2.28750672208578</v>
      </c>
      <c r="AOA6" s="7" t="n">
        <v>-0.482814698414317</v>
      </c>
      <c r="AOB6" s="7" t="n">
        <v>-0.137733763658147</v>
      </c>
      <c r="AOC6" s="7" t="n">
        <v>0.61145499825039</v>
      </c>
      <c r="AOD6" s="7" t="n">
        <v>-0.793093601533591</v>
      </c>
      <c r="AOE6" s="7" t="n">
        <v>-0.843658406240317</v>
      </c>
      <c r="AOF6" s="7" t="n">
        <v>-0.169539107257803</v>
      </c>
      <c r="AOG6" s="7" t="n">
        <v>1.41696188658423</v>
      </c>
      <c r="AOH6" s="7" t="n">
        <v>-0.9551766229301361</v>
      </c>
      <c r="AOI6" s="7" t="n">
        <v>-0.24997797903879</v>
      </c>
      <c r="AOJ6" s="7" t="n">
        <v>0.503193721626424</v>
      </c>
      <c r="AOK6" s="7" t="n">
        <v>-0.640754586641334</v>
      </c>
      <c r="AOL6" s="7" t="n">
        <v>-1.25523270497206</v>
      </c>
      <c r="AOM6" s="7" t="n">
        <v>-0.675607185954527</v>
      </c>
      <c r="AON6" s="7" t="n">
        <v>0.896024133043578</v>
      </c>
      <c r="AOO6" s="7" t="n">
        <v>0.393382765942302</v>
      </c>
      <c r="AOP6" s="7" t="n">
        <v>0.353653905965688</v>
      </c>
      <c r="AOQ6" s="7" t="n">
        <v>-0.612272554729363</v>
      </c>
      <c r="AOR6" s="7" t="n">
        <v>-0.581125147035482</v>
      </c>
      <c r="AOS6" s="7" t="n">
        <v>1.87073470207324</v>
      </c>
      <c r="AOT6" s="7" t="n">
        <v>-0.0593400831732418</v>
      </c>
      <c r="AOU6" s="7" t="n">
        <v>0.321240588420539</v>
      </c>
      <c r="AOV6" s="7" t="n">
        <v>-1.10997097747648</v>
      </c>
      <c r="AOW6" s="7" t="n">
        <v>0.518408686727196</v>
      </c>
      <c r="AOX6" s="7" t="n">
        <v>1.21909730742505</v>
      </c>
      <c r="AOY6" s="7" t="n">
        <v>-1.71547983593316</v>
      </c>
      <c r="AOZ6" s="7" t="n">
        <v>-0.07407832063661519</v>
      </c>
      <c r="APA6" s="7" t="n">
        <v>0.189482714575861</v>
      </c>
      <c r="APB6" s="7" t="n">
        <v>-0.83658871347752</v>
      </c>
      <c r="APC6" s="7" t="n">
        <v>0.410735924693388</v>
      </c>
      <c r="APD6" s="7" t="n">
        <v>-1.18981164145467</v>
      </c>
      <c r="APE6" s="7" t="n">
        <v>0.510487490532372</v>
      </c>
      <c r="APF6" s="7" t="n">
        <v>-1.02994923646332</v>
      </c>
      <c r="APG6" s="7" t="n">
        <v>0.6524939932468981</v>
      </c>
      <c r="APH6" s="7" t="n">
        <v>1.50941513965061</v>
      </c>
      <c r="API6" s="7" t="n">
        <v>1.51836128357514</v>
      </c>
      <c r="APJ6" s="7" t="n">
        <v>-0.396996055950997</v>
      </c>
      <c r="APK6" s="7" t="n">
        <v>-1.21920647199397</v>
      </c>
      <c r="APL6" s="7" t="n">
        <v>-1.74051515608228</v>
      </c>
      <c r="APM6" s="7" t="n">
        <v>0.627737318042067</v>
      </c>
      <c r="APN6" s="7" t="n">
        <v>-1.47031201621055</v>
      </c>
      <c r="APO6" s="7" t="n">
        <v>0.0405270322567745</v>
      </c>
      <c r="APP6" s="7" t="n">
        <v>0.1061286981991</v>
      </c>
      <c r="APQ6" s="7" t="n">
        <v>1.06509539087838</v>
      </c>
      <c r="APR6" s="7" t="n">
        <v>-0.452241372252744</v>
      </c>
      <c r="APS6" s="7" t="n">
        <v>-0.10346258102035</v>
      </c>
      <c r="APT6" s="7" t="n">
        <v>-0.830581980012103</v>
      </c>
      <c r="APU6" s="7" t="n">
        <v>0.337506304322073</v>
      </c>
      <c r="APV6" s="7" t="n">
        <v>0.537679616464426</v>
      </c>
      <c r="APW6" s="7" t="n">
        <v>0.483429558023169</v>
      </c>
      <c r="APX6" s="7" t="n">
        <v>-1.07816046752678</v>
      </c>
      <c r="APY6" s="7" t="n">
        <v>2.26542396050649</v>
      </c>
      <c r="APZ6" s="7" t="n">
        <v>2.09330800854506</v>
      </c>
      <c r="AQA6" s="7" t="n">
        <v>-0.895919453165426</v>
      </c>
      <c r="AQB6" s="7" t="n">
        <v>0.702751997822039</v>
      </c>
      <c r="AQC6" s="7" t="n">
        <v>-0.650744007414397</v>
      </c>
      <c r="AQD6" s="7" t="n">
        <v>-1.50467448148216</v>
      </c>
      <c r="AQE6" s="7" t="n">
        <v>-1.26735119730764</v>
      </c>
      <c r="AQF6" s="7" t="n">
        <v>-0.755001029739358</v>
      </c>
      <c r="AQG6" s="7" t="n">
        <v>1.77928083746189</v>
      </c>
      <c r="AQH6" s="7" t="n">
        <v>-2.0037224805093</v>
      </c>
      <c r="AQI6" s="7" t="n">
        <v>0.193514005742203</v>
      </c>
      <c r="AQJ6" s="7" t="n">
        <v>-0.917457177216668</v>
      </c>
      <c r="AQK6" s="7" t="n">
        <v>-0.560025170673345</v>
      </c>
      <c r="AQL6" s="7" t="n">
        <v>2.70817414551876</v>
      </c>
      <c r="AQM6" s="7" t="n">
        <v>0.374437694729448</v>
      </c>
      <c r="AQN6" s="7" t="n">
        <v>0.114795815983596</v>
      </c>
      <c r="AQO6" s="7" t="n">
        <v>-0.0392755936676808</v>
      </c>
      <c r="AQP6" s="7" t="n">
        <v>-0.401216814545912</v>
      </c>
      <c r="AQQ6" s="7" t="n">
        <v>-0.852371768027813</v>
      </c>
      <c r="AQR6" s="7" t="n">
        <v>-0.0517282626738184</v>
      </c>
      <c r="AQS6" s="7" t="n">
        <v>-1.04949191883478</v>
      </c>
      <c r="AQT6" s="7" t="n">
        <v>-0.5621324561946019</v>
      </c>
      <c r="AQU6" s="7" t="n">
        <v>0.217129576342032</v>
      </c>
      <c r="AQV6" s="7" t="n">
        <v>0.350169281138565</v>
      </c>
      <c r="AQW6" s="7" t="n">
        <v>-0.0491196842395761</v>
      </c>
      <c r="AQX6" s="7" t="n">
        <v>-1.5483083217635</v>
      </c>
      <c r="AQY6" s="7" t="n">
        <v>-0.111384940393645</v>
      </c>
      <c r="AQZ6" s="7" t="n">
        <v>-1.06740865699538</v>
      </c>
      <c r="ARA6" s="7" t="n">
        <v>1.93848033350046</v>
      </c>
      <c r="ARB6" s="7" t="n">
        <v>-0.830522401023876</v>
      </c>
      <c r="ARC6" s="7" t="n">
        <v>0.465994797871738</v>
      </c>
      <c r="ARD6" s="7" t="n">
        <v>0.0789519732022451</v>
      </c>
      <c r="ARE6" s="7" t="n">
        <v>-0.0828117319510616</v>
      </c>
      <c r="ARF6" s="7" t="n">
        <v>0.239283913053094</v>
      </c>
      <c r="ARG6" s="7" t="n">
        <v>-1.14595008508328</v>
      </c>
      <c r="ARH6" s="7" t="n">
        <v>-0.272783135928768</v>
      </c>
      <c r="ARI6" s="7" t="n">
        <v>-0.669659282145235</v>
      </c>
      <c r="ARJ6" s="7" t="n">
        <v>0.483514461441282</v>
      </c>
      <c r="ARK6" s="7" t="n">
        <v>-1.36220719292241</v>
      </c>
      <c r="ARL6" s="7" t="n">
        <v>1.8218241180427</v>
      </c>
      <c r="ARM6" s="7" t="n">
        <v>-1.16795281341417</v>
      </c>
      <c r="ARN6" s="7" t="n">
        <v>0.244396482643298</v>
      </c>
      <c r="ARO6" s="7" t="n">
        <v>-0.7116821993989551</v>
      </c>
      <c r="ARP6" s="7" t="n">
        <v>-1.06811576565565</v>
      </c>
      <c r="ARQ6" s="7" t="n">
        <v>-1.10333795481448</v>
      </c>
      <c r="ARR6" s="7" t="n">
        <v>2.12469505002156</v>
      </c>
      <c r="ARS6" s="7" t="n">
        <v>0.217435442876882</v>
      </c>
      <c r="ART6" s="7" t="n">
        <v>0.933017757251169</v>
      </c>
      <c r="ARU6" s="7" t="n">
        <v>2.26711865484253</v>
      </c>
      <c r="ARV6" s="7" t="n">
        <v>-1.07334619784574</v>
      </c>
      <c r="ARW6" s="7" t="n">
        <v>-1.12170212667582</v>
      </c>
      <c r="ARX6" s="7" t="n">
        <v>0.142385662745251</v>
      </c>
      <c r="ARY6" s="7" t="n">
        <v>-0.103677326884511</v>
      </c>
      <c r="ARZ6" s="7" t="n">
        <v>0.727992788985123</v>
      </c>
      <c r="ASA6" s="7" t="n">
        <v>0.780619850848799</v>
      </c>
      <c r="ASB6" s="7" t="n">
        <v>-0.686912860361751</v>
      </c>
      <c r="ASC6" s="7" t="n">
        <v>-1.03276313123487</v>
      </c>
      <c r="ASD6" s="7" t="n">
        <v>0.125026488050744</v>
      </c>
      <c r="ASE6" s="7" t="n">
        <v>0.155053550678307</v>
      </c>
      <c r="ASF6" s="7" t="n">
        <v>1.09772343860208</v>
      </c>
      <c r="ASG6" s="7" t="n">
        <v>0.931825797180894</v>
      </c>
      <c r="ASH6" s="7" t="n">
        <v>0.394641449469263</v>
      </c>
      <c r="ASI6" s="7" t="n">
        <v>0.7599712780032279</v>
      </c>
      <c r="ASJ6" s="7" t="n">
        <v>0.437301811230126</v>
      </c>
      <c r="ASK6" s="7" t="n">
        <v>0.423476604593519</v>
      </c>
      <c r="ASL6" s="7" t="n">
        <v>-0.764640944736709</v>
      </c>
      <c r="ASM6" s="7" t="n">
        <v>0.662182062459195</v>
      </c>
      <c r="ASN6" s="7" t="n">
        <v>0.392466082796484</v>
      </c>
      <c r="ASO6" s="7" t="n">
        <v>0.575258793425353</v>
      </c>
      <c r="ASP6" s="7" t="n">
        <v>0.231364256286686</v>
      </c>
      <c r="ASQ6" s="7" t="n">
        <v>0.909369697222248</v>
      </c>
      <c r="ASR6" s="7" t="n">
        <v>-0.0034632364056233</v>
      </c>
      <c r="ASS6" s="7" t="n">
        <v>-0.988582241186042</v>
      </c>
      <c r="AST6" s="7" t="n">
        <v>0.603265939374407</v>
      </c>
      <c r="ASU6" s="7" t="n">
        <v>-0.0209889385035106</v>
      </c>
      <c r="ASV6" s="7" t="n">
        <v>-1.20264999963398</v>
      </c>
      <c r="ASW6" s="7" t="n">
        <v>-1.11868473770724</v>
      </c>
      <c r="ASX6" s="7" t="n">
        <v>0.0511114775339461</v>
      </c>
      <c r="ASY6" s="7" t="n">
        <v>-0.131427366793631</v>
      </c>
      <c r="ASZ6" s="7" t="n">
        <v>-0.273872784556395</v>
      </c>
      <c r="ATA6" s="7" t="n">
        <v>-0.127308797917762</v>
      </c>
      <c r="ATB6" s="7" t="n">
        <v>0.972911924039812</v>
      </c>
      <c r="ATC6" s="7" t="n">
        <v>-1.25156928476285</v>
      </c>
      <c r="ATD6" s="7" t="n">
        <v>-0.373568005371571</v>
      </c>
      <c r="ATE6" s="7" t="n">
        <v>-0.288472768784306</v>
      </c>
      <c r="ATF6" s="7" t="n">
        <v>-0.153163070697748</v>
      </c>
      <c r="ATG6" s="7" t="n">
        <v>-0.351615068588555</v>
      </c>
      <c r="ATH6" s="7" t="n">
        <v>0.823645607128874</v>
      </c>
      <c r="ATI6" s="7" t="n">
        <v>1.54686121795647</v>
      </c>
      <c r="ATJ6" s="7" t="n">
        <v>0.982526739417078</v>
      </c>
      <c r="ATK6" s="7" t="n">
        <v>1.23674047193162</v>
      </c>
      <c r="ATL6" s="7" t="n">
        <v>-0.45677211461446</v>
      </c>
      <c r="ATM6" s="7" t="n">
        <v>-3.6295466906704</v>
      </c>
      <c r="ATN6" s="7" t="n">
        <v>1.17376394530589</v>
      </c>
      <c r="ATO6" s="7" t="n">
        <v>-1.74911948840102</v>
      </c>
      <c r="ATP6" s="7" t="n">
        <v>-0.0442323243705748</v>
      </c>
      <c r="ATQ6" s="7" t="n">
        <v>-1.74291694341292</v>
      </c>
      <c r="ATR6" s="7" t="n">
        <v>-1.51731610519237</v>
      </c>
      <c r="ATS6" s="7" t="n">
        <v>0.7242852760954051</v>
      </c>
      <c r="ATT6" s="7" t="n">
        <v>0.451159211743898</v>
      </c>
      <c r="ATU6" s="7" t="n">
        <v>-0.645340686496741</v>
      </c>
      <c r="ATV6" s="7" t="n">
        <v>-0.475434637715174</v>
      </c>
      <c r="ATW6" s="7" t="n">
        <v>-0.456709157901083</v>
      </c>
      <c r="ATX6" s="7" t="n">
        <v>-0.619725159242161</v>
      </c>
      <c r="ATY6" s="7" t="n">
        <v>0.563885475780737</v>
      </c>
      <c r="ATZ6" s="7" t="n">
        <v>-0.805536006952386</v>
      </c>
      <c r="AUA6" s="7" t="n">
        <v>-0.09296748965291</v>
      </c>
      <c r="AUB6" s="7" t="n">
        <v>-1.25104647298677</v>
      </c>
      <c r="AUC6" s="7" t="n">
        <v>0.10653887499444</v>
      </c>
      <c r="AUD6" s="7" t="n">
        <v>-0.820479596034789</v>
      </c>
      <c r="AUE6" s="7" t="n">
        <v>0.915334829735166</v>
      </c>
      <c r="AUF6" s="7" t="n">
        <v>1.04209528106925</v>
      </c>
      <c r="AUG6" s="7" t="n">
        <v>-0.530374849321817</v>
      </c>
      <c r="AUH6" s="7" t="n">
        <v>-0.649626153294211</v>
      </c>
      <c r="AUI6" s="7" t="n">
        <v>0.152140150215537</v>
      </c>
      <c r="AUJ6" s="7" t="n">
        <v>-2.36312183409641</v>
      </c>
      <c r="AUK6" s="7" t="n">
        <v>-1.30520643202786</v>
      </c>
      <c r="AUL6" s="7" t="n">
        <v>1.30684575222203</v>
      </c>
      <c r="AUM6" s="7" t="n">
        <v>0.608541574934285</v>
      </c>
      <c r="AUN6" s="7" t="n">
        <v>-0.122452747411314</v>
      </c>
      <c r="AUO6" s="7" t="n">
        <v>-2.37951555273125</v>
      </c>
      <c r="AUP6" s="7" t="n">
        <v>-0.281078025638792</v>
      </c>
      <c r="AUQ6" s="7" t="n">
        <v>-1.45518333385171</v>
      </c>
      <c r="AUR6" s="7" t="n">
        <v>-0.677148444097822</v>
      </c>
      <c r="AUS6" s="7" t="n">
        <v>0.469023488096265</v>
      </c>
      <c r="AUT6" s="7" t="n">
        <v>0.118485700063406</v>
      </c>
      <c r="AUU6" s="7" t="n">
        <v>-0.102082584815526</v>
      </c>
      <c r="AUV6" s="7" t="n">
        <v>-1.64448273629931</v>
      </c>
      <c r="AUW6" s="7" t="n">
        <v>-1.3651771259958</v>
      </c>
      <c r="AUX6" s="7" t="n">
        <v>0.0968150817303946</v>
      </c>
      <c r="AUY6" s="7" t="n">
        <v>1.07986258172492</v>
      </c>
      <c r="AUZ6" s="7" t="n">
        <v>1.73865437649288</v>
      </c>
      <c r="AVA6" s="7" t="n">
        <v>0.0157221303204027</v>
      </c>
      <c r="AVB6" s="7" t="n">
        <v>0.746858393809556</v>
      </c>
      <c r="AVC6" s="7" t="n">
        <v>1.04371560165074</v>
      </c>
      <c r="AVD6" s="7" t="n">
        <v>0.207995545669729</v>
      </c>
      <c r="AVE6" s="7" t="n">
        <v>1.52547389841784</v>
      </c>
      <c r="AVF6" s="7" t="n">
        <v>0.455092529587947</v>
      </c>
      <c r="AVG6" s="7" t="n">
        <v>-1.33285049115902</v>
      </c>
      <c r="AVH6" s="7" t="n">
        <v>-1.26139525035091</v>
      </c>
      <c r="AVI6" s="7" t="n">
        <v>0.280234992096461</v>
      </c>
      <c r="AVJ6" s="7" t="n">
        <v>0.738663838795143</v>
      </c>
      <c r="AVK6" s="7" t="n">
        <v>-2.23663229493734</v>
      </c>
      <c r="AVL6" s="7" t="n">
        <v>-0.733061281724486</v>
      </c>
      <c r="AVM6" s="7" t="n">
        <v>-0.457207104953919</v>
      </c>
      <c r="AVN6" s="7" t="n">
        <v>-0.685410642089004</v>
      </c>
      <c r="AVO6" s="7" t="n">
        <v>1.42058112143635</v>
      </c>
      <c r="AVP6" s="7" t="n">
        <v>-0.496177123525534</v>
      </c>
      <c r="AVQ6" s="7" t="n">
        <v>0.79082711457959</v>
      </c>
      <c r="AVR6" s="7" t="n">
        <v>-0.184127042312638</v>
      </c>
      <c r="AVS6" s="7" t="n">
        <v>-0.316380524214665</v>
      </c>
      <c r="AVT6" s="7" t="n">
        <v>-0.818380352950775</v>
      </c>
      <c r="AVU6" s="7" t="n">
        <v>-0.745837427000472</v>
      </c>
      <c r="AVV6" s="7" t="n">
        <v>1.99742569436227</v>
      </c>
      <c r="AVW6" s="7" t="n">
        <v>-0.570932772639222</v>
      </c>
      <c r="AVX6" s="7" t="n">
        <v>-0.781821951791251</v>
      </c>
      <c r="AVY6" s="7" t="n">
        <v>-0.519128895628825</v>
      </c>
      <c r="AVZ6" s="7" t="n">
        <v>0.212489489081471</v>
      </c>
      <c r="AWA6" s="7" t="n">
        <v>0.528577075143981</v>
      </c>
      <c r="AWB6" s="7" t="n">
        <v>0.209020640445111</v>
      </c>
      <c r="AWC6" s="7" t="n">
        <v>1.6149782553825</v>
      </c>
      <c r="AWD6" s="7" t="n">
        <v>-2.43672897029597</v>
      </c>
      <c r="AWE6" s="7" t="n">
        <v>-0.303977773346495</v>
      </c>
      <c r="AWF6" s="7" t="n">
        <v>1.14950220946288</v>
      </c>
      <c r="AWG6" s="7" t="n">
        <v>-1.00704286073445</v>
      </c>
      <c r="AWH6" s="7" t="n">
        <v>0.115312498434386</v>
      </c>
      <c r="AWI6" s="7" t="n">
        <v>0.74951636551999</v>
      </c>
      <c r="AWJ6" s="7" t="n">
        <v>0.0558016078678003</v>
      </c>
      <c r="AWK6" s="7" t="n">
        <v>-0.598993451854094</v>
      </c>
      <c r="AWL6" s="7" t="n">
        <v>-0.144474380563482</v>
      </c>
      <c r="AWM6" s="7" t="n">
        <v>0.121713915608251</v>
      </c>
      <c r="AWN6" s="7" t="n">
        <v>0.939677768602292</v>
      </c>
      <c r="AWO6" s="7" t="n">
        <v>-1.92020417736465</v>
      </c>
      <c r="AWP6" s="7" t="n">
        <v>-0.6979639704923239</v>
      </c>
      <c r="AWQ6" s="7" t="n">
        <v>-0.288358066837676</v>
      </c>
      <c r="AWR6" s="7" t="n">
        <v>-0.207502126637661</v>
      </c>
      <c r="AWS6" s="7" t="n">
        <v>0.901227299672689</v>
      </c>
      <c r="AWT6" s="7" t="n">
        <v>1.3271518679567</v>
      </c>
      <c r="AWU6" s="7" t="n">
        <v>0.06719022864663381</v>
      </c>
      <c r="AWV6" s="7" t="n">
        <v>-1.24182654995914</v>
      </c>
      <c r="AWW6" s="7" t="n">
        <v>-0.233188970173586</v>
      </c>
      <c r="AWX6" s="7" t="n">
        <v>-0.5068208079145849</v>
      </c>
      <c r="AWY6" s="7" t="n">
        <v>-0.0411469862918448</v>
      </c>
      <c r="AWZ6" s="7" t="n">
        <v>-1.05318801814759</v>
      </c>
      <c r="AXA6" s="7" t="n">
        <v>-0.200724849551326</v>
      </c>
      <c r="AXB6" s="7" t="n">
        <v>-0.814788393701331</v>
      </c>
      <c r="AXC6" s="7" t="n">
        <v>-0.161436550362785</v>
      </c>
      <c r="AXD6" s="7" t="n">
        <v>-0.249732494163022</v>
      </c>
      <c r="AXE6" s="7" t="n">
        <v>0.344891234494013</v>
      </c>
      <c r="AXF6" s="7" t="n">
        <v>-1.19753902701541</v>
      </c>
      <c r="AXG6" s="7" t="n">
        <v>-1.45024445482857</v>
      </c>
      <c r="AXH6" s="7" t="n">
        <v>-0.130523547183456</v>
      </c>
      <c r="AXI6" s="7" t="n">
        <v>0.6060399967362901</v>
      </c>
      <c r="AXJ6" s="7" t="n">
        <v>-0.279313417004784</v>
      </c>
      <c r="AXK6" s="7" t="n">
        <v>-0.133531559660253</v>
      </c>
      <c r="AXL6" s="7" t="n">
        <v>-1.38686766823999</v>
      </c>
      <c r="AXM6" s="7" t="n">
        <v>-0.117923022924339</v>
      </c>
      <c r="AXN6" s="7" t="n">
        <v>-1.47583141654513</v>
      </c>
      <c r="AXO6" s="7" t="n">
        <v>-0.203446972383022</v>
      </c>
      <c r="AXP6" s="7" t="n">
        <v>-0.6325986038853429</v>
      </c>
      <c r="AXQ6" s="7" t="n">
        <v>-1.10859630998323</v>
      </c>
      <c r="AXR6" s="7" t="n">
        <v>0.710764994575018</v>
      </c>
      <c r="AXS6" s="7" t="n">
        <v>0.166840607897833</v>
      </c>
      <c r="AXT6" s="7" t="n">
        <v>0.543571401080551</v>
      </c>
      <c r="AXU6" s="7" t="n">
        <v>-1.13384015419361</v>
      </c>
      <c r="AXV6" s="7" t="n">
        <v>-1.0688489212857</v>
      </c>
      <c r="AXW6" s="7" t="n">
        <v>-0.170910533861627</v>
      </c>
      <c r="AXX6" s="7" t="n">
        <v>-0.535113412612657</v>
      </c>
      <c r="AXY6" s="7" t="n">
        <v>1.83877346385349</v>
      </c>
      <c r="AXZ6" s="7" t="n">
        <v>-1.18255395719296</v>
      </c>
      <c r="AYA6" s="7" t="n">
        <v>1.9157483847189</v>
      </c>
      <c r="AYB6" s="7" t="n">
        <v>-0.6030894792834059</v>
      </c>
      <c r="AYC6" s="7" t="n">
        <v>0.59298963680811</v>
      </c>
      <c r="AYD6" s="7" t="n">
        <v>-1.17693692144714</v>
      </c>
      <c r="AYE6" s="7" t="n">
        <v>0.889440803166028</v>
      </c>
      <c r="AYF6" s="7" t="n">
        <v>-0.497816169092593</v>
      </c>
      <c r="AYG6" s="7" t="n">
        <v>1.62115602362178</v>
      </c>
      <c r="AYH6" s="7" t="n">
        <v>-0.57437007821925</v>
      </c>
      <c r="AYI6" s="7" t="n">
        <v>0.42016856988132</v>
      </c>
      <c r="AYJ6" s="7" t="n">
        <v>-0.215065008851006</v>
      </c>
      <c r="AYK6" s="7" t="n">
        <v>-0.5616949451072299</v>
      </c>
      <c r="AYL6" s="7" t="n">
        <v>2.3099868064107</v>
      </c>
      <c r="AYM6" s="7" t="n">
        <v>2.09386579826078</v>
      </c>
      <c r="AYN6" s="7" t="n">
        <v>-1.54966141595497</v>
      </c>
      <c r="AYO6" s="7" t="n">
        <v>0.09143533869691629</v>
      </c>
      <c r="AYP6" s="7" t="n">
        <v>-2.62872477553853</v>
      </c>
      <c r="AYQ6" s="7" t="n">
        <v>1.47738594399427</v>
      </c>
      <c r="AYR6" s="7" t="n">
        <v>-0.461325691152868</v>
      </c>
      <c r="AYS6" s="7" t="n">
        <v>-0.6807744495733959</v>
      </c>
      <c r="AYT6" s="7" t="n">
        <v>-0.879700156011374</v>
      </c>
      <c r="AYU6" s="7" t="n">
        <v>0.494680897645013</v>
      </c>
      <c r="AYV6" s="7" t="n">
        <v>1.54457518042808</v>
      </c>
      <c r="AYW6" s="7" t="n">
        <v>0.333909926190727</v>
      </c>
      <c r="AYX6" s="7" t="n">
        <v>1.27763184490679</v>
      </c>
      <c r="AYY6" s="7" t="n">
        <v>0.227526184482147</v>
      </c>
      <c r="AYZ6" s="7" t="n">
        <v>-0.08380009882835041</v>
      </c>
      <c r="AZA6" s="7" t="n">
        <v>0.109494022306906</v>
      </c>
      <c r="AZB6" s="7" t="n">
        <v>0.704969186384225</v>
      </c>
      <c r="AZC6" s="7" t="n">
        <v>0.936141159567742</v>
      </c>
      <c r="AZD6" s="7" t="n">
        <v>0.0634553573143084</v>
      </c>
      <c r="AZE6" s="7" t="n">
        <v>1.58384269550317</v>
      </c>
      <c r="AZF6" s="7" t="n">
        <v>0.0080384114525915</v>
      </c>
      <c r="AZG6" s="7" t="n">
        <v>1.5457876820249</v>
      </c>
      <c r="AZH6" s="7" t="n">
        <v>2.8180937264375</v>
      </c>
      <c r="AZI6" s="7" t="n">
        <v>-0.842671662545516</v>
      </c>
      <c r="AZJ6" s="7" t="n">
        <v>-0.176725600847261</v>
      </c>
      <c r="AZK6" s="7" t="n">
        <v>0.384459090410787</v>
      </c>
      <c r="AZL6" s="7" t="n">
        <v>-0.287765267830768</v>
      </c>
      <c r="AZM6" s="7" t="n">
        <v>0.747168198093479</v>
      </c>
      <c r="AZN6" s="7" t="n">
        <v>0.0548014422474354</v>
      </c>
      <c r="AZO6" s="7" t="n">
        <v>0.379762919280998</v>
      </c>
      <c r="AZP6" s="7" t="n">
        <v>1.52191897876945</v>
      </c>
      <c r="AZQ6" s="7" t="n">
        <v>1.40116787140966</v>
      </c>
      <c r="AZR6" s="7" t="n">
        <v>0.839097756803317</v>
      </c>
      <c r="AZS6" s="7" t="n">
        <v>1.85300823777675</v>
      </c>
      <c r="AZT6" s="7" t="n">
        <v>0.0611867783291416</v>
      </c>
      <c r="AZU6" s="7" t="n">
        <v>-0.700264547357335</v>
      </c>
      <c r="AZV6" s="7" t="n">
        <v>2.38682827982067</v>
      </c>
      <c r="AZW6" s="7" t="n">
        <v>0.428687795812016</v>
      </c>
      <c r="AZX6" s="7" t="n">
        <v>-1.26088651371884</v>
      </c>
      <c r="AZY6" s="7" t="n">
        <v>0.0471369223352727</v>
      </c>
      <c r="AZZ6" s="7" t="n">
        <v>-1.46462911083589</v>
      </c>
      <c r="BAA6" s="7" t="n">
        <v>-0.6469856200677691</v>
      </c>
      <c r="BAB6" s="7" t="n">
        <v>0.340725090615575</v>
      </c>
      <c r="BAC6" s="7" t="n">
        <v>0.290993046907638</v>
      </c>
      <c r="BAD6" s="7" t="n">
        <v>1.48809655478708</v>
      </c>
      <c r="BAE6" s="7" t="n">
        <v>-0.84571162134108</v>
      </c>
      <c r="BAF6" s="7" t="n">
        <v>1.03300337656564</v>
      </c>
      <c r="BAG6" s="7" t="n">
        <v>-0.676146414424441</v>
      </c>
      <c r="BAH6" s="7" t="n">
        <v>0.890210859100262</v>
      </c>
      <c r="BAI6" s="7" t="n">
        <v>-0.991220692507386</v>
      </c>
      <c r="BAJ6" s="7" t="n">
        <v>0.903695967618207</v>
      </c>
      <c r="BAK6" s="7" t="n">
        <v>-0.428039794255358</v>
      </c>
      <c r="BAL6" s="7" t="n">
        <v>-1.21323726490264</v>
      </c>
      <c r="BAM6" s="7" t="n">
        <v>0.549756838449688</v>
      </c>
      <c r="BAN6" s="7" t="n">
        <v>0.407582526898274</v>
      </c>
      <c r="BAO6" s="7" t="n">
        <v>-0.171756735083516</v>
      </c>
      <c r="BAP6" s="7" t="n">
        <v>0.0434027806724202</v>
      </c>
      <c r="BAQ6" s="7" t="n">
        <v>0.269278911130189</v>
      </c>
      <c r="BAR6" s="7" t="n">
        <v>-0.920939513247849</v>
      </c>
      <c r="BAS6" s="7" t="n">
        <v>0.949396939881029</v>
      </c>
      <c r="BAT6" s="7" t="n">
        <v>0.763102067041794</v>
      </c>
      <c r="BAU6" s="7" t="n">
        <v>-1.00667251426402</v>
      </c>
      <c r="BAV6" s="7" t="n">
        <v>1.75845783450828</v>
      </c>
      <c r="BAW6" s="7" t="n">
        <v>1.61978653113699</v>
      </c>
      <c r="BAX6" s="7" t="n">
        <v>-0.452731693387298</v>
      </c>
      <c r="BAY6" s="7" t="n">
        <v>-0.0604553768810559</v>
      </c>
      <c r="BAZ6" s="7" t="n">
        <v>1.56430473287054</v>
      </c>
      <c r="BBA6" s="7" t="n">
        <v>-0.718015762052938</v>
      </c>
      <c r="BBB6" s="7" t="n">
        <v>2.16953543651904</v>
      </c>
      <c r="BBC6" s="7" t="n">
        <v>-0.7691728159375451</v>
      </c>
      <c r="BBD6" s="7" t="n">
        <v>-0.772093022629197</v>
      </c>
      <c r="BBE6" s="7" t="n">
        <v>-0.249188160580846</v>
      </c>
      <c r="BBF6" s="7" t="n">
        <v>-0.415219719318578</v>
      </c>
      <c r="BBG6" s="7" t="n">
        <v>0.372956823241117</v>
      </c>
      <c r="BBH6" s="7" t="n">
        <v>-0.312135935996733</v>
      </c>
      <c r="BBI6" s="7" t="n">
        <v>-0.700064208242262</v>
      </c>
      <c r="BBJ6" s="7" t="n">
        <v>-0.958959039278699</v>
      </c>
      <c r="BBK6" s="7" t="n">
        <v>0.452577150929769</v>
      </c>
      <c r="BBL6" s="7" t="n">
        <v>-0.7924182077855439</v>
      </c>
      <c r="BBM6" s="7" t="n">
        <v>1.06820706823928</v>
      </c>
      <c r="BBN6" s="7" t="n">
        <v>1.36090868927783</v>
      </c>
      <c r="BBO6" s="7" t="n">
        <v>-0.722576745356964</v>
      </c>
      <c r="BBP6" s="7" t="n">
        <v>-0.0618534785694708</v>
      </c>
      <c r="BBQ6" s="7" t="n">
        <v>-0.440875381841453</v>
      </c>
      <c r="BBR6" s="7" t="n">
        <v>0.319119838186856</v>
      </c>
      <c r="BBS6" s="7" t="n">
        <v>1.45238459581527</v>
      </c>
      <c r="BBT6" s="7" t="n">
        <v>0.641534742114966</v>
      </c>
      <c r="BBU6" s="7" t="n">
        <v>2.16470211660231</v>
      </c>
      <c r="BBV6" s="7" t="n">
        <v>0.896218278766406</v>
      </c>
      <c r="BBW6" s="7" t="n">
        <v>-0.98652722030894</v>
      </c>
      <c r="BBX6" s="7" t="n">
        <v>-0.68544841733944</v>
      </c>
      <c r="BBY6" s="7" t="n">
        <v>0.9934996100764329</v>
      </c>
      <c r="BBZ6" s="7" t="n">
        <v>-0.0749243221702335</v>
      </c>
      <c r="BCA6" s="7" t="n">
        <v>-1.14193256074792</v>
      </c>
      <c r="BCB6" s="7" t="n">
        <v>1.08009535535526</v>
      </c>
      <c r="BCC6" s="7" t="n">
        <v>-0.392979980400286</v>
      </c>
      <c r="BCD6" s="7" t="n">
        <v>-1.52523641481424</v>
      </c>
      <c r="BCE6" s="7" t="n">
        <v>0.196453681504905</v>
      </c>
      <c r="BCF6" s="7" t="n">
        <v>0.346641306576065</v>
      </c>
      <c r="BCG6" s="7" t="n">
        <v>-2.1941595655458</v>
      </c>
      <c r="BCH6" s="7" t="n">
        <v>-0.64416811903765</v>
      </c>
      <c r="BCI6" s="7" t="n">
        <v>-1.16768006605072</v>
      </c>
      <c r="BCJ6" s="7" t="n">
        <v>-1.28348248983993</v>
      </c>
      <c r="BCK6" s="7" t="n">
        <v>1.21574337215056</v>
      </c>
      <c r="BCL6" s="7" t="n">
        <v>1.05631554473944</v>
      </c>
      <c r="BCM6" s="7" t="n">
        <v>0.395267802645236</v>
      </c>
      <c r="BCN6" s="7" t="n">
        <v>0.467617525404478</v>
      </c>
      <c r="BCO6" s="7" t="n">
        <v>-0.75912120485572</v>
      </c>
      <c r="BCP6" s="7" t="n">
        <v>0.953346256716696</v>
      </c>
      <c r="BCQ6" s="7" t="n">
        <v>0.421453486066723</v>
      </c>
      <c r="BCR6" s="7" t="n">
        <v>1.19725027154945</v>
      </c>
      <c r="BCS6" s="7" t="n">
        <v>0.318916607264231</v>
      </c>
      <c r="BCT6" s="7" t="n">
        <v>1.46459880449404</v>
      </c>
      <c r="BCU6" s="7" t="n">
        <v>-0.72017288720039</v>
      </c>
      <c r="BCV6" s="7" t="n">
        <v>-1.07773403307734</v>
      </c>
      <c r="BCW6" s="7" t="n">
        <v>0.0116632976527137</v>
      </c>
      <c r="BCX6" s="7" t="n">
        <v>-1.58204200501466</v>
      </c>
      <c r="BCY6" s="7" t="n">
        <v>0.320070162856159</v>
      </c>
      <c r="BCZ6" s="7" t="n">
        <v>0.8404703965045019</v>
      </c>
      <c r="BDA6" s="7" t="n">
        <v>-1.62326374277868</v>
      </c>
      <c r="BDB6" s="7" t="n">
        <v>0.229934952825145</v>
      </c>
      <c r="BDC6" s="7" t="n">
        <v>0.559692442093644</v>
      </c>
      <c r="BDD6" s="7" t="n">
        <v>1.58471788804224</v>
      </c>
      <c r="BDE6" s="7" t="n">
        <v>0.44120847721793</v>
      </c>
      <c r="BDF6" s="7" t="n">
        <v>1.09155147962351</v>
      </c>
      <c r="BDG6" s="7" t="n">
        <v>0.269878333863812</v>
      </c>
      <c r="BDH6" s="7" t="n">
        <v>-0.238657828546786</v>
      </c>
      <c r="BDI6" s="7" t="n">
        <v>-0.536905273518096</v>
      </c>
      <c r="BDJ6" s="7" t="n">
        <v>0.626652790997259</v>
      </c>
      <c r="BDK6" s="7" t="n">
        <v>-0.308580661766268</v>
      </c>
      <c r="BDL6" s="7" t="n">
        <v>0.120696907935214</v>
      </c>
      <c r="BDM6" s="7" t="n">
        <v>-1.67877127237469</v>
      </c>
      <c r="BDN6" s="7" t="n">
        <v>1.83056768563732</v>
      </c>
      <c r="BDO6" s="7" t="n">
        <v>0.0197677448647535</v>
      </c>
      <c r="BDP6" s="7" t="n">
        <v>2.24276104902572</v>
      </c>
      <c r="BDQ6" s="7" t="n">
        <v>0.583905257590887</v>
      </c>
      <c r="BDR6" s="7" t="n">
        <v>-0.72172288592385</v>
      </c>
      <c r="BDS6" s="7" t="n">
        <v>0.717095901673427</v>
      </c>
      <c r="BDT6" s="7" t="n">
        <v>-0.466589866511545</v>
      </c>
      <c r="BDU6" s="7" t="n">
        <v>-0.200391116242252</v>
      </c>
      <c r="BDV6" s="7" t="n">
        <v>0.748233809591201</v>
      </c>
      <c r="BDW6" s="7" t="n">
        <v>0.824096264245155</v>
      </c>
      <c r="BDX6" s="7" t="n">
        <v>-0.670350074615875</v>
      </c>
      <c r="BDY6" s="7" t="n">
        <v>-0.0351653724913059</v>
      </c>
      <c r="BDZ6" s="7" t="n">
        <v>0.458912372898206</v>
      </c>
      <c r="BEA6" s="7" t="n">
        <v>1.63372028951151</v>
      </c>
      <c r="BEB6" s="7" t="n">
        <v>-0.259077495862253</v>
      </c>
      <c r="BEC6" s="7" t="n">
        <v>-1.4995612022721</v>
      </c>
      <c r="BED6" s="7" t="n">
        <v>-0.500329093199938</v>
      </c>
      <c r="BEE6" s="7" t="n">
        <v>0.617955180754577</v>
      </c>
      <c r="BEF6" s="7" t="n">
        <v>-0.546802988548721</v>
      </c>
      <c r="BEG6" s="7" t="n">
        <v>0.314480844452758</v>
      </c>
      <c r="BEH6" s="7" t="n">
        <v>-0.7494960248831239</v>
      </c>
      <c r="BEI6" s="7" t="n">
        <v>0.107610376130121</v>
      </c>
      <c r="BEJ6" s="7" t="n">
        <v>0.169125992735091</v>
      </c>
      <c r="BEK6" s="7" t="n">
        <v>-1.02105699506108</v>
      </c>
      <c r="BEL6" s="7" t="n">
        <v>-0.10294156021366</v>
      </c>
      <c r="BEM6" s="7" t="n">
        <v>-1.09205855557104</v>
      </c>
      <c r="BEN6" s="7" t="n">
        <v>-0.938167143798921</v>
      </c>
      <c r="BEO6" s="7" t="n">
        <v>-0.507651413237853</v>
      </c>
      <c r="BEP6" s="7" t="n">
        <v>-0.285593359853257</v>
      </c>
      <c r="BEQ6" s="7" t="n">
        <v>0.657569394974275</v>
      </c>
      <c r="BER6" s="7" t="n">
        <v>-0.429350549947966</v>
      </c>
      <c r="BES6" s="7" t="n">
        <v>0.5253186275492649</v>
      </c>
      <c r="BET6" s="7" t="n">
        <v>-2.03806870254234</v>
      </c>
      <c r="BEU6" s="7" t="n">
        <v>-0.0462248091046063</v>
      </c>
      <c r="BEV6" s="7" t="n">
        <v>0.702719660725837</v>
      </c>
      <c r="BEW6" s="7" t="n">
        <v>-0.468823714650736</v>
      </c>
      <c r="BEX6" s="7" t="n">
        <v>-1.77427644938075</v>
      </c>
      <c r="BEY6" s="7" t="n">
        <v>-0.722026003786416</v>
      </c>
      <c r="BEZ6" s="7" t="n">
        <v>0.61929471477013</v>
      </c>
      <c r="BFA6" s="7" t="n">
        <v>0.155249096574469</v>
      </c>
      <c r="BFB6" s="7" t="n">
        <v>-0.314028576188353</v>
      </c>
      <c r="BFC6" s="7" t="n">
        <v>-0.373917903333919</v>
      </c>
      <c r="BFD6" s="7" t="n">
        <v>0.810728423023803</v>
      </c>
      <c r="BFE6" s="7" t="n">
        <v>-0.878834550504153</v>
      </c>
      <c r="BFF6" s="7" t="n">
        <v>-0.779622538588938</v>
      </c>
      <c r="BFG6" s="7" t="n">
        <v>0.979144187374676</v>
      </c>
      <c r="BFH6" s="7" t="n">
        <v>0.0029048503966937</v>
      </c>
      <c r="BFI6" s="7" t="n">
        <v>-0.113363028222032</v>
      </c>
      <c r="BFJ6" s="7" t="n">
        <v>-1.74950992578083</v>
      </c>
      <c r="BFK6" s="7" t="n">
        <v>-0.277191355071446</v>
      </c>
      <c r="BFL6" s="7" t="n">
        <v>-0.245873258929858</v>
      </c>
      <c r="BFM6" s="7" t="n">
        <v>-0.0254583486301264</v>
      </c>
      <c r="BFN6" s="7" t="n">
        <v>1.44045899389618</v>
      </c>
      <c r="BFO6" s="7" t="n">
        <v>-0.363597773877034</v>
      </c>
      <c r="BFP6" s="7" t="n">
        <v>1.41680911088927</v>
      </c>
      <c r="BFQ6" s="7" t="n">
        <v>-2.33225188509791</v>
      </c>
      <c r="BFR6" s="7" t="n">
        <v>-0.393844624713052</v>
      </c>
      <c r="BFS6" s="7" t="n">
        <v>-1.47668952739595</v>
      </c>
      <c r="BFT6" s="7" t="n">
        <v>-0.873494834567447</v>
      </c>
      <c r="BFU6" s="7" t="n">
        <v>0.690826901415041</v>
      </c>
      <c r="BFV6" s="7" t="n">
        <v>-1.21887563941428</v>
      </c>
      <c r="BFW6" s="7" t="n">
        <v>-0.342854057242518</v>
      </c>
      <c r="BFX6" s="7" t="n">
        <v>-1.29408936964644</v>
      </c>
      <c r="BFY6" s="7" t="n">
        <v>-1.83735263273228</v>
      </c>
      <c r="BFZ6" s="7" t="n">
        <v>0.931125784124516</v>
      </c>
      <c r="BGA6" s="7" t="n">
        <v>1.54157169314069</v>
      </c>
      <c r="BGB6" s="7" t="n">
        <v>-1.12663640299997</v>
      </c>
      <c r="BGC6" s="7" t="n">
        <v>0.889640832550686</v>
      </c>
      <c r="BGD6" s="7" t="n">
        <v>1.6257383706254</v>
      </c>
      <c r="BGE6" s="7" t="n">
        <v>-1.34556230656934</v>
      </c>
      <c r="BGF6" s="7" t="n">
        <v>-0.0149607918186717</v>
      </c>
      <c r="BGG6" s="7" t="n">
        <v>1.4186881373521</v>
      </c>
      <c r="BGH6" s="7" t="n">
        <v>1.13555238655066</v>
      </c>
      <c r="BGI6" s="7" t="n">
        <v>0.530013623099326</v>
      </c>
      <c r="BGJ6" s="7" t="n">
        <v>0.286577255633446</v>
      </c>
      <c r="BGK6" s="7" t="n">
        <v>0.22361591469245</v>
      </c>
      <c r="BGL6" s="7" t="n">
        <v>0.2710033842112</v>
      </c>
      <c r="BGM6" s="7" t="n">
        <v>-0.231645170037831</v>
      </c>
      <c r="BGN6" s="7" t="n">
        <v>0.206413607723059</v>
      </c>
      <c r="BGO6" s="7" t="n">
        <v>0.0863669675819466</v>
      </c>
      <c r="BGP6" s="7" t="n">
        <v>-0.0194650879566211</v>
      </c>
      <c r="BGQ6" s="7" t="n">
        <v>0.722711732585521</v>
      </c>
      <c r="BGR6" s="7" t="n">
        <v>0.422755096755174</v>
      </c>
      <c r="BGS6" s="7" t="n">
        <v>-0.361049321998037</v>
      </c>
      <c r="BGT6" s="7" t="n">
        <v>-0.67187848205019</v>
      </c>
      <c r="BGU6" s="7" t="n">
        <v>0.9645810707639429</v>
      </c>
      <c r="BGV6" s="7" t="n">
        <v>0.201519063020352</v>
      </c>
      <c r="BGW6" s="7" t="n">
        <v>-0.0286617134528655</v>
      </c>
      <c r="BGX6" s="7" t="n">
        <v>-0.561655119425144</v>
      </c>
      <c r="BGY6" s="7" t="n">
        <v>1.56262286374374</v>
      </c>
      <c r="BGZ6" s="7" t="n">
        <v>-0.325377911576359</v>
      </c>
      <c r="BHA6" s="7" t="n">
        <v>-0.642022640965843</v>
      </c>
      <c r="BHB6" s="7" t="n">
        <v>0.503582836362293</v>
      </c>
      <c r="BHC6" s="7" t="n">
        <v>1.27454135861645</v>
      </c>
      <c r="BHD6" s="7" t="n">
        <v>-0.302600906066731</v>
      </c>
      <c r="BHE6" s="7" t="n">
        <v>0.720752909664042</v>
      </c>
      <c r="BHF6" s="7" t="n">
        <v>0.728221313679539</v>
      </c>
      <c r="BHG6" s="7" t="n">
        <v>1.34856886602989</v>
      </c>
      <c r="BHH6" s="7" t="n">
        <v>-0.522418658413932</v>
      </c>
      <c r="BHI6" s="7" t="n">
        <v>1.03071938796883</v>
      </c>
      <c r="BHJ6" s="7" t="n">
        <v>-0.611151113331869</v>
      </c>
      <c r="BHK6" s="7" t="n">
        <v>1.12690113808591</v>
      </c>
      <c r="BHL6" s="7" t="n">
        <v>-2.24862012676181</v>
      </c>
      <c r="BHM6" s="7" t="n">
        <v>-0.0586407893301671</v>
      </c>
      <c r="BHN6" s="7" t="n">
        <v>0.08770582496914971</v>
      </c>
      <c r="BHO6" s="7" t="n">
        <v>-3.37363144904433</v>
      </c>
      <c r="BHP6" s="7" t="n">
        <v>-1.25096901248662</v>
      </c>
      <c r="BHQ6" s="7" t="n">
        <v>-1.87804211954826</v>
      </c>
      <c r="BHR6" s="7" t="n">
        <v>1.04574924470825</v>
      </c>
      <c r="BHS6" s="7" t="n">
        <v>-1.43754388989645</v>
      </c>
      <c r="BHT6" s="7" t="n">
        <v>-1.41781516906994</v>
      </c>
      <c r="BHU6" s="7" t="n">
        <v>-1.29412476785161</v>
      </c>
      <c r="BHV6" s="7" t="n">
        <v>-0.447270313087524</v>
      </c>
      <c r="BHW6" s="7" t="n">
        <v>-0.243109226337253</v>
      </c>
      <c r="BHX6" s="7" t="n">
        <v>0.432442774602597</v>
      </c>
      <c r="BHY6" s="7" t="n">
        <v>-0.22909878336074</v>
      </c>
      <c r="BHZ6" s="7" t="n">
        <v>-1.83530388815077</v>
      </c>
      <c r="BIA6" s="7" t="n">
        <v>-0.105414753969119</v>
      </c>
      <c r="BIB6" s="7" t="n">
        <v>0.833918350136386</v>
      </c>
      <c r="BIC6" s="7" t="n">
        <v>-0.702901132369284</v>
      </c>
      <c r="BID6" s="7" t="n">
        <v>-0.182071348377027</v>
      </c>
      <c r="BIE6" s="7" t="n">
        <v>-1.70428934991227</v>
      </c>
      <c r="BIF6" s="7" t="n">
        <v>-0.715136880519833</v>
      </c>
      <c r="BIG6" s="7" t="n">
        <v>1.06335816712141</v>
      </c>
      <c r="BIH6" s="7" t="n">
        <v>-1.33447886811628</v>
      </c>
      <c r="BII6" s="7" t="n">
        <v>-0.0888661644071474</v>
      </c>
      <c r="BIJ6" s="7" t="n">
        <v>-0.250965827399909</v>
      </c>
      <c r="BIK6" s="7" t="n">
        <v>-0.907475921428358</v>
      </c>
      <c r="BIL6" s="7" t="n">
        <v>2.0126198717966</v>
      </c>
      <c r="BIM6" s="7" t="n">
        <v>0.7461595086382991</v>
      </c>
      <c r="BIN6" s="7" t="n">
        <v>0.916003497833674</v>
      </c>
      <c r="BIO6" s="7" t="n">
        <v>-0.0878494791496367</v>
      </c>
      <c r="BIP6" s="7" t="n">
        <v>0.572633130384655</v>
      </c>
      <c r="BIQ6" s="7" t="n">
        <v>0.0157723600476336</v>
      </c>
      <c r="BIR6" s="7" t="n">
        <v>-0.0049985988724728</v>
      </c>
      <c r="BIS6" s="7" t="n">
        <v>0.0987374964414782</v>
      </c>
      <c r="BIT6" s="7" t="n">
        <v>0.217931783981668</v>
      </c>
      <c r="BIU6" s="7" t="n">
        <v>0.582405556302437</v>
      </c>
      <c r="BIV6" s="7" t="n">
        <v>2.03253786785583</v>
      </c>
      <c r="BIW6" s="7" t="n">
        <v>-0.625158384486885</v>
      </c>
      <c r="BIX6" s="7" t="n">
        <v>0.0636008658850508</v>
      </c>
      <c r="BIY6" s="7" t="n">
        <v>-0.276427280120057</v>
      </c>
      <c r="BIZ6" s="7" t="n">
        <v>2.22121401246118</v>
      </c>
      <c r="BJA6" s="7" t="n">
        <v>0.666915889598599</v>
      </c>
      <c r="BJB6" s="7" t="n">
        <v>-0.0558508415668753</v>
      </c>
      <c r="BJC6" s="7" t="n">
        <v>-0.339860069207132</v>
      </c>
      <c r="BJD6" s="7" t="n">
        <v>-0.551512623796521</v>
      </c>
      <c r="BJE6" s="7" t="n">
        <v>1.7500461076665</v>
      </c>
      <c r="BJF6" s="7" t="n">
        <v>0.140541413901237</v>
      </c>
      <c r="BJG6" s="7" t="n">
        <v>-1.31509614137874</v>
      </c>
      <c r="BJH6" s="7" t="n">
        <v>-0.0818544324871652</v>
      </c>
      <c r="BJI6" s="7" t="n">
        <v>0.9624876601367039</v>
      </c>
      <c r="BJJ6" s="7" t="n">
        <v>-0.510567978213644</v>
      </c>
      <c r="BJK6" s="7" t="n">
        <v>-0.36140854757786</v>
      </c>
      <c r="BJL6" s="7" t="n">
        <v>0.233242637942405</v>
      </c>
      <c r="BJM6" s="7" t="n">
        <v>-0.863493229117668</v>
      </c>
      <c r="BJN6" s="7" t="n">
        <v>0.801900169336257</v>
      </c>
      <c r="BJO6" s="7" t="n">
        <v>-0.0382989445764461</v>
      </c>
      <c r="BJP6" s="7" t="n">
        <v>0.367584602652175</v>
      </c>
      <c r="BJQ6" s="7" t="n">
        <v>-0.8142766662358329</v>
      </c>
      <c r="BJR6" s="7" t="n">
        <v>-1.02959917794187</v>
      </c>
      <c r="BJS6" s="7" t="n">
        <v>0.946521814946977</v>
      </c>
      <c r="BJT6" s="7" t="n">
        <v>1.59769750676266</v>
      </c>
      <c r="BJU6" s="7" t="n">
        <v>1.7266656684116</v>
      </c>
      <c r="BJV6" s="7" t="n">
        <v>-0.308218923977625</v>
      </c>
      <c r="BJW6" s="7" t="n">
        <v>-1.00835382670641</v>
      </c>
      <c r="BJX6" s="7" t="n">
        <v>0.292128183470121</v>
      </c>
      <c r="BJY6" s="7" t="n">
        <v>-0.268511396581989</v>
      </c>
      <c r="BJZ6" s="7" t="n">
        <v>-1.24042145223921</v>
      </c>
      <c r="BKA6" s="7" t="n">
        <v>-0.674846607211668</v>
      </c>
      <c r="BKB6" s="7" t="n">
        <v>-1.22408284139222</v>
      </c>
      <c r="BKC6" s="7" t="n">
        <v>0.34825374474677</v>
      </c>
      <c r="BKD6" s="7" t="n">
        <v>1.00376568068306</v>
      </c>
      <c r="BKE6" s="7" t="n">
        <v>0.816290179001029</v>
      </c>
      <c r="BKF6" s="7" t="n">
        <v>0.300742205493412</v>
      </c>
      <c r="BKG6" s="7" t="n">
        <v>-0.17854920212921</v>
      </c>
      <c r="BKH6" s="7" t="n">
        <v>-0.660807658687827</v>
      </c>
      <c r="BKI6" s="7" t="n">
        <v>1.14707346610364</v>
      </c>
      <c r="BKJ6" s="7" t="n">
        <v>-0.5926226652986341</v>
      </c>
      <c r="BKK6" s="7" t="n">
        <v>0.87627258615194</v>
      </c>
      <c r="BKL6" s="7" t="n">
        <v>-0.549222535086044</v>
      </c>
      <c r="BKM6" s="7" t="n">
        <v>0.133046245437958</v>
      </c>
      <c r="BKN6" s="7" t="n">
        <v>0.599678806739379</v>
      </c>
      <c r="BKO6" s="7" t="n">
        <v>-0.965895941354402</v>
      </c>
      <c r="BKP6" s="7" t="n">
        <v>-0.263206320169699</v>
      </c>
      <c r="BKQ6" s="7" t="n">
        <v>-0.479217258372346</v>
      </c>
      <c r="BKR6" s="7" t="n">
        <v>-0.103067473976405</v>
      </c>
      <c r="BKS6" s="7" t="n">
        <v>1.56956889238927</v>
      </c>
      <c r="BKT6" s="7" t="n">
        <v>-0.055987038672289</v>
      </c>
      <c r="BKU6" s="7" t="n">
        <v>1.08692371111595</v>
      </c>
      <c r="BKV6" s="7" t="n">
        <v>-0.62851533523916</v>
      </c>
      <c r="BKW6" s="7" t="n">
        <v>1.21018338223403</v>
      </c>
      <c r="BKX6" s="7" t="n">
        <v>0.0716862722750037</v>
      </c>
      <c r="BKY6" s="7" t="n">
        <v>-1.10702267295233</v>
      </c>
      <c r="BKZ6" s="7" t="n">
        <v>-1.39536941089113</v>
      </c>
      <c r="BLA6" s="7" t="n">
        <v>-0.467543649668472</v>
      </c>
      <c r="BLB6" s="7" t="n">
        <v>-0.658169892541423</v>
      </c>
      <c r="BLC6" s="7" t="n">
        <v>1.69079483773007</v>
      </c>
      <c r="BLD6" s="7" t="n">
        <v>0.57785538968325</v>
      </c>
      <c r="BLE6" s="7" t="n">
        <v>-0.697728350657029</v>
      </c>
      <c r="BLF6" s="7" t="n">
        <v>-0.652166278805503</v>
      </c>
      <c r="BLG6" s="7" t="n">
        <v>-1.66212401064215</v>
      </c>
      <c r="BLH6" s="7" t="n">
        <v>-0.176068038805846</v>
      </c>
      <c r="BLI6" s="7" t="n">
        <v>1.1494124583536</v>
      </c>
      <c r="BLJ6" s="7" t="n">
        <v>-0.9850502915949551</v>
      </c>
      <c r="BLK6" s="7" t="n">
        <v>0.506710918464004</v>
      </c>
      <c r="BLL6" s="7" t="n">
        <v>-1.0748681793069</v>
      </c>
      <c r="BLM6" s="7" t="n">
        <v>-0.526581602217823</v>
      </c>
      <c r="BLN6" s="7" t="n">
        <v>-0.491222643440267</v>
      </c>
      <c r="BLO6" s="7" t="n">
        <v>-0.434273896339829</v>
      </c>
      <c r="BLP6" s="7" t="n">
        <v>2.34374085334362</v>
      </c>
      <c r="BLQ6" s="7" t="n">
        <v>-0.0341559187163429</v>
      </c>
      <c r="BLR6" s="7" t="n">
        <v>0.950142857905546</v>
      </c>
      <c r="BLS6" s="7" t="n">
        <v>-0.906083771077268</v>
      </c>
      <c r="BLT6" s="7" t="n">
        <v>1.27943562896457</v>
      </c>
      <c r="BLU6" s="7" t="n">
        <v>0.0184160167382423</v>
      </c>
      <c r="BLV6" s="7" t="n">
        <v>-0.889234757219332</v>
      </c>
      <c r="BLW6" s="7" t="n">
        <v>-0.190844025915368</v>
      </c>
      <c r="BLX6" s="7" t="n">
        <v>0.0794227627871039</v>
      </c>
      <c r="BLY6" s="7" t="n">
        <v>-0.905161310688087</v>
      </c>
      <c r="BLZ6" s="7" t="n">
        <v>0.230216154542839</v>
      </c>
      <c r="BMA6" s="7" t="n">
        <v>-1.45451044751234</v>
      </c>
      <c r="BMB6" s="7" t="n">
        <v>1.40630298028803</v>
      </c>
      <c r="BMC6" s="7" t="n">
        <v>2.05246967805853</v>
      </c>
      <c r="BMD6" s="7" t="n">
        <v>-0.132363589414886</v>
      </c>
      <c r="BME6" s="7" t="n">
        <v>-1.62714504144003</v>
      </c>
      <c r="BMF6" s="7" t="n">
        <v>0.229330755415982</v>
      </c>
      <c r="BMG6" s="7" t="n">
        <v>2.09055859915775</v>
      </c>
      <c r="BMH6" s="7" t="n">
        <v>-0.269842522168243</v>
      </c>
      <c r="BMI6" s="7" t="n">
        <v>-0.0275203128447909</v>
      </c>
      <c r="BMJ6" s="7" t="n">
        <v>-0.064713614016552</v>
      </c>
      <c r="BMK6" s="7" t="n">
        <v>1.45336266868323</v>
      </c>
      <c r="BML6" s="7" t="n">
        <v>0.247979847810165</v>
      </c>
      <c r="BMM6" s="7" t="n">
        <v>0.0066923437991452</v>
      </c>
      <c r="BMN6" s="7" t="n">
        <v>1.13731913737642</v>
      </c>
      <c r="BMO6" s="7" t="n">
        <v>0.261183503644215</v>
      </c>
      <c r="BMP6" s="7" t="n">
        <v>0.51489944409356</v>
      </c>
      <c r="BMQ6" s="7" t="n">
        <v>1.33526296126188</v>
      </c>
      <c r="BMR6" s="7" t="n">
        <v>-0.442427854430087</v>
      </c>
      <c r="BMS6" s="7" t="n">
        <v>-0.901050017215909</v>
      </c>
      <c r="BMT6" s="7" t="n">
        <v>0.204655431369368</v>
      </c>
      <c r="BMU6" s="7" t="n">
        <v>0.763079152143549</v>
      </c>
      <c r="BMV6" s="7" t="n">
        <v>1.43663118925948</v>
      </c>
      <c r="BMW6" s="7" t="n">
        <v>-0.33348489044757</v>
      </c>
      <c r="BMX6" s="7" t="n">
        <v>-1.2307109472808</v>
      </c>
      <c r="BMY6" s="7" t="n">
        <v>1.09649474360645</v>
      </c>
      <c r="BMZ6" s="7" t="n">
        <v>1.1210349874595</v>
      </c>
      <c r="BNA6" s="7" t="n">
        <v>0.0552836098931829</v>
      </c>
      <c r="BNB6" s="7" t="n">
        <v>-0.968351249283227</v>
      </c>
      <c r="BNC6" s="7" t="n">
        <v>-0.0184451634320626</v>
      </c>
      <c r="BND6" s="7" t="n">
        <v>1.32063175732299</v>
      </c>
      <c r="BNE6" s="7" t="n">
        <v>1.63955347888671</v>
      </c>
      <c r="BNF6" s="7" t="n">
        <v>0.964008491219033</v>
      </c>
      <c r="BNG6" s="7" t="n">
        <v>1.22648396488825</v>
      </c>
      <c r="BNH6" s="7" t="n">
        <v>1.22911269843885</v>
      </c>
      <c r="BNI6" s="7" t="n">
        <v>-0.747841568322859</v>
      </c>
      <c r="BNJ6" s="7" t="n">
        <v>0.506492658524017</v>
      </c>
      <c r="BNK6" s="7" t="n">
        <v>-0.0582464362805383</v>
      </c>
      <c r="BNL6" s="7" t="n">
        <v>-1.70191352210674</v>
      </c>
      <c r="BNM6" s="7" t="n">
        <v>1.4120838932885</v>
      </c>
      <c r="BNN6" s="7" t="n">
        <v>1.21065276213945</v>
      </c>
      <c r="BNO6" s="7" t="n">
        <v>-0.0639650630994532</v>
      </c>
      <c r="BNP6" s="7" t="n">
        <v>-0.425640707423136</v>
      </c>
      <c r="BNQ6" s="7" t="n">
        <v>-0.504173727042725</v>
      </c>
      <c r="BNR6" s="7" t="n">
        <v>0.553868563739339</v>
      </c>
      <c r="BNS6" s="7" t="n">
        <v>1.0043286044926</v>
      </c>
      <c r="BNT6" s="7" t="n">
        <v>0.0206157687055697</v>
      </c>
      <c r="BNU6" s="7" t="n">
        <v>-1.08811918561982</v>
      </c>
      <c r="BNV6" s="7" t="n">
        <v>0.754057228572319</v>
      </c>
      <c r="BNW6" s="7" t="n">
        <v>-0.125144403699656</v>
      </c>
      <c r="BNX6" s="7" t="n">
        <v>-0.277450493376683</v>
      </c>
      <c r="BNY6" s="7" t="n">
        <v>0.392478618304252</v>
      </c>
      <c r="BNZ6" s="7" t="n">
        <v>2.11784470163721</v>
      </c>
      <c r="BOA6" s="7" t="n">
        <v>1.37980073224865</v>
      </c>
      <c r="BOB6" s="7" t="n">
        <v>-0.399297888421207</v>
      </c>
      <c r="BOC6" s="7" t="n">
        <v>1.59620636494486</v>
      </c>
      <c r="BOD6" s="7" t="n">
        <v>0.0624715791867928</v>
      </c>
      <c r="BOE6" s="7" t="n">
        <v>1.06713825307907</v>
      </c>
      <c r="BOF6" s="7" t="n">
        <v>-0.894323773888646</v>
      </c>
      <c r="BOG6" s="7" t="n">
        <v>-1.1841008033933</v>
      </c>
      <c r="BOH6" s="7" t="n">
        <v>-2.04710402354856</v>
      </c>
      <c r="BOI6" s="7" t="n">
        <v>0.0929390735270219</v>
      </c>
      <c r="BOJ6" s="7" t="n">
        <v>2.12923355931105</v>
      </c>
      <c r="BOK6" s="7" t="n">
        <v>0.774292256474739</v>
      </c>
      <c r="BOL6" s="7" t="n">
        <v>-1.54255934429427</v>
      </c>
      <c r="BOM6" s="7" t="n">
        <v>-0.681289765612174</v>
      </c>
      <c r="BON6" s="7" t="n">
        <v>0.365952244478774</v>
      </c>
      <c r="BOO6" s="7" t="n">
        <v>-0.327886514806083</v>
      </c>
      <c r="BOP6" s="7" t="n">
        <v>-0.544664859939919</v>
      </c>
      <c r="BOQ6" s="7" t="n">
        <v>-1.6166582560351</v>
      </c>
      <c r="BOR6" s="7" t="n">
        <v>2.79362148952238</v>
      </c>
      <c r="BOS6" s="7" t="n">
        <v>-0.268174785302162</v>
      </c>
      <c r="BOT6" s="7" t="n">
        <v>-0.852831100210233</v>
      </c>
      <c r="BOU6" s="7" t="n">
        <v>0.281344182534941</v>
      </c>
      <c r="BOV6" s="7" t="n">
        <v>-0.975911843707727</v>
      </c>
      <c r="BOW6" s="7" t="n">
        <v>1.14676856544934</v>
      </c>
      <c r="BOX6" s="7" t="n">
        <v>-1.20996147950323</v>
      </c>
      <c r="BOY6" s="7" t="n">
        <v>0.412241414431068</v>
      </c>
      <c r="BOZ6" s="7" t="n">
        <v>-0.338011988989509</v>
      </c>
      <c r="BPA6" s="7" t="n">
        <v>-0.878769021372327</v>
      </c>
      <c r="BPB6" s="7" t="n">
        <v>-0.164283212338504</v>
      </c>
      <c r="BPC6" s="7" t="n">
        <v>0.0386018613490168</v>
      </c>
      <c r="BPD6" s="7" t="n">
        <v>-0.71693595046551</v>
      </c>
      <c r="BPE6" s="7" t="n">
        <v>-0.29930608551582</v>
      </c>
      <c r="BPF6" s="7" t="n">
        <v>1.81580968106239</v>
      </c>
      <c r="BPG6" s="7" t="n">
        <v>-0.202962930059892</v>
      </c>
      <c r="BPH6" s="7" t="n">
        <v>-0.646528695856539</v>
      </c>
      <c r="BPI6" s="7" t="n">
        <v>-0.760797302963323</v>
      </c>
      <c r="BPJ6" s="7" t="n">
        <v>-0.263493116337196</v>
      </c>
      <c r="BPK6" s="7" t="n">
        <v>0.577726727909571</v>
      </c>
      <c r="BPL6" s="7" t="n">
        <v>0.894306122595074</v>
      </c>
      <c r="BPM6" s="7" t="n">
        <v>0.867945554415875</v>
      </c>
      <c r="BPN6" s="7" t="n">
        <v>-0.926559277067914</v>
      </c>
      <c r="BPO6" s="7" t="n">
        <v>0.769844842241496</v>
      </c>
      <c r="BPP6" s="7" t="n">
        <v>-1.81315561828267</v>
      </c>
      <c r="BPQ6" s="7" t="n">
        <v>0.41957838539882</v>
      </c>
      <c r="BPR6" s="7" t="n">
        <v>0.728863200374369</v>
      </c>
      <c r="BPS6" s="7" t="n">
        <v>0.533624606235316</v>
      </c>
      <c r="BPT6" s="7" t="n">
        <v>0.794267362665565</v>
      </c>
      <c r="BPU6" s="7" t="n">
        <v>-0.932873612349937</v>
      </c>
      <c r="BPV6" s="7" t="n">
        <v>-0.82485573097138</v>
      </c>
      <c r="BPW6" s="7" t="n">
        <v>0.40287375460135</v>
      </c>
      <c r="BPX6" s="7" t="n">
        <v>0.332866633834359</v>
      </c>
      <c r="BPY6" s="7" t="n">
        <v>0.971575665064495</v>
      </c>
      <c r="BPZ6" s="7" t="n">
        <v>-1.18159106699214</v>
      </c>
      <c r="BQA6" s="7" t="n">
        <v>-1.44631747791063</v>
      </c>
      <c r="BQB6" s="7" t="n">
        <v>0.5515663099978571</v>
      </c>
      <c r="BQC6" s="7" t="n">
        <v>-1.47046791154207</v>
      </c>
      <c r="BQD6" s="7" t="n">
        <v>2.53962830396336</v>
      </c>
      <c r="BQE6" s="7" t="n">
        <v>1.22281809023077</v>
      </c>
      <c r="BQF6" s="7" t="n">
        <v>0.251050732389912</v>
      </c>
      <c r="BQG6" s="7" t="n">
        <v>-2.37392894486814</v>
      </c>
      <c r="BQH6" s="7" t="n">
        <v>0.753289125159984</v>
      </c>
    </row>
    <row r="7">
      <c r="A7" s="7" t="n">
        <v>5</v>
      </c>
      <c r="B7" s="7" t="n">
        <v>0.5003608209489639</v>
      </c>
      <c r="C7" s="7" t="n">
        <v>-1.10815487606679</v>
      </c>
      <c r="D7" s="7" t="n">
        <v>-0.36322198598464</v>
      </c>
      <c r="E7" s="7" t="n">
        <v>-1.42724608772123</v>
      </c>
      <c r="F7" s="7" t="n">
        <v>1.72554241083345</v>
      </c>
      <c r="G7" s="7" t="n">
        <v>-0.70429141041933</v>
      </c>
      <c r="H7" s="7" t="n">
        <v>-0.577211791757704</v>
      </c>
      <c r="I7" s="7" t="n">
        <v>-1.159285925878</v>
      </c>
      <c r="J7" s="7" t="n">
        <v>-0.375418805480546</v>
      </c>
      <c r="K7" s="7" t="n">
        <v>0.0196696501781069</v>
      </c>
      <c r="L7" s="7" t="n">
        <v>-0.198869637473519</v>
      </c>
      <c r="M7" s="7" t="n">
        <v>-0.648742983018298</v>
      </c>
      <c r="N7" s="7" t="n">
        <v>1.74846675497403</v>
      </c>
      <c r="O7" s="7" t="n">
        <v>-0.627013970851795</v>
      </c>
      <c r="P7" s="7" t="n">
        <v>-0.07613410266242419</v>
      </c>
      <c r="Q7" s="7" t="n">
        <v>-1.23559396404748</v>
      </c>
      <c r="R7" s="7" t="n">
        <v>0.489809626890296</v>
      </c>
      <c r="S7" s="7" t="n">
        <v>-0.815068641853636</v>
      </c>
      <c r="T7" s="7" t="n">
        <v>-0.35351749755787</v>
      </c>
      <c r="U7" s="7" t="n">
        <v>-1.25698417639581</v>
      </c>
      <c r="V7" s="7" t="n">
        <v>1.94367590958026</v>
      </c>
      <c r="W7" s="7" t="n">
        <v>1.90568148442511</v>
      </c>
      <c r="X7" s="7" t="n">
        <v>0.612788939594588</v>
      </c>
      <c r="Y7" s="7" t="n">
        <v>0.560331321501925</v>
      </c>
      <c r="Z7" s="7" t="n">
        <v>1.30184986091229</v>
      </c>
      <c r="AA7" s="7" t="n">
        <v>-0.761679194919451</v>
      </c>
      <c r="AB7" s="7" t="n">
        <v>-0.137519990215869</v>
      </c>
      <c r="AC7" s="7" t="n">
        <v>-0.782832007839295</v>
      </c>
      <c r="AD7" s="7" t="n">
        <v>-0.625004423586813</v>
      </c>
      <c r="AE7" s="7" t="n">
        <v>0.838527430357954</v>
      </c>
      <c r="AF7" s="7" t="n">
        <v>1.79397768942768</v>
      </c>
      <c r="AG7" s="7" t="n">
        <v>0.323210848583174</v>
      </c>
      <c r="AH7" s="7" t="n">
        <v>-0.911847639963816</v>
      </c>
      <c r="AI7" s="7" t="n">
        <v>-0.294300373026951</v>
      </c>
      <c r="AJ7" s="7" t="n">
        <v>1.20212544563749</v>
      </c>
      <c r="AK7" s="7" t="n">
        <v>-0.280114267507283</v>
      </c>
      <c r="AL7" s="7" t="n">
        <v>-1.1676962195748</v>
      </c>
      <c r="AM7" s="7" t="n">
        <v>2.26207631985297</v>
      </c>
      <c r="AN7" s="7" t="n">
        <v>1.91784039554434</v>
      </c>
      <c r="AO7" s="7" t="n">
        <v>-0.43814201535702</v>
      </c>
      <c r="AP7" s="7" t="n">
        <v>0.283321213928242</v>
      </c>
      <c r="AQ7" s="7" t="n">
        <v>0.504714596896721</v>
      </c>
      <c r="AR7" s="7" t="n">
        <v>-1.04255204973807</v>
      </c>
      <c r="AS7" s="7" t="n">
        <v>-0.299232708782494</v>
      </c>
      <c r="AT7" s="7" t="n">
        <v>1.63465438853611</v>
      </c>
      <c r="AU7" s="7" t="n">
        <v>0.354843509969002</v>
      </c>
      <c r="AV7" s="7" t="n">
        <v>-1.6008546060141</v>
      </c>
      <c r="AW7" s="7" t="n">
        <v>0.500950720428523</v>
      </c>
      <c r="AX7" s="7" t="n">
        <v>-1.51423392452048</v>
      </c>
      <c r="AY7" s="7" t="n">
        <v>1.40772139580717</v>
      </c>
      <c r="AZ7" s="7" t="n">
        <v>0.750588618163599</v>
      </c>
      <c r="BA7" s="7" t="n">
        <v>0.7283020568399</v>
      </c>
      <c r="BB7" s="7" t="n">
        <v>-0.21830556395726</v>
      </c>
      <c r="BC7" s="7" t="n">
        <v>0.317144345749218</v>
      </c>
      <c r="BD7" s="7" t="n">
        <v>-0.143061173478551</v>
      </c>
      <c r="BE7" s="7" t="n">
        <v>-0.361349646827458</v>
      </c>
      <c r="BF7" s="7" t="n">
        <v>-0.756202306094678</v>
      </c>
      <c r="BG7" s="7" t="n">
        <v>-0.738828889560833</v>
      </c>
      <c r="BH7" s="7" t="n">
        <v>2.57775441711156</v>
      </c>
      <c r="BI7" s="7" t="n">
        <v>-0.0323537324571673</v>
      </c>
      <c r="BJ7" s="7" t="n">
        <v>-1.45009472269556</v>
      </c>
      <c r="BK7" s="7" t="n">
        <v>-0.644949475949531</v>
      </c>
      <c r="BL7" s="7" t="n">
        <v>0.777928527094918</v>
      </c>
      <c r="BM7" s="7" t="n">
        <v>0.389597838170347</v>
      </c>
      <c r="BN7" s="7" t="n">
        <v>-0.7144936544895319</v>
      </c>
      <c r="BO7" s="7" t="n">
        <v>-0.929197547328861</v>
      </c>
      <c r="BP7" s="7" t="n">
        <v>-0.5606420033355211</v>
      </c>
      <c r="BQ7" s="7" t="n">
        <v>0.577005613947725</v>
      </c>
      <c r="BR7" s="7" t="n">
        <v>0.807852354817472</v>
      </c>
      <c r="BS7" s="7" t="n">
        <v>-2.2781621355724</v>
      </c>
      <c r="BT7" s="7" t="n">
        <v>0.384097618349816</v>
      </c>
      <c r="BU7" s="7" t="n">
        <v>-1.38745518414562</v>
      </c>
      <c r="BV7" s="7" t="n">
        <v>0.701418376599438</v>
      </c>
      <c r="BW7" s="7" t="n">
        <v>-1.12871446886695</v>
      </c>
      <c r="BX7" s="7" t="n">
        <v>0.732610102765695</v>
      </c>
      <c r="BY7" s="7" t="n">
        <v>-0.755768099981395</v>
      </c>
      <c r="BZ7" s="7" t="n">
        <v>-0.704625967290022</v>
      </c>
      <c r="CA7" s="7" t="n">
        <v>-0.214693709323061</v>
      </c>
      <c r="CB7" s="7" t="n">
        <v>0.484077666089876</v>
      </c>
      <c r="CC7" s="7" t="n">
        <v>-1.12436434885071</v>
      </c>
      <c r="CD7" s="7" t="n">
        <v>0.14314513739691</v>
      </c>
      <c r="CE7" s="7" t="n">
        <v>-0.910607052298044</v>
      </c>
      <c r="CF7" s="7" t="n">
        <v>-0.0605080568738265</v>
      </c>
      <c r="CG7" s="7" t="n">
        <v>1.10579393075472</v>
      </c>
      <c r="CH7" s="7" t="n">
        <v>-0.38056164311894</v>
      </c>
      <c r="CI7" s="7" t="n">
        <v>-0.9350824229631119</v>
      </c>
      <c r="CJ7" s="7" t="n">
        <v>-1.08899636115293</v>
      </c>
      <c r="CK7" s="7" t="n">
        <v>-1.41955410146433</v>
      </c>
      <c r="CL7" s="7" t="n">
        <v>1.03813361356768</v>
      </c>
      <c r="CM7" s="7" t="n">
        <v>-0.748705814095659</v>
      </c>
      <c r="CN7" s="7" t="n">
        <v>1.89724850376092</v>
      </c>
      <c r="CO7" s="7" t="n">
        <v>-1.91066707056364</v>
      </c>
      <c r="CP7" s="7" t="n">
        <v>1.21981366523626</v>
      </c>
      <c r="CQ7" s="7" t="n">
        <v>1.15965208102761</v>
      </c>
      <c r="CR7" s="7" t="n">
        <v>-1.67867564555578</v>
      </c>
      <c r="CS7" s="7" t="n">
        <v>0.51510190817859</v>
      </c>
      <c r="CT7" s="7" t="n">
        <v>-2.4168820056806</v>
      </c>
      <c r="CU7" s="7" t="n">
        <v>-0.974925779281398</v>
      </c>
      <c r="CV7" s="7" t="n">
        <v>-0.226067164381422</v>
      </c>
      <c r="CW7" s="7" t="n">
        <v>-0.131914714186397</v>
      </c>
      <c r="CX7" s="7" t="n">
        <v>0.769673631896136</v>
      </c>
      <c r="CY7" s="7" t="n">
        <v>-0.221738015442242</v>
      </c>
      <c r="CZ7" s="7" t="n">
        <v>1.13641003661491</v>
      </c>
      <c r="DA7" s="7" t="n">
        <v>0.0310063228587744</v>
      </c>
      <c r="DB7" s="7" t="n">
        <v>-0.7822588266591129</v>
      </c>
      <c r="DC7" s="7" t="n">
        <v>-0.332399567796213</v>
      </c>
      <c r="DD7" s="7" t="n">
        <v>-1.83138182370712</v>
      </c>
      <c r="DE7" s="7" t="n">
        <v>-1.8227602538244</v>
      </c>
      <c r="DF7" s="7" t="n">
        <v>-1.21070784796358</v>
      </c>
      <c r="DG7" s="7" t="n">
        <v>-0.318014227833764</v>
      </c>
      <c r="DH7" s="7" t="n">
        <v>0.523059255278395</v>
      </c>
      <c r="DI7" s="7" t="n">
        <v>1.40704112271792</v>
      </c>
      <c r="DJ7" s="7" t="n">
        <v>0.144301644842967</v>
      </c>
      <c r="DK7" s="7" t="n">
        <v>0.499550540301995</v>
      </c>
      <c r="DL7" s="7" t="n">
        <v>-1.00690738072055</v>
      </c>
      <c r="DM7" s="7" t="n">
        <v>-1.30569615546126</v>
      </c>
      <c r="DN7" s="7" t="n">
        <v>0.372903361986249</v>
      </c>
      <c r="DO7" s="7" t="n">
        <v>-0.278624941880598</v>
      </c>
      <c r="DP7" s="7" t="n">
        <v>-0.52619622890058</v>
      </c>
      <c r="DQ7" s="7" t="n">
        <v>-1.32280570954112</v>
      </c>
      <c r="DR7" s="7" t="n">
        <v>-0.039436905403307</v>
      </c>
      <c r="DS7" s="7" t="n">
        <v>-0.438382734882253</v>
      </c>
      <c r="DT7" s="7" t="n">
        <v>0.952615197963943</v>
      </c>
      <c r="DU7" s="7" t="n">
        <v>-0.001480435537573</v>
      </c>
      <c r="DV7" s="7" t="n">
        <v>0.365030974852013</v>
      </c>
      <c r="DW7" s="7" t="n">
        <v>-0.936166892594347</v>
      </c>
      <c r="DX7" s="7" t="n">
        <v>0.0721699680312629</v>
      </c>
      <c r="DY7" s="7" t="n">
        <v>0.328934631579133</v>
      </c>
      <c r="DZ7" s="7" t="n">
        <v>0.33990101576357</v>
      </c>
      <c r="EA7" s="7" t="n">
        <v>-1.70040693295395</v>
      </c>
      <c r="EB7" s="7" t="n">
        <v>-1.50538865118089</v>
      </c>
      <c r="EC7" s="7" t="n">
        <v>0.556431063292271</v>
      </c>
      <c r="ED7" s="7" t="n">
        <v>-1.43443193823171</v>
      </c>
      <c r="EE7" s="7" t="n">
        <v>1.1464776133086</v>
      </c>
      <c r="EF7" s="7" t="n">
        <v>0.404503892785113</v>
      </c>
      <c r="EG7" s="7" t="n">
        <v>0.32189938592502</v>
      </c>
      <c r="EH7" s="7" t="n">
        <v>-1.31056365742591</v>
      </c>
      <c r="EI7" s="7" t="n">
        <v>0.135470448618211</v>
      </c>
      <c r="EJ7" s="7" t="n">
        <v>0.173220838588823</v>
      </c>
      <c r="EK7" s="7" t="n">
        <v>1.53695183727192</v>
      </c>
      <c r="EL7" s="7" t="n">
        <v>0.07966703337211201</v>
      </c>
      <c r="EM7" s="7" t="n">
        <v>-2.61897161831806</v>
      </c>
      <c r="EN7" s="7" t="n">
        <v>-1.12943814740919</v>
      </c>
      <c r="EO7" s="7" t="n">
        <v>-0.619896098090424</v>
      </c>
      <c r="EP7" s="7" t="n">
        <v>0.991447187503139</v>
      </c>
      <c r="EQ7" s="7" t="n">
        <v>0.432048393992178</v>
      </c>
      <c r="ER7" s="7" t="n">
        <v>-0.0333490718565763</v>
      </c>
      <c r="ES7" s="7" t="n">
        <v>-1.5240107069887</v>
      </c>
      <c r="ET7" s="7" t="n">
        <v>-0.8219658040664261</v>
      </c>
      <c r="EU7" s="7" t="n">
        <v>-0.350025024307665</v>
      </c>
      <c r="EV7" s="7" t="n">
        <v>0.538519930123958</v>
      </c>
      <c r="EW7" s="7" t="n">
        <v>-0.833976031133147</v>
      </c>
      <c r="EX7" s="7" t="n">
        <v>0.414609205251351</v>
      </c>
      <c r="EY7" s="7" t="n">
        <v>-0.226022790571057</v>
      </c>
      <c r="EZ7" s="7" t="n">
        <v>0.14328036374585</v>
      </c>
      <c r="FA7" s="7" t="n">
        <v>0.955567836554899</v>
      </c>
      <c r="FB7" s="7" t="n">
        <v>0.510291254640838</v>
      </c>
      <c r="FC7" s="7" t="n">
        <v>0.627324620912065</v>
      </c>
      <c r="FD7" s="7" t="n">
        <v>1.28211117194871</v>
      </c>
      <c r="FE7" s="7" t="n">
        <v>-1.16948796840883</v>
      </c>
      <c r="FF7" s="7" t="n">
        <v>-2.42128213155125</v>
      </c>
      <c r="FG7" s="7" t="n">
        <v>-0.0450188673216664</v>
      </c>
      <c r="FH7" s="7" t="n">
        <v>-1.18494112491931</v>
      </c>
      <c r="FI7" s="7" t="n">
        <v>-0.343856432485635</v>
      </c>
      <c r="FJ7" s="7" t="n">
        <v>0.0260329392256156</v>
      </c>
      <c r="FK7" s="7" t="n">
        <v>-1.21978111683971</v>
      </c>
      <c r="FL7" s="7" t="n">
        <v>-1.40614489270434</v>
      </c>
      <c r="FM7" s="7" t="n">
        <v>-0.356946417683665</v>
      </c>
      <c r="FN7" s="7" t="n">
        <v>-0.118375937735484</v>
      </c>
      <c r="FO7" s="7" t="n">
        <v>-1.07002743771344</v>
      </c>
      <c r="FP7" s="7" t="n">
        <v>0.022420316861574</v>
      </c>
      <c r="FQ7" s="7" t="n">
        <v>1.43983196844792</v>
      </c>
      <c r="FR7" s="7" t="n">
        <v>-2.12015338254537</v>
      </c>
      <c r="FS7" s="7" t="n">
        <v>0.592090574421627</v>
      </c>
      <c r="FT7" s="7" t="n">
        <v>0.603451874351061</v>
      </c>
      <c r="FU7" s="7" t="n">
        <v>-0.149700447908678</v>
      </c>
      <c r="FV7" s="7" t="n">
        <v>0.0800262531792038</v>
      </c>
      <c r="FW7" s="7" t="n">
        <v>1.3491528974879</v>
      </c>
      <c r="FX7" s="7" t="n">
        <v>0.371427908347939</v>
      </c>
      <c r="FY7" s="7" t="n">
        <v>0.07286308286987871</v>
      </c>
      <c r="FZ7" s="7" t="n">
        <v>-0.827957248648407</v>
      </c>
      <c r="GA7" s="7" t="n">
        <v>0.259027514280393</v>
      </c>
      <c r="GB7" s="7" t="n">
        <v>-0.30452321916593</v>
      </c>
      <c r="GC7" s="7" t="n">
        <v>-3.4637523778039</v>
      </c>
      <c r="GD7" s="7" t="n">
        <v>-0.0668393820009112</v>
      </c>
      <c r="GE7" s="7" t="n">
        <v>0.579896846656543</v>
      </c>
      <c r="GF7" s="7" t="n">
        <v>-0.949570732595274</v>
      </c>
      <c r="GG7" s="7" t="n">
        <v>-1.24698930671651</v>
      </c>
      <c r="GH7" s="7" t="n">
        <v>-1.15029423751437</v>
      </c>
      <c r="GI7" s="7" t="n">
        <v>-0.622961922803604</v>
      </c>
      <c r="GJ7" s="7" t="n">
        <v>-1.62272423562764</v>
      </c>
      <c r="GK7" s="7" t="n">
        <v>1.25024396025183</v>
      </c>
      <c r="GL7" s="7" t="n">
        <v>0.985340682254955</v>
      </c>
      <c r="GM7" s="7" t="n">
        <v>-0.48400231638393</v>
      </c>
      <c r="GN7" s="7" t="n">
        <v>0.180587282754419</v>
      </c>
      <c r="GO7" s="7" t="n">
        <v>0.767318818631924</v>
      </c>
      <c r="GP7" s="7" t="n">
        <v>-0.5497212493922941</v>
      </c>
      <c r="GQ7" s="7" t="n">
        <v>0.229040420661729</v>
      </c>
      <c r="GR7" s="7" t="n">
        <v>-0.222289985747886</v>
      </c>
      <c r="GS7" s="7" t="n">
        <v>0.289223032346778</v>
      </c>
      <c r="GT7" s="7" t="n">
        <v>-0.704053538029613</v>
      </c>
      <c r="GU7" s="7" t="n">
        <v>-1.96110076090617</v>
      </c>
      <c r="GV7" s="7" t="n">
        <v>0.716351021527331</v>
      </c>
      <c r="GW7" s="7" t="n">
        <v>1.77434077500762</v>
      </c>
      <c r="GX7" s="7" t="n">
        <v>0.317415564567933</v>
      </c>
      <c r="GY7" s="7" t="n">
        <v>-1.83727087092797</v>
      </c>
      <c r="GZ7" s="7" t="n">
        <v>0.716987821055438</v>
      </c>
      <c r="HA7" s="7" t="n">
        <v>-0.548894822322178</v>
      </c>
      <c r="HB7" s="7" t="n">
        <v>0.764351204805448</v>
      </c>
      <c r="HC7" s="7" t="n">
        <v>-0.32295150302678</v>
      </c>
      <c r="HD7" s="7" t="n">
        <v>0.766831314926545</v>
      </c>
      <c r="HE7" s="7" t="n">
        <v>-0.674335564450525</v>
      </c>
      <c r="HF7" s="7" t="n">
        <v>-0.0426276358757875</v>
      </c>
      <c r="HG7" s="7" t="n">
        <v>0.297368864681656</v>
      </c>
      <c r="HH7" s="7" t="n">
        <v>-0.308509600977614</v>
      </c>
      <c r="HI7" s="7" t="n">
        <v>-0.343216211917327</v>
      </c>
      <c r="HJ7" s="7" t="n">
        <v>0.778171942429159</v>
      </c>
      <c r="HK7" s="7" t="n">
        <v>-0.5648804416895929</v>
      </c>
      <c r="HL7" s="7" t="n">
        <v>0.31771323664897</v>
      </c>
      <c r="HM7" s="7" t="n">
        <v>0.782743876752388</v>
      </c>
      <c r="HN7" s="7" t="n">
        <v>0.516894541600496</v>
      </c>
      <c r="HO7" s="7" t="n">
        <v>1.07437488161763</v>
      </c>
      <c r="HP7" s="7" t="n">
        <v>0.370925520869234</v>
      </c>
      <c r="HQ7" s="7" t="n">
        <v>-2.10303230169664</v>
      </c>
      <c r="HR7" s="7" t="n">
        <v>0.0539637300571157</v>
      </c>
      <c r="HS7" s="7" t="n">
        <v>1.32660871085687</v>
      </c>
      <c r="HT7" s="7" t="n">
        <v>0.948465913285886</v>
      </c>
      <c r="HU7" s="7" t="n">
        <v>1.11067703806296</v>
      </c>
      <c r="HV7" s="7" t="n">
        <v>0.802781191965417</v>
      </c>
      <c r="HW7" s="7" t="n">
        <v>-1.63063068052495</v>
      </c>
      <c r="HX7" s="7" t="n">
        <v>0.18768547525469</v>
      </c>
      <c r="HY7" s="7" t="n">
        <v>0.440119022004181</v>
      </c>
      <c r="HZ7" s="7" t="n">
        <v>1.02549904100107</v>
      </c>
      <c r="IA7" s="7" t="n">
        <v>-0.383723206929584</v>
      </c>
      <c r="IB7" s="7" t="n">
        <v>-0.309529627826326</v>
      </c>
      <c r="IC7" s="7" t="n">
        <v>-0.0724231464313921</v>
      </c>
      <c r="ID7" s="7" t="n">
        <v>-0.0565705826436267</v>
      </c>
      <c r="IE7" s="7" t="n">
        <v>0.0270132977301207</v>
      </c>
      <c r="IF7" s="7" t="n">
        <v>0.454493395190538</v>
      </c>
      <c r="IG7" s="7" t="n">
        <v>0.26255788795381</v>
      </c>
      <c r="IH7" s="7" t="n">
        <v>-0.363923257671657</v>
      </c>
      <c r="II7" s="7" t="n">
        <v>0.450637745552347</v>
      </c>
      <c r="IJ7" s="7" t="n">
        <v>0.299408219900081</v>
      </c>
      <c r="IK7" s="7" t="n">
        <v>0.0821077358743988</v>
      </c>
      <c r="IL7" s="7" t="n">
        <v>-0.582892175279407</v>
      </c>
      <c r="IM7" s="7" t="n">
        <v>-0.220404056610139</v>
      </c>
      <c r="IN7" s="7" t="n">
        <v>0.747272015923643</v>
      </c>
      <c r="IO7" s="7" t="n">
        <v>-1.0872003195916</v>
      </c>
      <c r="IP7" s="7" t="n">
        <v>1.0513958517916</v>
      </c>
      <c r="IQ7" s="7" t="n">
        <v>0.491199108129801</v>
      </c>
      <c r="IR7" s="7" t="n">
        <v>-0.506480343579446</v>
      </c>
      <c r="IS7" s="7" t="n">
        <v>0.0675570553812098</v>
      </c>
      <c r="IT7" s="7" t="n">
        <v>0.179365976439278</v>
      </c>
      <c r="IU7" s="7" t="n">
        <v>1.22752028919159</v>
      </c>
      <c r="IV7" s="7" t="n">
        <v>-0.638119303960365</v>
      </c>
      <c r="IW7" s="7" t="n">
        <v>0.762826002357916</v>
      </c>
      <c r="IX7" s="7" t="n">
        <v>-1.35577029793452</v>
      </c>
      <c r="IY7" s="7" t="n">
        <v>0.682576099067508</v>
      </c>
      <c r="IZ7" s="7" t="n">
        <v>-2.43170303519946</v>
      </c>
      <c r="JA7" s="7" t="n">
        <v>0.767952731785279</v>
      </c>
      <c r="JB7" s="7" t="n">
        <v>0.613777001897484</v>
      </c>
      <c r="JC7" s="7" t="n">
        <v>1.71583115348606</v>
      </c>
      <c r="JD7" s="7" t="n">
        <v>-0.373503696510222</v>
      </c>
      <c r="JE7" s="7" t="n">
        <v>-1.27200536427795</v>
      </c>
      <c r="JF7" s="7" t="n">
        <v>-1.22511293905024</v>
      </c>
      <c r="JG7" s="7" t="n">
        <v>-0.32879992079164</v>
      </c>
      <c r="JH7" s="7" t="n">
        <v>0.719590873769881</v>
      </c>
      <c r="JI7" s="7" t="n">
        <v>-0.416144552091939</v>
      </c>
      <c r="JJ7" s="7" t="n">
        <v>-2.11936886647663</v>
      </c>
      <c r="JK7" s="7" t="n">
        <v>-0.0029786351072337</v>
      </c>
      <c r="JL7" s="7" t="n">
        <v>-1.20133615114824</v>
      </c>
      <c r="JM7" s="7" t="n">
        <v>0.911772366620325</v>
      </c>
      <c r="JN7" s="7" t="n">
        <v>0.135677133172189</v>
      </c>
      <c r="JO7" s="7" t="n">
        <v>-0.893183282766804</v>
      </c>
      <c r="JP7" s="7" t="n">
        <v>0.431814693989553</v>
      </c>
      <c r="JQ7" s="7" t="n">
        <v>1.77950496274657</v>
      </c>
      <c r="JR7" s="7" t="n">
        <v>0.667994132032532</v>
      </c>
      <c r="JS7" s="7" t="n">
        <v>-0.277561129709195</v>
      </c>
      <c r="JT7" s="7" t="n">
        <v>-0.151584558656063</v>
      </c>
      <c r="JU7" s="7" t="n">
        <v>1.25354323264142</v>
      </c>
      <c r="JV7" s="7" t="n">
        <v>0.743434008667319</v>
      </c>
      <c r="JW7" s="7" t="n">
        <v>-1.05468649332196</v>
      </c>
      <c r="JX7" s="7" t="n">
        <v>-1.32255638446828</v>
      </c>
      <c r="JY7" s="7" t="n">
        <v>-0.699429224537623</v>
      </c>
      <c r="JZ7" s="7" t="n">
        <v>-1.62830675011357</v>
      </c>
      <c r="KA7" s="7" t="n">
        <v>-0.999343842929673</v>
      </c>
      <c r="KB7" s="7" t="n">
        <v>-0.805048978661583</v>
      </c>
      <c r="KC7" s="7" t="n">
        <v>-0.292037530174696</v>
      </c>
      <c r="KD7" s="7" t="n">
        <v>-0.881900211871983</v>
      </c>
      <c r="KE7" s="7" t="n">
        <v>0.455161051575545</v>
      </c>
      <c r="KF7" s="7" t="n">
        <v>1.11738455012159</v>
      </c>
      <c r="KG7" s="7" t="n">
        <v>0.826663071273937</v>
      </c>
      <c r="KH7" s="7" t="n">
        <v>-1.58752271357603</v>
      </c>
      <c r="KI7" s="7" t="n">
        <v>-2.58363230876072</v>
      </c>
      <c r="KJ7" s="7" t="n">
        <v>1.82571711135638</v>
      </c>
      <c r="KK7" s="7" t="n">
        <v>0.497599075235216</v>
      </c>
      <c r="KL7" s="7" t="n">
        <v>-0.244387495403782</v>
      </c>
      <c r="KM7" s="7" t="n">
        <v>0.151735311930305</v>
      </c>
      <c r="KN7" s="7" t="n">
        <v>1.22414003606337</v>
      </c>
      <c r="KO7" s="7" t="n">
        <v>0.0591506391954382</v>
      </c>
      <c r="KP7" s="7" t="n">
        <v>0.769803189285754</v>
      </c>
      <c r="KQ7" s="7" t="n">
        <v>0.523389402295546</v>
      </c>
      <c r="KR7" s="7" t="n">
        <v>-1.02711100743784</v>
      </c>
      <c r="KS7" s="7" t="n">
        <v>-0.956949553609715</v>
      </c>
      <c r="KT7" s="7" t="n">
        <v>0.6244102224146379</v>
      </c>
      <c r="KU7" s="7" t="n">
        <v>1.03365503537619</v>
      </c>
      <c r="KV7" s="7" t="n">
        <v>0.154981281367706</v>
      </c>
      <c r="KW7" s="7" t="n">
        <v>0.906421243824274</v>
      </c>
      <c r="KX7" s="7" t="n">
        <v>1.60452326298195</v>
      </c>
      <c r="KY7" s="7" t="n">
        <v>-2.53605916669862</v>
      </c>
      <c r="KZ7" s="7" t="n">
        <v>0.716639935082346</v>
      </c>
      <c r="LA7" s="7" t="n">
        <v>0.581673091060176</v>
      </c>
      <c r="LB7" s="7" t="n">
        <v>0.633583596317902</v>
      </c>
      <c r="LC7" s="7" t="n">
        <v>-0.99215781757939</v>
      </c>
      <c r="LD7" s="7" t="n">
        <v>-1.47899627400241</v>
      </c>
      <c r="LE7" s="7" t="n">
        <v>0.347567821659219</v>
      </c>
      <c r="LF7" s="7" t="n">
        <v>-0.189150998201423</v>
      </c>
      <c r="LG7" s="7" t="n">
        <v>1.17796993903137</v>
      </c>
      <c r="LH7" s="7" t="n">
        <v>1.24564183132609</v>
      </c>
      <c r="LI7" s="7" t="n">
        <v>-2.13060541127702</v>
      </c>
      <c r="LJ7" s="7" t="n">
        <v>-1.06973481161754</v>
      </c>
      <c r="LK7" s="7" t="n">
        <v>0.829304894690285</v>
      </c>
      <c r="LL7" s="7" t="n">
        <v>0.433594874002019</v>
      </c>
      <c r="LM7" s="7" t="n">
        <v>-1.51722111698274</v>
      </c>
      <c r="LN7" s="7" t="n">
        <v>-0.0410140934150736</v>
      </c>
      <c r="LO7" s="7" t="n">
        <v>-1.7767115439359</v>
      </c>
      <c r="LP7" s="7" t="n">
        <v>-0.212910768310911</v>
      </c>
      <c r="LQ7" s="7" t="n">
        <v>1.31504260527086</v>
      </c>
      <c r="LR7" s="7" t="n">
        <v>1.80934417559373</v>
      </c>
      <c r="LS7" s="7" t="n">
        <v>-0.854707888481923</v>
      </c>
      <c r="LT7" s="7" t="n">
        <v>-0.430421737474474</v>
      </c>
      <c r="LU7" s="7" t="n">
        <v>-1.34657718246036</v>
      </c>
      <c r="LV7" s="7" t="n">
        <v>-1.42010381858498</v>
      </c>
      <c r="LW7" s="7" t="n">
        <v>-0.179987575179743</v>
      </c>
      <c r="LX7" s="7" t="n">
        <v>-0.08460388465682871</v>
      </c>
      <c r="LY7" s="7" t="n">
        <v>0.806550673421934</v>
      </c>
      <c r="LZ7" s="7" t="n">
        <v>1.92803756639008</v>
      </c>
      <c r="MA7" s="7" t="n">
        <v>1.58283414580021</v>
      </c>
      <c r="MB7" s="7" t="n">
        <v>-0.103073598866871</v>
      </c>
      <c r="MC7" s="7" t="n">
        <v>-0.8249064467212091</v>
      </c>
      <c r="MD7" s="7" t="n">
        <v>-1.67318155941219</v>
      </c>
      <c r="ME7" s="7" t="n">
        <v>2.45502927089832</v>
      </c>
      <c r="MF7" s="7" t="n">
        <v>-0.732154999933383</v>
      </c>
      <c r="MG7" s="7" t="n">
        <v>-0.858100095920555</v>
      </c>
      <c r="MH7" s="7" t="n">
        <v>-0.278823758162499</v>
      </c>
      <c r="MI7" s="7" t="n">
        <v>1.50892268834234</v>
      </c>
      <c r="MJ7" s="7" t="n">
        <v>-0.7776885477140379</v>
      </c>
      <c r="MK7" s="7" t="n">
        <v>0.846149821812713</v>
      </c>
      <c r="ML7" s="7" t="n">
        <v>-0.276358153137938</v>
      </c>
      <c r="MM7" s="7" t="n">
        <v>-1.76644948110068</v>
      </c>
      <c r="MN7" s="7" t="n">
        <v>-1.10046450889254</v>
      </c>
      <c r="MO7" s="7" t="n">
        <v>0.594283215224478</v>
      </c>
      <c r="MP7" s="7" t="n">
        <v>1.37735443916219</v>
      </c>
      <c r="MQ7" s="7" t="n">
        <v>0.93297933275116</v>
      </c>
      <c r="MR7" s="7" t="n">
        <v>0.190849125467041</v>
      </c>
      <c r="MS7" s="7" t="n">
        <v>0.223228459229681</v>
      </c>
      <c r="MT7" s="7" t="n">
        <v>-0.95981376044667</v>
      </c>
      <c r="MU7" s="7" t="n">
        <v>0.601945202769025</v>
      </c>
      <c r="MV7" s="7" t="n">
        <v>-0.283581056887579</v>
      </c>
      <c r="MW7" s="7" t="n">
        <v>0.920877996228185</v>
      </c>
      <c r="MX7" s="7" t="n">
        <v>0.82245261349395</v>
      </c>
      <c r="MY7" s="7" t="n">
        <v>0.382228253208093</v>
      </c>
      <c r="MZ7" s="7" t="n">
        <v>2.09134695748086</v>
      </c>
      <c r="NA7" s="7" t="n">
        <v>1.54540900959044</v>
      </c>
      <c r="NB7" s="7" t="n">
        <v>-0.06271426678959351</v>
      </c>
      <c r="NC7" s="7" t="n">
        <v>1.21252101728455</v>
      </c>
      <c r="ND7" s="7" t="n">
        <v>1.10641413990667</v>
      </c>
      <c r="NE7" s="7" t="n">
        <v>1.30511081225885</v>
      </c>
      <c r="NF7" s="7" t="n">
        <v>0.265231028940717</v>
      </c>
      <c r="NG7" s="7" t="n">
        <v>1.23471491250393</v>
      </c>
      <c r="NH7" s="7" t="n">
        <v>-0.587051311478739</v>
      </c>
      <c r="NI7" s="7" t="n">
        <v>0.773153784800084</v>
      </c>
      <c r="NJ7" s="7" t="n">
        <v>1.37319178764289</v>
      </c>
      <c r="NK7" s="7" t="n">
        <v>0.172553892572489</v>
      </c>
      <c r="NL7" s="7" t="n">
        <v>0.156147966861382</v>
      </c>
      <c r="NM7" s="7" t="n">
        <v>0.842697902105682</v>
      </c>
      <c r="NN7" s="7" t="n">
        <v>0.261148032570677</v>
      </c>
      <c r="NO7" s="7" t="n">
        <v>-0.768682533045869</v>
      </c>
      <c r="NP7" s="7" t="n">
        <v>0.911491851900215</v>
      </c>
      <c r="NQ7" s="7" t="n">
        <v>0.996459064706289</v>
      </c>
      <c r="NR7" s="7" t="n">
        <v>-0.418967834181691</v>
      </c>
      <c r="NS7" s="7" t="n">
        <v>0.440203179493168</v>
      </c>
      <c r="NT7" s="7" t="n">
        <v>0.512285430496313</v>
      </c>
      <c r="NU7" s="7" t="n">
        <v>1.9435309761042</v>
      </c>
      <c r="NV7" s="7" t="n">
        <v>1.81335385051936</v>
      </c>
      <c r="NW7" s="7" t="n">
        <v>0.202913221333523</v>
      </c>
      <c r="NX7" s="7" t="n">
        <v>-1.06584718033128</v>
      </c>
      <c r="NY7" s="7" t="n">
        <v>0.241582107553111</v>
      </c>
      <c r="NZ7" s="7" t="n">
        <v>-0.47824665176973</v>
      </c>
      <c r="OA7" s="7" t="n">
        <v>-1.07955387101585</v>
      </c>
      <c r="OB7" s="7" t="n">
        <v>-1.80910291129454</v>
      </c>
      <c r="OC7" s="7" t="n">
        <v>-0.0396640799794981</v>
      </c>
      <c r="OD7" s="7" t="n">
        <v>0.0985465930497145</v>
      </c>
      <c r="OE7" s="7" t="n">
        <v>0.225253027448172</v>
      </c>
      <c r="OF7" s="7" t="n">
        <v>-0.199912975831163</v>
      </c>
      <c r="OG7" s="7" t="n">
        <v>-0.604198739436149</v>
      </c>
      <c r="OH7" s="7" t="n">
        <v>1.29985103461531</v>
      </c>
      <c r="OI7" s="7" t="n">
        <v>-2.42148113334677</v>
      </c>
      <c r="OJ7" s="7" t="n">
        <v>-0.46510817346119</v>
      </c>
      <c r="OK7" s="7" t="n">
        <v>-0.134282382597276</v>
      </c>
      <c r="OL7" s="7" t="n">
        <v>0.733327320990063</v>
      </c>
      <c r="OM7" s="7" t="n">
        <v>0.301226433002401</v>
      </c>
      <c r="ON7" s="7" t="n">
        <v>0.0365124842422972</v>
      </c>
      <c r="OO7" s="7" t="n">
        <v>-1.59126695045672</v>
      </c>
      <c r="OP7" s="7" t="n">
        <v>-0.009786909553138099</v>
      </c>
      <c r="OQ7" s="7" t="n">
        <v>1.67346081976234</v>
      </c>
      <c r="OR7" s="7" t="n">
        <v>0.0727085876988824</v>
      </c>
      <c r="OS7" s="7" t="n">
        <v>0.509891364630766</v>
      </c>
      <c r="OT7" s="7" t="n">
        <v>-0.0119290113777426</v>
      </c>
      <c r="OU7" s="7" t="n">
        <v>-1.29599089562976</v>
      </c>
      <c r="OV7" s="7" t="n">
        <v>-0.446768165212513</v>
      </c>
      <c r="OW7" s="7" t="n">
        <v>-0.987629202936597</v>
      </c>
      <c r="OX7" s="7" t="n">
        <v>-0.0724383569867434</v>
      </c>
      <c r="OY7" s="7" t="n">
        <v>1.21364123605915</v>
      </c>
      <c r="OZ7" s="7" t="n">
        <v>-0.144068020835484</v>
      </c>
      <c r="PA7" s="7" t="n">
        <v>-0.343263989477162</v>
      </c>
      <c r="PB7" s="7" t="n">
        <v>-0.691435685999879</v>
      </c>
      <c r="PC7" s="7" t="n">
        <v>-1.01680008651035</v>
      </c>
      <c r="PD7" s="7" t="n">
        <v>0.5626555168260839</v>
      </c>
      <c r="PE7" s="7" t="n">
        <v>0.742095679542931</v>
      </c>
      <c r="PF7" s="7" t="n">
        <v>2.02561354696462</v>
      </c>
      <c r="PG7" s="7" t="n">
        <v>0.146299893360756</v>
      </c>
      <c r="PH7" s="7" t="n">
        <v>0.127592827998059</v>
      </c>
      <c r="PI7" s="7" t="n">
        <v>-0.435871594596599</v>
      </c>
      <c r="PJ7" s="7" t="n">
        <v>1.53076515026382</v>
      </c>
      <c r="PK7" s="7" t="n">
        <v>-1.83751494516248</v>
      </c>
      <c r="PL7" s="7" t="n">
        <v>1.22628862447095</v>
      </c>
      <c r="PM7" s="7" t="n">
        <v>0.242526819318205</v>
      </c>
      <c r="PN7" s="7" t="n">
        <v>-1.37161924163853</v>
      </c>
      <c r="PO7" s="7" t="n">
        <v>-0.653769746430666</v>
      </c>
      <c r="PP7" s="7" t="n">
        <v>-0.200866498727932</v>
      </c>
      <c r="PQ7" s="7" t="n">
        <v>0.995142796265676</v>
      </c>
      <c r="PR7" s="7" t="n">
        <v>2.10351256805386</v>
      </c>
      <c r="PS7" s="7" t="n">
        <v>0.345413593505342</v>
      </c>
      <c r="PT7" s="7" t="n">
        <v>-0.0528973405220749</v>
      </c>
      <c r="PU7" s="7" t="n">
        <v>2.22516522905523</v>
      </c>
      <c r="PV7" s="7" t="n">
        <v>-0.288750540501918</v>
      </c>
      <c r="PW7" s="7" t="n">
        <v>-1.09478142464323</v>
      </c>
      <c r="PX7" s="7" t="n">
        <v>-0.250638013366977</v>
      </c>
      <c r="PY7" s="7" t="n">
        <v>1.16963601687666</v>
      </c>
      <c r="PZ7" s="7" t="n">
        <v>0.422726665986602</v>
      </c>
      <c r="QA7" s="7" t="n">
        <v>0.91208963142969</v>
      </c>
      <c r="QB7" s="7" t="n">
        <v>0.324496707204094</v>
      </c>
      <c r="QC7" s="7" t="n">
        <v>0.07281271481132939</v>
      </c>
      <c r="QD7" s="7" t="n">
        <v>0.787131537912241</v>
      </c>
      <c r="QE7" s="7" t="n">
        <v>-0.304541585725046</v>
      </c>
      <c r="QF7" s="7" t="n">
        <v>-0.698274782821765</v>
      </c>
      <c r="QG7" s="7" t="n">
        <v>-0.822294839234827</v>
      </c>
      <c r="QH7" s="7" t="n">
        <v>-1.85487522414537</v>
      </c>
      <c r="QI7" s="7" t="n">
        <v>-2.50475431503122</v>
      </c>
      <c r="QJ7" s="7" t="n">
        <v>-0.225754990684036</v>
      </c>
      <c r="QK7" s="7" t="n">
        <v>0.196947736883548</v>
      </c>
      <c r="QL7" s="7" t="n">
        <v>-0.139281959426372</v>
      </c>
      <c r="QM7" s="7" t="n">
        <v>1.29009640552786</v>
      </c>
      <c r="QN7" s="7" t="n">
        <v>0.533646723345176</v>
      </c>
      <c r="QO7" s="7" t="n">
        <v>-1.04868300648512</v>
      </c>
      <c r="QP7" s="7" t="n">
        <v>-0.168979344739212</v>
      </c>
      <c r="QQ7" s="7" t="n">
        <v>-1.09735959938479</v>
      </c>
      <c r="QR7" s="7" t="n">
        <v>-0.97520991584093</v>
      </c>
      <c r="QS7" s="7" t="n">
        <v>0.0004152231486253</v>
      </c>
      <c r="QT7" s="7" t="n">
        <v>0.872248518150163</v>
      </c>
      <c r="QU7" s="7" t="n">
        <v>-0.9374287524935691</v>
      </c>
      <c r="QV7" s="7" t="n">
        <v>1.23206621657757</v>
      </c>
      <c r="QW7" s="7" t="n">
        <v>-2.59574355612989</v>
      </c>
      <c r="QX7" s="7" t="n">
        <v>-0.16081703554312</v>
      </c>
      <c r="QY7" s="7" t="n">
        <v>-0.110172964346639</v>
      </c>
      <c r="QZ7" s="7" t="n">
        <v>0.168367653276896</v>
      </c>
      <c r="RA7" s="7" t="n">
        <v>1.20065300286925</v>
      </c>
      <c r="RB7" s="7" t="n">
        <v>1.38102910602904</v>
      </c>
      <c r="RC7" s="7" t="n">
        <v>0.96210336753784</v>
      </c>
      <c r="RD7" s="7" t="n">
        <v>0.493898610007387</v>
      </c>
      <c r="RE7" s="7" t="n">
        <v>0.464068432812213</v>
      </c>
      <c r="RF7" s="7" t="n">
        <v>1.12674794926551</v>
      </c>
      <c r="RG7" s="7" t="n">
        <v>-1.49917423154125</v>
      </c>
      <c r="RH7" s="7" t="n">
        <v>-1.82944076505333</v>
      </c>
      <c r="RI7" s="7" t="n">
        <v>1.10702222431064</v>
      </c>
      <c r="RJ7" s="7" t="n">
        <v>0.28274257985648</v>
      </c>
      <c r="RK7" s="7" t="n">
        <v>-0.0978719925942055</v>
      </c>
      <c r="RL7" s="7" t="n">
        <v>-1.04530397984101</v>
      </c>
      <c r="RM7" s="7" t="n">
        <v>0.296412313696794</v>
      </c>
      <c r="RN7" s="7" t="n">
        <v>0.066547885193685</v>
      </c>
      <c r="RO7" s="7" t="n">
        <v>-0.263815008681975</v>
      </c>
      <c r="RP7" s="7" t="n">
        <v>-0.23014750608199</v>
      </c>
      <c r="RQ7" s="7" t="n">
        <v>0.244785719138049</v>
      </c>
      <c r="RR7" s="7" t="n">
        <v>-1.09573915949047</v>
      </c>
      <c r="RS7" s="7" t="n">
        <v>0.234931007663391</v>
      </c>
      <c r="RT7" s="7" t="n">
        <v>-0.8691686900305901</v>
      </c>
      <c r="RU7" s="7" t="n">
        <v>0.464410164953044</v>
      </c>
      <c r="RV7" s="7" t="n">
        <v>-0.263406693764503</v>
      </c>
      <c r="RW7" s="7" t="n">
        <v>-0.494170305943172</v>
      </c>
      <c r="RX7" s="7" t="n">
        <v>-0.973036537298538</v>
      </c>
      <c r="RY7" s="7" t="n">
        <v>0.183335534343467</v>
      </c>
      <c r="RZ7" s="7" t="n">
        <v>0.208243026144278</v>
      </c>
      <c r="SA7" s="7" t="n">
        <v>0.658301357242525</v>
      </c>
      <c r="SB7" s="7" t="n">
        <v>-0.847963535959145</v>
      </c>
      <c r="SC7" s="7" t="n">
        <v>-0.791497344234801</v>
      </c>
      <c r="SD7" s="7" t="n">
        <v>1.06184608808347</v>
      </c>
      <c r="SE7" s="7" t="n">
        <v>-0.830364991675106</v>
      </c>
      <c r="SF7" s="7" t="n">
        <v>-0.110329712437279</v>
      </c>
      <c r="SG7" s="7" t="n">
        <v>0.621768278671876</v>
      </c>
      <c r="SH7" s="7" t="n">
        <v>-0.14558336404773</v>
      </c>
      <c r="SI7" s="7" t="n">
        <v>1.63512720503012</v>
      </c>
      <c r="SJ7" s="7" t="n">
        <v>0.103628880360442</v>
      </c>
      <c r="SK7" s="7" t="n">
        <v>-1.0766321662676</v>
      </c>
      <c r="SL7" s="7" t="n">
        <v>0.180906711747202</v>
      </c>
      <c r="SM7" s="7" t="n">
        <v>-1.62960500304015</v>
      </c>
      <c r="SN7" s="7" t="n">
        <v>-1.05357492566009</v>
      </c>
      <c r="SO7" s="7" t="n">
        <v>-1.02290754944573</v>
      </c>
      <c r="SP7" s="7" t="n">
        <v>0.28875800267317</v>
      </c>
      <c r="SQ7" s="7" t="n">
        <v>-0.31816245860597</v>
      </c>
      <c r="SR7" s="7" t="n">
        <v>-0.346280415291634</v>
      </c>
      <c r="SS7" s="7" t="n">
        <v>1.3170644404292</v>
      </c>
      <c r="ST7" s="7" t="n">
        <v>-0.0324920169016813</v>
      </c>
      <c r="SU7" s="7" t="n">
        <v>3.27632845580687</v>
      </c>
      <c r="SV7" s="7" t="n">
        <v>-0.0718800537883281</v>
      </c>
      <c r="SW7" s="7" t="n">
        <v>-1.52096491362273</v>
      </c>
      <c r="SX7" s="7" t="n">
        <v>0.0614745546024305</v>
      </c>
      <c r="SY7" s="7" t="n">
        <v>0.757270594382407</v>
      </c>
      <c r="SZ7" s="7" t="n">
        <v>-1.19098052994995</v>
      </c>
      <c r="TA7" s="7" t="n">
        <v>2.15137886074106</v>
      </c>
      <c r="TB7" s="7" t="n">
        <v>-1.10155228366254</v>
      </c>
      <c r="TC7" s="7" t="n">
        <v>0.0326055104499069</v>
      </c>
      <c r="TD7" s="7" t="n">
        <v>-1.81323659766661</v>
      </c>
      <c r="TE7" s="7" t="n">
        <v>-0.326528752760194</v>
      </c>
      <c r="TF7" s="7" t="n">
        <v>0.200293364032015</v>
      </c>
      <c r="TG7" s="7" t="n">
        <v>2.40411260929862</v>
      </c>
      <c r="TH7" s="7" t="n">
        <v>0.0591497964043821</v>
      </c>
      <c r="TI7" s="7" t="n">
        <v>-0.609024477715315</v>
      </c>
      <c r="TJ7" s="7" t="n">
        <v>-0.6790156878735339</v>
      </c>
      <c r="TK7" s="7" t="n">
        <v>1.43329976800279</v>
      </c>
      <c r="TL7" s="7" t="n">
        <v>-0.303822040017739</v>
      </c>
      <c r="TM7" s="7" t="n">
        <v>0.596701937755189</v>
      </c>
      <c r="TN7" s="7" t="n">
        <v>-0.106988302829115</v>
      </c>
      <c r="TO7" s="7" t="n">
        <v>0.578338121501526</v>
      </c>
      <c r="TP7" s="7" t="n">
        <v>1.10429142658796</v>
      </c>
      <c r="TQ7" s="7" t="n">
        <v>0.99731541590216</v>
      </c>
      <c r="TR7" s="7" t="n">
        <v>1.16066417331322</v>
      </c>
      <c r="TS7" s="7" t="n">
        <v>0.360328413914905</v>
      </c>
      <c r="TT7" s="7" t="n">
        <v>-0.729622382421016</v>
      </c>
      <c r="TU7" s="7" t="n">
        <v>-0.17073654945659</v>
      </c>
      <c r="TV7" s="7" t="n">
        <v>2.22425936787102</v>
      </c>
      <c r="TW7" s="7" t="n">
        <v>-0.267721979495164</v>
      </c>
      <c r="TX7" s="7" t="n">
        <v>2.14136264921924</v>
      </c>
      <c r="TY7" s="7" t="n">
        <v>-0.233062477386851</v>
      </c>
      <c r="TZ7" s="7" t="n">
        <v>-1.47150377028492</v>
      </c>
      <c r="UA7" s="7" t="n">
        <v>-2.11536893039612</v>
      </c>
      <c r="UB7" s="7" t="n">
        <v>-0.15423092499495</v>
      </c>
      <c r="UC7" s="7" t="n">
        <v>-0.369796927729022</v>
      </c>
      <c r="UD7" s="7" t="n">
        <v>1.90097928624925</v>
      </c>
      <c r="UE7" s="7" t="n">
        <v>-1.60370689960483</v>
      </c>
      <c r="UF7" s="7" t="n">
        <v>-1.01383312288945</v>
      </c>
      <c r="UG7" s="7" t="n">
        <v>-0.269386702390607</v>
      </c>
      <c r="UH7" s="7" t="n">
        <v>-1.32030433972391</v>
      </c>
      <c r="UI7" s="7" t="n">
        <v>-0.545172272209131</v>
      </c>
      <c r="UJ7" s="7" t="n">
        <v>0.131994293907591</v>
      </c>
      <c r="UK7" s="7" t="n">
        <v>-0.439245706885203</v>
      </c>
      <c r="UL7" s="7" t="n">
        <v>-0.0792073999918059</v>
      </c>
      <c r="UM7" s="7" t="n">
        <v>-0.996796486906237</v>
      </c>
      <c r="UN7" s="7" t="n">
        <v>-1.10672684732648</v>
      </c>
      <c r="UO7" s="7" t="n">
        <v>-0.0104643435685962</v>
      </c>
      <c r="UP7" s="7" t="n">
        <v>0.478328396950477</v>
      </c>
      <c r="UQ7" s="7" t="n">
        <v>-1.61951819774923</v>
      </c>
      <c r="UR7" s="7" t="n">
        <v>-0.905079747327559</v>
      </c>
      <c r="US7" s="7" t="n">
        <v>1.35861834578164</v>
      </c>
      <c r="UT7" s="7" t="n">
        <v>1.4431785235643</v>
      </c>
      <c r="UU7" s="7" t="n">
        <v>-0.969110401742954</v>
      </c>
      <c r="UV7" s="7" t="n">
        <v>1.32349522823973</v>
      </c>
      <c r="UW7" s="7" t="n">
        <v>0.451454927394522</v>
      </c>
      <c r="UX7" s="7" t="n">
        <v>0.643225208425482</v>
      </c>
      <c r="UY7" s="7" t="n">
        <v>0.8510483862332699</v>
      </c>
      <c r="UZ7" s="7" t="n">
        <v>-0.583733383475565</v>
      </c>
      <c r="VA7" s="7" t="n">
        <v>-1.52181847111758</v>
      </c>
      <c r="VB7" s="7" t="n">
        <v>-1.70335526766457</v>
      </c>
      <c r="VC7" s="7" t="n">
        <v>1.4476873970381</v>
      </c>
      <c r="VD7" s="7" t="n">
        <v>0.266555351364005</v>
      </c>
      <c r="VE7" s="7" t="n">
        <v>-1.37084526097804</v>
      </c>
      <c r="VF7" s="7" t="n">
        <v>-0.648042312484815</v>
      </c>
      <c r="VG7" s="7" t="n">
        <v>-0.062356550174741</v>
      </c>
      <c r="VH7" s="7" t="n">
        <v>-0.0565899229240044</v>
      </c>
      <c r="VI7" s="7" t="n">
        <v>-1.22671693104906</v>
      </c>
      <c r="VJ7" s="7" t="n">
        <v>0.7016668616548291</v>
      </c>
      <c r="VK7" s="7" t="n">
        <v>0.669771571268288</v>
      </c>
      <c r="VL7" s="7" t="n">
        <v>-0.873806122374249</v>
      </c>
      <c r="VM7" s="7" t="n">
        <v>0.204449726657552</v>
      </c>
      <c r="VN7" s="7" t="n">
        <v>-0.713916475508835</v>
      </c>
      <c r="VO7" s="7" t="n">
        <v>0.312532139466451</v>
      </c>
      <c r="VP7" s="7" t="n">
        <v>-0.137685490025548</v>
      </c>
      <c r="VQ7" s="7" t="n">
        <v>-1.06843898907065</v>
      </c>
      <c r="VR7" s="7" t="n">
        <v>-1.41947740341652</v>
      </c>
      <c r="VS7" s="7" t="n">
        <v>-0.256228212398279</v>
      </c>
      <c r="VT7" s="7" t="n">
        <v>1.31947745797662</v>
      </c>
      <c r="VU7" s="7" t="n">
        <v>-0.8860435790462</v>
      </c>
      <c r="VV7" s="7" t="n">
        <v>0.880009782551792</v>
      </c>
      <c r="VW7" s="7" t="n">
        <v>-0.787889370344143</v>
      </c>
      <c r="VX7" s="7" t="n">
        <v>-1.52354207167551</v>
      </c>
      <c r="VY7" s="7" t="n">
        <v>-0.645847520255837</v>
      </c>
      <c r="VZ7" s="7" t="n">
        <v>-1.053802071872</v>
      </c>
      <c r="WA7" s="7" t="n">
        <v>-0.492167880245315</v>
      </c>
      <c r="WB7" s="7" t="n">
        <v>0.545087031053846</v>
      </c>
      <c r="WC7" s="7" t="n">
        <v>-0.486649685582749</v>
      </c>
      <c r="WD7" s="7" t="n">
        <v>-0.0470812178292502</v>
      </c>
      <c r="WE7" s="7" t="n">
        <v>0.849440839880271</v>
      </c>
      <c r="WF7" s="7" t="n">
        <v>0.970729769524099</v>
      </c>
      <c r="WG7" s="7" t="n">
        <v>0.972481397745523</v>
      </c>
      <c r="WH7" s="7" t="n">
        <v>-0.386999676755207</v>
      </c>
      <c r="WI7" s="7" t="n">
        <v>0.06821944550669939</v>
      </c>
      <c r="WJ7" s="7" t="n">
        <v>1.82911843579401</v>
      </c>
      <c r="WK7" s="7" t="n">
        <v>-0.962367940599667</v>
      </c>
      <c r="WL7" s="7" t="n">
        <v>-0.325477117045614</v>
      </c>
      <c r="WM7" s="7" t="n">
        <v>-1.00007198051112</v>
      </c>
      <c r="WN7" s="7" t="n">
        <v>0.619063601501376</v>
      </c>
      <c r="WO7" s="7" t="n">
        <v>0.401380899768516</v>
      </c>
      <c r="WP7" s="7" t="n">
        <v>-0.760635138841224</v>
      </c>
      <c r="WQ7" s="7" t="n">
        <v>1.76280055621295</v>
      </c>
      <c r="WR7" s="7" t="n">
        <v>0.809252429112333</v>
      </c>
      <c r="WS7" s="7" t="n">
        <v>1.44354497436265</v>
      </c>
      <c r="WT7" s="7" t="n">
        <v>-0.549972020134031</v>
      </c>
      <c r="WU7" s="7" t="n">
        <v>-0.622099690905018</v>
      </c>
      <c r="WV7" s="7" t="n">
        <v>2.82050377771536</v>
      </c>
      <c r="WW7" s="7" t="n">
        <v>0.180530929615956</v>
      </c>
      <c r="WX7" s="7" t="n">
        <v>0.0505100689682373</v>
      </c>
      <c r="WY7" s="7" t="n">
        <v>2.16928219589987</v>
      </c>
      <c r="WZ7" s="7" t="n">
        <v>1.41194501851866</v>
      </c>
      <c r="XA7" s="7" t="n">
        <v>-0.092690661529868</v>
      </c>
      <c r="XB7" s="7" t="n">
        <v>-1.2474724851641</v>
      </c>
      <c r="XC7" s="7" t="n">
        <v>0.152766682499338</v>
      </c>
      <c r="XD7" s="7" t="n">
        <v>-1.39024484600388</v>
      </c>
      <c r="XE7" s="7" t="n">
        <v>-0.140404867002511</v>
      </c>
      <c r="XF7" s="7" t="n">
        <v>-0.290786949362643</v>
      </c>
      <c r="XG7" s="7" t="n">
        <v>-0.262840806729836</v>
      </c>
      <c r="XH7" s="7" t="n">
        <v>0.210662851300993</v>
      </c>
      <c r="XI7" s="7" t="n">
        <v>-2.53666317126575</v>
      </c>
      <c r="XJ7" s="7" t="n">
        <v>-0.108285450752842</v>
      </c>
      <c r="XK7" s="7" t="n">
        <v>0.816764182133822</v>
      </c>
      <c r="XL7" s="7" t="n">
        <v>-1.15809125766557</v>
      </c>
      <c r="XM7" s="7" t="n">
        <v>-0.142172884251717</v>
      </c>
      <c r="XN7" s="7" t="n">
        <v>-1.39158667410947</v>
      </c>
      <c r="XO7" s="7" t="n">
        <v>-1.20820095726745</v>
      </c>
      <c r="XP7" s="7" t="n">
        <v>0.251579140095337</v>
      </c>
      <c r="XQ7" s="7" t="n">
        <v>-1.08197616560414</v>
      </c>
      <c r="XR7" s="7" t="n">
        <v>-0.142469764791922</v>
      </c>
      <c r="XS7" s="7" t="n">
        <v>2.25832429593931</v>
      </c>
      <c r="XT7" s="7" t="n">
        <v>-0.417335651126304</v>
      </c>
      <c r="XU7" s="7" t="n">
        <v>0.561615393098669</v>
      </c>
      <c r="XV7" s="7" t="n">
        <v>1.44549427820672</v>
      </c>
      <c r="XW7" s="7" t="n">
        <v>0.266715489382791</v>
      </c>
      <c r="XX7" s="7" t="n">
        <v>0.327258188018077</v>
      </c>
      <c r="XY7" s="7" t="n">
        <v>-0.322618012773955</v>
      </c>
      <c r="XZ7" s="7" t="n">
        <v>-0.449157568448436</v>
      </c>
      <c r="YA7" s="7" t="n">
        <v>-1.81381468640519</v>
      </c>
      <c r="YB7" s="7" t="n">
        <v>0.54870227706134</v>
      </c>
      <c r="YC7" s="7" t="n">
        <v>1.02343966082184</v>
      </c>
      <c r="YD7" s="7" t="n">
        <v>-1.39578436521369</v>
      </c>
      <c r="YE7" s="7" t="n">
        <v>0.758443562074805</v>
      </c>
      <c r="YF7" s="7" t="n">
        <v>-0.8920117544084341</v>
      </c>
      <c r="YG7" s="7" t="n">
        <v>-0.9292111145937511</v>
      </c>
      <c r="YH7" s="7" t="n">
        <v>1.24292038662946</v>
      </c>
      <c r="YI7" s="7" t="n">
        <v>1.53432972533129</v>
      </c>
      <c r="YJ7" s="7" t="n">
        <v>-0.9526781650492681</v>
      </c>
      <c r="YK7" s="7" t="n">
        <v>-0.09317638801732871</v>
      </c>
      <c r="YL7" s="7" t="n">
        <v>0.629188965921504</v>
      </c>
      <c r="YM7" s="7" t="n">
        <v>1.12754471001507</v>
      </c>
      <c r="YN7" s="7" t="n">
        <v>-0.372155975702433</v>
      </c>
      <c r="YO7" s="7" t="n">
        <v>0.263325733216151</v>
      </c>
      <c r="YP7" s="7" t="n">
        <v>0.653412146125724</v>
      </c>
      <c r="YQ7" s="7" t="n">
        <v>0.22088224631558</v>
      </c>
      <c r="YR7" s="7" t="n">
        <v>2.29661189005939</v>
      </c>
      <c r="YS7" s="7" t="n">
        <v>-0.0875064235728629</v>
      </c>
      <c r="YT7" s="7" t="n">
        <v>-1.080028793455</v>
      </c>
      <c r="YU7" s="7" t="n">
        <v>-1.75145792572745</v>
      </c>
      <c r="YV7" s="7" t="n">
        <v>0.186290472689456</v>
      </c>
      <c r="YW7" s="7" t="n">
        <v>0.200540137038785</v>
      </c>
      <c r="YX7" s="7" t="n">
        <v>-0.10968531324386</v>
      </c>
      <c r="YY7" s="7" t="n">
        <v>-0.514189819121775</v>
      </c>
      <c r="YZ7" s="7" t="n">
        <v>0.718392348491962</v>
      </c>
      <c r="ZA7" s="7" t="n">
        <v>0.257450092238926</v>
      </c>
      <c r="ZB7" s="7" t="n">
        <v>0.792240674453326</v>
      </c>
      <c r="ZC7" s="7" t="n">
        <v>-0.99117129161485</v>
      </c>
      <c r="ZD7" s="7" t="n">
        <v>-0.306954603894851</v>
      </c>
      <c r="ZE7" s="7" t="n">
        <v>-1.74258736728744</v>
      </c>
      <c r="ZF7" s="7" t="n">
        <v>-0.733270338290546</v>
      </c>
      <c r="ZG7" s="7" t="n">
        <v>0.0557881376120361</v>
      </c>
      <c r="ZH7" s="7" t="n">
        <v>1.18978528782362</v>
      </c>
      <c r="ZI7" s="7" t="n">
        <v>-1.52015401305164</v>
      </c>
      <c r="ZJ7" s="7" t="n">
        <v>0.6655970873495221</v>
      </c>
      <c r="ZK7" s="7" t="n">
        <v>-0.22067657999106</v>
      </c>
      <c r="ZL7" s="7" t="n">
        <v>-0.392530997469823</v>
      </c>
      <c r="ZM7" s="7" t="n">
        <v>0.567167131868705</v>
      </c>
      <c r="ZN7" s="7" t="n">
        <v>-1.93287035724329</v>
      </c>
      <c r="ZO7" s="7" t="n">
        <v>-1.0269308938391</v>
      </c>
      <c r="ZP7" s="7" t="n">
        <v>0.568473814404181</v>
      </c>
      <c r="ZQ7" s="7" t="n">
        <v>-1.46880160240045</v>
      </c>
      <c r="ZR7" s="7" t="n">
        <v>0.768472145996496</v>
      </c>
      <c r="ZS7" s="7" t="n">
        <v>0.532107102329654</v>
      </c>
      <c r="ZT7" s="7" t="n">
        <v>-1.70877763216269</v>
      </c>
      <c r="ZU7" s="7" t="n">
        <v>-0.390540657857898</v>
      </c>
      <c r="ZV7" s="7" t="n">
        <v>-0.99611267330318</v>
      </c>
      <c r="ZW7" s="7" t="n">
        <v>0.479944766910808</v>
      </c>
      <c r="ZX7" s="7" t="n">
        <v>1.32305054554395</v>
      </c>
      <c r="ZY7" s="7" t="n">
        <v>-1.03994612269852</v>
      </c>
      <c r="ZZ7" s="7" t="n">
        <v>1.8350320602799</v>
      </c>
      <c r="AAA7" s="7" t="n">
        <v>1.34122841245056</v>
      </c>
      <c r="AAB7" s="7" t="n">
        <v>-1.09541481220644</v>
      </c>
      <c r="AAC7" s="7" t="n">
        <v>1.43870306084495</v>
      </c>
      <c r="AAD7" s="7" t="n">
        <v>0.367451465994369</v>
      </c>
      <c r="AAE7" s="7" t="n">
        <v>0.5145623423235161</v>
      </c>
      <c r="AAF7" s="7" t="n">
        <v>0.458393457598498</v>
      </c>
      <c r="AAG7" s="7" t="n">
        <v>1.06524005971991</v>
      </c>
      <c r="AAH7" s="7" t="n">
        <v>0.318214356326305</v>
      </c>
      <c r="AAI7" s="7" t="n">
        <v>-1.07428600258676</v>
      </c>
      <c r="AAJ7" s="7" t="n">
        <v>1.35409834895452</v>
      </c>
      <c r="AAK7" s="7" t="n">
        <v>0.707091816603265</v>
      </c>
      <c r="AAL7" s="7" t="n">
        <v>-0.699869747941908</v>
      </c>
      <c r="AAM7" s="7" t="n">
        <v>0.887245250999239</v>
      </c>
      <c r="AAN7" s="7" t="n">
        <v>-0.20424820074999</v>
      </c>
      <c r="AAO7" s="7" t="n">
        <v>1.12555869361958</v>
      </c>
      <c r="AAP7" s="7" t="n">
        <v>0.595933763091386</v>
      </c>
      <c r="AAQ7" s="7" t="n">
        <v>1.12555577322792</v>
      </c>
      <c r="AAR7" s="7" t="n">
        <v>0.486820171580554</v>
      </c>
      <c r="AAS7" s="7" t="n">
        <v>1.52831069769601</v>
      </c>
      <c r="AAT7" s="7" t="n">
        <v>1.6796695893602</v>
      </c>
      <c r="AAU7" s="7" t="n">
        <v>1.90616153391145</v>
      </c>
      <c r="AAV7" s="7" t="n">
        <v>1.04310492746521</v>
      </c>
      <c r="AAW7" s="7" t="n">
        <v>-1.87671634020522</v>
      </c>
      <c r="AAX7" s="7" t="n">
        <v>0.851888915276751</v>
      </c>
      <c r="AAY7" s="7" t="n">
        <v>-0.968300138368358</v>
      </c>
      <c r="AAZ7" s="7" t="n">
        <v>-1.37933642660997</v>
      </c>
      <c r="ABA7" s="7" t="n">
        <v>-1.30292532134544</v>
      </c>
      <c r="ABB7" s="7" t="n">
        <v>-0.754593759439843</v>
      </c>
      <c r="ABC7" s="7" t="n">
        <v>0.683047265491651</v>
      </c>
      <c r="ABD7" s="7" t="n">
        <v>0.0247645866322828</v>
      </c>
      <c r="ABE7" s="7" t="n">
        <v>1.67155611028536</v>
      </c>
      <c r="ABF7" s="7" t="n">
        <v>0.378168825372553</v>
      </c>
      <c r="ABG7" s="7" t="n">
        <v>-1.23413638428753</v>
      </c>
      <c r="ABH7" s="7" t="n">
        <v>0.205113472531019</v>
      </c>
      <c r="ABI7" s="7" t="n">
        <v>-0.0025691005131716</v>
      </c>
      <c r="ABJ7" s="7" t="n">
        <v>-0.150511196345955</v>
      </c>
      <c r="ABK7" s="7" t="n">
        <v>-0.685321809412798</v>
      </c>
      <c r="ABL7" s="7" t="n">
        <v>-0.65549742719185</v>
      </c>
      <c r="ABM7" s="7" t="n">
        <v>-1.94241579431107</v>
      </c>
      <c r="ABN7" s="7" t="n">
        <v>-0.111488577077158</v>
      </c>
      <c r="ABO7" s="7" t="n">
        <v>0.475116856114145</v>
      </c>
      <c r="ABP7" s="7" t="n">
        <v>0.636396696024803</v>
      </c>
      <c r="ABQ7" s="7" t="n">
        <v>0.442063349831508</v>
      </c>
      <c r="ABR7" s="7" t="n">
        <v>-0.14496257700932</v>
      </c>
      <c r="ABS7" s="7" t="n">
        <v>2.20133542808572</v>
      </c>
      <c r="ABT7" s="7" t="n">
        <v>0.255246166210346</v>
      </c>
      <c r="ABU7" s="7" t="n">
        <v>-1.15638942768733</v>
      </c>
      <c r="ABV7" s="7" t="n">
        <v>0.218496086370024</v>
      </c>
      <c r="ABW7" s="7" t="n">
        <v>0.714800198322176</v>
      </c>
      <c r="ABX7" s="7" t="n">
        <v>-1.18118965903317</v>
      </c>
      <c r="ABY7" s="7" t="n">
        <v>-0.869682370496407</v>
      </c>
      <c r="ABZ7" s="7" t="n">
        <v>-2.40095649472224</v>
      </c>
      <c r="ACA7" s="7" t="n">
        <v>-0.361929239606342</v>
      </c>
      <c r="ACB7" s="7" t="n">
        <v>1.15869673986668</v>
      </c>
      <c r="ACC7" s="7" t="n">
        <v>2.06507168451042</v>
      </c>
      <c r="ACD7" s="7" t="n">
        <v>0.769362425989118</v>
      </c>
      <c r="ACE7" s="7" t="n">
        <v>1.34473145173663</v>
      </c>
      <c r="ACF7" s="7" t="n">
        <v>-1.0973040767566</v>
      </c>
      <c r="ACG7" s="7" t="n">
        <v>-0.733549432109403</v>
      </c>
      <c r="ACH7" s="7" t="n">
        <v>-0.845282236454572</v>
      </c>
      <c r="ACI7" s="7" t="n">
        <v>1.32146685547254</v>
      </c>
      <c r="ACJ7" s="7" t="n">
        <v>-0.330396878317144</v>
      </c>
      <c r="ACK7" s="7" t="n">
        <v>0.288392494645213</v>
      </c>
      <c r="ACL7" s="7" t="n">
        <v>-0.386459848247066</v>
      </c>
      <c r="ACM7" s="7" t="n">
        <v>1.43035588389954</v>
      </c>
      <c r="ACN7" s="7" t="n">
        <v>0.38768094090003</v>
      </c>
      <c r="ACO7" s="7" t="n">
        <v>0.525753851628269</v>
      </c>
      <c r="ACP7" s="7" t="n">
        <v>0.71622553772256</v>
      </c>
      <c r="ACQ7" s="7" t="n">
        <v>-0.0281664716810723</v>
      </c>
      <c r="ACR7" s="7" t="n">
        <v>0.842108930894058</v>
      </c>
      <c r="ACS7" s="7" t="n">
        <v>0.595621294560037</v>
      </c>
      <c r="ACT7" s="7" t="n">
        <v>0.103678978544578</v>
      </c>
      <c r="ACU7" s="7" t="n">
        <v>0.595771692457962</v>
      </c>
      <c r="ACV7" s="7" t="n">
        <v>-1.19215305256746</v>
      </c>
      <c r="ACW7" s="7" t="n">
        <v>0.0336656956700201</v>
      </c>
      <c r="ACX7" s="7" t="n">
        <v>-1.96170498448124</v>
      </c>
      <c r="ACY7" s="7" t="n">
        <v>-0.020765123802972</v>
      </c>
      <c r="ACZ7" s="7" t="n">
        <v>0.262184030762793</v>
      </c>
      <c r="ADA7" s="7" t="n">
        <v>1.11247920599399</v>
      </c>
      <c r="ADB7" s="7" t="n">
        <v>-0.143885310728465</v>
      </c>
      <c r="ADC7" s="7" t="n">
        <v>-1.37623936910532</v>
      </c>
      <c r="ADD7" s="7" t="n">
        <v>-0.953998420936625</v>
      </c>
      <c r="ADE7" s="7" t="n">
        <v>-0.0562839133034233</v>
      </c>
      <c r="ADF7" s="7" t="n">
        <v>-0.789241864439456</v>
      </c>
      <c r="ADG7" s="7" t="n">
        <v>-0.277505514501708</v>
      </c>
      <c r="ADH7" s="7" t="n">
        <v>0.726726654922293</v>
      </c>
      <c r="ADI7" s="7" t="n">
        <v>0.369536042493656</v>
      </c>
      <c r="ADJ7" s="7" t="n">
        <v>0.57884241694628</v>
      </c>
      <c r="ADK7" s="7" t="n">
        <v>0.08190805494807379</v>
      </c>
      <c r="ADL7" s="7" t="n">
        <v>0.259296309938036</v>
      </c>
      <c r="ADM7" s="7" t="n">
        <v>-0.229496668358302</v>
      </c>
      <c r="ADN7" s="7" t="n">
        <v>0.7027564063599669</v>
      </c>
      <c r="ADO7" s="7" t="n">
        <v>-1.44585514961884</v>
      </c>
      <c r="ADP7" s="7" t="n">
        <v>-1.64447741098034</v>
      </c>
      <c r="ADQ7" s="7" t="n">
        <v>-0.571754178721119</v>
      </c>
      <c r="ADR7" s="7" t="n">
        <v>-1.15681923276196</v>
      </c>
      <c r="ADS7" s="7" t="n">
        <v>-1.24414547063899</v>
      </c>
      <c r="ADT7" s="7" t="n">
        <v>-0.887339217798614</v>
      </c>
      <c r="ADU7" s="7" t="n">
        <v>-0.231287497322264</v>
      </c>
      <c r="ADV7" s="7" t="n">
        <v>-0.222645583307539</v>
      </c>
      <c r="ADW7" s="7" t="n">
        <v>-1.27850228596521</v>
      </c>
      <c r="ADX7" s="7" t="n">
        <v>0.526606200074398</v>
      </c>
      <c r="ADY7" s="7" t="n">
        <v>-0.456244875142946</v>
      </c>
      <c r="ADZ7" s="7" t="n">
        <v>0.009260006771446099</v>
      </c>
      <c r="AEA7" s="7" t="n">
        <v>0.583761047168853</v>
      </c>
      <c r="AEB7" s="7" t="n">
        <v>-0.928164766201797</v>
      </c>
      <c r="AEC7" s="7" t="n">
        <v>-0.171813459680346</v>
      </c>
      <c r="AED7" s="7" t="n">
        <v>0.258232971336356</v>
      </c>
      <c r="AEE7" s="7" t="n">
        <v>0.654801963743618</v>
      </c>
      <c r="AEF7" s="7" t="n">
        <v>1.26817656824117</v>
      </c>
      <c r="AEG7" s="7" t="n">
        <v>0.0409726638462943</v>
      </c>
      <c r="AEH7" s="7" t="n">
        <v>0.294541842919099</v>
      </c>
      <c r="AEI7" s="7" t="n">
        <v>-0.839416039965808</v>
      </c>
      <c r="AEJ7" s="7" t="n">
        <v>-1.95534849355216</v>
      </c>
      <c r="AEK7" s="7" t="n">
        <v>-0.07229241828517489</v>
      </c>
      <c r="AEL7" s="7" t="n">
        <v>-0.75413309521209</v>
      </c>
      <c r="AEM7" s="7" t="n">
        <v>-0.140337257514396</v>
      </c>
      <c r="AEN7" s="7" t="n">
        <v>-0.196082769812272</v>
      </c>
      <c r="AEO7" s="7" t="n">
        <v>-0.705460457477284</v>
      </c>
      <c r="AEP7" s="7" t="n">
        <v>0.449000203329731</v>
      </c>
      <c r="AEQ7" s="7" t="n">
        <v>-1.04789191206753</v>
      </c>
      <c r="AER7" s="7" t="n">
        <v>-1.51944787049182</v>
      </c>
      <c r="AES7" s="7" t="n">
        <v>-0.86797477746336</v>
      </c>
      <c r="AET7" s="7" t="n">
        <v>-1.13967515434783</v>
      </c>
      <c r="AEU7" s="7" t="n">
        <v>0.120774818414131</v>
      </c>
      <c r="AEV7" s="7" t="n">
        <v>-0.632060644278209</v>
      </c>
      <c r="AEW7" s="7" t="n">
        <v>0.468763428859708</v>
      </c>
      <c r="AEX7" s="7" t="n">
        <v>1.41067474263624</v>
      </c>
      <c r="AEY7" s="7" t="n">
        <v>0.0269856611453268</v>
      </c>
      <c r="AEZ7" s="7" t="n">
        <v>-1.13381382249895</v>
      </c>
      <c r="AFA7" s="7" t="n">
        <v>-1.46659907367149</v>
      </c>
      <c r="AFB7" s="7" t="n">
        <v>1.43683511854128</v>
      </c>
      <c r="AFC7" s="7" t="n">
        <v>0.393986115298856</v>
      </c>
      <c r="AFD7" s="7" t="n">
        <v>0.138321925544667</v>
      </c>
      <c r="AFE7" s="7" t="n">
        <v>-0.361606821514139</v>
      </c>
      <c r="AFF7" s="7" t="n">
        <v>1.39124083055591</v>
      </c>
      <c r="AFG7" s="7" t="n">
        <v>0.678687179845031</v>
      </c>
      <c r="AFH7" s="7" t="n">
        <v>-0.920665330879314</v>
      </c>
      <c r="AFI7" s="7" t="n">
        <v>0.289683384827694</v>
      </c>
      <c r="AFJ7" s="7" t="n">
        <v>0.209130314480762</v>
      </c>
      <c r="AFK7" s="7" t="n">
        <v>1.22078177335287</v>
      </c>
      <c r="AFL7" s="7" t="n">
        <v>-0.37657282986246</v>
      </c>
      <c r="AFM7" s="7" t="n">
        <v>1.92342869595704</v>
      </c>
      <c r="AFN7" s="7" t="n">
        <v>-1.61521725734784</v>
      </c>
      <c r="AFO7" s="7" t="n">
        <v>0.9207144539252951</v>
      </c>
      <c r="AFP7" s="7" t="n">
        <v>-0.405340584678506</v>
      </c>
      <c r="AFQ7" s="7" t="n">
        <v>-0.474890846694886</v>
      </c>
      <c r="AFR7" s="7" t="n">
        <v>0.639819474136178</v>
      </c>
      <c r="AFS7" s="7" t="n">
        <v>1.94477292311154</v>
      </c>
      <c r="AFT7" s="7" t="n">
        <v>-1.71128027669017</v>
      </c>
      <c r="AFU7" s="7" t="n">
        <v>-1.56638801788684</v>
      </c>
      <c r="AFV7" s="7" t="n">
        <v>0.494010382624498</v>
      </c>
      <c r="AFW7" s="7" t="n">
        <v>-1.58839347242065</v>
      </c>
      <c r="AFX7" s="7" t="n">
        <v>0.0863431851236188</v>
      </c>
      <c r="AFY7" s="7" t="n">
        <v>-0.587072240472173</v>
      </c>
      <c r="AFZ7" s="7" t="n">
        <v>2.85475790281327</v>
      </c>
      <c r="AGA7" s="7" t="n">
        <v>-1.30293898922479</v>
      </c>
      <c r="AGB7" s="7" t="n">
        <v>-0.638147610129656</v>
      </c>
      <c r="AGC7" s="7" t="n">
        <v>0.776243890753083</v>
      </c>
      <c r="AGD7" s="7" t="n">
        <v>0.154863193319008</v>
      </c>
      <c r="AGE7" s="7" t="n">
        <v>-0.249448770620497</v>
      </c>
      <c r="AGF7" s="7" t="n">
        <v>0.497200458261252</v>
      </c>
      <c r="AGG7" s="7" t="n">
        <v>-0.452320849025361</v>
      </c>
      <c r="AGH7" s="7" t="n">
        <v>-0.258692102895328</v>
      </c>
      <c r="AGI7" s="7" t="n">
        <v>0.599350428421775</v>
      </c>
      <c r="AGJ7" s="7" t="n">
        <v>-0.658852383517165</v>
      </c>
      <c r="AGK7" s="7" t="n">
        <v>1.78595650825212</v>
      </c>
      <c r="AGL7" s="7" t="n">
        <v>-0.789377851554862</v>
      </c>
      <c r="AGM7" s="7" t="n">
        <v>0.920579048502896</v>
      </c>
      <c r="AGN7" s="7" t="n">
        <v>0.0706252322408699</v>
      </c>
      <c r="AGO7" s="7" t="n">
        <v>-1.56841277687117</v>
      </c>
      <c r="AGP7" s="7" t="n">
        <v>0.141921966751003</v>
      </c>
      <c r="AGQ7" s="7" t="n">
        <v>2.66726105135675</v>
      </c>
      <c r="AGR7" s="7" t="n">
        <v>-0.208915102036048</v>
      </c>
      <c r="AGS7" s="7" t="n">
        <v>0.252359295061342</v>
      </c>
      <c r="AGT7" s="7" t="n">
        <v>0.0951926848679759</v>
      </c>
      <c r="AGU7" s="7" t="n">
        <v>-1.8669243030149</v>
      </c>
      <c r="AGV7" s="7" t="n">
        <v>0.951482688397315</v>
      </c>
      <c r="AGW7" s="7" t="n">
        <v>-0.0355540560181146</v>
      </c>
      <c r="AGX7" s="7" t="n">
        <v>0.06501908358413309</v>
      </c>
      <c r="AGY7" s="7" t="n">
        <v>1.00585981649237</v>
      </c>
      <c r="AGZ7" s="7" t="n">
        <v>0.907649404037403</v>
      </c>
      <c r="AHA7" s="7" t="n">
        <v>-1.50778355136729</v>
      </c>
      <c r="AHB7" s="7" t="n">
        <v>1.12290824489215</v>
      </c>
      <c r="AHC7" s="7" t="n">
        <v>-1.25374690419718</v>
      </c>
      <c r="AHD7" s="7" t="n">
        <v>-0.09447296845559711</v>
      </c>
      <c r="AHE7" s="7" t="n">
        <v>0.295762777033518</v>
      </c>
      <c r="AHF7" s="7" t="n">
        <v>-0.581012030674468</v>
      </c>
      <c r="AHG7" s="7" t="n">
        <v>1.56344510785503</v>
      </c>
      <c r="AHH7" s="7" t="n">
        <v>0.983578446473103</v>
      </c>
      <c r="AHI7" s="7" t="n">
        <v>0.7554272628318141</v>
      </c>
      <c r="AHJ7" s="7" t="n">
        <v>1.23712983870733</v>
      </c>
      <c r="AHK7" s="7" t="n">
        <v>1.24367797181401</v>
      </c>
      <c r="AHL7" s="7" t="n">
        <v>0.0340550450819444</v>
      </c>
      <c r="AHM7" s="7" t="n">
        <v>1.98403877972111</v>
      </c>
      <c r="AHN7" s="7" t="n">
        <v>-0.260196956920515</v>
      </c>
      <c r="AHO7" s="7" t="n">
        <v>-1.80868817205941</v>
      </c>
      <c r="AHP7" s="7" t="n">
        <v>1.11036952737049</v>
      </c>
      <c r="AHQ7" s="7" t="n">
        <v>1.5071566532774</v>
      </c>
      <c r="AHR7" s="7" t="n">
        <v>-0.711081431187109</v>
      </c>
      <c r="AHS7" s="7" t="n">
        <v>-0.567300758107509</v>
      </c>
      <c r="AHT7" s="7" t="n">
        <v>0.179306745914935</v>
      </c>
      <c r="AHU7" s="7" t="n">
        <v>-0.358534742308253</v>
      </c>
      <c r="AHV7" s="7" t="n">
        <v>-0.572834959553416</v>
      </c>
      <c r="AHW7" s="7" t="n">
        <v>2.66037288324954</v>
      </c>
      <c r="AHX7" s="7" t="n">
        <v>-1.39334908741663</v>
      </c>
      <c r="AHY7" s="7" t="n">
        <v>0.5100355070114569</v>
      </c>
      <c r="AHZ7" s="7" t="n">
        <v>0.731675981152376</v>
      </c>
      <c r="AIA7" s="7" t="n">
        <v>-0.0110039400909893</v>
      </c>
      <c r="AIB7" s="7" t="n">
        <v>-0.0218875743984963</v>
      </c>
      <c r="AIC7" s="7" t="n">
        <v>-0.8080152909796799</v>
      </c>
      <c r="AID7" s="7" t="n">
        <v>-0.571376260666118</v>
      </c>
      <c r="AIE7" s="7" t="n">
        <v>0.851048690120764</v>
      </c>
      <c r="AIF7" s="7" t="n">
        <v>1.43354759093184</v>
      </c>
      <c r="AIG7" s="7" t="n">
        <v>0.937909335020666</v>
      </c>
      <c r="AIH7" s="7" t="n">
        <v>-0.187297590851791</v>
      </c>
      <c r="AII7" s="7" t="n">
        <v>-1.3005620265146</v>
      </c>
      <c r="AIJ7" s="7" t="n">
        <v>-0.258898140302455</v>
      </c>
      <c r="AIK7" s="7" t="n">
        <v>1.95480877948181</v>
      </c>
      <c r="AIL7" s="7" t="n">
        <v>0.678808279787522</v>
      </c>
      <c r="AIM7" s="7" t="n">
        <v>-0.166278419082766</v>
      </c>
      <c r="AIN7" s="7" t="n">
        <v>-0.495946390076901</v>
      </c>
      <c r="AIO7" s="7" t="n">
        <v>0.99872323069653</v>
      </c>
      <c r="AIP7" s="7" t="n">
        <v>-0.185310898833633</v>
      </c>
      <c r="AIQ7" s="7" t="n">
        <v>-0.647535491943057</v>
      </c>
      <c r="AIR7" s="7" t="n">
        <v>0.196431780667913</v>
      </c>
      <c r="AIS7" s="7" t="n">
        <v>0.62662592690915</v>
      </c>
      <c r="AIT7" s="7" t="n">
        <v>-0.201274781059998</v>
      </c>
      <c r="AIU7" s="7" t="n">
        <v>-0.521802591758693</v>
      </c>
      <c r="AIV7" s="7" t="n">
        <v>0.744650211186323</v>
      </c>
      <c r="AIW7" s="7" t="n">
        <v>0.326218969137396</v>
      </c>
      <c r="AIX7" s="7" t="n">
        <v>0.596110640839443</v>
      </c>
      <c r="AIY7" s="7" t="n">
        <v>1.61206345963484</v>
      </c>
      <c r="AIZ7" s="7" t="n">
        <v>0.930709299521324</v>
      </c>
      <c r="AJA7" s="7" t="n">
        <v>-0.324851586578089</v>
      </c>
      <c r="AJB7" s="7" t="n">
        <v>0.142839336438959</v>
      </c>
      <c r="AJC7" s="7" t="n">
        <v>0.761809373670013</v>
      </c>
      <c r="AJD7" s="7" t="n">
        <v>-1.10134929014693</v>
      </c>
      <c r="AJE7" s="7" t="n">
        <v>0.972860600962165</v>
      </c>
      <c r="AJF7" s="7" t="n">
        <v>-1.1671276634085</v>
      </c>
      <c r="AJG7" s="7" t="n">
        <v>2.85900246845629</v>
      </c>
      <c r="AJH7" s="7" t="n">
        <v>0.52390660985032</v>
      </c>
      <c r="AJI7" s="7" t="n">
        <v>1.04900153244819</v>
      </c>
      <c r="AJJ7" s="7" t="n">
        <v>-0.348231430273835</v>
      </c>
      <c r="AJK7" s="7" t="n">
        <v>2.01427021999716</v>
      </c>
      <c r="AJL7" s="7" t="n">
        <v>-0.09325190689917071</v>
      </c>
      <c r="AJM7" s="7" t="n">
        <v>0.791507223561998</v>
      </c>
      <c r="AJN7" s="7" t="n">
        <v>0.952317862740082</v>
      </c>
      <c r="AJO7" s="7" t="n">
        <v>-0.136418267823069</v>
      </c>
      <c r="AJP7" s="7" t="n">
        <v>1.74209696188198</v>
      </c>
      <c r="AJQ7" s="7" t="n">
        <v>0.177559583196768</v>
      </c>
      <c r="AJR7" s="7" t="n">
        <v>0.139704738272418</v>
      </c>
      <c r="AJS7" s="7" t="n">
        <v>0.0259096768957607</v>
      </c>
      <c r="AJT7" s="7" t="n">
        <v>-0.949399993350319</v>
      </c>
      <c r="AJU7" s="7" t="n">
        <v>-0.826819237303444</v>
      </c>
      <c r="AJV7" s="7" t="n">
        <v>-0.438125100226979</v>
      </c>
      <c r="AJW7" s="7" t="n">
        <v>-0.7862200075732561</v>
      </c>
      <c r="AJX7" s="7" t="n">
        <v>0.250318558056509</v>
      </c>
      <c r="AJY7" s="7" t="n">
        <v>0.368228630016624</v>
      </c>
      <c r="AJZ7" s="7" t="n">
        <v>0.57520521832903</v>
      </c>
      <c r="AKA7" s="7" t="n">
        <v>0.621113452724037</v>
      </c>
      <c r="AKB7" s="7" t="n">
        <v>1.44225370651106</v>
      </c>
      <c r="AKC7" s="7" t="n">
        <v>-1.44985802495875</v>
      </c>
      <c r="AKD7" s="7" t="n">
        <v>0.800859479314489</v>
      </c>
      <c r="AKE7" s="7" t="n">
        <v>0.434053414264797</v>
      </c>
      <c r="AKF7" s="7" t="n">
        <v>-0.390554010786227</v>
      </c>
      <c r="AKG7" s="7" t="n">
        <v>-0.08824927322062349</v>
      </c>
      <c r="AKH7" s="7" t="n">
        <v>-0.0413247286038037</v>
      </c>
      <c r="AKI7" s="7" t="n">
        <v>1.4394797218908</v>
      </c>
      <c r="AKJ7" s="7" t="n">
        <v>1.67929389152873</v>
      </c>
      <c r="AKK7" s="7" t="n">
        <v>-1.07143748945616</v>
      </c>
      <c r="AKL7" s="7" t="n">
        <v>-0.0538770456219939</v>
      </c>
      <c r="AKM7" s="7" t="n">
        <v>0.404711053439661</v>
      </c>
      <c r="AKN7" s="7" t="n">
        <v>1.43571810244833</v>
      </c>
      <c r="AKO7" s="7" t="n">
        <v>0.0169241268230365</v>
      </c>
      <c r="AKP7" s="7" t="n">
        <v>1.37730999817945</v>
      </c>
      <c r="AKQ7" s="7" t="n">
        <v>-1.09944313996973</v>
      </c>
      <c r="AKR7" s="7" t="n">
        <v>-0.792543769049245</v>
      </c>
      <c r="AKS7" s="7" t="n">
        <v>-1.50866262372105</v>
      </c>
      <c r="AKT7" s="7" t="n">
        <v>2.14142109137148</v>
      </c>
      <c r="AKU7" s="7" t="n">
        <v>-1.03268858776856</v>
      </c>
      <c r="AKV7" s="7" t="n">
        <v>0.885073679664629</v>
      </c>
      <c r="AKW7" s="7" t="n">
        <v>-0.182108150332086</v>
      </c>
      <c r="AKX7" s="7" t="n">
        <v>-1.16211139221316</v>
      </c>
      <c r="AKY7" s="7" t="n">
        <v>-0.165880678334506</v>
      </c>
      <c r="AKZ7" s="7" t="n">
        <v>-0.324821026852678</v>
      </c>
      <c r="ALA7" s="7" t="n">
        <v>-0.377891047852624</v>
      </c>
      <c r="ALB7" s="7" t="n">
        <v>-0.656185999046641</v>
      </c>
      <c r="ALC7" s="7" t="n">
        <v>-0.691975080966765</v>
      </c>
      <c r="ALD7" s="7" t="n">
        <v>-0.876379175989952</v>
      </c>
      <c r="ALE7" s="7" t="n">
        <v>0.183336987102203</v>
      </c>
      <c r="ALF7" s="7" t="n">
        <v>-1.02182098260061</v>
      </c>
      <c r="ALG7" s="7" t="n">
        <v>-1.00279255062308</v>
      </c>
      <c r="ALH7" s="7" t="n">
        <v>-0.976845039171241</v>
      </c>
      <c r="ALI7" s="7" t="n">
        <v>-0.07591651567665759</v>
      </c>
      <c r="ALJ7" s="7" t="n">
        <v>-1.27410658568676</v>
      </c>
      <c r="ALK7" s="7" t="n">
        <v>-0.212795148735744</v>
      </c>
      <c r="ALL7" s="7" t="n">
        <v>1.42172141487466</v>
      </c>
      <c r="ALM7" s="7" t="n">
        <v>-0.0159424118847314</v>
      </c>
      <c r="ALN7" s="7" t="n">
        <v>0.220698068707382</v>
      </c>
      <c r="ALO7" s="7" t="n">
        <v>-0.0766559435735147</v>
      </c>
      <c r="ALP7" s="7" t="n">
        <v>0.413929803725766</v>
      </c>
      <c r="ALQ7" s="7" t="n">
        <v>1.89800753809896</v>
      </c>
      <c r="ALR7" s="7" t="n">
        <v>0.150054462755839</v>
      </c>
      <c r="ALS7" s="7" t="n">
        <v>0.0924340037582064</v>
      </c>
      <c r="ALT7" s="7" t="n">
        <v>-0.843112136695197</v>
      </c>
      <c r="ALU7" s="7" t="n">
        <v>-0.476101907927182</v>
      </c>
      <c r="ALV7" s="7" t="n">
        <v>2.36557495921018</v>
      </c>
      <c r="ALW7" s="7" t="n">
        <v>1.92841592380785</v>
      </c>
      <c r="ALX7" s="7" t="n">
        <v>-0.809305529596955</v>
      </c>
      <c r="ALY7" s="7" t="n">
        <v>0.267301335842786</v>
      </c>
      <c r="ALZ7" s="7" t="n">
        <v>0.476280543131554</v>
      </c>
      <c r="AMA7" s="7" t="n">
        <v>0.221234647441708</v>
      </c>
      <c r="AMB7" s="7" t="n">
        <v>0.706155815561001</v>
      </c>
      <c r="AMC7" s="7" t="n">
        <v>0.358582279410102</v>
      </c>
      <c r="AMD7" s="7" t="n">
        <v>-0.619576621661353</v>
      </c>
      <c r="AME7" s="7" t="n">
        <v>-0.477116607338367</v>
      </c>
      <c r="AMF7" s="7" t="n">
        <v>-0.207042991014873</v>
      </c>
      <c r="AMG7" s="7" t="n">
        <v>0.496025453057875</v>
      </c>
      <c r="AMH7" s="7" t="n">
        <v>0.109271257103131</v>
      </c>
      <c r="AMI7" s="7" t="n">
        <v>-1.09417999555994</v>
      </c>
      <c r="AMJ7" s="7" t="n">
        <v>-2.01564312656187</v>
      </c>
      <c r="AMK7" s="7" t="n">
        <v>-0.902548757531467</v>
      </c>
      <c r="AML7" s="7" t="n">
        <v>-0.0116608238641685</v>
      </c>
      <c r="AMM7" s="7" t="n">
        <v>0.376064136338202</v>
      </c>
      <c r="AMN7" s="7" t="n">
        <v>0.127169272926029</v>
      </c>
      <c r="AMO7" s="7" t="n">
        <v>-1.59976490787031</v>
      </c>
      <c r="AMP7" s="7" t="n">
        <v>1.44122642732322</v>
      </c>
      <c r="AMQ7" s="7" t="n">
        <v>-1.1853700899845</v>
      </c>
      <c r="AMR7" s="7" t="n">
        <v>0.0007569521715626</v>
      </c>
      <c r="AMS7" s="7" t="n">
        <v>0.528449289941659</v>
      </c>
      <c r="AMT7" s="7" t="n">
        <v>-1.17511186832223</v>
      </c>
      <c r="AMU7" s="7" t="n">
        <v>0.211831965197346</v>
      </c>
      <c r="AMV7" s="7" t="n">
        <v>-0.0209928896289475</v>
      </c>
      <c r="AMW7" s="7" t="n">
        <v>0.950859418784349</v>
      </c>
      <c r="AMX7" s="7" t="n">
        <v>-0.590334357685</v>
      </c>
      <c r="AMY7" s="7" t="n">
        <v>0.255241636645338</v>
      </c>
      <c r="AMZ7" s="7" t="n">
        <v>-1.71425178011206</v>
      </c>
      <c r="ANA7" s="7" t="n">
        <v>2.18778615055258</v>
      </c>
      <c r="ANB7" s="7" t="n">
        <v>1.21231123478526</v>
      </c>
      <c r="ANC7" s="7" t="n">
        <v>0.354045896623561</v>
      </c>
      <c r="AND7" s="7" t="n">
        <v>-0.297585595301045</v>
      </c>
      <c r="ANE7" s="7" t="n">
        <v>0.73243795464248</v>
      </c>
      <c r="ANF7" s="7" t="n">
        <v>-0.828580997421005</v>
      </c>
      <c r="ANG7" s="7" t="n">
        <v>-0.364000546653962</v>
      </c>
      <c r="ANH7" s="7" t="n">
        <v>0.155115870880562</v>
      </c>
      <c r="ANI7" s="7" t="n">
        <v>-0.876300406347384</v>
      </c>
      <c r="ANJ7" s="7" t="n">
        <v>1.50031389685614</v>
      </c>
      <c r="ANK7" s="7" t="n">
        <v>-0.740813840821423</v>
      </c>
      <c r="ANL7" s="7" t="n">
        <v>-0.07613419155879959</v>
      </c>
      <c r="ANM7" s="7" t="n">
        <v>-1.15823586665218</v>
      </c>
      <c r="ANN7" s="7" t="n">
        <v>-1.42785941236979</v>
      </c>
      <c r="ANO7" s="7" t="n">
        <v>-0.789361900420128</v>
      </c>
      <c r="ANP7" s="7" t="n">
        <v>0.649451083212746</v>
      </c>
      <c r="ANQ7" s="7" t="n">
        <v>-1.2433851126133</v>
      </c>
      <c r="ANR7" s="7" t="n">
        <v>0.196445382135204</v>
      </c>
      <c r="ANS7" s="7" t="n">
        <v>1.11668626906335</v>
      </c>
      <c r="ANT7" s="7" t="n">
        <v>0.396257037155109</v>
      </c>
      <c r="ANU7" s="7" t="n">
        <v>-2.09745515208335</v>
      </c>
      <c r="ANV7" s="7" t="n">
        <v>-0.477400224159005</v>
      </c>
      <c r="ANW7" s="7" t="n">
        <v>0.340935108090239</v>
      </c>
      <c r="ANX7" s="7" t="n">
        <v>0.005386103811088</v>
      </c>
      <c r="ANY7" s="7" t="n">
        <v>-0.269185851056547</v>
      </c>
      <c r="ANZ7" s="7" t="n">
        <v>-0.838548268973205</v>
      </c>
      <c r="AOA7" s="7" t="n">
        <v>0.712403342536032</v>
      </c>
      <c r="AOB7" s="7" t="n">
        <v>-0.22833131242759</v>
      </c>
      <c r="AOC7" s="7" t="n">
        <v>-1.91639313325395</v>
      </c>
      <c r="AOD7" s="7" t="n">
        <v>0.481323267710467</v>
      </c>
      <c r="AOE7" s="7" t="n">
        <v>-0.745017007487778</v>
      </c>
      <c r="AOF7" s="7" t="n">
        <v>0.399951021457981</v>
      </c>
      <c r="AOG7" s="7" t="n">
        <v>2.09413428140407</v>
      </c>
      <c r="AOH7" s="7" t="n">
        <v>0.576109136432876</v>
      </c>
      <c r="AOI7" s="7" t="n">
        <v>1.46511100954822</v>
      </c>
      <c r="AOJ7" s="7" t="n">
        <v>-0.317967452637253</v>
      </c>
      <c r="AOK7" s="7" t="n">
        <v>0.23174447215454</v>
      </c>
      <c r="AOL7" s="7" t="n">
        <v>-0.0730848033177989</v>
      </c>
      <c r="AOM7" s="7" t="n">
        <v>0.891755424197889</v>
      </c>
      <c r="AON7" s="7" t="n">
        <v>0.562549003320771</v>
      </c>
      <c r="AOO7" s="7" t="n">
        <v>-0.265692670257029</v>
      </c>
      <c r="AOP7" s="7" t="n">
        <v>1.96459280818979</v>
      </c>
      <c r="AOQ7" s="7" t="n">
        <v>-1.02347738384919</v>
      </c>
      <c r="AOR7" s="7" t="n">
        <v>0.0874444155615145</v>
      </c>
      <c r="AOS7" s="7" t="n">
        <v>-0.843619287724821</v>
      </c>
      <c r="AOT7" s="7" t="n">
        <v>1.37390557205813</v>
      </c>
      <c r="AOU7" s="7" t="n">
        <v>0.137646209543078</v>
      </c>
      <c r="AOV7" s="7" t="n">
        <v>0.8382185651634581</v>
      </c>
      <c r="AOW7" s="7" t="n">
        <v>-0.368900264406283</v>
      </c>
      <c r="AOX7" s="7" t="n">
        <v>1.55561337048458</v>
      </c>
      <c r="AOY7" s="7" t="n">
        <v>-0.264600799361773</v>
      </c>
      <c r="AOZ7" s="7" t="n">
        <v>-1.45000819717389</v>
      </c>
      <c r="APA7" s="7" t="n">
        <v>-0.811081817080689</v>
      </c>
      <c r="APB7" s="7" t="n">
        <v>0.0975322317293868</v>
      </c>
      <c r="APC7" s="7" t="n">
        <v>-1.26172518466716</v>
      </c>
      <c r="APD7" s="7" t="n">
        <v>1.19540479354792</v>
      </c>
      <c r="APE7" s="7" t="n">
        <v>-0.918740064577164</v>
      </c>
      <c r="APF7" s="7" t="n">
        <v>-0.151403149969421</v>
      </c>
      <c r="APG7" s="7" t="n">
        <v>-0.233595381335092</v>
      </c>
      <c r="APH7" s="7" t="n">
        <v>0.109490317021809</v>
      </c>
      <c r="API7" s="7" t="n">
        <v>-0.701552133039708</v>
      </c>
      <c r="APJ7" s="7" t="n">
        <v>-1.8201483495452</v>
      </c>
      <c r="APK7" s="7" t="n">
        <v>1.29728780115151</v>
      </c>
      <c r="APL7" s="7" t="n">
        <v>-0.0809072482146861</v>
      </c>
      <c r="APM7" s="7" t="n">
        <v>1.56536760296678</v>
      </c>
      <c r="APN7" s="7" t="n">
        <v>-0.777783213943687</v>
      </c>
      <c r="APO7" s="7" t="n">
        <v>-0.700308454463641</v>
      </c>
      <c r="APP7" s="7" t="n">
        <v>0.0359566737036558</v>
      </c>
      <c r="APQ7" s="7" t="n">
        <v>0.753137374569509</v>
      </c>
      <c r="APR7" s="7" t="n">
        <v>-1.62893048190031</v>
      </c>
      <c r="APS7" s="7" t="n">
        <v>-0.368385210693274</v>
      </c>
      <c r="APT7" s="7" t="n">
        <v>-0.590060880316053</v>
      </c>
      <c r="APU7" s="7" t="n">
        <v>-0.87333873416931</v>
      </c>
      <c r="APV7" s="7" t="n">
        <v>1.96943392944373</v>
      </c>
      <c r="APW7" s="7" t="n">
        <v>-1.03177614874802</v>
      </c>
      <c r="APX7" s="7" t="n">
        <v>-1.62083621861558</v>
      </c>
      <c r="APY7" s="7" t="n">
        <v>-1.62649880285605</v>
      </c>
      <c r="APZ7" s="7" t="n">
        <v>0.60297700438187</v>
      </c>
      <c r="AQA7" s="7" t="n">
        <v>0.469538981515825</v>
      </c>
      <c r="AQB7" s="7" t="n">
        <v>1.40453818820665</v>
      </c>
      <c r="AQC7" s="7" t="n">
        <v>-0.501700418325761</v>
      </c>
      <c r="AQD7" s="7" t="n">
        <v>-0.223126936082972</v>
      </c>
      <c r="AQE7" s="7" t="n">
        <v>-0.363207067966232</v>
      </c>
      <c r="AQF7" s="7" t="n">
        <v>-1.26064083002277</v>
      </c>
      <c r="AQG7" s="7" t="n">
        <v>0.651708021579404</v>
      </c>
      <c r="AQH7" s="7" t="n">
        <v>0.87161217594371</v>
      </c>
      <c r="AQI7" s="7" t="n">
        <v>-1.82489399120305</v>
      </c>
      <c r="AQJ7" s="7" t="n">
        <v>0.658579428520721</v>
      </c>
      <c r="AQK7" s="7" t="n">
        <v>0.70953833803273</v>
      </c>
      <c r="AQL7" s="7" t="n">
        <v>1.12158144814731</v>
      </c>
      <c r="AQM7" s="7" t="n">
        <v>0.858880838054363</v>
      </c>
      <c r="AQN7" s="7" t="n">
        <v>-0.489543412724639</v>
      </c>
      <c r="AQO7" s="7" t="n">
        <v>-0.291808090374301</v>
      </c>
      <c r="AQP7" s="7" t="n">
        <v>0.945628115669357</v>
      </c>
      <c r="AQQ7" s="7" t="n">
        <v>-1.03647988896544</v>
      </c>
      <c r="AQR7" s="7" t="n">
        <v>1.22661430594656</v>
      </c>
      <c r="AQS7" s="7" t="n">
        <v>0.279141586043465</v>
      </c>
      <c r="AQT7" s="7" t="n">
        <v>-1.0801817742933</v>
      </c>
      <c r="AQU7" s="7" t="n">
        <v>0.721941387515206</v>
      </c>
      <c r="AQV7" s="7" t="n">
        <v>-0.305894965016822</v>
      </c>
      <c r="AQW7" s="7" t="n">
        <v>-0.107593771212002</v>
      </c>
      <c r="AQX7" s="7" t="n">
        <v>-0.798749396557686</v>
      </c>
      <c r="AQY7" s="7" t="n">
        <v>-0.396958239887789</v>
      </c>
      <c r="AQZ7" s="7" t="n">
        <v>-0.569692871493271</v>
      </c>
      <c r="ARA7" s="7" t="n">
        <v>0.0957030481897556</v>
      </c>
      <c r="ARB7" s="7" t="n">
        <v>0.886029835599817</v>
      </c>
      <c r="ARC7" s="7" t="n">
        <v>1.16083771892038</v>
      </c>
      <c r="ARD7" s="7" t="n">
        <v>1.27993889692464</v>
      </c>
      <c r="ARE7" s="7" t="n">
        <v>0.743624804355738</v>
      </c>
      <c r="ARF7" s="7" t="n">
        <v>0.36528241984644</v>
      </c>
      <c r="ARG7" s="7" t="n">
        <v>-1.41964293481635</v>
      </c>
      <c r="ARH7" s="7" t="n">
        <v>-1.10829647707885</v>
      </c>
      <c r="ARI7" s="7" t="n">
        <v>1.29767118474219</v>
      </c>
      <c r="ARJ7" s="7" t="n">
        <v>0.563894900770873</v>
      </c>
      <c r="ARK7" s="7" t="n">
        <v>-0.320766944286809</v>
      </c>
      <c r="ARL7" s="7" t="n">
        <v>-0.989239081295047</v>
      </c>
      <c r="ARM7" s="7" t="n">
        <v>-0.123533539059948</v>
      </c>
      <c r="ARN7" s="7" t="n">
        <v>-0.377596061206618</v>
      </c>
      <c r="ARO7" s="7" t="n">
        <v>-0.42252435625172</v>
      </c>
      <c r="ARP7" s="7" t="n">
        <v>-0.252752908139676</v>
      </c>
      <c r="ARQ7" s="7" t="n">
        <v>0.338834106221238</v>
      </c>
      <c r="ARR7" s="7" t="n">
        <v>-0.967359002891189</v>
      </c>
      <c r="ARS7" s="7" t="n">
        <v>-0.959605287716579</v>
      </c>
      <c r="ART7" s="7" t="n">
        <v>-2.03630804151992</v>
      </c>
      <c r="ARU7" s="7" t="n">
        <v>0.332565594429608</v>
      </c>
      <c r="ARV7" s="7" t="n">
        <v>-0.370364438830657</v>
      </c>
      <c r="ARW7" s="7" t="n">
        <v>-0.0584206469343731</v>
      </c>
      <c r="ARX7" s="7" t="n">
        <v>-0.193479501620811</v>
      </c>
      <c r="ARY7" s="7" t="n">
        <v>0.603267505309422</v>
      </c>
      <c r="ARZ7" s="7" t="n">
        <v>-0.737977275307842</v>
      </c>
      <c r="ASA7" s="7" t="n">
        <v>0.101978486099227</v>
      </c>
      <c r="ASB7" s="7" t="n">
        <v>1.37913952877673</v>
      </c>
      <c r="ASC7" s="7" t="n">
        <v>0.829960643057031</v>
      </c>
      <c r="ASD7" s="7" t="n">
        <v>-0.118248451423547</v>
      </c>
      <c r="ASE7" s="7" t="n">
        <v>0.6375210605880069</v>
      </c>
      <c r="ASF7" s="7" t="n">
        <v>-0.169309574812858</v>
      </c>
      <c r="ASG7" s="7" t="n">
        <v>-0.438694152920662</v>
      </c>
      <c r="ASH7" s="7" t="n">
        <v>-1.66427371774186</v>
      </c>
      <c r="ASI7" s="7" t="n">
        <v>-1.54946152704206</v>
      </c>
      <c r="ASJ7" s="7" t="n">
        <v>2.41780790140505</v>
      </c>
      <c r="ASK7" s="7" t="n">
        <v>-0.891948466440425</v>
      </c>
      <c r="ASL7" s="7" t="n">
        <v>-0.903155838534771</v>
      </c>
      <c r="ASM7" s="7" t="n">
        <v>-0.331046368173038</v>
      </c>
      <c r="ASN7" s="7" t="n">
        <v>-0.539362274884939</v>
      </c>
      <c r="ASO7" s="7" t="n">
        <v>-0.275742954518118</v>
      </c>
      <c r="ASP7" s="7" t="n">
        <v>-3.01933784975512</v>
      </c>
      <c r="ASQ7" s="7" t="n">
        <v>0.206676973617203</v>
      </c>
      <c r="ASR7" s="7" t="n">
        <v>0.596795622492072</v>
      </c>
      <c r="ASS7" s="7" t="n">
        <v>-1.32333063416357</v>
      </c>
      <c r="AST7" s="7" t="n">
        <v>-0.0764786608124149</v>
      </c>
      <c r="ASU7" s="7" t="n">
        <v>0.296584175645791</v>
      </c>
      <c r="ASV7" s="7" t="n">
        <v>-1.11351911921264</v>
      </c>
      <c r="ASW7" s="7" t="n">
        <v>-0.579509469730389</v>
      </c>
      <c r="ASX7" s="7" t="n">
        <v>0.306166129632217</v>
      </c>
      <c r="ASY7" s="7" t="n">
        <v>1.37640864475317</v>
      </c>
      <c r="ASZ7" s="7" t="n">
        <v>0.218827424590452</v>
      </c>
      <c r="ATA7" s="7" t="n">
        <v>0.454865232060125</v>
      </c>
      <c r="ATB7" s="7" t="n">
        <v>-0.157077645253829</v>
      </c>
      <c r="ATC7" s="7" t="n">
        <v>-0.189409546381201</v>
      </c>
      <c r="ATD7" s="7" t="n">
        <v>-0.725768927644639</v>
      </c>
      <c r="ATE7" s="7" t="n">
        <v>0.820419669467672</v>
      </c>
      <c r="ATF7" s="7" t="n">
        <v>1.59252016081724</v>
      </c>
      <c r="ATG7" s="7" t="n">
        <v>0.290225274968893</v>
      </c>
      <c r="ATH7" s="7" t="n">
        <v>0.1549839357448</v>
      </c>
      <c r="ATI7" s="7" t="n">
        <v>-0.102725343936142</v>
      </c>
      <c r="ATJ7" s="7" t="n">
        <v>-0.0486521764772518</v>
      </c>
      <c r="ATK7" s="7" t="n">
        <v>0.118913874627798</v>
      </c>
      <c r="ATL7" s="7" t="n">
        <v>-1.15223124010724</v>
      </c>
      <c r="ATM7" s="7" t="n">
        <v>-0.779313729439567</v>
      </c>
      <c r="ATN7" s="7" t="n">
        <v>-2.23561472580393</v>
      </c>
      <c r="ATO7" s="7" t="n">
        <v>0.7430865187808799</v>
      </c>
      <c r="ATP7" s="7" t="n">
        <v>0.954761858293815</v>
      </c>
      <c r="ATQ7" s="7" t="n">
        <v>1.08497335011479</v>
      </c>
      <c r="ATR7" s="7" t="n">
        <v>-0.189843861162688</v>
      </c>
      <c r="ATS7" s="7" t="n">
        <v>0.0689837719871161</v>
      </c>
      <c r="ATT7" s="7" t="n">
        <v>0.216131784155824</v>
      </c>
      <c r="ATU7" s="7" t="n">
        <v>-1.20200420852101</v>
      </c>
      <c r="ATV7" s="7" t="n">
        <v>0.392055690088275</v>
      </c>
      <c r="ATW7" s="7" t="n">
        <v>1.55355402085062</v>
      </c>
      <c r="ATX7" s="7" t="n">
        <v>-0.0825862220985725</v>
      </c>
      <c r="ATY7" s="7" t="n">
        <v>0.662506370818433</v>
      </c>
      <c r="ATZ7" s="7" t="n">
        <v>0.980816294000914</v>
      </c>
      <c r="AUA7" s="7" t="n">
        <v>0.464094738558181</v>
      </c>
      <c r="AUB7" s="7" t="n">
        <v>0.251302666289966</v>
      </c>
      <c r="AUC7" s="7" t="n">
        <v>-1.26356574555216</v>
      </c>
      <c r="AUD7" s="7" t="n">
        <v>0.338496419283782</v>
      </c>
      <c r="AUE7" s="7" t="n">
        <v>-0.837599706292498</v>
      </c>
      <c r="AUF7" s="7" t="n">
        <v>0.784356606897996</v>
      </c>
      <c r="AUG7" s="7" t="n">
        <v>-1.18597628102608</v>
      </c>
      <c r="AUH7" s="7" t="n">
        <v>-0.0194713870965036</v>
      </c>
      <c r="AUI7" s="7" t="n">
        <v>1.7911874636992</v>
      </c>
      <c r="AUJ7" s="7" t="n">
        <v>-1.111041659358</v>
      </c>
      <c r="AUK7" s="7" t="n">
        <v>-0.06990090541208881</v>
      </c>
      <c r="AUL7" s="7" t="n">
        <v>1.52706215794463</v>
      </c>
      <c r="AUM7" s="7" t="n">
        <v>-0.389000999139256</v>
      </c>
      <c r="AUN7" s="7" t="n">
        <v>0.0366296184720376</v>
      </c>
      <c r="AUO7" s="7" t="n">
        <v>-2.42659058914184</v>
      </c>
      <c r="AUP7" s="7" t="n">
        <v>-1.30818849564776</v>
      </c>
      <c r="AUQ7" s="7" t="n">
        <v>1.50365707059747</v>
      </c>
      <c r="AUR7" s="7" t="n">
        <v>-1.71093244646988</v>
      </c>
      <c r="AUS7" s="7" t="n">
        <v>-0.410265371611051</v>
      </c>
      <c r="AUT7" s="7" t="n">
        <v>0.613210238985183</v>
      </c>
      <c r="AUU7" s="7" t="n">
        <v>-0.40557541936529</v>
      </c>
      <c r="AUV7" s="7" t="n">
        <v>0.0929530891981455</v>
      </c>
      <c r="AUW7" s="7" t="n">
        <v>-0.7907135683144541</v>
      </c>
      <c r="AUX7" s="7" t="n">
        <v>-0.875328272393498</v>
      </c>
      <c r="AUY7" s="7" t="n">
        <v>1.45437919030161</v>
      </c>
      <c r="AUZ7" s="7" t="n">
        <v>1.32979856359925</v>
      </c>
      <c r="AVA7" s="7" t="n">
        <v>0.135251855759385</v>
      </c>
      <c r="AVB7" s="7" t="n">
        <v>0.0117554030939938</v>
      </c>
      <c r="AVC7" s="7" t="n">
        <v>-0.161523035969756</v>
      </c>
      <c r="AVD7" s="7" t="n">
        <v>-1.70806429916791</v>
      </c>
      <c r="AVE7" s="7" t="n">
        <v>-0.563928292115356</v>
      </c>
      <c r="AVF7" s="7" t="n">
        <v>-0.3482918112497</v>
      </c>
      <c r="AVG7" s="7" t="n">
        <v>1.20797227329021</v>
      </c>
      <c r="AVH7" s="7" t="n">
        <v>-0.919535865183992</v>
      </c>
      <c r="AVI7" s="7" t="n">
        <v>1.06528512584903</v>
      </c>
      <c r="AVJ7" s="7" t="n">
        <v>-0.731111289638301</v>
      </c>
      <c r="AVK7" s="7" t="n">
        <v>-1.93625107727489</v>
      </c>
      <c r="AVL7" s="7" t="n">
        <v>1.43422173883694</v>
      </c>
      <c r="AVM7" s="7" t="n">
        <v>0.0390808136040331</v>
      </c>
      <c r="AVN7" s="7" t="n">
        <v>2.97099451094507</v>
      </c>
      <c r="AVO7" s="7" t="n">
        <v>0.655525664724685</v>
      </c>
      <c r="AVP7" s="7" t="n">
        <v>-1.38357332027842</v>
      </c>
      <c r="AVQ7" s="7" t="n">
        <v>-0.0356353578748327</v>
      </c>
      <c r="AVR7" s="7" t="n">
        <v>-0.651975218221357</v>
      </c>
      <c r="AVS7" s="7" t="n">
        <v>0.593949052544548</v>
      </c>
      <c r="AVT7" s="7" t="n">
        <v>1.81855407066356</v>
      </c>
      <c r="AVU7" s="7" t="n">
        <v>2.36292181067198</v>
      </c>
      <c r="AVV7" s="7" t="n">
        <v>1.27743899823564</v>
      </c>
      <c r="AVW7" s="7" t="n">
        <v>-1.64433638116062</v>
      </c>
      <c r="AVX7" s="7" t="n">
        <v>-0.167447496696578</v>
      </c>
      <c r="AVY7" s="7" t="n">
        <v>-1.86133761182028</v>
      </c>
      <c r="AVZ7" s="7" t="n">
        <v>1.58305160890969</v>
      </c>
      <c r="AWA7" s="7" t="n">
        <v>1.04761171684996</v>
      </c>
      <c r="AWB7" s="7" t="n">
        <v>-0.816877281926764</v>
      </c>
      <c r="AWC7" s="7" t="n">
        <v>1.47533075170487</v>
      </c>
      <c r="AWD7" s="7" t="n">
        <v>-1.20739541249663</v>
      </c>
      <c r="AWE7" s="7" t="n">
        <v>-0.932948258576344</v>
      </c>
      <c r="AWF7" s="7" t="n">
        <v>0.976556329814057</v>
      </c>
      <c r="AWG7" s="7" t="n">
        <v>-0.952776093663508</v>
      </c>
      <c r="AWH7" s="7" t="n">
        <v>0.656440874870302</v>
      </c>
      <c r="AWI7" s="7" t="n">
        <v>-1.00143836756154</v>
      </c>
      <c r="AWJ7" s="7" t="n">
        <v>-0.861018851835783</v>
      </c>
      <c r="AWK7" s="7" t="n">
        <v>0.234257537523764</v>
      </c>
      <c r="AWL7" s="7" t="n">
        <v>0.08195780112426269</v>
      </c>
      <c r="AWM7" s="7" t="n">
        <v>-0.223624565498325</v>
      </c>
      <c r="AWN7" s="7" t="n">
        <v>1.97547078880878</v>
      </c>
      <c r="AWO7" s="7" t="n">
        <v>-0.186628501516556</v>
      </c>
      <c r="AWP7" s="7" t="n">
        <v>-0.928332094818399</v>
      </c>
      <c r="AWQ7" s="7" t="n">
        <v>-0.893559560236768</v>
      </c>
      <c r="AWR7" s="7" t="n">
        <v>1.02369257204869</v>
      </c>
      <c r="AWS7" s="7" t="n">
        <v>0.0371173381175499</v>
      </c>
      <c r="AWT7" s="7" t="n">
        <v>-0.0357335848835931</v>
      </c>
      <c r="AWU7" s="7" t="n">
        <v>-0.796776885410282</v>
      </c>
      <c r="AWV7" s="7" t="n">
        <v>-0.391198028889777</v>
      </c>
      <c r="AWW7" s="7" t="n">
        <v>1.03393539512972</v>
      </c>
      <c r="AWX7" s="7" t="n">
        <v>1.08343303226423</v>
      </c>
      <c r="AWY7" s="7" t="n">
        <v>-0.131135219683152</v>
      </c>
      <c r="AWZ7" s="7" t="n">
        <v>-2.60785052436449</v>
      </c>
      <c r="AXA7" s="7" t="n">
        <v>-1.74858729660781</v>
      </c>
      <c r="AXB7" s="7" t="n">
        <v>-0.808728094876481</v>
      </c>
      <c r="AXC7" s="7" t="n">
        <v>-1.57541629349667</v>
      </c>
      <c r="AXD7" s="7" t="n">
        <v>0.39798450564165</v>
      </c>
      <c r="AXE7" s="7" t="n">
        <v>0.873588172660579</v>
      </c>
      <c r="AXF7" s="7" t="n">
        <v>1.23713949862292</v>
      </c>
      <c r="AXG7" s="7" t="n">
        <v>-1.7003645733215</v>
      </c>
      <c r="AXH7" s="7" t="n">
        <v>-0.140684678527699</v>
      </c>
      <c r="AXI7" s="7" t="n">
        <v>0.506969030761239</v>
      </c>
      <c r="AXJ7" s="7" t="n">
        <v>0.451529403692792</v>
      </c>
      <c r="AXK7" s="7" t="n">
        <v>-0.402510189668811</v>
      </c>
      <c r="AXL7" s="7" t="n">
        <v>3.15579467790216</v>
      </c>
      <c r="AXM7" s="7" t="n">
        <v>0.153052571549416</v>
      </c>
      <c r="AXN7" s="7" t="n">
        <v>0.190766112097033</v>
      </c>
      <c r="AXO7" s="7" t="n">
        <v>-0.450874659542533</v>
      </c>
      <c r="AXP7" s="7" t="n">
        <v>-0.12544503062631</v>
      </c>
      <c r="AXQ7" s="7" t="n">
        <v>0.145831088500932</v>
      </c>
      <c r="AXR7" s="7" t="n">
        <v>-0.373050657071503</v>
      </c>
      <c r="AXS7" s="7" t="n">
        <v>1.93206163935687</v>
      </c>
      <c r="AXT7" s="7" t="n">
        <v>-0.8722853406264089</v>
      </c>
      <c r="AXU7" s="7" t="n">
        <v>-0.0424707242890876</v>
      </c>
      <c r="AXV7" s="7" t="n">
        <v>0.159273499185112</v>
      </c>
      <c r="AXW7" s="7" t="n">
        <v>-0.0170609629915526</v>
      </c>
      <c r="AXX7" s="7" t="n">
        <v>-0.60611097263965</v>
      </c>
      <c r="AXY7" s="7" t="n">
        <v>0.488798101519623</v>
      </c>
      <c r="AXZ7" s="7" t="n">
        <v>0.146246606150849</v>
      </c>
      <c r="AYA7" s="7" t="n">
        <v>-0.939748152749822</v>
      </c>
      <c r="AYB7" s="7" t="n">
        <v>-0.441201770470898</v>
      </c>
      <c r="AYC7" s="7" t="n">
        <v>-0.471534062037897</v>
      </c>
      <c r="AYD7" s="7" t="n">
        <v>0.356221362235512</v>
      </c>
      <c r="AYE7" s="7" t="n">
        <v>0.0298280946581184</v>
      </c>
      <c r="AYF7" s="7" t="n">
        <v>0.838723145299618</v>
      </c>
      <c r="AYG7" s="7" t="n">
        <v>1.63275072884896</v>
      </c>
      <c r="AYH7" s="7" t="n">
        <v>-0.49248262568922</v>
      </c>
      <c r="AYI7" s="7" t="n">
        <v>-0.228893584105237</v>
      </c>
      <c r="AYJ7" s="7" t="n">
        <v>0.152801584285513</v>
      </c>
      <c r="AYK7" s="7" t="n">
        <v>0.483349582726771</v>
      </c>
      <c r="AYL7" s="7" t="n">
        <v>-0.461075622801556</v>
      </c>
      <c r="AYM7" s="7" t="n">
        <v>-0.8781103062929519</v>
      </c>
      <c r="AYN7" s="7" t="n">
        <v>-1.20636487252524</v>
      </c>
      <c r="AYO7" s="7" t="n">
        <v>0.433851726299881</v>
      </c>
      <c r="AYP7" s="7" t="n">
        <v>0.6559982602790611</v>
      </c>
      <c r="AYQ7" s="7" t="n">
        <v>-0.375442840236173</v>
      </c>
      <c r="AYR7" s="7" t="n">
        <v>0.652825241557929</v>
      </c>
      <c r="AYS7" s="7" t="n">
        <v>0.112918395225795</v>
      </c>
      <c r="AYT7" s="7" t="n">
        <v>0.315853814522107</v>
      </c>
      <c r="AYU7" s="7" t="n">
        <v>-0.340770654846699</v>
      </c>
      <c r="AYV7" s="7" t="n">
        <v>-1.08886879811245</v>
      </c>
      <c r="AYW7" s="7" t="n">
        <v>-0.0053493430620536</v>
      </c>
      <c r="AYX7" s="7" t="n">
        <v>0.549437837932887</v>
      </c>
      <c r="AYY7" s="7" t="n">
        <v>0.791492809069869</v>
      </c>
      <c r="AYZ7" s="7" t="n">
        <v>-0.234057100414305</v>
      </c>
      <c r="AZA7" s="7" t="n">
        <v>-0.784394331007979</v>
      </c>
      <c r="AZB7" s="7" t="n">
        <v>-2.20269752263679</v>
      </c>
      <c r="AZC7" s="7" t="n">
        <v>-0.317349088223106</v>
      </c>
      <c r="AZD7" s="7" t="n">
        <v>-3.29414366733391</v>
      </c>
      <c r="AZE7" s="7" t="n">
        <v>0.631998364849099</v>
      </c>
      <c r="AZF7" s="7" t="n">
        <v>0.204518541576414</v>
      </c>
      <c r="AZG7" s="7" t="n">
        <v>1.72331139741309</v>
      </c>
      <c r="AZH7" s="7" t="n">
        <v>0.639250939497603</v>
      </c>
      <c r="AZI7" s="7" t="n">
        <v>-0.607501263620195</v>
      </c>
      <c r="AZJ7" s="7" t="n">
        <v>1.11304417530525</v>
      </c>
      <c r="AZK7" s="7" t="n">
        <v>-0.558001154252554</v>
      </c>
      <c r="AZL7" s="7" t="n">
        <v>0.683068943158562</v>
      </c>
      <c r="AZM7" s="7" t="n">
        <v>0.597249491803548</v>
      </c>
      <c r="AZN7" s="7" t="n">
        <v>0.5286786061954289</v>
      </c>
      <c r="AZO7" s="7" t="n">
        <v>-0.164854712341147</v>
      </c>
      <c r="AZP7" s="7" t="n">
        <v>0.616030817075753</v>
      </c>
      <c r="AZQ7" s="7" t="n">
        <v>-0.665102508374449</v>
      </c>
      <c r="AZR7" s="7" t="n">
        <v>0.983361746187485</v>
      </c>
      <c r="AZS7" s="7" t="n">
        <v>-0.115631016534877</v>
      </c>
      <c r="AZT7" s="7" t="n">
        <v>-0.985862199910992</v>
      </c>
      <c r="AZU7" s="7" t="n">
        <v>-1.92420821213979</v>
      </c>
      <c r="AZV7" s="7" t="n">
        <v>-0.493177143231918</v>
      </c>
      <c r="AZW7" s="7" t="n">
        <v>-1.3359396638354</v>
      </c>
      <c r="AZX7" s="7" t="n">
        <v>0.104869883251426</v>
      </c>
      <c r="AZY7" s="7" t="n">
        <v>-0.349054336131833</v>
      </c>
      <c r="AZZ7" s="7" t="n">
        <v>0.0966428028628149</v>
      </c>
      <c r="BAA7" s="7" t="n">
        <v>-1.00460794835313</v>
      </c>
      <c r="BAB7" s="7" t="n">
        <v>1.56147183933922</v>
      </c>
      <c r="BAC7" s="7" t="n">
        <v>0.202294713233912</v>
      </c>
      <c r="BAD7" s="7" t="n">
        <v>0.110716090983264</v>
      </c>
      <c r="BAE7" s="7" t="n">
        <v>-0.316280045834926</v>
      </c>
      <c r="BAF7" s="7" t="n">
        <v>1.59868474552843</v>
      </c>
      <c r="BAG7" s="7" t="n">
        <v>-0.0427788537032456</v>
      </c>
      <c r="BAH7" s="7" t="n">
        <v>-0.654031443236318</v>
      </c>
      <c r="BAI7" s="7" t="n">
        <v>-0.598591390177706</v>
      </c>
      <c r="BAJ7" s="7" t="n">
        <v>-0.739808131301483</v>
      </c>
      <c r="BAK7" s="7" t="n">
        <v>1.75287038804089</v>
      </c>
      <c r="BAL7" s="7" t="n">
        <v>-0.366201455276118</v>
      </c>
      <c r="BAM7" s="7" t="n">
        <v>1.64476639381534</v>
      </c>
      <c r="BAN7" s="7" t="n">
        <v>1.45594862034779</v>
      </c>
      <c r="BAO7" s="7" t="n">
        <v>1.14626619786059</v>
      </c>
      <c r="BAP7" s="7" t="n">
        <v>-1.75058415051892</v>
      </c>
      <c r="BAQ7" s="7" t="n">
        <v>-0.507977035176107</v>
      </c>
      <c r="BAR7" s="7" t="n">
        <v>1.84448235407128</v>
      </c>
      <c r="BAS7" s="7" t="n">
        <v>-0.07131668620480849</v>
      </c>
      <c r="BAT7" s="7" t="n">
        <v>-1.0086678959855</v>
      </c>
      <c r="BAU7" s="7" t="n">
        <v>0.476477650319823</v>
      </c>
      <c r="BAV7" s="7" t="n">
        <v>1.41836703830274</v>
      </c>
      <c r="BAW7" s="7" t="n">
        <v>-0.90246829795336</v>
      </c>
      <c r="BAX7" s="7" t="n">
        <v>0.68478820362541</v>
      </c>
      <c r="BAY7" s="7" t="n">
        <v>0.0462540596246815</v>
      </c>
      <c r="BAZ7" s="7" t="n">
        <v>-0.221190566976288</v>
      </c>
      <c r="BBA7" s="7" t="n">
        <v>-0.758977612228106</v>
      </c>
      <c r="BBB7" s="7" t="n">
        <v>0.570932002400074</v>
      </c>
      <c r="BBC7" s="7" t="n">
        <v>1.17919950198002</v>
      </c>
      <c r="BBD7" s="7" t="n">
        <v>0.279854559995548</v>
      </c>
      <c r="BBE7" s="7" t="n">
        <v>-0.0080680898952394</v>
      </c>
      <c r="BBF7" s="7" t="n">
        <v>-0.749581655401394</v>
      </c>
      <c r="BBG7" s="7" t="n">
        <v>-1.13886996608227</v>
      </c>
      <c r="BBH7" s="7" t="n">
        <v>1.01690413790882</v>
      </c>
      <c r="BBI7" s="7" t="n">
        <v>1.74632578694869</v>
      </c>
      <c r="BBJ7" s="7" t="n">
        <v>-1.18945849057685</v>
      </c>
      <c r="BBK7" s="7" t="n">
        <v>0.848562830668</v>
      </c>
      <c r="BBL7" s="7" t="n">
        <v>-2.56195352381078</v>
      </c>
      <c r="BBM7" s="7" t="n">
        <v>-1.90852010020969</v>
      </c>
      <c r="BBN7" s="7" t="n">
        <v>1.58327615439767</v>
      </c>
      <c r="BBO7" s="7" t="n">
        <v>-0.193482785204052</v>
      </c>
      <c r="BBP7" s="7" t="n">
        <v>0.7964445389184009</v>
      </c>
      <c r="BBQ7" s="7" t="n">
        <v>-0.477149008498168</v>
      </c>
      <c r="BBR7" s="7" t="n">
        <v>0.110679068265352</v>
      </c>
      <c r="BBS7" s="7" t="n">
        <v>0.644599006884564</v>
      </c>
      <c r="BBT7" s="7" t="n">
        <v>-0.759503884237511</v>
      </c>
      <c r="BBU7" s="7" t="n">
        <v>-0.126333553936175</v>
      </c>
      <c r="BBV7" s="7" t="n">
        <v>-0.460989153440903</v>
      </c>
      <c r="BBW7" s="7" t="n">
        <v>0.282251139039057</v>
      </c>
      <c r="BBX7" s="7" t="n">
        <v>0.56555346442671</v>
      </c>
      <c r="BBY7" s="7" t="n">
        <v>3.0011498998221</v>
      </c>
      <c r="BBZ7" s="7" t="n">
        <v>0.781241450154354</v>
      </c>
      <c r="BCA7" s="7" t="n">
        <v>0.672136286831355</v>
      </c>
      <c r="BCB7" s="7" t="n">
        <v>0.518073968188432</v>
      </c>
      <c r="BCC7" s="7" t="n">
        <v>0.104585771330561</v>
      </c>
      <c r="BCD7" s="7" t="n">
        <v>1.76003575635946</v>
      </c>
      <c r="BCE7" s="7" t="n">
        <v>0.0608863672324206</v>
      </c>
      <c r="BCF7" s="7" t="n">
        <v>-0.585568119231045</v>
      </c>
      <c r="BCG7" s="7" t="n">
        <v>-0.802202785601719</v>
      </c>
      <c r="BCH7" s="7" t="n">
        <v>-1.87498898810583</v>
      </c>
      <c r="BCI7" s="7" t="n">
        <v>0.394382754007275</v>
      </c>
      <c r="BCJ7" s="7" t="n">
        <v>0.200460370073545</v>
      </c>
      <c r="BCK7" s="7" t="n">
        <v>-0.0729792292035765</v>
      </c>
      <c r="BCL7" s="7" t="n">
        <v>0.8438730400519781</v>
      </c>
      <c r="BCM7" s="7" t="n">
        <v>1.29080239671287</v>
      </c>
      <c r="BCN7" s="7" t="n">
        <v>-0.939756802020524</v>
      </c>
      <c r="BCO7" s="7" t="n">
        <v>0.72471038256396</v>
      </c>
      <c r="BCP7" s="7" t="n">
        <v>0.424389928257071</v>
      </c>
      <c r="BCQ7" s="7" t="n">
        <v>0.800534096082945</v>
      </c>
      <c r="BCR7" s="7" t="n">
        <v>-1.12590939787564</v>
      </c>
      <c r="BCS7" s="7" t="n">
        <v>-0.4140146311441</v>
      </c>
      <c r="BCT7" s="7" t="n">
        <v>0.505365185374135</v>
      </c>
      <c r="BCU7" s="7" t="n">
        <v>1.05355100402199</v>
      </c>
      <c r="BCV7" s="7" t="n">
        <v>0.364430290536048</v>
      </c>
      <c r="BCW7" s="7" t="n">
        <v>0.472894253984976</v>
      </c>
      <c r="BCX7" s="7" t="n">
        <v>0.329805843806551</v>
      </c>
      <c r="BCY7" s="7" t="n">
        <v>0.239138838805333</v>
      </c>
      <c r="BCZ7" s="7" t="n">
        <v>-0.468010220823692</v>
      </c>
      <c r="BDA7" s="7" t="n">
        <v>0.713144798176862</v>
      </c>
      <c r="BDB7" s="7" t="n">
        <v>0.263665292843069</v>
      </c>
      <c r="BDC7" s="7" t="n">
        <v>1.12523551481031</v>
      </c>
      <c r="BDD7" s="7" t="n">
        <v>1.15693813290537</v>
      </c>
      <c r="BDE7" s="7" t="n">
        <v>0.146239232188027</v>
      </c>
      <c r="BDF7" s="7" t="n">
        <v>-0.950263700054103</v>
      </c>
      <c r="BDG7" s="7" t="n">
        <v>0.685417700746914</v>
      </c>
      <c r="BDH7" s="7" t="n">
        <v>-0.55245700014141</v>
      </c>
      <c r="BDI7" s="7" t="n">
        <v>0.625859813470575</v>
      </c>
      <c r="BDJ7" s="7" t="n">
        <v>-0.415063769385587</v>
      </c>
      <c r="BDK7" s="7" t="n">
        <v>-1.58515464255181</v>
      </c>
      <c r="BDL7" s="7" t="n">
        <v>0.6922599086532359</v>
      </c>
      <c r="BDM7" s="7" t="n">
        <v>-1.50728107515919</v>
      </c>
      <c r="BDN7" s="7" t="n">
        <v>-0.374549755224563</v>
      </c>
      <c r="BDO7" s="7" t="n">
        <v>0.390334105580139</v>
      </c>
      <c r="BDP7" s="7" t="n">
        <v>-1.68543109338302</v>
      </c>
      <c r="BDQ7" s="7" t="n">
        <v>0.33650233475126</v>
      </c>
      <c r="BDR7" s="7" t="n">
        <v>-0.55590988714157</v>
      </c>
      <c r="BDS7" s="7" t="n">
        <v>-1.26238889177256</v>
      </c>
      <c r="BDT7" s="7" t="n">
        <v>1.35396361296198</v>
      </c>
      <c r="BDU7" s="7" t="n">
        <v>0.699098430542809</v>
      </c>
      <c r="BDV7" s="7" t="n">
        <v>1.64985668292359</v>
      </c>
      <c r="BDW7" s="7" t="n">
        <v>2.24155673985787</v>
      </c>
      <c r="BDX7" s="7" t="n">
        <v>1.21699715157277</v>
      </c>
      <c r="BDY7" s="7" t="n">
        <v>0.0125951450581251</v>
      </c>
      <c r="BDZ7" s="7" t="n">
        <v>-0.770503882060442</v>
      </c>
      <c r="BEA7" s="7" t="n">
        <v>0.468749059733266</v>
      </c>
      <c r="BEB7" s="7" t="n">
        <v>-0.741496936303341</v>
      </c>
      <c r="BEC7" s="7" t="n">
        <v>0.46799218032936</v>
      </c>
      <c r="BED7" s="7" t="n">
        <v>0.0356225617780752</v>
      </c>
      <c r="BEE7" s="7" t="n">
        <v>0.203739318593008</v>
      </c>
      <c r="BEF7" s="7" t="n">
        <v>-0.181534902202451</v>
      </c>
      <c r="BEG7" s="7" t="n">
        <v>-0.118605300364629</v>
      </c>
      <c r="BEH7" s="7" t="n">
        <v>1.5833055568995</v>
      </c>
      <c r="BEI7" s="7" t="n">
        <v>0.134891636819346</v>
      </c>
      <c r="BEJ7" s="7" t="n">
        <v>0.329970034153461</v>
      </c>
      <c r="BEK7" s="7" t="n">
        <v>0.621817468279427</v>
      </c>
      <c r="BEL7" s="7" t="n">
        <v>-0.807196494036987</v>
      </c>
      <c r="BEM7" s="7" t="n">
        <v>-0.0626216367571806</v>
      </c>
      <c r="BEN7" s="7" t="n">
        <v>1.31779801204795</v>
      </c>
      <c r="BEO7" s="7" t="n">
        <v>1.07123134992299</v>
      </c>
      <c r="BEP7" s="7" t="n">
        <v>1.67092273007993</v>
      </c>
      <c r="BEQ7" s="7" t="n">
        <v>-0.749375089763848</v>
      </c>
      <c r="BER7" s="7" t="n">
        <v>-1.7044888289053</v>
      </c>
      <c r="BES7" s="7" t="n">
        <v>0.958340718523338</v>
      </c>
      <c r="BET7" s="7" t="n">
        <v>0.276016294638583</v>
      </c>
      <c r="BEU7" s="7" t="n">
        <v>-0.600026910833568</v>
      </c>
      <c r="BEV7" s="7" t="n">
        <v>0.551664736345212</v>
      </c>
      <c r="BEW7" s="7" t="n">
        <v>-0.451004042169848</v>
      </c>
      <c r="BEX7" s="7" t="n">
        <v>-0.657900471011544</v>
      </c>
      <c r="BEY7" s="7" t="n">
        <v>-0.0644637854662696</v>
      </c>
      <c r="BEZ7" s="7" t="n">
        <v>0.0541916878626158</v>
      </c>
      <c r="BFA7" s="7" t="n">
        <v>0.275870985651241</v>
      </c>
      <c r="BFB7" s="7" t="n">
        <v>-0.644856066200632</v>
      </c>
      <c r="BFC7" s="7" t="n">
        <v>-0.569953489796978</v>
      </c>
      <c r="BFD7" s="7" t="n">
        <v>0.967846444488458</v>
      </c>
      <c r="BFE7" s="7" t="n">
        <v>0.8692064330170181</v>
      </c>
      <c r="BFF7" s="7" t="n">
        <v>0.500405222075103</v>
      </c>
      <c r="BFG7" s="7" t="n">
        <v>-0.437800298198614</v>
      </c>
      <c r="BFH7" s="7" t="n">
        <v>-0.149570724929902</v>
      </c>
      <c r="BFI7" s="7" t="n">
        <v>-0.318649431378368</v>
      </c>
      <c r="BFJ7" s="7" t="n">
        <v>1.0405575727798</v>
      </c>
      <c r="BFK7" s="7" t="n">
        <v>0.305377101733357</v>
      </c>
      <c r="BFL7" s="7" t="n">
        <v>0.144368374942507</v>
      </c>
      <c r="BFM7" s="7" t="n">
        <v>-0.36447126335751</v>
      </c>
      <c r="BFN7" s="7" t="n">
        <v>0.659438309748925</v>
      </c>
      <c r="BFO7" s="7" t="n">
        <v>1.44402773288088</v>
      </c>
      <c r="BFP7" s="7" t="n">
        <v>0.315088851864952</v>
      </c>
      <c r="BFQ7" s="7" t="n">
        <v>-1.4489431434685</v>
      </c>
      <c r="BFR7" s="7" t="n">
        <v>0.09284900120882519</v>
      </c>
      <c r="BFS7" s="7" t="n">
        <v>-1.0409320462605</v>
      </c>
      <c r="BFT7" s="7" t="n">
        <v>-1.61999976520251</v>
      </c>
      <c r="BFU7" s="7" t="n">
        <v>-0.501926958031753</v>
      </c>
      <c r="BFV7" s="7" t="n">
        <v>0.758012488161807</v>
      </c>
      <c r="BFW7" s="7" t="n">
        <v>-0.881075955985306</v>
      </c>
      <c r="BFX7" s="7" t="n">
        <v>0.997511815936359</v>
      </c>
      <c r="BFY7" s="7" t="n">
        <v>-1.00299890006661</v>
      </c>
      <c r="BFZ7" s="7" t="n">
        <v>0.55503773600729</v>
      </c>
      <c r="BGA7" s="7" t="n">
        <v>2.05399675166925</v>
      </c>
      <c r="BGB7" s="7" t="n">
        <v>-0.414795030281968</v>
      </c>
      <c r="BGC7" s="7" t="n">
        <v>1.61996024531536</v>
      </c>
      <c r="BGD7" s="7" t="n">
        <v>1.24845746970043</v>
      </c>
      <c r="BGE7" s="7" t="n">
        <v>-0.368295051216541</v>
      </c>
      <c r="BGF7" s="7" t="n">
        <v>-1.03497523921738</v>
      </c>
      <c r="BGG7" s="7" t="n">
        <v>0.923147122111495</v>
      </c>
      <c r="BGH7" s="7" t="n">
        <v>0.473335021632187</v>
      </c>
      <c r="BGI7" s="7" t="n">
        <v>-0.209162007347616</v>
      </c>
      <c r="BGJ7" s="7" t="n">
        <v>0.252081372043316</v>
      </c>
      <c r="BGK7" s="7" t="n">
        <v>-0.591681992115927</v>
      </c>
      <c r="BGL7" s="7" t="n">
        <v>0.379289297164104</v>
      </c>
      <c r="BGM7" s="7" t="n">
        <v>-1.64755345377761</v>
      </c>
      <c r="BGN7" s="7" t="n">
        <v>-1.47809833382307</v>
      </c>
      <c r="BGO7" s="7" t="n">
        <v>0.581975764290848</v>
      </c>
      <c r="BGP7" s="7" t="n">
        <v>-0.279302321741866</v>
      </c>
      <c r="BGQ7" s="7" t="n">
        <v>-0.5610293823735349</v>
      </c>
      <c r="BGR7" s="7" t="n">
        <v>1.19419998158617</v>
      </c>
      <c r="BGS7" s="7" t="n">
        <v>-0.542481302269909</v>
      </c>
      <c r="BGT7" s="7" t="n">
        <v>1.9680407340497</v>
      </c>
      <c r="BGU7" s="7" t="n">
        <v>0.71986483996828</v>
      </c>
      <c r="BGV7" s="7" t="n">
        <v>-0.449451779321064</v>
      </c>
      <c r="BGW7" s="7" t="n">
        <v>-1.99825392048222</v>
      </c>
      <c r="BGX7" s="7" t="n">
        <v>1.45033128319106</v>
      </c>
      <c r="BGY7" s="7" t="n">
        <v>0.178918042331847</v>
      </c>
      <c r="BGZ7" s="7" t="n">
        <v>-0.661699207815623</v>
      </c>
      <c r="BHA7" s="7" t="n">
        <v>-0.178799226104078</v>
      </c>
      <c r="BHB7" s="7" t="n">
        <v>-0.244646597003664</v>
      </c>
      <c r="BHC7" s="7" t="n">
        <v>0.624344235123518</v>
      </c>
      <c r="BHD7" s="7" t="n">
        <v>0.295421408323522</v>
      </c>
      <c r="BHE7" s="7" t="n">
        <v>-1.06300516541948</v>
      </c>
      <c r="BHF7" s="7" t="n">
        <v>-0.457708835224902</v>
      </c>
      <c r="BHG7" s="7" t="n">
        <v>-1.57941134541383</v>
      </c>
      <c r="BHH7" s="7" t="n">
        <v>-1.27912567894168</v>
      </c>
      <c r="BHI7" s="7" t="n">
        <v>-0.334528215544492</v>
      </c>
      <c r="BHJ7" s="7" t="n">
        <v>-0.903810946514171</v>
      </c>
      <c r="BHK7" s="7" t="n">
        <v>0.619179765932848</v>
      </c>
      <c r="BHL7" s="7" t="n">
        <v>1.48715209712825</v>
      </c>
      <c r="BHM7" s="7" t="n">
        <v>-0.131208865396372</v>
      </c>
      <c r="BHN7" s="7" t="n">
        <v>0.354754801674033</v>
      </c>
      <c r="BHO7" s="7" t="n">
        <v>-0.565028495279731</v>
      </c>
      <c r="BHP7" s="7" t="n">
        <v>-0.409391296868057</v>
      </c>
      <c r="BHQ7" s="7" t="n">
        <v>-0.942526031259706</v>
      </c>
      <c r="BHR7" s="7" t="n">
        <v>1.24895376818391</v>
      </c>
      <c r="BHS7" s="7" t="n">
        <v>-1.32198478649565</v>
      </c>
      <c r="BHT7" s="7" t="n">
        <v>0.189407043813936</v>
      </c>
      <c r="BHU7" s="7" t="n">
        <v>1.97585475055576</v>
      </c>
      <c r="BHV7" s="7" t="n">
        <v>-0.517986823087709</v>
      </c>
      <c r="BHW7" s="7" t="n">
        <v>-1.07280468213697</v>
      </c>
      <c r="BHX7" s="7" t="n">
        <v>0.603180435060695</v>
      </c>
      <c r="BHY7" s="7" t="n">
        <v>-2.58803903812264</v>
      </c>
      <c r="BHZ7" s="7" t="n">
        <v>-0.09289844941780261</v>
      </c>
      <c r="BIA7" s="7" t="n">
        <v>0.507654573453491</v>
      </c>
      <c r="BIB7" s="7" t="n">
        <v>1.01412467378309</v>
      </c>
      <c r="BIC7" s="7" t="n">
        <v>-0.115853445667194</v>
      </c>
      <c r="BID7" s="7" t="n">
        <v>-1.5129939744231</v>
      </c>
      <c r="BIE7" s="7" t="n">
        <v>0.785112363967002</v>
      </c>
      <c r="BIF7" s="7" t="n">
        <v>-0.0695231359331803</v>
      </c>
      <c r="BIG7" s="7" t="n">
        <v>-0.47564269298849</v>
      </c>
      <c r="BIH7" s="7" t="n">
        <v>1.26343751881366</v>
      </c>
      <c r="BII7" s="7" t="n">
        <v>0.461768261111938</v>
      </c>
      <c r="BIJ7" s="7" t="n">
        <v>1.86118013359514</v>
      </c>
      <c r="BIK7" s="7" t="n">
        <v>0.0022789650317505</v>
      </c>
      <c r="BIL7" s="7" t="n">
        <v>-0.3717180395642</v>
      </c>
      <c r="BIM7" s="7" t="n">
        <v>0.621233942056682</v>
      </c>
      <c r="BIN7" s="7" t="n">
        <v>1.5447871673168</v>
      </c>
      <c r="BIO7" s="7" t="n">
        <v>0.7759932982887831</v>
      </c>
      <c r="BIP7" s="7" t="n">
        <v>1.11733092510535</v>
      </c>
      <c r="BIQ7" s="7" t="n">
        <v>-0.302445908440577</v>
      </c>
      <c r="BIR7" s="7" t="n">
        <v>-0.232316439051671</v>
      </c>
      <c r="BIS7" s="7" t="n">
        <v>-1.55303022906105</v>
      </c>
      <c r="BIT7" s="7" t="n">
        <v>-0.0130994006006678</v>
      </c>
      <c r="BIU7" s="7" t="n">
        <v>-1.13029931496377</v>
      </c>
      <c r="BIV7" s="7" t="n">
        <v>-1.45032020046111</v>
      </c>
      <c r="BIW7" s="7" t="n">
        <v>1.03252056535149</v>
      </c>
      <c r="BIX7" s="7" t="n">
        <v>2.15609847699417</v>
      </c>
      <c r="BIY7" s="7" t="n">
        <v>-0.813880547797478</v>
      </c>
      <c r="BIZ7" s="7" t="n">
        <v>0.33582675685482</v>
      </c>
      <c r="BJA7" s="7" t="n">
        <v>-0.189238089693023</v>
      </c>
      <c r="BJB7" s="7" t="n">
        <v>-0.6908126930897029</v>
      </c>
      <c r="BJC7" s="7" t="n">
        <v>0.150906375175909</v>
      </c>
      <c r="BJD7" s="7" t="n">
        <v>0.517785525060473</v>
      </c>
      <c r="BJE7" s="7" t="n">
        <v>1.83597665132175</v>
      </c>
      <c r="BJF7" s="7" t="n">
        <v>0.924330288289698</v>
      </c>
      <c r="BJG7" s="7" t="n">
        <v>-0.171654211282856</v>
      </c>
      <c r="BJH7" s="7" t="n">
        <v>-0.491091546023704</v>
      </c>
      <c r="BJI7" s="7" t="n">
        <v>-0.261629914104925</v>
      </c>
      <c r="BJJ7" s="7" t="n">
        <v>0.277829139840626</v>
      </c>
      <c r="BJK7" s="7" t="n">
        <v>0.30838857336826</v>
      </c>
      <c r="BJL7" s="7" t="n">
        <v>-0.219548975784588</v>
      </c>
      <c r="BJM7" s="7" t="n">
        <v>-0.118347678115578</v>
      </c>
      <c r="BJN7" s="7" t="n">
        <v>-1.26615101633738</v>
      </c>
      <c r="BJO7" s="7" t="n">
        <v>-1.2192715355738</v>
      </c>
      <c r="BJP7" s="7" t="n">
        <v>0.833081493673124</v>
      </c>
      <c r="BJQ7" s="7" t="n">
        <v>-1.05129221555867</v>
      </c>
      <c r="BJR7" s="7" t="n">
        <v>1.27930600624418</v>
      </c>
      <c r="BJS7" s="7" t="n">
        <v>0.732062985069495</v>
      </c>
      <c r="BJT7" s="7" t="n">
        <v>0.756052029526538</v>
      </c>
      <c r="BJU7" s="7" t="n">
        <v>1.29439047768931</v>
      </c>
      <c r="BJV7" s="7" t="n">
        <v>1.03673111466265</v>
      </c>
      <c r="BJW7" s="7" t="n">
        <v>0.935878487123473</v>
      </c>
      <c r="BJX7" s="7" t="n">
        <v>0.0280914483610062</v>
      </c>
      <c r="BJY7" s="7" t="n">
        <v>0.445825215877538</v>
      </c>
      <c r="BJZ7" s="7" t="n">
        <v>-0.713615398171099</v>
      </c>
      <c r="BKA7" s="7" t="n">
        <v>-1.50724731921094</v>
      </c>
      <c r="BKB7" s="7" t="n">
        <v>0.925476375317134</v>
      </c>
      <c r="BKC7" s="7" t="n">
        <v>-1.58142979618829</v>
      </c>
      <c r="BKD7" s="7" t="n">
        <v>-1.48103217664276</v>
      </c>
      <c r="BKE7" s="7" t="n">
        <v>-0.132615547461937</v>
      </c>
      <c r="BKF7" s="7" t="n">
        <v>-1.13500539179153</v>
      </c>
      <c r="BKG7" s="7" t="n">
        <v>1.49032371433665</v>
      </c>
      <c r="BKH7" s="7" t="n">
        <v>-1.79632187301663</v>
      </c>
      <c r="BKI7" s="7" t="n">
        <v>-0.535666239608399</v>
      </c>
      <c r="BKJ7" s="7" t="n">
        <v>-0.762523838855434</v>
      </c>
      <c r="BKK7" s="7" t="n">
        <v>0.262838746031494</v>
      </c>
      <c r="BKL7" s="7" t="n">
        <v>-0.478004043794204</v>
      </c>
      <c r="BKM7" s="7" t="n">
        <v>1.98597040939522</v>
      </c>
      <c r="BKN7" s="7" t="n">
        <v>0.109835128367163</v>
      </c>
      <c r="BKO7" s="7" t="n">
        <v>0.575028185059212</v>
      </c>
      <c r="BKP7" s="7" t="n">
        <v>0.256602751003249</v>
      </c>
      <c r="BKQ7" s="7" t="n">
        <v>0.870086147407363</v>
      </c>
      <c r="BKR7" s="7" t="n">
        <v>-2.21778024980145</v>
      </c>
      <c r="BKS7" s="7" t="n">
        <v>-1.2072022383423</v>
      </c>
      <c r="BKT7" s="7" t="n">
        <v>-0.263865295204012</v>
      </c>
      <c r="BKU7" s="7" t="n">
        <v>0.81481087704241</v>
      </c>
      <c r="BKV7" s="7" t="n">
        <v>0.121627234677008</v>
      </c>
      <c r="BKW7" s="7" t="n">
        <v>-1.6742686815743</v>
      </c>
      <c r="BKX7" s="7" t="n">
        <v>1.26106193573243</v>
      </c>
      <c r="BKY7" s="7" t="n">
        <v>1.11518259450088</v>
      </c>
      <c r="BKZ7" s="7" t="n">
        <v>0.235651994641726</v>
      </c>
      <c r="BLA7" s="7" t="n">
        <v>0.990511568294452</v>
      </c>
      <c r="BLB7" s="7" t="n">
        <v>-1.08050418043764</v>
      </c>
      <c r="BLC7" s="7" t="n">
        <v>-0.760677074941617</v>
      </c>
      <c r="BLD7" s="7" t="n">
        <v>1.72917087105862</v>
      </c>
      <c r="BLE7" s="7" t="n">
        <v>0.342180218249476</v>
      </c>
      <c r="BLF7" s="7" t="n">
        <v>-0.866080196237355</v>
      </c>
      <c r="BLG7" s="7" t="n">
        <v>2.66224687814253</v>
      </c>
      <c r="BLH7" s="7" t="n">
        <v>1.24237674914165</v>
      </c>
      <c r="BLI7" s="7" t="n">
        <v>-1.90906072548494</v>
      </c>
      <c r="BLJ7" s="7" t="n">
        <v>-1.15005076373277</v>
      </c>
      <c r="BLK7" s="7" t="n">
        <v>-0.292686740241979</v>
      </c>
      <c r="BLL7" s="7" t="n">
        <v>0.187724135688368</v>
      </c>
      <c r="BLM7" s="7" t="n">
        <v>0.689610375854449</v>
      </c>
      <c r="BLN7" s="7" t="n">
        <v>0.694049662666394</v>
      </c>
      <c r="BLO7" s="7" t="n">
        <v>-0.748597530934174</v>
      </c>
      <c r="BLP7" s="7" t="n">
        <v>0.313245936463529</v>
      </c>
      <c r="BLQ7" s="7" t="n">
        <v>0.858774711444218</v>
      </c>
      <c r="BLR7" s="7" t="n">
        <v>0.480464858691811</v>
      </c>
      <c r="BLS7" s="7" t="n">
        <v>1.47635112180941</v>
      </c>
      <c r="BLT7" s="7" t="n">
        <v>-1.12622528948754</v>
      </c>
      <c r="BLU7" s="7" t="n">
        <v>-1.0975632974743</v>
      </c>
      <c r="BLV7" s="7" t="n">
        <v>-0.820128766822644</v>
      </c>
      <c r="BLW7" s="7" t="n">
        <v>0.122748751890572</v>
      </c>
      <c r="BLX7" s="7" t="n">
        <v>-0.527645438157376</v>
      </c>
      <c r="BLY7" s="7" t="n">
        <v>-1.1127968969611</v>
      </c>
      <c r="BLZ7" s="7" t="n">
        <v>0.876932324671397</v>
      </c>
      <c r="BMA7" s="7" t="n">
        <v>0.0269904526689777</v>
      </c>
      <c r="BMB7" s="7" t="n">
        <v>0.306612586520273</v>
      </c>
      <c r="BMC7" s="7" t="n">
        <v>-0.535736708451487</v>
      </c>
      <c r="BMD7" s="7" t="n">
        <v>-0.395931907106934</v>
      </c>
      <c r="BME7" s="7" t="n">
        <v>0.608505551240668</v>
      </c>
      <c r="BMF7" s="7" t="n">
        <v>-0.879950184781396</v>
      </c>
      <c r="BMG7" s="7" t="n">
        <v>-1.53675750422738</v>
      </c>
      <c r="BMH7" s="7" t="n">
        <v>0.729134497323766</v>
      </c>
      <c r="BMI7" s="7" t="n">
        <v>0.520016877684646</v>
      </c>
      <c r="BMJ7" s="7" t="n">
        <v>0.153262715126974</v>
      </c>
      <c r="BMK7" s="7" t="n">
        <v>0.418410354154227</v>
      </c>
      <c r="BML7" s="7" t="n">
        <v>-0.590273239031199</v>
      </c>
      <c r="BMM7" s="7" t="n">
        <v>1.45942692414507</v>
      </c>
      <c r="BMN7" s="7" t="n">
        <v>-0.860136587792821</v>
      </c>
      <c r="BMO7" s="7" t="n">
        <v>0.181650166166859</v>
      </c>
      <c r="BMP7" s="7" t="n">
        <v>-0.945140339761849</v>
      </c>
      <c r="BMQ7" s="7" t="n">
        <v>1.02191035160509</v>
      </c>
      <c r="BMR7" s="7" t="n">
        <v>-0.0480809532344561</v>
      </c>
      <c r="BMS7" s="7" t="n">
        <v>1.11252260998856</v>
      </c>
      <c r="BMT7" s="7" t="n">
        <v>0.0109029495106557</v>
      </c>
      <c r="BMU7" s="7" t="n">
        <v>-2.02521451798257</v>
      </c>
      <c r="BMV7" s="7" t="n">
        <v>1.31875307410699</v>
      </c>
      <c r="BMW7" s="7" t="n">
        <v>-0.354115827934924</v>
      </c>
      <c r="BMX7" s="7" t="n">
        <v>0.67421937418929</v>
      </c>
      <c r="BMY7" s="7" t="n">
        <v>-2.44437967966735</v>
      </c>
      <c r="BMZ7" s="7" t="n">
        <v>-1.94799974976984</v>
      </c>
      <c r="BNA7" s="7" t="n">
        <v>-0.191602480515126</v>
      </c>
      <c r="BNB7" s="7" t="n">
        <v>0.630087627896987</v>
      </c>
      <c r="BNC7" s="7" t="n">
        <v>-0.824332095973498</v>
      </c>
      <c r="BND7" s="7" t="n">
        <v>-0.61701739597991</v>
      </c>
      <c r="BNE7" s="7" t="n">
        <v>0.403446063158552</v>
      </c>
      <c r="BNF7" s="7" t="n">
        <v>-1.12754528148177</v>
      </c>
      <c r="BNG7" s="7" t="n">
        <v>-1.28900498032349</v>
      </c>
      <c r="BNH7" s="7" t="n">
        <v>-1.06688153532322</v>
      </c>
      <c r="BNI7" s="7" t="n">
        <v>1.46826208822207</v>
      </c>
      <c r="BNJ7" s="7" t="n">
        <v>-0.12518783212341</v>
      </c>
      <c r="BNK7" s="7" t="n">
        <v>0.720612780437337</v>
      </c>
      <c r="BNL7" s="7" t="n">
        <v>0.256639400093765</v>
      </c>
      <c r="BNM7" s="7" t="n">
        <v>0.0163392273338416</v>
      </c>
      <c r="BNN7" s="7" t="n">
        <v>0.841890948794025</v>
      </c>
      <c r="BNO7" s="7" t="n">
        <v>0.219927845269725</v>
      </c>
      <c r="BNP7" s="7" t="n">
        <v>-0.485063326577416</v>
      </c>
      <c r="BNQ7" s="7" t="n">
        <v>-1.4441186772626</v>
      </c>
      <c r="BNR7" s="7" t="n">
        <v>1.48444903084695</v>
      </c>
      <c r="BNS7" s="7" t="n">
        <v>-2.20911770380616</v>
      </c>
      <c r="BNT7" s="7" t="n">
        <v>1.29843996197784</v>
      </c>
      <c r="BNU7" s="7" t="n">
        <v>-0.0162534548956067</v>
      </c>
      <c r="BNV7" s="7" t="n">
        <v>-1.51325117340068</v>
      </c>
      <c r="BNW7" s="7" t="n">
        <v>1.21814506922544</v>
      </c>
      <c r="BNX7" s="7" t="n">
        <v>2.67864250133867</v>
      </c>
      <c r="BNY7" s="7" t="n">
        <v>-0.299042253629011</v>
      </c>
      <c r="BNZ7" s="7" t="n">
        <v>-0.940152258709148</v>
      </c>
      <c r="BOA7" s="7" t="n">
        <v>-0.892562444911993</v>
      </c>
      <c r="BOB7" s="7" t="n">
        <v>-0.0204246432995788</v>
      </c>
      <c r="BOC7" s="7" t="n">
        <v>-0.634415205186769</v>
      </c>
      <c r="BOD7" s="7" t="n">
        <v>-2.17554067191747</v>
      </c>
      <c r="BOE7" s="7" t="n">
        <v>-1.16740121110767</v>
      </c>
      <c r="BOF7" s="7" t="n">
        <v>-0.849586599819001</v>
      </c>
      <c r="BOG7" s="7" t="n">
        <v>-1.0016929828669</v>
      </c>
      <c r="BOH7" s="7" t="n">
        <v>-1.78331096305541</v>
      </c>
      <c r="BOI7" s="7" t="n">
        <v>1.05921342772559</v>
      </c>
      <c r="BOJ7" s="7" t="n">
        <v>-0.437939853392551</v>
      </c>
      <c r="BOK7" s="7" t="n">
        <v>-1.44166729413546</v>
      </c>
      <c r="BOL7" s="7" t="n">
        <v>0.503133763202445</v>
      </c>
      <c r="BOM7" s="7" t="n">
        <v>-0.71856443055553</v>
      </c>
      <c r="BON7" s="7" t="n">
        <v>1.05432409486607</v>
      </c>
      <c r="BOO7" s="7" t="n">
        <v>0.801537003807606</v>
      </c>
      <c r="BOP7" s="7" t="n">
        <v>-0.193283277150125</v>
      </c>
      <c r="BOQ7" s="7" t="n">
        <v>-0.220320204985722</v>
      </c>
      <c r="BOR7" s="7" t="n">
        <v>-0.692035062000961</v>
      </c>
      <c r="BOS7" s="7" t="n">
        <v>0.278076786635529</v>
      </c>
      <c r="BOT7" s="7" t="n">
        <v>0.80677256027763</v>
      </c>
      <c r="BOU7" s="7" t="n">
        <v>1.32175663490609</v>
      </c>
      <c r="BOV7" s="7" t="n">
        <v>0.0692982725751226</v>
      </c>
      <c r="BOW7" s="7" t="n">
        <v>-0.254159868718396</v>
      </c>
      <c r="BOX7" s="7" t="n">
        <v>0.122217629486303</v>
      </c>
      <c r="BOY7" s="7" t="n">
        <v>3.17937225798957</v>
      </c>
      <c r="BOZ7" s="7" t="n">
        <v>0.205400587884272</v>
      </c>
      <c r="BPA7" s="7" t="n">
        <v>0.835876100748399</v>
      </c>
      <c r="BPB7" s="7" t="n">
        <v>0.69341117806922</v>
      </c>
      <c r="BPC7" s="7" t="n">
        <v>0.141153404489616</v>
      </c>
      <c r="BPD7" s="7" t="n">
        <v>-0.548030280029618</v>
      </c>
      <c r="BPE7" s="7" t="n">
        <v>0.947843127959489</v>
      </c>
      <c r="BPF7" s="7" t="n">
        <v>-0.347404845093118</v>
      </c>
      <c r="BPG7" s="7" t="n">
        <v>-0.772468274510932</v>
      </c>
      <c r="BPH7" s="7" t="n">
        <v>0.151606243336486</v>
      </c>
      <c r="BPI7" s="7" t="n">
        <v>0.446253929482185</v>
      </c>
      <c r="BPJ7" s="7" t="n">
        <v>0.28895336129641</v>
      </c>
      <c r="BPK7" s="7" t="n">
        <v>-1.19184924146122</v>
      </c>
      <c r="BPL7" s="7" t="n">
        <v>0.755394813674473</v>
      </c>
      <c r="BPM7" s="7" t="n">
        <v>0.284913456761326</v>
      </c>
      <c r="BPN7" s="7" t="n">
        <v>-0.282711603211473</v>
      </c>
      <c r="BPO7" s="7" t="n">
        <v>-0.246108368400573</v>
      </c>
      <c r="BPP7" s="7" t="n">
        <v>0.308922151303171</v>
      </c>
      <c r="BPQ7" s="7" t="n">
        <v>-2.01917480945864</v>
      </c>
      <c r="BPR7" s="7" t="n">
        <v>-0.693182952577341</v>
      </c>
      <c r="BPS7" s="7" t="n">
        <v>-1.51073247783877</v>
      </c>
      <c r="BPT7" s="7" t="n">
        <v>0.36206828163814</v>
      </c>
      <c r="BPU7" s="7" t="n">
        <v>1.55714583464538</v>
      </c>
      <c r="BPV7" s="7" t="n">
        <v>0.496213800748203</v>
      </c>
      <c r="BPW7" s="7" t="n">
        <v>0.703713540204818</v>
      </c>
      <c r="BPX7" s="7" t="n">
        <v>-1.22366709325434</v>
      </c>
      <c r="BPY7" s="7" t="n">
        <v>0.99372900328248</v>
      </c>
      <c r="BPZ7" s="7" t="n">
        <v>0.461024452095918</v>
      </c>
      <c r="BQA7" s="7" t="n">
        <v>-0.758296465962262</v>
      </c>
      <c r="BQB7" s="7" t="n">
        <v>0.507195853108013</v>
      </c>
      <c r="BQC7" s="7" t="n">
        <v>-0.32992153436158</v>
      </c>
      <c r="BQD7" s="7" t="n">
        <v>-1.49010908536148</v>
      </c>
      <c r="BQE7" s="7" t="n">
        <v>-1.59727925260528</v>
      </c>
      <c r="BQF7" s="7" t="n">
        <v>0.800819556471561</v>
      </c>
      <c r="BQG7" s="7" t="n">
        <v>-1.52783090054246</v>
      </c>
      <c r="BQH7" s="7" t="n">
        <v>-0.328225537410827</v>
      </c>
    </row>
    <row r="8">
      <c r="A8" s="7" t="n">
        <v>6</v>
      </c>
      <c r="B8" s="7" t="n">
        <v>-1.227932846905</v>
      </c>
      <c r="C8" s="7" t="n">
        <v>0.138645152670353</v>
      </c>
      <c r="D8" s="7" t="n">
        <v>1.2081499657618</v>
      </c>
      <c r="E8" s="7" t="n">
        <v>-0.977277345793607</v>
      </c>
      <c r="F8" s="7" t="n">
        <v>-0.770923869826181</v>
      </c>
      <c r="G8" s="7" t="n">
        <v>1.51643990177182</v>
      </c>
      <c r="H8" s="7" t="n">
        <v>-0.667389355580457</v>
      </c>
      <c r="I8" s="7" t="n">
        <v>0.581316612618862</v>
      </c>
      <c r="J8" s="7" t="n">
        <v>1.21116987232799</v>
      </c>
      <c r="K8" s="7" t="n">
        <v>-2.58616616474636</v>
      </c>
      <c r="L8" s="7" t="n">
        <v>0.931617899354699</v>
      </c>
      <c r="M8" s="7" t="n">
        <v>-1.51036228226024</v>
      </c>
      <c r="N8" s="7" t="n">
        <v>0.06304399746793971</v>
      </c>
      <c r="O8" s="7" t="n">
        <v>-0.937913887371947</v>
      </c>
      <c r="P8" s="7" t="n">
        <v>-0.525448431973727</v>
      </c>
      <c r="Q8" s="7" t="n">
        <v>0.7022387621464</v>
      </c>
      <c r="R8" s="7" t="n">
        <v>0.466004989208561</v>
      </c>
      <c r="S8" s="7" t="n">
        <v>-0.292396566779837</v>
      </c>
      <c r="T8" s="7" t="n">
        <v>0.298057627186091</v>
      </c>
      <c r="U8" s="7" t="n">
        <v>0.492955015235257</v>
      </c>
      <c r="V8" s="7" t="n">
        <v>1.22163196448761</v>
      </c>
      <c r="W8" s="7" t="n">
        <v>0.923374180942764</v>
      </c>
      <c r="X8" s="7" t="n">
        <v>0.526094291122658</v>
      </c>
      <c r="Y8" s="7" t="n">
        <v>-0.0136630459513199</v>
      </c>
      <c r="Z8" s="7" t="n">
        <v>-0.973358062218035</v>
      </c>
      <c r="AA8" s="7" t="n">
        <v>-0.808580462430446</v>
      </c>
      <c r="AB8" s="7" t="n">
        <v>-0.680872308848287</v>
      </c>
      <c r="AC8" s="7" t="n">
        <v>-0.538659672219446</v>
      </c>
      <c r="AD8" s="7" t="n">
        <v>0.862896717530088</v>
      </c>
      <c r="AE8" s="7" t="n">
        <v>-0.156034325392505</v>
      </c>
      <c r="AF8" s="7" t="n">
        <v>0.431779496576914</v>
      </c>
      <c r="AG8" s="7" t="n">
        <v>-0.06182990365148</v>
      </c>
      <c r="AH8" s="7" t="n">
        <v>0.985660898135918</v>
      </c>
      <c r="AI8" s="7" t="n">
        <v>-0.12139005928814</v>
      </c>
      <c r="AJ8" s="7" t="n">
        <v>-0.405683063576703</v>
      </c>
      <c r="AK8" s="7" t="n">
        <v>0.729733006366369</v>
      </c>
      <c r="AL8" s="7" t="n">
        <v>1.04502492777761</v>
      </c>
      <c r="AM8" s="7" t="n">
        <v>1.16861386247324</v>
      </c>
      <c r="AN8" s="7" t="n">
        <v>0.388115718717693</v>
      </c>
      <c r="AO8" s="7" t="n">
        <v>0.23925122750733</v>
      </c>
      <c r="AP8" s="7" t="n">
        <v>-1.06055191829462</v>
      </c>
      <c r="AQ8" s="7" t="n">
        <v>0.635324242857924</v>
      </c>
      <c r="AR8" s="7" t="n">
        <v>-0.0191775006900389</v>
      </c>
      <c r="AS8" s="7" t="n">
        <v>0.690536401055549</v>
      </c>
      <c r="AT8" s="7" t="n">
        <v>-1.28960253870565</v>
      </c>
      <c r="AU8" s="7" t="n">
        <v>1.63927681696808</v>
      </c>
      <c r="AV8" s="7" t="n">
        <v>-0.881941326640891</v>
      </c>
      <c r="AW8" s="7" t="n">
        <v>-1.09775475087481</v>
      </c>
      <c r="AX8" s="7" t="n">
        <v>0.718511799515628</v>
      </c>
      <c r="AY8" s="7" t="n">
        <v>-0.482642239749849</v>
      </c>
      <c r="AZ8" s="7" t="n">
        <v>1.65771056500306</v>
      </c>
      <c r="BA8" s="7" t="n">
        <v>-1.29401744873926</v>
      </c>
      <c r="BB8" s="7" t="n">
        <v>-0.635788093205755</v>
      </c>
      <c r="BC8" s="7" t="n">
        <v>-0.60796353280037</v>
      </c>
      <c r="BD8" s="7" t="n">
        <v>0.429836007176185</v>
      </c>
      <c r="BE8" s="7" t="n">
        <v>-0.0066773524967697</v>
      </c>
      <c r="BF8" s="7" t="n">
        <v>1.17099315728673</v>
      </c>
      <c r="BG8" s="7" t="n">
        <v>0.317300060762547</v>
      </c>
      <c r="BH8" s="7" t="n">
        <v>-1.55774472460249</v>
      </c>
      <c r="BI8" s="7" t="n">
        <v>0.590175154927048</v>
      </c>
      <c r="BJ8" s="7" t="n">
        <v>1.59559447560364</v>
      </c>
      <c r="BK8" s="7" t="n">
        <v>-0.025406412713025</v>
      </c>
      <c r="BL8" s="7" t="n">
        <v>0.475632252855876</v>
      </c>
      <c r="BM8" s="7" t="n">
        <v>-1.64539508485165</v>
      </c>
      <c r="BN8" s="7" t="n">
        <v>0.6695166602959119</v>
      </c>
      <c r="BO8" s="7" t="n">
        <v>0.647937828620724</v>
      </c>
      <c r="BP8" s="7" t="n">
        <v>0.392457291295577</v>
      </c>
      <c r="BQ8" s="7" t="n">
        <v>0.493186346752953</v>
      </c>
      <c r="BR8" s="7" t="n">
        <v>0.678788818165201</v>
      </c>
      <c r="BS8" s="7" t="n">
        <v>-0.834013918348968</v>
      </c>
      <c r="BT8" s="7" t="n">
        <v>-0.733505774945817</v>
      </c>
      <c r="BU8" s="7" t="n">
        <v>-0.210946992316106</v>
      </c>
      <c r="BV8" s="7" t="n">
        <v>0.354002323136718</v>
      </c>
      <c r="BW8" s="7" t="n">
        <v>0.950802595196072</v>
      </c>
      <c r="BX8" s="7" t="n">
        <v>1.47270596296552</v>
      </c>
      <c r="BY8" s="7" t="n">
        <v>-0.401537719241553</v>
      </c>
      <c r="BZ8" s="7" t="n">
        <v>-2.07290492418477</v>
      </c>
      <c r="CA8" s="7" t="n">
        <v>0.0828355648040752</v>
      </c>
      <c r="CB8" s="7" t="n">
        <v>0.0066647353737611</v>
      </c>
      <c r="CC8" s="7" t="n">
        <v>0.49673243864091</v>
      </c>
      <c r="CD8" s="7" t="n">
        <v>-0.843485852911555</v>
      </c>
      <c r="CE8" s="7" t="n">
        <v>-0.406919923892467</v>
      </c>
      <c r="CF8" s="7" t="n">
        <v>1.59626011862294</v>
      </c>
      <c r="CG8" s="7" t="n">
        <v>-0.570502446429476</v>
      </c>
      <c r="CH8" s="7" t="n">
        <v>-1.09274037432029</v>
      </c>
      <c r="CI8" s="7" t="n">
        <v>-0.395943135052208</v>
      </c>
      <c r="CJ8" s="7" t="n">
        <v>1.21910773056401</v>
      </c>
      <c r="CK8" s="7" t="n">
        <v>1.43809605935053</v>
      </c>
      <c r="CL8" s="7" t="n">
        <v>-0.244123654585932</v>
      </c>
      <c r="CM8" s="7" t="n">
        <v>-0.0292992525979478</v>
      </c>
      <c r="CN8" s="7" t="n">
        <v>-1.40748438441682</v>
      </c>
      <c r="CO8" s="7" t="n">
        <v>0.499176718593104</v>
      </c>
      <c r="CP8" s="7" t="n">
        <v>0.145956475159641</v>
      </c>
      <c r="CQ8" s="7" t="n">
        <v>0.9449655188653</v>
      </c>
      <c r="CR8" s="7" t="n">
        <v>-1.43667964238428</v>
      </c>
      <c r="CS8" s="7" t="n">
        <v>-0.333328318558859</v>
      </c>
      <c r="CT8" s="7" t="n">
        <v>1.37247577694966</v>
      </c>
      <c r="CU8" s="7" t="n">
        <v>-0.742035151362533</v>
      </c>
      <c r="CV8" s="7" t="n">
        <v>0.950810363002791</v>
      </c>
      <c r="CW8" s="7" t="n">
        <v>-0.7265170172395909</v>
      </c>
      <c r="CX8" s="7" t="n">
        <v>-1.25806582795809</v>
      </c>
      <c r="CY8" s="7" t="n">
        <v>-0.975613237466488</v>
      </c>
      <c r="CZ8" s="7" t="n">
        <v>-1.44386041401318</v>
      </c>
      <c r="DA8" s="7" t="n">
        <v>0.0149304831086331</v>
      </c>
      <c r="DB8" s="7" t="n">
        <v>-1.13600559620134</v>
      </c>
      <c r="DC8" s="7" t="n">
        <v>0.574171428905827</v>
      </c>
      <c r="DD8" s="7" t="n">
        <v>0.634312009323755</v>
      </c>
      <c r="DE8" s="7" t="n">
        <v>-0.321109453592676</v>
      </c>
      <c r="DF8" s="7" t="n">
        <v>0.896921805729848</v>
      </c>
      <c r="DG8" s="7" t="n">
        <v>-0.0845417737927831</v>
      </c>
      <c r="DH8" s="7" t="n">
        <v>0.816676431499723</v>
      </c>
      <c r="DI8" s="7" t="n">
        <v>2.43270193111436</v>
      </c>
      <c r="DJ8" s="7" t="n">
        <v>-0.120257172053575</v>
      </c>
      <c r="DK8" s="7" t="n">
        <v>-0.342075686155533</v>
      </c>
      <c r="DL8" s="7" t="n">
        <v>-0.0197375526327861</v>
      </c>
      <c r="DM8" s="7" t="n">
        <v>1.10424908687612</v>
      </c>
      <c r="DN8" s="7" t="n">
        <v>-0.362768172441792</v>
      </c>
      <c r="DO8" s="7" t="n">
        <v>0.567621484710932</v>
      </c>
      <c r="DP8" s="7" t="n">
        <v>-1.19344029963802</v>
      </c>
      <c r="DQ8" s="7" t="n">
        <v>-2.16090168689663</v>
      </c>
      <c r="DR8" s="7" t="n">
        <v>-0.95004516604651</v>
      </c>
      <c r="DS8" s="7" t="n">
        <v>-0.645822372734184</v>
      </c>
      <c r="DT8" s="7" t="n">
        <v>0.918406470173593</v>
      </c>
      <c r="DU8" s="7" t="n">
        <v>0.495809223980449</v>
      </c>
      <c r="DV8" s="7" t="n">
        <v>0.769761289699564</v>
      </c>
      <c r="DW8" s="7" t="n">
        <v>-1.2117645387855</v>
      </c>
      <c r="DX8" s="7" t="n">
        <v>-0.0087305628281906</v>
      </c>
      <c r="DY8" s="7" t="n">
        <v>-2.09082071137938</v>
      </c>
      <c r="DZ8" s="7" t="n">
        <v>1.11375746400706</v>
      </c>
      <c r="EA8" s="7" t="n">
        <v>-2.24339879839208</v>
      </c>
      <c r="EB8" s="7" t="n">
        <v>0.538284220102643</v>
      </c>
      <c r="EC8" s="7" t="n">
        <v>-0.302363087961397</v>
      </c>
      <c r="ED8" s="7" t="n">
        <v>1.06034458944589</v>
      </c>
      <c r="EE8" s="7" t="n">
        <v>0.5008089491529421</v>
      </c>
      <c r="EF8" s="7" t="n">
        <v>1.03526979792444</v>
      </c>
      <c r="EG8" s="7" t="n">
        <v>-2.53815933265689</v>
      </c>
      <c r="EH8" s="7" t="n">
        <v>-0.7395385164084179</v>
      </c>
      <c r="EI8" s="7" t="n">
        <v>0.21569912368405</v>
      </c>
      <c r="EJ8" s="7" t="n">
        <v>-0.525770968412775</v>
      </c>
      <c r="EK8" s="7" t="n">
        <v>0.485784365063394</v>
      </c>
      <c r="EL8" s="7" t="n">
        <v>-0.500945528976379</v>
      </c>
      <c r="EM8" s="7" t="n">
        <v>0.52857539033151</v>
      </c>
      <c r="EN8" s="7" t="n">
        <v>-0.278488314616029</v>
      </c>
      <c r="EO8" s="7" t="n">
        <v>-0.723394633327615</v>
      </c>
      <c r="EP8" s="7" t="n">
        <v>0.325527581186107</v>
      </c>
      <c r="EQ8" s="7" t="n">
        <v>3.10190182004127</v>
      </c>
      <c r="ER8" s="7" t="n">
        <v>-1.58994351661841</v>
      </c>
      <c r="ES8" s="7" t="n">
        <v>-0.89140296902213</v>
      </c>
      <c r="ET8" s="7" t="n">
        <v>1.04229398802962</v>
      </c>
      <c r="EU8" s="7" t="n">
        <v>0.306556853747493</v>
      </c>
      <c r="EV8" s="7" t="n">
        <v>-0.607189316045142</v>
      </c>
      <c r="EW8" s="7" t="n">
        <v>-0.357842144669283</v>
      </c>
      <c r="EX8" s="7" t="n">
        <v>-0.477932717292789</v>
      </c>
      <c r="EY8" s="7" t="n">
        <v>1.2541667005787</v>
      </c>
      <c r="EZ8" s="7" t="n">
        <v>0.173079454785638</v>
      </c>
      <c r="FA8" s="7" t="n">
        <v>-0.0998671613156154</v>
      </c>
      <c r="FB8" s="7" t="n">
        <v>0.232180529788061</v>
      </c>
      <c r="FC8" s="7" t="n">
        <v>0.07750644286970711</v>
      </c>
      <c r="FD8" s="7" t="n">
        <v>1.06761146380444</v>
      </c>
      <c r="FE8" s="7" t="n">
        <v>0.0953172601897357</v>
      </c>
      <c r="FF8" s="7" t="n">
        <v>-2.3258803518979</v>
      </c>
      <c r="FG8" s="7" t="n">
        <v>-0.5312840996128479</v>
      </c>
      <c r="FH8" s="7" t="n">
        <v>0.121608927947116</v>
      </c>
      <c r="FI8" s="7" t="n">
        <v>0.432138306481241</v>
      </c>
      <c r="FJ8" s="7" t="n">
        <v>-0.015565907308688</v>
      </c>
      <c r="FK8" s="7" t="n">
        <v>0.192066732475209</v>
      </c>
      <c r="FL8" s="7" t="n">
        <v>-1.34853962138711</v>
      </c>
      <c r="FM8" s="7" t="n">
        <v>-1.85895892697833</v>
      </c>
      <c r="FN8" s="7" t="n">
        <v>1.78561939838531</v>
      </c>
      <c r="FO8" s="7" t="n">
        <v>-0.81201821647036</v>
      </c>
      <c r="FP8" s="7" t="n">
        <v>-1.2400360006603</v>
      </c>
      <c r="FQ8" s="7" t="n">
        <v>0.787851683123821</v>
      </c>
      <c r="FR8" s="7" t="n">
        <v>-0.0297822971630166</v>
      </c>
      <c r="FS8" s="7" t="n">
        <v>-0.66128573764896</v>
      </c>
      <c r="FT8" s="7" t="n">
        <v>0.200391190342352</v>
      </c>
      <c r="FU8" s="7" t="n">
        <v>-0.54037173368323</v>
      </c>
      <c r="FV8" s="7" t="n">
        <v>1.87404869674644</v>
      </c>
      <c r="FW8" s="7" t="n">
        <v>-0.411924222109187</v>
      </c>
      <c r="FX8" s="7" t="n">
        <v>-0.411539618849463</v>
      </c>
      <c r="FY8" s="7" t="n">
        <v>0.112310447594019</v>
      </c>
      <c r="FZ8" s="7" t="n">
        <v>0.47791901665806</v>
      </c>
      <c r="GA8" s="7" t="n">
        <v>1.21157107863446</v>
      </c>
      <c r="GB8" s="7" t="n">
        <v>1.42018571239811</v>
      </c>
      <c r="GC8" s="7" t="n">
        <v>-0.173266052840701</v>
      </c>
      <c r="GD8" s="7" t="n">
        <v>-1.17326034967225</v>
      </c>
      <c r="GE8" s="7" t="n">
        <v>-1.66438529011267</v>
      </c>
      <c r="GF8" s="7" t="n">
        <v>-1.31611862531789</v>
      </c>
      <c r="GG8" s="7" t="n">
        <v>-0.734477567028691</v>
      </c>
      <c r="GH8" s="7" t="n">
        <v>-1.48147117235336</v>
      </c>
      <c r="GI8" s="7" t="n">
        <v>-0.677657122548282</v>
      </c>
      <c r="GJ8" s="7" t="n">
        <v>-2.1100356591324</v>
      </c>
      <c r="GK8" s="7" t="n">
        <v>0.933384229761633</v>
      </c>
      <c r="GL8" s="7" t="n">
        <v>0.252982840417917</v>
      </c>
      <c r="GM8" s="7" t="n">
        <v>1.54242806357409</v>
      </c>
      <c r="GN8" s="7" t="n">
        <v>-0.884873479797755</v>
      </c>
      <c r="GO8" s="7" t="n">
        <v>-1.25950329011228</v>
      </c>
      <c r="GP8" s="7" t="n">
        <v>1.77076690835561</v>
      </c>
      <c r="GQ8" s="7" t="n">
        <v>0.501927956930351</v>
      </c>
      <c r="GR8" s="7" t="n">
        <v>-2.26714382907701</v>
      </c>
      <c r="GS8" s="7" t="n">
        <v>-1.14763338203378</v>
      </c>
      <c r="GT8" s="7" t="n">
        <v>-0.650979191031561</v>
      </c>
      <c r="GU8" s="7" t="n">
        <v>-1.65874720655951</v>
      </c>
      <c r="GV8" s="7" t="n">
        <v>0.814308809208156</v>
      </c>
      <c r="GW8" s="7" t="n">
        <v>-1.25203150357224</v>
      </c>
      <c r="GX8" s="7" t="n">
        <v>0.575257249089667</v>
      </c>
      <c r="GY8" s="7" t="n">
        <v>0.835891456077959</v>
      </c>
      <c r="GZ8" s="7" t="n">
        <v>0.0452061491810651</v>
      </c>
      <c r="HA8" s="7" t="n">
        <v>-1.01198293756044</v>
      </c>
      <c r="HB8" s="7" t="n">
        <v>-0.511322840502407</v>
      </c>
      <c r="HC8" s="7" t="n">
        <v>0.775746641685896</v>
      </c>
      <c r="HD8" s="7" t="n">
        <v>-1.43470429247859</v>
      </c>
      <c r="HE8" s="7" t="n">
        <v>-0.440516766355691</v>
      </c>
      <c r="HF8" s="7" t="n">
        <v>1.29864620809829</v>
      </c>
      <c r="HG8" s="7" t="n">
        <v>-0.598589037322991</v>
      </c>
      <c r="HH8" s="7" t="n">
        <v>-1.5799663357178</v>
      </c>
      <c r="HI8" s="7" t="n">
        <v>-0.062287893724036</v>
      </c>
      <c r="HJ8" s="7" t="n">
        <v>0.06866316383788799</v>
      </c>
      <c r="HK8" s="7" t="n">
        <v>0.398696269830963</v>
      </c>
      <c r="HL8" s="7" t="n">
        <v>0.39361784132384</v>
      </c>
      <c r="HM8" s="7" t="n">
        <v>0.561321737486184</v>
      </c>
      <c r="HN8" s="7" t="n">
        <v>0.174199688026919</v>
      </c>
      <c r="HO8" s="7" t="n">
        <v>1.6034639354211</v>
      </c>
      <c r="HP8" s="7" t="n">
        <v>0.137962574549054</v>
      </c>
      <c r="HQ8" s="7" t="n">
        <v>0.180719201553195</v>
      </c>
      <c r="HR8" s="7" t="n">
        <v>-1.14831615036941</v>
      </c>
      <c r="HS8" s="7" t="n">
        <v>0.333839244790303</v>
      </c>
      <c r="HT8" s="7" t="n">
        <v>-0.146387722128075</v>
      </c>
      <c r="HU8" s="7" t="n">
        <v>0.261381710326079</v>
      </c>
      <c r="HV8" s="7" t="n">
        <v>-1.97202759279349</v>
      </c>
      <c r="HW8" s="7" t="n">
        <v>1.84514070509835</v>
      </c>
      <c r="HX8" s="7" t="n">
        <v>-1.17065503430061</v>
      </c>
      <c r="HY8" s="7" t="n">
        <v>0.412644649747528</v>
      </c>
      <c r="HZ8" s="7" t="n">
        <v>0.221420267084327</v>
      </c>
      <c r="IA8" s="7" t="n">
        <v>2.46037648416231</v>
      </c>
      <c r="IB8" s="7" t="n">
        <v>-0.296322779301138</v>
      </c>
      <c r="IC8" s="7" t="n">
        <v>0.208120357397389</v>
      </c>
      <c r="ID8" s="7" t="n">
        <v>0.452561850502752</v>
      </c>
      <c r="IE8" s="7" t="n">
        <v>0.0417327510434634</v>
      </c>
      <c r="IF8" s="7" t="n">
        <v>0.162904675680069</v>
      </c>
      <c r="IG8" s="7" t="n">
        <v>0.62607994666824</v>
      </c>
      <c r="IH8" s="7" t="n">
        <v>-2.08816676760313</v>
      </c>
      <c r="II8" s="7" t="n">
        <v>0.678795751950129</v>
      </c>
      <c r="IJ8" s="7" t="n">
        <v>-0.153568762725837</v>
      </c>
      <c r="IK8" s="7" t="n">
        <v>0.210121064110272</v>
      </c>
      <c r="IL8" s="7" t="n">
        <v>-0.886388771062977</v>
      </c>
      <c r="IM8" s="7" t="n">
        <v>1.23767262487199</v>
      </c>
      <c r="IN8" s="7" t="n">
        <v>1.08786638245347</v>
      </c>
      <c r="IO8" s="7" t="n">
        <v>1.90927884951034</v>
      </c>
      <c r="IP8" s="7" t="n">
        <v>-0.0346056435347335</v>
      </c>
      <c r="IQ8" s="7" t="n">
        <v>0.396296901305039</v>
      </c>
      <c r="IR8" s="7" t="n">
        <v>-2.06634359299469</v>
      </c>
      <c r="IS8" s="7" t="n">
        <v>0.715576781941579</v>
      </c>
      <c r="IT8" s="7" t="n">
        <v>0.422649013490895</v>
      </c>
      <c r="IU8" s="7" t="n">
        <v>0.640384592811681</v>
      </c>
      <c r="IV8" s="7" t="n">
        <v>-0.185342454840132</v>
      </c>
      <c r="IW8" s="7" t="n">
        <v>1.40207159699368</v>
      </c>
      <c r="IX8" s="7" t="n">
        <v>-0.839098516676185</v>
      </c>
      <c r="IY8" s="7" t="n">
        <v>-0.856074715259894</v>
      </c>
      <c r="IZ8" s="7" t="n">
        <v>-1.11379265989849</v>
      </c>
      <c r="JA8" s="7" t="n">
        <v>1.28735257569873</v>
      </c>
      <c r="JB8" s="7" t="n">
        <v>1.69149556052978</v>
      </c>
      <c r="JC8" s="7" t="n">
        <v>-0.888294028286492</v>
      </c>
      <c r="JD8" s="7" t="n">
        <v>0.111011647698196</v>
      </c>
      <c r="JE8" s="7" t="n">
        <v>0.596326853308499</v>
      </c>
      <c r="JF8" s="7" t="n">
        <v>-2.1723859145991</v>
      </c>
      <c r="JG8" s="7" t="n">
        <v>0.424096781840693</v>
      </c>
      <c r="JH8" s="7" t="n">
        <v>-1.16598804845313</v>
      </c>
      <c r="JI8" s="7" t="n">
        <v>-0.135538331127398</v>
      </c>
      <c r="JJ8" s="7" t="n">
        <v>0.226616070976831</v>
      </c>
      <c r="JK8" s="7" t="n">
        <v>-0.444634690863234</v>
      </c>
      <c r="JL8" s="7" t="n">
        <v>1.2316116594162</v>
      </c>
      <c r="JM8" s="7" t="n">
        <v>1.41865740668421</v>
      </c>
      <c r="JN8" s="7" t="n">
        <v>-0.365280024875619</v>
      </c>
      <c r="JO8" s="7" t="n">
        <v>-0.667440021563669</v>
      </c>
      <c r="JP8" s="7" t="n">
        <v>0.491810402570345</v>
      </c>
      <c r="JQ8" s="7" t="n">
        <v>0.633987983106833</v>
      </c>
      <c r="JR8" s="7" t="n">
        <v>-0.860725539260879</v>
      </c>
      <c r="JS8" s="7" t="n">
        <v>-0.0646357286424641</v>
      </c>
      <c r="JT8" s="7" t="n">
        <v>-0.644123522441542</v>
      </c>
      <c r="JU8" s="7" t="n">
        <v>-0.10152617744649</v>
      </c>
      <c r="JV8" s="7" t="n">
        <v>-1.75713623679907</v>
      </c>
      <c r="JW8" s="7" t="n">
        <v>1.42294716748647</v>
      </c>
      <c r="JX8" s="7" t="n">
        <v>-0.0861499464311288</v>
      </c>
      <c r="JY8" s="7" t="n">
        <v>-0.0124431192938274</v>
      </c>
      <c r="JZ8" s="7" t="n">
        <v>-2.44159186271409</v>
      </c>
      <c r="KA8" s="7" t="n">
        <v>-2.93696363256309</v>
      </c>
      <c r="KB8" s="7" t="n">
        <v>1.17224723551432</v>
      </c>
      <c r="KC8" s="7" t="n">
        <v>0.210976916583689</v>
      </c>
      <c r="KD8" s="7" t="n">
        <v>-0.547458990428391</v>
      </c>
      <c r="KE8" s="7" t="n">
        <v>-0.64096768027718</v>
      </c>
      <c r="KF8" s="7" t="n">
        <v>-0.100174797803071</v>
      </c>
      <c r="KG8" s="7" t="n">
        <v>0.196145369061247</v>
      </c>
      <c r="KH8" s="7" t="n">
        <v>-0.743276313801321</v>
      </c>
      <c r="KI8" s="7" t="n">
        <v>-0.716759727407265</v>
      </c>
      <c r="KJ8" s="7" t="n">
        <v>0.142775054188704</v>
      </c>
      <c r="KK8" s="7" t="n">
        <v>0.807496239015283</v>
      </c>
      <c r="KL8" s="7" t="n">
        <v>0.26494383423731</v>
      </c>
      <c r="KM8" s="7" t="n">
        <v>-0.185062762492154</v>
      </c>
      <c r="KN8" s="7" t="n">
        <v>-0.6732607071396211</v>
      </c>
      <c r="KO8" s="7" t="n">
        <v>-0.397813986393774</v>
      </c>
      <c r="KP8" s="7" t="n">
        <v>1.21218576180044</v>
      </c>
      <c r="KQ8" s="7" t="n">
        <v>0.519038390950174</v>
      </c>
      <c r="KR8" s="7" t="n">
        <v>1.57108608389153</v>
      </c>
      <c r="KS8" s="7" t="n">
        <v>1.47119668977101</v>
      </c>
      <c r="KT8" s="7" t="n">
        <v>0.435805855426028</v>
      </c>
      <c r="KU8" s="7" t="n">
        <v>0.0988249892944625</v>
      </c>
      <c r="KV8" s="7" t="n">
        <v>-0.290266374257944</v>
      </c>
      <c r="KW8" s="7" t="n">
        <v>-1.97129186284029</v>
      </c>
      <c r="KX8" s="7" t="n">
        <v>-1.05497697084535</v>
      </c>
      <c r="KY8" s="7" t="n">
        <v>-0.262568310029012</v>
      </c>
      <c r="KZ8" s="7" t="n">
        <v>0.104203236208289</v>
      </c>
      <c r="LA8" s="7" t="n">
        <v>-1.06414369344726</v>
      </c>
      <c r="LB8" s="7" t="n">
        <v>0.144689832420169</v>
      </c>
      <c r="LC8" s="7" t="n">
        <v>-0.141046997450618</v>
      </c>
      <c r="LD8" s="7" t="n">
        <v>-0.44363365266463</v>
      </c>
      <c r="LE8" s="7" t="n">
        <v>0.134077638917113</v>
      </c>
      <c r="LF8" s="7" t="n">
        <v>-0.6580071596363271</v>
      </c>
      <c r="LG8" s="7" t="n">
        <v>0.525672913542964</v>
      </c>
      <c r="LH8" s="7" t="n">
        <v>-1.08327009228939</v>
      </c>
      <c r="LI8" s="7" t="n">
        <v>-2.17964441826491</v>
      </c>
      <c r="LJ8" s="7" t="n">
        <v>-0.480153890615434</v>
      </c>
      <c r="LK8" s="7" t="n">
        <v>-0.434055065621914</v>
      </c>
      <c r="LL8" s="7" t="n">
        <v>0.245522799724181</v>
      </c>
      <c r="LM8" s="7" t="n">
        <v>1.62412475392177</v>
      </c>
      <c r="LN8" s="7" t="n">
        <v>2.10339411821769</v>
      </c>
      <c r="LO8" s="7" t="n">
        <v>-2.1300261398613</v>
      </c>
      <c r="LP8" s="7" t="n">
        <v>0.0832899526975204</v>
      </c>
      <c r="LQ8" s="7" t="n">
        <v>0.24115124475525</v>
      </c>
      <c r="LR8" s="7" t="n">
        <v>-0.414112686070541</v>
      </c>
      <c r="LS8" s="7" t="n">
        <v>-2.92170915498627</v>
      </c>
      <c r="LT8" s="7" t="n">
        <v>0.551406488247899</v>
      </c>
      <c r="LU8" s="7" t="n">
        <v>-1.47735291250258</v>
      </c>
      <c r="LV8" s="7" t="n">
        <v>-0.948225400838297</v>
      </c>
      <c r="LW8" s="7" t="n">
        <v>1.1372607823372</v>
      </c>
      <c r="LX8" s="7" t="n">
        <v>-1.27627819410679</v>
      </c>
      <c r="LY8" s="7" t="n">
        <v>0.483071214507823</v>
      </c>
      <c r="LZ8" s="7" t="n">
        <v>-0.217059094494588</v>
      </c>
      <c r="MA8" s="7" t="n">
        <v>-0.638098278780559</v>
      </c>
      <c r="MB8" s="7" t="n">
        <v>1.43618482248106</v>
      </c>
      <c r="MC8" s="7" t="n">
        <v>1.45079623650897</v>
      </c>
      <c r="MD8" s="7" t="n">
        <v>-0.0252502154478366</v>
      </c>
      <c r="ME8" s="7" t="n">
        <v>-0.3567877027019</v>
      </c>
      <c r="MF8" s="7" t="n">
        <v>-0.0245222377383081</v>
      </c>
      <c r="MG8" s="7" t="n">
        <v>-0.265160821985117</v>
      </c>
      <c r="MH8" s="7" t="n">
        <v>0.478493714651184</v>
      </c>
      <c r="MI8" s="7" t="n">
        <v>-1.99386176956113</v>
      </c>
      <c r="MJ8" s="7" t="n">
        <v>1.39761802879324</v>
      </c>
      <c r="MK8" s="7" t="n">
        <v>0.947597503415669</v>
      </c>
      <c r="ML8" s="7" t="n">
        <v>0.0393359836209328</v>
      </c>
      <c r="MM8" s="7" t="n">
        <v>-0.147474874249089</v>
      </c>
      <c r="MN8" s="7" t="n">
        <v>0.0341231987311265</v>
      </c>
      <c r="MO8" s="7" t="n">
        <v>-0.652184402621107</v>
      </c>
      <c r="MP8" s="7" t="n">
        <v>-2.58339578829258</v>
      </c>
      <c r="MQ8" s="7" t="n">
        <v>0.203021294241694</v>
      </c>
      <c r="MR8" s="7" t="n">
        <v>-0.913903700750986</v>
      </c>
      <c r="MS8" s="7" t="n">
        <v>2.27031058224381</v>
      </c>
      <c r="MT8" s="7" t="n">
        <v>1.09494717006855</v>
      </c>
      <c r="MU8" s="7" t="n">
        <v>1.29570743956641</v>
      </c>
      <c r="MV8" s="7" t="n">
        <v>0.0882917372547459</v>
      </c>
      <c r="MW8" s="7" t="n">
        <v>-0.977801237968517</v>
      </c>
      <c r="MX8" s="7" t="n">
        <v>1.90981210992406</v>
      </c>
      <c r="MY8" s="7" t="n">
        <v>0.258690124039385</v>
      </c>
      <c r="MZ8" s="7" t="n">
        <v>1.32464469850526</v>
      </c>
      <c r="NA8" s="7" t="n">
        <v>1.272369167279</v>
      </c>
      <c r="NB8" s="7" t="n">
        <v>-1.04072812064547</v>
      </c>
      <c r="NC8" s="7" t="n">
        <v>-0.86265053313986</v>
      </c>
      <c r="ND8" s="7" t="n">
        <v>0.406620456806899</v>
      </c>
      <c r="NE8" s="7" t="n">
        <v>-1.86574981223417</v>
      </c>
      <c r="NF8" s="7" t="n">
        <v>-0.99890388533167</v>
      </c>
      <c r="NG8" s="7" t="n">
        <v>-0.796431978699682</v>
      </c>
      <c r="NH8" s="7" t="n">
        <v>-0.197873648106922</v>
      </c>
      <c r="NI8" s="7" t="n">
        <v>0.984955618256405</v>
      </c>
      <c r="NJ8" s="7" t="n">
        <v>-0.673870458956459</v>
      </c>
      <c r="NK8" s="7" t="n">
        <v>-0.234156691938342</v>
      </c>
      <c r="NL8" s="7" t="n">
        <v>0.657323835975074</v>
      </c>
      <c r="NM8" s="7" t="n">
        <v>0.187035469896629</v>
      </c>
      <c r="NN8" s="7" t="n">
        <v>-1.07549158259194</v>
      </c>
      <c r="NO8" s="7" t="n">
        <v>1.51946382980748</v>
      </c>
      <c r="NP8" s="7" t="n">
        <v>1.50259763776216</v>
      </c>
      <c r="NQ8" s="7" t="n">
        <v>0.280383489842204</v>
      </c>
      <c r="NR8" s="7" t="n">
        <v>-1.8161935823577</v>
      </c>
      <c r="NS8" s="7" t="n">
        <v>-0.796324989719092</v>
      </c>
      <c r="NT8" s="7" t="n">
        <v>-1.25068809779223</v>
      </c>
      <c r="NU8" s="7" t="n">
        <v>-1.0127920609272</v>
      </c>
      <c r="NV8" s="7" t="n">
        <v>0.0299446279639719</v>
      </c>
      <c r="NW8" s="7" t="n">
        <v>-0.645504966528277</v>
      </c>
      <c r="NX8" s="7" t="n">
        <v>1.06939034564299</v>
      </c>
      <c r="NY8" s="7" t="n">
        <v>-0.844001511753953</v>
      </c>
      <c r="NZ8" s="7" t="n">
        <v>-1.11243416165882</v>
      </c>
      <c r="OA8" s="7" t="n">
        <v>0.257806575147136</v>
      </c>
      <c r="OB8" s="7" t="n">
        <v>-0.418820782287252</v>
      </c>
      <c r="OC8" s="7" t="n">
        <v>1.26156997837962</v>
      </c>
      <c r="OD8" s="7" t="n">
        <v>0.104894937584428</v>
      </c>
      <c r="OE8" s="7" t="n">
        <v>1.21454239031729</v>
      </c>
      <c r="OF8" s="7" t="n">
        <v>-0.0825404242017287</v>
      </c>
      <c r="OG8" s="7" t="n">
        <v>0.559634670420402</v>
      </c>
      <c r="OH8" s="7" t="n">
        <v>0.572487024275803</v>
      </c>
      <c r="OI8" s="7" t="n">
        <v>-0.566393017612251</v>
      </c>
      <c r="OJ8" s="7" t="n">
        <v>-0.790693748763415</v>
      </c>
      <c r="OK8" s="7" t="n">
        <v>0.495046903091538</v>
      </c>
      <c r="OL8" s="7" t="n">
        <v>0.219289748886543</v>
      </c>
      <c r="OM8" s="7" t="n">
        <v>0.833502272041819</v>
      </c>
      <c r="ON8" s="7" t="n">
        <v>0.0178441400047578</v>
      </c>
      <c r="OO8" s="7" t="n">
        <v>0.391438289199417</v>
      </c>
      <c r="OP8" s="7" t="n">
        <v>1.44706709547657</v>
      </c>
      <c r="OQ8" s="7" t="n">
        <v>0.6417925985024709</v>
      </c>
      <c r="OR8" s="7" t="n">
        <v>1.46397466656917</v>
      </c>
      <c r="OS8" s="7" t="n">
        <v>0.932734704382147</v>
      </c>
      <c r="OT8" s="7" t="n">
        <v>-0.421135997272382</v>
      </c>
      <c r="OU8" s="7" t="n">
        <v>0.128958741437283</v>
      </c>
      <c r="OV8" s="7" t="n">
        <v>1.31215333160034</v>
      </c>
      <c r="OW8" s="7" t="n">
        <v>-0.304579725688682</v>
      </c>
      <c r="OX8" s="7" t="n">
        <v>-0.702105876039556</v>
      </c>
      <c r="OY8" s="7" t="n">
        <v>0.0157286932164444</v>
      </c>
      <c r="OZ8" s="7" t="n">
        <v>0.415838278958452</v>
      </c>
      <c r="PA8" s="7" t="n">
        <v>-0.0319977743713492</v>
      </c>
      <c r="PB8" s="7" t="n">
        <v>2.53934868071245</v>
      </c>
      <c r="PC8" s="7" t="n">
        <v>-2.09665935315337</v>
      </c>
      <c r="PD8" s="7" t="n">
        <v>-0.698358840235911</v>
      </c>
      <c r="PE8" s="7" t="n">
        <v>-1.68655666742998</v>
      </c>
      <c r="PF8" s="7" t="n">
        <v>-2.09361844618556</v>
      </c>
      <c r="PG8" s="7" t="n">
        <v>-0.436429461861965</v>
      </c>
      <c r="PH8" s="7" t="n">
        <v>-0.50434614390262</v>
      </c>
      <c r="PI8" s="7" t="n">
        <v>-0.67016418476804</v>
      </c>
      <c r="PJ8" s="7" t="n">
        <v>1.3517870123024</v>
      </c>
      <c r="PK8" s="7" t="n">
        <v>0.0055008549051184</v>
      </c>
      <c r="PL8" s="7" t="n">
        <v>-0.773047406976018</v>
      </c>
      <c r="PM8" s="7" t="n">
        <v>0.495409041079638</v>
      </c>
      <c r="PN8" s="7" t="n">
        <v>-0.694219805682651</v>
      </c>
      <c r="PO8" s="7" t="n">
        <v>1.95247717137709</v>
      </c>
      <c r="PP8" s="7" t="n">
        <v>0.146210072758735</v>
      </c>
      <c r="PQ8" s="7" t="n">
        <v>1.10009930539119</v>
      </c>
      <c r="PR8" s="7" t="n">
        <v>1.08109506955485</v>
      </c>
      <c r="PS8" s="7" t="n">
        <v>0.459480798901119</v>
      </c>
      <c r="PT8" s="7" t="n">
        <v>-0.011557897656889</v>
      </c>
      <c r="PU8" s="7" t="n">
        <v>-0.210654800749385</v>
      </c>
      <c r="PV8" s="7" t="n">
        <v>0.437918559141553</v>
      </c>
      <c r="PW8" s="7" t="n">
        <v>1.29460279547966</v>
      </c>
      <c r="PX8" s="7" t="n">
        <v>0.133976828354406</v>
      </c>
      <c r="PY8" s="7" t="n">
        <v>-0.321147041390272</v>
      </c>
      <c r="PZ8" s="7" t="n">
        <v>0.600228610140578</v>
      </c>
      <c r="QA8" s="7" t="n">
        <v>1.03312243028203</v>
      </c>
      <c r="QB8" s="7" t="n">
        <v>-2.0127897456699</v>
      </c>
      <c r="QC8" s="7" t="n">
        <v>0.5056768721011839</v>
      </c>
      <c r="QD8" s="7" t="n">
        <v>-0.107279615910581</v>
      </c>
      <c r="QE8" s="7" t="n">
        <v>0.0832748973540017</v>
      </c>
      <c r="QF8" s="7" t="n">
        <v>1.61590969737609</v>
      </c>
      <c r="QG8" s="7" t="n">
        <v>0.218706021388861</v>
      </c>
      <c r="QH8" s="7" t="n">
        <v>0.349746307612603</v>
      </c>
      <c r="QI8" s="7" t="n">
        <v>-0.944705719444269</v>
      </c>
      <c r="QJ8" s="7" t="n">
        <v>0.0931153456888948</v>
      </c>
      <c r="QK8" s="7" t="n">
        <v>-0.928237097016997</v>
      </c>
      <c r="QL8" s="7" t="n">
        <v>0.7527107938219521</v>
      </c>
      <c r="QM8" s="7" t="n">
        <v>0.486552511427699</v>
      </c>
      <c r="QN8" s="7" t="n">
        <v>-0.06525611160783321</v>
      </c>
      <c r="QO8" s="7" t="n">
        <v>0.9602084382242601</v>
      </c>
      <c r="QP8" s="7" t="n">
        <v>-1.06569627480074</v>
      </c>
      <c r="QQ8" s="7" t="n">
        <v>0.676001885588005</v>
      </c>
      <c r="QR8" s="7" t="n">
        <v>-0.33573450911813</v>
      </c>
      <c r="QS8" s="7" t="n">
        <v>-0.0986076221398572</v>
      </c>
      <c r="QT8" s="7" t="n">
        <v>0.476197859749422</v>
      </c>
      <c r="QU8" s="7" t="n">
        <v>1.92023848629339</v>
      </c>
      <c r="QV8" s="7" t="n">
        <v>0.871660630168681</v>
      </c>
      <c r="QW8" s="7" t="n">
        <v>-0.703912165336484</v>
      </c>
      <c r="QX8" s="7" t="n">
        <v>2.2844268990801</v>
      </c>
      <c r="QY8" s="7" t="n">
        <v>-0.746411120085303</v>
      </c>
      <c r="QZ8" s="7" t="n">
        <v>-0.754280447333144</v>
      </c>
      <c r="RA8" s="7" t="n">
        <v>-0.6305152374897161</v>
      </c>
      <c r="RB8" s="7" t="n">
        <v>-3.10342601038778</v>
      </c>
      <c r="RC8" s="7" t="n">
        <v>-0.09013026447808049</v>
      </c>
      <c r="RD8" s="7" t="n">
        <v>-0.592447683610037</v>
      </c>
      <c r="RE8" s="7" t="n">
        <v>-0.172074265472631</v>
      </c>
      <c r="RF8" s="7" t="n">
        <v>1.10954865154528</v>
      </c>
      <c r="RG8" s="7" t="n">
        <v>0.784603501970373</v>
      </c>
      <c r="RH8" s="7" t="n">
        <v>1.27099186880042</v>
      </c>
      <c r="RI8" s="7" t="n">
        <v>0.874751853955554</v>
      </c>
      <c r="RJ8" s="7" t="n">
        <v>0.230059454047383</v>
      </c>
      <c r="RK8" s="7" t="n">
        <v>-0.273424328942725</v>
      </c>
      <c r="RL8" s="7" t="n">
        <v>0.317830752695624</v>
      </c>
      <c r="RM8" s="7" t="n">
        <v>-0.112267348508817</v>
      </c>
      <c r="RN8" s="7" t="n">
        <v>0.554907587734042</v>
      </c>
      <c r="RO8" s="7" t="n">
        <v>-0.282938678416448</v>
      </c>
      <c r="RP8" s="7" t="n">
        <v>-1.36252566356876</v>
      </c>
      <c r="RQ8" s="7" t="n">
        <v>-0.416359249819932</v>
      </c>
      <c r="RR8" s="7" t="n">
        <v>-0.456006252561046</v>
      </c>
      <c r="RS8" s="7" t="n">
        <v>0.08537263927151829</v>
      </c>
      <c r="RT8" s="7" t="n">
        <v>0.476733978028679</v>
      </c>
      <c r="RU8" s="7" t="n">
        <v>-0.163408825904069</v>
      </c>
      <c r="RV8" s="7" t="n">
        <v>-1.26347634437922</v>
      </c>
      <c r="RW8" s="7" t="n">
        <v>0.453941251544541</v>
      </c>
      <c r="RX8" s="7" t="n">
        <v>-0.553204087360702</v>
      </c>
      <c r="RY8" s="7" t="n">
        <v>-1.43335172530508</v>
      </c>
      <c r="RZ8" s="7" t="n">
        <v>0.691854788527641</v>
      </c>
      <c r="SA8" s="7" t="n">
        <v>1.45860683112068</v>
      </c>
      <c r="SB8" s="7" t="n">
        <v>-2.15185695868207</v>
      </c>
      <c r="SC8" s="7" t="n">
        <v>-0.0378717377555228</v>
      </c>
      <c r="SD8" s="7" t="n">
        <v>1.41423657515</v>
      </c>
      <c r="SE8" s="7" t="n">
        <v>0.502781953486054</v>
      </c>
      <c r="SF8" s="7" t="n">
        <v>0.436667635134651</v>
      </c>
      <c r="SG8" s="7" t="n">
        <v>-0.5271713068814881</v>
      </c>
      <c r="SH8" s="7" t="n">
        <v>1.68056184628986</v>
      </c>
      <c r="SI8" s="7" t="n">
        <v>-0.309462482673017</v>
      </c>
      <c r="SJ8" s="7" t="n">
        <v>0.0842909941463917</v>
      </c>
      <c r="SK8" s="7" t="n">
        <v>0.7002408989151609</v>
      </c>
      <c r="SL8" s="7" t="n">
        <v>-0.627682269578105</v>
      </c>
      <c r="SM8" s="7" t="n">
        <v>-0.651144673542199</v>
      </c>
      <c r="SN8" s="7" t="n">
        <v>-0.134836566721255</v>
      </c>
      <c r="SO8" s="7" t="n">
        <v>-0.164328493629138</v>
      </c>
      <c r="SP8" s="7" t="n">
        <v>1.42692272202872</v>
      </c>
      <c r="SQ8" s="7" t="n">
        <v>0.0378512118995282</v>
      </c>
      <c r="SR8" s="7" t="n">
        <v>-1.020649880794</v>
      </c>
      <c r="SS8" s="7" t="n">
        <v>1.09929927217548</v>
      </c>
      <c r="ST8" s="7" t="n">
        <v>-0.851659615214548</v>
      </c>
      <c r="SU8" s="7" t="n">
        <v>2.35165114386393</v>
      </c>
      <c r="SV8" s="7" t="n">
        <v>-1.44770056265081</v>
      </c>
      <c r="SW8" s="7" t="n">
        <v>-0.986159003153511</v>
      </c>
      <c r="SX8" s="7" t="n">
        <v>-1.09331959789479</v>
      </c>
      <c r="SY8" s="7" t="n">
        <v>-0.278764443092098</v>
      </c>
      <c r="SZ8" s="7" t="n">
        <v>-0.0238976140367104</v>
      </c>
      <c r="TA8" s="7" t="n">
        <v>0.264625907486912</v>
      </c>
      <c r="TB8" s="7" t="n">
        <v>0.400736909256064</v>
      </c>
      <c r="TC8" s="7" t="n">
        <v>0.332490568354753</v>
      </c>
      <c r="TD8" s="7" t="n">
        <v>0.236871961521133</v>
      </c>
      <c r="TE8" s="7" t="n">
        <v>-0.618720608847924</v>
      </c>
      <c r="TF8" s="7" t="n">
        <v>0.870203867930461</v>
      </c>
      <c r="TG8" s="7" t="n">
        <v>0.231809145524366</v>
      </c>
      <c r="TH8" s="7" t="n">
        <v>-0.357448820892578</v>
      </c>
      <c r="TI8" s="7" t="n">
        <v>1.36495522623772</v>
      </c>
      <c r="TJ8" s="7" t="n">
        <v>-0.3723234530135</v>
      </c>
      <c r="TK8" s="7" t="n">
        <v>-2.36601700056952</v>
      </c>
      <c r="TL8" s="7" t="n">
        <v>1.24707785730986</v>
      </c>
      <c r="TM8" s="7" t="n">
        <v>-1.20426752956497</v>
      </c>
      <c r="TN8" s="7" t="n">
        <v>-0.0892787433884441</v>
      </c>
      <c r="TO8" s="7" t="n">
        <v>-0.839278932303182</v>
      </c>
      <c r="TP8" s="7" t="n">
        <v>1.41725614694838</v>
      </c>
      <c r="TQ8" s="7" t="n">
        <v>0.463904005092413</v>
      </c>
      <c r="TR8" s="7" t="n">
        <v>1.68714863242289</v>
      </c>
      <c r="TS8" s="7" t="n">
        <v>-0.702729320685815</v>
      </c>
      <c r="TT8" s="7" t="n">
        <v>-0.730935443717547</v>
      </c>
      <c r="TU8" s="7" t="n">
        <v>1.3683916374878</v>
      </c>
      <c r="TV8" s="7" t="n">
        <v>1.14811705019405</v>
      </c>
      <c r="TW8" s="7" t="n">
        <v>-0.436083014763135</v>
      </c>
      <c r="TX8" s="7" t="n">
        <v>-1.51058861013413</v>
      </c>
      <c r="TY8" s="7" t="n">
        <v>0.460925493479441</v>
      </c>
      <c r="TZ8" s="7" t="n">
        <v>-0.260991484701824</v>
      </c>
      <c r="UA8" s="7" t="n">
        <v>-0.260164264027558</v>
      </c>
      <c r="UB8" s="7" t="n">
        <v>-1.52849181653763</v>
      </c>
      <c r="UC8" s="7" t="n">
        <v>-0.599059892743932</v>
      </c>
      <c r="UD8" s="7" t="n">
        <v>0.629137781224624</v>
      </c>
      <c r="UE8" s="7" t="n">
        <v>0.413679870059926</v>
      </c>
      <c r="UF8" s="7" t="n">
        <v>0.135309900124259</v>
      </c>
      <c r="UG8" s="7" t="n">
        <v>-0.53817715371937</v>
      </c>
      <c r="UH8" s="7" t="n">
        <v>-1.02289999553995</v>
      </c>
      <c r="UI8" s="7" t="n">
        <v>0.780067566338525</v>
      </c>
      <c r="UJ8" s="7" t="n">
        <v>0.485240564656992</v>
      </c>
      <c r="UK8" s="7" t="n">
        <v>1.78040278396849</v>
      </c>
      <c r="UL8" s="7" t="n">
        <v>1.09013756540604</v>
      </c>
      <c r="UM8" s="7" t="n">
        <v>-1.58085285620952</v>
      </c>
      <c r="UN8" s="7" t="n">
        <v>-1.5023431080621</v>
      </c>
      <c r="UO8" s="7" t="n">
        <v>-1.82154780514364</v>
      </c>
      <c r="UP8" s="7" t="n">
        <v>-0.318884931679632</v>
      </c>
      <c r="UQ8" s="7" t="n">
        <v>0.115496130290084</v>
      </c>
      <c r="UR8" s="7" t="n">
        <v>0.89606929018532</v>
      </c>
      <c r="US8" s="7" t="n">
        <v>-0.257955390738593</v>
      </c>
      <c r="UT8" s="7" t="n">
        <v>-0.543729626351275</v>
      </c>
      <c r="UU8" s="7" t="n">
        <v>0.795602719316123</v>
      </c>
      <c r="UV8" s="7" t="n">
        <v>-0.183328967377016</v>
      </c>
      <c r="UW8" s="7" t="n">
        <v>-0.453007717443298</v>
      </c>
      <c r="UX8" s="7" t="n">
        <v>-1.66896650097419</v>
      </c>
      <c r="UY8" s="7" t="n">
        <v>0.0326031640018384</v>
      </c>
      <c r="UZ8" s="7" t="n">
        <v>-0.656864069145633</v>
      </c>
      <c r="VA8" s="7" t="n">
        <v>1.12340983576947</v>
      </c>
      <c r="VB8" s="7" t="n">
        <v>-0.275349239657928</v>
      </c>
      <c r="VC8" s="7" t="n">
        <v>0.748825120128696</v>
      </c>
      <c r="VD8" s="7" t="n">
        <v>0.6312295593892721</v>
      </c>
      <c r="VE8" s="7" t="n">
        <v>0.475429711538093</v>
      </c>
      <c r="VF8" s="7" t="n">
        <v>-1.59092395628236</v>
      </c>
      <c r="VG8" s="7" t="n">
        <v>-0.269740972850137</v>
      </c>
      <c r="VH8" s="7" t="n">
        <v>-0.185050667043632</v>
      </c>
      <c r="VI8" s="7" t="n">
        <v>0.13189013264901</v>
      </c>
      <c r="VJ8" s="7" t="n">
        <v>-1.63703835111855</v>
      </c>
      <c r="VK8" s="7" t="n">
        <v>-0.242755508713276</v>
      </c>
      <c r="VL8" s="7" t="n">
        <v>0.46913457282657</v>
      </c>
      <c r="VM8" s="7" t="n">
        <v>1.3014334359291</v>
      </c>
      <c r="VN8" s="7" t="n">
        <v>-0.214497748471606</v>
      </c>
      <c r="VO8" s="7" t="n">
        <v>-1.31658768659667</v>
      </c>
      <c r="VP8" s="7" t="n">
        <v>1.86457949361286</v>
      </c>
      <c r="VQ8" s="7" t="n">
        <v>-0.573395481936234</v>
      </c>
      <c r="VR8" s="7" t="n">
        <v>-1.07540326990097</v>
      </c>
      <c r="VS8" s="7" t="n">
        <v>0.265068699712544</v>
      </c>
      <c r="VT8" s="7" t="n">
        <v>-0.882443358508215</v>
      </c>
      <c r="VU8" s="7" t="n">
        <v>-3.118662346485</v>
      </c>
      <c r="VV8" s="7" t="n">
        <v>-1.06428883529616</v>
      </c>
      <c r="VW8" s="7" t="n">
        <v>0.190156197969252</v>
      </c>
      <c r="VX8" s="7" t="n">
        <v>0.395243615425935</v>
      </c>
      <c r="VY8" s="7" t="n">
        <v>-0.886867452804137</v>
      </c>
      <c r="VZ8" s="7" t="n">
        <v>-0.959767574267872</v>
      </c>
      <c r="WA8" s="7" t="n">
        <v>-0.809355035306921</v>
      </c>
      <c r="WB8" s="7" t="n">
        <v>-0.241799818506025</v>
      </c>
      <c r="WC8" s="7" t="n">
        <v>0.692413298256875</v>
      </c>
      <c r="WD8" s="7" t="n">
        <v>-0.644407238661721</v>
      </c>
      <c r="WE8" s="7" t="n">
        <v>2.75446052695611</v>
      </c>
      <c r="WF8" s="7" t="n">
        <v>0.174227025226105</v>
      </c>
      <c r="WG8" s="7" t="n">
        <v>1.43639941326977</v>
      </c>
      <c r="WH8" s="7" t="n">
        <v>1.36339788580693</v>
      </c>
      <c r="WI8" s="7" t="n">
        <v>1.12642262181964</v>
      </c>
      <c r="WJ8" s="7" t="n">
        <v>-0.601260036324697</v>
      </c>
      <c r="WK8" s="7" t="n">
        <v>-0.202367059958125</v>
      </c>
      <c r="WL8" s="7" t="n">
        <v>-0.561164302242749</v>
      </c>
      <c r="WM8" s="7" t="n">
        <v>0.567407806008161</v>
      </c>
      <c r="WN8" s="7" t="n">
        <v>0.157715024928385</v>
      </c>
      <c r="WO8" s="7" t="n">
        <v>-1.07965661928462</v>
      </c>
      <c r="WP8" s="7" t="n">
        <v>-0.406462400432411</v>
      </c>
      <c r="WQ8" s="7" t="n">
        <v>1.07711602263992</v>
      </c>
      <c r="WR8" s="7" t="n">
        <v>-0.542999507617727</v>
      </c>
      <c r="WS8" s="7" t="n">
        <v>-0.104898841278711</v>
      </c>
      <c r="WT8" s="7" t="n">
        <v>0.117207266007602</v>
      </c>
      <c r="WU8" s="7" t="n">
        <v>-0.876302605573267</v>
      </c>
      <c r="WV8" s="7" t="n">
        <v>3.06939844645752</v>
      </c>
      <c r="WW8" s="7" t="n">
        <v>0.679016931570525</v>
      </c>
      <c r="WX8" s="7" t="n">
        <v>0.7671098563565391</v>
      </c>
      <c r="WY8" s="7" t="n">
        <v>-1.74884014062803</v>
      </c>
      <c r="WZ8" s="7" t="n">
        <v>-0.199373187102761</v>
      </c>
      <c r="XA8" s="7" t="n">
        <v>-0.531429993989492</v>
      </c>
      <c r="XB8" s="7" t="n">
        <v>0.768251998167289</v>
      </c>
      <c r="XC8" s="7" t="n">
        <v>0.09032658137539019</v>
      </c>
      <c r="XD8" s="7" t="n">
        <v>-0.151052050900452</v>
      </c>
      <c r="XE8" s="7" t="n">
        <v>-0.916526008998892</v>
      </c>
      <c r="XF8" s="7" t="n">
        <v>-1.19134503320655</v>
      </c>
      <c r="XG8" s="7" t="n">
        <v>-1.18389835450875</v>
      </c>
      <c r="XH8" s="7" t="n">
        <v>-1.65624039577027</v>
      </c>
      <c r="XI8" s="7" t="n">
        <v>1.28208787667843</v>
      </c>
      <c r="XJ8" s="7" t="n">
        <v>-0.352493316698717</v>
      </c>
      <c r="XK8" s="7" t="n">
        <v>-0.52922978658199</v>
      </c>
      <c r="XL8" s="7" t="n">
        <v>1.21959515120982</v>
      </c>
      <c r="XM8" s="7" t="n">
        <v>1.25445381459782</v>
      </c>
      <c r="XN8" s="7" t="n">
        <v>0.6577507470421859</v>
      </c>
      <c r="XO8" s="7" t="n">
        <v>-0.699748052784678</v>
      </c>
      <c r="XP8" s="7" t="n">
        <v>0.362779524499412</v>
      </c>
      <c r="XQ8" s="7" t="n">
        <v>0.62216036190376</v>
      </c>
      <c r="XR8" s="7" t="n">
        <v>-1.24534950807147</v>
      </c>
      <c r="XS8" s="7" t="n">
        <v>-0.246492370738963</v>
      </c>
      <c r="XT8" s="7" t="n">
        <v>1.27963204601176</v>
      </c>
      <c r="XU8" s="7" t="n">
        <v>-0.270350351290147</v>
      </c>
      <c r="XV8" s="7" t="n">
        <v>-0.33034590967353</v>
      </c>
      <c r="XW8" s="7" t="n">
        <v>0.42578253123836</v>
      </c>
      <c r="XX8" s="7" t="n">
        <v>1.27225150923639</v>
      </c>
      <c r="XY8" s="7" t="n">
        <v>0.424138972575287</v>
      </c>
      <c r="XZ8" s="7" t="n">
        <v>-0.39705661949517</v>
      </c>
      <c r="YA8" s="7" t="n">
        <v>-1.06141465700379</v>
      </c>
      <c r="YB8" s="7" t="n">
        <v>0.6616874208810239</v>
      </c>
      <c r="YC8" s="7" t="n">
        <v>0.20970893287864</v>
      </c>
      <c r="YD8" s="7" t="n">
        <v>0.442628900177865</v>
      </c>
      <c r="YE8" s="7" t="n">
        <v>-0.455136421298676</v>
      </c>
      <c r="YF8" s="7" t="n">
        <v>0.310112212667691</v>
      </c>
      <c r="YG8" s="7" t="n">
        <v>0.797738191061841</v>
      </c>
      <c r="YH8" s="7" t="n">
        <v>1.04448880846533</v>
      </c>
      <c r="YI8" s="7" t="n">
        <v>-1.4112828149658</v>
      </c>
      <c r="YJ8" s="7" t="n">
        <v>0.122209006504889</v>
      </c>
      <c r="YK8" s="7" t="n">
        <v>0.80211035887467</v>
      </c>
      <c r="YL8" s="7" t="n">
        <v>-0.858407814101389</v>
      </c>
      <c r="YM8" s="7" t="n">
        <v>0.141766184342831</v>
      </c>
      <c r="YN8" s="7" t="n">
        <v>0.33547431391708</v>
      </c>
      <c r="YO8" s="7" t="n">
        <v>0.76281173100418</v>
      </c>
      <c r="YP8" s="7" t="n">
        <v>-0.0610561717107789</v>
      </c>
      <c r="YQ8" s="7" t="n">
        <v>0.453198114932889</v>
      </c>
      <c r="YR8" s="7" t="n">
        <v>-1.63474459038696</v>
      </c>
      <c r="YS8" s="7" t="n">
        <v>-0.636314318450077</v>
      </c>
      <c r="YT8" s="7" t="n">
        <v>-1.29731705951777</v>
      </c>
      <c r="YU8" s="7" t="n">
        <v>0.0143472403986357</v>
      </c>
      <c r="YV8" s="7" t="n">
        <v>0.2533371278653</v>
      </c>
      <c r="YW8" s="7" t="n">
        <v>-0.173835691978542</v>
      </c>
      <c r="YX8" s="7" t="n">
        <v>-0.267164759538299</v>
      </c>
      <c r="YY8" s="7" t="n">
        <v>-0.07557331590104981</v>
      </c>
      <c r="YZ8" s="7" t="n">
        <v>-0.854902131685862</v>
      </c>
      <c r="ZA8" s="7" t="n">
        <v>0.365677159617645</v>
      </c>
      <c r="ZB8" s="7" t="n">
        <v>-0.475975638730689</v>
      </c>
      <c r="ZC8" s="7" t="n">
        <v>-1.95756998380168</v>
      </c>
      <c r="ZD8" s="7" t="n">
        <v>0.22725452843366</v>
      </c>
      <c r="ZE8" s="7" t="n">
        <v>-1.80916820018796</v>
      </c>
      <c r="ZF8" s="7" t="n">
        <v>0.195414570623545</v>
      </c>
      <c r="ZG8" s="7" t="n">
        <v>0.0424809852719505</v>
      </c>
      <c r="ZH8" s="7" t="n">
        <v>0.612720542333003</v>
      </c>
      <c r="ZI8" s="7" t="n">
        <v>0.428953544879165</v>
      </c>
      <c r="ZJ8" s="7" t="n">
        <v>-1.72907232064499</v>
      </c>
      <c r="ZK8" s="7" t="n">
        <v>0.8294481162924801</v>
      </c>
      <c r="ZL8" s="7" t="n">
        <v>1.50363494244264</v>
      </c>
      <c r="ZM8" s="7" t="n">
        <v>-0.708588530473084</v>
      </c>
      <c r="ZN8" s="7" t="n">
        <v>-0.445201467810164</v>
      </c>
      <c r="ZO8" s="7" t="n">
        <v>-0.418523570380574</v>
      </c>
      <c r="ZP8" s="7" t="n">
        <v>-0.611202615367441</v>
      </c>
      <c r="ZQ8" s="7" t="n">
        <v>-0.872444367070035</v>
      </c>
      <c r="ZR8" s="7" t="n">
        <v>0.328177017850857</v>
      </c>
      <c r="ZS8" s="7" t="n">
        <v>-0.256616315690958</v>
      </c>
      <c r="ZT8" s="7" t="n">
        <v>-1.03018124880463</v>
      </c>
      <c r="ZU8" s="7" t="n">
        <v>0.0648879535958465</v>
      </c>
      <c r="ZV8" s="7" t="n">
        <v>1.05010816681406</v>
      </c>
      <c r="ZW8" s="7" t="n">
        <v>0.240270246336001</v>
      </c>
      <c r="ZX8" s="7" t="n">
        <v>0.537067303152766</v>
      </c>
      <c r="ZY8" s="7" t="n">
        <v>-1.75308738120698</v>
      </c>
      <c r="ZZ8" s="7" t="n">
        <v>0.873677743936024</v>
      </c>
      <c r="AAA8" s="7" t="n">
        <v>1.06013550862648</v>
      </c>
      <c r="AAB8" s="7" t="n">
        <v>-1.27963633423192</v>
      </c>
      <c r="AAC8" s="7" t="n">
        <v>0.0713472159667919</v>
      </c>
      <c r="AAD8" s="7" t="n">
        <v>-0.692844935851377</v>
      </c>
      <c r="AAE8" s="7" t="n">
        <v>-0.29743036369273</v>
      </c>
      <c r="AAF8" s="7" t="n">
        <v>0.851844873833943</v>
      </c>
      <c r="AAG8" s="7" t="n">
        <v>0.0778314006844734</v>
      </c>
      <c r="AAH8" s="7" t="n">
        <v>0.933322959676653</v>
      </c>
      <c r="AAI8" s="7" t="n">
        <v>-1.00831842622103</v>
      </c>
      <c r="AAJ8" s="7" t="n">
        <v>-0.847060282527013</v>
      </c>
      <c r="AAK8" s="7" t="n">
        <v>-0.356345588075656</v>
      </c>
      <c r="AAL8" s="7" t="n">
        <v>0.842439610768481</v>
      </c>
      <c r="AAM8" s="7" t="n">
        <v>0.058688925005513</v>
      </c>
      <c r="AAN8" s="7" t="n">
        <v>2.05110167661551</v>
      </c>
      <c r="AAO8" s="7" t="n">
        <v>0.529719290493872</v>
      </c>
      <c r="AAP8" s="7" t="n">
        <v>0.141490656157238</v>
      </c>
      <c r="AAQ8" s="7" t="n">
        <v>-1.31291878150175</v>
      </c>
      <c r="AAR8" s="7" t="n">
        <v>1.41233688354376</v>
      </c>
      <c r="AAS8" s="7" t="n">
        <v>-1.45420500415121</v>
      </c>
      <c r="AAT8" s="7" t="n">
        <v>0.729270796464674</v>
      </c>
      <c r="AAU8" s="7" t="n">
        <v>-0.0693299343026841</v>
      </c>
      <c r="AAV8" s="7" t="n">
        <v>1.52681467961542</v>
      </c>
      <c r="AAW8" s="7" t="n">
        <v>-0.356099245449993</v>
      </c>
      <c r="AAX8" s="7" t="n">
        <v>-1.5565021474646</v>
      </c>
      <c r="AAY8" s="7" t="n">
        <v>-0.852949074109432</v>
      </c>
      <c r="AAZ8" s="7" t="n">
        <v>0.844704070564827</v>
      </c>
      <c r="ABA8" s="7" t="n">
        <v>1.21024172532589</v>
      </c>
      <c r="ABB8" s="7" t="n">
        <v>1.19366524010533</v>
      </c>
      <c r="ABC8" s="7" t="n">
        <v>0.0611159468407</v>
      </c>
      <c r="ABD8" s="7" t="n">
        <v>-0.503996700833356</v>
      </c>
      <c r="ABE8" s="7" t="n">
        <v>0.276036448440406</v>
      </c>
      <c r="ABF8" s="7" t="n">
        <v>-1.34630770621171</v>
      </c>
      <c r="ABG8" s="7" t="n">
        <v>-1.13267852636037</v>
      </c>
      <c r="ABH8" s="7" t="n">
        <v>2.65191366371066</v>
      </c>
      <c r="ABI8" s="7" t="n">
        <v>0.217207642012661</v>
      </c>
      <c r="ABJ8" s="7" t="n">
        <v>-0.714446299268392</v>
      </c>
      <c r="ABK8" s="7" t="n">
        <v>1.85734774961162</v>
      </c>
      <c r="ABL8" s="7" t="n">
        <v>-0.733787894270709</v>
      </c>
      <c r="ABM8" s="7" t="n">
        <v>1.08449503830386</v>
      </c>
      <c r="ABN8" s="7" t="n">
        <v>-1.193053015784</v>
      </c>
      <c r="ABO8" s="7" t="n">
        <v>-0.502738896850026</v>
      </c>
      <c r="ABP8" s="7" t="n">
        <v>-0.171368028659925</v>
      </c>
      <c r="ABQ8" s="7" t="n">
        <v>1.70773493333557</v>
      </c>
      <c r="ABR8" s="7" t="n">
        <v>-0.209821447993403</v>
      </c>
      <c r="ABS8" s="7" t="n">
        <v>2.30425832962782</v>
      </c>
      <c r="ABT8" s="7" t="n">
        <v>-2.24821922755717</v>
      </c>
      <c r="ABU8" s="7" t="n">
        <v>-0.245543493840083</v>
      </c>
      <c r="ABV8" s="7" t="n">
        <v>-1.46197582226626</v>
      </c>
      <c r="ABW8" s="7" t="n">
        <v>0.138833811040412</v>
      </c>
      <c r="ABX8" s="7" t="n">
        <v>-0.0853014349545753</v>
      </c>
      <c r="ABY8" s="7" t="n">
        <v>-2.55593762651243</v>
      </c>
      <c r="ABZ8" s="7" t="n">
        <v>2.29043668294198</v>
      </c>
      <c r="ACA8" s="7" t="n">
        <v>0.880511602703275</v>
      </c>
      <c r="ACB8" s="7" t="n">
        <v>1.17455257617067</v>
      </c>
      <c r="ACC8" s="7" t="n">
        <v>0.562515929639428</v>
      </c>
      <c r="ACD8" s="7" t="n">
        <v>-0.7266441865352991</v>
      </c>
      <c r="ACE8" s="7" t="n">
        <v>-0.148404409575623</v>
      </c>
      <c r="ACF8" s="7" t="n">
        <v>0.459915884422381</v>
      </c>
      <c r="ACG8" s="7" t="n">
        <v>-0.423480994244448</v>
      </c>
      <c r="ACH8" s="7" t="n">
        <v>0.265382184780472</v>
      </c>
      <c r="ACI8" s="7" t="n">
        <v>-0.678872546049718</v>
      </c>
      <c r="ACJ8" s="7" t="n">
        <v>0.811919307521053</v>
      </c>
      <c r="ACK8" s="7" t="n">
        <v>0.761139196690868</v>
      </c>
      <c r="ACL8" s="7" t="n">
        <v>0.724015930695779</v>
      </c>
      <c r="ACM8" s="7" t="n">
        <v>0.179394407600785</v>
      </c>
      <c r="ACN8" s="7" t="n">
        <v>0.0286569993752594</v>
      </c>
      <c r="ACO8" s="7" t="n">
        <v>-1.37398150815209</v>
      </c>
      <c r="ACP8" s="7" t="n">
        <v>-0.665019086078539</v>
      </c>
      <c r="ACQ8" s="7" t="n">
        <v>-0.111537971330047</v>
      </c>
      <c r="ACR8" s="7" t="n">
        <v>0.322063281933719</v>
      </c>
      <c r="ACS8" s="7" t="n">
        <v>-0.0517862158831376</v>
      </c>
      <c r="ACT8" s="7" t="n">
        <v>1.20392346846511</v>
      </c>
      <c r="ACU8" s="7" t="n">
        <v>1.56293775243092</v>
      </c>
      <c r="ACV8" s="7" t="n">
        <v>-0.0297821466898722</v>
      </c>
      <c r="ACW8" s="7" t="n">
        <v>-0.164343355370194</v>
      </c>
      <c r="ACX8" s="7" t="n">
        <v>-0.874709101744507</v>
      </c>
      <c r="ACY8" s="7" t="n">
        <v>-0.652739756885337</v>
      </c>
      <c r="ACZ8" s="7" t="n">
        <v>1.35992044774312</v>
      </c>
      <c r="ADA8" s="7" t="n">
        <v>-0.672324951899968</v>
      </c>
      <c r="ADB8" s="7" t="n">
        <v>-0.706286935041989</v>
      </c>
      <c r="ADC8" s="7" t="n">
        <v>-0.207848616448826</v>
      </c>
      <c r="ADD8" s="7" t="n">
        <v>0.256289894514376</v>
      </c>
      <c r="ADE8" s="7" t="n">
        <v>-1.50014946763626</v>
      </c>
      <c r="ADF8" s="7" t="n">
        <v>-0.925339920041917</v>
      </c>
      <c r="ADG8" s="7" t="n">
        <v>-0.157122394737942</v>
      </c>
      <c r="ADH8" s="7" t="n">
        <v>-0.158396128585041</v>
      </c>
      <c r="ADI8" s="7" t="n">
        <v>0.519925906051931</v>
      </c>
      <c r="ADJ8" s="7" t="n">
        <v>-2.13046825658522</v>
      </c>
      <c r="ADK8" s="7" t="n">
        <v>-1.40650005785388</v>
      </c>
      <c r="ADL8" s="7" t="n">
        <v>0.0524721956788632</v>
      </c>
      <c r="ADM8" s="7" t="n">
        <v>0.825234215955319</v>
      </c>
      <c r="ADN8" s="7" t="n">
        <v>0.132543442564162</v>
      </c>
      <c r="ADO8" s="7" t="n">
        <v>0.497489289595576</v>
      </c>
      <c r="ADP8" s="7" t="n">
        <v>-1.48184662230434</v>
      </c>
      <c r="ADQ8" s="7" t="n">
        <v>1.59009060670829</v>
      </c>
      <c r="ADR8" s="7" t="n">
        <v>1.42364324836083</v>
      </c>
      <c r="ADS8" s="7" t="n">
        <v>0.919885033272195</v>
      </c>
      <c r="ADT8" s="7" t="n">
        <v>0.168132471506235</v>
      </c>
      <c r="ADU8" s="7" t="n">
        <v>-2.4887486916654</v>
      </c>
      <c r="ADV8" s="7" t="n">
        <v>0.124911324238059</v>
      </c>
      <c r="ADW8" s="7" t="n">
        <v>0.451712136066895</v>
      </c>
      <c r="ADX8" s="7" t="n">
        <v>-0.558082677026477</v>
      </c>
      <c r="ADY8" s="7" t="n">
        <v>1.04702071122662</v>
      </c>
      <c r="ADZ8" s="7" t="n">
        <v>-0.0252168301522737</v>
      </c>
      <c r="AEA8" s="7" t="n">
        <v>-0.487868177124676</v>
      </c>
      <c r="AEB8" s="7" t="n">
        <v>-0.271995670326038</v>
      </c>
      <c r="AEC8" s="7" t="n">
        <v>-0.316987252703098</v>
      </c>
      <c r="AED8" s="7" t="n">
        <v>1.08053686546266</v>
      </c>
      <c r="AEE8" s="7" t="n">
        <v>0.81169566151252</v>
      </c>
      <c r="AEF8" s="7" t="n">
        <v>0.933871880071815</v>
      </c>
      <c r="AEG8" s="7" t="n">
        <v>-0.692449184271032</v>
      </c>
      <c r="AEH8" s="7" t="n">
        <v>1.21402234196926</v>
      </c>
      <c r="AEI8" s="7" t="n">
        <v>1.64310619172848</v>
      </c>
      <c r="AEJ8" s="7" t="n">
        <v>1.01042880883608</v>
      </c>
      <c r="AEK8" s="7" t="n">
        <v>0.20829924850747</v>
      </c>
      <c r="AEL8" s="7" t="n">
        <v>-1.57754317849113</v>
      </c>
      <c r="AEM8" s="7" t="n">
        <v>0.551851097214715</v>
      </c>
      <c r="AEN8" s="7" t="n">
        <v>0.235449106164743</v>
      </c>
      <c r="AEO8" s="7" t="n">
        <v>-1.71262963474223</v>
      </c>
      <c r="AEP8" s="7" t="n">
        <v>-0.0235649307152494</v>
      </c>
      <c r="AEQ8" s="7" t="n">
        <v>0.861033676004978</v>
      </c>
      <c r="AER8" s="7" t="n">
        <v>-0.516349602380118</v>
      </c>
      <c r="AES8" s="7" t="n">
        <v>0.843382423026084</v>
      </c>
      <c r="AET8" s="7" t="n">
        <v>0.724108284704062</v>
      </c>
      <c r="AEU8" s="7" t="n">
        <v>-0.339670420642393</v>
      </c>
      <c r="AEV8" s="7" t="n">
        <v>-0.982104646188605</v>
      </c>
      <c r="AEW8" s="7" t="n">
        <v>0.118246790417565</v>
      </c>
      <c r="AEX8" s="7" t="n">
        <v>0.440370891272479</v>
      </c>
      <c r="AEY8" s="7" t="n">
        <v>-1.64623212306892</v>
      </c>
      <c r="AEZ8" s="7" t="n">
        <v>0.0447150090653902</v>
      </c>
      <c r="AFA8" s="7" t="n">
        <v>-0.846345720349293</v>
      </c>
      <c r="AFB8" s="7" t="n">
        <v>1.39602822675759</v>
      </c>
      <c r="AFC8" s="7" t="n">
        <v>-0.652347696691952</v>
      </c>
      <c r="AFD8" s="7" t="n">
        <v>1.08945681310235</v>
      </c>
      <c r="AFE8" s="7" t="n">
        <v>-1.70879905743003</v>
      </c>
      <c r="AFF8" s="7" t="n">
        <v>0.62872443779398</v>
      </c>
      <c r="AFG8" s="7" t="n">
        <v>0.897737028241094</v>
      </c>
      <c r="AFH8" s="7" t="n">
        <v>0.492244443923487</v>
      </c>
      <c r="AFI8" s="7" t="n">
        <v>-1.17480091742433</v>
      </c>
      <c r="AFJ8" s="7" t="n">
        <v>0.726976003144451</v>
      </c>
      <c r="AFK8" s="7" t="n">
        <v>0.0760555092067358</v>
      </c>
      <c r="AFL8" s="7" t="n">
        <v>-0.804372315814021</v>
      </c>
      <c r="AFM8" s="7" t="n">
        <v>-0.667031169277121</v>
      </c>
      <c r="AFN8" s="7" t="n">
        <v>0.715040296981047</v>
      </c>
      <c r="AFO8" s="7" t="n">
        <v>0.163267472247704</v>
      </c>
      <c r="AFP8" s="7" t="n">
        <v>-0.265819043055416</v>
      </c>
      <c r="AFQ8" s="7" t="n">
        <v>-2.84682650769921</v>
      </c>
      <c r="AFR8" s="7" t="n">
        <v>1.98024100713064</v>
      </c>
      <c r="AFS8" s="7" t="n">
        <v>-0.555484693856832</v>
      </c>
      <c r="AFT8" s="7" t="n">
        <v>1.11336107324222</v>
      </c>
      <c r="AFU8" s="7" t="n">
        <v>-0.069022165504407</v>
      </c>
      <c r="AFV8" s="7" t="n">
        <v>-0.591361341385118</v>
      </c>
      <c r="AFW8" s="7" t="n">
        <v>-0.689496158447474</v>
      </c>
      <c r="AFX8" s="7" t="n">
        <v>-0.723043935110109</v>
      </c>
      <c r="AFY8" s="7" t="n">
        <v>0.352209919339602</v>
      </c>
      <c r="AFZ8" s="7" t="n">
        <v>2.05598196264912</v>
      </c>
      <c r="AGA8" s="7" t="n">
        <v>-0.586615958508994</v>
      </c>
      <c r="AGB8" s="7" t="n">
        <v>-0.677348779462057</v>
      </c>
      <c r="AGC8" s="7" t="n">
        <v>0.280930248081381</v>
      </c>
      <c r="AGD8" s="7" t="n">
        <v>-0.771304349221402</v>
      </c>
      <c r="AGE8" s="7" t="n">
        <v>1.45405646950312</v>
      </c>
      <c r="AGF8" s="7" t="n">
        <v>0.253427315554762</v>
      </c>
      <c r="AGG8" s="7" t="n">
        <v>1.33252820670865</v>
      </c>
      <c r="AGH8" s="7" t="n">
        <v>2.92883929936872</v>
      </c>
      <c r="AGI8" s="7" t="n">
        <v>-0.367210534142532</v>
      </c>
      <c r="AGJ8" s="7" t="n">
        <v>-0.88808598301555</v>
      </c>
      <c r="AGK8" s="7" t="n">
        <v>0.554419314145869</v>
      </c>
      <c r="AGL8" s="7" t="n">
        <v>0.395984413880427</v>
      </c>
      <c r="AGM8" s="7" t="n">
        <v>-0.06789796625567859</v>
      </c>
      <c r="AGN8" s="7" t="n">
        <v>-1.50724001724621</v>
      </c>
      <c r="AGO8" s="7" t="n">
        <v>-0.746357442321148</v>
      </c>
      <c r="AGP8" s="7" t="n">
        <v>1.54270828350176</v>
      </c>
      <c r="AGQ8" s="7" t="n">
        <v>0.840665141695534</v>
      </c>
      <c r="AGR8" s="7" t="n">
        <v>-0.353291157760559</v>
      </c>
      <c r="AGS8" s="7" t="n">
        <v>-0.593840707382884</v>
      </c>
      <c r="AGT8" s="7" t="n">
        <v>-0.497489823150872</v>
      </c>
      <c r="AGU8" s="7" t="n">
        <v>0.380642878712264</v>
      </c>
      <c r="AGV8" s="7" t="n">
        <v>-0.112418091521848</v>
      </c>
      <c r="AGW8" s="7" t="n">
        <v>1.59989456277961</v>
      </c>
      <c r="AGX8" s="7" t="n">
        <v>-0.104538773634328</v>
      </c>
      <c r="AGY8" s="7" t="n">
        <v>0.141904154275588</v>
      </c>
      <c r="AGZ8" s="7" t="n">
        <v>0.157098992667873</v>
      </c>
      <c r="AHA8" s="7" t="n">
        <v>1.19962679007235</v>
      </c>
      <c r="AHB8" s="7" t="n">
        <v>0.48034894699532</v>
      </c>
      <c r="AHC8" s="7" t="n">
        <v>0.06942787558801571</v>
      </c>
      <c r="AHD8" s="7" t="n">
        <v>-0.632886850943604</v>
      </c>
      <c r="AHE8" s="7" t="n">
        <v>0.573126627809774</v>
      </c>
      <c r="AHF8" s="7" t="n">
        <v>0.625524150109283</v>
      </c>
      <c r="AHG8" s="7" t="n">
        <v>0.06357712789845291</v>
      </c>
      <c r="AHH8" s="7" t="n">
        <v>0.225400545911378</v>
      </c>
      <c r="AHI8" s="7" t="n">
        <v>-0.627398456115449</v>
      </c>
      <c r="AHJ8" s="7" t="n">
        <v>-0.604157816593448</v>
      </c>
      <c r="AHK8" s="7" t="n">
        <v>0.341251652520906</v>
      </c>
      <c r="AHL8" s="7" t="n">
        <v>0.166202030449244</v>
      </c>
      <c r="AHM8" s="7" t="n">
        <v>0.337605014165462</v>
      </c>
      <c r="AHN8" s="7" t="n">
        <v>0.884181125378627</v>
      </c>
      <c r="AHO8" s="7" t="n">
        <v>0.344005031785733</v>
      </c>
      <c r="AHP8" s="7" t="n">
        <v>-0.40641627764066</v>
      </c>
      <c r="AHQ8" s="7" t="n">
        <v>0.859490314467977</v>
      </c>
      <c r="AHR8" s="7" t="n">
        <v>0.156811603653609</v>
      </c>
      <c r="AHS8" s="7" t="n">
        <v>2.06902000685671</v>
      </c>
      <c r="AHT8" s="7" t="n">
        <v>-0.314312892181408</v>
      </c>
      <c r="AHU8" s="7" t="n">
        <v>-0.446891435646834</v>
      </c>
      <c r="AHV8" s="7" t="n">
        <v>-1.80778681188163</v>
      </c>
      <c r="AHW8" s="7" t="n">
        <v>1.48641258155643</v>
      </c>
      <c r="AHX8" s="7" t="n">
        <v>0.571423109668844</v>
      </c>
      <c r="AHY8" s="7" t="n">
        <v>0.496130329572185</v>
      </c>
      <c r="AHZ8" s="7" t="n">
        <v>-1.26496503833688</v>
      </c>
      <c r="AIA8" s="7" t="n">
        <v>-0.805994314145973</v>
      </c>
      <c r="AIB8" s="7" t="n">
        <v>0.994859195425668</v>
      </c>
      <c r="AIC8" s="7" t="n">
        <v>0.790937108023244</v>
      </c>
      <c r="AID8" s="7" t="n">
        <v>-1.7310844845321</v>
      </c>
      <c r="AIE8" s="7" t="n">
        <v>-2.38340417302106</v>
      </c>
      <c r="AIF8" s="7" t="n">
        <v>0.194730583489249</v>
      </c>
      <c r="AIG8" s="7" t="n">
        <v>1.98330179817325</v>
      </c>
      <c r="AIH8" s="7" t="n">
        <v>-1.40054085446969</v>
      </c>
      <c r="AII8" s="7" t="n">
        <v>-0.503086958809176</v>
      </c>
      <c r="AIJ8" s="7" t="n">
        <v>-1.46193366531653</v>
      </c>
      <c r="AIK8" s="7" t="n">
        <v>-0.96199159922666</v>
      </c>
      <c r="AIL8" s="7" t="n">
        <v>0.383815444672318</v>
      </c>
      <c r="AIM8" s="7" t="n">
        <v>2.34768131522927</v>
      </c>
      <c r="AIN8" s="7" t="n">
        <v>-1.26355831126978</v>
      </c>
      <c r="AIO8" s="7" t="n">
        <v>1.32642504368133</v>
      </c>
      <c r="AIP8" s="7" t="n">
        <v>0.238923463488855</v>
      </c>
      <c r="AIQ8" s="7" t="n">
        <v>0.617475130260569</v>
      </c>
      <c r="AIR8" s="7" t="n">
        <v>-0.440025011761507</v>
      </c>
      <c r="AIS8" s="7" t="n">
        <v>0.85503020366385</v>
      </c>
      <c r="AIT8" s="7" t="n">
        <v>0.608383017571663</v>
      </c>
      <c r="AIU8" s="7" t="n">
        <v>1.09226962217813</v>
      </c>
      <c r="AIV8" s="7" t="n">
        <v>-0.62262691117382</v>
      </c>
      <c r="AIW8" s="7" t="n">
        <v>0.7966502419396581</v>
      </c>
      <c r="AIX8" s="7" t="n">
        <v>-0.214490628297729</v>
      </c>
      <c r="AIY8" s="7" t="n">
        <v>-0.630832123347521</v>
      </c>
      <c r="AIZ8" s="7" t="n">
        <v>-1.76053661534476</v>
      </c>
      <c r="AJA8" s="7" t="n">
        <v>0.71996751136773</v>
      </c>
      <c r="AJB8" s="7" t="n">
        <v>0.61519239502937</v>
      </c>
      <c r="AJC8" s="7" t="n">
        <v>-1.84262976097153</v>
      </c>
      <c r="AJD8" s="7" t="n">
        <v>-0.232111064646844</v>
      </c>
      <c r="AJE8" s="7" t="n">
        <v>0.227221499116898</v>
      </c>
      <c r="AJF8" s="7" t="n">
        <v>0.441642035006522</v>
      </c>
      <c r="AJG8" s="7" t="n">
        <v>0.266393331753658</v>
      </c>
      <c r="AJH8" s="7" t="n">
        <v>0.0434627370287114</v>
      </c>
      <c r="AJI8" s="7" t="n">
        <v>2.32654712952992</v>
      </c>
      <c r="AJJ8" s="7" t="n">
        <v>1.42249710628211</v>
      </c>
      <c r="AJK8" s="7" t="n">
        <v>-0.401501352072804</v>
      </c>
      <c r="AJL8" s="7" t="n">
        <v>0.668447169512447</v>
      </c>
      <c r="AJM8" s="7" t="n">
        <v>-0.401538253381767</v>
      </c>
      <c r="AJN8" s="7" t="n">
        <v>-0.520541594971622</v>
      </c>
      <c r="AJO8" s="7" t="n">
        <v>0.489629467930499</v>
      </c>
      <c r="AJP8" s="7" t="n">
        <v>-1.03330133776188</v>
      </c>
      <c r="AJQ8" s="7" t="n">
        <v>-2.24262699034262</v>
      </c>
      <c r="AJR8" s="7" t="n">
        <v>0.124711733364617</v>
      </c>
      <c r="AJS8" s="7" t="n">
        <v>0.122538626155148</v>
      </c>
      <c r="AJT8" s="7" t="n">
        <v>0.5521797948762061</v>
      </c>
      <c r="AJU8" s="7" t="n">
        <v>-0.658837742660687</v>
      </c>
      <c r="AJV8" s="7" t="n">
        <v>0.06331421448063949</v>
      </c>
      <c r="AJW8" s="7" t="n">
        <v>-0.344103036567001</v>
      </c>
      <c r="AJX8" s="7" t="n">
        <v>-0.158042233659604</v>
      </c>
      <c r="AJY8" s="7" t="n">
        <v>0.682621669604893</v>
      </c>
      <c r="AJZ8" s="7" t="n">
        <v>-0.671571923264855</v>
      </c>
      <c r="AKA8" s="7" t="n">
        <v>-1.5567790726879</v>
      </c>
      <c r="AKB8" s="7" t="n">
        <v>-0.0336131919447857</v>
      </c>
      <c r="AKC8" s="7" t="n">
        <v>0.496473750101841</v>
      </c>
      <c r="AKD8" s="7" t="n">
        <v>-1.27802119652501</v>
      </c>
      <c r="AKE8" s="7" t="n">
        <v>0.727519035323456</v>
      </c>
      <c r="AKF8" s="7" t="n">
        <v>0.173368992833835</v>
      </c>
      <c r="AKG8" s="7" t="n">
        <v>1.11340948161386</v>
      </c>
      <c r="AKH8" s="7" t="n">
        <v>0.9491019290952309</v>
      </c>
      <c r="AKI8" s="7" t="n">
        <v>-0.0463391077983868</v>
      </c>
      <c r="AKJ8" s="7" t="n">
        <v>-0.563812619157933</v>
      </c>
      <c r="AKK8" s="7" t="n">
        <v>0.699525656616126</v>
      </c>
      <c r="AKL8" s="7" t="n">
        <v>0.749973947580332</v>
      </c>
      <c r="AKM8" s="7" t="n">
        <v>1.74637956068645</v>
      </c>
      <c r="AKN8" s="7" t="n">
        <v>1.41328472459038</v>
      </c>
      <c r="AKO8" s="7" t="n">
        <v>1.2051122555947</v>
      </c>
      <c r="AKP8" s="7" t="n">
        <v>1.28675513259924</v>
      </c>
      <c r="AKQ8" s="7" t="n">
        <v>0.674643424595039</v>
      </c>
      <c r="AKR8" s="7" t="n">
        <v>1.71564979129658</v>
      </c>
      <c r="AKS8" s="7" t="n">
        <v>-1.46501006080785</v>
      </c>
      <c r="AKT8" s="7" t="n">
        <v>0.08141303848032209</v>
      </c>
      <c r="AKU8" s="7" t="n">
        <v>0.0277534437196424</v>
      </c>
      <c r="AKV8" s="7" t="n">
        <v>0.546729471385516</v>
      </c>
      <c r="AKW8" s="7" t="n">
        <v>1.74033849798307</v>
      </c>
      <c r="AKX8" s="7" t="n">
        <v>0.186799204213882</v>
      </c>
      <c r="AKY8" s="7" t="n">
        <v>1.51523408708356</v>
      </c>
      <c r="AKZ8" s="7" t="n">
        <v>0.442106385611913</v>
      </c>
      <c r="ALA8" s="7" t="n">
        <v>1.59223304767689</v>
      </c>
      <c r="ALB8" s="7" t="n">
        <v>-0.169425803828849</v>
      </c>
      <c r="ALC8" s="7" t="n">
        <v>-0.219329741901862</v>
      </c>
      <c r="ALD8" s="7" t="n">
        <v>-1.24224666780626</v>
      </c>
      <c r="ALE8" s="7" t="n">
        <v>1.81212364770088</v>
      </c>
      <c r="ALF8" s="7" t="n">
        <v>1.21940727180249</v>
      </c>
      <c r="ALG8" s="7" t="n">
        <v>0.214221821057712</v>
      </c>
      <c r="ALH8" s="7" t="n">
        <v>-1.27209741150653</v>
      </c>
      <c r="ALI8" s="7" t="n">
        <v>-0.22134378211217</v>
      </c>
      <c r="ALJ8" s="7" t="n">
        <v>1.0171736438589</v>
      </c>
      <c r="ALK8" s="7" t="n">
        <v>0.474896786281291</v>
      </c>
      <c r="ALL8" s="7" t="n">
        <v>0.9461607833581061</v>
      </c>
      <c r="ALM8" s="7" t="n">
        <v>-0.118361899185079</v>
      </c>
      <c r="ALN8" s="7" t="n">
        <v>-0.241543464170221</v>
      </c>
      <c r="ALO8" s="7" t="n">
        <v>0.0039052496265247</v>
      </c>
      <c r="ALP8" s="7" t="n">
        <v>0.238411416897022</v>
      </c>
      <c r="ALQ8" s="7" t="n">
        <v>-1.02965474067329</v>
      </c>
      <c r="ALR8" s="7" t="n">
        <v>-1.55447380699605</v>
      </c>
      <c r="ALS8" s="7" t="n">
        <v>0.551861316170791</v>
      </c>
      <c r="ALT8" s="7" t="n">
        <v>0.486740073707383</v>
      </c>
      <c r="ALU8" s="7" t="n">
        <v>-0.880319780821326</v>
      </c>
      <c r="ALV8" s="7" t="n">
        <v>-0.703801128239142</v>
      </c>
      <c r="ALW8" s="7" t="n">
        <v>1.09601013592637</v>
      </c>
      <c r="ALX8" s="7" t="n">
        <v>-0.190942337084576</v>
      </c>
      <c r="ALY8" s="7" t="n">
        <v>0.320157520402914</v>
      </c>
      <c r="ALZ8" s="7" t="n">
        <v>-0.0254091675646744</v>
      </c>
      <c r="AMA8" s="7" t="n">
        <v>0.645335208510959</v>
      </c>
      <c r="AMB8" s="7" t="n">
        <v>0.214413875330116</v>
      </c>
      <c r="AMC8" s="7" t="n">
        <v>0.262626837395337</v>
      </c>
      <c r="AMD8" s="7" t="n">
        <v>-0.258418531191267</v>
      </c>
      <c r="AME8" s="7" t="n">
        <v>0.345778652905584</v>
      </c>
      <c r="AMF8" s="7" t="n">
        <v>0.429297388610458</v>
      </c>
      <c r="AMG8" s="7" t="n">
        <v>0.789019804328067</v>
      </c>
      <c r="AMH8" s="7" t="n">
        <v>-1.45160027901284</v>
      </c>
      <c r="AMI8" s="7" t="n">
        <v>-0.838579104872464</v>
      </c>
      <c r="AMJ8" s="7" t="n">
        <v>-1.06989737628599</v>
      </c>
      <c r="AMK8" s="7" t="n">
        <v>-1.85308359871833</v>
      </c>
      <c r="AML8" s="7" t="n">
        <v>1.81166089023289</v>
      </c>
      <c r="AMM8" s="7" t="n">
        <v>0.199641088724677</v>
      </c>
      <c r="AMN8" s="7" t="n">
        <v>1.14151723132725</v>
      </c>
      <c r="AMO8" s="7" t="n">
        <v>0.660566269080944</v>
      </c>
      <c r="AMP8" s="7" t="n">
        <v>-0.360636510256359</v>
      </c>
      <c r="AMQ8" s="7" t="n">
        <v>0.732778048720366</v>
      </c>
      <c r="AMR8" s="7" t="n">
        <v>-1.1130774519414</v>
      </c>
      <c r="AMS8" s="7" t="n">
        <v>-0.235646722411579</v>
      </c>
      <c r="AMT8" s="7" t="n">
        <v>1.4225253928473</v>
      </c>
      <c r="AMU8" s="7" t="n">
        <v>-1.69531671146955</v>
      </c>
      <c r="AMV8" s="7" t="n">
        <v>-0.419653851930431</v>
      </c>
      <c r="AMW8" s="7" t="n">
        <v>0.850615299792232</v>
      </c>
      <c r="AMX8" s="7" t="n">
        <v>-2.51359751618544</v>
      </c>
      <c r="AMY8" s="7" t="n">
        <v>-0.272537741649267</v>
      </c>
      <c r="AMZ8" s="7" t="n">
        <v>0.470427495051133</v>
      </c>
      <c r="ANA8" s="7" t="n">
        <v>-0.978138015557263</v>
      </c>
      <c r="ANB8" s="7" t="n">
        <v>-0.153577069698479</v>
      </c>
      <c r="ANC8" s="7" t="n">
        <v>-1.25021823131633</v>
      </c>
      <c r="AND8" s="7" t="n">
        <v>-0.588790400994386</v>
      </c>
      <c r="ANE8" s="7" t="n">
        <v>0.856501415243063</v>
      </c>
      <c r="ANF8" s="7" t="n">
        <v>-1.10638465990032</v>
      </c>
      <c r="ANG8" s="7" t="n">
        <v>1.00336459101492</v>
      </c>
      <c r="ANH8" s="7" t="n">
        <v>0.243968902102594</v>
      </c>
      <c r="ANI8" s="7" t="n">
        <v>0.856703083876812</v>
      </c>
      <c r="ANJ8" s="7" t="n">
        <v>0.8594868313651211</v>
      </c>
      <c r="ANK8" s="7" t="n">
        <v>0.176120760686425</v>
      </c>
      <c r="ANL8" s="7" t="n">
        <v>0.347453882586206</v>
      </c>
      <c r="ANM8" s="7" t="n">
        <v>0.682812555718973</v>
      </c>
      <c r="ANN8" s="7" t="n">
        <v>-1.2081648273191</v>
      </c>
      <c r="ANO8" s="7" t="n">
        <v>-0.379580487341153</v>
      </c>
      <c r="ANP8" s="7" t="n">
        <v>0.870374204385662</v>
      </c>
      <c r="ANQ8" s="7" t="n">
        <v>1.20436520475085</v>
      </c>
      <c r="ANR8" s="7" t="n">
        <v>-1.42313980241388</v>
      </c>
      <c r="ANS8" s="7" t="n">
        <v>-1.52519816888147</v>
      </c>
      <c r="ANT8" s="7" t="n">
        <v>0.125255663262241</v>
      </c>
      <c r="ANU8" s="7" t="n">
        <v>-0.177029619730172</v>
      </c>
      <c r="ANV8" s="7" t="n">
        <v>-1.03309583231102</v>
      </c>
      <c r="ANW8" s="7" t="n">
        <v>-0.469728742188314</v>
      </c>
      <c r="ANX8" s="7" t="n">
        <v>0.456335570771574</v>
      </c>
      <c r="ANY8" s="7" t="n">
        <v>0.579359168304268</v>
      </c>
      <c r="ANZ8" s="7" t="n">
        <v>1.45491993368892</v>
      </c>
      <c r="AOA8" s="7" t="n">
        <v>-0.675819346872386</v>
      </c>
      <c r="AOB8" s="7" t="n">
        <v>-1.39052677843251</v>
      </c>
      <c r="AOC8" s="7" t="n">
        <v>1.47426700151006</v>
      </c>
      <c r="AOD8" s="7" t="n">
        <v>-0.177859579692655</v>
      </c>
      <c r="AOE8" s="7" t="n">
        <v>1.42897958692916</v>
      </c>
      <c r="AOF8" s="7" t="n">
        <v>1.77808022328737</v>
      </c>
      <c r="AOG8" s="7" t="n">
        <v>0.441469370937979</v>
      </c>
      <c r="AOH8" s="7" t="n">
        <v>-1.15612517989062</v>
      </c>
      <c r="AOI8" s="7" t="n">
        <v>0.0462498674469576</v>
      </c>
      <c r="AOJ8" s="7" t="n">
        <v>1.24547126041027</v>
      </c>
      <c r="AOK8" s="7" t="n">
        <v>-0.839328900821868</v>
      </c>
      <c r="AOL8" s="7" t="n">
        <v>0.0784068667903539</v>
      </c>
      <c r="AOM8" s="7" t="n">
        <v>1.05701521132795</v>
      </c>
      <c r="AON8" s="7" t="n">
        <v>2.52552092434221</v>
      </c>
      <c r="AOO8" s="7" t="n">
        <v>0.21711331408942</v>
      </c>
      <c r="AOP8" s="7" t="n">
        <v>0.819540527664734</v>
      </c>
      <c r="AOQ8" s="7" t="n">
        <v>0.780779692628599</v>
      </c>
      <c r="AOR8" s="7" t="n">
        <v>0.0615460060264975</v>
      </c>
      <c r="AOS8" s="7" t="n">
        <v>-1.497787866883</v>
      </c>
      <c r="AOT8" s="7" t="n">
        <v>-0.9538955671166151</v>
      </c>
      <c r="AOU8" s="7" t="n">
        <v>-0.930005967111745</v>
      </c>
      <c r="AOV8" s="7" t="n">
        <v>0.211102754526466</v>
      </c>
      <c r="AOW8" s="7" t="n">
        <v>0.116699989643686</v>
      </c>
      <c r="AOX8" s="7" t="n">
        <v>0.402489933456827</v>
      </c>
      <c r="AOY8" s="7" t="n">
        <v>-1.19182669149657</v>
      </c>
      <c r="AOZ8" s="7" t="n">
        <v>-0.08663132195332419</v>
      </c>
      <c r="APA8" s="7" t="n">
        <v>-0.453532662781356</v>
      </c>
      <c r="APB8" s="7" t="n">
        <v>0.382077809151901</v>
      </c>
      <c r="APC8" s="7" t="n">
        <v>0.807832619356037</v>
      </c>
      <c r="APD8" s="7" t="n">
        <v>-0.746674678544091</v>
      </c>
      <c r="APE8" s="7" t="n">
        <v>-2.17075448480523</v>
      </c>
      <c r="APF8" s="7" t="n">
        <v>-0.622380283112317</v>
      </c>
      <c r="APG8" s="7" t="n">
        <v>1.01801272797555</v>
      </c>
      <c r="APH8" s="7" t="n">
        <v>-1.24573550364798</v>
      </c>
      <c r="API8" s="7" t="n">
        <v>-2.35483856905871</v>
      </c>
      <c r="APJ8" s="7" t="n">
        <v>1.68137820432285</v>
      </c>
      <c r="APK8" s="7" t="n">
        <v>1.07859980533975</v>
      </c>
      <c r="APL8" s="7" t="n">
        <v>1.47802459641789</v>
      </c>
      <c r="APM8" s="7" t="n">
        <v>0.0728210733393773</v>
      </c>
      <c r="APN8" s="7" t="n">
        <v>-0.119985118144238</v>
      </c>
      <c r="APO8" s="7" t="n">
        <v>-1.82001594966247</v>
      </c>
      <c r="APP8" s="7" t="n">
        <v>1.66538027469257</v>
      </c>
      <c r="APQ8" s="7" t="n">
        <v>-1.07888180745878</v>
      </c>
      <c r="APR8" s="7" t="n">
        <v>-0.0043130441163113</v>
      </c>
      <c r="APS8" s="7" t="n">
        <v>-0.0485743568662252</v>
      </c>
      <c r="APT8" s="7" t="n">
        <v>-0.398592644814885</v>
      </c>
      <c r="APU8" s="7" t="n">
        <v>0.226140510721507</v>
      </c>
      <c r="APV8" s="7" t="n">
        <v>0.580419807888518</v>
      </c>
      <c r="APW8" s="7" t="n">
        <v>1.61158390685603</v>
      </c>
      <c r="APX8" s="7" t="n">
        <v>0.398699235029764</v>
      </c>
      <c r="APY8" s="7" t="n">
        <v>0.5044263345122521</v>
      </c>
      <c r="APZ8" s="7" t="n">
        <v>-0.9609081038980219</v>
      </c>
      <c r="AQA8" s="7" t="n">
        <v>0.247284597099389</v>
      </c>
      <c r="AQB8" s="7" t="n">
        <v>0.59824196941394</v>
      </c>
      <c r="AQC8" s="7" t="n">
        <v>-1.22848800965642</v>
      </c>
      <c r="AQD8" s="7" t="n">
        <v>1.69197448666711</v>
      </c>
      <c r="AQE8" s="7" t="n">
        <v>1.1486129281078</v>
      </c>
      <c r="AQF8" s="7" t="n">
        <v>0.610882788643841</v>
      </c>
      <c r="AQG8" s="7" t="n">
        <v>-1.18839420907573</v>
      </c>
      <c r="AQH8" s="7" t="n">
        <v>0.07656521771409509</v>
      </c>
      <c r="AQI8" s="7" t="n">
        <v>0.618939422367322</v>
      </c>
      <c r="AQJ8" s="7" t="n">
        <v>2.24189571103313</v>
      </c>
      <c r="AQK8" s="7" t="n">
        <v>-0.604692517245662</v>
      </c>
      <c r="AQL8" s="7" t="n">
        <v>0.09451763171426519</v>
      </c>
      <c r="AQM8" s="7" t="n">
        <v>2.63164223217052</v>
      </c>
      <c r="AQN8" s="7" t="n">
        <v>0.245847061671014</v>
      </c>
      <c r="AQO8" s="7" t="n">
        <v>0.0188583005642211</v>
      </c>
      <c r="AQP8" s="7" t="n">
        <v>1.76645994684592</v>
      </c>
      <c r="AQQ8" s="7" t="n">
        <v>0.125488705462977</v>
      </c>
      <c r="AQR8" s="7" t="n">
        <v>-1.0664114392886</v>
      </c>
      <c r="AQS8" s="7" t="n">
        <v>-0.846922641341443</v>
      </c>
      <c r="AQT8" s="7" t="n">
        <v>0.194543627228784</v>
      </c>
      <c r="AQU8" s="7" t="n">
        <v>-0.283917999976041</v>
      </c>
      <c r="AQV8" s="7" t="n">
        <v>0.238625786366648</v>
      </c>
      <c r="AQW8" s="7" t="n">
        <v>-0.6136080311366841</v>
      </c>
      <c r="AQX8" s="7" t="n">
        <v>0.671294373666582</v>
      </c>
      <c r="AQY8" s="7" t="n">
        <v>0.283394999802081</v>
      </c>
      <c r="AQZ8" s="7" t="n">
        <v>1.55541220000615</v>
      </c>
      <c r="ARA8" s="7" t="n">
        <v>0.568859004919537</v>
      </c>
      <c r="ARB8" s="7" t="n">
        <v>0.454569754080658</v>
      </c>
      <c r="ARC8" s="7" t="n">
        <v>0.940347544334098</v>
      </c>
      <c r="ARD8" s="7" t="n">
        <v>-0.597754986721191</v>
      </c>
      <c r="ARE8" s="7" t="n">
        <v>-0.308194535000549</v>
      </c>
      <c r="ARF8" s="7" t="n">
        <v>-1.02845228829097</v>
      </c>
      <c r="ARG8" s="7" t="n">
        <v>-1.21228728005291</v>
      </c>
      <c r="ARH8" s="7" t="n">
        <v>1.5927050007358</v>
      </c>
      <c r="ARI8" s="7" t="n">
        <v>1.25241039194936</v>
      </c>
      <c r="ARJ8" s="7" t="n">
        <v>-0.566660340054392</v>
      </c>
      <c r="ARK8" s="7" t="n">
        <v>0.378116769924628</v>
      </c>
      <c r="ARL8" s="7" t="n">
        <v>-0.456652797679275</v>
      </c>
      <c r="ARM8" s="7" t="n">
        <v>0.309807993218241</v>
      </c>
      <c r="ARN8" s="7" t="n">
        <v>-0.229338013310667</v>
      </c>
      <c r="ARO8" s="7" t="n">
        <v>-1.66533127580125</v>
      </c>
      <c r="ARP8" s="7" t="n">
        <v>0.386831105199756</v>
      </c>
      <c r="ARQ8" s="7" t="n">
        <v>0.216748866883773</v>
      </c>
      <c r="ARR8" s="7" t="n">
        <v>-0.44553727055306</v>
      </c>
      <c r="ARS8" s="7" t="n">
        <v>-0.933435189959584</v>
      </c>
      <c r="ART8" s="7" t="n">
        <v>-0.797982043229122</v>
      </c>
      <c r="ARU8" s="7" t="n">
        <v>-0.432791144453614</v>
      </c>
      <c r="ARV8" s="7" t="n">
        <v>0.388248896611172</v>
      </c>
      <c r="ARW8" s="7" t="n">
        <v>0.815197940358078</v>
      </c>
      <c r="ARX8" s="7" t="n">
        <v>-1.44670588909122</v>
      </c>
      <c r="ARY8" s="7" t="n">
        <v>-0.875269514192326</v>
      </c>
      <c r="ARZ8" s="7" t="n">
        <v>0.386865124050443</v>
      </c>
      <c r="ASA8" s="7" t="n">
        <v>0.591034570560341</v>
      </c>
      <c r="ASB8" s="7" t="n">
        <v>1.47463176111591</v>
      </c>
      <c r="ASC8" s="7" t="n">
        <v>0.08453838519000501</v>
      </c>
      <c r="ASD8" s="7" t="n">
        <v>0.804594588068813</v>
      </c>
      <c r="ASE8" s="7" t="n">
        <v>-0.0908703216679291</v>
      </c>
      <c r="ASF8" s="7" t="n">
        <v>0.694406252781528</v>
      </c>
      <c r="ASG8" s="7" t="n">
        <v>-1.97269579900098</v>
      </c>
      <c r="ASH8" s="7" t="n">
        <v>-0.82277404169311</v>
      </c>
      <c r="ASI8" s="7" t="n">
        <v>-1.36076782336228</v>
      </c>
      <c r="ASJ8" s="7" t="n">
        <v>-0.528849804890291</v>
      </c>
      <c r="ASK8" s="7" t="n">
        <v>-0.45005416674462</v>
      </c>
      <c r="ASL8" s="7" t="n">
        <v>0.364053615602824</v>
      </c>
      <c r="ASM8" s="7" t="n">
        <v>-0.328818240597571</v>
      </c>
      <c r="ASN8" s="7" t="n">
        <v>0.590541472636838</v>
      </c>
      <c r="ASO8" s="7" t="n">
        <v>1.12301796914508</v>
      </c>
      <c r="ASP8" s="7" t="n">
        <v>-0.837815114165812</v>
      </c>
      <c r="ASQ8" s="7" t="n">
        <v>-1.91280229609637</v>
      </c>
      <c r="ASR8" s="7" t="n">
        <v>-0.198031779066312</v>
      </c>
      <c r="ASS8" s="7" t="n">
        <v>-0.238249563457886</v>
      </c>
      <c r="AST8" s="7" t="n">
        <v>-0.221201113166653</v>
      </c>
      <c r="ASU8" s="7" t="n">
        <v>-1.59929046944486</v>
      </c>
      <c r="ASV8" s="7" t="n">
        <v>-1.55514909902751</v>
      </c>
      <c r="ASW8" s="7" t="n">
        <v>-0.582570191532215</v>
      </c>
      <c r="ASX8" s="7" t="n">
        <v>0.52405949756804</v>
      </c>
      <c r="ASY8" s="7" t="n">
        <v>-0.335420172014439</v>
      </c>
      <c r="ASZ8" s="7" t="n">
        <v>-0.559882749216121</v>
      </c>
      <c r="ATA8" s="7" t="n">
        <v>-0.291466917401872</v>
      </c>
      <c r="ATB8" s="7" t="n">
        <v>-1.55021768440439</v>
      </c>
      <c r="ATC8" s="7" t="n">
        <v>-0.696977315595172</v>
      </c>
      <c r="ATD8" s="7" t="n">
        <v>0.649084064506543</v>
      </c>
      <c r="ATE8" s="7" t="n">
        <v>-1.154562191395</v>
      </c>
      <c r="ATF8" s="7" t="n">
        <v>0.423378494020054</v>
      </c>
      <c r="ATG8" s="7" t="n">
        <v>-0.160624824396623</v>
      </c>
      <c r="ATH8" s="7" t="n">
        <v>0.206647676890778</v>
      </c>
      <c r="ATI8" s="7" t="n">
        <v>1.60063784460365</v>
      </c>
      <c r="ATJ8" s="7" t="n">
        <v>-0.465028969595287</v>
      </c>
      <c r="ATK8" s="7" t="n">
        <v>-0.526447898237858</v>
      </c>
      <c r="ATL8" s="7" t="n">
        <v>-0.0183393070941884</v>
      </c>
      <c r="ATM8" s="7" t="n">
        <v>2.7980277583996</v>
      </c>
      <c r="ATN8" s="7" t="n">
        <v>-1.25585672901709</v>
      </c>
      <c r="ATO8" s="7" t="n">
        <v>0.371529945591991</v>
      </c>
      <c r="ATP8" s="7" t="n">
        <v>0.15914539231856</v>
      </c>
      <c r="ATQ8" s="7" t="n">
        <v>0.377966974758097</v>
      </c>
      <c r="ATR8" s="7" t="n">
        <v>0.440651050636782</v>
      </c>
      <c r="ATS8" s="7" t="n">
        <v>2.15075153603699</v>
      </c>
      <c r="ATT8" s="7" t="n">
        <v>-1.02058545584297</v>
      </c>
      <c r="ATU8" s="7" t="n">
        <v>-1.58349920928503</v>
      </c>
      <c r="ATV8" s="7" t="n">
        <v>1.07149066275901</v>
      </c>
      <c r="ATW8" s="7" t="n">
        <v>0.0604879597792494</v>
      </c>
      <c r="ATX8" s="7" t="n">
        <v>0.90947024943508</v>
      </c>
      <c r="ATY8" s="7" t="n">
        <v>-2.19243569649998</v>
      </c>
      <c r="ATZ8" s="7" t="n">
        <v>0.416689206672019</v>
      </c>
      <c r="AUA8" s="7" t="n">
        <v>0.892050014037959</v>
      </c>
      <c r="AUB8" s="7" t="n">
        <v>-0.616913897598821</v>
      </c>
      <c r="AUC8" s="7" t="n">
        <v>-0.961168471527865</v>
      </c>
      <c r="AUD8" s="7" t="n">
        <v>0.508884094902164</v>
      </c>
      <c r="AUE8" s="7" t="n">
        <v>-1.86323450901543</v>
      </c>
      <c r="AUF8" s="7" t="n">
        <v>-0.12819583655532</v>
      </c>
      <c r="AUG8" s="7" t="n">
        <v>-0.90546835986225</v>
      </c>
      <c r="AUH8" s="7" t="n">
        <v>0.74263486315114</v>
      </c>
      <c r="AUI8" s="7" t="n">
        <v>-0.38479483254858</v>
      </c>
      <c r="AUJ8" s="7" t="n">
        <v>-1.12527620584446</v>
      </c>
      <c r="AUK8" s="7" t="n">
        <v>-0.932382714459801</v>
      </c>
      <c r="AUL8" s="7" t="n">
        <v>1.96573996022759</v>
      </c>
      <c r="AUM8" s="7" t="n">
        <v>-0.948201689103489</v>
      </c>
      <c r="AUN8" s="7" t="n">
        <v>-0.084151094750385</v>
      </c>
      <c r="AUO8" s="7" t="n">
        <v>-0.45368264058629</v>
      </c>
      <c r="AUP8" s="7" t="n">
        <v>1.99024200679137</v>
      </c>
      <c r="AUQ8" s="7" t="n">
        <v>-0.78468858975525</v>
      </c>
      <c r="AUR8" s="7" t="n">
        <v>-0.682829590749116</v>
      </c>
      <c r="AUS8" s="7" t="n">
        <v>-0.169640959001652</v>
      </c>
      <c r="AUT8" s="7" t="n">
        <v>-0.263654666168604</v>
      </c>
      <c r="AUU8" s="7" t="n">
        <v>-0.829535563264482</v>
      </c>
      <c r="AUV8" s="7" t="n">
        <v>-1.78964959159668</v>
      </c>
      <c r="AUW8" s="7" t="n">
        <v>-1.28919744299143</v>
      </c>
      <c r="AUX8" s="7" t="n">
        <v>-0.0857179633500641</v>
      </c>
      <c r="AUY8" s="7" t="n">
        <v>-0.511958194943226</v>
      </c>
      <c r="AUZ8" s="7" t="n">
        <v>-0.431113705193842</v>
      </c>
      <c r="AVA8" s="7" t="n">
        <v>-0.324177673787627</v>
      </c>
      <c r="AVB8" s="7" t="n">
        <v>-0.571841941020463</v>
      </c>
      <c r="AVC8" s="7" t="n">
        <v>0.5831836188324589</v>
      </c>
      <c r="AVD8" s="7" t="n">
        <v>0.616425363817165</v>
      </c>
      <c r="AVE8" s="7" t="n">
        <v>0.698055038494341</v>
      </c>
      <c r="AVF8" s="7" t="n">
        <v>1.4965331073027</v>
      </c>
      <c r="AVG8" s="7" t="n">
        <v>2.01133156196176</v>
      </c>
      <c r="AVH8" s="7" t="n">
        <v>0.203151171515152</v>
      </c>
      <c r="AVI8" s="7" t="n">
        <v>0.609587159568196</v>
      </c>
      <c r="AVJ8" s="7" t="n">
        <v>-1.13503905925787</v>
      </c>
      <c r="AVK8" s="7" t="n">
        <v>-1.80783424029918</v>
      </c>
      <c r="AVL8" s="7" t="n">
        <v>-0.283679429811581</v>
      </c>
      <c r="AVM8" s="7" t="n">
        <v>0.364727278152068</v>
      </c>
      <c r="AVN8" s="7" t="n">
        <v>-0.0598984874361201</v>
      </c>
      <c r="AVO8" s="7" t="n">
        <v>1.401710841807</v>
      </c>
      <c r="AVP8" s="7" t="n">
        <v>1.44942619092756</v>
      </c>
      <c r="AVQ8" s="7" t="n">
        <v>1.60491588477472</v>
      </c>
      <c r="AVR8" s="7" t="n">
        <v>1.74802638824119</v>
      </c>
      <c r="AVS8" s="7" t="n">
        <v>0.543324951999084</v>
      </c>
      <c r="AVT8" s="7" t="n">
        <v>0.718090082595796</v>
      </c>
      <c r="AVU8" s="7" t="n">
        <v>-0.813184217625336</v>
      </c>
      <c r="AVV8" s="7" t="n">
        <v>-0.839806234535676</v>
      </c>
      <c r="AVW8" s="7" t="n">
        <v>0.118524622045525</v>
      </c>
      <c r="AVX8" s="7" t="n">
        <v>0.134804271833647</v>
      </c>
      <c r="AVY8" s="7" t="n">
        <v>-1.71284106961132</v>
      </c>
      <c r="AVZ8" s="7" t="n">
        <v>-0.367961536339503</v>
      </c>
      <c r="AWA8" s="7" t="n">
        <v>0.174428667268959</v>
      </c>
      <c r="AWB8" s="7" t="n">
        <v>1.29664886987608</v>
      </c>
      <c r="AWC8" s="7" t="n">
        <v>1.30082801511429</v>
      </c>
      <c r="AWD8" s="7" t="n">
        <v>0.759059132434333</v>
      </c>
      <c r="AWE8" s="7" t="n">
        <v>0.873143358795929</v>
      </c>
      <c r="AWF8" s="7" t="n">
        <v>-0.179526006226252</v>
      </c>
      <c r="AWG8" s="7" t="n">
        <v>0.26646554541162</v>
      </c>
      <c r="AWH8" s="7" t="n">
        <v>1.76220220352309</v>
      </c>
      <c r="AWI8" s="7" t="n">
        <v>2.01745396225137</v>
      </c>
      <c r="AWJ8" s="7" t="n">
        <v>-1.17713647355743</v>
      </c>
      <c r="AWK8" s="7" t="n">
        <v>0.933711795206954</v>
      </c>
      <c r="AWL8" s="7" t="n">
        <v>1.59881856263782</v>
      </c>
      <c r="AWM8" s="7" t="n">
        <v>-0.846246426010501</v>
      </c>
      <c r="AWN8" s="7" t="n">
        <v>-0.473317982388953</v>
      </c>
      <c r="AWO8" s="7" t="n">
        <v>-1.09076020927559</v>
      </c>
      <c r="AWP8" s="7" t="n">
        <v>-0.351108333830063</v>
      </c>
      <c r="AWQ8" s="7" t="n">
        <v>0.181380789626773</v>
      </c>
      <c r="AWR8" s="7" t="n">
        <v>0.22372436439696</v>
      </c>
      <c r="AWS8" s="7" t="n">
        <v>0.817643053452574</v>
      </c>
      <c r="AWT8" s="7" t="n">
        <v>0.0489372248529355</v>
      </c>
      <c r="AWU8" s="7" t="n">
        <v>0.471736198295067</v>
      </c>
      <c r="AWV8" s="7" t="n">
        <v>-0.787210611381622</v>
      </c>
      <c r="AWW8" s="7" t="n">
        <v>0.54974608811375</v>
      </c>
      <c r="AWX8" s="7" t="n">
        <v>-0.902021702161575</v>
      </c>
      <c r="AWY8" s="7" t="n">
        <v>1.05692552327064</v>
      </c>
      <c r="AWZ8" s="7" t="n">
        <v>-0.8356712297589</v>
      </c>
      <c r="AXA8" s="7" t="n">
        <v>1.06053446580947</v>
      </c>
      <c r="AXB8" s="7" t="n">
        <v>0.283199847867392</v>
      </c>
      <c r="AXC8" s="7" t="n">
        <v>0.496613329480677</v>
      </c>
      <c r="AXD8" s="7" t="n">
        <v>0.5799289759624811</v>
      </c>
      <c r="AXE8" s="7" t="n">
        <v>1.3645355796189</v>
      </c>
      <c r="AXF8" s="7" t="n">
        <v>1.31247764964464</v>
      </c>
      <c r="AXG8" s="7" t="n">
        <v>-0.824261439753277</v>
      </c>
      <c r="AXH8" s="7" t="n">
        <v>0.0554882996157991</v>
      </c>
      <c r="AXI8" s="7" t="n">
        <v>-0.160945465444916</v>
      </c>
      <c r="AXJ8" s="7" t="n">
        <v>1.00478566971183</v>
      </c>
      <c r="AXK8" s="7" t="n">
        <v>0.507301712553657</v>
      </c>
      <c r="AXL8" s="7" t="n">
        <v>-0.08439569929494049</v>
      </c>
      <c r="AXM8" s="7" t="n">
        <v>-0.712064621116284</v>
      </c>
      <c r="AXN8" s="7" t="n">
        <v>-0.0500230261903308</v>
      </c>
      <c r="AXO8" s="7" t="n">
        <v>0.999354052215264</v>
      </c>
      <c r="AXP8" s="7" t="n">
        <v>0.953188414576213</v>
      </c>
      <c r="AXQ8" s="7" t="n">
        <v>-0.8761697737513749</v>
      </c>
      <c r="AXR8" s="7" t="n">
        <v>-1.06131615068457</v>
      </c>
      <c r="AXS8" s="7" t="n">
        <v>-1.8582746256584</v>
      </c>
      <c r="AXT8" s="7" t="n">
        <v>1.56823374511439</v>
      </c>
      <c r="AXU8" s="7" t="n">
        <v>0.427871438496394</v>
      </c>
      <c r="AXV8" s="7" t="n">
        <v>-0.0242397008909768</v>
      </c>
      <c r="AXW8" s="7" t="n">
        <v>-0.7481433753489301</v>
      </c>
      <c r="AXX8" s="7" t="n">
        <v>-0.5373235512400381</v>
      </c>
      <c r="AXY8" s="7" t="n">
        <v>-1.41323778538285</v>
      </c>
      <c r="AXZ8" s="7" t="n">
        <v>-0.323571701916298</v>
      </c>
      <c r="AYA8" s="7" t="n">
        <v>-1.00582469322447</v>
      </c>
      <c r="AYB8" s="7" t="n">
        <v>-0.196429353728396</v>
      </c>
      <c r="AYC8" s="7" t="n">
        <v>-0.491923968946456</v>
      </c>
      <c r="AYD8" s="7" t="n">
        <v>0.6124550520443</v>
      </c>
      <c r="AYE8" s="7" t="n">
        <v>2.04552754542428</v>
      </c>
      <c r="AYF8" s="7" t="n">
        <v>-0.701138156998537</v>
      </c>
      <c r="AYG8" s="7" t="n">
        <v>-0.952872370804719</v>
      </c>
      <c r="AYH8" s="7" t="n">
        <v>0.387544752349281</v>
      </c>
      <c r="AYI8" s="7" t="n">
        <v>0.568107086490552</v>
      </c>
      <c r="AYJ8" s="7" t="n">
        <v>1.28575235703287</v>
      </c>
      <c r="AYK8" s="7" t="n">
        <v>0.507517845770308</v>
      </c>
      <c r="AYL8" s="7" t="n">
        <v>1.19916477401549</v>
      </c>
      <c r="AYM8" s="7" t="n">
        <v>0.8235736368734</v>
      </c>
      <c r="AYN8" s="7" t="n">
        <v>0.0136297363475638</v>
      </c>
      <c r="AYO8" s="7" t="n">
        <v>0.215958304404785</v>
      </c>
      <c r="AYP8" s="7" t="n">
        <v>-1.60642088550755</v>
      </c>
      <c r="AYQ8" s="7" t="n">
        <v>2.30640741196108</v>
      </c>
      <c r="AYR8" s="7" t="n">
        <v>1.22332094039353</v>
      </c>
      <c r="AYS8" s="7" t="n">
        <v>-0.681885187618807</v>
      </c>
      <c r="AYT8" s="7" t="n">
        <v>-1.27653721275</v>
      </c>
      <c r="AYU8" s="7" t="n">
        <v>-1.64718632168003</v>
      </c>
      <c r="AYV8" s="7" t="n">
        <v>1.36239008743705</v>
      </c>
      <c r="AYW8" s="7" t="n">
        <v>-0.922466334223642</v>
      </c>
      <c r="AYX8" s="7" t="n">
        <v>-0.828792309851642</v>
      </c>
      <c r="AYY8" s="7" t="n">
        <v>0.462180794979893</v>
      </c>
      <c r="AYZ8" s="7" t="n">
        <v>0.7519850522327221</v>
      </c>
      <c r="AZA8" s="7" t="n">
        <v>0.808416374275818</v>
      </c>
      <c r="AZB8" s="7" t="n">
        <v>0.861931138235822</v>
      </c>
      <c r="AZC8" s="7" t="n">
        <v>-0.0448010511365611</v>
      </c>
      <c r="AZD8" s="7" t="n">
        <v>-0.0882827769070401</v>
      </c>
      <c r="AZE8" s="7" t="n">
        <v>0.462227199718026</v>
      </c>
      <c r="AZF8" s="7" t="n">
        <v>0.498683700885551</v>
      </c>
      <c r="AZG8" s="7" t="n">
        <v>0.317761737564495</v>
      </c>
      <c r="AZH8" s="7" t="n">
        <v>1.6961205698687</v>
      </c>
      <c r="AZI8" s="7" t="n">
        <v>0.274601367166801</v>
      </c>
      <c r="AZJ8" s="7" t="n">
        <v>0.621273463017826</v>
      </c>
      <c r="AZK8" s="7" t="n">
        <v>-0.7376610522345109</v>
      </c>
      <c r="AZL8" s="7" t="n">
        <v>0.707695126448212</v>
      </c>
      <c r="AZM8" s="7" t="n">
        <v>0.0377348907205343</v>
      </c>
      <c r="AZN8" s="7" t="n">
        <v>-0.0502813112567655</v>
      </c>
      <c r="AZO8" s="7" t="n">
        <v>0.606701396108367</v>
      </c>
      <c r="AZP8" s="7" t="n">
        <v>-1.20158734358191</v>
      </c>
      <c r="AZQ8" s="7" t="n">
        <v>0.243502367726726</v>
      </c>
      <c r="AZR8" s="7" t="n">
        <v>-1.33404493963587</v>
      </c>
      <c r="AZS8" s="7" t="n">
        <v>-0.82900144992236</v>
      </c>
      <c r="AZT8" s="7" t="n">
        <v>0.813296151151541</v>
      </c>
      <c r="AZU8" s="7" t="n">
        <v>2.21475176088647</v>
      </c>
      <c r="AZV8" s="7" t="n">
        <v>0.0280650520629019</v>
      </c>
      <c r="AZW8" s="7" t="n">
        <v>0.0817658969455106</v>
      </c>
      <c r="AZX8" s="7" t="n">
        <v>1.58164963235</v>
      </c>
      <c r="AZY8" s="7" t="n">
        <v>0.512453978486585</v>
      </c>
      <c r="AZZ8" s="7" t="n">
        <v>0.392303057871806</v>
      </c>
      <c r="BAA8" s="7" t="n">
        <v>0.470989119684503</v>
      </c>
      <c r="BAB8" s="7" t="n">
        <v>0.533791490884211</v>
      </c>
      <c r="BAC8" s="7" t="n">
        <v>1.3441738999292</v>
      </c>
      <c r="BAD8" s="7" t="n">
        <v>-0.104919196060446</v>
      </c>
      <c r="BAE8" s="7" t="n">
        <v>0.536947324940829</v>
      </c>
      <c r="BAF8" s="7" t="n">
        <v>-0.0177960660659322</v>
      </c>
      <c r="BAG8" s="7" t="n">
        <v>0.708299413138088</v>
      </c>
      <c r="BAH8" s="7" t="n">
        <v>0.0145108593825034</v>
      </c>
      <c r="BAI8" s="7" t="n">
        <v>0.37758235375719</v>
      </c>
      <c r="BAJ8" s="7" t="n">
        <v>-0.433299486182234</v>
      </c>
      <c r="BAK8" s="7" t="n">
        <v>0.950465127350309</v>
      </c>
      <c r="BAL8" s="7" t="n">
        <v>-0.146610211547256</v>
      </c>
      <c r="BAM8" s="7" t="n">
        <v>0.490943500235873</v>
      </c>
      <c r="BAN8" s="7" t="n">
        <v>-0.700996938142445</v>
      </c>
      <c r="BAO8" s="7" t="n">
        <v>0.0916320590456787</v>
      </c>
      <c r="BAP8" s="7" t="n">
        <v>0.138748576309997</v>
      </c>
      <c r="BAQ8" s="7" t="n">
        <v>0.647270651831267</v>
      </c>
      <c r="BAR8" s="7" t="n">
        <v>1.70495845063878</v>
      </c>
      <c r="BAS8" s="7" t="n">
        <v>-1.52875773096693</v>
      </c>
      <c r="BAT8" s="7" t="n">
        <v>0.38635694154322</v>
      </c>
      <c r="BAU8" s="7" t="n">
        <v>-0.187747405281869</v>
      </c>
      <c r="BAV8" s="7" t="n">
        <v>-0.462951091981926</v>
      </c>
      <c r="BAW8" s="7" t="n">
        <v>-0.336648422081812</v>
      </c>
      <c r="BAX8" s="7" t="n">
        <v>0.214190580944029</v>
      </c>
      <c r="BAY8" s="7" t="n">
        <v>-0.117766796055379</v>
      </c>
      <c r="BAZ8" s="7" t="n">
        <v>0.313531944172522</v>
      </c>
      <c r="BBA8" s="7" t="n">
        <v>1.1477605071907</v>
      </c>
      <c r="BBB8" s="7" t="n">
        <v>0.303101131553753</v>
      </c>
      <c r="BBC8" s="7" t="n">
        <v>-0.807799363385208</v>
      </c>
      <c r="BBD8" s="7" t="n">
        <v>1.41846441466007</v>
      </c>
      <c r="BBE8" s="7" t="n">
        <v>-0.453710112202919</v>
      </c>
      <c r="BBF8" s="7" t="n">
        <v>0.176534439959441</v>
      </c>
      <c r="BBG8" s="7" t="n">
        <v>1.84457607049328</v>
      </c>
      <c r="BBH8" s="7" t="n">
        <v>-0.646380315163628</v>
      </c>
      <c r="BBI8" s="7" t="n">
        <v>-0.212491726299387</v>
      </c>
      <c r="BBJ8" s="7" t="n">
        <v>-0.964186086151581</v>
      </c>
      <c r="BBK8" s="7" t="n">
        <v>-0.494871417336248</v>
      </c>
      <c r="BBL8" s="7" t="n">
        <v>-2.03897782960322</v>
      </c>
      <c r="BBM8" s="7" t="n">
        <v>0.463545189264865</v>
      </c>
      <c r="BBN8" s="7" t="n">
        <v>0.260958713667216</v>
      </c>
      <c r="BBO8" s="7" t="n">
        <v>-0.0440620586917301</v>
      </c>
      <c r="BBP8" s="7" t="n">
        <v>0.40456884228772</v>
      </c>
      <c r="BBQ8" s="7" t="n">
        <v>0.187406066845128</v>
      </c>
      <c r="BBR8" s="7" t="n">
        <v>1.01070937161149</v>
      </c>
      <c r="BBS8" s="7" t="n">
        <v>-0.521108665589987</v>
      </c>
      <c r="BBT8" s="7" t="n">
        <v>-1.58204526245719</v>
      </c>
      <c r="BBU8" s="7" t="n">
        <v>0.560502064480232</v>
      </c>
      <c r="BBV8" s="7" t="n">
        <v>-0.781565243694929</v>
      </c>
      <c r="BBW8" s="7" t="n">
        <v>-0.114172670015351</v>
      </c>
      <c r="BBX8" s="7" t="n">
        <v>-0.655509236565507</v>
      </c>
      <c r="BBY8" s="7" t="n">
        <v>0.747961721711208</v>
      </c>
      <c r="BBZ8" s="7" t="n">
        <v>0.151929882272786</v>
      </c>
      <c r="BCA8" s="7" t="n">
        <v>0.244194260556266</v>
      </c>
      <c r="BCB8" s="7" t="n">
        <v>0.779131321120807</v>
      </c>
      <c r="BCC8" s="7" t="n">
        <v>0.961325600710017</v>
      </c>
      <c r="BCD8" s="7" t="n">
        <v>0.645295358763886</v>
      </c>
      <c r="BCE8" s="7" t="n">
        <v>-0.103230685371473</v>
      </c>
      <c r="BCF8" s="7" t="n">
        <v>0.87443853546259</v>
      </c>
      <c r="BCG8" s="7" t="n">
        <v>-0.989050622825458</v>
      </c>
      <c r="BCH8" s="7" t="n">
        <v>-0.0379708771024973</v>
      </c>
      <c r="BCI8" s="7" t="n">
        <v>-0.344988251953769</v>
      </c>
      <c r="BCJ8" s="7" t="n">
        <v>-0.826746923546689</v>
      </c>
      <c r="BCK8" s="7" t="n">
        <v>-0.921033937669139</v>
      </c>
      <c r="BCL8" s="7" t="n">
        <v>0.851196910901586</v>
      </c>
      <c r="BCM8" s="7" t="n">
        <v>0.271655023151295</v>
      </c>
      <c r="BCN8" s="7" t="n">
        <v>-2.12571809703101</v>
      </c>
      <c r="BCO8" s="7" t="n">
        <v>-0.451324509619293</v>
      </c>
      <c r="BCP8" s="7" t="n">
        <v>-0.59960172848313</v>
      </c>
      <c r="BCQ8" s="7" t="n">
        <v>-0.446550324993774</v>
      </c>
      <c r="BCR8" s="7" t="n">
        <v>-0.118174422988215</v>
      </c>
      <c r="BCS8" s="7" t="n">
        <v>-1.43913849715259</v>
      </c>
      <c r="BCT8" s="7" t="n">
        <v>-0.810952968380673</v>
      </c>
      <c r="BCU8" s="7" t="n">
        <v>-1.62046204888263</v>
      </c>
      <c r="BCV8" s="7" t="n">
        <v>2.07636437079757</v>
      </c>
      <c r="BCW8" s="7" t="n">
        <v>1.34753758852276</v>
      </c>
      <c r="BCX8" s="7" t="n">
        <v>-0.101840643349561</v>
      </c>
      <c r="BCY8" s="7" t="n">
        <v>-0.155176621905993</v>
      </c>
      <c r="BCZ8" s="7" t="n">
        <v>0.43715352406426</v>
      </c>
      <c r="BDA8" s="7" t="n">
        <v>1.4633343931898</v>
      </c>
      <c r="BDB8" s="7" t="n">
        <v>0.597901706988522</v>
      </c>
      <c r="BDC8" s="7" t="n">
        <v>-0.763980636011222</v>
      </c>
      <c r="BDD8" s="7" t="n">
        <v>1.09238785123914</v>
      </c>
      <c r="BDE8" s="7" t="n">
        <v>0.132880409810361</v>
      </c>
      <c r="BDF8" s="7" t="n">
        <v>-0.856692020214098</v>
      </c>
      <c r="BDG8" s="7" t="n">
        <v>-0.6441511545814</v>
      </c>
      <c r="BDH8" s="7" t="n">
        <v>-0.9209241936028431</v>
      </c>
      <c r="BDI8" s="7" t="n">
        <v>-1.20453556699671</v>
      </c>
      <c r="BDJ8" s="7" t="n">
        <v>0.0068709349762927</v>
      </c>
      <c r="BDK8" s="7" t="n">
        <v>-1.9708229353993</v>
      </c>
      <c r="BDL8" s="7" t="n">
        <v>-0.901079834565047</v>
      </c>
      <c r="BDM8" s="7" t="n">
        <v>-1.56065202253593</v>
      </c>
      <c r="BDN8" s="7" t="n">
        <v>0.280335632165067</v>
      </c>
      <c r="BDO8" s="7" t="n">
        <v>0.60267152403429</v>
      </c>
      <c r="BDP8" s="7" t="n">
        <v>-0.624481148105038</v>
      </c>
      <c r="BDQ8" s="7" t="n">
        <v>0.867654622298543</v>
      </c>
      <c r="BDR8" s="7" t="n">
        <v>-0.342723196943228</v>
      </c>
      <c r="BDS8" s="7" t="n">
        <v>-0.63431632464941</v>
      </c>
      <c r="BDT8" s="7" t="n">
        <v>-1.54447627791907</v>
      </c>
      <c r="BDU8" s="7" t="n">
        <v>0.105032737934578</v>
      </c>
      <c r="BDV8" s="7" t="n">
        <v>0.609326096665517</v>
      </c>
      <c r="BDW8" s="7" t="n">
        <v>0.870423340095497</v>
      </c>
      <c r="BDX8" s="7" t="n">
        <v>0.637871348216738</v>
      </c>
      <c r="BDY8" s="7" t="n">
        <v>-0.986949024711449</v>
      </c>
      <c r="BDZ8" s="7" t="n">
        <v>1.25376484369926</v>
      </c>
      <c r="BEA8" s="7" t="n">
        <v>0.60973835630956</v>
      </c>
      <c r="BEB8" s="7" t="n">
        <v>-0.980259383729037</v>
      </c>
      <c r="BEC8" s="7" t="n">
        <v>1.4753166784419</v>
      </c>
      <c r="BED8" s="7" t="n">
        <v>0.0054963678752838</v>
      </c>
      <c r="BEE8" s="7" t="n">
        <v>1.11412715310144</v>
      </c>
      <c r="BEF8" s="7" t="n">
        <v>-1.21136941999691</v>
      </c>
      <c r="BEG8" s="7" t="n">
        <v>0.137143223191495</v>
      </c>
      <c r="BEH8" s="7" t="n">
        <v>0.57946903413966</v>
      </c>
      <c r="BEI8" s="7" t="n">
        <v>1.4793981228235</v>
      </c>
      <c r="BEJ8" s="7" t="n">
        <v>0.208450246294589</v>
      </c>
      <c r="BEK8" s="7" t="n">
        <v>-1.06438140083548</v>
      </c>
      <c r="BEL8" s="7" t="n">
        <v>-0.160073486355394</v>
      </c>
      <c r="BEM8" s="7" t="n">
        <v>-0.12958117392389</v>
      </c>
      <c r="BEN8" s="7" t="n">
        <v>-0.240662537670711</v>
      </c>
      <c r="BEO8" s="7" t="n">
        <v>-0.471717760843177</v>
      </c>
      <c r="BEP8" s="7" t="n">
        <v>1.53469584051055</v>
      </c>
      <c r="BEQ8" s="7" t="n">
        <v>0.220322252436197</v>
      </c>
      <c r="BER8" s="7" t="n">
        <v>1.6169203979804</v>
      </c>
      <c r="BES8" s="7" t="n">
        <v>0.555017051126742</v>
      </c>
      <c r="BET8" s="7" t="n">
        <v>-0.882395165658829</v>
      </c>
      <c r="BEU8" s="7" t="n">
        <v>-1.31597191690077</v>
      </c>
      <c r="BEV8" s="7" t="n">
        <v>-1.29285493297274</v>
      </c>
      <c r="BEW8" s="7" t="n">
        <v>-1.35378472272073</v>
      </c>
      <c r="BEX8" s="7" t="n">
        <v>1.78328546932924</v>
      </c>
      <c r="BEY8" s="7" t="n">
        <v>1.61875333697345</v>
      </c>
      <c r="BEZ8" s="7" t="n">
        <v>1.0318422856956</v>
      </c>
      <c r="BFA8" s="7" t="n">
        <v>2.33090560378034</v>
      </c>
      <c r="BFB8" s="7" t="n">
        <v>-0.85058570745874</v>
      </c>
      <c r="BFC8" s="7" t="n">
        <v>1.2894459791593</v>
      </c>
      <c r="BFD8" s="7" t="n">
        <v>1.34023979207149</v>
      </c>
      <c r="BFE8" s="7" t="n">
        <v>-0.0347012146261451</v>
      </c>
      <c r="BFF8" s="7" t="n">
        <v>0.319354443944096</v>
      </c>
      <c r="BFG8" s="7" t="n">
        <v>0.869076173820982</v>
      </c>
      <c r="BFH8" s="7" t="n">
        <v>0.650113752306975</v>
      </c>
      <c r="BFI8" s="7" t="n">
        <v>0.479688955835812</v>
      </c>
      <c r="BFJ8" s="7" t="n">
        <v>0.614335098938108</v>
      </c>
      <c r="BFK8" s="7" t="n">
        <v>-0.25254412130313</v>
      </c>
      <c r="BFL8" s="7" t="n">
        <v>0.420072889679018</v>
      </c>
      <c r="BFM8" s="7" t="n">
        <v>-0.59518996052645</v>
      </c>
      <c r="BFN8" s="7" t="n">
        <v>-1.0745536514208</v>
      </c>
      <c r="BFO8" s="7" t="n">
        <v>-0.748523589475328</v>
      </c>
      <c r="BFP8" s="7" t="n">
        <v>1.23174927358299</v>
      </c>
      <c r="BFQ8" s="7" t="n">
        <v>-1.11643110677162</v>
      </c>
      <c r="BFR8" s="7" t="n">
        <v>0.0253152771991014</v>
      </c>
      <c r="BFS8" s="7" t="n">
        <v>-1.09987564205096</v>
      </c>
      <c r="BFT8" s="7" t="n">
        <v>-1.28955005611447</v>
      </c>
      <c r="BFU8" s="7" t="n">
        <v>-0.550430240323075</v>
      </c>
      <c r="BFV8" s="7" t="n">
        <v>-0.37882903627651</v>
      </c>
      <c r="BFW8" s="7" t="n">
        <v>0.193867360971937</v>
      </c>
      <c r="BFX8" s="7" t="n">
        <v>0.989064750730743</v>
      </c>
      <c r="BFY8" s="7" t="n">
        <v>-0.987882578493385</v>
      </c>
      <c r="BFZ8" s="7" t="n">
        <v>-0.297852891070525</v>
      </c>
      <c r="BGA8" s="7" t="n">
        <v>-0.632671832608715</v>
      </c>
      <c r="BGB8" s="7" t="n">
        <v>0.161967942912181</v>
      </c>
      <c r="BGC8" s="7" t="n">
        <v>0.80610831640769</v>
      </c>
      <c r="BGD8" s="7" t="n">
        <v>-1.15846218470137</v>
      </c>
      <c r="BGE8" s="7" t="n">
        <v>-0.43635562439443</v>
      </c>
      <c r="BGF8" s="7" t="n">
        <v>0.436532410777659</v>
      </c>
      <c r="BGG8" s="7" t="n">
        <v>1.1006976894529</v>
      </c>
      <c r="BGH8" s="7" t="n">
        <v>0.6329740863837769</v>
      </c>
      <c r="BGI8" s="7" t="n">
        <v>0.492537863443199</v>
      </c>
      <c r="BGJ8" s="7" t="n">
        <v>0.0154350386940847</v>
      </c>
      <c r="BGK8" s="7" t="n">
        <v>0.0124353620524117</v>
      </c>
      <c r="BGL8" s="7" t="n">
        <v>0.673540473547957</v>
      </c>
      <c r="BGM8" s="7" t="n">
        <v>-0.84816252145659</v>
      </c>
      <c r="BGN8" s="7" t="n">
        <v>1.62178498837038</v>
      </c>
      <c r="BGO8" s="7" t="n">
        <v>0.917684008313617</v>
      </c>
      <c r="BGP8" s="7" t="n">
        <v>1.17987184191935</v>
      </c>
      <c r="BGQ8" s="7" t="n">
        <v>-1.55485346478522</v>
      </c>
      <c r="BGR8" s="7" t="n">
        <v>-0.803304730153553</v>
      </c>
      <c r="BGS8" s="7" t="n">
        <v>0.982225189491108</v>
      </c>
      <c r="BGT8" s="7" t="n">
        <v>0.33362698956794</v>
      </c>
      <c r="BGU8" s="7" t="n">
        <v>-0.06479118772566569</v>
      </c>
      <c r="BGV8" s="7" t="n">
        <v>-1.64259114678673</v>
      </c>
      <c r="BGW8" s="7" t="n">
        <v>-1.76112075635746</v>
      </c>
      <c r="BGX8" s="7" t="n">
        <v>-0.882542401086482</v>
      </c>
      <c r="BGY8" s="7" t="n">
        <v>-0.106670301536934</v>
      </c>
      <c r="BGZ8" s="7" t="n">
        <v>-1.94764327114087</v>
      </c>
      <c r="BHA8" s="7" t="n">
        <v>1.02975795901185</v>
      </c>
      <c r="BHB8" s="7" t="n">
        <v>-0.9464860313024021</v>
      </c>
      <c r="BHC8" s="7" t="n">
        <v>1.52012083968732</v>
      </c>
      <c r="BHD8" s="7" t="n">
        <v>-0.768875304667018</v>
      </c>
      <c r="BHE8" s="7" t="n">
        <v>1.27879171985899</v>
      </c>
      <c r="BHF8" s="7" t="n">
        <v>0.965459694157818</v>
      </c>
      <c r="BHG8" s="7" t="n">
        <v>-1.43775811918875</v>
      </c>
      <c r="BHH8" s="7" t="n">
        <v>-1.37280836822162</v>
      </c>
      <c r="BHI8" s="7" t="n">
        <v>0.0351208418133869</v>
      </c>
      <c r="BHJ8" s="7" t="n">
        <v>-1.06443066891285</v>
      </c>
      <c r="BHK8" s="7" t="n">
        <v>-0.303932210652707</v>
      </c>
      <c r="BHL8" s="7" t="n">
        <v>1.06938821442334</v>
      </c>
      <c r="BHM8" s="7" t="n">
        <v>1.70077344036623</v>
      </c>
      <c r="BHN8" s="7" t="n">
        <v>-0.235020369074609</v>
      </c>
      <c r="BHO8" s="7" t="n">
        <v>-1.03728290454733</v>
      </c>
      <c r="BHP8" s="7" t="n">
        <v>-0.72151146946716</v>
      </c>
      <c r="BHQ8" s="7" t="n">
        <v>1.07771778137127</v>
      </c>
      <c r="BHR8" s="7" t="n">
        <v>1.05105096683152</v>
      </c>
      <c r="BHS8" s="7" t="n">
        <v>0.38247398439889</v>
      </c>
      <c r="BHT8" s="7" t="n">
        <v>-0.0521487264762904</v>
      </c>
      <c r="BHU8" s="7" t="n">
        <v>0.635335621309961</v>
      </c>
      <c r="BHV8" s="7" t="n">
        <v>1.01327697851085</v>
      </c>
      <c r="BHW8" s="7" t="n">
        <v>1.16638218422525</v>
      </c>
      <c r="BHX8" s="7" t="n">
        <v>2.45480717188842</v>
      </c>
      <c r="BHY8" s="7" t="n">
        <v>0.261916844808387</v>
      </c>
      <c r="BHZ8" s="7" t="n">
        <v>-2.00291839810577</v>
      </c>
      <c r="BIA8" s="7" t="n">
        <v>-0.125978078390722</v>
      </c>
      <c r="BIB8" s="7" t="n">
        <v>-1.54707974655783</v>
      </c>
      <c r="BIC8" s="7" t="n">
        <v>-0.9137903489136719</v>
      </c>
      <c r="BID8" s="7" t="n">
        <v>0.254342201312774</v>
      </c>
      <c r="BIE8" s="7" t="n">
        <v>-0.540704299445119</v>
      </c>
      <c r="BIF8" s="7" t="n">
        <v>1.76630471440576</v>
      </c>
      <c r="BIG8" s="7" t="n">
        <v>-0.06748485988558039</v>
      </c>
      <c r="BIH8" s="7" t="n">
        <v>-0.224203134476285</v>
      </c>
      <c r="BII8" s="7" t="n">
        <v>0.9185035759292201</v>
      </c>
      <c r="BIJ8" s="7" t="n">
        <v>0.32850853290397</v>
      </c>
      <c r="BIK8" s="7" t="n">
        <v>0.960271536046992</v>
      </c>
      <c r="BIL8" s="7" t="n">
        <v>0.723652116801074</v>
      </c>
      <c r="BIM8" s="7" t="n">
        <v>0.185820861948825</v>
      </c>
      <c r="BIN8" s="7" t="n">
        <v>-1.73354605808082</v>
      </c>
      <c r="BIO8" s="7" t="n">
        <v>-0.935636235834222</v>
      </c>
      <c r="BIP8" s="7" t="n">
        <v>-1.40683576038461</v>
      </c>
      <c r="BIQ8" s="7" t="n">
        <v>0.766716775289122</v>
      </c>
      <c r="BIR8" s="7" t="n">
        <v>0.941919718762541</v>
      </c>
      <c r="BIS8" s="7" t="n">
        <v>-0.0206363293900606</v>
      </c>
      <c r="BIT8" s="7" t="n">
        <v>0.5736141869270091</v>
      </c>
      <c r="BIU8" s="7" t="n">
        <v>1.00155140426525</v>
      </c>
      <c r="BIV8" s="7" t="n">
        <v>0.558926881337207</v>
      </c>
      <c r="BIW8" s="7" t="n">
        <v>0.494128703891866</v>
      </c>
      <c r="BIX8" s="7" t="n">
        <v>0.949892449941488</v>
      </c>
      <c r="BIY8" s="7" t="n">
        <v>-0.43904525852814</v>
      </c>
      <c r="BIZ8" s="7" t="n">
        <v>0.332639578054277</v>
      </c>
      <c r="BJA8" s="7" t="n">
        <v>-0.5444565977275549</v>
      </c>
      <c r="BJB8" s="7" t="n">
        <v>0.304990762191926</v>
      </c>
      <c r="BJC8" s="7" t="n">
        <v>1.41965875493958</v>
      </c>
      <c r="BJD8" s="7" t="n">
        <v>-1.27351304570575</v>
      </c>
      <c r="BJE8" s="7" t="n">
        <v>-1.93523851189276</v>
      </c>
      <c r="BJF8" s="7" t="n">
        <v>1.01119445262219</v>
      </c>
      <c r="BJG8" s="7" t="n">
        <v>-0.112801796224184</v>
      </c>
      <c r="BJH8" s="7" t="n">
        <v>-0.693187166005792</v>
      </c>
      <c r="BJI8" s="7" t="n">
        <v>-0.954306154502518</v>
      </c>
      <c r="BJJ8" s="7" t="n">
        <v>-1.31380077831294</v>
      </c>
      <c r="BJK8" s="7" t="n">
        <v>-0.829812640391522</v>
      </c>
      <c r="BJL8" s="7" t="n">
        <v>1.1013458556267</v>
      </c>
      <c r="BJM8" s="7" t="n">
        <v>0.217276268328832</v>
      </c>
      <c r="BJN8" s="7" t="n">
        <v>0.491726084401121</v>
      </c>
      <c r="BJO8" s="7" t="n">
        <v>0.481906816047159</v>
      </c>
      <c r="BJP8" s="7" t="n">
        <v>-0.9984795233747999</v>
      </c>
      <c r="BJQ8" s="7" t="n">
        <v>1.31829519526744</v>
      </c>
      <c r="BJR8" s="7" t="n">
        <v>-1.1377626111024</v>
      </c>
      <c r="BJS8" s="7" t="n">
        <v>-0.521062903029582</v>
      </c>
      <c r="BJT8" s="7" t="n">
        <v>-0.200556245393943</v>
      </c>
      <c r="BJU8" s="7" t="n">
        <v>-0.361950398183383</v>
      </c>
      <c r="BJV8" s="7" t="n">
        <v>0.349680240429687</v>
      </c>
      <c r="BJW8" s="7" t="n">
        <v>-0.110570853110572</v>
      </c>
      <c r="BJX8" s="7" t="n">
        <v>0.115468288670494</v>
      </c>
      <c r="BJY8" s="7" t="n">
        <v>1.49079516963192</v>
      </c>
      <c r="BJZ8" s="7" t="n">
        <v>-0.394740544668377</v>
      </c>
      <c r="BKA8" s="7" t="n">
        <v>-0.44403250094686</v>
      </c>
      <c r="BKB8" s="7" t="n">
        <v>1.31625196428254</v>
      </c>
      <c r="BKC8" s="7" t="n">
        <v>-0.047917593571794</v>
      </c>
      <c r="BKD8" s="7" t="n">
        <v>-0.840133680214984</v>
      </c>
      <c r="BKE8" s="7" t="n">
        <v>-0.335198746448913</v>
      </c>
      <c r="BKF8" s="7" t="n">
        <v>1.38921521958251</v>
      </c>
      <c r="BKG8" s="7" t="n">
        <v>-0.718136344450923</v>
      </c>
      <c r="BKH8" s="7" t="n">
        <v>0.154502629750211</v>
      </c>
      <c r="BKI8" s="7" t="n">
        <v>-0.336718568477598</v>
      </c>
      <c r="BKJ8" s="7" t="n">
        <v>-0.201137639115862</v>
      </c>
      <c r="BKK8" s="7" t="n">
        <v>-0.554020763578949</v>
      </c>
      <c r="BKL8" s="7" t="n">
        <v>0.33805275718734</v>
      </c>
      <c r="BKM8" s="7" t="n">
        <v>-0.273269480810226</v>
      </c>
      <c r="BKN8" s="7" t="n">
        <v>0.643596683629623</v>
      </c>
      <c r="BKO8" s="7" t="n">
        <v>-0.671694777706942</v>
      </c>
      <c r="BKP8" s="7" t="n">
        <v>-1.60197805155961</v>
      </c>
      <c r="BKQ8" s="7" t="n">
        <v>-0.225032717987817</v>
      </c>
      <c r="BKR8" s="7" t="n">
        <v>-1.37535964988846</v>
      </c>
      <c r="BKS8" s="7" t="n">
        <v>-0.188825991224493</v>
      </c>
      <c r="BKT8" s="7" t="n">
        <v>-0.754711083139354</v>
      </c>
      <c r="BKU8" s="7" t="n">
        <v>-0.846713430566618</v>
      </c>
      <c r="BKV8" s="7" t="n">
        <v>0.692408317056312</v>
      </c>
      <c r="BKW8" s="7" t="n">
        <v>-0.143487484348878</v>
      </c>
      <c r="BKX8" s="7" t="n">
        <v>0.341850825557897</v>
      </c>
      <c r="BKY8" s="7" t="n">
        <v>-2.38481375825983</v>
      </c>
      <c r="BKZ8" s="7" t="n">
        <v>1.27611496213935</v>
      </c>
      <c r="BLA8" s="7" t="n">
        <v>-0.405862860806801</v>
      </c>
      <c r="BLB8" s="7" t="n">
        <v>0.17371306616147</v>
      </c>
      <c r="BLC8" s="7" t="n">
        <v>0.281455336215819</v>
      </c>
      <c r="BLD8" s="7" t="n">
        <v>0.0815777795952716</v>
      </c>
      <c r="BLE8" s="7" t="n">
        <v>-0.07471883860143259</v>
      </c>
      <c r="BLF8" s="7" t="n">
        <v>0.152274460658791</v>
      </c>
      <c r="BLG8" s="7" t="n">
        <v>-0.254088586936461</v>
      </c>
      <c r="BLH8" s="7" t="n">
        <v>1.06217973228739</v>
      </c>
      <c r="BLI8" s="7" t="n">
        <v>-1.00243384981182</v>
      </c>
      <c r="BLJ8" s="7" t="n">
        <v>-0.853526788834554</v>
      </c>
      <c r="BLK8" s="7" t="n">
        <v>0.326826728479965</v>
      </c>
      <c r="BLL8" s="7" t="n">
        <v>-1.18632885591613</v>
      </c>
      <c r="BLM8" s="7" t="n">
        <v>0.307773940349238</v>
      </c>
      <c r="BLN8" s="7" t="n">
        <v>0.260597134731937</v>
      </c>
      <c r="BLO8" s="7" t="n">
        <v>-0.479542048130114</v>
      </c>
      <c r="BLP8" s="7" t="n">
        <v>0.354631906284679</v>
      </c>
      <c r="BLQ8" s="7" t="n">
        <v>-0.558575487562583</v>
      </c>
      <c r="BLR8" s="7" t="n">
        <v>-0.878807192827638</v>
      </c>
      <c r="BLS8" s="7" t="n">
        <v>0.49452996589899</v>
      </c>
      <c r="BLT8" s="7" t="n">
        <v>1.13039176968132</v>
      </c>
      <c r="BLU8" s="7" t="n">
        <v>0.33957800557303</v>
      </c>
      <c r="BLV8" s="7" t="n">
        <v>0.7607182256096769</v>
      </c>
      <c r="BLW8" s="7" t="n">
        <v>0.992143572424432</v>
      </c>
      <c r="BLX8" s="7" t="n">
        <v>1.36959063400134</v>
      </c>
      <c r="BLY8" s="7" t="n">
        <v>0.25988425051407</v>
      </c>
      <c r="BLZ8" s="7" t="n">
        <v>1.50077004909803</v>
      </c>
      <c r="BMA8" s="7" t="n">
        <v>0.433613775755201</v>
      </c>
      <c r="BMB8" s="7" t="n">
        <v>-0.803277133994992</v>
      </c>
      <c r="BMC8" s="7" t="n">
        <v>0.733658046142841</v>
      </c>
      <c r="BMD8" s="7" t="n">
        <v>0.117969587650483</v>
      </c>
      <c r="BME8" s="7" t="n">
        <v>-0.178052649980125</v>
      </c>
      <c r="BMF8" s="7" t="n">
        <v>-0.0247267850211483</v>
      </c>
      <c r="BMG8" s="7" t="n">
        <v>0.708545496714118</v>
      </c>
      <c r="BMH8" s="7" t="n">
        <v>-0.689066330424487</v>
      </c>
      <c r="BMI8" s="7" t="n">
        <v>0.597644374646856</v>
      </c>
      <c r="BMJ8" s="7" t="n">
        <v>1.71154438411975</v>
      </c>
      <c r="BMK8" s="7" t="n">
        <v>1.11098955149406</v>
      </c>
      <c r="BML8" s="7" t="n">
        <v>0.550682813416408</v>
      </c>
      <c r="BMM8" s="7" t="n">
        <v>-1.7335089736991</v>
      </c>
      <c r="BMN8" s="7" t="n">
        <v>0.507804430913998</v>
      </c>
      <c r="BMO8" s="7" t="n">
        <v>-1.38464671165603</v>
      </c>
      <c r="BMP8" s="7" t="n">
        <v>0.612925301666012</v>
      </c>
      <c r="BMQ8" s="7" t="n">
        <v>-0.08408575323938181</v>
      </c>
      <c r="BMR8" s="7" t="n">
        <v>1.39153512499431</v>
      </c>
      <c r="BMS8" s="7" t="n">
        <v>-1.14489254415272</v>
      </c>
      <c r="BMT8" s="7" t="n">
        <v>-2.2679960657594</v>
      </c>
      <c r="BMU8" s="7" t="n">
        <v>-0.737321193967078</v>
      </c>
      <c r="BMV8" s="7" t="n">
        <v>1.82885606960079</v>
      </c>
      <c r="BMW8" s="7" t="n">
        <v>-0.132110049981641</v>
      </c>
      <c r="BMX8" s="7" t="n">
        <v>0.219475783182723</v>
      </c>
      <c r="BMY8" s="7" t="n">
        <v>-2.30079976943898</v>
      </c>
      <c r="BMZ8" s="7" t="n">
        <v>1.26329145980728</v>
      </c>
      <c r="BNA8" s="7" t="n">
        <v>0.116618308490289</v>
      </c>
      <c r="BNB8" s="7" t="n">
        <v>-0.689959343758191</v>
      </c>
      <c r="BNC8" s="7" t="n">
        <v>-0.507347095051174</v>
      </c>
      <c r="BND8" s="7" t="n">
        <v>1.60240460974302</v>
      </c>
      <c r="BNE8" s="7" t="n">
        <v>-1.35964367290029</v>
      </c>
      <c r="BNF8" s="7" t="n">
        <v>1.46232721511055</v>
      </c>
      <c r="BNG8" s="7" t="n">
        <v>-0.380545043568297</v>
      </c>
      <c r="BNH8" s="7" t="n">
        <v>1.13984693666172</v>
      </c>
      <c r="BNI8" s="7" t="n">
        <v>0.623404765863928</v>
      </c>
      <c r="BNJ8" s="7" t="n">
        <v>0.293426991416197</v>
      </c>
      <c r="BNK8" s="7" t="n">
        <v>0.860286499253473</v>
      </c>
      <c r="BNL8" s="7" t="n">
        <v>-0.196601441983734</v>
      </c>
      <c r="BNM8" s="7" t="n">
        <v>-0.147924797765348</v>
      </c>
      <c r="BNN8" s="7" t="n">
        <v>0.873475558035026</v>
      </c>
      <c r="BNO8" s="7" t="n">
        <v>0.209643197795843</v>
      </c>
      <c r="BNP8" s="7" t="n">
        <v>-0.47384265563964</v>
      </c>
      <c r="BNQ8" s="7" t="n">
        <v>-0.284965485159411</v>
      </c>
      <c r="BNR8" s="7" t="n">
        <v>0.589545721279769</v>
      </c>
      <c r="BNS8" s="7" t="n">
        <v>-1.00185772475822</v>
      </c>
      <c r="BNT8" s="7" t="n">
        <v>0.8814001520839631</v>
      </c>
      <c r="BNU8" s="7" t="n">
        <v>0.316721765578392</v>
      </c>
      <c r="BNV8" s="7" t="n">
        <v>0.348601344677989</v>
      </c>
      <c r="BNW8" s="7" t="n">
        <v>-0.547516495015998</v>
      </c>
      <c r="BNX8" s="7" t="n">
        <v>1.31212355613857</v>
      </c>
      <c r="BNY8" s="7" t="n">
        <v>0.783422192137695</v>
      </c>
      <c r="BNZ8" s="7" t="n">
        <v>2.71733300123921</v>
      </c>
      <c r="BOA8" s="7" t="n">
        <v>-1.46478447529528</v>
      </c>
      <c r="BOB8" s="7" t="n">
        <v>1.42635879343635</v>
      </c>
      <c r="BOC8" s="7" t="n">
        <v>-1.24936711194197</v>
      </c>
      <c r="BOD8" s="7" t="n">
        <v>0.739709070081685</v>
      </c>
      <c r="BOE8" s="7" t="n">
        <v>-0.640537743263892</v>
      </c>
      <c r="BOF8" s="7" t="n">
        <v>0.590370308903385</v>
      </c>
      <c r="BOG8" s="7" t="n">
        <v>-1.36407574674739</v>
      </c>
      <c r="BOH8" s="7" t="n">
        <v>0.06391661814605649</v>
      </c>
      <c r="BOI8" s="7" t="n">
        <v>0.623162159923384</v>
      </c>
      <c r="BOJ8" s="7" t="n">
        <v>1.25160220527443</v>
      </c>
      <c r="BOK8" s="7" t="n">
        <v>0.035352936174437</v>
      </c>
      <c r="BOL8" s="7" t="n">
        <v>-1.16613417224991</v>
      </c>
      <c r="BOM8" s="7" t="n">
        <v>1.58352804416726</v>
      </c>
      <c r="BON8" s="7" t="n">
        <v>0.184456675373169</v>
      </c>
      <c r="BOO8" s="7" t="n">
        <v>-2.15805423160261</v>
      </c>
      <c r="BOP8" s="7" t="n">
        <v>-0.8831917546281109</v>
      </c>
      <c r="BOQ8" s="7" t="n">
        <v>0.481682810392894</v>
      </c>
      <c r="BOR8" s="7" t="n">
        <v>-2.78976471392624</v>
      </c>
      <c r="BOS8" s="7" t="n">
        <v>0.892673399955011</v>
      </c>
      <c r="BOT8" s="7" t="n">
        <v>0.09767889252757241</v>
      </c>
      <c r="BOU8" s="7" t="n">
        <v>1.83082544415549</v>
      </c>
      <c r="BOV8" s="7" t="n">
        <v>0.6279282972724129</v>
      </c>
      <c r="BOW8" s="7" t="n">
        <v>-0.110288313026209</v>
      </c>
      <c r="BOX8" s="7" t="n">
        <v>-1.92145758517857</v>
      </c>
      <c r="BOY8" s="7" t="n">
        <v>1.62244439743215</v>
      </c>
      <c r="BOZ8" s="7" t="n">
        <v>1.2421676030251</v>
      </c>
      <c r="BPA8" s="7" t="n">
        <v>-0.238961042888637</v>
      </c>
      <c r="BPB8" s="7" t="n">
        <v>1.74987824677067</v>
      </c>
      <c r="BPC8" s="7" t="n">
        <v>-0.812839827628219</v>
      </c>
      <c r="BPD8" s="7" t="n">
        <v>-0.810491364557525</v>
      </c>
      <c r="BPE8" s="7" t="n">
        <v>-0.7533894088033271</v>
      </c>
      <c r="BPF8" s="7" t="n">
        <v>-1.23531717656631</v>
      </c>
      <c r="BPG8" s="7" t="n">
        <v>1.51856256133258</v>
      </c>
      <c r="BPH8" s="7" t="n">
        <v>-0.357792118534868</v>
      </c>
      <c r="BPI8" s="7" t="n">
        <v>0.537639291049723</v>
      </c>
      <c r="BPJ8" s="7" t="n">
        <v>-0.872418483665984</v>
      </c>
      <c r="BPK8" s="7" t="n">
        <v>0.300546721790495</v>
      </c>
      <c r="BPL8" s="7" t="n">
        <v>1.13894453397649</v>
      </c>
      <c r="BPM8" s="7" t="n">
        <v>-0.549894534110605</v>
      </c>
      <c r="BPN8" s="7" t="n">
        <v>-1.78635924291053</v>
      </c>
      <c r="BPO8" s="7" t="n">
        <v>0.598515751487062</v>
      </c>
      <c r="BPP8" s="7" t="n">
        <v>0.374111722002777</v>
      </c>
      <c r="BPQ8" s="7" t="n">
        <v>0.606092887616123</v>
      </c>
      <c r="BPR8" s="7" t="n">
        <v>0.184698215380634</v>
      </c>
      <c r="BPS8" s="7" t="n">
        <v>-0.273654825522981</v>
      </c>
      <c r="BPT8" s="7" t="n">
        <v>-0.811200200677853</v>
      </c>
      <c r="BPU8" s="7" t="n">
        <v>2.81171949466908</v>
      </c>
      <c r="BPV8" s="7" t="n">
        <v>0.336766736318531</v>
      </c>
      <c r="BPW8" s="7" t="n">
        <v>-0.560219556623279</v>
      </c>
      <c r="BPX8" s="7" t="n">
        <v>-0.165000095907511</v>
      </c>
      <c r="BPY8" s="7" t="n">
        <v>1.02133638909397</v>
      </c>
      <c r="BPZ8" s="7" t="n">
        <v>2.16940491506581</v>
      </c>
      <c r="BQA8" s="7" t="n">
        <v>0.317292032717782</v>
      </c>
      <c r="BQB8" s="7" t="n">
        <v>-2.0273537543535</v>
      </c>
      <c r="BQC8" s="7" t="n">
        <v>-1.20631748931227</v>
      </c>
      <c r="BQD8" s="7" t="n">
        <v>-0.75455868712532</v>
      </c>
      <c r="BQE8" s="7" t="n">
        <v>-0.722274072126397</v>
      </c>
      <c r="BQF8" s="7" t="n">
        <v>1.41786868168686</v>
      </c>
      <c r="BQG8" s="7" t="n">
        <v>-0.270314301357365</v>
      </c>
      <c r="BQH8" s="7" t="n">
        <v>0.907741561651642</v>
      </c>
    </row>
    <row r="9">
      <c r="A9" s="7" t="n">
        <v>7</v>
      </c>
      <c r="B9" s="7" t="n">
        <v>1.28504724757742</v>
      </c>
      <c r="C9" s="7" t="n">
        <v>0.844403831254996</v>
      </c>
      <c r="D9" s="7" t="n">
        <v>-1.59681331489182</v>
      </c>
      <c r="E9" s="7" t="n">
        <v>0.959407788363972</v>
      </c>
      <c r="F9" s="7" t="n">
        <v>1.07279430877662</v>
      </c>
      <c r="G9" s="7" t="n">
        <v>0.234807875142065</v>
      </c>
      <c r="H9" s="7" t="n">
        <v>-2.26991089897435</v>
      </c>
      <c r="I9" s="7" t="n">
        <v>-0.538066007972836</v>
      </c>
      <c r="J9" s="7" t="n">
        <v>1.20205941413874</v>
      </c>
      <c r="K9" s="7" t="n">
        <v>-0.38972811964201</v>
      </c>
      <c r="L9" s="7" t="n">
        <v>-1.83597886698132</v>
      </c>
      <c r="M9" s="7" t="n">
        <v>0.444997506506462</v>
      </c>
      <c r="N9" s="7" t="n">
        <v>-0.683208959446319</v>
      </c>
      <c r="O9" s="7" t="n">
        <v>-0.387758643453024</v>
      </c>
      <c r="P9" s="7" t="n">
        <v>-1.34026875444473</v>
      </c>
      <c r="Q9" s="7" t="n">
        <v>-1.6247754705436</v>
      </c>
      <c r="R9" s="7" t="n">
        <v>-0.195601236924906</v>
      </c>
      <c r="S9" s="7" t="n">
        <v>-0.127548758192552</v>
      </c>
      <c r="T9" s="7" t="n">
        <v>-1.18595963757581</v>
      </c>
      <c r="U9" s="7" t="n">
        <v>-0.963817901699323</v>
      </c>
      <c r="V9" s="7" t="n">
        <v>0.294335096506474</v>
      </c>
      <c r="W9" s="7" t="n">
        <v>-1.06242871063196</v>
      </c>
      <c r="X9" s="7" t="n">
        <v>1.36227249504329</v>
      </c>
      <c r="Y9" s="7" t="n">
        <v>-0.514521351052401</v>
      </c>
      <c r="Z9" s="7" t="n">
        <v>0.905098791314518</v>
      </c>
      <c r="AA9" s="7" t="n">
        <v>0.543946055941829</v>
      </c>
      <c r="AB9" s="7" t="n">
        <v>-0.323308884479923</v>
      </c>
      <c r="AC9" s="7" t="n">
        <v>1.15746482209754</v>
      </c>
      <c r="AD9" s="7" t="n">
        <v>2.13582319931856</v>
      </c>
      <c r="AE9" s="7" t="n">
        <v>-0.193396731634484</v>
      </c>
      <c r="AF9" s="7" t="n">
        <v>-0.348599243108951</v>
      </c>
      <c r="AG9" s="7" t="n">
        <v>-1.66867840161911</v>
      </c>
      <c r="AH9" s="7" t="n">
        <v>-0.21670512035722</v>
      </c>
      <c r="AI9" s="7" t="n">
        <v>-1.94297443846912</v>
      </c>
      <c r="AJ9" s="7" t="n">
        <v>0.184238786067294</v>
      </c>
      <c r="AK9" s="7" t="n">
        <v>-0.499277152447128</v>
      </c>
      <c r="AL9" s="7" t="n">
        <v>-0.34376342645409</v>
      </c>
      <c r="AM9" s="7" t="n">
        <v>-0.14056401085486</v>
      </c>
      <c r="AN9" s="7" t="n">
        <v>-0.261650154911785</v>
      </c>
      <c r="AO9" s="7" t="n">
        <v>0.7457138547652929</v>
      </c>
      <c r="AP9" s="7" t="n">
        <v>0.27335898633151</v>
      </c>
      <c r="AQ9" s="7" t="n">
        <v>-0.195745552582429</v>
      </c>
      <c r="AR9" s="7" t="n">
        <v>1.32244652376419</v>
      </c>
      <c r="AS9" s="7" t="n">
        <v>0.721793129458229</v>
      </c>
      <c r="AT9" s="7" t="n">
        <v>0.462445212281523</v>
      </c>
      <c r="AU9" s="7" t="n">
        <v>0.261493132276286</v>
      </c>
      <c r="AV9" s="7" t="n">
        <v>-0.7394084619967149</v>
      </c>
      <c r="AW9" s="7" t="n">
        <v>-0.851703530515028</v>
      </c>
      <c r="AX9" s="7" t="n">
        <v>-0.832943595080618</v>
      </c>
      <c r="AY9" s="7" t="n">
        <v>1.21090720304796</v>
      </c>
      <c r="AZ9" s="7" t="n">
        <v>1.29316974586605</v>
      </c>
      <c r="BA9" s="7" t="n">
        <v>-0.472418336674139</v>
      </c>
      <c r="BB9" s="7" t="n">
        <v>-0.934241305314639</v>
      </c>
      <c r="BC9" s="7" t="n">
        <v>-0.262631594582392</v>
      </c>
      <c r="BD9" s="7" t="n">
        <v>1.3137111959985</v>
      </c>
      <c r="BE9" s="7" t="n">
        <v>1.34173993335394</v>
      </c>
      <c r="BF9" s="7" t="n">
        <v>-1.46051132681869</v>
      </c>
      <c r="BG9" s="7" t="n">
        <v>-1.00797525706788</v>
      </c>
      <c r="BH9" s="7" t="n">
        <v>-0.582064214416571</v>
      </c>
      <c r="BI9" s="7" t="n">
        <v>-1.10451379025958</v>
      </c>
      <c r="BJ9" s="7" t="n">
        <v>0.0313202118999006</v>
      </c>
      <c r="BK9" s="7" t="n">
        <v>0.764990222210439</v>
      </c>
      <c r="BL9" s="7" t="n">
        <v>0.529824899887002</v>
      </c>
      <c r="BM9" s="7" t="n">
        <v>2.36907583941754</v>
      </c>
      <c r="BN9" s="7" t="n">
        <v>-0.295571777623908</v>
      </c>
      <c r="BO9" s="7" t="n">
        <v>-0.498534942673917</v>
      </c>
      <c r="BP9" s="7" t="n">
        <v>0.299783878952165</v>
      </c>
      <c r="BQ9" s="7" t="n">
        <v>-0.7564491625342999</v>
      </c>
      <c r="BR9" s="7" t="n">
        <v>-0.85927654177193</v>
      </c>
      <c r="BS9" s="7" t="n">
        <v>-1.1997691681874</v>
      </c>
      <c r="BT9" s="7" t="n">
        <v>-0.0166555663263176</v>
      </c>
      <c r="BU9" s="7" t="n">
        <v>1.42462761784807</v>
      </c>
      <c r="BV9" s="7" t="n">
        <v>-0.134124843442322</v>
      </c>
      <c r="BW9" s="7" t="n">
        <v>0.0150806271521307</v>
      </c>
      <c r="BX9" s="7" t="n">
        <v>-0.5191803598918709</v>
      </c>
      <c r="BY9" s="7" t="n">
        <v>0.674332329628332</v>
      </c>
      <c r="BZ9" s="7" t="n">
        <v>0.580759304672717</v>
      </c>
      <c r="CA9" s="7" t="n">
        <v>0.483125715889028</v>
      </c>
      <c r="CB9" s="7" t="n">
        <v>0.539958239971391</v>
      </c>
      <c r="CC9" s="7" t="n">
        <v>-0.907842022967564</v>
      </c>
      <c r="CD9" s="7" t="n">
        <v>-0.27757648202835</v>
      </c>
      <c r="CE9" s="7" t="n">
        <v>1.36292236795718</v>
      </c>
      <c r="CF9" s="7" t="n">
        <v>-0.397947214241795</v>
      </c>
      <c r="CG9" s="7" t="n">
        <v>-0.737304193558675</v>
      </c>
      <c r="CH9" s="7" t="n">
        <v>1.83191936755069</v>
      </c>
      <c r="CI9" s="7" t="n">
        <v>-0.8935606013026099</v>
      </c>
      <c r="CJ9" s="7" t="n">
        <v>-0.232773349253639</v>
      </c>
      <c r="CK9" s="7" t="n">
        <v>1.56617292119327</v>
      </c>
      <c r="CL9" s="7" t="n">
        <v>0.8740148227380919</v>
      </c>
      <c r="CM9" s="7" t="n">
        <v>0.810206533413619</v>
      </c>
      <c r="CN9" s="7" t="n">
        <v>0.178274867329535</v>
      </c>
      <c r="CO9" s="7" t="n">
        <v>-1.40164581565245</v>
      </c>
      <c r="CP9" s="7" t="n">
        <v>0.568834766894907</v>
      </c>
      <c r="CQ9" s="7" t="n">
        <v>1.56288631625739</v>
      </c>
      <c r="CR9" s="7" t="n">
        <v>0.801389137385619</v>
      </c>
      <c r="CS9" s="7" t="n">
        <v>1.37022329187575</v>
      </c>
      <c r="CT9" s="7" t="n">
        <v>-2.50219093654527</v>
      </c>
      <c r="CU9" s="7" t="n">
        <v>-0.468157086203575</v>
      </c>
      <c r="CV9" s="7" t="n">
        <v>1.01859408727126</v>
      </c>
      <c r="CW9" s="7" t="n">
        <v>-0.325264104032755</v>
      </c>
      <c r="CX9" s="7" t="n">
        <v>0.785762326831104</v>
      </c>
      <c r="CY9" s="7" t="n">
        <v>-2.45222918478951</v>
      </c>
      <c r="CZ9" s="7" t="n">
        <v>-1.40016055461622</v>
      </c>
      <c r="DA9" s="7" t="n">
        <v>-0.675485634527364</v>
      </c>
      <c r="DB9" s="7" t="n">
        <v>-0.0735929226811486</v>
      </c>
      <c r="DC9" s="7" t="n">
        <v>0.363147441332978</v>
      </c>
      <c r="DD9" s="7" t="n">
        <v>0.109208691055261</v>
      </c>
      <c r="DE9" s="7" t="n">
        <v>1.35582748672913</v>
      </c>
      <c r="DF9" s="7" t="n">
        <v>0.724819369733838</v>
      </c>
      <c r="DG9" s="7" t="n">
        <v>0.718932420687337</v>
      </c>
      <c r="DH9" s="7" t="n">
        <v>-0.154726062753067</v>
      </c>
      <c r="DI9" s="7" t="n">
        <v>-0.853295038061104</v>
      </c>
      <c r="DJ9" s="7" t="n">
        <v>0.602747780524108</v>
      </c>
      <c r="DK9" s="7" t="n">
        <v>0.47072081451786</v>
      </c>
      <c r="DL9" s="7" t="n">
        <v>1.01689964473259</v>
      </c>
      <c r="DM9" s="7" t="n">
        <v>0.146173303333678</v>
      </c>
      <c r="DN9" s="7" t="n">
        <v>-1.70326583937823</v>
      </c>
      <c r="DO9" s="7" t="n">
        <v>1.34683943701407</v>
      </c>
      <c r="DP9" s="7" t="n">
        <v>0.06772383939169301</v>
      </c>
      <c r="DQ9" s="7" t="n">
        <v>1.14673528094639</v>
      </c>
      <c r="DR9" s="7" t="n">
        <v>-0.651800644771631</v>
      </c>
      <c r="DS9" s="7" t="n">
        <v>1.61570638541036</v>
      </c>
      <c r="DT9" s="7" t="n">
        <v>-0.624573575309936</v>
      </c>
      <c r="DU9" s="7" t="n">
        <v>-0.116830837276081</v>
      </c>
      <c r="DV9" s="7" t="n">
        <v>-0.0749489820174306</v>
      </c>
      <c r="DW9" s="7" t="n">
        <v>0.466418163597106</v>
      </c>
      <c r="DX9" s="7" t="n">
        <v>-0.157548768033182</v>
      </c>
      <c r="DY9" s="7" t="n">
        <v>0.410264454788612</v>
      </c>
      <c r="DZ9" s="7" t="n">
        <v>0.386333923134972</v>
      </c>
      <c r="EA9" s="7" t="n">
        <v>0.699013010141082</v>
      </c>
      <c r="EB9" s="7" t="n">
        <v>-0.5151082459449851</v>
      </c>
      <c r="EC9" s="7" t="n">
        <v>-0.462406319818878</v>
      </c>
      <c r="ED9" s="7" t="n">
        <v>-0.850396718718438</v>
      </c>
      <c r="EE9" s="7" t="n">
        <v>0.464631850351634</v>
      </c>
      <c r="EF9" s="7" t="n">
        <v>1.24868338871099</v>
      </c>
      <c r="EG9" s="7" t="n">
        <v>0.121340266800996</v>
      </c>
      <c r="EH9" s="7" t="n">
        <v>1.01572356328316</v>
      </c>
      <c r="EI9" s="7" t="n">
        <v>1.28826756253717</v>
      </c>
      <c r="EJ9" s="7" t="n">
        <v>-1.10363851721859</v>
      </c>
      <c r="EK9" s="7" t="n">
        <v>2.37191082205818</v>
      </c>
      <c r="EL9" s="7" t="n">
        <v>0.125449919903332</v>
      </c>
      <c r="EM9" s="7" t="n">
        <v>0.367577433907107</v>
      </c>
      <c r="EN9" s="7" t="n">
        <v>1.59950913777639</v>
      </c>
      <c r="EO9" s="7" t="n">
        <v>-1.0077626585547</v>
      </c>
      <c r="EP9" s="7" t="n">
        <v>0.798042708788284</v>
      </c>
      <c r="EQ9" s="7" t="n">
        <v>-0.0873394237086829</v>
      </c>
      <c r="ER9" s="7" t="n">
        <v>-1.77992174371304</v>
      </c>
      <c r="ES9" s="7" t="n">
        <v>0.285056490831242</v>
      </c>
      <c r="ET9" s="7" t="n">
        <v>-0.824749403921694</v>
      </c>
      <c r="EU9" s="7" t="n">
        <v>0.9749546796672039</v>
      </c>
      <c r="EV9" s="7" t="n">
        <v>-1.19398552811931</v>
      </c>
      <c r="EW9" s="7" t="n">
        <v>0.205345348094819</v>
      </c>
      <c r="EX9" s="7" t="n">
        <v>-1.6781946926879</v>
      </c>
      <c r="EY9" s="7" t="n">
        <v>0.562105533789786</v>
      </c>
      <c r="EZ9" s="7" t="n">
        <v>-0.0157781037690407</v>
      </c>
      <c r="FA9" s="7" t="n">
        <v>-0.994082043994982</v>
      </c>
      <c r="FB9" s="7" t="n">
        <v>-0.0751632846713625</v>
      </c>
      <c r="FC9" s="7" t="n">
        <v>0.0879466848312544</v>
      </c>
      <c r="FD9" s="7" t="n">
        <v>0.424396594767913</v>
      </c>
      <c r="FE9" s="7" t="n">
        <v>-0.362016602270967</v>
      </c>
      <c r="FF9" s="7" t="n">
        <v>0.309764781000451</v>
      </c>
      <c r="FG9" s="7" t="n">
        <v>-0.505610118361177</v>
      </c>
      <c r="FH9" s="7" t="n">
        <v>-1.74184098252084</v>
      </c>
      <c r="FI9" s="7" t="n">
        <v>-0.992934312320725</v>
      </c>
      <c r="FJ9" s="7" t="n">
        <v>0.52165708063009</v>
      </c>
      <c r="FK9" s="7" t="n">
        <v>0.197733863027342</v>
      </c>
      <c r="FL9" s="7" t="n">
        <v>0.306453941616963</v>
      </c>
      <c r="FM9" s="7" t="n">
        <v>0.0262258860125829</v>
      </c>
      <c r="FN9" s="7" t="n">
        <v>1.63099994638079</v>
      </c>
      <c r="FO9" s="7" t="n">
        <v>-0.391799081764362</v>
      </c>
      <c r="FP9" s="7" t="n">
        <v>-0.9893172967905181</v>
      </c>
      <c r="FQ9" s="7" t="n">
        <v>-0.143878830584808</v>
      </c>
      <c r="FR9" s="7" t="n">
        <v>-1.09650249117835</v>
      </c>
      <c r="FS9" s="7" t="n">
        <v>-1.1627678792801</v>
      </c>
      <c r="FT9" s="7" t="n">
        <v>-0.406475316838709</v>
      </c>
      <c r="FU9" s="7" t="n">
        <v>1.27160538826768</v>
      </c>
      <c r="FV9" s="7" t="n">
        <v>-1.12378752265483</v>
      </c>
      <c r="FW9" s="7" t="n">
        <v>-1.52176491440398</v>
      </c>
      <c r="FX9" s="7" t="n">
        <v>1.31321958349126</v>
      </c>
      <c r="FY9" s="7" t="n">
        <v>-2.26049667121097</v>
      </c>
      <c r="FZ9" s="7" t="n">
        <v>1.19190805783466</v>
      </c>
      <c r="GA9" s="7" t="n">
        <v>1.47368801318002</v>
      </c>
      <c r="GB9" s="7" t="n">
        <v>1.29032859679524</v>
      </c>
      <c r="GC9" s="7" t="n">
        <v>-0.0182726837129793</v>
      </c>
      <c r="GD9" s="7" t="n">
        <v>-0.167290744817124</v>
      </c>
      <c r="GE9" s="7" t="n">
        <v>-1.49082187282008</v>
      </c>
      <c r="GF9" s="7" t="n">
        <v>0.470254556021429</v>
      </c>
      <c r="GG9" s="7" t="n">
        <v>-0.558185640966895</v>
      </c>
      <c r="GH9" s="7" t="n">
        <v>-1.07928847861863</v>
      </c>
      <c r="GI9" s="7" t="n">
        <v>0.561185349228895</v>
      </c>
      <c r="GJ9" s="7" t="n">
        <v>-1.00962918258411</v>
      </c>
      <c r="GK9" s="7" t="n">
        <v>0.802605796920081</v>
      </c>
      <c r="GL9" s="7" t="n">
        <v>-0.418652917934279</v>
      </c>
      <c r="GM9" s="7" t="n">
        <v>-1.4844566062081</v>
      </c>
      <c r="GN9" s="7" t="n">
        <v>0.035898850818934</v>
      </c>
      <c r="GO9" s="7" t="n">
        <v>-1.22982128775169</v>
      </c>
      <c r="GP9" s="7" t="n">
        <v>-0.106585692817996</v>
      </c>
      <c r="GQ9" s="7" t="n">
        <v>0.569070450277634</v>
      </c>
      <c r="GR9" s="7" t="n">
        <v>-0.335664011693096</v>
      </c>
      <c r="GS9" s="7" t="n">
        <v>0.802207659165835</v>
      </c>
      <c r="GT9" s="7" t="n">
        <v>0.116994289522927</v>
      </c>
      <c r="GU9" s="7" t="n">
        <v>0.90982186449294</v>
      </c>
      <c r="GV9" s="7" t="n">
        <v>-0.6038805098640641</v>
      </c>
      <c r="GW9" s="7" t="n">
        <v>0.404636212696393</v>
      </c>
      <c r="GX9" s="7" t="n">
        <v>-0.984969293904104</v>
      </c>
      <c r="GY9" s="7" t="n">
        <v>0.762749141274418</v>
      </c>
      <c r="GZ9" s="7" t="n">
        <v>0.771995067877604</v>
      </c>
      <c r="HA9" s="7" t="n">
        <v>-1.05558955262174</v>
      </c>
      <c r="HB9" s="7" t="n">
        <v>1.15593089793426</v>
      </c>
      <c r="HC9" s="7" t="n">
        <v>-0.207696713970878</v>
      </c>
      <c r="HD9" s="7" t="n">
        <v>0.33928280914722</v>
      </c>
      <c r="HE9" s="7" t="n">
        <v>0.880478005081517</v>
      </c>
      <c r="HF9" s="7" t="n">
        <v>2.46522360366997</v>
      </c>
      <c r="HG9" s="7" t="n">
        <v>-0.163584608523825</v>
      </c>
      <c r="HH9" s="7" t="n">
        <v>-1.28883137022235</v>
      </c>
      <c r="HI9" s="7" t="n">
        <v>1.05587032207611</v>
      </c>
      <c r="HJ9" s="7" t="n">
        <v>0.450364015981299</v>
      </c>
      <c r="HK9" s="7" t="n">
        <v>0.70927004856098</v>
      </c>
      <c r="HL9" s="7" t="n">
        <v>0.0228178047057921</v>
      </c>
      <c r="HM9" s="7" t="n">
        <v>0.991968584786206</v>
      </c>
      <c r="HN9" s="7" t="n">
        <v>1.28790017201339</v>
      </c>
      <c r="HO9" s="7" t="n">
        <v>-1.11094566844491</v>
      </c>
      <c r="HP9" s="7" t="n">
        <v>0.356804371381778</v>
      </c>
      <c r="HQ9" s="7" t="n">
        <v>0.983671735271915</v>
      </c>
      <c r="HR9" s="7" t="n">
        <v>1.17135790591758</v>
      </c>
      <c r="HS9" s="7" t="n">
        <v>-0.123400597713231</v>
      </c>
      <c r="HT9" s="7" t="n">
        <v>-0.242714478572042</v>
      </c>
      <c r="HU9" s="7" t="n">
        <v>1.25193780527223</v>
      </c>
      <c r="HV9" s="7" t="n">
        <v>2.22798847512697</v>
      </c>
      <c r="HW9" s="7" t="n">
        <v>-0.09144378393818429</v>
      </c>
      <c r="HX9" s="7" t="n">
        <v>1.05087062532106</v>
      </c>
      <c r="HY9" s="7" t="n">
        <v>0.314981161739944</v>
      </c>
      <c r="HZ9" s="7" t="n">
        <v>-1.66323883310962</v>
      </c>
      <c r="IA9" s="7" t="n">
        <v>-0.653332173557712</v>
      </c>
      <c r="IB9" s="7" t="n">
        <v>1.91268637079585</v>
      </c>
      <c r="IC9" s="7" t="n">
        <v>0.361312654106015</v>
      </c>
      <c r="ID9" s="7" t="n">
        <v>-0.63342243740315</v>
      </c>
      <c r="IE9" s="7" t="n">
        <v>-0.317008511137522</v>
      </c>
      <c r="IF9" s="7" t="n">
        <v>1.23639395353002</v>
      </c>
      <c r="IG9" s="7" t="n">
        <v>-0.316555755151777</v>
      </c>
      <c r="IH9" s="7" t="n">
        <v>-0.993730755107525</v>
      </c>
      <c r="II9" s="7" t="n">
        <v>1.7807685560239</v>
      </c>
      <c r="IJ9" s="7" t="n">
        <v>1.10184715178786</v>
      </c>
      <c r="IK9" s="7" t="n">
        <v>-1.95084313665138</v>
      </c>
      <c r="IL9" s="7" t="n">
        <v>-0.517534434402094</v>
      </c>
      <c r="IM9" s="7" t="n">
        <v>0.672572492367179</v>
      </c>
      <c r="IN9" s="7" t="n">
        <v>-1.03122372638506</v>
      </c>
      <c r="IO9" s="7" t="n">
        <v>0.701539460970536</v>
      </c>
      <c r="IP9" s="7" t="n">
        <v>0.252162785373709</v>
      </c>
      <c r="IQ9" s="7" t="n">
        <v>1.244907847156</v>
      </c>
      <c r="IR9" s="7" t="n">
        <v>0.144453693933289</v>
      </c>
      <c r="IS9" s="7" t="n">
        <v>1.04132576438972</v>
      </c>
      <c r="IT9" s="7" t="n">
        <v>0.306393230850048</v>
      </c>
      <c r="IU9" s="7" t="n">
        <v>-1.23502900769333</v>
      </c>
      <c r="IV9" s="7" t="n">
        <v>-0.383850338414985</v>
      </c>
      <c r="IW9" s="7" t="n">
        <v>0.461913437616855</v>
      </c>
      <c r="IX9" s="7" t="n">
        <v>-0.354994520614241</v>
      </c>
      <c r="IY9" s="7" t="n">
        <v>0.7639613463605019</v>
      </c>
      <c r="IZ9" s="7" t="n">
        <v>0.259107117479754</v>
      </c>
      <c r="JA9" s="7" t="n">
        <v>-2.28471319684122</v>
      </c>
      <c r="JB9" s="7" t="n">
        <v>1.78045501672665</v>
      </c>
      <c r="JC9" s="7" t="n">
        <v>0.107032139666433</v>
      </c>
      <c r="JD9" s="7" t="n">
        <v>-0.687701729745351</v>
      </c>
      <c r="JE9" s="7" t="n">
        <v>-0.434111898426855</v>
      </c>
      <c r="JF9" s="7" t="n">
        <v>0.612459673321862</v>
      </c>
      <c r="JG9" s="7" t="n">
        <v>-1.92753913839393</v>
      </c>
      <c r="JH9" s="7" t="n">
        <v>-0.457484925907224</v>
      </c>
      <c r="JI9" s="7" t="n">
        <v>-0.567194474394995</v>
      </c>
      <c r="JJ9" s="7" t="n">
        <v>-0.711130230702324</v>
      </c>
      <c r="JK9" s="7" t="n">
        <v>0.977532122636162</v>
      </c>
      <c r="JL9" s="7" t="n">
        <v>-0.663713699246438</v>
      </c>
      <c r="JM9" s="7" t="n">
        <v>-1.38608401540474</v>
      </c>
      <c r="JN9" s="7" t="n">
        <v>-1.3868880985072</v>
      </c>
      <c r="JO9" s="7" t="n">
        <v>-1.22769950027218</v>
      </c>
      <c r="JP9" s="7" t="n">
        <v>-1.05505144940371</v>
      </c>
      <c r="JQ9" s="7" t="n">
        <v>-0.537981313679045</v>
      </c>
      <c r="JR9" s="7" t="n">
        <v>1.23899382132406</v>
      </c>
      <c r="JS9" s="7" t="n">
        <v>0.297277832056852</v>
      </c>
      <c r="JT9" s="7" t="n">
        <v>0.879694197562642</v>
      </c>
      <c r="JU9" s="7" t="n">
        <v>0.469327136980336</v>
      </c>
      <c r="JV9" s="7" t="n">
        <v>-0.769160056338523</v>
      </c>
      <c r="JW9" s="7" t="n">
        <v>-0.190529574603692</v>
      </c>
      <c r="JX9" s="7" t="n">
        <v>1.34902742589892</v>
      </c>
      <c r="JY9" s="7" t="n">
        <v>0.548439847628903</v>
      </c>
      <c r="JZ9" s="7" t="n">
        <v>0.448158411318294</v>
      </c>
      <c r="KA9" s="7" t="n">
        <v>-1.25349261605058</v>
      </c>
      <c r="KB9" s="7" t="n">
        <v>1.33803587919711</v>
      </c>
      <c r="KC9" s="7" t="n">
        <v>0.610571043041613</v>
      </c>
      <c r="KD9" s="7" t="n">
        <v>0.905030767577547</v>
      </c>
      <c r="KE9" s="7" t="n">
        <v>0.576891215376893</v>
      </c>
      <c r="KF9" s="7" t="n">
        <v>0.321968084440539</v>
      </c>
      <c r="KG9" s="7" t="n">
        <v>0.0430309870233942</v>
      </c>
      <c r="KH9" s="7" t="n">
        <v>-1.56903236371432</v>
      </c>
      <c r="KI9" s="7" t="n">
        <v>-0.9935212533155851</v>
      </c>
      <c r="KJ9" s="7" t="n">
        <v>0.834618293831066</v>
      </c>
      <c r="KK9" s="7" t="n">
        <v>0.0396240471863661</v>
      </c>
      <c r="KL9" s="7" t="n">
        <v>0.238410730239991</v>
      </c>
      <c r="KM9" s="7" t="n">
        <v>0.55419975175051</v>
      </c>
      <c r="KN9" s="7" t="n">
        <v>1.06543781759321</v>
      </c>
      <c r="KO9" s="7" t="n">
        <v>-1.09139499714381</v>
      </c>
      <c r="KP9" s="7" t="n">
        <v>1.35277989071176</v>
      </c>
      <c r="KQ9" s="7" t="n">
        <v>0.333240651072161</v>
      </c>
      <c r="KR9" s="7" t="n">
        <v>0.586916605367155</v>
      </c>
      <c r="KS9" s="7" t="n">
        <v>-0.574035900672712</v>
      </c>
      <c r="KT9" s="7" t="n">
        <v>0.9917008384918</v>
      </c>
      <c r="KU9" s="7" t="n">
        <v>1.73326038577444</v>
      </c>
      <c r="KV9" s="7" t="n">
        <v>-0.7113547452103141</v>
      </c>
      <c r="KW9" s="7" t="n">
        <v>1.80880299395385</v>
      </c>
      <c r="KX9" s="7" t="n">
        <v>-2.38540412949262</v>
      </c>
      <c r="KY9" s="7" t="n">
        <v>0.7712564167199319</v>
      </c>
      <c r="KZ9" s="7" t="n">
        <v>0.389505221522402</v>
      </c>
      <c r="LA9" s="7" t="n">
        <v>-0.683307135396781</v>
      </c>
      <c r="LB9" s="7" t="n">
        <v>1.39817713170258</v>
      </c>
      <c r="LC9" s="7" t="n">
        <v>2.58789293840927</v>
      </c>
      <c r="LD9" s="7" t="n">
        <v>0.50247887669375</v>
      </c>
      <c r="LE9" s="7" t="n">
        <v>-0.0023947787932742</v>
      </c>
      <c r="LF9" s="7" t="n">
        <v>0.0183697717148486</v>
      </c>
      <c r="LG9" s="7" t="n">
        <v>0.109150456978643</v>
      </c>
      <c r="LH9" s="7" t="n">
        <v>1.01268216745271</v>
      </c>
      <c r="LI9" s="7" t="n">
        <v>1.03359687601598</v>
      </c>
      <c r="LJ9" s="7" t="n">
        <v>2.29656350208017</v>
      </c>
      <c r="LK9" s="7" t="n">
        <v>0.167661085256108</v>
      </c>
      <c r="LL9" s="7" t="n">
        <v>1.61261656610018</v>
      </c>
      <c r="LM9" s="7" t="n">
        <v>0.408775946563609</v>
      </c>
      <c r="LN9" s="7" t="n">
        <v>-0.33703560222808</v>
      </c>
      <c r="LO9" s="7" t="n">
        <v>0.938032519935154</v>
      </c>
      <c r="LP9" s="7" t="n">
        <v>-0.659965799096613</v>
      </c>
      <c r="LQ9" s="7" t="n">
        <v>-0.755142243325704</v>
      </c>
      <c r="LR9" s="7" t="n">
        <v>-0.479200045151853</v>
      </c>
      <c r="LS9" s="7" t="n">
        <v>0.35667783096843</v>
      </c>
      <c r="LT9" s="7" t="n">
        <v>0.692378489196432</v>
      </c>
      <c r="LU9" s="7" t="n">
        <v>0.8405752308133621</v>
      </c>
      <c r="LV9" s="7" t="n">
        <v>0.532502625644101</v>
      </c>
      <c r="LW9" s="7" t="n">
        <v>-1.18375915541183</v>
      </c>
      <c r="LX9" s="7" t="n">
        <v>1.60951570996559</v>
      </c>
      <c r="LY9" s="7" t="n">
        <v>-0.46064964883414</v>
      </c>
      <c r="LZ9" s="7" t="n">
        <v>-1.07241187943236</v>
      </c>
      <c r="MA9" s="7" t="n">
        <v>-0.101508777212358</v>
      </c>
      <c r="MB9" s="7" t="n">
        <v>0.502939665269262</v>
      </c>
      <c r="MC9" s="7" t="n">
        <v>-0.333171167711045</v>
      </c>
      <c r="MD9" s="7" t="n">
        <v>0.192391131816713</v>
      </c>
      <c r="ME9" s="7" t="n">
        <v>0.295382674546478</v>
      </c>
      <c r="MF9" s="7" t="n">
        <v>-1.61187825345035</v>
      </c>
      <c r="MG9" s="7" t="n">
        <v>-0.987729415400128</v>
      </c>
      <c r="MH9" s="7" t="n">
        <v>0.761200476688912</v>
      </c>
      <c r="MI9" s="7" t="n">
        <v>-0.776971671177581</v>
      </c>
      <c r="MJ9" s="7" t="n">
        <v>-0.472826447611532</v>
      </c>
      <c r="MK9" s="7" t="n">
        <v>1.60062364483719</v>
      </c>
      <c r="ML9" s="7" t="n">
        <v>-0.357426055284288</v>
      </c>
      <c r="MM9" s="7" t="n">
        <v>-0.5522001461802299</v>
      </c>
      <c r="MN9" s="7" t="n">
        <v>0.582261258630664</v>
      </c>
      <c r="MO9" s="7" t="n">
        <v>0.114322928658352</v>
      </c>
      <c r="MP9" s="7" t="n">
        <v>-1.58702243021088</v>
      </c>
      <c r="MQ9" s="7" t="n">
        <v>-0.09692705572730161</v>
      </c>
      <c r="MR9" s="7" t="n">
        <v>0.0437964152402442</v>
      </c>
      <c r="MS9" s="7" t="n">
        <v>0.984168809479522</v>
      </c>
      <c r="MT9" s="7" t="n">
        <v>0.736823261689256</v>
      </c>
      <c r="MU9" s="7" t="n">
        <v>-0.721394564586885</v>
      </c>
      <c r="MV9" s="7" t="n">
        <v>-1.16106585060578</v>
      </c>
      <c r="MW9" s="7" t="n">
        <v>-1.27717222650768</v>
      </c>
      <c r="MX9" s="7" t="n">
        <v>-1.26962732647699</v>
      </c>
      <c r="MY9" s="7" t="n">
        <v>0.550404694670324</v>
      </c>
      <c r="MZ9" s="7" t="n">
        <v>1.64046231728146</v>
      </c>
      <c r="NA9" s="7" t="n">
        <v>-0.136472017937815</v>
      </c>
      <c r="NB9" s="7" t="n">
        <v>-1.1539821675129</v>
      </c>
      <c r="NC9" s="7" t="n">
        <v>0.255613375352095</v>
      </c>
      <c r="ND9" s="7" t="n">
        <v>-0.260139492621837</v>
      </c>
      <c r="NE9" s="7" t="n">
        <v>0.5672735311941171</v>
      </c>
      <c r="NF9" s="7" t="n">
        <v>0.152060273027809</v>
      </c>
      <c r="NG9" s="7" t="n">
        <v>-1.57358008042759</v>
      </c>
      <c r="NH9" s="7" t="n">
        <v>-0.735974852453523</v>
      </c>
      <c r="NI9" s="7" t="n">
        <v>-0.148153385951436</v>
      </c>
      <c r="NJ9" s="7" t="n">
        <v>0.109670850906679</v>
      </c>
      <c r="NK9" s="7" t="n">
        <v>-0.135646519064768</v>
      </c>
      <c r="NL9" s="7" t="n">
        <v>-0.364017805560431</v>
      </c>
      <c r="NM9" s="7" t="n">
        <v>2.28408075547623</v>
      </c>
      <c r="NN9" s="7" t="n">
        <v>-0.841207971904829</v>
      </c>
      <c r="NO9" s="7" t="n">
        <v>0.712205209620317</v>
      </c>
      <c r="NP9" s="7" t="n">
        <v>-0.470521906768074</v>
      </c>
      <c r="NQ9" s="7" t="n">
        <v>1.36237640243574</v>
      </c>
      <c r="NR9" s="7" t="n">
        <v>-0.254349071760865</v>
      </c>
      <c r="NS9" s="7" t="n">
        <v>0.748432374351703</v>
      </c>
      <c r="NT9" s="7" t="n">
        <v>0.0119264070619917</v>
      </c>
      <c r="NU9" s="7" t="n">
        <v>0.444351597266763</v>
      </c>
      <c r="NV9" s="7" t="n">
        <v>-1.20335667903656</v>
      </c>
      <c r="NW9" s="7" t="n">
        <v>0.273725720909157</v>
      </c>
      <c r="NX9" s="7" t="n">
        <v>-0.12337815639866</v>
      </c>
      <c r="NY9" s="7" t="n">
        <v>-0.0417271543384624</v>
      </c>
      <c r="NZ9" s="7" t="n">
        <v>-1.23533982003912</v>
      </c>
      <c r="OA9" s="7" t="n">
        <v>0.0345502076211127</v>
      </c>
      <c r="OB9" s="7" t="n">
        <v>-1.34163794949852</v>
      </c>
      <c r="OC9" s="7" t="n">
        <v>-1.23447050229923</v>
      </c>
      <c r="OD9" s="7" t="n">
        <v>-0.239549044377778</v>
      </c>
      <c r="OE9" s="7" t="n">
        <v>-0.146587593216498</v>
      </c>
      <c r="OF9" s="7" t="n">
        <v>-0.630381601809001</v>
      </c>
      <c r="OG9" s="7" t="n">
        <v>0.235182199502927</v>
      </c>
      <c r="OH9" s="7" t="n">
        <v>-0.0343769091290274</v>
      </c>
      <c r="OI9" s="7" t="n">
        <v>1.69788273074688</v>
      </c>
      <c r="OJ9" s="7" t="n">
        <v>-0.407269217729893</v>
      </c>
      <c r="OK9" s="7" t="n">
        <v>0.505747251600461</v>
      </c>
      <c r="OL9" s="7" t="n">
        <v>0.0723498317414127</v>
      </c>
      <c r="OM9" s="7" t="n">
        <v>-0.799612054608859</v>
      </c>
      <c r="ON9" s="7" t="n">
        <v>-0.274372350147954</v>
      </c>
      <c r="OO9" s="7" t="n">
        <v>-0.693799306917528</v>
      </c>
      <c r="OP9" s="7" t="n">
        <v>-0.105614764127125</v>
      </c>
      <c r="OQ9" s="7" t="n">
        <v>1.47554280971909</v>
      </c>
      <c r="OR9" s="7" t="n">
        <v>0.47685157994654</v>
      </c>
      <c r="OS9" s="7" t="n">
        <v>0.199225665704653</v>
      </c>
      <c r="OT9" s="7" t="n">
        <v>-0.330032687952651</v>
      </c>
      <c r="OU9" s="7" t="n">
        <v>-1.69024772600165</v>
      </c>
      <c r="OV9" s="7" t="n">
        <v>-1.47273283796458</v>
      </c>
      <c r="OW9" s="7" t="n">
        <v>0.646193783642285</v>
      </c>
      <c r="OX9" s="7" t="n">
        <v>-1.41484077417948</v>
      </c>
      <c r="OY9" s="7" t="n">
        <v>0.748064578311331</v>
      </c>
      <c r="OZ9" s="7" t="n">
        <v>0.39751977285018</v>
      </c>
      <c r="PA9" s="7" t="n">
        <v>-0.491914097762315</v>
      </c>
      <c r="PB9" s="7" t="n">
        <v>0.160928700244739</v>
      </c>
      <c r="PC9" s="7" t="n">
        <v>1.16271644729996</v>
      </c>
      <c r="PD9" s="7" t="n">
        <v>-0.440761648290229</v>
      </c>
      <c r="PE9" s="7" t="n">
        <v>-2.89791668648591</v>
      </c>
      <c r="PF9" s="7" t="n">
        <v>0.001567791978285</v>
      </c>
      <c r="PG9" s="7" t="n">
        <v>0.868333554250672</v>
      </c>
      <c r="PH9" s="7" t="n">
        <v>0.214194939347642</v>
      </c>
      <c r="PI9" s="7" t="n">
        <v>-1.40701648288753</v>
      </c>
      <c r="PJ9" s="7" t="n">
        <v>1.62647482639151</v>
      </c>
      <c r="PK9" s="7" t="n">
        <v>-0.272009807617954</v>
      </c>
      <c r="PL9" s="7" t="n">
        <v>0.548906035867214</v>
      </c>
      <c r="PM9" s="7" t="n">
        <v>0.383095616866249</v>
      </c>
      <c r="PN9" s="7" t="n">
        <v>0.307060655544724</v>
      </c>
      <c r="PO9" s="7" t="n">
        <v>-0.905659801752835</v>
      </c>
      <c r="PP9" s="7" t="n">
        <v>-2.5134344413319</v>
      </c>
      <c r="PQ9" s="7" t="n">
        <v>-0.77900568394365</v>
      </c>
      <c r="PR9" s="7" t="n">
        <v>-1.33808929546751</v>
      </c>
      <c r="PS9" s="7" t="n">
        <v>-1.37491375207024</v>
      </c>
      <c r="PT9" s="7" t="n">
        <v>0.6107905544741929</v>
      </c>
      <c r="PU9" s="7" t="n">
        <v>-0.283496805835898</v>
      </c>
      <c r="PV9" s="7" t="n">
        <v>-0.544641580563178</v>
      </c>
      <c r="PW9" s="7" t="n">
        <v>1.10074861201226</v>
      </c>
      <c r="PX9" s="7" t="n">
        <v>0.391129099479617</v>
      </c>
      <c r="PY9" s="7" t="n">
        <v>-0.837006063522129</v>
      </c>
      <c r="PZ9" s="7" t="n">
        <v>-1.08061757286172</v>
      </c>
      <c r="QA9" s="7" t="n">
        <v>-0.498172619409987</v>
      </c>
      <c r="QB9" s="7" t="n">
        <v>0.377878221573787</v>
      </c>
      <c r="QC9" s="7" t="n">
        <v>0.935201292330565</v>
      </c>
      <c r="QD9" s="7" t="n">
        <v>-0.950681669886988</v>
      </c>
      <c r="QE9" s="7" t="n">
        <v>-0.69096828346554</v>
      </c>
      <c r="QF9" s="7" t="n">
        <v>-0.189397532420492</v>
      </c>
      <c r="QG9" s="7" t="n">
        <v>-2.1988327290033</v>
      </c>
      <c r="QH9" s="7" t="n">
        <v>-1.71450888358896</v>
      </c>
      <c r="QI9" s="7" t="n">
        <v>-0.246248671499188</v>
      </c>
      <c r="QJ9" s="7" t="n">
        <v>-0.8791519191230081</v>
      </c>
      <c r="QK9" s="7" t="n">
        <v>-2.09199568657859</v>
      </c>
      <c r="QL9" s="7" t="n">
        <v>0.299729442676642</v>
      </c>
      <c r="QM9" s="7" t="n">
        <v>-0.581033308590057</v>
      </c>
      <c r="QN9" s="7" t="n">
        <v>-0.29191196174217</v>
      </c>
      <c r="QO9" s="7" t="n">
        <v>-1.5234385776863</v>
      </c>
      <c r="QP9" s="7" t="n">
        <v>2.41983769944246</v>
      </c>
      <c r="QQ9" s="7" t="n">
        <v>-0.327235786432029</v>
      </c>
      <c r="QR9" s="7" t="n">
        <v>-2.1131975658247</v>
      </c>
      <c r="QS9" s="7" t="n">
        <v>-0.984969982857848</v>
      </c>
      <c r="QT9" s="7" t="n">
        <v>-1.21548085559031</v>
      </c>
      <c r="QU9" s="7" t="n">
        <v>1.42922418579506</v>
      </c>
      <c r="QV9" s="7" t="n">
        <v>0.566817267636157</v>
      </c>
      <c r="QW9" s="7" t="n">
        <v>-0.138739280716031</v>
      </c>
      <c r="QX9" s="7" t="n">
        <v>0.746514283353565</v>
      </c>
      <c r="QY9" s="7" t="n">
        <v>2.08931066888357</v>
      </c>
      <c r="QZ9" s="7" t="n">
        <v>-0.151962418776417</v>
      </c>
      <c r="RA9" s="7" t="n">
        <v>-1.08492037468992</v>
      </c>
      <c r="RB9" s="7" t="n">
        <v>-1.55290724429775</v>
      </c>
      <c r="RC9" s="7" t="n">
        <v>0.734543272082007</v>
      </c>
      <c r="RD9" s="7" t="n">
        <v>0.264644984385661</v>
      </c>
      <c r="RE9" s="7" t="n">
        <v>-1.20436038661528</v>
      </c>
      <c r="RF9" s="7" t="n">
        <v>-1.81367333251613</v>
      </c>
      <c r="RG9" s="7" t="n">
        <v>-1.94199221420637</v>
      </c>
      <c r="RH9" s="7" t="n">
        <v>0.775323524162207</v>
      </c>
      <c r="RI9" s="7" t="n">
        <v>-1.43869622898505</v>
      </c>
      <c r="RJ9" s="7" t="n">
        <v>0.460579397550215</v>
      </c>
      <c r="RK9" s="7" t="n">
        <v>0.34821245583295</v>
      </c>
      <c r="RL9" s="7" t="n">
        <v>-0.7850261195430061</v>
      </c>
      <c r="RM9" s="7" t="n">
        <v>0.358488057784533</v>
      </c>
      <c r="RN9" s="7" t="n">
        <v>-2.0375986537297</v>
      </c>
      <c r="RO9" s="7" t="n">
        <v>0.410524564721799</v>
      </c>
      <c r="RP9" s="7" t="n">
        <v>-0.369676860097946</v>
      </c>
      <c r="RQ9" s="7" t="n">
        <v>-0.341941295023689</v>
      </c>
      <c r="RR9" s="7" t="n">
        <v>-0.152905590885855</v>
      </c>
      <c r="RS9" s="7" t="n">
        <v>-2.45799012132593</v>
      </c>
      <c r="RT9" s="7" t="n">
        <v>0.728373130458708</v>
      </c>
      <c r="RU9" s="7" t="n">
        <v>-1.03256253346239</v>
      </c>
      <c r="RV9" s="7" t="n">
        <v>1.12853214434029</v>
      </c>
      <c r="RW9" s="7" t="n">
        <v>1.33742239894037</v>
      </c>
      <c r="RX9" s="7" t="n">
        <v>-0.748201797397833</v>
      </c>
      <c r="RY9" s="7" t="n">
        <v>-0.43273145206508</v>
      </c>
      <c r="RZ9" s="7" t="n">
        <v>-1.18806925463608</v>
      </c>
      <c r="SA9" s="7" t="n">
        <v>0.368910805167419</v>
      </c>
      <c r="SB9" s="7" t="n">
        <v>-0.09994635913339781</v>
      </c>
      <c r="SC9" s="7" t="n">
        <v>-0.155017724218737</v>
      </c>
      <c r="SD9" s="7" t="n">
        <v>2.08738233691066</v>
      </c>
      <c r="SE9" s="7" t="n">
        <v>1.18452265617308</v>
      </c>
      <c r="SF9" s="7" t="n">
        <v>0.588635135897893</v>
      </c>
      <c r="SG9" s="7" t="n">
        <v>0.5052656713899349</v>
      </c>
      <c r="SH9" s="7" t="n">
        <v>-1.18429345064347</v>
      </c>
      <c r="SI9" s="7" t="n">
        <v>-1.46737227006341</v>
      </c>
      <c r="SJ9" s="7" t="n">
        <v>0.122970319941808</v>
      </c>
      <c r="SK9" s="7" t="n">
        <v>1.284707430969</v>
      </c>
      <c r="SL9" s="7" t="n">
        <v>0.225277963377218</v>
      </c>
      <c r="SM9" s="7" t="n">
        <v>-0.533761812895077</v>
      </c>
      <c r="SN9" s="7" t="n">
        <v>-0.90796804989399</v>
      </c>
      <c r="SO9" s="7" t="n">
        <v>0.258853213161622</v>
      </c>
      <c r="SP9" s="7" t="n">
        <v>0.499547689042557</v>
      </c>
      <c r="SQ9" s="7" t="n">
        <v>-1.01329248247228</v>
      </c>
      <c r="SR9" s="7" t="n">
        <v>0.56104253932346</v>
      </c>
      <c r="SS9" s="7" t="n">
        <v>-0.153124875434301</v>
      </c>
      <c r="ST9" s="7" t="n">
        <v>0.0917598877293582</v>
      </c>
      <c r="SU9" s="7" t="n">
        <v>-0.9720057493338869</v>
      </c>
      <c r="SV9" s="7" t="n">
        <v>0.158419160329073</v>
      </c>
      <c r="SW9" s="7" t="n">
        <v>-0.448493322995995</v>
      </c>
      <c r="SX9" s="7" t="n">
        <v>-0.214353768001542</v>
      </c>
      <c r="SY9" s="7" t="n">
        <v>2.61834791592726</v>
      </c>
      <c r="SZ9" s="7" t="n">
        <v>0.500079516450243</v>
      </c>
      <c r="TA9" s="7" t="n">
        <v>-0.828385301119648</v>
      </c>
      <c r="TB9" s="7" t="n">
        <v>-2.18601027345656</v>
      </c>
      <c r="TC9" s="7" t="n">
        <v>0.223255631534951</v>
      </c>
      <c r="TD9" s="7" t="n">
        <v>-0.664286080485922</v>
      </c>
      <c r="TE9" s="7" t="n">
        <v>-1.22871555419604</v>
      </c>
      <c r="TF9" s="7" t="n">
        <v>-0.663148155851917</v>
      </c>
      <c r="TG9" s="7" t="n">
        <v>-0.0870337336958016</v>
      </c>
      <c r="TH9" s="7" t="n">
        <v>-0.0761207519027956</v>
      </c>
      <c r="TI9" s="7" t="n">
        <v>-0.475297236551098</v>
      </c>
      <c r="TJ9" s="7" t="n">
        <v>-2.97659325122757</v>
      </c>
      <c r="TK9" s="7" t="n">
        <v>1.78678584725636</v>
      </c>
      <c r="TL9" s="7" t="n">
        <v>-0.617299839781307</v>
      </c>
      <c r="TM9" s="7" t="n">
        <v>-0.222893725480106</v>
      </c>
      <c r="TN9" s="7" t="n">
        <v>-0.730003714306547</v>
      </c>
      <c r="TO9" s="7" t="n">
        <v>1.16067596954432</v>
      </c>
      <c r="TP9" s="7" t="n">
        <v>-1.35383721255588</v>
      </c>
      <c r="TQ9" s="7" t="n">
        <v>0.150013614472382</v>
      </c>
      <c r="TR9" s="7" t="n">
        <v>0.714075954520528</v>
      </c>
      <c r="TS9" s="7" t="n">
        <v>-1.38316619388917</v>
      </c>
      <c r="TT9" s="7" t="n">
        <v>1.50954578721157</v>
      </c>
      <c r="TU9" s="7" t="n">
        <v>-0.234215006369664</v>
      </c>
      <c r="TV9" s="7" t="n">
        <v>-0.609122416350331</v>
      </c>
      <c r="TW9" s="7" t="n">
        <v>-0.400888811870235</v>
      </c>
      <c r="TX9" s="7" t="n">
        <v>-1.87237322138916</v>
      </c>
      <c r="TY9" s="7" t="n">
        <v>0.298568388050596</v>
      </c>
      <c r="TZ9" s="7" t="n">
        <v>-0.750330636889543</v>
      </c>
      <c r="UA9" s="7" t="n">
        <v>-1.24564846269302</v>
      </c>
      <c r="UB9" s="7" t="n">
        <v>-1.01282112131641</v>
      </c>
      <c r="UC9" s="7" t="n">
        <v>-0.808648369071665</v>
      </c>
      <c r="UD9" s="7" t="n">
        <v>-0.46524179642892</v>
      </c>
      <c r="UE9" s="7" t="n">
        <v>0.260693715815693</v>
      </c>
      <c r="UF9" s="7" t="n">
        <v>2.23319209365357</v>
      </c>
      <c r="UG9" s="7" t="n">
        <v>-0.0267536245394319</v>
      </c>
      <c r="UH9" s="7" t="n">
        <v>0.085631449663525</v>
      </c>
      <c r="UI9" s="7" t="n">
        <v>-1.09246293507752</v>
      </c>
      <c r="UJ9" s="7" t="n">
        <v>-1.92604982786878</v>
      </c>
      <c r="UK9" s="7" t="n">
        <v>0.0135601030387209</v>
      </c>
      <c r="UL9" s="7" t="n">
        <v>-0.729358393155717</v>
      </c>
      <c r="UM9" s="7" t="n">
        <v>-0.09216225558877029</v>
      </c>
      <c r="UN9" s="7" t="n">
        <v>-0.490972468005591</v>
      </c>
      <c r="UO9" s="7" t="n">
        <v>1.06064516658317</v>
      </c>
      <c r="UP9" s="7" t="n">
        <v>0.188919291263479</v>
      </c>
      <c r="UQ9" s="7" t="n">
        <v>0.686024783378302</v>
      </c>
      <c r="UR9" s="7" t="n">
        <v>0.918699094406497</v>
      </c>
      <c r="US9" s="7" t="n">
        <v>0.396063016296358</v>
      </c>
      <c r="UT9" s="7" t="n">
        <v>-0.530003653460802</v>
      </c>
      <c r="UU9" s="7" t="n">
        <v>-0.128000841140378</v>
      </c>
      <c r="UV9" s="7" t="n">
        <v>-1.29447635376736</v>
      </c>
      <c r="UW9" s="7" t="n">
        <v>-0.153253619006643</v>
      </c>
      <c r="UX9" s="7" t="n">
        <v>0.692447865676642</v>
      </c>
      <c r="UY9" s="7" t="n">
        <v>0.852301583085659</v>
      </c>
      <c r="UZ9" s="7" t="n">
        <v>-0.0981573190163731</v>
      </c>
      <c r="VA9" s="7" t="n">
        <v>1.41661902945886</v>
      </c>
      <c r="VB9" s="7" t="n">
        <v>-1.28437362882745</v>
      </c>
      <c r="VC9" s="7" t="n">
        <v>-0.449310382355083</v>
      </c>
      <c r="VD9" s="7" t="n">
        <v>0.660157513978193</v>
      </c>
      <c r="VE9" s="7" t="n">
        <v>0.689155503017458</v>
      </c>
      <c r="VF9" s="7" t="n">
        <v>0.818575855028055</v>
      </c>
      <c r="VG9" s="7" t="n">
        <v>-0.181638253646885</v>
      </c>
      <c r="VH9" s="7" t="n">
        <v>0.0812690902368193</v>
      </c>
      <c r="VI9" s="7" t="n">
        <v>-0.355930894438357</v>
      </c>
      <c r="VJ9" s="7" t="n">
        <v>0.371392003104283</v>
      </c>
      <c r="VK9" s="7" t="n">
        <v>-0.619415629913616</v>
      </c>
      <c r="VL9" s="7" t="n">
        <v>0.327175859193827</v>
      </c>
      <c r="VM9" s="7" t="n">
        <v>-0.971984624786924</v>
      </c>
      <c r="VN9" s="7" t="n">
        <v>0.806227626440564</v>
      </c>
      <c r="VO9" s="7" t="n">
        <v>0.728546385286563</v>
      </c>
      <c r="VP9" s="7" t="n">
        <v>-0.637942945517468</v>
      </c>
      <c r="VQ9" s="7" t="n">
        <v>0.0553778052360408</v>
      </c>
      <c r="VR9" s="7" t="n">
        <v>-0.538319030567064</v>
      </c>
      <c r="VS9" s="7" t="n">
        <v>-2.30698596278418</v>
      </c>
      <c r="VT9" s="7" t="n">
        <v>-0.969198115413052</v>
      </c>
      <c r="VU9" s="7" t="n">
        <v>-0.908613917355322</v>
      </c>
      <c r="VV9" s="7" t="n">
        <v>-0.267966253351608</v>
      </c>
      <c r="VW9" s="7" t="n">
        <v>1.42682083016192</v>
      </c>
      <c r="VX9" s="7" t="n">
        <v>0.368176429207363</v>
      </c>
      <c r="VY9" s="7" t="n">
        <v>0.7052791281399931</v>
      </c>
      <c r="VZ9" s="7" t="n">
        <v>-0.130241523664833</v>
      </c>
      <c r="WA9" s="7" t="n">
        <v>0.224382504120057</v>
      </c>
      <c r="WB9" s="7" t="n">
        <v>-0.40410205795225</v>
      </c>
      <c r="WC9" s="7" t="n">
        <v>0.360234731052024</v>
      </c>
      <c r="WD9" s="7" t="n">
        <v>-0.553004500012136</v>
      </c>
      <c r="WE9" s="7" t="n">
        <v>-0.705602748697667</v>
      </c>
      <c r="WF9" s="7" t="n">
        <v>2.19918832901473</v>
      </c>
      <c r="WG9" s="7" t="n">
        <v>0.208406963706689</v>
      </c>
      <c r="WH9" s="7" t="n">
        <v>0.803340459168931</v>
      </c>
      <c r="WI9" s="7" t="n">
        <v>1.21308588387946</v>
      </c>
      <c r="WJ9" s="7" t="n">
        <v>0.411814819558843</v>
      </c>
      <c r="WK9" s="7" t="n">
        <v>-1.91638688200589</v>
      </c>
      <c r="WL9" s="7" t="n">
        <v>1.55654619069353</v>
      </c>
      <c r="WM9" s="7" t="n">
        <v>1.12543079218348</v>
      </c>
      <c r="WN9" s="7" t="n">
        <v>-0.376581404221232</v>
      </c>
      <c r="WO9" s="7" t="n">
        <v>-1.35846254647694</v>
      </c>
      <c r="WP9" s="7" t="n">
        <v>1.21681280042099</v>
      </c>
      <c r="WQ9" s="7" t="n">
        <v>0.544448796024951</v>
      </c>
      <c r="WR9" s="7" t="n">
        <v>-0.123244315202329</v>
      </c>
      <c r="WS9" s="7" t="n">
        <v>0.980592422122527</v>
      </c>
      <c r="WT9" s="7" t="n">
        <v>-0.980321100888688</v>
      </c>
      <c r="WU9" s="7" t="n">
        <v>-0.8296049564658819</v>
      </c>
      <c r="WV9" s="7" t="n">
        <v>-0.856635848836068</v>
      </c>
      <c r="WW9" s="7" t="n">
        <v>0.791183501873324</v>
      </c>
      <c r="WX9" s="7" t="n">
        <v>0.378580666525564</v>
      </c>
      <c r="WY9" s="7" t="n">
        <v>0.804425927474358</v>
      </c>
      <c r="WZ9" s="7" t="n">
        <v>1.42351455541913</v>
      </c>
      <c r="XA9" s="7" t="n">
        <v>-2.45519423520447</v>
      </c>
      <c r="XB9" s="7" t="n">
        <v>-2.01954932324044</v>
      </c>
      <c r="XC9" s="7" t="n">
        <v>0.688974156847918</v>
      </c>
      <c r="XD9" s="7" t="n">
        <v>-0.181464964198508</v>
      </c>
      <c r="XE9" s="7" t="n">
        <v>0.106112845125029</v>
      </c>
      <c r="XF9" s="7" t="n">
        <v>0.779507393339201</v>
      </c>
      <c r="XG9" s="7" t="n">
        <v>-1.47204205219536</v>
      </c>
      <c r="XH9" s="7" t="n">
        <v>-0.932391220253561</v>
      </c>
      <c r="XI9" s="7" t="n">
        <v>1.7901976077787</v>
      </c>
      <c r="XJ9" s="7" t="n">
        <v>0.050001143572986</v>
      </c>
      <c r="XK9" s="7" t="n">
        <v>-0.402714732379417</v>
      </c>
      <c r="XL9" s="7" t="n">
        <v>0.534373010435346</v>
      </c>
      <c r="XM9" s="7" t="n">
        <v>-1.44822008773281</v>
      </c>
      <c r="XN9" s="7" t="n">
        <v>0.8110451395792559</v>
      </c>
      <c r="XO9" s="7" t="n">
        <v>-0.0501631605180225</v>
      </c>
      <c r="XP9" s="7" t="n">
        <v>-0.824169262004306</v>
      </c>
      <c r="XQ9" s="7" t="n">
        <v>1.35566773209488</v>
      </c>
      <c r="XR9" s="7" t="n">
        <v>0.653571185055922</v>
      </c>
      <c r="XS9" s="7" t="n">
        <v>1.54994266745478</v>
      </c>
      <c r="XT9" s="7" t="n">
        <v>1.03408184337508</v>
      </c>
      <c r="XU9" s="7" t="n">
        <v>-0.69314564349736</v>
      </c>
      <c r="XV9" s="7" t="n">
        <v>-0.830391513756384</v>
      </c>
      <c r="XW9" s="7" t="n">
        <v>-1.78050714900163</v>
      </c>
      <c r="XX9" s="7" t="n">
        <v>0.275693046228946</v>
      </c>
      <c r="XY9" s="7" t="n">
        <v>0.651007997241539</v>
      </c>
      <c r="XZ9" s="7" t="n">
        <v>-0.166435910584066</v>
      </c>
      <c r="YA9" s="7" t="n">
        <v>0.142186074065331</v>
      </c>
      <c r="YB9" s="7" t="n">
        <v>-0.603120505463689</v>
      </c>
      <c r="YC9" s="7" t="n">
        <v>1.64321251817948</v>
      </c>
      <c r="YD9" s="7" t="n">
        <v>-0.148377365936726</v>
      </c>
      <c r="YE9" s="7" t="n">
        <v>-0.118970773642033</v>
      </c>
      <c r="YF9" s="7" t="n">
        <v>0.194218038435391</v>
      </c>
      <c r="YG9" s="7" t="n">
        <v>0.673870498798596</v>
      </c>
      <c r="YH9" s="7" t="n">
        <v>0.227495100201871</v>
      </c>
      <c r="YI9" s="7" t="n">
        <v>1.0258580863759</v>
      </c>
      <c r="YJ9" s="7" t="n">
        <v>0.597698190200593</v>
      </c>
      <c r="YK9" s="7" t="n">
        <v>0.993101133684016</v>
      </c>
      <c r="YL9" s="7" t="n">
        <v>0.632975813329489</v>
      </c>
      <c r="YM9" s="7" t="n">
        <v>1.29268137072189</v>
      </c>
      <c r="YN9" s="7" t="n">
        <v>-1.63078298511395</v>
      </c>
      <c r="YO9" s="7" t="n">
        <v>0.0753879215889965</v>
      </c>
      <c r="YP9" s="7" t="n">
        <v>1.1707233337236</v>
      </c>
      <c r="YQ9" s="7" t="n">
        <v>-0.577828985859389</v>
      </c>
      <c r="YR9" s="7" t="n">
        <v>-0.469461052221078</v>
      </c>
      <c r="YS9" s="7" t="n">
        <v>1.03899833678538</v>
      </c>
      <c r="YT9" s="7" t="n">
        <v>-0.122390213838096</v>
      </c>
      <c r="YU9" s="7" t="n">
        <v>2.87706578984144</v>
      </c>
      <c r="YV9" s="7" t="n">
        <v>1.89139317644196</v>
      </c>
      <c r="YW9" s="7" t="n">
        <v>0.380835684888202</v>
      </c>
      <c r="YX9" s="7" t="n">
        <v>0.750925252155815</v>
      </c>
      <c r="YY9" s="7" t="n">
        <v>0.765212589366515</v>
      </c>
      <c r="YZ9" s="7" t="n">
        <v>-1.17529741573364</v>
      </c>
      <c r="ZA9" s="7" t="n">
        <v>-0.918567842993117</v>
      </c>
      <c r="ZB9" s="7" t="n">
        <v>1.06237141450615</v>
      </c>
      <c r="ZC9" s="7" t="n">
        <v>-0.446770968719788</v>
      </c>
      <c r="ZD9" s="7" t="n">
        <v>-0.771372607573604</v>
      </c>
      <c r="ZE9" s="7" t="n">
        <v>-1.13741113744002</v>
      </c>
      <c r="ZF9" s="7" t="n">
        <v>-0.357473780439032</v>
      </c>
      <c r="ZG9" s="7" t="n">
        <v>-0.437804555176615</v>
      </c>
      <c r="ZH9" s="7" t="n">
        <v>1.43980728288804</v>
      </c>
      <c r="ZI9" s="7" t="n">
        <v>-0.911891316269715</v>
      </c>
      <c r="ZJ9" s="7" t="n">
        <v>1.0788050911737</v>
      </c>
      <c r="ZK9" s="7" t="n">
        <v>-0.277475288691278</v>
      </c>
      <c r="ZL9" s="7" t="n">
        <v>0.157917051093046</v>
      </c>
      <c r="ZM9" s="7" t="n">
        <v>0.236443442335589</v>
      </c>
      <c r="ZN9" s="7" t="n">
        <v>-2.8356777068499</v>
      </c>
      <c r="ZO9" s="7" t="n">
        <v>1.01604939059329</v>
      </c>
      <c r="ZP9" s="7" t="n">
        <v>-0.945236971863379</v>
      </c>
      <c r="ZQ9" s="7" t="n">
        <v>0.0422176809063119</v>
      </c>
      <c r="ZR9" s="7" t="n">
        <v>0.636920495875762</v>
      </c>
      <c r="ZS9" s="7" t="n">
        <v>0.641642022645093</v>
      </c>
      <c r="ZT9" s="7" t="n">
        <v>1.47340520997596</v>
      </c>
      <c r="ZU9" s="7" t="n">
        <v>1.6292403623489</v>
      </c>
      <c r="ZV9" s="7" t="n">
        <v>-0.07601411807720961</v>
      </c>
      <c r="ZW9" s="7" t="n">
        <v>-0.157146665505954</v>
      </c>
      <c r="ZX9" s="7" t="n">
        <v>0.518190875408396</v>
      </c>
      <c r="ZY9" s="7" t="n">
        <v>-0.0239637659434886</v>
      </c>
      <c r="ZZ9" s="7" t="n">
        <v>-0.137918934726333</v>
      </c>
      <c r="AAA9" s="7" t="n">
        <v>-0.5797795308203419</v>
      </c>
      <c r="AAB9" s="7" t="n">
        <v>-0.598799679006938</v>
      </c>
      <c r="AAC9" s="7" t="n">
        <v>0.756180235769623</v>
      </c>
      <c r="AAD9" s="7" t="n">
        <v>-2.31130252555219</v>
      </c>
      <c r="AAE9" s="7" t="n">
        <v>-1.11743312513373</v>
      </c>
      <c r="AAF9" s="7" t="n">
        <v>-1.74070776091159</v>
      </c>
      <c r="AAG9" s="7" t="n">
        <v>-1.14622311679118</v>
      </c>
      <c r="AAH9" s="7" t="n">
        <v>-0.321230067546999</v>
      </c>
      <c r="AAI9" s="7" t="n">
        <v>-1.12041223070378</v>
      </c>
      <c r="AAJ9" s="7" t="n">
        <v>0.362419665491915</v>
      </c>
      <c r="AAK9" s="7" t="n">
        <v>0.482092886372766</v>
      </c>
      <c r="AAL9" s="7" t="n">
        <v>0.57574612329075</v>
      </c>
      <c r="AAM9" s="7" t="n">
        <v>1.57252902821994</v>
      </c>
      <c r="AAN9" s="7" t="n">
        <v>1.63298210966388</v>
      </c>
      <c r="AAO9" s="7" t="n">
        <v>1.06275457827065</v>
      </c>
      <c r="AAP9" s="7" t="n">
        <v>-0.111601695643269</v>
      </c>
      <c r="AAQ9" s="7" t="n">
        <v>-1.24394955009441</v>
      </c>
      <c r="AAR9" s="7" t="n">
        <v>-1.72919348477822</v>
      </c>
      <c r="AAS9" s="7" t="n">
        <v>2.54368691123951</v>
      </c>
      <c r="AAT9" s="7" t="n">
        <v>-0.0582405523500666</v>
      </c>
      <c r="AAU9" s="7" t="n">
        <v>-0.268578411978552</v>
      </c>
      <c r="AAV9" s="7" t="n">
        <v>1.96198307019283</v>
      </c>
      <c r="AAW9" s="7" t="n">
        <v>-1.15458490284864</v>
      </c>
      <c r="AAX9" s="7" t="n">
        <v>0.279062635852857</v>
      </c>
      <c r="AAY9" s="7" t="n">
        <v>-0.653215735210678</v>
      </c>
      <c r="AAZ9" s="7" t="n">
        <v>2.24777611614434</v>
      </c>
      <c r="ABA9" s="7" t="n">
        <v>0.6374296485304189</v>
      </c>
      <c r="ABB9" s="7" t="n">
        <v>-0.834088397465287</v>
      </c>
      <c r="ABC9" s="7" t="n">
        <v>-0.604867744954233</v>
      </c>
      <c r="ABD9" s="7" t="n">
        <v>0.317255739759006</v>
      </c>
      <c r="ABE9" s="7" t="n">
        <v>-0.0030434209121383</v>
      </c>
      <c r="ABF9" s="7" t="n">
        <v>0.585710836598313</v>
      </c>
      <c r="ABG9" s="7" t="n">
        <v>1.73615295476166</v>
      </c>
      <c r="ABH9" s="7" t="n">
        <v>0.633418738452262</v>
      </c>
      <c r="ABI9" s="7" t="n">
        <v>0.5297971644525989</v>
      </c>
      <c r="ABJ9" s="7" t="n">
        <v>-1.06047246937836</v>
      </c>
      <c r="ABK9" s="7" t="n">
        <v>-1.47788338903179</v>
      </c>
      <c r="ABL9" s="7" t="n">
        <v>-0.409606616117574</v>
      </c>
      <c r="ABM9" s="7" t="n">
        <v>-0.697142239387871</v>
      </c>
      <c r="ABN9" s="7" t="n">
        <v>-0.214508577091714</v>
      </c>
      <c r="ABO9" s="7" t="n">
        <v>-1.95636655108903</v>
      </c>
      <c r="ABP9" s="7" t="n">
        <v>0.756613173615816</v>
      </c>
      <c r="ABQ9" s="7" t="n">
        <v>0.988600927538389</v>
      </c>
      <c r="ABR9" s="7" t="n">
        <v>0.893826271710142</v>
      </c>
      <c r="ABS9" s="7" t="n">
        <v>-1.25528474049276</v>
      </c>
      <c r="ABT9" s="7" t="n">
        <v>-1.73630606372268</v>
      </c>
      <c r="ABU9" s="7" t="n">
        <v>-0.323211370862947</v>
      </c>
      <c r="ABV9" s="7" t="n">
        <v>-0.426788350376223</v>
      </c>
      <c r="ABW9" s="7" t="n">
        <v>0.0133326278451642</v>
      </c>
      <c r="ABX9" s="7" t="n">
        <v>-0.475354810185268</v>
      </c>
      <c r="ABY9" s="7" t="n">
        <v>1.47332668850237</v>
      </c>
      <c r="ABZ9" s="7" t="n">
        <v>0.174505798958852</v>
      </c>
      <c r="ACA9" s="7" t="n">
        <v>-0.120358483705814</v>
      </c>
      <c r="ACB9" s="7" t="n">
        <v>-0.17006078407785</v>
      </c>
      <c r="ACC9" s="7" t="n">
        <v>1.9516419518778</v>
      </c>
      <c r="ACD9" s="7" t="n">
        <v>-1.06666814663954</v>
      </c>
      <c r="ACE9" s="7" t="n">
        <v>-1.06896913909073</v>
      </c>
      <c r="ACF9" s="7" t="n">
        <v>-1.46268757123502</v>
      </c>
      <c r="ACG9" s="7" t="n">
        <v>1.03006997671141</v>
      </c>
      <c r="ACH9" s="7" t="n">
        <v>-2.31372658982127</v>
      </c>
      <c r="ACI9" s="7" t="n">
        <v>-0.945687346567114</v>
      </c>
      <c r="ACJ9" s="7" t="n">
        <v>1.75022702036</v>
      </c>
      <c r="ACK9" s="7" t="n">
        <v>1.36850199688652</v>
      </c>
      <c r="ACL9" s="7" t="n">
        <v>-0.0171416770153148</v>
      </c>
      <c r="ACM9" s="7" t="n">
        <v>-1.50479304788313</v>
      </c>
      <c r="ACN9" s="7" t="n">
        <v>0.403708373026318</v>
      </c>
      <c r="ACO9" s="7" t="n">
        <v>-1.01374573321727</v>
      </c>
      <c r="ACP9" s="7" t="n">
        <v>1.18860325157499</v>
      </c>
      <c r="ACQ9" s="7" t="n">
        <v>-0.330355782473124</v>
      </c>
      <c r="ACR9" s="7" t="n">
        <v>-1.3414351638295</v>
      </c>
      <c r="ACS9" s="7" t="n">
        <v>-1.39022932005908</v>
      </c>
      <c r="ACT9" s="7" t="n">
        <v>1.04553513705851</v>
      </c>
      <c r="ACU9" s="7" t="n">
        <v>-1.88037282421626</v>
      </c>
      <c r="ACV9" s="7" t="n">
        <v>-0.254253933127486</v>
      </c>
      <c r="ACW9" s="7" t="n">
        <v>0.384490991013226</v>
      </c>
      <c r="ACX9" s="7" t="n">
        <v>-0.709440281802689</v>
      </c>
      <c r="ACY9" s="7" t="n">
        <v>0.505090859529814</v>
      </c>
      <c r="ACZ9" s="7" t="n">
        <v>2.12359412852471</v>
      </c>
      <c r="ADA9" s="7" t="n">
        <v>0.154769227218787</v>
      </c>
      <c r="ADB9" s="7" t="n">
        <v>0.295805203514087</v>
      </c>
      <c r="ADC9" s="7" t="n">
        <v>0.06973834715488959</v>
      </c>
      <c r="ADD9" s="7" t="n">
        <v>0.0781048602155076</v>
      </c>
      <c r="ADE9" s="7" t="n">
        <v>1.50757142439332</v>
      </c>
      <c r="ADF9" s="7" t="n">
        <v>-0.611146105767818</v>
      </c>
      <c r="ADG9" s="7" t="n">
        <v>0.83237957303489</v>
      </c>
      <c r="ADH9" s="7" t="n">
        <v>0.570790419628124</v>
      </c>
      <c r="ADI9" s="7" t="n">
        <v>0.638020849738188</v>
      </c>
      <c r="ADJ9" s="7" t="n">
        <v>-0.287326240184391</v>
      </c>
      <c r="ADK9" s="7" t="n">
        <v>-0.591042800167098</v>
      </c>
      <c r="ADL9" s="7" t="n">
        <v>-0.86421528799513</v>
      </c>
      <c r="ADM9" s="7" t="n">
        <v>-0.641452140322768</v>
      </c>
      <c r="ADN9" s="7" t="n">
        <v>-0.0364827519147547</v>
      </c>
      <c r="ADO9" s="7" t="n">
        <v>1.0684690826077</v>
      </c>
      <c r="ADP9" s="7" t="n">
        <v>-1.0323011208147</v>
      </c>
      <c r="ADQ9" s="7" t="n">
        <v>0.742070724028747</v>
      </c>
      <c r="ADR9" s="7" t="n">
        <v>0.915023797141725</v>
      </c>
      <c r="ADS9" s="7" t="n">
        <v>-0.280736037180652</v>
      </c>
      <c r="ADT9" s="7" t="n">
        <v>-0.153723660066446</v>
      </c>
      <c r="ADU9" s="7" t="n">
        <v>1.6079164682046</v>
      </c>
      <c r="ADV9" s="7" t="n">
        <v>0.493132462744975</v>
      </c>
      <c r="ADW9" s="7" t="n">
        <v>0.5283930292687981</v>
      </c>
      <c r="ADX9" s="7" t="n">
        <v>-0.718484025689996</v>
      </c>
      <c r="ADY9" s="7" t="n">
        <v>-1.18356289181853</v>
      </c>
      <c r="ADZ9" s="7" t="n">
        <v>-0.769863608882397</v>
      </c>
      <c r="AEA9" s="7" t="n">
        <v>-1.97718628803609</v>
      </c>
      <c r="AEB9" s="7" t="n">
        <v>-1.56379592616054</v>
      </c>
      <c r="AEC9" s="7" t="n">
        <v>-1.0634966564219</v>
      </c>
      <c r="AED9" s="7" t="n">
        <v>-0.788168717738256</v>
      </c>
      <c r="AEE9" s="7" t="n">
        <v>-0.616981339925591</v>
      </c>
      <c r="AEF9" s="7" t="n">
        <v>-0.7328076755020581</v>
      </c>
      <c r="AEG9" s="7" t="n">
        <v>0.424642859070446</v>
      </c>
      <c r="AEH9" s="7" t="n">
        <v>0.975653448442693</v>
      </c>
      <c r="AEI9" s="7" t="n">
        <v>0.923364247777487</v>
      </c>
      <c r="AEJ9" s="7" t="n">
        <v>0.0027039695858103</v>
      </c>
      <c r="AEK9" s="7" t="n">
        <v>-0.866421580131262</v>
      </c>
      <c r="AEL9" s="7" t="n">
        <v>-0.810850672204222</v>
      </c>
      <c r="AEM9" s="7" t="n">
        <v>-1.19321253022881</v>
      </c>
      <c r="AEN9" s="7" t="n">
        <v>-0.170191248505771</v>
      </c>
      <c r="AEO9" s="7" t="n">
        <v>0.904652668295484</v>
      </c>
      <c r="AEP9" s="7" t="n">
        <v>-0.553660694108182</v>
      </c>
      <c r="AEQ9" s="7" t="n">
        <v>-0.661622306217116</v>
      </c>
      <c r="AER9" s="7" t="n">
        <v>0.78721249456859</v>
      </c>
      <c r="AES9" s="7" t="n">
        <v>0.324051460019333</v>
      </c>
      <c r="AET9" s="7" t="n">
        <v>2.30344460997657</v>
      </c>
      <c r="AEU9" s="7" t="n">
        <v>-0.57839994037784</v>
      </c>
      <c r="AEV9" s="7" t="n">
        <v>1.66772257229087</v>
      </c>
      <c r="AEW9" s="7" t="n">
        <v>-1.81915567967418</v>
      </c>
      <c r="AEX9" s="7" t="n">
        <v>-0.39505461890055</v>
      </c>
      <c r="AEY9" s="7" t="n">
        <v>2.0952208110531</v>
      </c>
      <c r="AEZ9" s="7" t="n">
        <v>0.172833456564343</v>
      </c>
      <c r="AFA9" s="7" t="n">
        <v>-0.172995469790356</v>
      </c>
      <c r="AFB9" s="7" t="n">
        <v>0.769596047775741</v>
      </c>
      <c r="AFC9" s="7" t="n">
        <v>-0.7202214359696</v>
      </c>
      <c r="AFD9" s="7" t="n">
        <v>0.159674210268985</v>
      </c>
      <c r="AFE9" s="7" t="n">
        <v>-0.248524149351202</v>
      </c>
      <c r="AFF9" s="7" t="n">
        <v>0.33710151138282</v>
      </c>
      <c r="AFG9" s="7" t="n">
        <v>-0.356077974248785</v>
      </c>
      <c r="AFH9" s="7" t="n">
        <v>0.154119511233569</v>
      </c>
      <c r="AFI9" s="7" t="n">
        <v>1.44103003084811</v>
      </c>
      <c r="AFJ9" s="7" t="n">
        <v>-0.0295428981955452</v>
      </c>
      <c r="AFK9" s="7" t="n">
        <v>0.571567336907401</v>
      </c>
      <c r="AFL9" s="7" t="n">
        <v>-1.22661513638239</v>
      </c>
      <c r="AFM9" s="7" t="n">
        <v>0.115604278692465</v>
      </c>
      <c r="AFN9" s="7" t="n">
        <v>-0.471020823313279</v>
      </c>
      <c r="AFO9" s="7" t="n">
        <v>-0.688624210524998</v>
      </c>
      <c r="AFP9" s="7" t="n">
        <v>-0.421242514764652</v>
      </c>
      <c r="AFQ9" s="7" t="n">
        <v>-1.20194745530244</v>
      </c>
      <c r="AFR9" s="7" t="n">
        <v>0.219730666440561</v>
      </c>
      <c r="AFS9" s="7" t="n">
        <v>-0.182267730154866</v>
      </c>
      <c r="AFT9" s="7" t="n">
        <v>1.93364714007731</v>
      </c>
      <c r="AFU9" s="7" t="n">
        <v>0.0208873716655422</v>
      </c>
      <c r="AFV9" s="7" t="n">
        <v>0.228701015501296</v>
      </c>
      <c r="AFW9" s="7" t="n">
        <v>0.958927448581416</v>
      </c>
      <c r="AFX9" s="7" t="n">
        <v>0.6200797152170791</v>
      </c>
      <c r="AFY9" s="7" t="n">
        <v>-0.247939615294064</v>
      </c>
      <c r="AFZ9" s="7" t="n">
        <v>-0.641985749882691</v>
      </c>
      <c r="AGA9" s="7" t="n">
        <v>2.65942270147828</v>
      </c>
      <c r="AGB9" s="7" t="n">
        <v>-0.335675374105376</v>
      </c>
      <c r="AGC9" s="7" t="n">
        <v>-1.25844143885376</v>
      </c>
      <c r="AGD9" s="7" t="n">
        <v>-1.33873098375427</v>
      </c>
      <c r="AGE9" s="7" t="n">
        <v>-0.0416057717065954</v>
      </c>
      <c r="AGF9" s="7" t="n">
        <v>1.03727924368664</v>
      </c>
      <c r="AGG9" s="7" t="n">
        <v>-0.119879089403765</v>
      </c>
      <c r="AGH9" s="7" t="n">
        <v>0.64100154127245</v>
      </c>
      <c r="AGI9" s="7" t="n">
        <v>-1.71604185852211</v>
      </c>
      <c r="AGJ9" s="7" t="n">
        <v>0.346282833271934</v>
      </c>
      <c r="AGK9" s="7" t="n">
        <v>1.20746389771657</v>
      </c>
      <c r="AGL9" s="7" t="n">
        <v>0.457269483203692</v>
      </c>
      <c r="AGM9" s="7" t="n">
        <v>0.101198492033065</v>
      </c>
      <c r="AGN9" s="7" t="n">
        <v>-0.971986235931818</v>
      </c>
      <c r="AGO9" s="7" t="n">
        <v>0.586365947016299</v>
      </c>
      <c r="AGP9" s="7" t="n">
        <v>-1.1801542355149</v>
      </c>
      <c r="AGQ9" s="7" t="n">
        <v>-0.426531830828764</v>
      </c>
      <c r="AGR9" s="7" t="n">
        <v>-1.62026017853358</v>
      </c>
      <c r="AGS9" s="7" t="n">
        <v>1.48306440469445</v>
      </c>
      <c r="AGT9" s="7" t="n">
        <v>-0.971754300324099</v>
      </c>
      <c r="AGU9" s="7" t="n">
        <v>0.354033693339937</v>
      </c>
      <c r="AGV9" s="7" t="n">
        <v>0.542120252714029</v>
      </c>
      <c r="AGW9" s="7" t="n">
        <v>1.68598823230251</v>
      </c>
      <c r="AGX9" s="7" t="n">
        <v>-0.524747667206828</v>
      </c>
      <c r="AGY9" s="7" t="n">
        <v>-2.72051028761182</v>
      </c>
      <c r="AGZ9" s="7" t="n">
        <v>0.72774396873568</v>
      </c>
      <c r="AHA9" s="7" t="n">
        <v>-0.372110593855417</v>
      </c>
      <c r="AHB9" s="7" t="n">
        <v>0.625991406717209</v>
      </c>
      <c r="AHC9" s="7" t="n">
        <v>-0.330549599485745</v>
      </c>
      <c r="AHD9" s="7" t="n">
        <v>0.330016302551421</v>
      </c>
      <c r="AHE9" s="7" t="n">
        <v>-1.30568542113131</v>
      </c>
      <c r="AHF9" s="7" t="n">
        <v>0.304241896059613</v>
      </c>
      <c r="AHG9" s="7" t="n">
        <v>0.57539143704955</v>
      </c>
      <c r="AHH9" s="7" t="n">
        <v>-0.170263116983995</v>
      </c>
      <c r="AHI9" s="7" t="n">
        <v>-0.08660274101333761</v>
      </c>
      <c r="AHJ9" s="7" t="n">
        <v>1.41786375648652</v>
      </c>
      <c r="AHK9" s="7" t="n">
        <v>-0.234273205225211</v>
      </c>
      <c r="AHL9" s="7" t="n">
        <v>-2.16505992326969</v>
      </c>
      <c r="AHM9" s="7" t="n">
        <v>0.391781842564341</v>
      </c>
      <c r="AHN9" s="7" t="n">
        <v>-0.278867894985719</v>
      </c>
      <c r="AHO9" s="7" t="n">
        <v>0.992834451258699</v>
      </c>
      <c r="AHP9" s="7" t="n">
        <v>-0.809355361905757</v>
      </c>
      <c r="AHQ9" s="7" t="n">
        <v>-0.442565937171803</v>
      </c>
      <c r="AHR9" s="7" t="n">
        <v>-1.88407864960858</v>
      </c>
      <c r="AHS9" s="7" t="n">
        <v>0.661247059785123</v>
      </c>
      <c r="AHT9" s="7" t="n">
        <v>-0.599774302959281</v>
      </c>
      <c r="AHU9" s="7" t="n">
        <v>0.443291254358641</v>
      </c>
      <c r="AHV9" s="7" t="n">
        <v>-0.289890812768493</v>
      </c>
      <c r="AHW9" s="7" t="n">
        <v>0.274149518938326</v>
      </c>
      <c r="AHX9" s="7" t="n">
        <v>-1.27974325901433</v>
      </c>
      <c r="AHY9" s="7" t="n">
        <v>0.0202908170962074</v>
      </c>
      <c r="AHZ9" s="7" t="n">
        <v>0.168137532754935</v>
      </c>
      <c r="AIA9" s="7" t="n">
        <v>-0.519346362473302</v>
      </c>
      <c r="AIB9" s="7" t="n">
        <v>-1.51342351132571</v>
      </c>
      <c r="AIC9" s="7" t="n">
        <v>0.700723068397396</v>
      </c>
      <c r="AID9" s="7" t="n">
        <v>0.46713511130469</v>
      </c>
      <c r="AIE9" s="7" t="n">
        <v>-0.5244521370720751</v>
      </c>
      <c r="AIF9" s="7" t="n">
        <v>1.21167374850512</v>
      </c>
      <c r="AIG9" s="7" t="n">
        <v>-0.387283572644519</v>
      </c>
      <c r="AIH9" s="7" t="n">
        <v>-0.640579233896533</v>
      </c>
      <c r="AII9" s="7" t="n">
        <v>0.227266844517334</v>
      </c>
      <c r="AIJ9" s="7" t="n">
        <v>0.11857052646618</v>
      </c>
      <c r="AIK9" s="7" t="n">
        <v>-0.508039149072058</v>
      </c>
      <c r="AIL9" s="7" t="n">
        <v>1.91058761500189</v>
      </c>
      <c r="AIM9" s="7" t="n">
        <v>-0.319697406023238</v>
      </c>
      <c r="AIN9" s="7" t="n">
        <v>-1.03871426543565</v>
      </c>
      <c r="AIO9" s="7" t="n">
        <v>0.06650414501047749</v>
      </c>
      <c r="AIP9" s="7" t="n">
        <v>1.89496895972017</v>
      </c>
      <c r="AIQ9" s="7" t="n">
        <v>0.527885238739338</v>
      </c>
      <c r="AIR9" s="7" t="n">
        <v>-2.40899737600823</v>
      </c>
      <c r="AIS9" s="7" t="n">
        <v>-0.200911439946783</v>
      </c>
      <c r="AIT9" s="7" t="n">
        <v>1.14428157450903</v>
      </c>
      <c r="AIU9" s="7" t="n">
        <v>0.687005661062703</v>
      </c>
      <c r="AIV9" s="7" t="n">
        <v>0.283901070792809</v>
      </c>
      <c r="AIW9" s="7" t="n">
        <v>0.799247368133403</v>
      </c>
      <c r="AIX9" s="7" t="n">
        <v>-0.433723474016489</v>
      </c>
      <c r="AIY9" s="7" t="n">
        <v>1.36484367216902</v>
      </c>
      <c r="AIZ9" s="7" t="n">
        <v>0.490209479057467</v>
      </c>
      <c r="AJA9" s="7" t="n">
        <v>-0.305141547425124</v>
      </c>
      <c r="AJB9" s="7" t="n">
        <v>-0.08054218265256741</v>
      </c>
      <c r="AJC9" s="7" t="n">
        <v>-0.809903892055354</v>
      </c>
      <c r="AJD9" s="7" t="n">
        <v>1.12547978579083</v>
      </c>
      <c r="AJE9" s="7" t="n">
        <v>-0.577015699436278</v>
      </c>
      <c r="AJF9" s="7" t="n">
        <v>1.26724144500167</v>
      </c>
      <c r="AJG9" s="7" t="n">
        <v>1.29554244629333</v>
      </c>
      <c r="AJH9" s="7" t="n">
        <v>0.264975675140016</v>
      </c>
      <c r="AJI9" s="7" t="n">
        <v>0.365345624254162</v>
      </c>
      <c r="AJJ9" s="7" t="n">
        <v>-0.6749465899078519</v>
      </c>
      <c r="AJK9" s="7" t="n">
        <v>-1.81847712792846</v>
      </c>
      <c r="AJL9" s="7" t="n">
        <v>-0.317988368060821</v>
      </c>
      <c r="AJM9" s="7" t="n">
        <v>0.204475873104432</v>
      </c>
      <c r="AJN9" s="7" t="n">
        <v>-0.5714730668931089</v>
      </c>
      <c r="AJO9" s="7" t="n">
        <v>-0.332609762565078</v>
      </c>
      <c r="AJP9" s="7" t="n">
        <v>-1.41283293930461</v>
      </c>
      <c r="AJQ9" s="7" t="n">
        <v>0.04498796751939</v>
      </c>
      <c r="AJR9" s="7" t="n">
        <v>-0.0051007390321749</v>
      </c>
      <c r="AJS9" s="7" t="n">
        <v>-1.57612951112315</v>
      </c>
      <c r="AJT9" s="7" t="n">
        <v>0.212125771535212</v>
      </c>
      <c r="AJU9" s="7" t="n">
        <v>1.81750104827873</v>
      </c>
      <c r="AJV9" s="7" t="n">
        <v>-0.800910183086224</v>
      </c>
      <c r="AJW9" s="7" t="n">
        <v>-0.0887040254027479</v>
      </c>
      <c r="AJX9" s="7" t="n">
        <v>-1.05443435158877</v>
      </c>
      <c r="AJY9" s="7" t="n">
        <v>0.439855740546548</v>
      </c>
      <c r="AJZ9" s="7" t="n">
        <v>-0.302799747181697</v>
      </c>
      <c r="AKA9" s="7" t="n">
        <v>-1.54274459259087</v>
      </c>
      <c r="AKB9" s="7" t="n">
        <v>0.688325415969653</v>
      </c>
      <c r="AKC9" s="7" t="n">
        <v>-0.116751659120414</v>
      </c>
      <c r="AKD9" s="7" t="n">
        <v>0.403694011071085</v>
      </c>
      <c r="AKE9" s="7" t="n">
        <v>1.53314534989517</v>
      </c>
      <c r="AKF9" s="7" t="n">
        <v>0.157235861945552</v>
      </c>
      <c r="AKG9" s="7" t="n">
        <v>0.974390838057049</v>
      </c>
      <c r="AKH9" s="7" t="n">
        <v>0.952637375705542</v>
      </c>
      <c r="AKI9" s="7" t="n">
        <v>0.658642497523331</v>
      </c>
      <c r="AKJ9" s="7" t="n">
        <v>0.520456527298405</v>
      </c>
      <c r="AKK9" s="7" t="n">
        <v>0.08998934517142371</v>
      </c>
      <c r="AKL9" s="7" t="n">
        <v>0.900739205764724</v>
      </c>
      <c r="AKM9" s="7" t="n">
        <v>-0.641696022225311</v>
      </c>
      <c r="AKN9" s="7" t="n">
        <v>-1.37723645054679</v>
      </c>
      <c r="AKO9" s="7" t="n">
        <v>-0.320423804646475</v>
      </c>
      <c r="AKP9" s="7" t="n">
        <v>0.735325627691759</v>
      </c>
      <c r="AKQ9" s="7" t="n">
        <v>1.23832208754279</v>
      </c>
      <c r="AKR9" s="7" t="n">
        <v>-1.29501972663036</v>
      </c>
      <c r="AKS9" s="7" t="n">
        <v>-0.809901159307734</v>
      </c>
      <c r="AKT9" s="7" t="n">
        <v>1.30707969305747</v>
      </c>
      <c r="AKU9" s="7" t="n">
        <v>-0.735378612461811</v>
      </c>
      <c r="AKV9" s="7" t="n">
        <v>0.0109277083673115</v>
      </c>
      <c r="AKW9" s="7" t="n">
        <v>0.406028741758253</v>
      </c>
      <c r="AKX9" s="7" t="n">
        <v>-0.264003728808889</v>
      </c>
      <c r="AKY9" s="7" t="n">
        <v>-0.561607655183982</v>
      </c>
      <c r="AKZ9" s="7" t="n">
        <v>-0.433555370690479</v>
      </c>
      <c r="ALA9" s="7" t="n">
        <v>-0.568034318555847</v>
      </c>
      <c r="ALB9" s="7" t="n">
        <v>0.698730185873887</v>
      </c>
      <c r="ALC9" s="7" t="n">
        <v>0.164279810364213</v>
      </c>
      <c r="ALD9" s="7" t="n">
        <v>-0.418474437275505</v>
      </c>
      <c r="ALE9" s="7" t="n">
        <v>0.07688071817273209</v>
      </c>
      <c r="ALF9" s="7" t="n">
        <v>-1.32019246488988</v>
      </c>
      <c r="ALG9" s="7" t="n">
        <v>-0.967876101528909</v>
      </c>
      <c r="ALH9" s="7" t="n">
        <v>-0.562571401314265</v>
      </c>
      <c r="ALI9" s="7" t="n">
        <v>1.29615163875728</v>
      </c>
      <c r="ALJ9" s="7" t="n">
        <v>0.303500163135942</v>
      </c>
      <c r="ALK9" s="7" t="n">
        <v>0.0421800689352244</v>
      </c>
      <c r="ALL9" s="7" t="n">
        <v>0.11891413968441</v>
      </c>
      <c r="ALM9" s="7" t="n">
        <v>1.48850637220696</v>
      </c>
      <c r="ALN9" s="7" t="n">
        <v>0.760241566222553</v>
      </c>
      <c r="ALO9" s="7" t="n">
        <v>1.32091698168503</v>
      </c>
      <c r="ALP9" s="7" t="n">
        <v>0.71872247453369</v>
      </c>
      <c r="ALQ9" s="7" t="n">
        <v>0.86251316291161</v>
      </c>
      <c r="ALR9" s="7" t="n">
        <v>0.445571560326283</v>
      </c>
      <c r="ALS9" s="7" t="n">
        <v>-0.630414263951421</v>
      </c>
      <c r="ALT9" s="7" t="n">
        <v>-0.116961663587315</v>
      </c>
      <c r="ALU9" s="7" t="n">
        <v>0.498811464237921</v>
      </c>
      <c r="ALV9" s="7" t="n">
        <v>-1.70486163972653</v>
      </c>
      <c r="ALW9" s="7" t="n">
        <v>0.8970586640550841</v>
      </c>
      <c r="ALX9" s="7" t="n">
        <v>-0.877450678718401</v>
      </c>
      <c r="ALY9" s="7" t="n">
        <v>1.16189561650559</v>
      </c>
      <c r="ALZ9" s="7" t="n">
        <v>-0.549717649732564</v>
      </c>
      <c r="AMA9" s="7" t="n">
        <v>-1.45843507891354</v>
      </c>
      <c r="AMB9" s="7" t="n">
        <v>-0.540220818793098</v>
      </c>
      <c r="AMC9" s="7" t="n">
        <v>0.108507167651919</v>
      </c>
      <c r="AMD9" s="7" t="n">
        <v>1.09002954335768</v>
      </c>
      <c r="AME9" s="7" t="n">
        <v>0.627967388472376</v>
      </c>
      <c r="AMF9" s="7" t="n">
        <v>-0.7879818134188969</v>
      </c>
      <c r="AMG9" s="7" t="n">
        <v>-0.274785606355704</v>
      </c>
      <c r="AMH9" s="7" t="n">
        <v>0.393078923451851</v>
      </c>
      <c r="AMI9" s="7" t="n">
        <v>-1.01020941536545</v>
      </c>
      <c r="AMJ9" s="7" t="n">
        <v>1.04155572791059</v>
      </c>
      <c r="AMK9" s="7" t="n">
        <v>-0.195229653393466</v>
      </c>
      <c r="AML9" s="7" t="n">
        <v>1.39770815868387</v>
      </c>
      <c r="AMM9" s="7" t="n">
        <v>0.435654663719865</v>
      </c>
      <c r="AMN9" s="7" t="n">
        <v>-1.31108295299759</v>
      </c>
      <c r="AMO9" s="7" t="n">
        <v>-0.749817928195619</v>
      </c>
      <c r="AMP9" s="7" t="n">
        <v>0.178052173255452</v>
      </c>
      <c r="AMQ9" s="7" t="n">
        <v>1.47012525486453</v>
      </c>
      <c r="AMR9" s="7" t="n">
        <v>0.864389128567442</v>
      </c>
      <c r="AMS9" s="7" t="n">
        <v>1.06561284752445</v>
      </c>
      <c r="AMT9" s="7" t="n">
        <v>-0.06301124562097769</v>
      </c>
      <c r="AMU9" s="7" t="n">
        <v>0.732446920432693</v>
      </c>
      <c r="AMV9" s="7" t="n">
        <v>1.64911075771461</v>
      </c>
      <c r="AMW9" s="7" t="n">
        <v>-0.340795350842213</v>
      </c>
      <c r="AMX9" s="7" t="n">
        <v>-0.7479002481945251</v>
      </c>
      <c r="AMY9" s="7" t="n">
        <v>-1.12229694185108</v>
      </c>
      <c r="AMZ9" s="7" t="n">
        <v>0.408508391143304</v>
      </c>
      <c r="ANA9" s="7" t="n">
        <v>0.705579378775796</v>
      </c>
      <c r="ANB9" s="7" t="n">
        <v>0.56574014379395</v>
      </c>
      <c r="ANC9" s="7" t="n">
        <v>0.198599518520799</v>
      </c>
      <c r="AND9" s="7" t="n">
        <v>-1.46787943176923</v>
      </c>
      <c r="ANE9" s="7" t="n">
        <v>0.634575618466392</v>
      </c>
      <c r="ANF9" s="7" t="n">
        <v>0.609785984707337</v>
      </c>
      <c r="ANG9" s="7" t="n">
        <v>0.187182790838531</v>
      </c>
      <c r="ANH9" s="7" t="n">
        <v>-1.71998563558829</v>
      </c>
      <c r="ANI9" s="7" t="n">
        <v>1.51171851291228</v>
      </c>
      <c r="ANJ9" s="7" t="n">
        <v>1.44554272427364</v>
      </c>
      <c r="ANK9" s="7" t="n">
        <v>0.911202343449991</v>
      </c>
      <c r="ANL9" s="7" t="n">
        <v>-0.34677475882756</v>
      </c>
      <c r="ANM9" s="7" t="n">
        <v>0.388068409506908</v>
      </c>
      <c r="ANN9" s="7" t="n">
        <v>1.52965458028416</v>
      </c>
      <c r="ANO9" s="7" t="n">
        <v>1.15151941544207</v>
      </c>
      <c r="ANP9" s="7" t="n">
        <v>-1.61040132972611</v>
      </c>
      <c r="ANQ9" s="7" t="n">
        <v>-0.0886266446642322</v>
      </c>
      <c r="ANR9" s="7" t="n">
        <v>0.817697603650994</v>
      </c>
      <c r="ANS9" s="7" t="n">
        <v>-0.39964621706093</v>
      </c>
      <c r="ANT9" s="7" t="n">
        <v>-0.128499432324701</v>
      </c>
      <c r="ANU9" s="7" t="n">
        <v>-0.886780943840713</v>
      </c>
      <c r="ANV9" s="7" t="n">
        <v>0.776299744387251</v>
      </c>
      <c r="ANW9" s="7" t="n">
        <v>0.952201751106169</v>
      </c>
      <c r="ANX9" s="7" t="n">
        <v>-1.33725289052819</v>
      </c>
      <c r="ANY9" s="7" t="n">
        <v>-1.33157619196938</v>
      </c>
      <c r="ANZ9" s="7" t="n">
        <v>-1.59261590769323</v>
      </c>
      <c r="AOA9" s="7" t="n">
        <v>-0.469905783495834</v>
      </c>
      <c r="AOB9" s="7" t="n">
        <v>0.411082189958452</v>
      </c>
      <c r="AOC9" s="7" t="n">
        <v>-0.407965944191284</v>
      </c>
      <c r="AOD9" s="7" t="n">
        <v>0.206730210163035</v>
      </c>
      <c r="AOE9" s="7" t="n">
        <v>0.379295384443208</v>
      </c>
      <c r="AOF9" s="7" t="n">
        <v>-0.174381067790524</v>
      </c>
      <c r="AOG9" s="7" t="n">
        <v>-1.38034454875272</v>
      </c>
      <c r="AOH9" s="7" t="n">
        <v>-1.42061946633197</v>
      </c>
      <c r="AOI9" s="7" t="n">
        <v>-1.40994560126683</v>
      </c>
      <c r="AOJ9" s="7" t="n">
        <v>0.124577084047416</v>
      </c>
      <c r="AOK9" s="7" t="n">
        <v>0.547002033560177</v>
      </c>
      <c r="AOL9" s="7" t="n">
        <v>-0.638408609741319</v>
      </c>
      <c r="AOM9" s="7" t="n">
        <v>1.46237954872893</v>
      </c>
      <c r="AON9" s="7" t="n">
        <v>-0.0551508100239822</v>
      </c>
      <c r="AOO9" s="7" t="n">
        <v>0.0313222919390205</v>
      </c>
      <c r="AOP9" s="7" t="n">
        <v>0.838061449971606</v>
      </c>
      <c r="AOQ9" s="7" t="n">
        <v>-0.872833904739949</v>
      </c>
      <c r="AOR9" s="7" t="n">
        <v>-0.7894520063870299</v>
      </c>
      <c r="AOS9" s="7" t="n">
        <v>1.35623930771417</v>
      </c>
      <c r="AOT9" s="7" t="n">
        <v>0.6224299859128331</v>
      </c>
      <c r="AOU9" s="7" t="n">
        <v>0.520313952043846</v>
      </c>
      <c r="AOV9" s="7" t="n">
        <v>0.302827668427956</v>
      </c>
      <c r="AOW9" s="7" t="n">
        <v>0.135826069700054</v>
      </c>
      <c r="AOX9" s="7" t="n">
        <v>0.656881549085405</v>
      </c>
      <c r="AOY9" s="7" t="n">
        <v>0.8292979740158321</v>
      </c>
      <c r="AOZ9" s="7" t="n">
        <v>1.53825816969836</v>
      </c>
      <c r="APA9" s="7" t="n">
        <v>-1.50098547197573</v>
      </c>
      <c r="APB9" s="7" t="n">
        <v>0.176611930759427</v>
      </c>
      <c r="APC9" s="7" t="n">
        <v>-1.44435495944099</v>
      </c>
      <c r="APD9" s="7" t="n">
        <v>-2.32045096991484</v>
      </c>
      <c r="APE9" s="7" t="n">
        <v>0.372797387094547</v>
      </c>
      <c r="APF9" s="7" t="n">
        <v>0.106682084342828</v>
      </c>
      <c r="APG9" s="7" t="n">
        <v>-2.02628490560519</v>
      </c>
      <c r="APH9" s="7" t="n">
        <v>1.22861932675316</v>
      </c>
      <c r="API9" s="7" t="n">
        <v>0.783471526142217</v>
      </c>
      <c r="APJ9" s="7" t="n">
        <v>0.970151218523428</v>
      </c>
      <c r="APK9" s="7" t="n">
        <v>1.21642210674151</v>
      </c>
      <c r="APL9" s="7" t="n">
        <v>-0.822028767061406</v>
      </c>
      <c r="APM9" s="7" t="n">
        <v>0.34783484418176</v>
      </c>
      <c r="APN9" s="7" t="n">
        <v>-0.375604171200525</v>
      </c>
      <c r="APO9" s="7" t="n">
        <v>0.768158709612118</v>
      </c>
      <c r="APP9" s="7" t="n">
        <v>0.9334486833372</v>
      </c>
      <c r="APQ9" s="7" t="n">
        <v>0.514343728998664</v>
      </c>
      <c r="APR9" s="7" t="n">
        <v>0.128743865597079</v>
      </c>
      <c r="APS9" s="7" t="n">
        <v>1.03729866071204</v>
      </c>
      <c r="APT9" s="7" t="n">
        <v>-1.08342223782318</v>
      </c>
      <c r="APU9" s="7" t="n">
        <v>1.48432395943342</v>
      </c>
      <c r="APV9" s="7" t="n">
        <v>1.1373901196125</v>
      </c>
      <c r="APW9" s="7" t="n">
        <v>-0.08400579987397321</v>
      </c>
      <c r="APX9" s="7" t="n">
        <v>-0.383202635308035</v>
      </c>
      <c r="APY9" s="7" t="n">
        <v>-1.88645541982461</v>
      </c>
      <c r="APZ9" s="7" t="n">
        <v>0.0806826241621226</v>
      </c>
      <c r="AQA9" s="7" t="n">
        <v>-1.11030058831299</v>
      </c>
      <c r="AQB9" s="7" t="n">
        <v>-0.293612650457256</v>
      </c>
      <c r="AQC9" s="7" t="n">
        <v>0.0489603723389916</v>
      </c>
      <c r="AQD9" s="7" t="n">
        <v>-0.447348147439905</v>
      </c>
      <c r="AQE9" s="7" t="n">
        <v>0.275220444182391</v>
      </c>
      <c r="AQF9" s="7" t="n">
        <v>0.0902023372017812</v>
      </c>
      <c r="AQG9" s="7" t="n">
        <v>-0.124573525240693</v>
      </c>
      <c r="AQH9" s="7" t="n">
        <v>0.602781330353328</v>
      </c>
      <c r="AQI9" s="7" t="n">
        <v>-0.91445052771916</v>
      </c>
      <c r="AQJ9" s="7" t="n">
        <v>-0.33617079803767</v>
      </c>
      <c r="AQK9" s="7" t="n">
        <v>-0.489009494584072</v>
      </c>
      <c r="AQL9" s="7" t="n">
        <v>-0.593479192911081</v>
      </c>
      <c r="AQM9" s="7" t="n">
        <v>-0.54636227502893</v>
      </c>
      <c r="AQN9" s="7" t="n">
        <v>0.854456899761301</v>
      </c>
      <c r="AQO9" s="7" t="n">
        <v>1.15993841334204</v>
      </c>
      <c r="AQP9" s="7" t="n">
        <v>0.112742648114015</v>
      </c>
      <c r="AQQ9" s="7" t="n">
        <v>-0.346009998030044</v>
      </c>
      <c r="AQR9" s="7" t="n">
        <v>-0.08974332023864499</v>
      </c>
      <c r="AQS9" s="7" t="n">
        <v>-2.83414770466583</v>
      </c>
      <c r="AQT9" s="7" t="n">
        <v>-0.116039027425392</v>
      </c>
      <c r="AQU9" s="7" t="n">
        <v>-0.421309395951636</v>
      </c>
      <c r="AQV9" s="7" t="n">
        <v>-1.49417966073326</v>
      </c>
      <c r="AQW9" s="7" t="n">
        <v>-0.266526670669411</v>
      </c>
      <c r="AQX9" s="7" t="n">
        <v>3.0810640178688</v>
      </c>
      <c r="AQY9" s="7" t="n">
        <v>-0.470498280532957</v>
      </c>
      <c r="AQZ9" s="7" t="n">
        <v>1.54638614590906</v>
      </c>
      <c r="ARA9" s="7" t="n">
        <v>0.601311606776642</v>
      </c>
      <c r="ARB9" s="7" t="n">
        <v>0.390050460164648</v>
      </c>
      <c r="ARC9" s="7" t="n">
        <v>-0.955774971863022</v>
      </c>
      <c r="ARD9" s="7" t="n">
        <v>-2.4635356265469</v>
      </c>
      <c r="ARE9" s="7" t="n">
        <v>0.841638430288747</v>
      </c>
      <c r="ARF9" s="7" t="n">
        <v>-1.52862398911338</v>
      </c>
      <c r="ARG9" s="7" t="n">
        <v>-0.390350188205916</v>
      </c>
      <c r="ARH9" s="7" t="n">
        <v>2.17455891730213</v>
      </c>
      <c r="ARI9" s="7" t="n">
        <v>0.600135489505141</v>
      </c>
      <c r="ARJ9" s="7" t="n">
        <v>-0.837079368443729</v>
      </c>
      <c r="ARK9" s="7" t="n">
        <v>-0.56577742643714</v>
      </c>
      <c r="ARL9" s="7" t="n">
        <v>0.608735833775662</v>
      </c>
      <c r="ARM9" s="7" t="n">
        <v>0.134599652970175</v>
      </c>
      <c r="ARN9" s="7" t="n">
        <v>2.71083014890961</v>
      </c>
      <c r="ARO9" s="7" t="n">
        <v>0.174999937355229</v>
      </c>
      <c r="ARP9" s="7" t="n">
        <v>0.0169073544387382</v>
      </c>
      <c r="ARQ9" s="7" t="n">
        <v>0.356483295725492</v>
      </c>
      <c r="ARR9" s="7" t="n">
        <v>-1.6285396058105</v>
      </c>
      <c r="ARS9" s="7" t="n">
        <v>1.4601704981311</v>
      </c>
      <c r="ART9" s="7" t="n">
        <v>0.101243352866696</v>
      </c>
      <c r="ARU9" s="7" t="n">
        <v>-0.929077130650975</v>
      </c>
      <c r="ARV9" s="7" t="n">
        <v>-1.94747449656914</v>
      </c>
      <c r="ARW9" s="7" t="n">
        <v>-0.09506362807834901</v>
      </c>
      <c r="ARX9" s="7" t="n">
        <v>-0.559262938320426</v>
      </c>
      <c r="ARY9" s="7" t="n">
        <v>0.331967679841091</v>
      </c>
      <c r="ARZ9" s="7" t="n">
        <v>1.37063309740586</v>
      </c>
      <c r="ASA9" s="7" t="n">
        <v>0.498853388443418</v>
      </c>
      <c r="ASB9" s="7" t="n">
        <v>1.09148083043465</v>
      </c>
      <c r="ASC9" s="7" t="n">
        <v>-0.770695127643361</v>
      </c>
      <c r="ASD9" s="7" t="n">
        <v>0.29877241022836</v>
      </c>
      <c r="ASE9" s="7" t="n">
        <v>1.25908708811353</v>
      </c>
      <c r="ASF9" s="7" t="n">
        <v>1.93508197148187</v>
      </c>
      <c r="ASG9" s="7" t="n">
        <v>-1.0527515142901</v>
      </c>
      <c r="ASH9" s="7" t="n">
        <v>0.452526691674185</v>
      </c>
      <c r="ASI9" s="7" t="n">
        <v>-0.295424689466434</v>
      </c>
      <c r="ASJ9" s="7" t="n">
        <v>-0.9639684699728041</v>
      </c>
      <c r="ASK9" s="7" t="n">
        <v>0.6742012991142911</v>
      </c>
      <c r="ASL9" s="7" t="n">
        <v>-0.681205319691183</v>
      </c>
      <c r="ASM9" s="7" t="n">
        <v>0.13252956001427</v>
      </c>
      <c r="ASN9" s="7" t="n">
        <v>-1.19249127887019</v>
      </c>
      <c r="ASO9" s="7" t="n">
        <v>-0.0688817173661592</v>
      </c>
      <c r="ASP9" s="7" t="n">
        <v>0.44970044553382</v>
      </c>
      <c r="ASQ9" s="7" t="n">
        <v>0.14236331498963</v>
      </c>
      <c r="ASR9" s="7" t="n">
        <v>0.836300051927237</v>
      </c>
      <c r="ASS9" s="7" t="n">
        <v>0.54317552510944</v>
      </c>
      <c r="AST9" s="7" t="n">
        <v>-0.820088880691473</v>
      </c>
      <c r="ASU9" s="7" t="n">
        <v>-0.481239444542462</v>
      </c>
      <c r="ASV9" s="7" t="n">
        <v>-0.0599741189959606</v>
      </c>
      <c r="ASW9" s="7" t="n">
        <v>-0.145348959978872</v>
      </c>
      <c r="ASX9" s="7" t="n">
        <v>-0.660608687554354</v>
      </c>
      <c r="ASY9" s="7" t="n">
        <v>0.815893273595294</v>
      </c>
      <c r="ASZ9" s="7" t="n">
        <v>-0.296684274654198</v>
      </c>
      <c r="ATA9" s="7" t="n">
        <v>0.483311879110468</v>
      </c>
      <c r="ATB9" s="7" t="n">
        <v>0.508715390965222</v>
      </c>
      <c r="ATC9" s="7" t="n">
        <v>-1.73417082031834</v>
      </c>
      <c r="ATD9" s="7" t="n">
        <v>1.48229847807675</v>
      </c>
      <c r="ATE9" s="7" t="n">
        <v>-0.93888455097861</v>
      </c>
      <c r="ATF9" s="7" t="n">
        <v>0.0554673650274261</v>
      </c>
      <c r="ATG9" s="7" t="n">
        <v>2.11906604685041</v>
      </c>
      <c r="ATH9" s="7" t="n">
        <v>0.985773019282703</v>
      </c>
      <c r="ATI9" s="7" t="n">
        <v>-0.175235306550709</v>
      </c>
      <c r="ATJ9" s="7" t="n">
        <v>0.804547530608724</v>
      </c>
      <c r="ATK9" s="7" t="n">
        <v>0.693114251595762</v>
      </c>
      <c r="ATL9" s="7" t="n">
        <v>0.66239313533512</v>
      </c>
      <c r="ATM9" s="7" t="n">
        <v>1.2619390981244</v>
      </c>
      <c r="ATN9" s="7" t="n">
        <v>-0.0039550908345235</v>
      </c>
      <c r="ATO9" s="7" t="n">
        <v>-2.59622064633189</v>
      </c>
      <c r="ATP9" s="7" t="n">
        <v>-0.196721420556756</v>
      </c>
      <c r="ATQ9" s="7" t="n">
        <v>-0.524451155311648</v>
      </c>
      <c r="ATR9" s="7" t="n">
        <v>-0.212026118818933</v>
      </c>
      <c r="ATS9" s="7" t="n">
        <v>1.37814954097365</v>
      </c>
      <c r="ATT9" s="7" t="n">
        <v>-0.310413795213869</v>
      </c>
      <c r="ATU9" s="7" t="n">
        <v>-0.231963849267548</v>
      </c>
      <c r="ATV9" s="7" t="n">
        <v>0.0383473634538998</v>
      </c>
      <c r="ATW9" s="7" t="n">
        <v>-1.96055692443286</v>
      </c>
      <c r="ATX9" s="7" t="n">
        <v>0.738420630624436</v>
      </c>
      <c r="ATY9" s="7" t="n">
        <v>1.83958189656481</v>
      </c>
      <c r="ATZ9" s="7" t="n">
        <v>1.05494662501337</v>
      </c>
      <c r="AUA9" s="7" t="n">
        <v>2.5059267134104</v>
      </c>
      <c r="AUB9" s="7" t="n">
        <v>-0.587043919459897</v>
      </c>
      <c r="AUC9" s="7" t="n">
        <v>1.13276550427604</v>
      </c>
      <c r="AUD9" s="7" t="n">
        <v>0.740593159663899</v>
      </c>
      <c r="AUE9" s="7" t="n">
        <v>0.0129424966899089</v>
      </c>
      <c r="AUF9" s="7" t="n">
        <v>0.0052976171188277</v>
      </c>
      <c r="AUG9" s="7" t="n">
        <v>-0.387860968502471</v>
      </c>
      <c r="AUH9" s="7" t="n">
        <v>-1.75866648224426</v>
      </c>
      <c r="AUI9" s="7" t="n">
        <v>0.647129591993413</v>
      </c>
      <c r="AUJ9" s="7" t="n">
        <v>0.105003375958847</v>
      </c>
      <c r="AUK9" s="7" t="n">
        <v>-0.107058508491835</v>
      </c>
      <c r="AUL9" s="7" t="n">
        <v>-0.205403142759943</v>
      </c>
      <c r="AUM9" s="7" t="n">
        <v>0.0162956330389586</v>
      </c>
      <c r="AUN9" s="7" t="n">
        <v>1.57590343195193</v>
      </c>
      <c r="AUO9" s="7" t="n">
        <v>-0.137824891057877</v>
      </c>
      <c r="AUP9" s="7" t="n">
        <v>0.0522165441444827</v>
      </c>
      <c r="AUQ9" s="7" t="n">
        <v>-0.475049992599855</v>
      </c>
      <c r="AUR9" s="7" t="n">
        <v>-0.701992400770431</v>
      </c>
      <c r="AUS9" s="7" t="n">
        <v>0.315511931443308</v>
      </c>
      <c r="AUT9" s="7" t="n">
        <v>1.02720284146834</v>
      </c>
      <c r="AUU9" s="7" t="n">
        <v>-0.12449029796542</v>
      </c>
      <c r="AUV9" s="7" t="n">
        <v>-0.86586422139819</v>
      </c>
      <c r="AUW9" s="7" t="n">
        <v>1.28626988549732</v>
      </c>
      <c r="AUX9" s="7" t="n">
        <v>0.08127381651970469</v>
      </c>
      <c r="AUY9" s="7" t="n">
        <v>-1.64024525381681</v>
      </c>
      <c r="AUZ9" s="7" t="n">
        <v>-0.700271192553559</v>
      </c>
      <c r="AVA9" s="7" t="n">
        <v>0.516190278275515</v>
      </c>
      <c r="AVB9" s="7" t="n">
        <v>0.08587058227547879</v>
      </c>
      <c r="AVC9" s="7" t="n">
        <v>-0.605763264531272</v>
      </c>
      <c r="AVD9" s="7" t="n">
        <v>0.07949192270677299</v>
      </c>
      <c r="AVE9" s="7" t="n">
        <v>-0.767871594472362</v>
      </c>
      <c r="AVF9" s="7" t="n">
        <v>-0.324052567749887</v>
      </c>
      <c r="AVG9" s="7" t="n">
        <v>1.07969566394422</v>
      </c>
      <c r="AVH9" s="7" t="n">
        <v>1.39751989234372</v>
      </c>
      <c r="AVI9" s="7" t="n">
        <v>-1.57872741356255</v>
      </c>
      <c r="AVJ9" s="7" t="n">
        <v>-2.01415518101837</v>
      </c>
      <c r="AVK9" s="7" t="n">
        <v>-0.766259465919776</v>
      </c>
      <c r="AVL9" s="7" t="n">
        <v>-0.806570396755202</v>
      </c>
      <c r="AVM9" s="7" t="n">
        <v>1.56537287023261</v>
      </c>
      <c r="AVN9" s="7" t="n">
        <v>-1.26270542947923</v>
      </c>
      <c r="AVO9" s="7" t="n">
        <v>0.06582784759692931</v>
      </c>
      <c r="AVP9" s="7" t="n">
        <v>0.826916324653863</v>
      </c>
      <c r="AVQ9" s="7" t="n">
        <v>-0.662876628994308</v>
      </c>
      <c r="AVR9" s="7" t="n">
        <v>-0.847141641930661</v>
      </c>
      <c r="AVS9" s="7" t="n">
        <v>-0.347573218364558</v>
      </c>
      <c r="AVT9" s="7" t="n">
        <v>-0.129136359464379</v>
      </c>
      <c r="AVU9" s="7" t="n">
        <v>0.586072669352613</v>
      </c>
      <c r="AVV9" s="7" t="n">
        <v>0.515089611846284</v>
      </c>
      <c r="AVW9" s="7" t="n">
        <v>-1.42101592003707</v>
      </c>
      <c r="AVX9" s="7" t="n">
        <v>-1.41509627332225</v>
      </c>
      <c r="AVY9" s="7" t="n">
        <v>1.46832808789112</v>
      </c>
      <c r="AVZ9" s="7" t="n">
        <v>1.12214618120935</v>
      </c>
      <c r="AWA9" s="7" t="n">
        <v>1.42659223596037</v>
      </c>
      <c r="AWB9" s="7" t="n">
        <v>0.541510704548209</v>
      </c>
      <c r="AWC9" s="7" t="n">
        <v>0.665782491604306</v>
      </c>
      <c r="AWD9" s="7" t="n">
        <v>-0.7879722916062289</v>
      </c>
      <c r="AWE9" s="7" t="n">
        <v>-0.218694858574605</v>
      </c>
      <c r="AWF9" s="7" t="n">
        <v>-2.06975049962962</v>
      </c>
      <c r="AWG9" s="7" t="n">
        <v>-2.19674620388196</v>
      </c>
      <c r="AWH9" s="7" t="n">
        <v>-0.182106646234856</v>
      </c>
      <c r="AWI9" s="7" t="n">
        <v>1.59761341528616</v>
      </c>
      <c r="AWJ9" s="7" t="n">
        <v>-0.577757226046828</v>
      </c>
      <c r="AWK9" s="7" t="n">
        <v>-0.164816787390524</v>
      </c>
      <c r="AWL9" s="7" t="n">
        <v>0.149188716486215</v>
      </c>
      <c r="AWM9" s="7" t="n">
        <v>-0.220253546887325</v>
      </c>
      <c r="AWN9" s="7" t="n">
        <v>1.22118233630149</v>
      </c>
      <c r="AWO9" s="7" t="n">
        <v>-0.24602719736469</v>
      </c>
      <c r="AWP9" s="7" t="n">
        <v>2.24541560052313</v>
      </c>
      <c r="AWQ9" s="7" t="n">
        <v>-1.52739304733499</v>
      </c>
      <c r="AWR9" s="7" t="n">
        <v>0.648170891523978</v>
      </c>
      <c r="AWS9" s="7" t="n">
        <v>0.157381842506154</v>
      </c>
      <c r="AWT9" s="7" t="n">
        <v>0.569376720616955</v>
      </c>
      <c r="AWU9" s="7" t="n">
        <v>0.739773145450495</v>
      </c>
      <c r="AWV9" s="7" t="n">
        <v>1.02298308448076</v>
      </c>
      <c r="AWW9" s="7" t="n">
        <v>-1.3288330473686</v>
      </c>
      <c r="AWX9" s="7" t="n">
        <v>-0.717914709802107</v>
      </c>
      <c r="AWY9" s="7" t="n">
        <v>-0.716862193006262</v>
      </c>
      <c r="AWZ9" s="7" t="n">
        <v>0.846061813247143</v>
      </c>
      <c r="AXA9" s="7" t="n">
        <v>-0.0541318349015574</v>
      </c>
      <c r="AXB9" s="7" t="n">
        <v>0.900063761470565</v>
      </c>
      <c r="AXC9" s="7" t="n">
        <v>-0.238134536989923</v>
      </c>
      <c r="AXD9" s="7" t="n">
        <v>0.250946723845834</v>
      </c>
      <c r="AXE9" s="7" t="n">
        <v>0.970734024873385</v>
      </c>
      <c r="AXF9" s="7" t="n">
        <v>0.591774988934509</v>
      </c>
      <c r="AXG9" s="7" t="n">
        <v>0.405579017608867</v>
      </c>
      <c r="AXH9" s="7" t="n">
        <v>-1.54582651394342</v>
      </c>
      <c r="AXI9" s="7" t="n">
        <v>-0.410366878216346</v>
      </c>
      <c r="AXJ9" s="7" t="n">
        <v>0.25714660294527</v>
      </c>
      <c r="AXK9" s="7" t="n">
        <v>0.654931745257469</v>
      </c>
      <c r="AXL9" s="7" t="n">
        <v>-1.08271888142029</v>
      </c>
      <c r="AXM9" s="7" t="n">
        <v>-0.460492921444932</v>
      </c>
      <c r="AXN9" s="7" t="n">
        <v>-1.71941176128262</v>
      </c>
      <c r="AXO9" s="7" t="n">
        <v>0.112163210009166</v>
      </c>
      <c r="AXP9" s="7" t="n">
        <v>-0.171663729845946</v>
      </c>
      <c r="AXQ9" s="7" t="n">
        <v>-0.668082399992212</v>
      </c>
      <c r="AXR9" s="7" t="n">
        <v>0.243793949173484</v>
      </c>
      <c r="AXS9" s="7" t="n">
        <v>1.08251188679366</v>
      </c>
      <c r="AXT9" s="7" t="n">
        <v>-0.7795188911827931</v>
      </c>
      <c r="AXU9" s="7" t="n">
        <v>-0.350681828558635</v>
      </c>
      <c r="AXV9" s="7" t="n">
        <v>-0.0372605497409046</v>
      </c>
      <c r="AXW9" s="7" t="n">
        <v>-0.563415686088775</v>
      </c>
      <c r="AXX9" s="7" t="n">
        <v>-0.704932453918017</v>
      </c>
      <c r="AXY9" s="7" t="n">
        <v>-0.412075093383419</v>
      </c>
      <c r="AXZ9" s="7" t="n">
        <v>0.449088280243397</v>
      </c>
      <c r="AYA9" s="7" t="n">
        <v>0.504442864529555</v>
      </c>
      <c r="AYB9" s="7" t="n">
        <v>-0.0683969820853406</v>
      </c>
      <c r="AYC9" s="7" t="n">
        <v>-0.309367575433747</v>
      </c>
      <c r="AYD9" s="7" t="n">
        <v>-0.426019439192263</v>
      </c>
      <c r="AYE9" s="7" t="n">
        <v>0.994622491810819</v>
      </c>
      <c r="AYF9" s="7" t="n">
        <v>-0.124683526132595</v>
      </c>
      <c r="AYG9" s="7" t="n">
        <v>1.12691849016471</v>
      </c>
      <c r="AYH9" s="7" t="n">
        <v>0.179551806829659</v>
      </c>
      <c r="AYI9" s="7" t="n">
        <v>0.286327698120236</v>
      </c>
      <c r="AYJ9" s="7" t="n">
        <v>1.11967082737722</v>
      </c>
      <c r="AYK9" s="7" t="n">
        <v>0.399566319028666</v>
      </c>
      <c r="AYL9" s="7" t="n">
        <v>0.535273012522876</v>
      </c>
      <c r="AYM9" s="7" t="n">
        <v>0.51983317129316</v>
      </c>
      <c r="AYN9" s="7" t="n">
        <v>0.728711312030452</v>
      </c>
      <c r="AYO9" s="7" t="n">
        <v>0.324245408027516</v>
      </c>
      <c r="AYP9" s="7" t="n">
        <v>1.13426654990839</v>
      </c>
      <c r="AYQ9" s="7" t="n">
        <v>-1.05196601872242</v>
      </c>
      <c r="AYR9" s="7" t="n">
        <v>1.11519814795955</v>
      </c>
      <c r="AYS9" s="7" t="n">
        <v>0.9184990453222101</v>
      </c>
      <c r="AYT9" s="7" t="n">
        <v>-1.03420755172477</v>
      </c>
      <c r="AYU9" s="7" t="n">
        <v>0.472585834368173</v>
      </c>
      <c r="AYV9" s="7" t="n">
        <v>0.456887041006208</v>
      </c>
      <c r="AYW9" s="7" t="n">
        <v>-1.21274730136106</v>
      </c>
      <c r="AYX9" s="7" t="n">
        <v>-0.312527188670118</v>
      </c>
      <c r="AYY9" s="7" t="n">
        <v>-0.276309826508879</v>
      </c>
      <c r="AYZ9" s="7" t="n">
        <v>0.29473450688053</v>
      </c>
      <c r="AZA9" s="7" t="n">
        <v>0.927952820475629</v>
      </c>
      <c r="AZB9" s="7" t="n">
        <v>-0.629531848225492</v>
      </c>
      <c r="AZC9" s="7" t="n">
        <v>-1.14906623216038</v>
      </c>
      <c r="AZD9" s="7" t="n">
        <v>1.44670327183579</v>
      </c>
      <c r="AZE9" s="7" t="n">
        <v>-0.692689328085353</v>
      </c>
      <c r="AZF9" s="7" t="n">
        <v>-0.80035785755446</v>
      </c>
      <c r="AZG9" s="7" t="n">
        <v>-1.23561275865772</v>
      </c>
      <c r="AZH9" s="7" t="n">
        <v>-0.95817048144379</v>
      </c>
      <c r="AZI9" s="7" t="n">
        <v>-0.125211999382118</v>
      </c>
      <c r="AZJ9" s="7" t="n">
        <v>-0.032802388901985</v>
      </c>
      <c r="AZK9" s="7" t="n">
        <v>-1.6185341549716</v>
      </c>
      <c r="AZL9" s="7" t="n">
        <v>1.428628107257</v>
      </c>
      <c r="AZM9" s="7" t="n">
        <v>0.636465055760292</v>
      </c>
      <c r="AZN9" s="7" t="n">
        <v>0.132191843470467</v>
      </c>
      <c r="AZO9" s="7" t="n">
        <v>0.282711744574329</v>
      </c>
      <c r="AZP9" s="7" t="n">
        <v>1.05039326224745</v>
      </c>
      <c r="AZQ9" s="7" t="n">
        <v>-0.893762240318521</v>
      </c>
      <c r="AZR9" s="7" t="n">
        <v>-0.830222452623407</v>
      </c>
      <c r="AZS9" s="7" t="n">
        <v>1.3669395787724</v>
      </c>
      <c r="AZT9" s="7" t="n">
        <v>-0.611837529956238</v>
      </c>
      <c r="AZU9" s="7" t="n">
        <v>-0.754385183860601</v>
      </c>
      <c r="AZV9" s="7" t="n">
        <v>-0.0063672384434802</v>
      </c>
      <c r="AZW9" s="7" t="n">
        <v>1.05102047151463</v>
      </c>
      <c r="AZX9" s="7" t="n">
        <v>-0.0749724664424099</v>
      </c>
      <c r="AZY9" s="7" t="n">
        <v>0.272104978918422</v>
      </c>
      <c r="AZZ9" s="7" t="n">
        <v>0.706888354411877</v>
      </c>
      <c r="BAA9" s="7" t="n">
        <v>0.105920201388189</v>
      </c>
      <c r="BAB9" s="7" t="n">
        <v>0.72404894609523</v>
      </c>
      <c r="BAC9" s="7" t="n">
        <v>-1.17784762432936</v>
      </c>
      <c r="BAD9" s="7" t="n">
        <v>0.287609916952444</v>
      </c>
      <c r="BAE9" s="7" t="n">
        <v>-0.946532120792114</v>
      </c>
      <c r="BAF9" s="7" t="n">
        <v>0.0825805740224787</v>
      </c>
      <c r="BAG9" s="7" t="n">
        <v>1.08411183920459</v>
      </c>
      <c r="BAH9" s="7" t="n">
        <v>1.35090183391611</v>
      </c>
      <c r="BAI9" s="7" t="n">
        <v>-1.37456980422184</v>
      </c>
      <c r="BAJ9" s="7" t="n">
        <v>-1.18645537533419</v>
      </c>
      <c r="BAK9" s="7" t="n">
        <v>-0.584644707871771</v>
      </c>
      <c r="BAL9" s="7" t="n">
        <v>0.968739472694842</v>
      </c>
      <c r="BAM9" s="7" t="n">
        <v>0.315470840329833</v>
      </c>
      <c r="BAN9" s="7" t="n">
        <v>-1.01982095905732</v>
      </c>
      <c r="BAO9" s="7" t="n">
        <v>1.22990138384606</v>
      </c>
      <c r="BAP9" s="7" t="n">
        <v>0.732088044545894</v>
      </c>
      <c r="BAQ9" s="7" t="n">
        <v>-0.461818089193002</v>
      </c>
      <c r="BAR9" s="7" t="n">
        <v>0.869320355119388</v>
      </c>
      <c r="BAS9" s="7" t="n">
        <v>0.348675125473863</v>
      </c>
      <c r="BAT9" s="7" t="n">
        <v>0.398546757987052</v>
      </c>
      <c r="BAU9" s="7" t="n">
        <v>-1.78512932430304</v>
      </c>
      <c r="BAV9" s="7" t="n">
        <v>-0.357944940593886</v>
      </c>
      <c r="BAW9" s="7" t="n">
        <v>-0.617458990728653</v>
      </c>
      <c r="BAX9" s="7" t="n">
        <v>-0.95657291258374</v>
      </c>
      <c r="BAY9" s="7" t="n">
        <v>0.286296235020402</v>
      </c>
      <c r="BAZ9" s="7" t="n">
        <v>-0.393237245296276</v>
      </c>
      <c r="BBA9" s="7" t="n">
        <v>1.19426898562513</v>
      </c>
      <c r="BBB9" s="7" t="n">
        <v>-0.930792565796416</v>
      </c>
      <c r="BBC9" s="7" t="n">
        <v>-0.864424136235179</v>
      </c>
      <c r="BBD9" s="7" t="n">
        <v>-1.07931706340179</v>
      </c>
      <c r="BBE9" s="7" t="n">
        <v>-1.42676685265984</v>
      </c>
      <c r="BBF9" s="7" t="n">
        <v>0.5130062485578329</v>
      </c>
      <c r="BBG9" s="7" t="n">
        <v>-0.211235051314933</v>
      </c>
      <c r="BBH9" s="7" t="n">
        <v>1.75249248687599</v>
      </c>
      <c r="BBI9" s="7" t="n">
        <v>1.32373655517951</v>
      </c>
      <c r="BBJ9" s="7" t="n">
        <v>0.792590056868916</v>
      </c>
      <c r="BBK9" s="7" t="n">
        <v>-0.826835129463416</v>
      </c>
      <c r="BBL9" s="7" t="n">
        <v>0.223326289091478</v>
      </c>
      <c r="BBM9" s="7" t="n">
        <v>0.850697596476501</v>
      </c>
      <c r="BBN9" s="7" t="n">
        <v>1.57128189192899</v>
      </c>
      <c r="BBO9" s="7" t="n">
        <v>0.421476685178838</v>
      </c>
      <c r="BBP9" s="7" t="n">
        <v>-0.379791570289099</v>
      </c>
      <c r="BBQ9" s="7" t="n">
        <v>-0.143502056553059</v>
      </c>
      <c r="BBR9" s="7" t="n">
        <v>0.292288882459775</v>
      </c>
      <c r="BBS9" s="7" t="n">
        <v>0.496458562196997</v>
      </c>
      <c r="BBT9" s="7" t="n">
        <v>-0.333010789628195</v>
      </c>
      <c r="BBU9" s="7" t="n">
        <v>-1.53270856009021</v>
      </c>
      <c r="BBV9" s="7" t="n">
        <v>-1.2616726889846</v>
      </c>
      <c r="BBW9" s="7" t="n">
        <v>0.94445462350975</v>
      </c>
      <c r="BBX9" s="7" t="n">
        <v>-0.171260939203682</v>
      </c>
      <c r="BBY9" s="7" t="n">
        <v>0.696591394839168</v>
      </c>
      <c r="BBZ9" s="7" t="n">
        <v>-0.813258228308592</v>
      </c>
      <c r="BCA9" s="7" t="n">
        <v>0.368568114339716</v>
      </c>
      <c r="BCB9" s="7" t="n">
        <v>-0.100643849969582</v>
      </c>
      <c r="BCC9" s="7" t="n">
        <v>0.203388896791899</v>
      </c>
      <c r="BCD9" s="7" t="n">
        <v>0.737177852820566</v>
      </c>
      <c r="BCE9" s="7" t="n">
        <v>0.0774561528882694</v>
      </c>
      <c r="BCF9" s="7" t="n">
        <v>1.25977369377993</v>
      </c>
      <c r="BCG9" s="7" t="n">
        <v>-1.02708135585109</v>
      </c>
      <c r="BCH9" s="7" t="n">
        <v>-0.542517204082731</v>
      </c>
      <c r="BCI9" s="7" t="n">
        <v>0.172589852186649</v>
      </c>
      <c r="BCJ9" s="7" t="n">
        <v>1.76717010890424</v>
      </c>
      <c r="BCK9" s="7" t="n">
        <v>-0.776919006684926</v>
      </c>
      <c r="BCL9" s="7" t="n">
        <v>-1.01978558524657</v>
      </c>
      <c r="BCM9" s="7" t="n">
        <v>-0.425394729818724</v>
      </c>
      <c r="BCN9" s="7" t="n">
        <v>0.779202683999353</v>
      </c>
      <c r="BCO9" s="7" t="n">
        <v>0.385273720458839</v>
      </c>
      <c r="BCP9" s="7" t="n">
        <v>-0.175153649085623</v>
      </c>
      <c r="BCQ9" s="7" t="n">
        <v>-1.02826909642902</v>
      </c>
      <c r="BCR9" s="7" t="n">
        <v>-0.936461547808755</v>
      </c>
      <c r="BCS9" s="7" t="n">
        <v>-0.593141712057956</v>
      </c>
      <c r="BCT9" s="7" t="n">
        <v>-1.16259784575785</v>
      </c>
      <c r="BCU9" s="7" t="n">
        <v>0.262745181473924</v>
      </c>
      <c r="BCV9" s="7" t="n">
        <v>1.30957457895429</v>
      </c>
      <c r="BCW9" s="7" t="n">
        <v>-2.68330343956657</v>
      </c>
      <c r="BCX9" s="7" t="n">
        <v>-0.708753561913094</v>
      </c>
      <c r="BCY9" s="7" t="n">
        <v>-0.596885871675619</v>
      </c>
      <c r="BCZ9" s="7" t="n">
        <v>0.103894455169035</v>
      </c>
      <c r="BDA9" s="7" t="n">
        <v>-0.248800580558086</v>
      </c>
      <c r="BDB9" s="7" t="n">
        <v>-1.20963341171609</v>
      </c>
      <c r="BDC9" s="7" t="n">
        <v>0.381275268950926</v>
      </c>
      <c r="BDD9" s="7" t="n">
        <v>1.03042644087104</v>
      </c>
      <c r="BDE9" s="7" t="n">
        <v>0.579405088287694</v>
      </c>
      <c r="BDF9" s="7" t="n">
        <v>0.950039987002551</v>
      </c>
      <c r="BDG9" s="7" t="n">
        <v>2.6468721387194</v>
      </c>
      <c r="BDH9" s="7" t="n">
        <v>-0.106991279205692</v>
      </c>
      <c r="BDI9" s="7" t="n">
        <v>-0.697660656497797</v>
      </c>
      <c r="BDJ9" s="7" t="n">
        <v>0.758348835552894</v>
      </c>
      <c r="BDK9" s="7" t="n">
        <v>0.417617148970401</v>
      </c>
      <c r="BDL9" s="7" t="n">
        <v>1.18463964368811</v>
      </c>
      <c r="BDM9" s="7" t="n">
        <v>0.350745930497858</v>
      </c>
      <c r="BDN9" s="7" t="n">
        <v>-1.61397181605193</v>
      </c>
      <c r="BDO9" s="7" t="n">
        <v>-0.787831268959069</v>
      </c>
      <c r="BDP9" s="7" t="n">
        <v>0.159121366386889</v>
      </c>
      <c r="BDQ9" s="7" t="n">
        <v>-0.6229998493194741</v>
      </c>
      <c r="BDR9" s="7" t="n">
        <v>-1.08587721989795</v>
      </c>
      <c r="BDS9" s="7" t="n">
        <v>-0.986835257796736</v>
      </c>
      <c r="BDT9" s="7" t="n">
        <v>-0.698511093691685</v>
      </c>
      <c r="BDU9" s="7" t="n">
        <v>0.5681764502622479</v>
      </c>
      <c r="BDV9" s="7" t="n">
        <v>-1.54868354190329</v>
      </c>
      <c r="BDW9" s="7" t="n">
        <v>-0.974257276096999</v>
      </c>
      <c r="BDX9" s="7" t="n">
        <v>-1.21684672772422</v>
      </c>
      <c r="BDY9" s="7" t="n">
        <v>-0.330909598967464</v>
      </c>
      <c r="BDZ9" s="7" t="n">
        <v>2.41670101306912</v>
      </c>
      <c r="BEA9" s="7" t="n">
        <v>-0.722452407549615</v>
      </c>
      <c r="BEB9" s="7" t="n">
        <v>-0.229584992010168</v>
      </c>
      <c r="BEC9" s="7" t="n">
        <v>-0.814237848836585</v>
      </c>
      <c r="BED9" s="7" t="n">
        <v>-0.316591749519552</v>
      </c>
      <c r="BEE9" s="7" t="n">
        <v>-0.328313737214107</v>
      </c>
      <c r="BEF9" s="7" t="n">
        <v>0.509881461170593</v>
      </c>
      <c r="BEG9" s="7" t="n">
        <v>-1.25503270222679</v>
      </c>
      <c r="BEH9" s="7" t="n">
        <v>-1.11757589764891</v>
      </c>
      <c r="BEI9" s="7" t="n">
        <v>0.0348136597529971</v>
      </c>
      <c r="BEJ9" s="7" t="n">
        <v>-0.944170540369253</v>
      </c>
      <c r="BEK9" s="7" t="n">
        <v>-1.08327364071986</v>
      </c>
      <c r="BEL9" s="7" t="n">
        <v>-1.88704986524263</v>
      </c>
      <c r="BEM9" s="7" t="n">
        <v>-0.0220002575319186</v>
      </c>
      <c r="BEN9" s="7" t="n">
        <v>-0.719990054723839</v>
      </c>
      <c r="BEO9" s="7" t="n">
        <v>1.17791367980096</v>
      </c>
      <c r="BEP9" s="7" t="n">
        <v>1.1197819006429</v>
      </c>
      <c r="BEQ9" s="7" t="n">
        <v>1.15069093417815</v>
      </c>
      <c r="BER9" s="7" t="n">
        <v>-1.73365417648438</v>
      </c>
      <c r="BES9" s="7" t="n">
        <v>-0.134341852998483</v>
      </c>
      <c r="BET9" s="7" t="n">
        <v>-0.525432264416219</v>
      </c>
      <c r="BEU9" s="7" t="n">
        <v>1.10439565228929</v>
      </c>
      <c r="BEV9" s="7" t="n">
        <v>-1.37037883217569</v>
      </c>
      <c r="BEW9" s="7" t="n">
        <v>-0.425066030795135</v>
      </c>
      <c r="BEX9" s="7" t="n">
        <v>-0.80281210534346</v>
      </c>
      <c r="BEY9" s="7" t="n">
        <v>-0.692199658400025</v>
      </c>
      <c r="BEZ9" s="7" t="n">
        <v>0.0919042702104283</v>
      </c>
      <c r="BFA9" s="7" t="n">
        <v>-1.56356322952783</v>
      </c>
      <c r="BFB9" s="7" t="n">
        <v>-0.500027899369167</v>
      </c>
      <c r="BFC9" s="7" t="n">
        <v>1.72305211172929</v>
      </c>
      <c r="BFD9" s="7" t="n">
        <v>-1.08327942868716</v>
      </c>
      <c r="BFE9" s="7" t="n">
        <v>0.0973712837683279</v>
      </c>
      <c r="BFF9" s="7" t="n">
        <v>0.565115985377365</v>
      </c>
      <c r="BFG9" s="7" t="n">
        <v>-0.268644274302696</v>
      </c>
      <c r="BFH9" s="7" t="n">
        <v>-0.675884767436187</v>
      </c>
      <c r="BFI9" s="7" t="n">
        <v>-1.43180319351124</v>
      </c>
      <c r="BFJ9" s="7" t="n">
        <v>-0.391180642485132</v>
      </c>
      <c r="BFK9" s="7" t="n">
        <v>-0.225475646462024</v>
      </c>
      <c r="BFL9" s="7" t="n">
        <v>-0.224255824532734</v>
      </c>
      <c r="BFM9" s="7" t="n">
        <v>2.93904818814794</v>
      </c>
      <c r="BFN9" s="7" t="n">
        <v>-0.819116631043734</v>
      </c>
      <c r="BFO9" s="7" t="n">
        <v>1.06405059377927</v>
      </c>
      <c r="BFP9" s="7" t="n">
        <v>0.634707917743459</v>
      </c>
      <c r="BFQ9" s="7" t="n">
        <v>-0.382455975705217</v>
      </c>
      <c r="BFR9" s="7" t="n">
        <v>1.94664721517669</v>
      </c>
      <c r="BFS9" s="7" t="n">
        <v>2.03820970819235</v>
      </c>
      <c r="BFT9" s="7" t="n">
        <v>1.02963417062172</v>
      </c>
      <c r="BFU9" s="7" t="n">
        <v>-0.472128677095243</v>
      </c>
      <c r="BFV9" s="7" t="n">
        <v>0.256211209831765</v>
      </c>
      <c r="BFW9" s="7" t="n">
        <v>-0.30408248447568</v>
      </c>
      <c r="BFX9" s="7" t="n">
        <v>-0.118202398431025</v>
      </c>
      <c r="BFY9" s="7" t="n">
        <v>-0.530106746130491</v>
      </c>
      <c r="BFZ9" s="7" t="n">
        <v>-0.676427588620067</v>
      </c>
      <c r="BGA9" s="7" t="n">
        <v>-1.14642150963876</v>
      </c>
      <c r="BGB9" s="7" t="n">
        <v>-0.07863764668555449</v>
      </c>
      <c r="BGC9" s="7" t="n">
        <v>0.156065431732015</v>
      </c>
      <c r="BGD9" s="7" t="n">
        <v>0.0503032414160587</v>
      </c>
      <c r="BGE9" s="7" t="n">
        <v>-0.0437489824964452</v>
      </c>
      <c r="BGF9" s="7" t="n">
        <v>1.21503361202129</v>
      </c>
      <c r="BGG9" s="7" t="n">
        <v>0.0652287892552551</v>
      </c>
      <c r="BGH9" s="7" t="n">
        <v>1.70823755677164</v>
      </c>
      <c r="BGI9" s="7" t="n">
        <v>-0.60569321743249</v>
      </c>
      <c r="BGJ9" s="7" t="n">
        <v>-0.981773798250813</v>
      </c>
      <c r="BGK9" s="7" t="n">
        <v>-0.717659682240484</v>
      </c>
      <c r="BGL9" s="7" t="n">
        <v>-0.07383720659968709</v>
      </c>
      <c r="BGM9" s="7" t="n">
        <v>-0.805392739411416</v>
      </c>
      <c r="BGN9" s="7" t="n">
        <v>1.98559202575906</v>
      </c>
      <c r="BGO9" s="7" t="n">
        <v>-0.0161938256567232</v>
      </c>
      <c r="BGP9" s="7" t="n">
        <v>1.35214102910365</v>
      </c>
      <c r="BGQ9" s="7" t="n">
        <v>0.763136750084105</v>
      </c>
      <c r="BGR9" s="7" t="n">
        <v>0.629700184631045</v>
      </c>
      <c r="BGS9" s="7" t="n">
        <v>-0.712540190549236</v>
      </c>
      <c r="BGT9" s="7" t="n">
        <v>0.7674165964760949</v>
      </c>
      <c r="BGU9" s="7" t="n">
        <v>0.0357474280066216</v>
      </c>
      <c r="BGV9" s="7" t="n">
        <v>0.609160908449809</v>
      </c>
      <c r="BGW9" s="7" t="n">
        <v>-0.808139554086333</v>
      </c>
      <c r="BGX9" s="7" t="n">
        <v>-0.592316903853272</v>
      </c>
      <c r="BGY9" s="7" t="n">
        <v>1.05686452456942</v>
      </c>
      <c r="BGZ9" s="7" t="n">
        <v>-1.05027495914595</v>
      </c>
      <c r="BHA9" s="7" t="n">
        <v>-0.656166224762414</v>
      </c>
      <c r="BHB9" s="7" t="n">
        <v>1.51829918198189</v>
      </c>
      <c r="BHC9" s="7" t="n">
        <v>0.140453902937648</v>
      </c>
      <c r="BHD9" s="7" t="n">
        <v>-1.03697687551136</v>
      </c>
      <c r="BHE9" s="7" t="n">
        <v>0.744189162633583</v>
      </c>
      <c r="BHF9" s="7" t="n">
        <v>-1.0618157284072</v>
      </c>
      <c r="BHG9" s="7" t="n">
        <v>0.404518696074763</v>
      </c>
      <c r="BHH9" s="7" t="n">
        <v>0.610686354392404</v>
      </c>
      <c r="BHI9" s="7" t="n">
        <v>-1.22202180674331</v>
      </c>
      <c r="BHJ9" s="7" t="n">
        <v>-0.525169663761601</v>
      </c>
      <c r="BHK9" s="7" t="n">
        <v>1.47529234899152</v>
      </c>
      <c r="BHL9" s="7" t="n">
        <v>-0.383058094957075</v>
      </c>
      <c r="BHM9" s="7" t="n">
        <v>-0.14836556703535</v>
      </c>
      <c r="BHN9" s="7" t="n">
        <v>0.669817822978709</v>
      </c>
      <c r="BHO9" s="7" t="n">
        <v>1.02794283770783</v>
      </c>
      <c r="BHP9" s="7" t="n">
        <v>-0.337335430700887</v>
      </c>
      <c r="BHQ9" s="7" t="n">
        <v>-0.624204016785616</v>
      </c>
      <c r="BHR9" s="7" t="n">
        <v>-0.184271385093966</v>
      </c>
      <c r="BHS9" s="7" t="n">
        <v>-1.326412236255</v>
      </c>
      <c r="BHT9" s="7" t="n">
        <v>-1.06136245534297</v>
      </c>
      <c r="BHU9" s="7" t="n">
        <v>-0.523386837514407</v>
      </c>
      <c r="BHV9" s="7" t="n">
        <v>1.17728168224057</v>
      </c>
      <c r="BHW9" s="7" t="n">
        <v>-0.949185701469374</v>
      </c>
      <c r="BHX9" s="7" t="n">
        <v>1.44247388056012</v>
      </c>
      <c r="BHY9" s="7" t="n">
        <v>-0.726856099321236</v>
      </c>
      <c r="BHZ9" s="7" t="n">
        <v>-0.664549639901399</v>
      </c>
      <c r="BIA9" s="7" t="n">
        <v>1.21786482086307</v>
      </c>
      <c r="BIB9" s="7" t="n">
        <v>0.318722413876305</v>
      </c>
      <c r="BIC9" s="7" t="n">
        <v>1.46403116961175</v>
      </c>
      <c r="BID9" s="7" t="n">
        <v>0.0582448148881495</v>
      </c>
      <c r="BIE9" s="7" t="n">
        <v>-1.04159191209852</v>
      </c>
      <c r="BIF9" s="7" t="n">
        <v>-0.481095063641271</v>
      </c>
      <c r="BIG9" s="7" t="n">
        <v>0.782758806248018</v>
      </c>
      <c r="BIH9" s="7" t="n">
        <v>0.34924892933519</v>
      </c>
      <c r="BII9" s="7" t="n">
        <v>1.08565565559859</v>
      </c>
      <c r="BIJ9" s="7" t="n">
        <v>-0.868586529359659</v>
      </c>
      <c r="BIK9" s="7" t="n">
        <v>0.0244529221735021</v>
      </c>
      <c r="BIL9" s="7" t="n">
        <v>-0.795130864867852</v>
      </c>
      <c r="BIM9" s="7" t="n">
        <v>1.59556767867987</v>
      </c>
      <c r="BIN9" s="7" t="n">
        <v>-1.93079032093693</v>
      </c>
      <c r="BIO9" s="7" t="n">
        <v>-0.0974177549558698</v>
      </c>
      <c r="BIP9" s="7" t="n">
        <v>-0.482861605153663</v>
      </c>
      <c r="BIQ9" s="7" t="n">
        <v>0.0873125343193196</v>
      </c>
      <c r="BIR9" s="7" t="n">
        <v>-0.137483548354536</v>
      </c>
      <c r="BIS9" s="7" t="n">
        <v>-0.480448457478049</v>
      </c>
      <c r="BIT9" s="7" t="n">
        <v>-0.582282796561525</v>
      </c>
      <c r="BIU9" s="7" t="n">
        <v>-1.55537969192027</v>
      </c>
      <c r="BIV9" s="7" t="n">
        <v>0.78972702926845</v>
      </c>
      <c r="BIW9" s="7" t="n">
        <v>-1.23462974684015</v>
      </c>
      <c r="BIX9" s="7" t="n">
        <v>-0.245542430572977</v>
      </c>
      <c r="BIY9" s="7" t="n">
        <v>-2.09188076274194</v>
      </c>
      <c r="BIZ9" s="7" t="n">
        <v>1.3565604057435</v>
      </c>
      <c r="BJA9" s="7" t="n">
        <v>-0.343044287640273</v>
      </c>
      <c r="BJB9" s="7" t="n">
        <v>0.646337766945022</v>
      </c>
      <c r="BJC9" s="7" t="n">
        <v>0.305861012931066</v>
      </c>
      <c r="BJD9" s="7" t="n">
        <v>-1.27173346505698</v>
      </c>
      <c r="BJE9" s="7" t="n">
        <v>1.16265785348118</v>
      </c>
      <c r="BJF9" s="7" t="n">
        <v>-0.598258583823032</v>
      </c>
      <c r="BJG9" s="7" t="n">
        <v>0.551251480755041</v>
      </c>
      <c r="BJH9" s="7" t="n">
        <v>0.810075941564807</v>
      </c>
      <c r="BJI9" s="7" t="n">
        <v>0.378000717963467</v>
      </c>
      <c r="BJJ9" s="7" t="n">
        <v>-1.03233827111779</v>
      </c>
      <c r="BJK9" s="7" t="n">
        <v>0.356781535056102</v>
      </c>
      <c r="BJL9" s="7" t="n">
        <v>1.0234663520055</v>
      </c>
      <c r="BJM9" s="7" t="n">
        <v>-0.500822704009476</v>
      </c>
      <c r="BJN9" s="7" t="n">
        <v>-0.8253723312956081</v>
      </c>
      <c r="BJO9" s="7" t="n">
        <v>-0.328501804444312</v>
      </c>
      <c r="BJP9" s="7" t="n">
        <v>-0.233848439155113</v>
      </c>
      <c r="BJQ9" s="7" t="n">
        <v>0.733831237162075</v>
      </c>
      <c r="BJR9" s="7" t="n">
        <v>0.611673150867453</v>
      </c>
      <c r="BJS9" s="7" t="n">
        <v>1.39074442627338</v>
      </c>
      <c r="BJT9" s="7" t="n">
        <v>-0.120139658256101</v>
      </c>
      <c r="BJU9" s="7" t="n">
        <v>-1.56725994424787</v>
      </c>
      <c r="BJV9" s="7" t="n">
        <v>0.960066509718883</v>
      </c>
      <c r="BJW9" s="7" t="n">
        <v>1.00426308296714</v>
      </c>
      <c r="BJX9" s="7" t="n">
        <v>0.376759742395227</v>
      </c>
      <c r="BJY9" s="7" t="n">
        <v>0.663051766773577</v>
      </c>
      <c r="BJZ9" s="7" t="n">
        <v>1.33998086857306</v>
      </c>
      <c r="BKA9" s="7" t="n">
        <v>0.8194528051819679</v>
      </c>
      <c r="BKB9" s="7" t="n">
        <v>-1.02359233738246</v>
      </c>
      <c r="BKC9" s="7" t="n">
        <v>-1.06219784880039</v>
      </c>
      <c r="BKD9" s="7" t="n">
        <v>1.29415813248487</v>
      </c>
      <c r="BKE9" s="7" t="n">
        <v>-1.37651895879632</v>
      </c>
      <c r="BKF9" s="7" t="n">
        <v>0.161572990869215</v>
      </c>
      <c r="BKG9" s="7" t="n">
        <v>-0.0681052669908101</v>
      </c>
      <c r="BKH9" s="7" t="n">
        <v>-0.651744913425421</v>
      </c>
      <c r="BKI9" s="7" t="n">
        <v>-0.574696461687093</v>
      </c>
      <c r="BKJ9" s="7" t="n">
        <v>0.854694819529378</v>
      </c>
      <c r="BKK9" s="7" t="n">
        <v>0.339291294895477</v>
      </c>
      <c r="BKL9" s="7" t="n">
        <v>0.228456594150398</v>
      </c>
      <c r="BKM9" s="7" t="n">
        <v>0.487184878472143</v>
      </c>
      <c r="BKN9" s="7" t="n">
        <v>1.68961394212068</v>
      </c>
      <c r="BKO9" s="7" t="n">
        <v>0.0370545647870996</v>
      </c>
      <c r="BKP9" s="7" t="n">
        <v>0.250709735322787</v>
      </c>
      <c r="BKQ9" s="7" t="n">
        <v>-2.12786951370644</v>
      </c>
      <c r="BKR9" s="7" t="n">
        <v>-1.41384167265959</v>
      </c>
      <c r="BKS9" s="7" t="n">
        <v>0.945829962714101</v>
      </c>
      <c r="BKT9" s="7" t="n">
        <v>-0.247193326887127</v>
      </c>
      <c r="BKU9" s="7" t="n">
        <v>-2.22132415443087</v>
      </c>
      <c r="BKV9" s="7" t="n">
        <v>-0.799125661583278</v>
      </c>
      <c r="BKW9" s="7" t="n">
        <v>0.0472184042436042</v>
      </c>
      <c r="BKX9" s="7" t="n">
        <v>0.449556401307892</v>
      </c>
      <c r="BKY9" s="7" t="n">
        <v>-1.10225392031541</v>
      </c>
      <c r="BKZ9" s="7" t="n">
        <v>-1.3421678848992</v>
      </c>
      <c r="BLA9" s="7" t="n">
        <v>-0.254546924146333</v>
      </c>
      <c r="BLB9" s="7" t="n">
        <v>0.795946901489094</v>
      </c>
      <c r="BLC9" s="7" t="n">
        <v>-0.230549931512832</v>
      </c>
      <c r="BLD9" s="7" t="n">
        <v>-0.652236536307375</v>
      </c>
      <c r="BLE9" s="7" t="n">
        <v>-1.83583298859767</v>
      </c>
      <c r="BLF9" s="7" t="n">
        <v>0.730281906148555</v>
      </c>
      <c r="BLG9" s="7" t="n">
        <v>1.17072015133232</v>
      </c>
      <c r="BLH9" s="7" t="n">
        <v>-0.0641789732432291</v>
      </c>
      <c r="BLI9" s="7" t="n">
        <v>-0.83608224890852</v>
      </c>
      <c r="BLJ9" s="7" t="n">
        <v>-0.06386493532727321</v>
      </c>
      <c r="BLK9" s="7" t="n">
        <v>0.155303069348559</v>
      </c>
      <c r="BLL9" s="7" t="n">
        <v>-0.333103608310642</v>
      </c>
      <c r="BLM9" s="7" t="n">
        <v>-1.8045852729449</v>
      </c>
      <c r="BLN9" s="7" t="n">
        <v>-1.02128127811188</v>
      </c>
      <c r="BLO9" s="7" t="n">
        <v>0.64625180623441</v>
      </c>
      <c r="BLP9" s="7" t="n">
        <v>-0.982200699739402</v>
      </c>
      <c r="BLQ9" s="7" t="n">
        <v>-1.72530932002032</v>
      </c>
      <c r="BLR9" s="7" t="n">
        <v>-0.727355451974198</v>
      </c>
      <c r="BLS9" s="7" t="n">
        <v>-0.805450120717801</v>
      </c>
      <c r="BLT9" s="7" t="n">
        <v>-0.0408702365318768</v>
      </c>
      <c r="BLU9" s="7" t="n">
        <v>-0.841648918714812</v>
      </c>
      <c r="BLV9" s="7" t="n">
        <v>-0.565006880828816</v>
      </c>
      <c r="BLW9" s="7" t="n">
        <v>1.87910817600037</v>
      </c>
      <c r="BLX9" s="7" t="n">
        <v>0.271667161163796</v>
      </c>
      <c r="BLY9" s="7" t="n">
        <v>-0.374415656797427</v>
      </c>
      <c r="BLZ9" s="7" t="n">
        <v>0.535764360555675</v>
      </c>
      <c r="BMA9" s="7" t="n">
        <v>-1.75325347085393</v>
      </c>
      <c r="BMB9" s="7" t="n">
        <v>-2.15986151680046</v>
      </c>
      <c r="BMC9" s="7" t="n">
        <v>-0.0045069667723984</v>
      </c>
      <c r="BMD9" s="7" t="n">
        <v>0.222168742962674</v>
      </c>
      <c r="BME9" s="7" t="n">
        <v>-0.695903660227412</v>
      </c>
      <c r="BMF9" s="7" t="n">
        <v>0.6315874175001051</v>
      </c>
      <c r="BMG9" s="7" t="n">
        <v>-0.0071448022410299</v>
      </c>
      <c r="BMH9" s="7" t="n">
        <v>0.091326902226019</v>
      </c>
      <c r="BMI9" s="7" t="n">
        <v>0.708892291351062</v>
      </c>
      <c r="BMJ9" s="7" t="n">
        <v>-0.9637051466299</v>
      </c>
      <c r="BMK9" s="7" t="n">
        <v>-0.458718984959756</v>
      </c>
      <c r="BML9" s="7" t="n">
        <v>2.61065476493225</v>
      </c>
      <c r="BMM9" s="7" t="n">
        <v>-0.418389089000831</v>
      </c>
      <c r="BMN9" s="7" t="n">
        <v>-0.0243240728899374</v>
      </c>
      <c r="BMO9" s="7" t="n">
        <v>-0.359331909043758</v>
      </c>
      <c r="BMP9" s="7" t="n">
        <v>0.630559025615993</v>
      </c>
      <c r="BMQ9" s="7" t="n">
        <v>-0.624342181655999</v>
      </c>
      <c r="BMR9" s="7" t="n">
        <v>0.878812901128205</v>
      </c>
      <c r="BMS9" s="7" t="n">
        <v>1.25046210243359</v>
      </c>
      <c r="BMT9" s="7" t="n">
        <v>-0.698197888928588</v>
      </c>
      <c r="BMU9" s="7" t="n">
        <v>1.40581037265978</v>
      </c>
      <c r="BMV9" s="7" t="n">
        <v>0.65738064408251</v>
      </c>
      <c r="BMW9" s="7" t="n">
        <v>-0.6971357796534881</v>
      </c>
      <c r="BMX9" s="7" t="n">
        <v>-0.126956200796256</v>
      </c>
      <c r="BMY9" s="7" t="n">
        <v>-0.208521275831391</v>
      </c>
      <c r="BMZ9" s="7" t="n">
        <v>-0.980089189907169</v>
      </c>
      <c r="BNA9" s="7" t="n">
        <v>-0.912917277941107</v>
      </c>
      <c r="BNB9" s="7" t="n">
        <v>-0.552665007441373</v>
      </c>
      <c r="BNC9" s="7" t="n">
        <v>0.0567099869443007</v>
      </c>
      <c r="BND9" s="7" t="n">
        <v>-0.8226573920624189</v>
      </c>
      <c r="BNE9" s="7" t="n">
        <v>-1.93015382279252</v>
      </c>
      <c r="BNF9" s="7" t="n">
        <v>-1.57042213433149</v>
      </c>
      <c r="BNG9" s="7" t="n">
        <v>-0.141507097366495</v>
      </c>
      <c r="BNH9" s="7" t="n">
        <v>0.290078882337858</v>
      </c>
      <c r="BNI9" s="7" t="n">
        <v>-1.46628948195454</v>
      </c>
      <c r="BNJ9" s="7" t="n">
        <v>1.33523170389511</v>
      </c>
      <c r="BNK9" s="7" t="n">
        <v>2.04850559163304</v>
      </c>
      <c r="BNL9" s="7" t="n">
        <v>-2.05147304179269</v>
      </c>
      <c r="BNM9" s="7" t="n">
        <v>0.477991508031488</v>
      </c>
      <c r="BNN9" s="7" t="n">
        <v>0.723283535927047</v>
      </c>
      <c r="BNO9" s="7" t="n">
        <v>-0.154390318221787</v>
      </c>
      <c r="BNP9" s="7" t="n">
        <v>-2.01642015247979</v>
      </c>
      <c r="BNQ9" s="7" t="n">
        <v>0.6253042141606751</v>
      </c>
      <c r="BNR9" s="7" t="n">
        <v>1.94961128888977</v>
      </c>
      <c r="BNS9" s="7" t="n">
        <v>0.614337216893136</v>
      </c>
      <c r="BNT9" s="7" t="n">
        <v>-2.00115802611818</v>
      </c>
      <c r="BNU9" s="7" t="n">
        <v>-1.79679516142355</v>
      </c>
      <c r="BNV9" s="7" t="n">
        <v>0.0576138977706843</v>
      </c>
      <c r="BNW9" s="7" t="n">
        <v>0.870258976690275</v>
      </c>
      <c r="BNX9" s="7" t="n">
        <v>0.0048152881347142</v>
      </c>
      <c r="BNY9" s="7" t="n">
        <v>-0.73628052699595</v>
      </c>
      <c r="BNZ9" s="7" t="n">
        <v>0.7591177680347591</v>
      </c>
      <c r="BOA9" s="7" t="n">
        <v>0.725829061182986</v>
      </c>
      <c r="BOB9" s="7" t="n">
        <v>-0.857130604707793</v>
      </c>
      <c r="BOC9" s="7" t="n">
        <v>0.107441814557903</v>
      </c>
      <c r="BOD9" s="7" t="n">
        <v>0.24075961074538</v>
      </c>
      <c r="BOE9" s="7" t="n">
        <v>-0.330088171122394</v>
      </c>
      <c r="BOF9" s="7" t="n">
        <v>-0.0830874745276096</v>
      </c>
      <c r="BOG9" s="7" t="n">
        <v>-1.08712971658744</v>
      </c>
      <c r="BOH9" s="7" t="n">
        <v>0.469302481123486</v>
      </c>
      <c r="BOI9" s="7" t="n">
        <v>-0.321378582091604</v>
      </c>
      <c r="BOJ9" s="7" t="n">
        <v>-0.0195326337885065</v>
      </c>
      <c r="BOK9" s="7" t="n">
        <v>-1.20705327008414</v>
      </c>
      <c r="BOL9" s="7" t="n">
        <v>1.10604315869333</v>
      </c>
      <c r="BOM9" s="7" t="n">
        <v>-0.0423215161381921</v>
      </c>
      <c r="BON9" s="7" t="n">
        <v>-0.296345050841578</v>
      </c>
      <c r="BOO9" s="7" t="n">
        <v>0.986824330206278</v>
      </c>
      <c r="BOP9" s="7" t="n">
        <v>0.405205682403069</v>
      </c>
      <c r="BOQ9" s="7" t="n">
        <v>-0.910150252142896</v>
      </c>
      <c r="BOR9" s="7" t="n">
        <v>-0.340329637109712</v>
      </c>
      <c r="BOS9" s="7" t="n">
        <v>-0.569026396320612</v>
      </c>
      <c r="BOT9" s="7" t="n">
        <v>-0.06331732812263351</v>
      </c>
      <c r="BOU9" s="7" t="n">
        <v>0.245307835520261</v>
      </c>
      <c r="BOV9" s="7" t="n">
        <v>0.124595379286</v>
      </c>
      <c r="BOW9" s="7" t="n">
        <v>0.738087558778692</v>
      </c>
      <c r="BOX9" s="7" t="n">
        <v>-1.71776156723925</v>
      </c>
      <c r="BOY9" s="7" t="n">
        <v>-0.628257096285488</v>
      </c>
      <c r="BOZ9" s="7" t="n">
        <v>-0.82594788984888</v>
      </c>
      <c r="BPA9" s="7" t="n">
        <v>0.104371624758969</v>
      </c>
      <c r="BPB9" s="7" t="n">
        <v>0.170775093203653</v>
      </c>
      <c r="BPC9" s="7" t="n">
        <v>-0.836253104453328</v>
      </c>
      <c r="BPD9" s="7" t="n">
        <v>0.775684432357433</v>
      </c>
      <c r="BPE9" s="7" t="n">
        <v>-0.181804418472815</v>
      </c>
      <c r="BPF9" s="7" t="n">
        <v>-1.08181341027665</v>
      </c>
      <c r="BPG9" s="7" t="n">
        <v>-0.8457153640596869</v>
      </c>
      <c r="BPH9" s="7" t="n">
        <v>0.0307603228052768</v>
      </c>
      <c r="BPI9" s="7" t="n">
        <v>-0.844868760413376</v>
      </c>
      <c r="BPJ9" s="7" t="n">
        <v>-0.414613096656898</v>
      </c>
      <c r="BPK9" s="7" t="n">
        <v>0.868299152554636</v>
      </c>
      <c r="BPL9" s="7" t="n">
        <v>0.157414461667023</v>
      </c>
      <c r="BPM9" s="7" t="n">
        <v>0.283476895963394</v>
      </c>
      <c r="BPN9" s="7" t="n">
        <v>0.727409590471188</v>
      </c>
      <c r="BPO9" s="7" t="n">
        <v>0.8627035705103731</v>
      </c>
      <c r="BPP9" s="7" t="n">
        <v>1.58845674592794</v>
      </c>
      <c r="BPQ9" s="7" t="n">
        <v>-0.920089883735959</v>
      </c>
      <c r="BPR9" s="7" t="n">
        <v>0.0118235311629236</v>
      </c>
      <c r="BPS9" s="7" t="n">
        <v>-0.09016629292007761</v>
      </c>
      <c r="BPT9" s="7" t="n">
        <v>-0.08641721195807001</v>
      </c>
      <c r="BPU9" s="7" t="n">
        <v>0.328100821610225</v>
      </c>
      <c r="BPV9" s="7" t="n">
        <v>1.04613203790843</v>
      </c>
      <c r="BPW9" s="7" t="n">
        <v>-0.226195603145158</v>
      </c>
      <c r="BPX9" s="7" t="n">
        <v>-1.08194990474365</v>
      </c>
      <c r="BPY9" s="7" t="n">
        <v>0.333528092632108</v>
      </c>
      <c r="BPZ9" s="7" t="n">
        <v>-0.241347164602979</v>
      </c>
      <c r="BQA9" s="7" t="n">
        <v>-0.8546793807876309</v>
      </c>
      <c r="BQB9" s="7" t="n">
        <v>-1.77347272872423</v>
      </c>
      <c r="BQC9" s="7" t="n">
        <v>-0.822488067347254</v>
      </c>
      <c r="BQD9" s="7" t="n">
        <v>0.0573274621468726</v>
      </c>
      <c r="BQE9" s="7" t="n">
        <v>0.5776204913991519</v>
      </c>
      <c r="BQF9" s="7" t="n">
        <v>-0.451153471602254</v>
      </c>
      <c r="BQG9" s="7" t="n">
        <v>-1.26846730250986</v>
      </c>
      <c r="BQH9" s="7" t="n">
        <v>0.225693145125545</v>
      </c>
    </row>
    <row r="10">
      <c r="A10" s="7" t="n">
        <v>8</v>
      </c>
      <c r="B10" s="7" t="n">
        <v>0.503626631352624</v>
      </c>
      <c r="C10" s="7" t="n">
        <v>-0.921773576981686</v>
      </c>
      <c r="D10" s="7" t="n">
        <v>-0.43967394375263</v>
      </c>
      <c r="E10" s="7" t="n">
        <v>-0.344750511075557</v>
      </c>
      <c r="F10" s="7" t="n">
        <v>2.68613144251813</v>
      </c>
      <c r="G10" s="7" t="n">
        <v>1.25304802803877</v>
      </c>
      <c r="H10" s="7" t="n">
        <v>-1.13593956307832</v>
      </c>
      <c r="I10" s="7" t="n">
        <v>-0.154389775085694</v>
      </c>
      <c r="J10" s="7" t="n">
        <v>1.29082119480327</v>
      </c>
      <c r="K10" s="7" t="n">
        <v>0.81298516383525</v>
      </c>
      <c r="L10" s="7" t="n">
        <v>1.14892142564381</v>
      </c>
      <c r="M10" s="7" t="n">
        <v>-1.37720389051109</v>
      </c>
      <c r="N10" s="7" t="n">
        <v>-1.10119187515336</v>
      </c>
      <c r="O10" s="7" t="n">
        <v>0.08216460893382289</v>
      </c>
      <c r="P10" s="7" t="n">
        <v>-0.413196087189099</v>
      </c>
      <c r="Q10" s="7" t="n">
        <v>-1.17523025054272</v>
      </c>
      <c r="R10" s="7" t="n">
        <v>-0.527512350092829</v>
      </c>
      <c r="S10" s="7" t="n">
        <v>-1.3823354450415</v>
      </c>
      <c r="T10" s="7" t="n">
        <v>-1.41805944668834</v>
      </c>
      <c r="U10" s="7" t="n">
        <v>0.104453914213296</v>
      </c>
      <c r="V10" s="7" t="n">
        <v>-0.0522609070037311</v>
      </c>
      <c r="W10" s="7" t="n">
        <v>-0.101504714832324</v>
      </c>
      <c r="X10" s="7" t="n">
        <v>-0.363070240271429</v>
      </c>
      <c r="Y10" s="7" t="n">
        <v>1.55553127898937</v>
      </c>
      <c r="Z10" s="7" t="n">
        <v>0.78610882615684</v>
      </c>
      <c r="AA10" s="7" t="n">
        <v>0.251029032675912</v>
      </c>
      <c r="AB10" s="7" t="n">
        <v>-0.0275426324250364</v>
      </c>
      <c r="AC10" s="7" t="n">
        <v>0.12024563411547</v>
      </c>
      <c r="AD10" s="7" t="n">
        <v>-0.613252051152826</v>
      </c>
      <c r="AE10" s="7" t="n">
        <v>0.249991416955581</v>
      </c>
      <c r="AF10" s="7" t="n">
        <v>-1.59307306754579</v>
      </c>
      <c r="AG10" s="7" t="n">
        <v>0.701402035218054</v>
      </c>
      <c r="AH10" s="7" t="n">
        <v>-0.168926112177405</v>
      </c>
      <c r="AI10" s="7" t="n">
        <v>0.227418103972176</v>
      </c>
      <c r="AJ10" s="7" t="n">
        <v>-0.925569340895021</v>
      </c>
      <c r="AK10" s="7" t="n">
        <v>-0.374543089284143</v>
      </c>
      <c r="AL10" s="7" t="n">
        <v>-0.748286376167034</v>
      </c>
      <c r="AM10" s="7" t="n">
        <v>0.479522906299956</v>
      </c>
      <c r="AN10" s="7" t="n">
        <v>-0.232679741592823</v>
      </c>
      <c r="AO10" s="7" t="n">
        <v>-0.938891671029661</v>
      </c>
      <c r="AP10" s="7" t="n">
        <v>-0.8400958984986699</v>
      </c>
      <c r="AQ10" s="7" t="n">
        <v>0.459815206120295</v>
      </c>
      <c r="AR10" s="7" t="n">
        <v>1.70592022124106</v>
      </c>
      <c r="AS10" s="7" t="n">
        <v>0.303365729921456</v>
      </c>
      <c r="AT10" s="7" t="n">
        <v>-1.22606556227183</v>
      </c>
      <c r="AU10" s="7" t="n">
        <v>0.328479180044485</v>
      </c>
      <c r="AV10" s="7" t="n">
        <v>-0.91428996694401</v>
      </c>
      <c r="AW10" s="7" t="n">
        <v>-0.957753257331786</v>
      </c>
      <c r="AX10" s="7" t="n">
        <v>0.618372487315423</v>
      </c>
      <c r="AY10" s="7" t="n">
        <v>-1.05548116877031</v>
      </c>
      <c r="AZ10" s="7" t="n">
        <v>0.553039236661733</v>
      </c>
      <c r="BA10" s="7" t="n">
        <v>0.507652968631719</v>
      </c>
      <c r="BB10" s="7" t="n">
        <v>-0.361003811987119</v>
      </c>
      <c r="BC10" s="7" t="n">
        <v>-0.7543764353483839</v>
      </c>
      <c r="BD10" s="7" t="n">
        <v>-0.432008667900913</v>
      </c>
      <c r="BE10" s="7" t="n">
        <v>0.145059849518459</v>
      </c>
      <c r="BF10" s="7" t="n">
        <v>1.03714671587747</v>
      </c>
      <c r="BG10" s="7" t="n">
        <v>0.131071080166067</v>
      </c>
      <c r="BH10" s="7" t="n">
        <v>0.175174682394827</v>
      </c>
      <c r="BI10" s="7" t="n">
        <v>-0.698316297456924</v>
      </c>
      <c r="BJ10" s="7" t="n">
        <v>0.925902939684434</v>
      </c>
      <c r="BK10" s="7" t="n">
        <v>-1.02560449858047</v>
      </c>
      <c r="BL10" s="7" t="n">
        <v>0.155760493842766</v>
      </c>
      <c r="BM10" s="7" t="n">
        <v>1.16783295515828</v>
      </c>
      <c r="BN10" s="7" t="n">
        <v>1.1598472310612</v>
      </c>
      <c r="BO10" s="7" t="n">
        <v>-0.0473416492020815</v>
      </c>
      <c r="BP10" s="7" t="n">
        <v>-0.201284971828446</v>
      </c>
      <c r="BQ10" s="7" t="n">
        <v>0.194488012330136</v>
      </c>
      <c r="BR10" s="7" t="n">
        <v>0.0442228102936127</v>
      </c>
      <c r="BS10" s="7" t="n">
        <v>-0.324977434738955</v>
      </c>
      <c r="BT10" s="7" t="n">
        <v>0.531304596463018</v>
      </c>
      <c r="BU10" s="7" t="n">
        <v>1.80004279690059</v>
      </c>
      <c r="BV10" s="7" t="n">
        <v>0.300140809418253</v>
      </c>
      <c r="BW10" s="7" t="n">
        <v>-0.962982878148952</v>
      </c>
      <c r="BX10" s="7" t="n">
        <v>1.41193772339885</v>
      </c>
      <c r="BY10" s="7" t="n">
        <v>-0.707402416123241</v>
      </c>
      <c r="BZ10" s="7" t="n">
        <v>0.29762853603012</v>
      </c>
      <c r="CA10" s="7" t="n">
        <v>-0.09512451427204981</v>
      </c>
      <c r="CB10" s="7" t="n">
        <v>0.9131045076795929</v>
      </c>
      <c r="CC10" s="7" t="n">
        <v>-1.21582787095509</v>
      </c>
      <c r="CD10" s="7" t="n">
        <v>0.696652161450205</v>
      </c>
      <c r="CE10" s="7" t="n">
        <v>0.0281822686467183</v>
      </c>
      <c r="CF10" s="7" t="n">
        <v>-0.0560913973516753</v>
      </c>
      <c r="CG10" s="7" t="n">
        <v>-1.13433355978813</v>
      </c>
      <c r="CH10" s="7" t="n">
        <v>-1.29418414737783</v>
      </c>
      <c r="CI10" s="7" t="n">
        <v>0.106249892088175</v>
      </c>
      <c r="CJ10" s="7" t="n">
        <v>-0.317369274527508</v>
      </c>
      <c r="CK10" s="7" t="n">
        <v>1.54179470193758</v>
      </c>
      <c r="CL10" s="7" t="n">
        <v>1.21329294265723</v>
      </c>
      <c r="CM10" s="7" t="n">
        <v>0.196602561846198</v>
      </c>
      <c r="CN10" s="7" t="n">
        <v>0.809552721642276</v>
      </c>
      <c r="CO10" s="7" t="n">
        <v>-0.100718046683749</v>
      </c>
      <c r="CP10" s="7" t="n">
        <v>-0.178165724017809</v>
      </c>
      <c r="CQ10" s="7" t="n">
        <v>0.228862657697136</v>
      </c>
      <c r="CR10" s="7" t="n">
        <v>-0.195765564506545</v>
      </c>
      <c r="CS10" s="7" t="n">
        <v>1.08079673192181</v>
      </c>
      <c r="CT10" s="7" t="n">
        <v>1.34789908281359</v>
      </c>
      <c r="CU10" s="7" t="n">
        <v>2.2514955863701</v>
      </c>
      <c r="CV10" s="7" t="n">
        <v>-0.244345142365504</v>
      </c>
      <c r="CW10" s="7" t="n">
        <v>0.882316862561237</v>
      </c>
      <c r="CX10" s="7" t="n">
        <v>0.345681190581975</v>
      </c>
      <c r="CY10" s="7" t="n">
        <v>0.481541540217598</v>
      </c>
      <c r="CZ10" s="7" t="n">
        <v>-1.36232248087335</v>
      </c>
      <c r="DA10" s="7" t="n">
        <v>-1.1056371368895</v>
      </c>
      <c r="DB10" s="7" t="n">
        <v>-0.142584986829744</v>
      </c>
      <c r="DC10" s="7" t="n">
        <v>-0.330049296953102</v>
      </c>
      <c r="DD10" s="7" t="n">
        <v>2.29449451979269</v>
      </c>
      <c r="DE10" s="7" t="n">
        <v>-0.302494012420247</v>
      </c>
      <c r="DF10" s="7" t="n">
        <v>-0.63352175492854</v>
      </c>
      <c r="DG10" s="7" t="n">
        <v>0.235092535439025</v>
      </c>
      <c r="DH10" s="7" t="n">
        <v>0.729256985590613</v>
      </c>
      <c r="DI10" s="7" t="n">
        <v>-0.505709638383585</v>
      </c>
      <c r="DJ10" s="7" t="n">
        <v>1.06464080398284</v>
      </c>
      <c r="DK10" s="7" t="n">
        <v>-1.96604534693119</v>
      </c>
      <c r="DL10" s="7" t="n">
        <v>-0.0990567911962885</v>
      </c>
      <c r="DM10" s="7" t="n">
        <v>0.266656933049792</v>
      </c>
      <c r="DN10" s="7" t="n">
        <v>0.82305120026682</v>
      </c>
      <c r="DO10" s="7" t="n">
        <v>-1.45898081353837</v>
      </c>
      <c r="DP10" s="7" t="n">
        <v>-0.0783148601700558</v>
      </c>
      <c r="DQ10" s="7" t="n">
        <v>0.263353220626462</v>
      </c>
      <c r="DR10" s="7" t="n">
        <v>-0.0451111010004298</v>
      </c>
      <c r="DS10" s="7" t="n">
        <v>0.7388992718726169</v>
      </c>
      <c r="DT10" s="7" t="n">
        <v>-0.0454189738234586</v>
      </c>
      <c r="DU10" s="7" t="n">
        <v>0.725640913687007</v>
      </c>
      <c r="DV10" s="7" t="n">
        <v>0.52845615485779</v>
      </c>
      <c r="DW10" s="7" t="n">
        <v>1.37791996837737</v>
      </c>
      <c r="DX10" s="7" t="n">
        <v>-0.375881584897694</v>
      </c>
      <c r="DY10" s="7" t="n">
        <v>-0.676372372891888</v>
      </c>
      <c r="DZ10" s="7" t="n">
        <v>0.876215024941993</v>
      </c>
      <c r="EA10" s="7" t="n">
        <v>-0.503838379406748</v>
      </c>
      <c r="EB10" s="7" t="n">
        <v>-0.161836849940533</v>
      </c>
      <c r="EC10" s="7" t="n">
        <v>1.31534894575348</v>
      </c>
      <c r="ED10" s="7" t="n">
        <v>0.113971797709053</v>
      </c>
      <c r="EE10" s="7" t="n">
        <v>-0.955518895543664</v>
      </c>
      <c r="EF10" s="7" t="n">
        <v>-1.15800042835582</v>
      </c>
      <c r="EG10" s="7" t="n">
        <v>1.24390895339077</v>
      </c>
      <c r="EH10" s="7" t="n">
        <v>-0.117954884146817</v>
      </c>
      <c r="EI10" s="7" t="n">
        <v>0.938606494540025</v>
      </c>
      <c r="EJ10" s="7" t="n">
        <v>1.14947189664245</v>
      </c>
      <c r="EK10" s="7" t="n">
        <v>1.39848481308248</v>
      </c>
      <c r="EL10" s="7" t="n">
        <v>0.248350341776449</v>
      </c>
      <c r="EM10" s="7" t="n">
        <v>-0.218248863747132</v>
      </c>
      <c r="EN10" s="7" t="n">
        <v>1.39581801348876</v>
      </c>
      <c r="EO10" s="7" t="n">
        <v>0.365387029113366</v>
      </c>
      <c r="EP10" s="7" t="n">
        <v>-1.69730928603689</v>
      </c>
      <c r="EQ10" s="7" t="n">
        <v>-0.988304899194405</v>
      </c>
      <c r="ER10" s="7" t="n">
        <v>-0.750367046879411</v>
      </c>
      <c r="ES10" s="7" t="n">
        <v>-0.562534287111882</v>
      </c>
      <c r="ET10" s="7" t="n">
        <v>-0.156147283487545</v>
      </c>
      <c r="EU10" s="7" t="n">
        <v>-1.32410997214297</v>
      </c>
      <c r="EV10" s="7" t="n">
        <v>-0.941196015005728</v>
      </c>
      <c r="EW10" s="7" t="n">
        <v>-1.8834918579052</v>
      </c>
      <c r="EX10" s="7" t="n">
        <v>0.113347170882527</v>
      </c>
      <c r="EY10" s="7" t="n">
        <v>2.88233414979457</v>
      </c>
      <c r="EZ10" s="7" t="n">
        <v>-0.596488430577372</v>
      </c>
      <c r="FA10" s="7" t="n">
        <v>-0.5720718759415711</v>
      </c>
      <c r="FB10" s="7" t="n">
        <v>-0.839073561537542</v>
      </c>
      <c r="FC10" s="7" t="n">
        <v>-0.196489174093215</v>
      </c>
      <c r="FD10" s="7" t="n">
        <v>0.145895498656377</v>
      </c>
      <c r="FE10" s="7" t="n">
        <v>-1.11727751290739</v>
      </c>
      <c r="FF10" s="7" t="n">
        <v>0.959212185741025</v>
      </c>
      <c r="FG10" s="7" t="n">
        <v>2.04632462339496</v>
      </c>
      <c r="FH10" s="7" t="n">
        <v>-1.19001411492571</v>
      </c>
      <c r="FI10" s="7" t="n">
        <v>0.902782142939017</v>
      </c>
      <c r="FJ10" s="7" t="n">
        <v>-0.338840487044078</v>
      </c>
      <c r="FK10" s="7" t="n">
        <v>-1.12538613976357</v>
      </c>
      <c r="FL10" s="7" t="n">
        <v>-0.403595420212739</v>
      </c>
      <c r="FM10" s="7" t="n">
        <v>-1.6635488965888</v>
      </c>
      <c r="FN10" s="7" t="n">
        <v>-1.9013400477949</v>
      </c>
      <c r="FO10" s="7" t="n">
        <v>0.120454045029452</v>
      </c>
      <c r="FP10" s="7" t="n">
        <v>0.391451325346648</v>
      </c>
      <c r="FQ10" s="7" t="n">
        <v>0.846354044922614</v>
      </c>
      <c r="FR10" s="7" t="n">
        <v>-0.564641566322728</v>
      </c>
      <c r="FS10" s="7" t="n">
        <v>-2.58232193878985</v>
      </c>
      <c r="FT10" s="7" t="n">
        <v>1.42079195599548</v>
      </c>
      <c r="FU10" s="7" t="n">
        <v>-1.87323833675893</v>
      </c>
      <c r="FV10" s="7" t="n">
        <v>-0.11860411207115</v>
      </c>
      <c r="FW10" s="7" t="n">
        <v>-0.826434019560254</v>
      </c>
      <c r="FX10" s="7" t="n">
        <v>-0.0461800120912254</v>
      </c>
      <c r="FY10" s="7" t="n">
        <v>-0.61205825673819</v>
      </c>
      <c r="FZ10" s="7" t="n">
        <v>1.28611142268704</v>
      </c>
      <c r="GA10" s="7" t="n">
        <v>0.650016696491812</v>
      </c>
      <c r="GB10" s="7" t="n">
        <v>1.22459215692532</v>
      </c>
      <c r="GC10" s="7" t="n">
        <v>-0.65339291157122</v>
      </c>
      <c r="GD10" s="7" t="n">
        <v>0.481424413870859</v>
      </c>
      <c r="GE10" s="7" t="n">
        <v>1.9822323249324</v>
      </c>
      <c r="GF10" s="7" t="n">
        <v>-2.07570737763142</v>
      </c>
      <c r="GG10" s="7" t="n">
        <v>-0.038829110536211</v>
      </c>
      <c r="GH10" s="7" t="n">
        <v>1.0673545816302</v>
      </c>
      <c r="GI10" s="7" t="n">
        <v>0.6763880739218709</v>
      </c>
      <c r="GJ10" s="7" t="n">
        <v>-1.65872150569807</v>
      </c>
      <c r="GK10" s="7" t="n">
        <v>-0.847798564488875</v>
      </c>
      <c r="GL10" s="7" t="n">
        <v>0.693146795647807</v>
      </c>
      <c r="GM10" s="7" t="n">
        <v>0.060927872338805</v>
      </c>
      <c r="GN10" s="7" t="n">
        <v>-0.076746701534761</v>
      </c>
      <c r="GO10" s="7" t="n">
        <v>-0.200708756000461</v>
      </c>
      <c r="GP10" s="7" t="n">
        <v>1.13059188591613</v>
      </c>
      <c r="GQ10" s="7" t="n">
        <v>0.848833336806888</v>
      </c>
      <c r="GR10" s="7" t="n">
        <v>-0.745921226584347</v>
      </c>
      <c r="GS10" s="7" t="n">
        <v>0.168528310743766</v>
      </c>
      <c r="GT10" s="7" t="n">
        <v>-0.7118684148496121</v>
      </c>
      <c r="GU10" s="7" t="n">
        <v>-1.21257586821036</v>
      </c>
      <c r="GV10" s="7" t="n">
        <v>2.3287809977704</v>
      </c>
      <c r="GW10" s="7" t="n">
        <v>-0.382901984929077</v>
      </c>
      <c r="GX10" s="7" t="n">
        <v>-0.362036608339697</v>
      </c>
      <c r="GY10" s="7" t="n">
        <v>-1.45755546995875</v>
      </c>
      <c r="GZ10" s="7" t="n">
        <v>-1.92813384953462</v>
      </c>
      <c r="HA10" s="7" t="n">
        <v>-0.300256326395634</v>
      </c>
      <c r="HB10" s="7" t="n">
        <v>-0.215139257736729</v>
      </c>
      <c r="HC10" s="7" t="n">
        <v>-0.981669608646879</v>
      </c>
      <c r="HD10" s="7" t="n">
        <v>0.06754881280264589</v>
      </c>
      <c r="HE10" s="7" t="n">
        <v>0.724562024864882</v>
      </c>
      <c r="HF10" s="7" t="n">
        <v>-0.253079909273653</v>
      </c>
      <c r="HG10" s="7" t="n">
        <v>-1.23301275158798</v>
      </c>
      <c r="HH10" s="7" t="n">
        <v>-0.669922856479845</v>
      </c>
      <c r="HI10" s="7" t="n">
        <v>-1.21468204375297</v>
      </c>
      <c r="HJ10" s="7" t="n">
        <v>-0.0238170148378376</v>
      </c>
      <c r="HK10" s="7" t="n">
        <v>0.530186027896989</v>
      </c>
      <c r="HL10" s="7" t="n">
        <v>0.727285587834806</v>
      </c>
      <c r="HM10" s="7" t="n">
        <v>1.66641126586651</v>
      </c>
      <c r="HN10" s="7" t="n">
        <v>-2.35164418767975</v>
      </c>
      <c r="HO10" s="7" t="n">
        <v>-0.118337196576187</v>
      </c>
      <c r="HP10" s="7" t="n">
        <v>0.963693679482971</v>
      </c>
      <c r="HQ10" s="7" t="n">
        <v>-0.0554826175320381</v>
      </c>
      <c r="HR10" s="7" t="n">
        <v>0.983248340971591</v>
      </c>
      <c r="HS10" s="7" t="n">
        <v>1.24378181049835</v>
      </c>
      <c r="HT10" s="7" t="n">
        <v>0.170413642292596</v>
      </c>
      <c r="HU10" s="7" t="n">
        <v>-1.65205905062563</v>
      </c>
      <c r="HV10" s="7" t="n">
        <v>-1.19708690043852</v>
      </c>
      <c r="HW10" s="7" t="n">
        <v>0.07755781832819229</v>
      </c>
      <c r="HX10" s="7" t="n">
        <v>-2.35277758873627</v>
      </c>
      <c r="HY10" s="7" t="n">
        <v>-0.411691516440591</v>
      </c>
      <c r="HZ10" s="7" t="n">
        <v>1.0241640934516</v>
      </c>
      <c r="IA10" s="7" t="n">
        <v>-0.106483829115268</v>
      </c>
      <c r="IB10" s="7" t="n">
        <v>2.16963767723215</v>
      </c>
      <c r="IC10" s="7" t="n">
        <v>-2.39642635238588</v>
      </c>
      <c r="ID10" s="7" t="n">
        <v>-2.93164240722666</v>
      </c>
      <c r="IE10" s="7" t="n">
        <v>-0.779227668733434</v>
      </c>
      <c r="IF10" s="7" t="n">
        <v>-0.698015082525847</v>
      </c>
      <c r="IG10" s="7" t="n">
        <v>-0.46964220802343</v>
      </c>
      <c r="IH10" s="7" t="n">
        <v>-0.8969387180087151</v>
      </c>
      <c r="II10" s="7" t="n">
        <v>0.111879569160604</v>
      </c>
      <c r="IJ10" s="7" t="n">
        <v>0.310459132555249</v>
      </c>
      <c r="IK10" s="7" t="n">
        <v>0.132610784516561</v>
      </c>
      <c r="IL10" s="7" t="n">
        <v>-0.233497078682661</v>
      </c>
      <c r="IM10" s="7" t="n">
        <v>-1.04676074944383</v>
      </c>
      <c r="IN10" s="7" t="n">
        <v>-0.183175458789167</v>
      </c>
      <c r="IO10" s="7" t="n">
        <v>0.298518746262468</v>
      </c>
      <c r="IP10" s="7" t="n">
        <v>-0.304401846671592</v>
      </c>
      <c r="IQ10" s="7" t="n">
        <v>-0.162552279143867</v>
      </c>
      <c r="IR10" s="7" t="n">
        <v>0.645446987361876</v>
      </c>
      <c r="IS10" s="7" t="n">
        <v>0.757833746865719</v>
      </c>
      <c r="IT10" s="7" t="n">
        <v>0.923472404852984</v>
      </c>
      <c r="IU10" s="7" t="n">
        <v>-1.38555724274832</v>
      </c>
      <c r="IV10" s="7" t="n">
        <v>0.0429480797725076</v>
      </c>
      <c r="IW10" s="7" t="n">
        <v>0.90815156455848</v>
      </c>
      <c r="IX10" s="7" t="n">
        <v>-0.226214414076551</v>
      </c>
      <c r="IY10" s="7" t="n">
        <v>0.442148405332446</v>
      </c>
      <c r="IZ10" s="7" t="n">
        <v>0.6177229829568081</v>
      </c>
      <c r="JA10" s="7" t="n">
        <v>-0.468520884380409</v>
      </c>
      <c r="JB10" s="7" t="n">
        <v>1.09848160183082</v>
      </c>
      <c r="JC10" s="7" t="n">
        <v>-0.354246604349079</v>
      </c>
      <c r="JD10" s="7" t="n">
        <v>-0.271889363309794</v>
      </c>
      <c r="JE10" s="7" t="n">
        <v>-0.380703042277981</v>
      </c>
      <c r="JF10" s="7" t="n">
        <v>0.0439555298372524</v>
      </c>
      <c r="JG10" s="7" t="n">
        <v>0.232541088244073</v>
      </c>
      <c r="JH10" s="7" t="n">
        <v>-0.692577670879401</v>
      </c>
      <c r="JI10" s="7" t="n">
        <v>0.327598162362536</v>
      </c>
      <c r="JJ10" s="7" t="n">
        <v>-0.973317657119148</v>
      </c>
      <c r="JK10" s="7" t="n">
        <v>0.0545271646042777</v>
      </c>
      <c r="JL10" s="7" t="n">
        <v>1.15363084115358</v>
      </c>
      <c r="JM10" s="7" t="n">
        <v>0.135595566346847</v>
      </c>
      <c r="JN10" s="7" t="n">
        <v>-0.950045096689479</v>
      </c>
      <c r="JO10" s="7" t="n">
        <v>-1.43367578279897</v>
      </c>
      <c r="JP10" s="7" t="n">
        <v>-0.33838310375792</v>
      </c>
      <c r="JQ10" s="7" t="n">
        <v>0.222190729187972</v>
      </c>
      <c r="JR10" s="7" t="n">
        <v>-0.554320476999018</v>
      </c>
      <c r="JS10" s="7" t="n">
        <v>-1.02223594223986</v>
      </c>
      <c r="JT10" s="7" t="n">
        <v>-0.307162070636826</v>
      </c>
      <c r="JU10" s="7" t="n">
        <v>-0.0131970469530322</v>
      </c>
      <c r="JV10" s="7" t="n">
        <v>0.677511819992544</v>
      </c>
      <c r="JW10" s="7" t="n">
        <v>0.255548592767182</v>
      </c>
      <c r="JX10" s="7" t="n">
        <v>-1.39749385964668</v>
      </c>
      <c r="JY10" s="7" t="n">
        <v>-0.714198417388912</v>
      </c>
      <c r="JZ10" s="7" t="n">
        <v>-0.772066178408746</v>
      </c>
      <c r="KA10" s="7" t="n">
        <v>0.237733854857746</v>
      </c>
      <c r="KB10" s="7" t="n">
        <v>-1.67201453336273</v>
      </c>
      <c r="KC10" s="7" t="n">
        <v>-1.33745615741874</v>
      </c>
      <c r="KD10" s="7" t="n">
        <v>-1.49235889790872</v>
      </c>
      <c r="KE10" s="7" t="n">
        <v>-0.415783162296118</v>
      </c>
      <c r="KF10" s="7" t="n">
        <v>-0.9748891863669</v>
      </c>
      <c r="KG10" s="7" t="n">
        <v>0.3199914345591</v>
      </c>
      <c r="KH10" s="7" t="n">
        <v>0.243157345041064</v>
      </c>
      <c r="KI10" s="7" t="n">
        <v>1.99549302855366</v>
      </c>
      <c r="KJ10" s="7" t="n">
        <v>-0.231098204420337</v>
      </c>
      <c r="KK10" s="7" t="n">
        <v>0.77032143289394</v>
      </c>
      <c r="KL10" s="7" t="n">
        <v>0.479888851003957</v>
      </c>
      <c r="KM10" s="7" t="n">
        <v>-0.668546175563159</v>
      </c>
      <c r="KN10" s="7" t="n">
        <v>-0.121888330806267</v>
      </c>
      <c r="KO10" s="7" t="n">
        <v>0.834429995282432</v>
      </c>
      <c r="KP10" s="7" t="n">
        <v>-0.480022896031853</v>
      </c>
      <c r="KQ10" s="7" t="n">
        <v>-1.67565516370431</v>
      </c>
      <c r="KR10" s="7" t="n">
        <v>0.152524660075452</v>
      </c>
      <c r="KS10" s="7" t="n">
        <v>-1.03092652955391</v>
      </c>
      <c r="KT10" s="7" t="n">
        <v>-1.21683349092678</v>
      </c>
      <c r="KU10" s="7" t="n">
        <v>-0.472826181223156</v>
      </c>
      <c r="KV10" s="7" t="n">
        <v>1.10610541008599</v>
      </c>
      <c r="KW10" s="7" t="n">
        <v>-0.837207474665171</v>
      </c>
      <c r="KX10" s="7" t="n">
        <v>-0.826498061075433</v>
      </c>
      <c r="KY10" s="7" t="n">
        <v>-1.17548993726173</v>
      </c>
      <c r="KZ10" s="7" t="n">
        <v>-0.505278218847933</v>
      </c>
      <c r="LA10" s="7" t="n">
        <v>-0.620824991156426</v>
      </c>
      <c r="LB10" s="7" t="n">
        <v>-0.333730565318438</v>
      </c>
      <c r="LC10" s="7" t="n">
        <v>0.902293935765569</v>
      </c>
      <c r="LD10" s="7" t="n">
        <v>0.9088041463233389</v>
      </c>
      <c r="LE10" s="7" t="n">
        <v>-1.68979600657447</v>
      </c>
      <c r="LF10" s="7" t="n">
        <v>0.87636400659647</v>
      </c>
      <c r="LG10" s="7" t="n">
        <v>-0.0779507804751524</v>
      </c>
      <c r="LH10" s="7" t="n">
        <v>0.346251890309387</v>
      </c>
      <c r="LI10" s="7" t="n">
        <v>1.12998801822028</v>
      </c>
      <c r="LJ10" s="7" t="n">
        <v>1.40876269103012</v>
      </c>
      <c r="LK10" s="7" t="n">
        <v>1.18625008358976</v>
      </c>
      <c r="LL10" s="7" t="n">
        <v>0.60987942703096</v>
      </c>
      <c r="LM10" s="7" t="n">
        <v>-1.47851344332443</v>
      </c>
      <c r="LN10" s="7" t="n">
        <v>-0.351446795623831</v>
      </c>
      <c r="LO10" s="7" t="n">
        <v>0.0408281703358457</v>
      </c>
      <c r="LP10" s="7" t="n">
        <v>-0.552020832814166</v>
      </c>
      <c r="LQ10" s="7" t="n">
        <v>-0.274960788779435</v>
      </c>
      <c r="LR10" s="7" t="n">
        <v>0.860342005530837</v>
      </c>
      <c r="LS10" s="7" t="n">
        <v>-0.290700132470435</v>
      </c>
      <c r="LT10" s="7" t="n">
        <v>-1.10923282729089</v>
      </c>
      <c r="LU10" s="7" t="n">
        <v>0.781601670534579</v>
      </c>
      <c r="LV10" s="7" t="n">
        <v>1.55028104665061</v>
      </c>
      <c r="LW10" s="7" t="n">
        <v>0.741280603909078</v>
      </c>
      <c r="LX10" s="7" t="n">
        <v>0.930477600408794</v>
      </c>
      <c r="LY10" s="7" t="n">
        <v>-1.4812091293413</v>
      </c>
      <c r="LZ10" s="7" t="n">
        <v>1.08189795048431</v>
      </c>
      <c r="MA10" s="7" t="n">
        <v>0.935746316384791</v>
      </c>
      <c r="MB10" s="7" t="n">
        <v>-1.62727234315087</v>
      </c>
      <c r="MC10" s="7" t="n">
        <v>-1.52585532010295</v>
      </c>
      <c r="MD10" s="7" t="n">
        <v>-0.393053806062689</v>
      </c>
      <c r="ME10" s="7" t="n">
        <v>-1.87502055942795</v>
      </c>
      <c r="MF10" s="7" t="n">
        <v>0.154304092063922</v>
      </c>
      <c r="MG10" s="7" t="n">
        <v>0.09696706194739731</v>
      </c>
      <c r="MH10" s="7" t="n">
        <v>0.805005830601197</v>
      </c>
      <c r="MI10" s="7" t="n">
        <v>0.511776197697588</v>
      </c>
      <c r="MJ10" s="7" t="n">
        <v>-1.32133397475659</v>
      </c>
      <c r="MK10" s="7" t="n">
        <v>1.30430055387198</v>
      </c>
      <c r="ML10" s="7" t="n">
        <v>1.41308370433939</v>
      </c>
      <c r="MM10" s="7" t="n">
        <v>0.0055160472358498</v>
      </c>
      <c r="MN10" s="7" t="n">
        <v>-1.03168386702519</v>
      </c>
      <c r="MO10" s="7" t="n">
        <v>1.06372173532057</v>
      </c>
      <c r="MP10" s="7" t="n">
        <v>0.90161915430494</v>
      </c>
      <c r="MQ10" s="7" t="n">
        <v>2.12297720803019</v>
      </c>
      <c r="MR10" s="7" t="n">
        <v>-0.254367938297807</v>
      </c>
      <c r="MS10" s="7" t="n">
        <v>-0.245846643668213</v>
      </c>
      <c r="MT10" s="7" t="n">
        <v>-1.05537322746203</v>
      </c>
      <c r="MU10" s="7" t="n">
        <v>0.821561904520051</v>
      </c>
      <c r="MV10" s="7" t="n">
        <v>-0.370536269440126</v>
      </c>
      <c r="MW10" s="7" t="n">
        <v>-0.443790059836918</v>
      </c>
      <c r="MX10" s="7" t="n">
        <v>0.0756841126241966</v>
      </c>
      <c r="MY10" s="7" t="n">
        <v>0.641488681070471</v>
      </c>
      <c r="MZ10" s="7" t="n">
        <v>-1.13658204835258</v>
      </c>
      <c r="NA10" s="7" t="n">
        <v>-0.680755901879915</v>
      </c>
      <c r="NB10" s="7" t="n">
        <v>0.571298235316431</v>
      </c>
      <c r="NC10" s="7" t="n">
        <v>2.04442199293845</v>
      </c>
      <c r="ND10" s="7" t="n">
        <v>0.343105136702175</v>
      </c>
      <c r="NE10" s="7" t="n">
        <v>0.160717222377742</v>
      </c>
      <c r="NF10" s="7" t="n">
        <v>0.749372367300848</v>
      </c>
      <c r="NG10" s="7" t="n">
        <v>-0.844189243227597</v>
      </c>
      <c r="NH10" s="7" t="n">
        <v>1.345895117943</v>
      </c>
      <c r="NI10" s="7" t="n">
        <v>1.07004096995096</v>
      </c>
      <c r="NJ10" s="7" t="n">
        <v>-0.0263408689831289</v>
      </c>
      <c r="NK10" s="7" t="n">
        <v>-0.890009197951462</v>
      </c>
      <c r="NL10" s="7" t="n">
        <v>-0.506498729094469</v>
      </c>
      <c r="NM10" s="7" t="n">
        <v>1.82545864338743</v>
      </c>
      <c r="NN10" s="7" t="n">
        <v>0.5051019317705669</v>
      </c>
      <c r="NO10" s="7" t="n">
        <v>-1.14214097422276</v>
      </c>
      <c r="NP10" s="7" t="n">
        <v>1.16460287320807</v>
      </c>
      <c r="NQ10" s="7" t="n">
        <v>0.6479084266017821</v>
      </c>
      <c r="NR10" s="7" t="n">
        <v>-0.459190671050797</v>
      </c>
      <c r="NS10" s="7" t="n">
        <v>-1.04872286312907</v>
      </c>
      <c r="NT10" s="7" t="n">
        <v>1.50872067147842</v>
      </c>
      <c r="NU10" s="7" t="n">
        <v>-0.202081963853804</v>
      </c>
      <c r="NV10" s="7" t="n">
        <v>-0.178876651260668</v>
      </c>
      <c r="NW10" s="7" t="n">
        <v>-0.389174844486042</v>
      </c>
      <c r="NX10" s="7" t="n">
        <v>-0.0567741242424467</v>
      </c>
      <c r="NY10" s="7" t="n">
        <v>-0.167560452513703</v>
      </c>
      <c r="NZ10" s="7" t="n">
        <v>1.35297901262935</v>
      </c>
      <c r="OA10" s="7" t="n">
        <v>1.68877598360638</v>
      </c>
      <c r="OB10" s="7" t="n">
        <v>1.35786453781137</v>
      </c>
      <c r="OC10" s="7" t="n">
        <v>1.51009383867832</v>
      </c>
      <c r="OD10" s="7" t="n">
        <v>-0.100271731745595</v>
      </c>
      <c r="OE10" s="7" t="n">
        <v>-0.250162287938548</v>
      </c>
      <c r="OF10" s="7" t="n">
        <v>0.51293948769424</v>
      </c>
      <c r="OG10" s="7" t="n">
        <v>2.30520187026995</v>
      </c>
      <c r="OH10" s="7" t="n">
        <v>-1.93217281516521</v>
      </c>
      <c r="OI10" s="7" t="n">
        <v>-0.251443873617959</v>
      </c>
      <c r="OJ10" s="7" t="n">
        <v>0.722919543395565</v>
      </c>
      <c r="OK10" s="7" t="n">
        <v>0.342779244075768</v>
      </c>
      <c r="OL10" s="7" t="n">
        <v>1.21638577982483</v>
      </c>
      <c r="OM10" s="7" t="n">
        <v>-0.232727296789464</v>
      </c>
      <c r="ON10" s="7" t="n">
        <v>0.793493413680692</v>
      </c>
      <c r="OO10" s="7" t="n">
        <v>0.127888076132381</v>
      </c>
      <c r="OP10" s="7" t="n">
        <v>-0.779178752654144</v>
      </c>
      <c r="OQ10" s="7" t="n">
        <v>1.52646677762915</v>
      </c>
      <c r="OR10" s="7" t="n">
        <v>1.54461398848536</v>
      </c>
      <c r="OS10" s="7" t="n">
        <v>-0.0106840889035117</v>
      </c>
      <c r="OT10" s="7" t="n">
        <v>-1.65039663758488</v>
      </c>
      <c r="OU10" s="7" t="n">
        <v>-0.776345116567256</v>
      </c>
      <c r="OV10" s="7" t="n">
        <v>-0.48618101671634</v>
      </c>
      <c r="OW10" s="7" t="n">
        <v>-0.165862119377459</v>
      </c>
      <c r="OX10" s="7" t="n">
        <v>-1.479193204265</v>
      </c>
      <c r="OY10" s="7" t="n">
        <v>0.863973861196194</v>
      </c>
      <c r="OZ10" s="7" t="n">
        <v>0.602322745573566</v>
      </c>
      <c r="PA10" s="7" t="n">
        <v>1.03946417553188</v>
      </c>
      <c r="PB10" s="7" t="n">
        <v>1.44142913335632</v>
      </c>
      <c r="PC10" s="7" t="n">
        <v>0.793930212376479</v>
      </c>
      <c r="PD10" s="7" t="n">
        <v>0.366947381943342</v>
      </c>
      <c r="PE10" s="7" t="n">
        <v>1.92212461853387</v>
      </c>
      <c r="PF10" s="7" t="n">
        <v>-0.768020208749258</v>
      </c>
      <c r="PG10" s="7" t="n">
        <v>0.0294535229523342</v>
      </c>
      <c r="PH10" s="7" t="n">
        <v>0.439614833361293</v>
      </c>
      <c r="PI10" s="7" t="n">
        <v>0.237919693927919</v>
      </c>
      <c r="PJ10" s="7" t="n">
        <v>0.0782400207507135</v>
      </c>
      <c r="PK10" s="7" t="n">
        <v>1.12891579748598</v>
      </c>
      <c r="PL10" s="7" t="n">
        <v>-1.66891523286457</v>
      </c>
      <c r="PM10" s="7" t="n">
        <v>0.713730495478834</v>
      </c>
      <c r="PN10" s="7" t="n">
        <v>0.0612879887361184</v>
      </c>
      <c r="PO10" s="7" t="n">
        <v>0.565341913349796</v>
      </c>
      <c r="PP10" s="7" t="n">
        <v>-0.855196560356635</v>
      </c>
      <c r="PQ10" s="7" t="n">
        <v>-0.577291959434483</v>
      </c>
      <c r="PR10" s="7" t="n">
        <v>-0.572153515480894</v>
      </c>
      <c r="PS10" s="7" t="n">
        <v>0.311509525631076</v>
      </c>
      <c r="PT10" s="7" t="n">
        <v>1.24438443675838</v>
      </c>
      <c r="PU10" s="7" t="n">
        <v>-0.63527768269067</v>
      </c>
      <c r="PV10" s="7" t="n">
        <v>0.103565156155778</v>
      </c>
      <c r="PW10" s="7" t="n">
        <v>0.8870795829964671</v>
      </c>
      <c r="PX10" s="7" t="n">
        <v>-1.61384485270247</v>
      </c>
      <c r="PY10" s="7" t="n">
        <v>0.355287119716274</v>
      </c>
      <c r="PZ10" s="7" t="n">
        <v>0.153282965702878</v>
      </c>
      <c r="QA10" s="7" t="n">
        <v>-0.775434596724829</v>
      </c>
      <c r="QB10" s="7" t="n">
        <v>2.42504315271083</v>
      </c>
      <c r="QC10" s="7" t="n">
        <v>0.167267367220639</v>
      </c>
      <c r="QD10" s="7" t="n">
        <v>-0.589781091949347</v>
      </c>
      <c r="QE10" s="7" t="n">
        <v>1.14504539374742</v>
      </c>
      <c r="QF10" s="7" t="n">
        <v>-0.506370634507341</v>
      </c>
      <c r="QG10" s="7" t="n">
        <v>-2.221601865366</v>
      </c>
      <c r="QH10" s="7" t="n">
        <v>-1.21113533490971</v>
      </c>
      <c r="QI10" s="7" t="n">
        <v>1.47637132883647</v>
      </c>
      <c r="QJ10" s="7" t="n">
        <v>-0.868828808929859</v>
      </c>
      <c r="QK10" s="7" t="n">
        <v>-0.738713774534634</v>
      </c>
      <c r="QL10" s="7" t="n">
        <v>-0.750815138575751</v>
      </c>
      <c r="QM10" s="7" t="n">
        <v>1.13530841083535</v>
      </c>
      <c r="QN10" s="7" t="n">
        <v>-1.88849092432018</v>
      </c>
      <c r="QO10" s="7" t="n">
        <v>1.16114625543625</v>
      </c>
      <c r="QP10" s="7" t="n">
        <v>-0.919876036113363</v>
      </c>
      <c r="QQ10" s="7" t="n">
        <v>-0.435622404577976</v>
      </c>
      <c r="QR10" s="7" t="n">
        <v>0.108386672358842</v>
      </c>
      <c r="QS10" s="7" t="n">
        <v>-0.676500776629805</v>
      </c>
      <c r="QT10" s="7" t="n">
        <v>0.240261919371417</v>
      </c>
      <c r="QU10" s="7" t="n">
        <v>0.159743567189666</v>
      </c>
      <c r="QV10" s="7" t="n">
        <v>0.619847141414988</v>
      </c>
      <c r="QW10" s="7" t="n">
        <v>-1.11876866541395</v>
      </c>
      <c r="QX10" s="7" t="n">
        <v>0.364259392579647</v>
      </c>
      <c r="QY10" s="7" t="n">
        <v>0.14639900594693</v>
      </c>
      <c r="QZ10" s="7" t="n">
        <v>-0.285689757112499</v>
      </c>
      <c r="RA10" s="7" t="n">
        <v>-1.68238614101505</v>
      </c>
      <c r="RB10" s="7" t="n">
        <v>-0.380015028042576</v>
      </c>
      <c r="RC10" s="7" t="n">
        <v>-1.00174875696072</v>
      </c>
      <c r="RD10" s="7" t="n">
        <v>1.06648959465078</v>
      </c>
      <c r="RE10" s="7" t="n">
        <v>0.0231075086646544</v>
      </c>
      <c r="RF10" s="7" t="n">
        <v>-0.270773232971351</v>
      </c>
      <c r="RG10" s="7" t="n">
        <v>-1.35982424963991</v>
      </c>
      <c r="RH10" s="7" t="n">
        <v>1.11061062556201</v>
      </c>
      <c r="RI10" s="7" t="n">
        <v>0.4001531027885</v>
      </c>
      <c r="RJ10" s="7" t="n">
        <v>-0.9992981579069981</v>
      </c>
      <c r="RK10" s="7" t="n">
        <v>-1.72689172603977</v>
      </c>
      <c r="RL10" s="7" t="n">
        <v>-0.398332231657918</v>
      </c>
      <c r="RM10" s="7" t="n">
        <v>0.769290532076662</v>
      </c>
      <c r="RN10" s="7" t="n">
        <v>1.58106703646393</v>
      </c>
      <c r="RO10" s="7" t="n">
        <v>1.57089261393915</v>
      </c>
      <c r="RP10" s="7" t="n">
        <v>-0.122706636582789</v>
      </c>
      <c r="RQ10" s="7" t="n">
        <v>1.20053131452574</v>
      </c>
      <c r="RR10" s="7" t="n">
        <v>-0.0231796984059647</v>
      </c>
      <c r="RS10" s="7" t="n">
        <v>0.793716187724089</v>
      </c>
      <c r="RT10" s="7" t="n">
        <v>0.258459987334145</v>
      </c>
      <c r="RU10" s="7" t="n">
        <v>-0.610152926499962</v>
      </c>
      <c r="RV10" s="7" t="n">
        <v>-1.18352269380754</v>
      </c>
      <c r="RW10" s="7" t="n">
        <v>0.25613248364238</v>
      </c>
      <c r="RX10" s="7" t="n">
        <v>-0.0143409085802314</v>
      </c>
      <c r="RY10" s="7" t="n">
        <v>1.0572637862787</v>
      </c>
      <c r="RZ10" s="7" t="n">
        <v>-0.97804493357804</v>
      </c>
      <c r="SA10" s="7" t="n">
        <v>0.0477707206604047</v>
      </c>
      <c r="SB10" s="7" t="n">
        <v>0.293529030503517</v>
      </c>
      <c r="SC10" s="7" t="n">
        <v>-0.541699736678615</v>
      </c>
      <c r="SD10" s="7" t="n">
        <v>0.126891193247781</v>
      </c>
      <c r="SE10" s="7" t="n">
        <v>-0.37927943029564</v>
      </c>
      <c r="SF10" s="7" t="n">
        <v>-0.9833795397302449</v>
      </c>
      <c r="SG10" s="7" t="n">
        <v>1.00688831172477</v>
      </c>
      <c r="SH10" s="7" t="n">
        <v>0.230999155983072</v>
      </c>
      <c r="SI10" s="7" t="n">
        <v>1.20987747451536</v>
      </c>
      <c r="SJ10" s="7" t="n">
        <v>0.905566792958806</v>
      </c>
      <c r="SK10" s="7" t="n">
        <v>-0.0358909880921963</v>
      </c>
      <c r="SL10" s="7" t="n">
        <v>-0.8059289624663269</v>
      </c>
      <c r="SM10" s="7" t="n">
        <v>1.04227136175597</v>
      </c>
      <c r="SN10" s="7" t="n">
        <v>-0.728790872175506</v>
      </c>
      <c r="SO10" s="7" t="n">
        <v>1.23443603412683</v>
      </c>
      <c r="SP10" s="7" t="n">
        <v>-0.632669836102756</v>
      </c>
      <c r="SQ10" s="7" t="n">
        <v>1.34480054828017</v>
      </c>
      <c r="SR10" s="7" t="n">
        <v>0.525738831508905</v>
      </c>
      <c r="SS10" s="7" t="n">
        <v>-0.154152482295507</v>
      </c>
      <c r="ST10" s="7" t="n">
        <v>1.42353865625528</v>
      </c>
      <c r="SU10" s="7" t="n">
        <v>0.304644505682594</v>
      </c>
      <c r="SV10" s="7" t="n">
        <v>0.997244334355766</v>
      </c>
      <c r="SW10" s="7" t="n">
        <v>0.145294148351873</v>
      </c>
      <c r="SX10" s="7" t="n">
        <v>0.165321417486322</v>
      </c>
      <c r="SY10" s="7" t="n">
        <v>-1.50818324629405</v>
      </c>
      <c r="SZ10" s="7" t="n">
        <v>-1.89170007689433</v>
      </c>
      <c r="TA10" s="7" t="n">
        <v>2.94384237748909</v>
      </c>
      <c r="TB10" s="7" t="n">
        <v>-0.765882308832179</v>
      </c>
      <c r="TC10" s="7" t="n">
        <v>0.226744088836588</v>
      </c>
      <c r="TD10" s="7" t="n">
        <v>-0.09833044634509221</v>
      </c>
      <c r="TE10" s="7" t="n">
        <v>-1.30145241313122</v>
      </c>
      <c r="TF10" s="7" t="n">
        <v>-1.27635074029156</v>
      </c>
      <c r="TG10" s="7" t="n">
        <v>0.426383306700555</v>
      </c>
      <c r="TH10" s="7" t="n">
        <v>-0.0158420195832253</v>
      </c>
      <c r="TI10" s="7" t="n">
        <v>-0.104560711626025</v>
      </c>
      <c r="TJ10" s="7" t="n">
        <v>-0.563849611357635</v>
      </c>
      <c r="TK10" s="7" t="n">
        <v>-0.737403854970617</v>
      </c>
      <c r="TL10" s="7" t="n">
        <v>0.575651233557864</v>
      </c>
      <c r="TM10" s="7" t="n">
        <v>0.333831516448151</v>
      </c>
      <c r="TN10" s="7" t="n">
        <v>-0.89988448726482</v>
      </c>
      <c r="TO10" s="7" t="n">
        <v>0.142414792246941</v>
      </c>
      <c r="TP10" s="7" t="n">
        <v>-0.280031752960642</v>
      </c>
      <c r="TQ10" s="7" t="n">
        <v>0.702062660321442</v>
      </c>
      <c r="TR10" s="7" t="n">
        <v>1.69301064372132</v>
      </c>
      <c r="TS10" s="7" t="n">
        <v>-0.459324364326981</v>
      </c>
      <c r="TT10" s="7" t="n">
        <v>0.383854281888376</v>
      </c>
      <c r="TU10" s="7" t="n">
        <v>1.0588342437806</v>
      </c>
      <c r="TV10" s="7" t="n">
        <v>-1.56561843279431</v>
      </c>
      <c r="TW10" s="7" t="n">
        <v>-0.202500914854676</v>
      </c>
      <c r="TX10" s="7" t="n">
        <v>1.00955540739755</v>
      </c>
      <c r="TY10" s="7" t="n">
        <v>0.120013552057415</v>
      </c>
      <c r="TZ10" s="7" t="n">
        <v>0.0280093441459398</v>
      </c>
      <c r="UA10" s="7" t="n">
        <v>0.360368061254223</v>
      </c>
      <c r="UB10" s="7" t="n">
        <v>-0.0017104710319657</v>
      </c>
      <c r="UC10" s="7" t="n">
        <v>1.4634788382286</v>
      </c>
      <c r="UD10" s="7" t="n">
        <v>1.50510680560994</v>
      </c>
      <c r="UE10" s="7" t="n">
        <v>1.11953376862872</v>
      </c>
      <c r="UF10" s="7" t="n">
        <v>-0.449212198112891</v>
      </c>
      <c r="UG10" s="7" t="n">
        <v>0.85910155974542</v>
      </c>
      <c r="UH10" s="7" t="n">
        <v>0.143316319660775</v>
      </c>
      <c r="UI10" s="7" t="n">
        <v>-0.519964159010504</v>
      </c>
      <c r="UJ10" s="7" t="n">
        <v>-0.9552075307086469</v>
      </c>
      <c r="UK10" s="7" t="n">
        <v>0.22768795975747</v>
      </c>
      <c r="UL10" s="7" t="n">
        <v>0.512402119637919</v>
      </c>
      <c r="UM10" s="7" t="n">
        <v>-0.29793717104222</v>
      </c>
      <c r="UN10" s="7" t="n">
        <v>0.631683544046083</v>
      </c>
      <c r="UO10" s="7" t="n">
        <v>-0.6612985611736401</v>
      </c>
      <c r="UP10" s="7" t="n">
        <v>-2.09223534635583</v>
      </c>
      <c r="UQ10" s="7" t="n">
        <v>-0.331854702068342</v>
      </c>
      <c r="UR10" s="7" t="n">
        <v>-0.9028290118508771</v>
      </c>
      <c r="US10" s="7" t="n">
        <v>-0.80796690041145</v>
      </c>
      <c r="UT10" s="7" t="n">
        <v>-0.848070774217575</v>
      </c>
      <c r="UU10" s="7" t="n">
        <v>-0.880373504220506</v>
      </c>
      <c r="UV10" s="7" t="n">
        <v>0.575250350237181</v>
      </c>
      <c r="UW10" s="7" t="n">
        <v>0.07987559817692901</v>
      </c>
      <c r="UX10" s="7" t="n">
        <v>-2.95587668592309</v>
      </c>
      <c r="UY10" s="7" t="n">
        <v>0.305379657697649</v>
      </c>
      <c r="UZ10" s="7" t="n">
        <v>0.398506179423352</v>
      </c>
      <c r="VA10" s="7" t="n">
        <v>0.810126541496241</v>
      </c>
      <c r="VB10" s="7" t="n">
        <v>0.835151049681636</v>
      </c>
      <c r="VC10" s="7" t="n">
        <v>-1.61729227932108</v>
      </c>
      <c r="VD10" s="7" t="n">
        <v>-0.564702199237346</v>
      </c>
      <c r="VE10" s="7" t="n">
        <v>0.0186939631565138</v>
      </c>
      <c r="VF10" s="7" t="n">
        <v>0.0017638971392235</v>
      </c>
      <c r="VG10" s="7" t="n">
        <v>0.651659818935991</v>
      </c>
      <c r="VH10" s="7" t="n">
        <v>0.288954508260991</v>
      </c>
      <c r="VI10" s="7" t="n">
        <v>-0.373220148695754</v>
      </c>
      <c r="VJ10" s="7" t="n">
        <v>-1.67476506548147</v>
      </c>
      <c r="VK10" s="7" t="n">
        <v>0.336919558657555</v>
      </c>
      <c r="VL10" s="7" t="n">
        <v>-0.7501897409161959</v>
      </c>
      <c r="VM10" s="7" t="n">
        <v>-0.789308096112759</v>
      </c>
      <c r="VN10" s="7" t="n">
        <v>-0.979106857449251</v>
      </c>
      <c r="VO10" s="7" t="n">
        <v>-1.40672686470447</v>
      </c>
      <c r="VP10" s="7" t="n">
        <v>-0.187992122858478</v>
      </c>
      <c r="VQ10" s="7" t="n">
        <v>-0.527423610699693</v>
      </c>
      <c r="VR10" s="7" t="n">
        <v>0.834894829076351</v>
      </c>
      <c r="VS10" s="7" t="n">
        <v>0.0102609333348964</v>
      </c>
      <c r="VT10" s="7" t="n">
        <v>-1.1918603740974</v>
      </c>
      <c r="VU10" s="7" t="n">
        <v>-1.06922741032889</v>
      </c>
      <c r="VV10" s="7" t="n">
        <v>-1.37519772215318</v>
      </c>
      <c r="VW10" s="7" t="n">
        <v>1.75049108894329</v>
      </c>
      <c r="VX10" s="7" t="n">
        <v>2.36705326772546</v>
      </c>
      <c r="VY10" s="7" t="n">
        <v>-1.43056675414539</v>
      </c>
      <c r="VZ10" s="7" t="n">
        <v>-0.936764912602739</v>
      </c>
      <c r="WA10" s="7" t="n">
        <v>0.8804294835476419</v>
      </c>
      <c r="WB10" s="7" t="n">
        <v>0.94882120949351</v>
      </c>
      <c r="WC10" s="7" t="n">
        <v>-0.566058992769411</v>
      </c>
      <c r="WD10" s="7" t="n">
        <v>0.614618506550105</v>
      </c>
      <c r="WE10" s="7" t="n">
        <v>0.8355488051048729</v>
      </c>
      <c r="WF10" s="7" t="n">
        <v>-0.267041400573069</v>
      </c>
      <c r="WG10" s="7" t="n">
        <v>0.545458471207847</v>
      </c>
      <c r="WH10" s="7" t="n">
        <v>-0.115212397090065</v>
      </c>
      <c r="WI10" s="7" t="n">
        <v>0.644599451161378</v>
      </c>
      <c r="WJ10" s="7" t="n">
        <v>0.124999811364726</v>
      </c>
      <c r="WK10" s="7" t="n">
        <v>0.847487492259146</v>
      </c>
      <c r="WL10" s="7" t="n">
        <v>0.372841095164653</v>
      </c>
      <c r="WM10" s="7" t="n">
        <v>-0.376736461542644</v>
      </c>
      <c r="WN10" s="7" t="n">
        <v>0.0912058616521987</v>
      </c>
      <c r="WO10" s="7" t="n">
        <v>-0.19619013492762</v>
      </c>
      <c r="WP10" s="7" t="n">
        <v>-0.846310182583927</v>
      </c>
      <c r="WQ10" s="7" t="n">
        <v>-0.08569211083631199</v>
      </c>
      <c r="WR10" s="7" t="n">
        <v>-0.608840318190455</v>
      </c>
      <c r="WS10" s="7" t="n">
        <v>-0.627119680806053</v>
      </c>
      <c r="WT10" s="7" t="n">
        <v>0.620131802406518</v>
      </c>
      <c r="WU10" s="7" t="n">
        <v>-0.415600292684891</v>
      </c>
      <c r="WV10" s="7" t="n">
        <v>-0.523439400711166</v>
      </c>
      <c r="WW10" s="7" t="n">
        <v>0.653478645921586</v>
      </c>
      <c r="WX10" s="7" t="n">
        <v>0.587489542758047</v>
      </c>
      <c r="WY10" s="7" t="n">
        <v>-0.234988953971979</v>
      </c>
      <c r="WZ10" s="7" t="n">
        <v>0.27258031745456</v>
      </c>
      <c r="XA10" s="7" t="n">
        <v>1.08691420270512</v>
      </c>
      <c r="XB10" s="7" t="n">
        <v>0.182838553118245</v>
      </c>
      <c r="XC10" s="7" t="n">
        <v>0.0139640324280681</v>
      </c>
      <c r="XD10" s="7" t="n">
        <v>-0.289502494982585</v>
      </c>
      <c r="XE10" s="7" t="n">
        <v>0.0854956192051336</v>
      </c>
      <c r="XF10" s="7" t="n">
        <v>-0.08269742689664181</v>
      </c>
      <c r="XG10" s="7" t="n">
        <v>-0.195271593373807</v>
      </c>
      <c r="XH10" s="7" t="n">
        <v>1.14595286598395</v>
      </c>
      <c r="XI10" s="7" t="n">
        <v>-0.0793870000045124</v>
      </c>
      <c r="XJ10" s="7" t="n">
        <v>-1.30390716394825</v>
      </c>
      <c r="XK10" s="7" t="n">
        <v>1.91913262298922</v>
      </c>
      <c r="XL10" s="7" t="n">
        <v>1.42136767751386</v>
      </c>
      <c r="XM10" s="7" t="n">
        <v>-0.840667497920913</v>
      </c>
      <c r="XN10" s="7" t="n">
        <v>-1.05616105780678</v>
      </c>
      <c r="XO10" s="7" t="n">
        <v>1.2914127222797</v>
      </c>
      <c r="XP10" s="7" t="n">
        <v>-0.607628419538316</v>
      </c>
      <c r="XQ10" s="7" t="n">
        <v>-2.52891950975248</v>
      </c>
      <c r="XR10" s="7" t="n">
        <v>1.16433668980043</v>
      </c>
      <c r="XS10" s="7" t="n">
        <v>1.05148747213874</v>
      </c>
      <c r="XT10" s="7" t="n">
        <v>1.57172925322268</v>
      </c>
      <c r="XU10" s="7" t="n">
        <v>-0.38018650392037</v>
      </c>
      <c r="XV10" s="7" t="n">
        <v>0.680900670950073</v>
      </c>
      <c r="XW10" s="7" t="n">
        <v>0.524971840639567</v>
      </c>
      <c r="XX10" s="7" t="n">
        <v>0.0012429557635275</v>
      </c>
      <c r="XY10" s="7" t="n">
        <v>0.316737327043937</v>
      </c>
      <c r="XZ10" s="7" t="n">
        <v>0.468199700709886</v>
      </c>
      <c r="YA10" s="7" t="n">
        <v>-0.0239687784277215</v>
      </c>
      <c r="YB10" s="7" t="n">
        <v>0.169301882898655</v>
      </c>
      <c r="YC10" s="7" t="n">
        <v>0.133642369976634</v>
      </c>
      <c r="YD10" s="7" t="n">
        <v>-2.32596602605767</v>
      </c>
      <c r="YE10" s="7" t="n">
        <v>0.685327516096935</v>
      </c>
      <c r="YF10" s="7" t="n">
        <v>2.37125810018742</v>
      </c>
      <c r="YG10" s="7" t="n">
        <v>-0.742426203388392</v>
      </c>
      <c r="YH10" s="7" t="n">
        <v>-1.99061484801773</v>
      </c>
      <c r="YI10" s="7" t="n">
        <v>-0.928254364750437</v>
      </c>
      <c r="YJ10" s="7" t="n">
        <v>0.914362845873836</v>
      </c>
      <c r="YK10" s="7" t="n">
        <v>0.357601890212564</v>
      </c>
      <c r="YL10" s="7" t="n">
        <v>-0.25142890412664</v>
      </c>
      <c r="YM10" s="7" t="n">
        <v>-2.08965989566064</v>
      </c>
      <c r="YN10" s="7" t="n">
        <v>0.935210469337433</v>
      </c>
      <c r="YO10" s="7" t="n">
        <v>-0.865450879084452</v>
      </c>
      <c r="YP10" s="7" t="n">
        <v>1.67713494530171</v>
      </c>
      <c r="YQ10" s="7" t="n">
        <v>-1.99882600392948</v>
      </c>
      <c r="YR10" s="7" t="n">
        <v>-0.5143776503148479</v>
      </c>
      <c r="YS10" s="7" t="n">
        <v>-0.0861813783058019</v>
      </c>
      <c r="YT10" s="7" t="n">
        <v>1.89690684299484</v>
      </c>
      <c r="YU10" s="7" t="n">
        <v>1.46589833546033</v>
      </c>
      <c r="YV10" s="7" t="n">
        <v>0.103673926783034</v>
      </c>
      <c r="YW10" s="7" t="n">
        <v>-0.591626798965266</v>
      </c>
      <c r="YX10" s="7" t="n">
        <v>1.60023320845458</v>
      </c>
      <c r="YY10" s="7" t="n">
        <v>-0.282445308732585</v>
      </c>
      <c r="YZ10" s="7" t="n">
        <v>1.3495765104401</v>
      </c>
      <c r="ZA10" s="7" t="n">
        <v>1.0330227188128</v>
      </c>
      <c r="ZB10" s="7" t="n">
        <v>1.71126602798336</v>
      </c>
      <c r="ZC10" s="7" t="n">
        <v>-0.280456715749197</v>
      </c>
      <c r="ZD10" s="7" t="n">
        <v>-0.277263084864764</v>
      </c>
      <c r="ZE10" s="7" t="n">
        <v>-0.9622641600812381</v>
      </c>
      <c r="ZF10" s="7" t="n">
        <v>-0.377243338723432</v>
      </c>
      <c r="ZG10" s="7" t="n">
        <v>1.12130078390238</v>
      </c>
      <c r="ZH10" s="7" t="n">
        <v>-0.174733989434203</v>
      </c>
      <c r="ZI10" s="7" t="n">
        <v>-0.92250091533361</v>
      </c>
      <c r="ZJ10" s="7" t="n">
        <v>0.337361924186113</v>
      </c>
      <c r="ZK10" s="7" t="n">
        <v>0.740942853268995</v>
      </c>
      <c r="ZL10" s="7" t="n">
        <v>-1.65449251165646</v>
      </c>
      <c r="ZM10" s="7" t="n">
        <v>1.92897508783481</v>
      </c>
      <c r="ZN10" s="7" t="n">
        <v>0.100908735874873</v>
      </c>
      <c r="ZO10" s="7" t="n">
        <v>0.71051239923593</v>
      </c>
      <c r="ZP10" s="7" t="n">
        <v>-0.116542499210175</v>
      </c>
      <c r="ZQ10" s="7" t="n">
        <v>-1.19189997345654</v>
      </c>
      <c r="ZR10" s="7" t="n">
        <v>-0.400317577505634</v>
      </c>
      <c r="ZS10" s="7" t="n">
        <v>-1.02698326126785</v>
      </c>
      <c r="ZT10" s="7" t="n">
        <v>0.395297729902512</v>
      </c>
      <c r="ZU10" s="7" t="n">
        <v>-1.37694228623254</v>
      </c>
      <c r="ZV10" s="7" t="n">
        <v>-0.190482514166593</v>
      </c>
      <c r="ZW10" s="7" t="n">
        <v>-0.54032762545456</v>
      </c>
      <c r="ZX10" s="7" t="n">
        <v>0.529800464309887</v>
      </c>
      <c r="ZY10" s="7" t="n">
        <v>0.0623323869694056</v>
      </c>
      <c r="ZZ10" s="7" t="n">
        <v>0.542460282233334</v>
      </c>
      <c r="AAA10" s="7" t="n">
        <v>-1.3055939494237</v>
      </c>
      <c r="AAB10" s="7" t="n">
        <v>-0.933709369542762</v>
      </c>
      <c r="AAC10" s="7" t="n">
        <v>-1.0572399480725</v>
      </c>
      <c r="AAD10" s="7" t="n">
        <v>-0.367220737876386</v>
      </c>
      <c r="AAE10" s="7" t="n">
        <v>-0.249917345297152</v>
      </c>
      <c r="AAF10" s="7" t="n">
        <v>-0.368541460525533</v>
      </c>
      <c r="AAG10" s="7" t="n">
        <v>0.27362896143118</v>
      </c>
      <c r="AAH10" s="7" t="n">
        <v>-1.18965936739061</v>
      </c>
      <c r="AAI10" s="7" t="n">
        <v>-0.0181953435423449</v>
      </c>
      <c r="AAJ10" s="7" t="n">
        <v>-1.28711701564129</v>
      </c>
      <c r="AAK10" s="7" t="n">
        <v>-1.01931646665879</v>
      </c>
      <c r="AAL10" s="7" t="n">
        <v>0.884384743668124</v>
      </c>
      <c r="AAM10" s="7" t="n">
        <v>-0.198866167646108</v>
      </c>
      <c r="AAN10" s="7" t="n">
        <v>-1.03091514799341</v>
      </c>
      <c r="AAO10" s="7" t="n">
        <v>-0.293393452031655</v>
      </c>
      <c r="AAP10" s="7" t="n">
        <v>0.743817775479178</v>
      </c>
      <c r="AAQ10" s="7" t="n">
        <v>0.897600425129674</v>
      </c>
      <c r="AAR10" s="7" t="n">
        <v>-1.72321610581432</v>
      </c>
      <c r="AAS10" s="7" t="n">
        <v>1.77231244212961</v>
      </c>
      <c r="AAT10" s="7" t="n">
        <v>-1.77563653230246</v>
      </c>
      <c r="AAU10" s="7" t="n">
        <v>-1.28533588614532</v>
      </c>
      <c r="AAV10" s="7" t="n">
        <v>2.02999192724292</v>
      </c>
      <c r="AAW10" s="7" t="n">
        <v>-1.1803824875483</v>
      </c>
      <c r="AAX10" s="7" t="n">
        <v>0.93151968812719</v>
      </c>
      <c r="AAY10" s="7" t="n">
        <v>2.30858237016009</v>
      </c>
      <c r="AAZ10" s="7" t="n">
        <v>1.9963952683323</v>
      </c>
      <c r="ABA10" s="7" t="n">
        <v>0.460357347872992</v>
      </c>
      <c r="ABB10" s="7" t="n">
        <v>2.37614382231178</v>
      </c>
      <c r="ABC10" s="7" t="n">
        <v>-0.278768338482578</v>
      </c>
      <c r="ABD10" s="7" t="n">
        <v>-0.0089686088707258</v>
      </c>
      <c r="ABE10" s="7" t="n">
        <v>-1.03788760638754</v>
      </c>
      <c r="ABF10" s="7" t="n">
        <v>-0.526212597694925</v>
      </c>
      <c r="ABG10" s="7" t="n">
        <v>-0.942660842698465</v>
      </c>
      <c r="ABH10" s="7" t="n">
        <v>-0.862710530630543</v>
      </c>
      <c r="ABI10" s="7" t="n">
        <v>-0.177210892120159</v>
      </c>
      <c r="ABJ10" s="7" t="n">
        <v>-0.324193766309611</v>
      </c>
      <c r="ABK10" s="7" t="n">
        <v>-0.0457637103453656</v>
      </c>
      <c r="ABL10" s="7" t="n">
        <v>-0.620158791631232</v>
      </c>
      <c r="ABM10" s="7" t="n">
        <v>0.153764706712695</v>
      </c>
      <c r="ABN10" s="7" t="n">
        <v>-0.391482707993337</v>
      </c>
      <c r="ABO10" s="7" t="n">
        <v>-1.28871907726729</v>
      </c>
      <c r="ABP10" s="7" t="n">
        <v>-0.455268891639807</v>
      </c>
      <c r="ABQ10" s="7" t="n">
        <v>-0.179323110276601</v>
      </c>
      <c r="ABR10" s="7" t="n">
        <v>-1.46340474793415</v>
      </c>
      <c r="ABS10" s="7" t="n">
        <v>0.954161881068552</v>
      </c>
      <c r="ABT10" s="7" t="n">
        <v>-0.47948542160846</v>
      </c>
      <c r="ABU10" s="7" t="n">
        <v>-1.92642373308268</v>
      </c>
      <c r="ABV10" s="7" t="n">
        <v>1.03151617007579</v>
      </c>
      <c r="ABW10" s="7" t="n">
        <v>1.66095380978064</v>
      </c>
      <c r="ABX10" s="7" t="n">
        <v>0.355270322950342</v>
      </c>
      <c r="ABY10" s="7" t="n">
        <v>0.296023210870472</v>
      </c>
      <c r="ABZ10" s="7" t="n">
        <v>0.568108817296644</v>
      </c>
      <c r="ACA10" s="7" t="n">
        <v>0.404732849558776</v>
      </c>
      <c r="ACB10" s="7" t="n">
        <v>-0.0718355211169245</v>
      </c>
      <c r="ACC10" s="7" t="n">
        <v>-1.49590392811926</v>
      </c>
      <c r="ACD10" s="7" t="n">
        <v>2.41132035339909</v>
      </c>
      <c r="ACE10" s="7" t="n">
        <v>2.14949791226329</v>
      </c>
      <c r="ACF10" s="7" t="n">
        <v>-1.22779846985477</v>
      </c>
      <c r="ACG10" s="7" t="n">
        <v>-0.204064787204126</v>
      </c>
      <c r="ACH10" s="7" t="n">
        <v>2.40851023796537</v>
      </c>
      <c r="ACI10" s="7" t="n">
        <v>-1.00009813569924</v>
      </c>
      <c r="ACJ10" s="7" t="n">
        <v>-0.910331739522558</v>
      </c>
      <c r="ACK10" s="7" t="n">
        <v>0.936783112156449</v>
      </c>
      <c r="ACL10" s="7" t="n">
        <v>-0.93503620080848</v>
      </c>
      <c r="ACM10" s="7" t="n">
        <v>-0.205912459360177</v>
      </c>
      <c r="ACN10" s="7" t="n">
        <v>-1.11846411401707</v>
      </c>
      <c r="ACO10" s="7" t="n">
        <v>-0.328745896649571</v>
      </c>
      <c r="ACP10" s="7" t="n">
        <v>-2.52906255578338</v>
      </c>
      <c r="ACQ10" s="7" t="n">
        <v>0.215198580209497</v>
      </c>
      <c r="ACR10" s="7" t="n">
        <v>-0.073236504297355</v>
      </c>
      <c r="ACS10" s="7" t="n">
        <v>-0.315460011975544</v>
      </c>
      <c r="ACT10" s="7" t="n">
        <v>1.37246441138858</v>
      </c>
      <c r="ACU10" s="7" t="n">
        <v>-1.71178649634418</v>
      </c>
      <c r="ACV10" s="7" t="n">
        <v>-1.58254646420764</v>
      </c>
      <c r="ACW10" s="7" t="n">
        <v>-0.568589898017438</v>
      </c>
      <c r="ACX10" s="7" t="n">
        <v>-0.956942444646686</v>
      </c>
      <c r="ACY10" s="7" t="n">
        <v>0.585961240600497</v>
      </c>
      <c r="ACZ10" s="7" t="n">
        <v>1.64392805799401</v>
      </c>
      <c r="ADA10" s="7" t="n">
        <v>-0.7243539659266039</v>
      </c>
      <c r="ADB10" s="7" t="n">
        <v>-0.281208136988983</v>
      </c>
      <c r="ADC10" s="7" t="n">
        <v>0.10422787334283</v>
      </c>
      <c r="ADD10" s="7" t="n">
        <v>-0.125089676707826</v>
      </c>
      <c r="ADE10" s="7" t="n">
        <v>1.1525961890124</v>
      </c>
      <c r="ADF10" s="7" t="n">
        <v>2.04323478572564</v>
      </c>
      <c r="ADG10" s="7" t="n">
        <v>-0.157374901290969</v>
      </c>
      <c r="ADH10" s="7" t="n">
        <v>-1.21108211182663</v>
      </c>
      <c r="ADI10" s="7" t="n">
        <v>-1.15898932158859</v>
      </c>
      <c r="ADJ10" s="7" t="n">
        <v>1.48579915681203</v>
      </c>
      <c r="ADK10" s="7" t="n">
        <v>-0.21460367477486</v>
      </c>
      <c r="ADL10" s="7" t="n">
        <v>0.912972459813167</v>
      </c>
      <c r="ADM10" s="7" t="n">
        <v>-1.00863820598669</v>
      </c>
      <c r="ADN10" s="7" t="n">
        <v>-0.415690476620112</v>
      </c>
      <c r="ADO10" s="7" t="n">
        <v>0.353837670304151</v>
      </c>
      <c r="ADP10" s="7" t="n">
        <v>-0.618311350713007</v>
      </c>
      <c r="ADQ10" s="7" t="n">
        <v>0.961911095157706</v>
      </c>
      <c r="ADR10" s="7" t="n">
        <v>-0.511706732745361</v>
      </c>
      <c r="ADS10" s="7" t="n">
        <v>2.29134088668738</v>
      </c>
      <c r="ADT10" s="7" t="n">
        <v>2.42776128637585</v>
      </c>
      <c r="ADU10" s="7" t="n">
        <v>-1.86433141773955</v>
      </c>
      <c r="ADV10" s="7" t="n">
        <v>0.200292982997933</v>
      </c>
      <c r="ADW10" s="7" t="n">
        <v>-0.894843566617384</v>
      </c>
      <c r="ADX10" s="7" t="n">
        <v>-0.660212751786196</v>
      </c>
      <c r="ADY10" s="7" t="n">
        <v>-0.0876203291940711</v>
      </c>
      <c r="ADZ10" s="7" t="n">
        <v>0.440874119804536</v>
      </c>
      <c r="AEA10" s="7" t="n">
        <v>-1.56222032084288</v>
      </c>
      <c r="AEB10" s="7" t="n">
        <v>-0.108662914650785</v>
      </c>
      <c r="AEC10" s="7" t="n">
        <v>-0.443662358172546</v>
      </c>
      <c r="AED10" s="7" t="n">
        <v>-0.863117806687985</v>
      </c>
      <c r="AEE10" s="7" t="n">
        <v>2.21081038594639</v>
      </c>
      <c r="AEF10" s="7" t="n">
        <v>-1.53073036971338</v>
      </c>
      <c r="AEG10" s="7" t="n">
        <v>0.335221111920936</v>
      </c>
      <c r="AEH10" s="7" t="n">
        <v>-0.40157992093209</v>
      </c>
      <c r="AEI10" s="7" t="n">
        <v>2.27208399167898</v>
      </c>
      <c r="AEJ10" s="7" t="n">
        <v>-0.660880780844028</v>
      </c>
      <c r="AEK10" s="7" t="n">
        <v>-0.835650340170623</v>
      </c>
      <c r="AEL10" s="7" t="n">
        <v>-0.72831370620799</v>
      </c>
      <c r="AEM10" s="7" t="n">
        <v>-0.141858624814337</v>
      </c>
      <c r="AEN10" s="7" t="n">
        <v>-0.301007109526212</v>
      </c>
      <c r="AEO10" s="7" t="n">
        <v>-0.399326517978925</v>
      </c>
      <c r="AEP10" s="7" t="n">
        <v>1.78958551707595</v>
      </c>
      <c r="AEQ10" s="7" t="n">
        <v>-0.66954637869217</v>
      </c>
      <c r="AER10" s="7" t="n">
        <v>0.222971726313902</v>
      </c>
      <c r="AES10" s="7" t="n">
        <v>0.292178682668097</v>
      </c>
      <c r="AET10" s="7" t="n">
        <v>0.722475487908911</v>
      </c>
      <c r="AEU10" s="7" t="n">
        <v>1.77442111284542</v>
      </c>
      <c r="AEV10" s="7" t="n">
        <v>0.850671067162169</v>
      </c>
      <c r="AEW10" s="7" t="n">
        <v>-0.068320221490804</v>
      </c>
      <c r="AEX10" s="7" t="n">
        <v>0.121702670805477</v>
      </c>
      <c r="AEY10" s="7" t="n">
        <v>0.710578894048282</v>
      </c>
      <c r="AEZ10" s="7" t="n">
        <v>-0.16734346411517</v>
      </c>
      <c r="AFA10" s="7" t="n">
        <v>-0.859192159421635</v>
      </c>
      <c r="AFB10" s="7" t="n">
        <v>0.196735678112378</v>
      </c>
      <c r="AFC10" s="7" t="n">
        <v>0.745391393090753</v>
      </c>
      <c r="AFD10" s="7" t="n">
        <v>-1.37958381514435</v>
      </c>
      <c r="AFE10" s="7" t="n">
        <v>0.45886498044395</v>
      </c>
      <c r="AFF10" s="7" t="n">
        <v>0.906241623537556</v>
      </c>
      <c r="AFG10" s="7" t="n">
        <v>-0.0325605171978856</v>
      </c>
      <c r="AFH10" s="7" t="n">
        <v>0.209808646822335</v>
      </c>
      <c r="AFI10" s="7" t="n">
        <v>-0.945325999251087</v>
      </c>
      <c r="AFJ10" s="7" t="n">
        <v>0.736876793991876</v>
      </c>
      <c r="AFK10" s="7" t="n">
        <v>1.06790087183202</v>
      </c>
      <c r="AFL10" s="7" t="n">
        <v>1.94831218735459</v>
      </c>
      <c r="AFM10" s="7" t="n">
        <v>-0.520218585801032</v>
      </c>
      <c r="AFN10" s="7" t="n">
        <v>-2.49618585350086</v>
      </c>
      <c r="AFO10" s="7" t="n">
        <v>0.92161660264512</v>
      </c>
      <c r="AFP10" s="7" t="n">
        <v>-1.10549452963965</v>
      </c>
      <c r="AFQ10" s="7" t="n">
        <v>-1.15676840258003</v>
      </c>
      <c r="AFR10" s="7" t="n">
        <v>0.130823944402913</v>
      </c>
      <c r="AFS10" s="7" t="n">
        <v>-0.110948320293204</v>
      </c>
      <c r="AFT10" s="7" t="n">
        <v>-1.05888870444609</v>
      </c>
      <c r="AFU10" s="7" t="n">
        <v>0.109061361095162</v>
      </c>
      <c r="AFV10" s="7" t="n">
        <v>2.46580778895724</v>
      </c>
      <c r="AFW10" s="7" t="n">
        <v>-1.64555605941099</v>
      </c>
      <c r="AFX10" s="7" t="n">
        <v>0.8386076726809309</v>
      </c>
      <c r="AFY10" s="7" t="n">
        <v>0.586687165698377</v>
      </c>
      <c r="AFZ10" s="7" t="n">
        <v>0.7166800523751869</v>
      </c>
      <c r="AGA10" s="7" t="n">
        <v>2.20069790738239</v>
      </c>
      <c r="AGB10" s="7" t="n">
        <v>0.407199162318974</v>
      </c>
      <c r="AGC10" s="7" t="n">
        <v>-1.40455378520414</v>
      </c>
      <c r="AGD10" s="7" t="n">
        <v>-0.0649543333282306</v>
      </c>
      <c r="AGE10" s="7" t="n">
        <v>-1.66804772431571</v>
      </c>
      <c r="AGF10" s="7" t="n">
        <v>-0.181910612992305</v>
      </c>
      <c r="AGG10" s="7" t="n">
        <v>0.588075113438728</v>
      </c>
      <c r="AGH10" s="7" t="n">
        <v>-0.390534504184715</v>
      </c>
      <c r="AGI10" s="7" t="n">
        <v>-0.140505505444651</v>
      </c>
      <c r="AGJ10" s="7" t="n">
        <v>-1.75078723398615</v>
      </c>
      <c r="AGK10" s="7" t="n">
        <v>0.208710119879728</v>
      </c>
      <c r="AGL10" s="7" t="n">
        <v>0.5951585839939449</v>
      </c>
      <c r="AGM10" s="7" t="n">
        <v>0.899933134350861</v>
      </c>
      <c r="AGN10" s="7" t="n">
        <v>-0.584045965853275</v>
      </c>
      <c r="AGO10" s="7" t="n">
        <v>-0.372264436039915</v>
      </c>
      <c r="AGP10" s="7" t="n">
        <v>-0.6910064162173341</v>
      </c>
      <c r="AGQ10" s="7" t="n">
        <v>0.814250544872029</v>
      </c>
      <c r="AGR10" s="7" t="n">
        <v>0.723457329275063</v>
      </c>
      <c r="AGS10" s="7" t="n">
        <v>-0.217054009884306</v>
      </c>
      <c r="AGT10" s="7" t="n">
        <v>-0.169200643511351</v>
      </c>
      <c r="AGU10" s="7" t="n">
        <v>0.22449734605314</v>
      </c>
      <c r="AGV10" s="7" t="n">
        <v>0.5179592304662231</v>
      </c>
      <c r="AGW10" s="7" t="n">
        <v>-1.06830387407883</v>
      </c>
      <c r="AGX10" s="7" t="n">
        <v>-0.0650485191828345</v>
      </c>
      <c r="AGY10" s="7" t="n">
        <v>0.936445604499784</v>
      </c>
      <c r="AGZ10" s="7" t="n">
        <v>-0.8033220160060091</v>
      </c>
      <c r="AHA10" s="7" t="n">
        <v>0.343013356111859</v>
      </c>
      <c r="AHB10" s="7" t="n">
        <v>-1.04340071480512</v>
      </c>
      <c r="AHC10" s="7" t="n">
        <v>0.322575508460033</v>
      </c>
      <c r="AHD10" s="7" t="n">
        <v>0.14561200003196</v>
      </c>
      <c r="AHE10" s="7" t="n">
        <v>-0.294259871324503</v>
      </c>
      <c r="AHF10" s="7" t="n">
        <v>0.0113260943715622</v>
      </c>
      <c r="AHG10" s="7" t="n">
        <v>-2.05049178797706</v>
      </c>
      <c r="AHH10" s="7" t="n">
        <v>-0.358748118652531</v>
      </c>
      <c r="AHI10" s="7" t="n">
        <v>1.05203252719742</v>
      </c>
      <c r="AHJ10" s="7" t="n">
        <v>0.816386290481989</v>
      </c>
      <c r="AHK10" s="7" t="n">
        <v>-0.6648869432429541</v>
      </c>
      <c r="AHL10" s="7" t="n">
        <v>-1.42562684811577</v>
      </c>
      <c r="AHM10" s="7" t="n">
        <v>-0.374396739099464</v>
      </c>
      <c r="AHN10" s="7" t="n">
        <v>0.762743953761582</v>
      </c>
      <c r="AHO10" s="7" t="n">
        <v>-0.597730206491275</v>
      </c>
      <c r="AHP10" s="7" t="n">
        <v>0.33889991480285</v>
      </c>
      <c r="AHQ10" s="7" t="n">
        <v>-1.7980498931442</v>
      </c>
      <c r="AHR10" s="7" t="n">
        <v>0.144970430432317</v>
      </c>
      <c r="AHS10" s="7" t="n">
        <v>-0.512245495923131</v>
      </c>
      <c r="AHT10" s="7" t="n">
        <v>-1.02844291148672</v>
      </c>
      <c r="AHU10" s="7" t="n">
        <v>-1.68533143780186</v>
      </c>
      <c r="AHV10" s="7" t="n">
        <v>1.12794706086515</v>
      </c>
      <c r="AHW10" s="7" t="n">
        <v>-1.23649622997191</v>
      </c>
      <c r="AHX10" s="7" t="n">
        <v>-0.476390807692423</v>
      </c>
      <c r="AHY10" s="7" t="n">
        <v>-0.870814476724822</v>
      </c>
      <c r="AHZ10" s="7" t="n">
        <v>0.844260018928588</v>
      </c>
      <c r="AIA10" s="7" t="n">
        <v>0.844676076314651</v>
      </c>
      <c r="AIB10" s="7" t="n">
        <v>-0.536778880304424</v>
      </c>
      <c r="AIC10" s="7" t="n">
        <v>-0.495931760356575</v>
      </c>
      <c r="AID10" s="7" t="n">
        <v>-0.186698330254911</v>
      </c>
      <c r="AIE10" s="7" t="n">
        <v>-0.570215986786884</v>
      </c>
      <c r="AIF10" s="7" t="n">
        <v>-0.692500631500834</v>
      </c>
      <c r="AIG10" s="7" t="n">
        <v>-0.473030568302189</v>
      </c>
      <c r="AIH10" s="7" t="n">
        <v>0.09872790326045459</v>
      </c>
      <c r="AII10" s="7" t="n">
        <v>-0.0991175304487798</v>
      </c>
      <c r="AIJ10" s="7" t="n">
        <v>-0.501193853085907</v>
      </c>
      <c r="AIK10" s="7" t="n">
        <v>-1.01369507979427</v>
      </c>
      <c r="AIL10" s="7" t="n">
        <v>0.204292785620234</v>
      </c>
      <c r="AIM10" s="7" t="n">
        <v>-0.420798783994593</v>
      </c>
      <c r="AIN10" s="7" t="n">
        <v>0.274027713991131</v>
      </c>
      <c r="AIO10" s="7" t="n">
        <v>-0.604436622837899</v>
      </c>
      <c r="AIP10" s="7" t="n">
        <v>-0.561259552407514</v>
      </c>
      <c r="AIQ10" s="7" t="n">
        <v>-0.56836712223434</v>
      </c>
      <c r="AIR10" s="7" t="n">
        <v>0.971871985109152</v>
      </c>
      <c r="AIS10" s="7" t="n">
        <v>0.142454279183157</v>
      </c>
      <c r="AIT10" s="7" t="n">
        <v>-2.0252972760982</v>
      </c>
      <c r="AIU10" s="7" t="n">
        <v>0.7314225414885061</v>
      </c>
      <c r="AIV10" s="7" t="n">
        <v>-0.314763855214235</v>
      </c>
      <c r="AIW10" s="7" t="n">
        <v>-1.09710833335075</v>
      </c>
      <c r="AIX10" s="7" t="n">
        <v>0.6558019543346419</v>
      </c>
      <c r="AIY10" s="7" t="n">
        <v>0.626923038229968</v>
      </c>
      <c r="AIZ10" s="7" t="n">
        <v>0.387997354943399</v>
      </c>
      <c r="AJA10" s="7" t="n">
        <v>1.49201907790468</v>
      </c>
      <c r="AJB10" s="7" t="n">
        <v>-0.689331027838304</v>
      </c>
      <c r="AJC10" s="7" t="n">
        <v>-0.354163265425957</v>
      </c>
      <c r="AJD10" s="7" t="n">
        <v>-2.59963562254</v>
      </c>
      <c r="AJE10" s="7" t="n">
        <v>1.25600868443712</v>
      </c>
      <c r="AJF10" s="7" t="n">
        <v>0.114886408831417</v>
      </c>
      <c r="AJG10" s="7" t="n">
        <v>-0.8767149213268</v>
      </c>
      <c r="AJH10" s="7" t="n">
        <v>-0.166387567174786</v>
      </c>
      <c r="AJI10" s="7" t="n">
        <v>1.46456360805932</v>
      </c>
      <c r="AJJ10" s="7" t="n">
        <v>0.841683400584151</v>
      </c>
      <c r="AJK10" s="7" t="n">
        <v>-1.32024079824165</v>
      </c>
      <c r="AJL10" s="7" t="n">
        <v>0.0680572866796821</v>
      </c>
      <c r="AJM10" s="7" t="n">
        <v>-0.441857052806297</v>
      </c>
      <c r="AJN10" s="7" t="n">
        <v>0.610186105442478</v>
      </c>
      <c r="AJO10" s="7" t="n">
        <v>0.421470333867354</v>
      </c>
      <c r="AJP10" s="7" t="n">
        <v>0.252173514415825</v>
      </c>
      <c r="AJQ10" s="7" t="n">
        <v>-0.53625734025713</v>
      </c>
      <c r="AJR10" s="7" t="n">
        <v>0.9578753631578349</v>
      </c>
      <c r="AJS10" s="7" t="n">
        <v>0.146380110502509</v>
      </c>
      <c r="AJT10" s="7" t="n">
        <v>-1.53469192215656</v>
      </c>
      <c r="AJU10" s="7" t="n">
        <v>0.0249379832927013</v>
      </c>
      <c r="AJV10" s="7" t="n">
        <v>-0.714088315568904</v>
      </c>
      <c r="AJW10" s="7" t="n">
        <v>0.853588079223937</v>
      </c>
      <c r="AJX10" s="7" t="n">
        <v>0.533520278506469</v>
      </c>
      <c r="AJY10" s="7" t="n">
        <v>-0.399903045907749</v>
      </c>
      <c r="AJZ10" s="7" t="n">
        <v>1.47081366052088</v>
      </c>
      <c r="AKA10" s="7" t="n">
        <v>-2.00924422554624</v>
      </c>
      <c r="AKB10" s="7" t="n">
        <v>-0.332007896283853</v>
      </c>
      <c r="AKC10" s="7" t="n">
        <v>0.308218386862008</v>
      </c>
      <c r="AKD10" s="7" t="n">
        <v>-0.313935667680876</v>
      </c>
      <c r="AKE10" s="7" t="n">
        <v>0.235098930206836</v>
      </c>
      <c r="AKF10" s="7" t="n">
        <v>-2.29607614090924</v>
      </c>
      <c r="AKG10" s="7" t="n">
        <v>1.98221145307894</v>
      </c>
      <c r="AKH10" s="7" t="n">
        <v>0.342796553270325</v>
      </c>
      <c r="AKI10" s="7" t="n">
        <v>-0.969159119627651</v>
      </c>
      <c r="AKJ10" s="7" t="n">
        <v>0.737506268251631</v>
      </c>
      <c r="AKK10" s="7" t="n">
        <v>-0.794674649423779</v>
      </c>
      <c r="AKL10" s="7" t="n">
        <v>0.0015437951562825</v>
      </c>
      <c r="AKM10" s="7" t="n">
        <v>0.540402735481151</v>
      </c>
      <c r="AKN10" s="7" t="n">
        <v>-0.481632538306234</v>
      </c>
      <c r="AKO10" s="7" t="n">
        <v>-0.846650723726448</v>
      </c>
      <c r="AKP10" s="7" t="n">
        <v>0.9044311295872181</v>
      </c>
      <c r="AKQ10" s="7" t="n">
        <v>0.0636069127891724</v>
      </c>
      <c r="AKR10" s="7" t="n">
        <v>-0.106643106925115</v>
      </c>
      <c r="AKS10" s="7" t="n">
        <v>-0.941150386640364</v>
      </c>
      <c r="AKT10" s="7" t="n">
        <v>-0.806238251265203</v>
      </c>
      <c r="AKU10" s="7" t="n">
        <v>0.702462035481368</v>
      </c>
      <c r="AKV10" s="7" t="n">
        <v>-0.43152398124093</v>
      </c>
      <c r="AKW10" s="7" t="n">
        <v>-0.518849296658261</v>
      </c>
      <c r="AKX10" s="7" t="n">
        <v>-0.429450537045919</v>
      </c>
      <c r="AKY10" s="7" t="n">
        <v>1.2056378105896</v>
      </c>
      <c r="AKZ10" s="7" t="n">
        <v>-0.258340625525538</v>
      </c>
      <c r="ALA10" s="7" t="n">
        <v>0.670516535618664</v>
      </c>
      <c r="ALB10" s="7" t="n">
        <v>-1.7692258654919</v>
      </c>
      <c r="ALC10" s="7" t="n">
        <v>-0.268850205819489</v>
      </c>
      <c r="ALD10" s="7" t="n">
        <v>0.265311396018411</v>
      </c>
      <c r="ALE10" s="7" t="n">
        <v>-2.34999989403261</v>
      </c>
      <c r="ALF10" s="7" t="n">
        <v>0.969747640034306</v>
      </c>
      <c r="ALG10" s="7" t="n">
        <v>-0.0699549842298486</v>
      </c>
      <c r="ALH10" s="7" t="n">
        <v>1.18777658557167</v>
      </c>
      <c r="ALI10" s="7" t="n">
        <v>-0.743787553087635</v>
      </c>
      <c r="ALJ10" s="7" t="n">
        <v>-0.779354582960871</v>
      </c>
      <c r="ALK10" s="7" t="n">
        <v>-0.347513107033954</v>
      </c>
      <c r="ALL10" s="7" t="n">
        <v>-0.475023812589928</v>
      </c>
      <c r="ALM10" s="7" t="n">
        <v>-0.645018965649843</v>
      </c>
      <c r="ALN10" s="7" t="n">
        <v>-1.73258658672356</v>
      </c>
      <c r="ALO10" s="7" t="n">
        <v>0.463243712480893</v>
      </c>
      <c r="ALP10" s="7" t="n">
        <v>-0.951167356156575</v>
      </c>
      <c r="ALQ10" s="7" t="n">
        <v>-0.780682806415552</v>
      </c>
      <c r="ALR10" s="7" t="n">
        <v>-1.2350140315366</v>
      </c>
      <c r="ALS10" s="7" t="n">
        <v>0.477106813336071</v>
      </c>
      <c r="ALT10" s="7" t="n">
        <v>-2.05587630935513</v>
      </c>
      <c r="ALU10" s="7" t="n">
        <v>1.59204564895607</v>
      </c>
      <c r="ALV10" s="7" t="n">
        <v>-0.647566218918185</v>
      </c>
      <c r="ALW10" s="7" t="n">
        <v>-0.614419791978835</v>
      </c>
      <c r="ALX10" s="7" t="n">
        <v>-0.449848582177077</v>
      </c>
      <c r="ALY10" s="7" t="n">
        <v>-1.11315711761649</v>
      </c>
      <c r="ALZ10" s="7" t="n">
        <v>-0.463550613896783</v>
      </c>
      <c r="AMA10" s="7" t="n">
        <v>0.468483703153593</v>
      </c>
      <c r="AMB10" s="7" t="n">
        <v>-0.267665325976225</v>
      </c>
      <c r="AMC10" s="7" t="n">
        <v>0.631621790955044</v>
      </c>
      <c r="AMD10" s="7" t="n">
        <v>1.30328035200002</v>
      </c>
      <c r="AME10" s="7" t="n">
        <v>0.702890527346222</v>
      </c>
      <c r="AMF10" s="7" t="n">
        <v>1.15307127753707</v>
      </c>
      <c r="AMG10" s="7" t="n">
        <v>-2.52826181675606</v>
      </c>
      <c r="AMH10" s="7" t="n">
        <v>1.63375165184385</v>
      </c>
      <c r="AMI10" s="7" t="n">
        <v>0.672524954261627</v>
      </c>
      <c r="AMJ10" s="7" t="n">
        <v>-0.23148810693158</v>
      </c>
      <c r="AMK10" s="7" t="n">
        <v>1.11632536046774</v>
      </c>
      <c r="AML10" s="7" t="n">
        <v>-0.30915790882873</v>
      </c>
      <c r="AMM10" s="7" t="n">
        <v>1.65216330133322</v>
      </c>
      <c r="AMN10" s="7" t="n">
        <v>0.819248028286235</v>
      </c>
      <c r="AMO10" s="7" t="n">
        <v>-0.749189271939421</v>
      </c>
      <c r="AMP10" s="7" t="n">
        <v>-0.104072505607136</v>
      </c>
      <c r="AMQ10" s="7" t="n">
        <v>0.798796504828598</v>
      </c>
      <c r="AMR10" s="7" t="n">
        <v>0.727360421602285</v>
      </c>
      <c r="AMS10" s="7" t="n">
        <v>-0.337574431936022</v>
      </c>
      <c r="AMT10" s="7" t="n">
        <v>0.234736453747287</v>
      </c>
      <c r="AMU10" s="7" t="n">
        <v>-0.509537595912021</v>
      </c>
      <c r="AMV10" s="7" t="n">
        <v>0.729816021547487</v>
      </c>
      <c r="AMW10" s="7" t="n">
        <v>0.584774684690758</v>
      </c>
      <c r="AMX10" s="7" t="n">
        <v>-0.358114131434965</v>
      </c>
      <c r="AMY10" s="7" t="n">
        <v>-1.01276557276243</v>
      </c>
      <c r="AMZ10" s="7" t="n">
        <v>0.646059400947764</v>
      </c>
      <c r="ANA10" s="7" t="n">
        <v>1.11441948484758</v>
      </c>
      <c r="ANB10" s="7" t="n">
        <v>-1.69035622667251</v>
      </c>
      <c r="ANC10" s="7" t="n">
        <v>-1.05248969235756</v>
      </c>
      <c r="AND10" s="7" t="n">
        <v>-0.0965420842010534</v>
      </c>
      <c r="ANE10" s="7" t="n">
        <v>-0.0144349042443202</v>
      </c>
      <c r="ANF10" s="7" t="n">
        <v>0.9541282707577839</v>
      </c>
      <c r="ANG10" s="7" t="n">
        <v>0.192277745830393</v>
      </c>
      <c r="ANH10" s="7" t="n">
        <v>-0.07445376418490091</v>
      </c>
      <c r="ANI10" s="7" t="n">
        <v>0.7133852179574131</v>
      </c>
      <c r="ANJ10" s="7" t="n">
        <v>-1.40379011602433</v>
      </c>
      <c r="ANK10" s="7" t="n">
        <v>0.156160639500401</v>
      </c>
      <c r="ANL10" s="7" t="n">
        <v>-0.710815174201084</v>
      </c>
      <c r="ANM10" s="7" t="n">
        <v>-2.34709245692192</v>
      </c>
      <c r="ANN10" s="7" t="n">
        <v>-0.449694272054541</v>
      </c>
      <c r="ANO10" s="7" t="n">
        <v>-0.540155662808094</v>
      </c>
      <c r="ANP10" s="7" t="n">
        <v>-1.19932125840148</v>
      </c>
      <c r="ANQ10" s="7" t="n">
        <v>-0.395218497569678</v>
      </c>
      <c r="ANR10" s="7" t="n">
        <v>0.791534825400751</v>
      </c>
      <c r="ANS10" s="7" t="n">
        <v>0.679238135432823</v>
      </c>
      <c r="ANT10" s="7" t="n">
        <v>-1.04994799673929</v>
      </c>
      <c r="ANU10" s="7" t="n">
        <v>-0.141619195959754</v>
      </c>
      <c r="ANV10" s="7" t="n">
        <v>-1.07530132816637</v>
      </c>
      <c r="ANW10" s="7" t="n">
        <v>1.14360826062989</v>
      </c>
      <c r="ANX10" s="7" t="n">
        <v>1.23400343680039</v>
      </c>
      <c r="ANY10" s="7" t="n">
        <v>-0.479791087380138</v>
      </c>
      <c r="ANZ10" s="7" t="n">
        <v>-0.271613212193934</v>
      </c>
      <c r="AOA10" s="7" t="n">
        <v>-0.138750582112882</v>
      </c>
      <c r="AOB10" s="7" t="n">
        <v>-0.279141025224751</v>
      </c>
      <c r="AOC10" s="7" t="n">
        <v>1.06630633615847</v>
      </c>
      <c r="AOD10" s="7" t="n">
        <v>0.0052184070711154</v>
      </c>
      <c r="AOE10" s="7" t="n">
        <v>0.978001192249638</v>
      </c>
      <c r="AOF10" s="7" t="n">
        <v>0.571562237233324</v>
      </c>
      <c r="AOG10" s="7" t="n">
        <v>-0.0171034539259459</v>
      </c>
      <c r="AOH10" s="7" t="n">
        <v>1.02352214327885</v>
      </c>
      <c r="AOI10" s="7" t="n">
        <v>-0.384930942436252</v>
      </c>
      <c r="AOJ10" s="7" t="n">
        <v>0.357916177547156</v>
      </c>
      <c r="AOK10" s="7" t="n">
        <v>-1.58824776502759</v>
      </c>
      <c r="AOL10" s="7" t="n">
        <v>-0.9245075431973671</v>
      </c>
      <c r="AOM10" s="7" t="n">
        <v>-0.5143819126236709</v>
      </c>
      <c r="AON10" s="7" t="n">
        <v>-0.36635653770482</v>
      </c>
      <c r="AOO10" s="7" t="n">
        <v>1.600257727841</v>
      </c>
      <c r="AOP10" s="7" t="n">
        <v>-0.479193972111337</v>
      </c>
      <c r="AOQ10" s="7" t="n">
        <v>1.13801778578486</v>
      </c>
      <c r="AOR10" s="7" t="n">
        <v>0.0326544542609122</v>
      </c>
      <c r="AOS10" s="7" t="n">
        <v>-0.594253578694049</v>
      </c>
      <c r="AOT10" s="7" t="n">
        <v>-0.0890277565504702</v>
      </c>
      <c r="AOU10" s="7" t="n">
        <v>0.9650721926418671</v>
      </c>
      <c r="AOV10" s="7" t="n">
        <v>-1.13133223695551</v>
      </c>
      <c r="AOW10" s="7" t="n">
        <v>-1.52454333629774</v>
      </c>
      <c r="AOX10" s="7" t="n">
        <v>0.126954408219712</v>
      </c>
      <c r="AOY10" s="7" t="n">
        <v>0.8520771083868121</v>
      </c>
      <c r="AOZ10" s="7" t="n">
        <v>-1.00734858432607</v>
      </c>
      <c r="APA10" s="7" t="n">
        <v>1.12493692576073</v>
      </c>
      <c r="APB10" s="7" t="n">
        <v>-1.45693461144811</v>
      </c>
      <c r="APC10" s="7" t="n">
        <v>0.891073740944789</v>
      </c>
      <c r="APD10" s="7" t="n">
        <v>0.370972918119931</v>
      </c>
      <c r="APE10" s="7" t="n">
        <v>0.379668150649199</v>
      </c>
      <c r="APF10" s="7" t="n">
        <v>1.34287108090927</v>
      </c>
      <c r="APG10" s="7" t="n">
        <v>0.585126858003463</v>
      </c>
      <c r="APH10" s="7" t="n">
        <v>-1.25948061888854</v>
      </c>
      <c r="API10" s="7" t="n">
        <v>2.3887792604244</v>
      </c>
      <c r="APJ10" s="7" t="n">
        <v>0.73205681419824</v>
      </c>
      <c r="APK10" s="7" t="n">
        <v>-1.01298902310786</v>
      </c>
      <c r="APL10" s="7" t="n">
        <v>1.03871422517174</v>
      </c>
      <c r="APM10" s="7" t="n">
        <v>-0.7637046606265731</v>
      </c>
      <c r="APN10" s="7" t="n">
        <v>1.23197145955765</v>
      </c>
      <c r="APO10" s="7" t="n">
        <v>-0.377069474489492</v>
      </c>
      <c r="APP10" s="7" t="n">
        <v>-0.797388098847775</v>
      </c>
      <c r="APQ10" s="7" t="n">
        <v>-1.24534919754354</v>
      </c>
      <c r="APR10" s="7" t="n">
        <v>-0.451576730089237</v>
      </c>
      <c r="APS10" s="7" t="n">
        <v>1.09340766869986</v>
      </c>
      <c r="APT10" s="7" t="n">
        <v>0.640859031285945</v>
      </c>
      <c r="APU10" s="7" t="n">
        <v>-1.65360807513501</v>
      </c>
      <c r="APV10" s="7" t="n">
        <v>0.63003846465317</v>
      </c>
      <c r="APW10" s="7" t="n">
        <v>1.03735970219962</v>
      </c>
      <c r="APX10" s="7" t="n">
        <v>0.454154160846894</v>
      </c>
      <c r="APY10" s="7" t="n">
        <v>0.464440314918513</v>
      </c>
      <c r="APZ10" s="7" t="n">
        <v>1.05125685099884</v>
      </c>
      <c r="AQA10" s="7" t="n">
        <v>1.38387757481135</v>
      </c>
      <c r="AQB10" s="7" t="n">
        <v>1.47915196526952</v>
      </c>
      <c r="AQC10" s="7" t="n">
        <v>-0.290630528487703</v>
      </c>
      <c r="AQD10" s="7" t="n">
        <v>-1.64143862845999</v>
      </c>
      <c r="AQE10" s="7" t="n">
        <v>0.389303080906688</v>
      </c>
      <c r="AQF10" s="7" t="n">
        <v>-0.301533373226869</v>
      </c>
      <c r="AQG10" s="7" t="n">
        <v>-0.688803055701499</v>
      </c>
      <c r="AQH10" s="7" t="n">
        <v>-1.63208364797908</v>
      </c>
      <c r="AQI10" s="7" t="n">
        <v>0.773390741176596</v>
      </c>
      <c r="AQJ10" s="7" t="n">
        <v>-0.13408673847847</v>
      </c>
      <c r="AQK10" s="7" t="n">
        <v>-0.50862054269773</v>
      </c>
      <c r="AQL10" s="7" t="n">
        <v>0.403263763433756</v>
      </c>
      <c r="AQM10" s="7" t="n">
        <v>-1.4189039720398</v>
      </c>
      <c r="AQN10" s="7" t="n">
        <v>1.30663296971304</v>
      </c>
      <c r="AQO10" s="7" t="n">
        <v>-0.676460644173554</v>
      </c>
      <c r="AQP10" s="7" t="n">
        <v>1.84839677626008</v>
      </c>
      <c r="AQQ10" s="7" t="n">
        <v>-2.46830634004921</v>
      </c>
      <c r="AQR10" s="7" t="n">
        <v>-0.408796996343828</v>
      </c>
      <c r="AQS10" s="7" t="n">
        <v>1.87302277668059</v>
      </c>
      <c r="AQT10" s="7" t="n">
        <v>-0.138570681073349</v>
      </c>
      <c r="AQU10" s="7" t="n">
        <v>0.0028545730251867</v>
      </c>
      <c r="AQV10" s="7" t="n">
        <v>0.818005382505685</v>
      </c>
      <c r="AQW10" s="7" t="n">
        <v>-0.823272985555894</v>
      </c>
      <c r="AQX10" s="7" t="n">
        <v>0.63118721633415</v>
      </c>
      <c r="AQY10" s="7" t="n">
        <v>-0.506415336617467</v>
      </c>
      <c r="AQZ10" s="7" t="n">
        <v>-0.332931365363875</v>
      </c>
      <c r="ARA10" s="7" t="n">
        <v>-0.101696429198482</v>
      </c>
      <c r="ARB10" s="7" t="n">
        <v>1.57622875075008</v>
      </c>
      <c r="ARC10" s="7" t="n">
        <v>1.38843430900879</v>
      </c>
      <c r="ARD10" s="7" t="n">
        <v>1.82953775620263</v>
      </c>
      <c r="ARE10" s="7" t="n">
        <v>-1.07887612846446</v>
      </c>
      <c r="ARF10" s="7" t="n">
        <v>0.722098199135778</v>
      </c>
      <c r="ARG10" s="7" t="n">
        <v>-0.765600011663758</v>
      </c>
      <c r="ARH10" s="7" t="n">
        <v>0.856003750817833</v>
      </c>
      <c r="ARI10" s="7" t="n">
        <v>-0.248914355845971</v>
      </c>
      <c r="ARJ10" s="7" t="n">
        <v>-0.780350151162338</v>
      </c>
      <c r="ARK10" s="7" t="n">
        <v>-0.0974654635827276</v>
      </c>
      <c r="ARL10" s="7" t="n">
        <v>0.220901285641109</v>
      </c>
      <c r="ARM10" s="7" t="n">
        <v>0.812777224480506</v>
      </c>
      <c r="ARN10" s="7" t="n">
        <v>-0.233081505807652</v>
      </c>
      <c r="ARO10" s="7" t="n">
        <v>-0.894504105848527</v>
      </c>
      <c r="ARP10" s="7" t="n">
        <v>-1.46791533031577</v>
      </c>
      <c r="ARQ10" s="7" t="n">
        <v>1.73864250042235</v>
      </c>
      <c r="ARR10" s="7" t="n">
        <v>0.595783819156791</v>
      </c>
      <c r="ARS10" s="7" t="n">
        <v>-0.480353599486343</v>
      </c>
      <c r="ART10" s="7" t="n">
        <v>1.02866469629596</v>
      </c>
      <c r="ARU10" s="7" t="n">
        <v>0.151067963809673</v>
      </c>
      <c r="ARV10" s="7" t="n">
        <v>-0.434688618941634</v>
      </c>
      <c r="ARW10" s="7" t="n">
        <v>-0.652810090816782</v>
      </c>
      <c r="ARX10" s="7" t="n">
        <v>-1.89905600053197</v>
      </c>
      <c r="ARY10" s="7" t="n">
        <v>-0.0898027464648108</v>
      </c>
      <c r="ARZ10" s="7" t="n">
        <v>-1.79864932642802</v>
      </c>
      <c r="ASA10" s="7" t="n">
        <v>-0.039782682208812</v>
      </c>
      <c r="ASB10" s="7" t="n">
        <v>-0.111228250065606</v>
      </c>
      <c r="ASC10" s="7" t="n">
        <v>-2.19041714672387</v>
      </c>
      <c r="ASD10" s="7" t="n">
        <v>0.242852728019132</v>
      </c>
      <c r="ASE10" s="7" t="n">
        <v>0.468379326356808</v>
      </c>
      <c r="ASF10" s="7" t="n">
        <v>1.19443823304395</v>
      </c>
      <c r="ASG10" s="7" t="n">
        <v>-0.351016523326627</v>
      </c>
      <c r="ASH10" s="7" t="n">
        <v>1.87759127539012</v>
      </c>
      <c r="ASI10" s="7" t="n">
        <v>0.5409019642426059</v>
      </c>
      <c r="ASJ10" s="7" t="n">
        <v>-1.17168732856636</v>
      </c>
      <c r="ASK10" s="7" t="n">
        <v>-1.57227588875886</v>
      </c>
      <c r="ASL10" s="7" t="n">
        <v>-0.0503266624616965</v>
      </c>
      <c r="ASM10" s="7" t="n">
        <v>1.06248519093366</v>
      </c>
      <c r="ASN10" s="7" t="n">
        <v>0.227467839210748</v>
      </c>
      <c r="ASO10" s="7" t="n">
        <v>0.299630548124249</v>
      </c>
      <c r="ASP10" s="7" t="n">
        <v>-0.42420349106218</v>
      </c>
      <c r="ASQ10" s="7" t="n">
        <v>1.0993594625906</v>
      </c>
      <c r="ASR10" s="7" t="n">
        <v>-0.374004955113715</v>
      </c>
      <c r="ASS10" s="7" t="n">
        <v>1.58917153960715</v>
      </c>
      <c r="AST10" s="7" t="n">
        <v>1.52536115739396</v>
      </c>
      <c r="ASU10" s="7" t="n">
        <v>-0.392652118008827</v>
      </c>
      <c r="ASV10" s="7" t="n">
        <v>0.803606033216525</v>
      </c>
      <c r="ASW10" s="7" t="n">
        <v>-1.61155669005097</v>
      </c>
      <c r="ASX10" s="7" t="n">
        <v>0.694030707983014</v>
      </c>
      <c r="ASY10" s="7" t="n">
        <v>-1.16377830040548</v>
      </c>
      <c r="ASZ10" s="7" t="n">
        <v>1.82713871401091</v>
      </c>
      <c r="ATA10" s="7" t="n">
        <v>1.72757176500554</v>
      </c>
      <c r="ATB10" s="7" t="n">
        <v>-1.14281021577233</v>
      </c>
      <c r="ATC10" s="7" t="n">
        <v>-0.296931058891986</v>
      </c>
      <c r="ATD10" s="7" t="n">
        <v>0.0553438503339393</v>
      </c>
      <c r="ATE10" s="7" t="n">
        <v>0.675280286941443</v>
      </c>
      <c r="ATF10" s="7" t="n">
        <v>0.830485564824421</v>
      </c>
      <c r="ATG10" s="7" t="n">
        <v>1.00216390907488</v>
      </c>
      <c r="ATH10" s="7" t="n">
        <v>-0.5630248241371451</v>
      </c>
      <c r="ATI10" s="7" t="n">
        <v>1.651174927594</v>
      </c>
      <c r="ATJ10" s="7" t="n">
        <v>0.243597822332721</v>
      </c>
      <c r="ATK10" s="7" t="n">
        <v>-0.326554908313218</v>
      </c>
      <c r="ATL10" s="7" t="n">
        <v>1.27096464839819</v>
      </c>
      <c r="ATM10" s="7" t="n">
        <v>0.0551770236458949</v>
      </c>
      <c r="ATN10" s="7" t="n">
        <v>-1.10472188312279</v>
      </c>
      <c r="ATO10" s="7" t="n">
        <v>0.342277157378083</v>
      </c>
      <c r="ATP10" s="7" t="n">
        <v>0.740139826338636</v>
      </c>
      <c r="ATQ10" s="7" t="n">
        <v>0.146485345591404</v>
      </c>
      <c r="ATR10" s="7" t="n">
        <v>-1.38485627927854</v>
      </c>
      <c r="ATS10" s="7" t="n">
        <v>0.502260343163858</v>
      </c>
      <c r="ATT10" s="7" t="n">
        <v>-0.483832337061069</v>
      </c>
      <c r="ATU10" s="7" t="n">
        <v>0.364329596180187</v>
      </c>
      <c r="ATV10" s="7" t="n">
        <v>0.0424525265896685</v>
      </c>
      <c r="ATW10" s="7" t="n">
        <v>1.04946257335791</v>
      </c>
      <c r="ATX10" s="7" t="n">
        <v>0.31953272785114</v>
      </c>
      <c r="ATY10" s="7" t="n">
        <v>1.19578906424253</v>
      </c>
      <c r="ATZ10" s="7" t="n">
        <v>1.28031619989361</v>
      </c>
      <c r="AUA10" s="7" t="n">
        <v>-0.339853986472968</v>
      </c>
      <c r="AUB10" s="7" t="n">
        <v>-0.956978874001447</v>
      </c>
      <c r="AUC10" s="7" t="n">
        <v>-1.82572735093457</v>
      </c>
      <c r="AUD10" s="7" t="n">
        <v>-2.12753445196783</v>
      </c>
      <c r="AUE10" s="7" t="n">
        <v>0.523578526569432</v>
      </c>
      <c r="AUF10" s="7" t="n">
        <v>-0.772830017024542</v>
      </c>
      <c r="AUG10" s="7" t="n">
        <v>1.05329505606338</v>
      </c>
      <c r="AUH10" s="7" t="n">
        <v>0.8786333000283429</v>
      </c>
      <c r="AUI10" s="7" t="n">
        <v>-0.18230902734261</v>
      </c>
      <c r="AUJ10" s="7" t="n">
        <v>0.497046510526274</v>
      </c>
      <c r="AUK10" s="7" t="n">
        <v>1.95474923004251</v>
      </c>
      <c r="AUL10" s="7" t="n">
        <v>-0.903830550661692</v>
      </c>
      <c r="AUM10" s="7" t="n">
        <v>1.1743742394188</v>
      </c>
      <c r="AUN10" s="7" t="n">
        <v>0.424416297821446</v>
      </c>
      <c r="AUO10" s="7" t="n">
        <v>-0.66531571737656</v>
      </c>
      <c r="AUP10" s="7" t="n">
        <v>-0.802153514161794</v>
      </c>
      <c r="AUQ10" s="7" t="n">
        <v>-0.107100880758474</v>
      </c>
      <c r="AUR10" s="7" t="n">
        <v>-0.801526447496789</v>
      </c>
      <c r="AUS10" s="7" t="n">
        <v>-0.314678022902992</v>
      </c>
      <c r="AUT10" s="7" t="n">
        <v>-1.00696063358067</v>
      </c>
      <c r="AUU10" s="7" t="n">
        <v>0.14969069450792</v>
      </c>
      <c r="AUV10" s="7" t="n">
        <v>1.04568125126784</v>
      </c>
      <c r="AUW10" s="7" t="n">
        <v>0.143772193343964</v>
      </c>
      <c r="AUX10" s="7" t="n">
        <v>1.2742295011213</v>
      </c>
      <c r="AUY10" s="7" t="n">
        <v>0.905566786920561</v>
      </c>
      <c r="AUZ10" s="7" t="n">
        <v>0.83500717816272</v>
      </c>
      <c r="AVA10" s="7" t="n">
        <v>0.0512590408547709</v>
      </c>
      <c r="AVB10" s="7" t="n">
        <v>-0.844678418175014</v>
      </c>
      <c r="AVC10" s="7" t="n">
        <v>0.381713194731968</v>
      </c>
      <c r="AVD10" s="7" t="n">
        <v>2.77210119402235</v>
      </c>
      <c r="AVE10" s="7" t="n">
        <v>0.774976887541506</v>
      </c>
      <c r="AVF10" s="7" t="n">
        <v>0.0062924691551515</v>
      </c>
      <c r="AVG10" s="7" t="n">
        <v>0.418935464326795</v>
      </c>
      <c r="AVH10" s="7" t="n">
        <v>0.009936689170589</v>
      </c>
      <c r="AVI10" s="7" t="n">
        <v>1.04980609239169</v>
      </c>
      <c r="AVJ10" s="7" t="n">
        <v>2.22886345803972</v>
      </c>
      <c r="AVK10" s="7" t="n">
        <v>1.62237513788593</v>
      </c>
      <c r="AVL10" s="7" t="n">
        <v>-0.384505564683359</v>
      </c>
      <c r="AVM10" s="7" t="n">
        <v>-0.09474111257673561</v>
      </c>
      <c r="AVN10" s="7" t="n">
        <v>-2.12764493785716</v>
      </c>
      <c r="AVO10" s="7" t="n">
        <v>-0.14195659155403</v>
      </c>
      <c r="AVP10" s="7" t="n">
        <v>-0.532742747170072</v>
      </c>
      <c r="AVQ10" s="7" t="n">
        <v>-0.368525141466973</v>
      </c>
      <c r="AVR10" s="7" t="n">
        <v>-0.765877854923371</v>
      </c>
      <c r="AVS10" s="7" t="n">
        <v>-0.531524368639041</v>
      </c>
      <c r="AVT10" s="7" t="n">
        <v>0.795742454402752</v>
      </c>
      <c r="AVU10" s="7" t="n">
        <v>-0.267052816751633</v>
      </c>
      <c r="AVV10" s="7" t="n">
        <v>0.0740275893237665</v>
      </c>
      <c r="AVW10" s="7" t="n">
        <v>-0.687380749403834</v>
      </c>
      <c r="AVX10" s="7" t="n">
        <v>1.91256512420666</v>
      </c>
      <c r="AVY10" s="7" t="n">
        <v>1.57085921089803</v>
      </c>
      <c r="AVZ10" s="7" t="n">
        <v>-0.466614083498762</v>
      </c>
      <c r="AWA10" s="7" t="n">
        <v>-0.601190644639305</v>
      </c>
      <c r="AWB10" s="7" t="n">
        <v>-0.117145552455722</v>
      </c>
      <c r="AWC10" s="7" t="n">
        <v>-1.13440589603474</v>
      </c>
      <c r="AWD10" s="7" t="n">
        <v>1.29169692241573</v>
      </c>
      <c r="AWE10" s="7" t="n">
        <v>2.06430848395975</v>
      </c>
      <c r="AWF10" s="7" t="n">
        <v>0.717928322911037</v>
      </c>
      <c r="AWG10" s="7" t="n">
        <v>1.23860470237489</v>
      </c>
      <c r="AWH10" s="7" t="n">
        <v>0.0575622630880167</v>
      </c>
      <c r="AWI10" s="7" t="n">
        <v>-0.869679384651627</v>
      </c>
      <c r="AWJ10" s="7" t="n">
        <v>0.467618904753798</v>
      </c>
      <c r="AWK10" s="7" t="n">
        <v>1.12749153889714</v>
      </c>
      <c r="AWL10" s="7" t="n">
        <v>-0.415370224941543</v>
      </c>
      <c r="AWM10" s="7" t="n">
        <v>-0.507499808423471</v>
      </c>
      <c r="AWN10" s="7" t="n">
        <v>1.49903038700797</v>
      </c>
      <c r="AWO10" s="7" t="n">
        <v>0.228644966062961</v>
      </c>
      <c r="AWP10" s="7" t="n">
        <v>1.06888175832088</v>
      </c>
      <c r="AWQ10" s="7" t="n">
        <v>-3.15458470865872</v>
      </c>
      <c r="AWR10" s="7" t="n">
        <v>1.59164586685303</v>
      </c>
      <c r="AWS10" s="7" t="n">
        <v>-1.69415156343275</v>
      </c>
      <c r="AWT10" s="7" t="n">
        <v>-1.90406281106632</v>
      </c>
      <c r="AWU10" s="7" t="n">
        <v>-0.871006268796762</v>
      </c>
      <c r="AWV10" s="7" t="n">
        <v>-1.15905547470597</v>
      </c>
      <c r="AWW10" s="7" t="n">
        <v>-1.24676487824999</v>
      </c>
      <c r="AWX10" s="7" t="n">
        <v>0.12315600200401</v>
      </c>
      <c r="AWY10" s="7" t="n">
        <v>-1.50040775501895</v>
      </c>
      <c r="AWZ10" s="7" t="n">
        <v>-0.29654405556429</v>
      </c>
      <c r="AXA10" s="7" t="n">
        <v>-0.451275310139765</v>
      </c>
      <c r="AXB10" s="7" t="n">
        <v>0.07900373691126809</v>
      </c>
      <c r="AXC10" s="7" t="n">
        <v>1.57046803655125</v>
      </c>
      <c r="AXD10" s="7" t="n">
        <v>0.7166574142268251</v>
      </c>
      <c r="AXE10" s="7" t="n">
        <v>0.484678251506772</v>
      </c>
      <c r="AXF10" s="7" t="n">
        <v>-0.81197582808642</v>
      </c>
      <c r="AXG10" s="7" t="n">
        <v>0.986683544557646</v>
      </c>
      <c r="AXH10" s="7" t="n">
        <v>-0.890399366124681</v>
      </c>
      <c r="AXI10" s="7" t="n">
        <v>-0.254490224511014</v>
      </c>
      <c r="AXJ10" s="7" t="n">
        <v>1.00916358866834</v>
      </c>
      <c r="AXK10" s="7" t="n">
        <v>1.44667795587914</v>
      </c>
      <c r="AXL10" s="7" t="n">
        <v>-0.899948692312165</v>
      </c>
      <c r="AXM10" s="7" t="n">
        <v>-1.88721197854956</v>
      </c>
      <c r="AXN10" s="7" t="n">
        <v>-0.312895380009486</v>
      </c>
      <c r="AXO10" s="7" t="n">
        <v>-0.999587469804413</v>
      </c>
      <c r="AXP10" s="7" t="n">
        <v>-0.373754299961159</v>
      </c>
      <c r="AXQ10" s="7" t="n">
        <v>-1.49446631043771</v>
      </c>
      <c r="AXR10" s="7" t="n">
        <v>0.723144955632859</v>
      </c>
      <c r="AXS10" s="7" t="n">
        <v>0.435402415288509</v>
      </c>
      <c r="AXT10" s="7" t="n">
        <v>0.237439575539174</v>
      </c>
      <c r="AXU10" s="7" t="n">
        <v>-0.459641756608073</v>
      </c>
      <c r="AXV10" s="7" t="n">
        <v>-0.0831455358627414</v>
      </c>
      <c r="AXW10" s="7" t="n">
        <v>-0.45616502734937</v>
      </c>
      <c r="AXX10" s="7" t="n">
        <v>0.599877035412399</v>
      </c>
      <c r="AXY10" s="7" t="n">
        <v>1.713354304743</v>
      </c>
      <c r="AXZ10" s="7" t="n">
        <v>-0.124342941927705</v>
      </c>
      <c r="AYA10" s="7" t="n">
        <v>-0.774871034640192</v>
      </c>
      <c r="AYB10" s="7" t="n">
        <v>-0.471153813063667</v>
      </c>
      <c r="AYC10" s="7" t="n">
        <v>-0.983816844934335</v>
      </c>
      <c r="AYD10" s="7" t="n">
        <v>-0.219844413263704</v>
      </c>
      <c r="AYE10" s="7" t="n">
        <v>0.612604961103273</v>
      </c>
      <c r="AYF10" s="7" t="n">
        <v>-2.06754322787416</v>
      </c>
      <c r="AYG10" s="7" t="n">
        <v>-0.104183550298168</v>
      </c>
      <c r="AYH10" s="7" t="n">
        <v>-0.956059203672517</v>
      </c>
      <c r="AYI10" s="7" t="n">
        <v>-0.0594902227217989</v>
      </c>
      <c r="AYJ10" s="7" t="n">
        <v>-0.306334591222918</v>
      </c>
      <c r="AYK10" s="7" t="n">
        <v>0.480928804877073</v>
      </c>
      <c r="AYL10" s="7" t="n">
        <v>0.395965769361351</v>
      </c>
      <c r="AYM10" s="7" t="n">
        <v>-0.258837384181831</v>
      </c>
      <c r="AYN10" s="7" t="n">
        <v>0.922693082401122</v>
      </c>
      <c r="AYO10" s="7" t="n">
        <v>0.453303123839889</v>
      </c>
      <c r="AYP10" s="7" t="n">
        <v>0.591520380799785</v>
      </c>
      <c r="AYQ10" s="7" t="n">
        <v>-0.480820486106395</v>
      </c>
      <c r="AYR10" s="7" t="n">
        <v>1.25054013340191</v>
      </c>
      <c r="AYS10" s="7" t="n">
        <v>0.431515236193449</v>
      </c>
      <c r="AYT10" s="7" t="n">
        <v>-0.07945416793959501</v>
      </c>
      <c r="AYU10" s="7" t="n">
        <v>0.0480739899227325</v>
      </c>
      <c r="AYV10" s="7" t="n">
        <v>1.02311980196228</v>
      </c>
      <c r="AYW10" s="7" t="n">
        <v>-2.48183600841629</v>
      </c>
      <c r="AYX10" s="7" t="n">
        <v>-1.44805029653872</v>
      </c>
      <c r="AYY10" s="7" t="n">
        <v>1.58643534636811</v>
      </c>
      <c r="AYZ10" s="7" t="n">
        <v>-1.05653737688905</v>
      </c>
      <c r="AZA10" s="7" t="n">
        <v>0.172281350325281</v>
      </c>
      <c r="AZB10" s="7" t="n">
        <v>-1.06924180304945</v>
      </c>
      <c r="AZC10" s="7" t="n">
        <v>-0.464174185503506</v>
      </c>
      <c r="AZD10" s="7" t="n">
        <v>-0.757554404367113</v>
      </c>
      <c r="AZE10" s="7" t="n">
        <v>1.62672267097677</v>
      </c>
      <c r="AZF10" s="7" t="n">
        <v>0.296586675422104</v>
      </c>
      <c r="AZG10" s="7" t="n">
        <v>0.871457932126429</v>
      </c>
      <c r="AZH10" s="7" t="n">
        <v>-0.535754002334615</v>
      </c>
      <c r="AZI10" s="7" t="n">
        <v>-0.739838214742412</v>
      </c>
      <c r="AZJ10" s="7" t="n">
        <v>0.332530127977781</v>
      </c>
      <c r="AZK10" s="7" t="n">
        <v>-1.01252780123071</v>
      </c>
      <c r="AZL10" s="7" t="n">
        <v>-0.454494160490555</v>
      </c>
      <c r="AZM10" s="7" t="n">
        <v>0.416434462102016</v>
      </c>
      <c r="AZN10" s="7" t="n">
        <v>-0.289869087784596</v>
      </c>
      <c r="AZO10" s="7" t="n">
        <v>-1.8032437052198</v>
      </c>
      <c r="AZP10" s="7" t="n">
        <v>1.52020181326836</v>
      </c>
      <c r="AZQ10" s="7" t="n">
        <v>0.261387594872369</v>
      </c>
      <c r="AZR10" s="7" t="n">
        <v>-0.0023040894567381</v>
      </c>
      <c r="AZS10" s="7" t="n">
        <v>-1.58287693133382</v>
      </c>
      <c r="AZT10" s="7" t="n">
        <v>-0.628805004405523</v>
      </c>
      <c r="AZU10" s="7" t="n">
        <v>-0.7050703649578129</v>
      </c>
      <c r="AZV10" s="7" t="n">
        <v>1.65314099881149</v>
      </c>
      <c r="AZW10" s="7" t="n">
        <v>-0.31945059178422</v>
      </c>
      <c r="AZX10" s="7" t="n">
        <v>-0.473858321312994</v>
      </c>
      <c r="AZY10" s="7" t="n">
        <v>-1.3204753705111</v>
      </c>
      <c r="AZZ10" s="7" t="n">
        <v>-0.241173282352784</v>
      </c>
      <c r="BAA10" s="7" t="n">
        <v>-0.806776395318914</v>
      </c>
      <c r="BAB10" s="7" t="n">
        <v>-0.733995440784027</v>
      </c>
      <c r="BAC10" s="7" t="n">
        <v>0.961847603317269</v>
      </c>
      <c r="BAD10" s="7" t="n">
        <v>1.54472693139817</v>
      </c>
      <c r="BAE10" s="7" t="n">
        <v>0.744212618231452</v>
      </c>
      <c r="BAF10" s="7" t="n">
        <v>-1.36985549537105</v>
      </c>
      <c r="BAG10" s="7" t="n">
        <v>0.7570841793570759</v>
      </c>
      <c r="BAH10" s="7" t="n">
        <v>-0.0285766121572832</v>
      </c>
      <c r="BAI10" s="7" t="n">
        <v>0.181570272337866</v>
      </c>
      <c r="BAJ10" s="7" t="n">
        <v>0.469579176247056</v>
      </c>
      <c r="BAK10" s="7" t="n">
        <v>-0.564605551757579</v>
      </c>
      <c r="BAL10" s="7" t="n">
        <v>0.580029404983465</v>
      </c>
      <c r="BAM10" s="7" t="n">
        <v>0.9206024610906</v>
      </c>
      <c r="BAN10" s="7" t="n">
        <v>-0.754293651606767</v>
      </c>
      <c r="BAO10" s="7" t="n">
        <v>0.158727368981904</v>
      </c>
      <c r="BAP10" s="7" t="n">
        <v>-0.329934075443848</v>
      </c>
      <c r="BAQ10" s="7" t="n">
        <v>0.9185809404537399</v>
      </c>
      <c r="BAR10" s="7" t="n">
        <v>-0.344429229026532</v>
      </c>
      <c r="BAS10" s="7" t="n">
        <v>-0.128668049130438</v>
      </c>
      <c r="BAT10" s="7" t="n">
        <v>-0.160126099875744</v>
      </c>
      <c r="BAU10" s="7" t="n">
        <v>-2.15534544790562</v>
      </c>
      <c r="BAV10" s="7" t="n">
        <v>-0.708056544113427</v>
      </c>
      <c r="BAW10" s="7" t="n">
        <v>1.74035642863989</v>
      </c>
      <c r="BAX10" s="7" t="n">
        <v>0.399101523029597</v>
      </c>
      <c r="BAY10" s="7" t="n">
        <v>-0.7034559998415491</v>
      </c>
      <c r="BAZ10" s="7" t="n">
        <v>1.24191526658925</v>
      </c>
      <c r="BBA10" s="7" t="n">
        <v>-0.623127424972398</v>
      </c>
      <c r="BBB10" s="7" t="n">
        <v>0.390739212524819</v>
      </c>
      <c r="BBC10" s="7" t="n">
        <v>0.807182448168967</v>
      </c>
      <c r="BBD10" s="7" t="n">
        <v>0.420931501880179</v>
      </c>
      <c r="BBE10" s="7" t="n">
        <v>-0.248591909678535</v>
      </c>
      <c r="BBF10" s="7" t="n">
        <v>-0.145123638746546</v>
      </c>
      <c r="BBG10" s="7" t="n">
        <v>-1.30596318269876</v>
      </c>
      <c r="BBH10" s="7" t="n">
        <v>-0.85897267188716</v>
      </c>
      <c r="BBI10" s="7" t="n">
        <v>-0.415737297305455</v>
      </c>
      <c r="BBJ10" s="7" t="n">
        <v>0.0986538942864531</v>
      </c>
      <c r="BBK10" s="7" t="n">
        <v>-2.42896715726932</v>
      </c>
      <c r="BBL10" s="7" t="n">
        <v>-0.279179226665385</v>
      </c>
      <c r="BBM10" s="7" t="n">
        <v>0.684539891132635</v>
      </c>
      <c r="BBN10" s="7" t="n">
        <v>-0.32432029443575</v>
      </c>
      <c r="BBO10" s="7" t="n">
        <v>-0.0599218072129309</v>
      </c>
      <c r="BBP10" s="7" t="n">
        <v>-0.381272005388817</v>
      </c>
      <c r="BBQ10" s="7" t="n">
        <v>-1.12411277528087</v>
      </c>
      <c r="BBR10" s="7" t="n">
        <v>-1.92630021868328</v>
      </c>
      <c r="BBS10" s="7" t="n">
        <v>0.66204019279274</v>
      </c>
      <c r="BBT10" s="7" t="n">
        <v>-0.5258234635462929</v>
      </c>
      <c r="BBU10" s="7" t="n">
        <v>-0.855029718664825</v>
      </c>
      <c r="BBV10" s="7" t="n">
        <v>0.188424282573458</v>
      </c>
      <c r="BBW10" s="7" t="n">
        <v>-2.00865798141317</v>
      </c>
      <c r="BBX10" s="7" t="n">
        <v>-0.427152798054176</v>
      </c>
      <c r="BBY10" s="7" t="n">
        <v>2.16033133158406</v>
      </c>
      <c r="BBZ10" s="7" t="n">
        <v>-0.416862127128296</v>
      </c>
      <c r="BCA10" s="7" t="n">
        <v>1.93470567573876</v>
      </c>
      <c r="BCB10" s="7" t="n">
        <v>-0.270026069635039</v>
      </c>
      <c r="BCC10" s="7" t="n">
        <v>-0.614879445903548</v>
      </c>
      <c r="BCD10" s="7" t="n">
        <v>-0.0913213841448398</v>
      </c>
      <c r="BCE10" s="7" t="n">
        <v>1.35440497941768</v>
      </c>
      <c r="BCF10" s="7" t="n">
        <v>1.61351609123971</v>
      </c>
      <c r="BCG10" s="7" t="n">
        <v>-1.14537926798191</v>
      </c>
      <c r="BCH10" s="7" t="n">
        <v>-1.82926796197993</v>
      </c>
      <c r="BCI10" s="7" t="n">
        <v>0.680892294241995</v>
      </c>
      <c r="BCJ10" s="7" t="n">
        <v>-0.13156866968615</v>
      </c>
      <c r="BCK10" s="7" t="n">
        <v>0.652349683145361</v>
      </c>
      <c r="BCL10" s="7" t="n">
        <v>-0.340484996687271</v>
      </c>
      <c r="BCM10" s="7" t="n">
        <v>0.425069440101161</v>
      </c>
      <c r="BCN10" s="7" t="n">
        <v>-0.525387280362398</v>
      </c>
      <c r="BCO10" s="7" t="n">
        <v>0.7265556309235019</v>
      </c>
      <c r="BCP10" s="7" t="n">
        <v>0.953896166783606</v>
      </c>
      <c r="BCQ10" s="7" t="n">
        <v>0.495081465338097</v>
      </c>
      <c r="BCR10" s="7" t="n">
        <v>-1.32172233697328</v>
      </c>
      <c r="BCS10" s="7" t="n">
        <v>-1.15536422767131</v>
      </c>
      <c r="BCT10" s="7" t="n">
        <v>0.9003535708649441</v>
      </c>
      <c r="BCU10" s="7" t="n">
        <v>0.0601708750263005</v>
      </c>
      <c r="BCV10" s="7" t="n">
        <v>-1.5471751154005</v>
      </c>
      <c r="BCW10" s="7" t="n">
        <v>-0.560396226574331</v>
      </c>
      <c r="BCX10" s="7" t="n">
        <v>-0.117167800750117</v>
      </c>
      <c r="BCY10" s="7" t="n">
        <v>-1.01038482843776</v>
      </c>
      <c r="BCZ10" s="7" t="n">
        <v>-1.00029632397001</v>
      </c>
      <c r="BDA10" s="7" t="n">
        <v>0.143586377754167</v>
      </c>
      <c r="BDB10" s="7" t="n">
        <v>-0.0251308033915738</v>
      </c>
      <c r="BDC10" s="7" t="n">
        <v>-2.5016139656603</v>
      </c>
      <c r="BDD10" s="7" t="n">
        <v>-2.02535466738348</v>
      </c>
      <c r="BDE10" s="7" t="n">
        <v>0.330308101226326</v>
      </c>
      <c r="BDF10" s="7" t="n">
        <v>-0.5735917265893</v>
      </c>
      <c r="BDG10" s="7" t="n">
        <v>1.57137508109095</v>
      </c>
      <c r="BDH10" s="7" t="n">
        <v>-1.16086777578873</v>
      </c>
      <c r="BDI10" s="7" t="n">
        <v>-1.71511372443946</v>
      </c>
      <c r="BDJ10" s="7" t="n">
        <v>0.0820442575690072</v>
      </c>
      <c r="BDK10" s="7" t="n">
        <v>-1.35833482314932</v>
      </c>
      <c r="BDL10" s="7" t="n">
        <v>-0.0649818202619646</v>
      </c>
      <c r="BDM10" s="7" t="n">
        <v>0.6045340085252739</v>
      </c>
      <c r="BDN10" s="7" t="n">
        <v>-0.0986837953972724</v>
      </c>
      <c r="BDO10" s="7" t="n">
        <v>-1.49509099540929</v>
      </c>
      <c r="BDP10" s="7" t="n">
        <v>0.798009495770951</v>
      </c>
      <c r="BDQ10" s="7" t="n">
        <v>-1.67294270841262</v>
      </c>
      <c r="BDR10" s="7" t="n">
        <v>-0.623655088381345</v>
      </c>
      <c r="BDS10" s="7" t="n">
        <v>0.207964544294384</v>
      </c>
      <c r="BDT10" s="7" t="n">
        <v>-1.11700348130021</v>
      </c>
      <c r="BDU10" s="7" t="n">
        <v>-0.374271501557471</v>
      </c>
      <c r="BDV10" s="7" t="n">
        <v>-0.510497311373827</v>
      </c>
      <c r="BDW10" s="7" t="n">
        <v>-0.810351212878387</v>
      </c>
      <c r="BDX10" s="7" t="n">
        <v>0.9503489027294409</v>
      </c>
      <c r="BDY10" s="7" t="n">
        <v>0.992766181111401</v>
      </c>
      <c r="BDZ10" s="7" t="n">
        <v>-1.39734984405776</v>
      </c>
      <c r="BEA10" s="7" t="n">
        <v>0.91502142906096</v>
      </c>
      <c r="BEB10" s="7" t="n">
        <v>0.166073490260272</v>
      </c>
      <c r="BEC10" s="7" t="n">
        <v>-1.7068667070702</v>
      </c>
      <c r="BED10" s="7" t="n">
        <v>-0.465799710497315</v>
      </c>
      <c r="BEE10" s="7" t="n">
        <v>-3.05173583909275</v>
      </c>
      <c r="BEF10" s="7" t="n">
        <v>0.762639160287593</v>
      </c>
      <c r="BEG10" s="7" t="n">
        <v>-0.582443794688475</v>
      </c>
      <c r="BEH10" s="7" t="n">
        <v>-1.01774494259226</v>
      </c>
      <c r="BEI10" s="7" t="n">
        <v>-0.371898533385676</v>
      </c>
      <c r="BEJ10" s="7" t="n">
        <v>0.208844069887894</v>
      </c>
      <c r="BEK10" s="7" t="n">
        <v>0.549928825749249</v>
      </c>
      <c r="BEL10" s="7" t="n">
        <v>1.42420966846546</v>
      </c>
      <c r="BEM10" s="7" t="n">
        <v>1.32316457727027</v>
      </c>
      <c r="BEN10" s="7" t="n">
        <v>1.60144841322154</v>
      </c>
      <c r="BEO10" s="7" t="n">
        <v>-1.193017804169</v>
      </c>
      <c r="BEP10" s="7" t="n">
        <v>0.225906478161501</v>
      </c>
      <c r="BEQ10" s="7" t="n">
        <v>-1.05570671859346</v>
      </c>
      <c r="BER10" s="7" t="n">
        <v>0.0190187238000574</v>
      </c>
      <c r="BES10" s="7" t="n">
        <v>-0.625262423289032</v>
      </c>
      <c r="BET10" s="7" t="n">
        <v>0.412958596870346</v>
      </c>
      <c r="BEU10" s="7" t="n">
        <v>-1.14286304745986</v>
      </c>
      <c r="BEV10" s="7" t="n">
        <v>-0.0634449500087058</v>
      </c>
      <c r="BEW10" s="7" t="n">
        <v>0.583518200006215</v>
      </c>
      <c r="BEX10" s="7" t="n">
        <v>1.07153592364034</v>
      </c>
      <c r="BEY10" s="7" t="n">
        <v>-1.00615109758238</v>
      </c>
      <c r="BEZ10" s="7" t="n">
        <v>-1.02673286822453</v>
      </c>
      <c r="BFA10" s="7" t="n">
        <v>-0.669615140177741</v>
      </c>
      <c r="BFB10" s="7" t="n">
        <v>-0.595199779023674</v>
      </c>
      <c r="BFC10" s="7" t="n">
        <v>-0.357095541853438</v>
      </c>
      <c r="BFD10" s="7" t="n">
        <v>-0.728196121521969</v>
      </c>
      <c r="BFE10" s="7" t="n">
        <v>-0.156707447307914</v>
      </c>
      <c r="BFF10" s="7" t="n">
        <v>1.93921277989564</v>
      </c>
      <c r="BFG10" s="7" t="n">
        <v>-0.952459821954457</v>
      </c>
      <c r="BFH10" s="7" t="n">
        <v>-1.28075508281645</v>
      </c>
      <c r="BFI10" s="7" t="n">
        <v>-0.173281286697014</v>
      </c>
      <c r="BFJ10" s="7" t="n">
        <v>0.35553251626185</v>
      </c>
      <c r="BFK10" s="7" t="n">
        <v>-0.86026759277923</v>
      </c>
      <c r="BFL10" s="7" t="n">
        <v>-0.131232202979801</v>
      </c>
      <c r="BFM10" s="7" t="n">
        <v>1.02275945962492</v>
      </c>
      <c r="BFN10" s="7" t="n">
        <v>0.586126059998836</v>
      </c>
      <c r="BFO10" s="7" t="n">
        <v>-0.481640003414034</v>
      </c>
      <c r="BFP10" s="7" t="n">
        <v>3.94897088705268</v>
      </c>
      <c r="BFQ10" s="7" t="n">
        <v>-0.5211969542470269</v>
      </c>
      <c r="BFR10" s="7" t="n">
        <v>0.256047809953462</v>
      </c>
      <c r="BFS10" s="7" t="n">
        <v>0.116706069615011</v>
      </c>
      <c r="BFT10" s="7" t="n">
        <v>-0.898079077537984</v>
      </c>
      <c r="BFU10" s="7" t="n">
        <v>-0.06754939416060279</v>
      </c>
      <c r="BFV10" s="7" t="n">
        <v>-0.568595357434965</v>
      </c>
      <c r="BFW10" s="7" t="n">
        <v>1.9682496958792</v>
      </c>
      <c r="BFX10" s="7" t="n">
        <v>-0.440319530239477</v>
      </c>
      <c r="BFY10" s="7" t="n">
        <v>0.661609576369535</v>
      </c>
      <c r="BFZ10" s="7" t="n">
        <v>-0.257548754614427</v>
      </c>
      <c r="BGA10" s="7" t="n">
        <v>-0.9592052007302591</v>
      </c>
      <c r="BGB10" s="7" t="n">
        <v>1.78291768367895</v>
      </c>
      <c r="BGC10" s="7" t="n">
        <v>-0.348988839802115</v>
      </c>
      <c r="BGD10" s="7" t="n">
        <v>0.425027787459079</v>
      </c>
      <c r="BGE10" s="7" t="n">
        <v>-0.728662711887211</v>
      </c>
      <c r="BGF10" s="7" t="n">
        <v>1.88515581931613</v>
      </c>
      <c r="BGG10" s="7" t="n">
        <v>1.50324615599842</v>
      </c>
      <c r="BGH10" s="7" t="n">
        <v>-0.774849625571648</v>
      </c>
      <c r="BGI10" s="7" t="n">
        <v>-2.36146611652329</v>
      </c>
      <c r="BGJ10" s="7" t="n">
        <v>0.644013740059926</v>
      </c>
      <c r="BGK10" s="7" t="n">
        <v>1.48241557094506</v>
      </c>
      <c r="BGL10" s="7" t="n">
        <v>-1.20367181218717</v>
      </c>
      <c r="BGM10" s="7" t="n">
        <v>0.710059228719193</v>
      </c>
      <c r="BGN10" s="7" t="n">
        <v>-1.79643205161302</v>
      </c>
      <c r="BGO10" s="7" t="n">
        <v>0.731379104458152</v>
      </c>
      <c r="BGP10" s="7" t="n">
        <v>1.70802785078615</v>
      </c>
      <c r="BGQ10" s="7" t="n">
        <v>0.0205665241562684</v>
      </c>
      <c r="BGR10" s="7" t="n">
        <v>-1.14245482941304</v>
      </c>
      <c r="BGS10" s="7" t="n">
        <v>-2.00558650050995</v>
      </c>
      <c r="BGT10" s="7" t="n">
        <v>-0.8945826200500639</v>
      </c>
      <c r="BGU10" s="7" t="n">
        <v>0.658368452660956</v>
      </c>
      <c r="BGV10" s="7" t="n">
        <v>0.75336908937962</v>
      </c>
      <c r="BGW10" s="7" t="n">
        <v>-0.677601376024288</v>
      </c>
      <c r="BGX10" s="7" t="n">
        <v>-1.91326526724693</v>
      </c>
      <c r="BGY10" s="7" t="n">
        <v>0.0488940458565498</v>
      </c>
      <c r="BGZ10" s="7" t="n">
        <v>1.11738380704981</v>
      </c>
      <c r="BHA10" s="7" t="n">
        <v>-2.00346689631683</v>
      </c>
      <c r="BHB10" s="7" t="n">
        <v>-1.99237928368934</v>
      </c>
      <c r="BHC10" s="7" t="n">
        <v>-1.49901269029968</v>
      </c>
      <c r="BHD10" s="7" t="n">
        <v>-0.621363473782066</v>
      </c>
      <c r="BHE10" s="7" t="n">
        <v>-0.26374904790753</v>
      </c>
      <c r="BHF10" s="7" t="n">
        <v>-0.473578464102696</v>
      </c>
      <c r="BHG10" s="7" t="n">
        <v>-0.333962947221103</v>
      </c>
      <c r="BHH10" s="7" t="n">
        <v>-1.5787603626963</v>
      </c>
      <c r="BHI10" s="7" t="n">
        <v>1.86233316778043</v>
      </c>
      <c r="BHJ10" s="7" t="n">
        <v>-0.767418061310851</v>
      </c>
      <c r="BHK10" s="7" t="n">
        <v>0.135895427392983</v>
      </c>
      <c r="BHL10" s="7" t="n">
        <v>-0.476172739989679</v>
      </c>
      <c r="BHM10" s="7" t="n">
        <v>-1.45113592271967</v>
      </c>
      <c r="BHN10" s="7" t="n">
        <v>-0.494173806015399</v>
      </c>
      <c r="BHO10" s="7" t="n">
        <v>-0.466925429102334</v>
      </c>
      <c r="BHP10" s="7" t="n">
        <v>-0.378883503640335</v>
      </c>
      <c r="BHQ10" s="7" t="n">
        <v>-0.75333419735986</v>
      </c>
      <c r="BHR10" s="7" t="n">
        <v>0.968946316264466</v>
      </c>
      <c r="BHS10" s="7" t="n">
        <v>0.176678986729769</v>
      </c>
      <c r="BHT10" s="7" t="n">
        <v>0.162298880080086</v>
      </c>
      <c r="BHU10" s="7" t="n">
        <v>-0.766697381046731</v>
      </c>
      <c r="BHV10" s="7" t="n">
        <v>0.478740321451745</v>
      </c>
      <c r="BHW10" s="7" t="n">
        <v>-2.31539277384116</v>
      </c>
      <c r="BHX10" s="7" t="n">
        <v>-0.273205741241077</v>
      </c>
      <c r="BHY10" s="7" t="n">
        <v>0.648532617487422</v>
      </c>
      <c r="BHZ10" s="7" t="n">
        <v>-0.977835057872252</v>
      </c>
      <c r="BIA10" s="7" t="n">
        <v>2.1054778223933</v>
      </c>
      <c r="BIB10" s="7" t="n">
        <v>0.252753040457854</v>
      </c>
      <c r="BIC10" s="7" t="n">
        <v>0.427579106061661</v>
      </c>
      <c r="BID10" s="7" t="n">
        <v>0.269185259290346</v>
      </c>
      <c r="BIE10" s="7" t="n">
        <v>0.167821465618853</v>
      </c>
      <c r="BIF10" s="7" t="n">
        <v>-0.810977410581473</v>
      </c>
      <c r="BIG10" s="7" t="n">
        <v>0.386933897934839</v>
      </c>
      <c r="BIH10" s="7" t="n">
        <v>0.199525784376074</v>
      </c>
      <c r="BII10" s="7" t="n">
        <v>-1.64490928830493</v>
      </c>
      <c r="BIJ10" s="7" t="n">
        <v>-1.63907276613164</v>
      </c>
      <c r="BIK10" s="7" t="n">
        <v>0.9539692791764079</v>
      </c>
      <c r="BIL10" s="7" t="n">
        <v>1.04712920023256</v>
      </c>
      <c r="BIM10" s="7" t="n">
        <v>0.273758773548214</v>
      </c>
      <c r="BIN10" s="7" t="n">
        <v>1.15347374932391</v>
      </c>
      <c r="BIO10" s="7" t="n">
        <v>-1.0188616859126</v>
      </c>
      <c r="BIP10" s="7" t="n">
        <v>1.27148451106189</v>
      </c>
      <c r="BIQ10" s="7" t="n">
        <v>-0.573514994377138</v>
      </c>
      <c r="BIR10" s="7" t="n">
        <v>-0.017741230563661</v>
      </c>
      <c r="BIS10" s="7" t="n">
        <v>1.86275346504379</v>
      </c>
      <c r="BIT10" s="7" t="n">
        <v>-0.808141519986825</v>
      </c>
      <c r="BIU10" s="7" t="n">
        <v>0.0178231445892822</v>
      </c>
      <c r="BIV10" s="7" t="n">
        <v>0.447858161629934</v>
      </c>
      <c r="BIW10" s="7" t="n">
        <v>-0.592520017800409</v>
      </c>
      <c r="BIX10" s="7" t="n">
        <v>-0.120836931871161</v>
      </c>
      <c r="BIY10" s="7" t="n">
        <v>1.50538229795341</v>
      </c>
      <c r="BIZ10" s="7" t="n">
        <v>2.07764203738401</v>
      </c>
      <c r="BJA10" s="7" t="n">
        <v>-1.03604978280965</v>
      </c>
      <c r="BJB10" s="7" t="n">
        <v>0.126983571105029</v>
      </c>
      <c r="BJC10" s="7" t="n">
        <v>-0.112671039090006</v>
      </c>
      <c r="BJD10" s="7" t="n">
        <v>2.19475443361568</v>
      </c>
      <c r="BJE10" s="7" t="n">
        <v>0.597697016436377</v>
      </c>
      <c r="BJF10" s="7" t="n">
        <v>2.1041158976454</v>
      </c>
      <c r="BJG10" s="7" t="n">
        <v>2.00351927690391</v>
      </c>
      <c r="BJH10" s="7" t="n">
        <v>0.232764553683333</v>
      </c>
      <c r="BJI10" s="7" t="n">
        <v>0.531513222874665</v>
      </c>
      <c r="BJJ10" s="7" t="n">
        <v>-0.756086162910344</v>
      </c>
      <c r="BJK10" s="7" t="n">
        <v>1.04975753294063</v>
      </c>
      <c r="BJL10" s="7" t="n">
        <v>-0.123418251897834</v>
      </c>
      <c r="BJM10" s="7" t="n">
        <v>0.0360399333106163</v>
      </c>
      <c r="BJN10" s="7" t="n">
        <v>-0.816467518991894</v>
      </c>
      <c r="BJO10" s="7" t="n">
        <v>-0.528679086639587</v>
      </c>
      <c r="BJP10" s="7" t="n">
        <v>-1.63967524541817</v>
      </c>
      <c r="BJQ10" s="7" t="n">
        <v>1.19800594935921</v>
      </c>
      <c r="BJR10" s="7" t="n">
        <v>-0.303193254760596</v>
      </c>
      <c r="BJS10" s="7" t="n">
        <v>-0.466551702929427</v>
      </c>
      <c r="BJT10" s="7" t="n">
        <v>0.6518734498607049</v>
      </c>
      <c r="BJU10" s="7" t="n">
        <v>0.309037923387727</v>
      </c>
      <c r="BJV10" s="7" t="n">
        <v>-0.0455813331880626</v>
      </c>
      <c r="BJW10" s="7" t="n">
        <v>0.908834164147974</v>
      </c>
      <c r="BJX10" s="7" t="n">
        <v>0.680475044317742</v>
      </c>
      <c r="BJY10" s="7" t="n">
        <v>0.0363667741724713</v>
      </c>
      <c r="BJZ10" s="7" t="n">
        <v>0.74344594901681</v>
      </c>
      <c r="BKA10" s="7" t="n">
        <v>0.504178194803837</v>
      </c>
      <c r="BKB10" s="7" t="n">
        <v>0.310332329994087</v>
      </c>
      <c r="BKC10" s="7" t="n">
        <v>0.550422113474454</v>
      </c>
      <c r="BKD10" s="7" t="n">
        <v>3.0463620703666</v>
      </c>
      <c r="BKE10" s="7" t="n">
        <v>-0.451702865105697</v>
      </c>
      <c r="BKF10" s="7" t="n">
        <v>-0.1840920093806</v>
      </c>
      <c r="BKG10" s="7" t="n">
        <v>0.08342070928195371</v>
      </c>
      <c r="BKH10" s="7" t="n">
        <v>-0.157243172527172</v>
      </c>
      <c r="BKI10" s="7" t="n">
        <v>-1.35385045815858</v>
      </c>
      <c r="BKJ10" s="7" t="n">
        <v>0.441090952297335</v>
      </c>
      <c r="BKK10" s="7" t="n">
        <v>0.08685573846041809</v>
      </c>
      <c r="BKL10" s="7" t="n">
        <v>-0.229179402292719</v>
      </c>
      <c r="BKM10" s="7" t="n">
        <v>0.151798319649361</v>
      </c>
      <c r="BKN10" s="7" t="n">
        <v>-0.417044787461927</v>
      </c>
      <c r="BKO10" s="7" t="n">
        <v>0.346151053125258</v>
      </c>
      <c r="BKP10" s="7" t="n">
        <v>-0.772544306060982</v>
      </c>
      <c r="BKQ10" s="7" t="n">
        <v>-1.21443299569252</v>
      </c>
      <c r="BKR10" s="7" t="n">
        <v>0.518219039327485</v>
      </c>
      <c r="BKS10" s="7" t="n">
        <v>-0.09670979662419189</v>
      </c>
      <c r="BKT10" s="7" t="n">
        <v>-0.51428012789328</v>
      </c>
      <c r="BKU10" s="7" t="n">
        <v>0.6258745093564529</v>
      </c>
      <c r="BKV10" s="7" t="n">
        <v>0.22043144494972</v>
      </c>
      <c r="BKW10" s="7" t="n">
        <v>-1.45475798833562</v>
      </c>
      <c r="BKX10" s="7" t="n">
        <v>-0.151845515210197</v>
      </c>
      <c r="BKY10" s="7" t="n">
        <v>0.371339581593801</v>
      </c>
      <c r="BKZ10" s="7" t="n">
        <v>-0.341129555238636</v>
      </c>
      <c r="BLA10" s="7" t="n">
        <v>-0.0346446379010506</v>
      </c>
      <c r="BLB10" s="7" t="n">
        <v>-0.5724508989372969</v>
      </c>
      <c r="BLC10" s="7" t="n">
        <v>-0.58268300509781</v>
      </c>
      <c r="BLD10" s="7" t="n">
        <v>0.456475740876247</v>
      </c>
      <c r="BLE10" s="7" t="n">
        <v>-0.927049563686478</v>
      </c>
      <c r="BLF10" s="7" t="n">
        <v>1.18107257433545</v>
      </c>
      <c r="BLG10" s="7" t="n">
        <v>-1.092806207963</v>
      </c>
      <c r="BLH10" s="7" t="n">
        <v>-0.348223481237136</v>
      </c>
      <c r="BLI10" s="7" t="n">
        <v>0.74372086604175</v>
      </c>
      <c r="BLJ10" s="7" t="n">
        <v>0.0611315820766224</v>
      </c>
      <c r="BLK10" s="7" t="n">
        <v>0.324502286626434</v>
      </c>
      <c r="BLL10" s="7" t="n">
        <v>-0.525764298170223</v>
      </c>
      <c r="BLM10" s="7" t="n">
        <v>1.56932860863498</v>
      </c>
      <c r="BLN10" s="7" t="n">
        <v>0.06428257784426721</v>
      </c>
      <c r="BLO10" s="7" t="n">
        <v>-0.08438351103045159</v>
      </c>
      <c r="BLP10" s="7" t="n">
        <v>0.72333527906564</v>
      </c>
      <c r="BLQ10" s="7" t="n">
        <v>0.156371415076747</v>
      </c>
      <c r="BLR10" s="7" t="n">
        <v>0.50525766342909</v>
      </c>
      <c r="BLS10" s="7" t="n">
        <v>1.54241197693113</v>
      </c>
      <c r="BLT10" s="7" t="n">
        <v>-0.089803595051338</v>
      </c>
      <c r="BLU10" s="7" t="n">
        <v>-1.99594764054342</v>
      </c>
      <c r="BLV10" s="7" t="n">
        <v>-1.4396194513423</v>
      </c>
      <c r="BLW10" s="7" t="n">
        <v>0.883868215255652</v>
      </c>
      <c r="BLX10" s="7" t="n">
        <v>-0.313349602007534</v>
      </c>
      <c r="BLY10" s="7" t="n">
        <v>-0.296020330731315</v>
      </c>
      <c r="BLZ10" s="7" t="n">
        <v>-0.186739023690227</v>
      </c>
      <c r="BMA10" s="7" t="n">
        <v>0.652109191046275</v>
      </c>
      <c r="BMB10" s="7" t="n">
        <v>-0.0071368481584077</v>
      </c>
      <c r="BMC10" s="7" t="n">
        <v>-0.087299417952261</v>
      </c>
      <c r="BMD10" s="7" t="n">
        <v>0.488763041797181</v>
      </c>
      <c r="BME10" s="7" t="n">
        <v>1.31698219712851</v>
      </c>
      <c r="BMF10" s="7" t="n">
        <v>1.37882015916926</v>
      </c>
      <c r="BMG10" s="7" t="n">
        <v>1.93544653091975</v>
      </c>
      <c r="BMH10" s="7" t="n">
        <v>1.04469767946069</v>
      </c>
      <c r="BMI10" s="7" t="n">
        <v>-0.0479735048700302</v>
      </c>
      <c r="BMJ10" s="7" t="n">
        <v>0.536317721379446</v>
      </c>
      <c r="BMK10" s="7" t="n">
        <v>-2.43338867845239</v>
      </c>
      <c r="BML10" s="7" t="n">
        <v>-0.900591570411958</v>
      </c>
      <c r="BMM10" s="7" t="n">
        <v>1.64560508782142</v>
      </c>
      <c r="BMN10" s="7" t="n">
        <v>0.956136976267459</v>
      </c>
      <c r="BMO10" s="7" t="n">
        <v>-1.26792370526741</v>
      </c>
      <c r="BMP10" s="7" t="n">
        <v>0.696098200839486</v>
      </c>
      <c r="BMQ10" s="7" t="n">
        <v>1.11390368541917</v>
      </c>
      <c r="BMR10" s="7" t="n">
        <v>-1.8130361151872</v>
      </c>
      <c r="BMS10" s="7" t="n">
        <v>-0.32381013519486</v>
      </c>
      <c r="BMT10" s="7" t="n">
        <v>0.498080735121194</v>
      </c>
      <c r="BMU10" s="7" t="n">
        <v>-1.28039697192305</v>
      </c>
      <c r="BMV10" s="7" t="n">
        <v>0.331115757422607</v>
      </c>
      <c r="BMW10" s="7" t="n">
        <v>-0.210063960966462</v>
      </c>
      <c r="BMX10" s="7" t="n">
        <v>-1.30839476729776</v>
      </c>
      <c r="BMY10" s="7" t="n">
        <v>0.388891650599509</v>
      </c>
      <c r="BMZ10" s="7" t="n">
        <v>-1.38701712999925</v>
      </c>
      <c r="BNA10" s="7" t="n">
        <v>-1.01644226147529</v>
      </c>
      <c r="BNB10" s="7" t="n">
        <v>1.2155966326359</v>
      </c>
      <c r="BNC10" s="7" t="n">
        <v>-0.6757107207766579</v>
      </c>
      <c r="BND10" s="7" t="n">
        <v>-0.622347691926238</v>
      </c>
      <c r="BNE10" s="7" t="n">
        <v>0.783745236386879</v>
      </c>
      <c r="BNF10" s="7" t="n">
        <v>-0.264277845157995</v>
      </c>
      <c r="BNG10" s="7" t="n">
        <v>1.34839131974921</v>
      </c>
      <c r="BNH10" s="7" t="n">
        <v>1.57987049117839</v>
      </c>
      <c r="BNI10" s="7" t="n">
        <v>-1.17897613612404</v>
      </c>
      <c r="BNJ10" s="7" t="n">
        <v>-0.971463754132035</v>
      </c>
      <c r="BNK10" s="7" t="n">
        <v>0.7149149175219009</v>
      </c>
      <c r="BNL10" s="7" t="n">
        <v>-0.71603592970888</v>
      </c>
      <c r="BNM10" s="7" t="n">
        <v>1.49659617802715</v>
      </c>
      <c r="BNN10" s="7" t="n">
        <v>0.13022272971359</v>
      </c>
      <c r="BNO10" s="7" t="n">
        <v>1.44472125237692</v>
      </c>
      <c r="BNP10" s="7" t="n">
        <v>0.0239950151089019</v>
      </c>
      <c r="BNQ10" s="7" t="n">
        <v>0.436048035937655</v>
      </c>
      <c r="BNR10" s="7" t="n">
        <v>0.411666459385545</v>
      </c>
      <c r="BNS10" s="7" t="n">
        <v>-2.70748092199128</v>
      </c>
      <c r="BNT10" s="7" t="n">
        <v>-2.13774899076207</v>
      </c>
      <c r="BNU10" s="7" t="n">
        <v>-0.100047393437146</v>
      </c>
      <c r="BNV10" s="7" t="n">
        <v>0.5141081687606101</v>
      </c>
      <c r="BNW10" s="7" t="n">
        <v>0.124551357432392</v>
      </c>
      <c r="BNX10" s="7" t="n">
        <v>0.683328608258431</v>
      </c>
      <c r="BNY10" s="7" t="n">
        <v>1.27356576598402</v>
      </c>
      <c r="BNZ10" s="7" t="n">
        <v>1.38993722840696</v>
      </c>
      <c r="BOA10" s="7" t="n">
        <v>-0.24747657424296</v>
      </c>
      <c r="BOB10" s="7" t="n">
        <v>-1.26815981217738</v>
      </c>
      <c r="BOC10" s="7" t="n">
        <v>0.5016178913507851</v>
      </c>
      <c r="BOD10" s="7" t="n">
        <v>0.5919215064401629</v>
      </c>
      <c r="BOE10" s="7" t="n">
        <v>-2.20029567469379</v>
      </c>
      <c r="BOF10" s="7" t="n">
        <v>-0.961418067279548</v>
      </c>
      <c r="BOG10" s="7" t="n">
        <v>0.0137983664445522</v>
      </c>
      <c r="BOH10" s="7" t="n">
        <v>-0.0308093955344689</v>
      </c>
      <c r="BOI10" s="7" t="n">
        <v>-0.140911398779519</v>
      </c>
      <c r="BOJ10" s="7" t="n">
        <v>1.47907734621933</v>
      </c>
      <c r="BOK10" s="7" t="n">
        <v>0.616866460387026</v>
      </c>
      <c r="BOL10" s="7" t="n">
        <v>-0.09539581472999489</v>
      </c>
      <c r="BOM10" s="7" t="n">
        <v>-0.5845557879994689</v>
      </c>
      <c r="BON10" s="7" t="n">
        <v>0.000825220020613</v>
      </c>
      <c r="BOO10" s="7" t="n">
        <v>-0.5757202444741319</v>
      </c>
      <c r="BOP10" s="7" t="n">
        <v>-0.197732131821438</v>
      </c>
      <c r="BOQ10" s="7" t="n">
        <v>0.08575897649380521</v>
      </c>
      <c r="BOR10" s="7" t="n">
        <v>-0.793518655805737</v>
      </c>
      <c r="BOS10" s="7" t="n">
        <v>-0.343754825443958</v>
      </c>
      <c r="BOT10" s="7" t="n">
        <v>0.313184711568911</v>
      </c>
      <c r="BOU10" s="7" t="n">
        <v>0.0689433066559685</v>
      </c>
      <c r="BOV10" s="7" t="n">
        <v>-1.30897180210599</v>
      </c>
      <c r="BOW10" s="7" t="n">
        <v>0.432894540468693</v>
      </c>
      <c r="BOX10" s="7" t="n">
        <v>-0.442140945112243</v>
      </c>
      <c r="BOY10" s="7" t="n">
        <v>1.65134990429869</v>
      </c>
      <c r="BOZ10" s="7" t="n">
        <v>-0.966892954235948</v>
      </c>
      <c r="BPA10" s="7" t="n">
        <v>0.564634746806197</v>
      </c>
      <c r="BPB10" s="7" t="n">
        <v>-1.00003823130653</v>
      </c>
      <c r="BPC10" s="7" t="n">
        <v>0.300859772648499</v>
      </c>
      <c r="BPD10" s="7" t="n">
        <v>-0.223220597054373</v>
      </c>
      <c r="BPE10" s="7" t="n">
        <v>0.988490226235945</v>
      </c>
      <c r="BPF10" s="7" t="n">
        <v>0.972733876299358</v>
      </c>
      <c r="BPG10" s="7" t="n">
        <v>0.8365178169873539</v>
      </c>
      <c r="BPH10" s="7" t="n">
        <v>-0.3228392520567</v>
      </c>
      <c r="BPI10" s="7" t="n">
        <v>0.426704667649336</v>
      </c>
      <c r="BPJ10" s="7" t="n">
        <v>0.567074130817387</v>
      </c>
      <c r="BPK10" s="7" t="n">
        <v>-1.58371429090845</v>
      </c>
      <c r="BPL10" s="7" t="n">
        <v>0.743602650191164</v>
      </c>
      <c r="BPM10" s="7" t="n">
        <v>-0.54969873917834</v>
      </c>
      <c r="BPN10" s="7" t="n">
        <v>-1.19334510244153</v>
      </c>
      <c r="BPO10" s="7" t="n">
        <v>1.32556733999978</v>
      </c>
      <c r="BPP10" s="7" t="n">
        <v>2.12920950277159</v>
      </c>
      <c r="BPQ10" s="7" t="n">
        <v>1.23201626745948</v>
      </c>
      <c r="BPR10" s="7" t="n">
        <v>-2.27373050372409</v>
      </c>
      <c r="BPS10" s="7" t="n">
        <v>0.609002253197694</v>
      </c>
      <c r="BPT10" s="7" t="n">
        <v>1.87431249972897</v>
      </c>
      <c r="BPU10" s="7" t="n">
        <v>0.438598920427856</v>
      </c>
      <c r="BPV10" s="7" t="n">
        <v>1.13232645056674</v>
      </c>
      <c r="BPW10" s="7" t="n">
        <v>-0.896138734056741</v>
      </c>
      <c r="BPX10" s="7" t="n">
        <v>1.13077872864387</v>
      </c>
      <c r="BPY10" s="7" t="n">
        <v>1.1040043736085</v>
      </c>
      <c r="BPZ10" s="7" t="n">
        <v>-0.17751996655703</v>
      </c>
      <c r="BQA10" s="7" t="n">
        <v>0.0936264628890074</v>
      </c>
      <c r="BQB10" s="7" t="n">
        <v>0.374013311234437</v>
      </c>
      <c r="BQC10" s="7" t="n">
        <v>0.776887784899148</v>
      </c>
      <c r="BQD10" s="7" t="n">
        <v>0.244575451824297</v>
      </c>
      <c r="BQE10" s="7" t="n">
        <v>0.541302790710654</v>
      </c>
      <c r="BQF10" s="7" t="n">
        <v>0.155218243460468</v>
      </c>
      <c r="BQG10" s="7" t="n">
        <v>-0.911892752896473</v>
      </c>
      <c r="BQH10" s="7" t="n">
        <v>0.0687655170802567</v>
      </c>
    </row>
    <row r="11">
      <c r="A11" s="7" t="n">
        <v>9</v>
      </c>
      <c r="B11" s="7" t="n">
        <v>-1.72414990918509</v>
      </c>
      <c r="C11" s="7" t="n">
        <v>2.11230490241609</v>
      </c>
      <c r="D11" s="7" t="n">
        <v>-1.44639903064514</v>
      </c>
      <c r="E11" s="7" t="n">
        <v>0.242258048729312</v>
      </c>
      <c r="F11" s="7" t="n">
        <v>0.579734734953385</v>
      </c>
      <c r="G11" s="7" t="n">
        <v>0.380918781176512</v>
      </c>
      <c r="H11" s="7" t="n">
        <v>0.240408613516357</v>
      </c>
      <c r="I11" s="7" t="n">
        <v>-0.55096461378775</v>
      </c>
      <c r="J11" s="7" t="n">
        <v>-1.20256201899257</v>
      </c>
      <c r="K11" s="7" t="n">
        <v>1.17360843506239</v>
      </c>
      <c r="L11" s="7" t="n">
        <v>0.45092492599281</v>
      </c>
      <c r="M11" s="7" t="n">
        <v>1.33856499626035</v>
      </c>
      <c r="N11" s="7" t="n">
        <v>-1.18613722292213</v>
      </c>
      <c r="O11" s="7" t="n">
        <v>0.563169180231102</v>
      </c>
      <c r="P11" s="7" t="n">
        <v>0.631381805621711</v>
      </c>
      <c r="Q11" s="7" t="n">
        <v>0.415156128303804</v>
      </c>
      <c r="R11" s="7" t="n">
        <v>-0.5956452679072201</v>
      </c>
      <c r="S11" s="7" t="n">
        <v>2.43181723491609</v>
      </c>
      <c r="T11" s="7" t="n">
        <v>-1.24476573143211</v>
      </c>
      <c r="U11" s="7" t="n">
        <v>0.14461282232542</v>
      </c>
      <c r="V11" s="7" t="n">
        <v>-0.592614253692539</v>
      </c>
      <c r="W11" s="7" t="n">
        <v>0.143240901411222</v>
      </c>
      <c r="X11" s="7" t="n">
        <v>2.5530830583044</v>
      </c>
      <c r="Y11" s="7" t="n">
        <v>0.631423402092731</v>
      </c>
      <c r="Z11" s="7" t="n">
        <v>-1.14626513071821</v>
      </c>
      <c r="AA11" s="7" t="n">
        <v>0.349405410551186</v>
      </c>
      <c r="AB11" s="7" t="n">
        <v>-0.361787208373284</v>
      </c>
      <c r="AC11" s="7" t="n">
        <v>1.7721792505032</v>
      </c>
      <c r="AD11" s="7" t="n">
        <v>-1.57732302914843</v>
      </c>
      <c r="AE11" s="7" t="n">
        <v>0.307650898380705</v>
      </c>
      <c r="AF11" s="7" t="n">
        <v>-0.229523242853681</v>
      </c>
      <c r="AG11" s="7" t="n">
        <v>0.0681848475848628</v>
      </c>
      <c r="AH11" s="7" t="n">
        <v>-0.849768531039972</v>
      </c>
      <c r="AI11" s="7" t="n">
        <v>-0.262416518519145</v>
      </c>
      <c r="AJ11" s="7" t="n">
        <v>1.1774363113512</v>
      </c>
      <c r="AK11" s="7" t="n">
        <v>0.5357112624063201</v>
      </c>
      <c r="AL11" s="7" t="n">
        <v>0.590110701274889</v>
      </c>
      <c r="AM11" s="7" t="n">
        <v>-0.0222205327843796</v>
      </c>
      <c r="AN11" s="7" t="n">
        <v>-1.1287197595363</v>
      </c>
      <c r="AO11" s="7" t="n">
        <v>0.187529250784552</v>
      </c>
      <c r="AP11" s="7" t="n">
        <v>-0.883887758144357</v>
      </c>
      <c r="AQ11" s="7" t="n">
        <v>1.33480899097528</v>
      </c>
      <c r="AR11" s="7" t="n">
        <v>-0.984418558538396</v>
      </c>
      <c r="AS11" s="7" t="n">
        <v>1.3280919211968</v>
      </c>
      <c r="AT11" s="7" t="n">
        <v>-0.109571733911371</v>
      </c>
      <c r="AU11" s="7" t="n">
        <v>2.40746209389773</v>
      </c>
      <c r="AV11" s="7" t="n">
        <v>-2.3682719757255</v>
      </c>
      <c r="AW11" s="7" t="n">
        <v>-0.466705879135315</v>
      </c>
      <c r="AX11" s="7" t="n">
        <v>0.183977992827182</v>
      </c>
      <c r="AY11" s="7" t="n">
        <v>-1.35869263013571</v>
      </c>
      <c r="AZ11" s="7" t="n">
        <v>-0.909238645008379</v>
      </c>
      <c r="BA11" s="7" t="n">
        <v>-0.17150548508097</v>
      </c>
      <c r="BB11" s="7" t="n">
        <v>2.02380694266078</v>
      </c>
      <c r="BC11" s="7" t="n">
        <v>-0.584307848134561</v>
      </c>
      <c r="BD11" s="7" t="n">
        <v>1.12687966385915</v>
      </c>
      <c r="BE11" s="7" t="n">
        <v>-0.500017658432408</v>
      </c>
      <c r="BF11" s="7" t="n">
        <v>0.419841785616059</v>
      </c>
      <c r="BG11" s="7" t="n">
        <v>0.802814145313276</v>
      </c>
      <c r="BH11" s="7" t="n">
        <v>-0.134697512115156</v>
      </c>
      <c r="BI11" s="7" t="n">
        <v>0.285875157889526</v>
      </c>
      <c r="BJ11" s="7" t="n">
        <v>1.37069421955248</v>
      </c>
      <c r="BK11" s="7" t="n">
        <v>1.62488266524369</v>
      </c>
      <c r="BL11" s="7" t="n">
        <v>0.172742773887346</v>
      </c>
      <c r="BM11" s="7" t="n">
        <v>-1.31593672801278</v>
      </c>
      <c r="BN11" s="7" t="n">
        <v>-0.554484627855331</v>
      </c>
      <c r="BO11" s="7" t="n">
        <v>0.728820537354975</v>
      </c>
      <c r="BP11" s="7" t="n">
        <v>0.335894133962041</v>
      </c>
      <c r="BQ11" s="7" t="n">
        <v>-1.20309205081142</v>
      </c>
      <c r="BR11" s="7" t="n">
        <v>1.0291984257426</v>
      </c>
      <c r="BS11" s="7" t="n">
        <v>1.29756538280259</v>
      </c>
      <c r="BT11" s="7" t="n">
        <v>-1.26063759994612</v>
      </c>
      <c r="BU11" s="7" t="n">
        <v>-0.897376974814989</v>
      </c>
      <c r="BV11" s="7" t="n">
        <v>-0.219668955581381</v>
      </c>
      <c r="BW11" s="7" t="n">
        <v>-1.79646321864634</v>
      </c>
      <c r="BX11" s="7" t="n">
        <v>0.739574992312598</v>
      </c>
      <c r="BY11" s="7" t="n">
        <v>-0.350599364894461</v>
      </c>
      <c r="BZ11" s="7" t="n">
        <v>0.723077397101799</v>
      </c>
      <c r="CA11" s="7" t="n">
        <v>-2.77157781787721</v>
      </c>
      <c r="CB11" s="7" t="n">
        <v>0.156304400212822</v>
      </c>
      <c r="CC11" s="7" t="n">
        <v>1.227385692251</v>
      </c>
      <c r="CD11" s="7" t="n">
        <v>-0.17991616070794</v>
      </c>
      <c r="CE11" s="7" t="n">
        <v>0.404519134289741</v>
      </c>
      <c r="CF11" s="7" t="n">
        <v>0.0987830699616136</v>
      </c>
      <c r="CG11" s="7" t="n">
        <v>-1.48342190815103</v>
      </c>
      <c r="CH11" s="7" t="n">
        <v>-0.513661950598971</v>
      </c>
      <c r="CI11" s="7" t="n">
        <v>0.257073058067376</v>
      </c>
      <c r="CJ11" s="7" t="n">
        <v>2.19984515494104</v>
      </c>
      <c r="CK11" s="7" t="n">
        <v>0.159167770483172</v>
      </c>
      <c r="CL11" s="7" t="n">
        <v>-0.701501760218907</v>
      </c>
      <c r="CM11" s="7" t="n">
        <v>0.512889042250498</v>
      </c>
      <c r="CN11" s="7" t="n">
        <v>-1.87334589774633</v>
      </c>
      <c r="CO11" s="7" t="n">
        <v>-1.6660073782191</v>
      </c>
      <c r="CP11" s="7" t="n">
        <v>-0.181545667600653</v>
      </c>
      <c r="CQ11" s="7" t="n">
        <v>-0.705124791010852</v>
      </c>
      <c r="CR11" s="7" t="n">
        <v>0.7068312840822299</v>
      </c>
      <c r="CS11" s="7" t="n">
        <v>-0.450975601366316</v>
      </c>
      <c r="CT11" s="7" t="n">
        <v>-0.295019987625963</v>
      </c>
      <c r="CU11" s="7" t="n">
        <v>-0.0729297138963151</v>
      </c>
      <c r="CV11" s="7" t="n">
        <v>3.33762376416934</v>
      </c>
      <c r="CW11" s="7" t="n">
        <v>0.142423647208918</v>
      </c>
      <c r="CX11" s="7" t="n">
        <v>0.26313529764634</v>
      </c>
      <c r="CY11" s="7" t="n">
        <v>-0.0490233327359919</v>
      </c>
      <c r="CZ11" s="7" t="n">
        <v>-0.995596734020571</v>
      </c>
      <c r="DA11" s="7" t="n">
        <v>-0.509468437791219</v>
      </c>
      <c r="DB11" s="7" t="n">
        <v>-0.469111862815075</v>
      </c>
      <c r="DC11" s="7" t="n">
        <v>-1.31341024633075</v>
      </c>
      <c r="DD11" s="7" t="n">
        <v>-0.239654394217729</v>
      </c>
      <c r="DE11" s="7" t="n">
        <v>0.704727240162214</v>
      </c>
      <c r="DF11" s="7" t="n">
        <v>-1.42921618083217</v>
      </c>
      <c r="DG11" s="7" t="n">
        <v>-0.217841715216767</v>
      </c>
      <c r="DH11" s="7" t="n">
        <v>0.0908011265388141</v>
      </c>
      <c r="DI11" s="7" t="n">
        <v>-1.27986882745732</v>
      </c>
      <c r="DJ11" s="7" t="n">
        <v>-2.0407879212553</v>
      </c>
      <c r="DK11" s="7" t="n">
        <v>1.44410821001963</v>
      </c>
      <c r="DL11" s="7" t="n">
        <v>-0.412385298170081</v>
      </c>
      <c r="DM11" s="7" t="n">
        <v>-1.13121868211177</v>
      </c>
      <c r="DN11" s="7" t="n">
        <v>0.97530686740601</v>
      </c>
      <c r="DO11" s="7" t="n">
        <v>1.45897249084318</v>
      </c>
      <c r="DP11" s="7" t="n">
        <v>-1.08686515582814</v>
      </c>
      <c r="DQ11" s="7" t="n">
        <v>-1.73899937221512</v>
      </c>
      <c r="DR11" s="7" t="n">
        <v>-0.396056994154259</v>
      </c>
      <c r="DS11" s="7" t="n">
        <v>0.0435190430942406</v>
      </c>
      <c r="DT11" s="7" t="n">
        <v>0.745013064843561</v>
      </c>
      <c r="DU11" s="7" t="n">
        <v>-1.27362677667974</v>
      </c>
      <c r="DV11" s="7" t="n">
        <v>1.65163843279713</v>
      </c>
      <c r="DW11" s="7" t="n">
        <v>0.468996700521958</v>
      </c>
      <c r="DX11" s="7" t="n">
        <v>0.491350569020867</v>
      </c>
      <c r="DY11" s="7" t="n">
        <v>1.54813636904596</v>
      </c>
      <c r="DZ11" s="7" t="n">
        <v>-0.612245668522224</v>
      </c>
      <c r="EA11" s="7" t="n">
        <v>2.37214362564569</v>
      </c>
      <c r="EB11" s="7" t="n">
        <v>-1.37775098294349</v>
      </c>
      <c r="EC11" s="7" t="n">
        <v>1.09508847276592</v>
      </c>
      <c r="ED11" s="7" t="n">
        <v>0.147275230578015</v>
      </c>
      <c r="EE11" s="7" t="n">
        <v>-0.181772611777506</v>
      </c>
      <c r="EF11" s="7" t="n">
        <v>1.58870360678302</v>
      </c>
      <c r="EG11" s="7" t="n">
        <v>-1.44559584170068</v>
      </c>
      <c r="EH11" s="7" t="n">
        <v>-0.457914120301689</v>
      </c>
      <c r="EI11" s="7" t="n">
        <v>0.542967408819498</v>
      </c>
      <c r="EJ11" s="7" t="n">
        <v>0.956770854364688</v>
      </c>
      <c r="EK11" s="7" t="n">
        <v>0.919897456774091</v>
      </c>
      <c r="EL11" s="7" t="n">
        <v>0.5995011160882669</v>
      </c>
      <c r="EM11" s="7" t="n">
        <v>0.141188011017129</v>
      </c>
      <c r="EN11" s="7" t="n">
        <v>0.276927104466923</v>
      </c>
      <c r="EO11" s="7" t="n">
        <v>-0.769704816015695</v>
      </c>
      <c r="EP11" s="7" t="n">
        <v>0.124503401993902</v>
      </c>
      <c r="EQ11" s="7" t="n">
        <v>-0.611254445351704</v>
      </c>
      <c r="ER11" s="7" t="n">
        <v>-0.0617941009988895</v>
      </c>
      <c r="ES11" s="7" t="n">
        <v>-0.252392517385895</v>
      </c>
      <c r="ET11" s="7" t="n">
        <v>-0.117633069352976</v>
      </c>
      <c r="EU11" s="7" t="n">
        <v>0.437775825206557</v>
      </c>
      <c r="EV11" s="7" t="n">
        <v>-0.666967601211075</v>
      </c>
      <c r="EW11" s="7" t="n">
        <v>1.34579812978244</v>
      </c>
      <c r="EX11" s="7" t="n">
        <v>1.41548391987994</v>
      </c>
      <c r="EY11" s="7" t="n">
        <v>-0.8694631144819081</v>
      </c>
      <c r="EZ11" s="7" t="n">
        <v>1.30316850137767</v>
      </c>
      <c r="FA11" s="7" t="n">
        <v>-0.08789342017688261</v>
      </c>
      <c r="FB11" s="7" t="n">
        <v>1.36511522354088</v>
      </c>
      <c r="FC11" s="7" t="n">
        <v>1.39234763584725</v>
      </c>
      <c r="FD11" s="7" t="n">
        <v>0.349771935313932</v>
      </c>
      <c r="FE11" s="7" t="n">
        <v>1.32477868899284</v>
      </c>
      <c r="FF11" s="7" t="n">
        <v>-0.267810697414306</v>
      </c>
      <c r="FG11" s="7" t="n">
        <v>0.192640134861142</v>
      </c>
      <c r="FH11" s="7" t="n">
        <v>-0.364003725086094</v>
      </c>
      <c r="FI11" s="7" t="n">
        <v>-0.642356757599884</v>
      </c>
      <c r="FJ11" s="7" t="n">
        <v>-0.303199431436994</v>
      </c>
      <c r="FK11" s="7" t="n">
        <v>0.08225741158900279</v>
      </c>
      <c r="FL11" s="7" t="n">
        <v>0.447562289338615</v>
      </c>
      <c r="FM11" s="7" t="n">
        <v>-1.47902432022259</v>
      </c>
      <c r="FN11" s="7" t="n">
        <v>0.8237755838605531</v>
      </c>
      <c r="FO11" s="7" t="n">
        <v>-1.24150141221996</v>
      </c>
      <c r="FP11" s="7" t="n">
        <v>0.49735067170444</v>
      </c>
      <c r="FQ11" s="7" t="n">
        <v>-2.34741411332548</v>
      </c>
      <c r="FR11" s="7" t="n">
        <v>0.621425728808761</v>
      </c>
      <c r="FS11" s="7" t="n">
        <v>-1.06411087994945</v>
      </c>
      <c r="FT11" s="7" t="n">
        <v>-0.47492584460275</v>
      </c>
      <c r="FU11" s="7" t="n">
        <v>0.681027216571638</v>
      </c>
      <c r="FV11" s="7" t="n">
        <v>0.871022592216986</v>
      </c>
      <c r="FW11" s="7" t="n">
        <v>-0.524969284223578</v>
      </c>
      <c r="FX11" s="7" t="n">
        <v>-1.07880277333511</v>
      </c>
      <c r="FY11" s="7" t="n">
        <v>-0.829208238271061</v>
      </c>
      <c r="FZ11" s="7" t="n">
        <v>-2.3304559122898</v>
      </c>
      <c r="GA11" s="7" t="n">
        <v>1.22464919047202</v>
      </c>
      <c r="GB11" s="7" t="n">
        <v>-0.560079679103568</v>
      </c>
      <c r="GC11" s="7" t="n">
        <v>0.7482385412345059</v>
      </c>
      <c r="GD11" s="7" t="n">
        <v>0.232587473478017</v>
      </c>
      <c r="GE11" s="7" t="n">
        <v>-1.38681373777567</v>
      </c>
      <c r="GF11" s="7" t="n">
        <v>0.690535580115313</v>
      </c>
      <c r="GG11" s="7" t="n">
        <v>-0.797906837715288</v>
      </c>
      <c r="GH11" s="7" t="n">
        <v>1.88437642059616</v>
      </c>
      <c r="GI11" s="7" t="n">
        <v>-1.14515854776458</v>
      </c>
      <c r="GJ11" s="7" t="n">
        <v>0.771841515646398</v>
      </c>
      <c r="GK11" s="7" t="n">
        <v>1.44477207805889</v>
      </c>
      <c r="GL11" s="7" t="n">
        <v>-0.018378969377729</v>
      </c>
      <c r="GM11" s="7" t="n">
        <v>0.458410516925968</v>
      </c>
      <c r="GN11" s="7" t="n">
        <v>0.520727027179305</v>
      </c>
      <c r="GO11" s="7" t="n">
        <v>2.03012999837142</v>
      </c>
      <c r="GP11" s="7" t="n">
        <v>2.10651403716949</v>
      </c>
      <c r="GQ11" s="7" t="n">
        <v>-0.0464416426221918</v>
      </c>
      <c r="GR11" s="7" t="n">
        <v>-1.42624060053885</v>
      </c>
      <c r="GS11" s="7" t="n">
        <v>-0.614104149272559</v>
      </c>
      <c r="GT11" s="7" t="n">
        <v>1.47820928491515</v>
      </c>
      <c r="GU11" s="7" t="n">
        <v>-0.446095780481237</v>
      </c>
      <c r="GV11" s="7" t="n">
        <v>-1.14339394358092</v>
      </c>
      <c r="GW11" s="7" t="n">
        <v>0.353845855837151</v>
      </c>
      <c r="GX11" s="7" t="n">
        <v>-0.272736227459518</v>
      </c>
      <c r="GY11" s="7" t="n">
        <v>1.43030069604182</v>
      </c>
      <c r="GZ11" s="7" t="n">
        <v>-0.826485885829075</v>
      </c>
      <c r="HA11" s="7" t="n">
        <v>0.344913721412126</v>
      </c>
      <c r="HB11" s="7" t="n">
        <v>0.7207127870849021</v>
      </c>
      <c r="HC11" s="7" t="n">
        <v>0.07657830165735829</v>
      </c>
      <c r="HD11" s="7" t="n">
        <v>-0.229697906039861</v>
      </c>
      <c r="HE11" s="7" t="n">
        <v>-0.6900221074619181</v>
      </c>
      <c r="HF11" s="7" t="n">
        <v>0.722781700306573</v>
      </c>
      <c r="HG11" s="7" t="n">
        <v>2.14122349331008</v>
      </c>
      <c r="HH11" s="7" t="n">
        <v>-0.0325453285853325</v>
      </c>
      <c r="HI11" s="7" t="n">
        <v>-0.278771435278142</v>
      </c>
      <c r="HJ11" s="7" t="n">
        <v>0.213655466423199</v>
      </c>
      <c r="HK11" s="7" t="n">
        <v>-0.865569398808312</v>
      </c>
      <c r="HL11" s="7" t="n">
        <v>0.627261244422613</v>
      </c>
      <c r="HM11" s="7" t="n">
        <v>-0.964316939897654</v>
      </c>
      <c r="HN11" s="7" t="n">
        <v>-0.737368959061605</v>
      </c>
      <c r="HO11" s="7" t="n">
        <v>0.252540365664599</v>
      </c>
      <c r="HP11" s="7" t="n">
        <v>-1.96931620122793</v>
      </c>
      <c r="HQ11" s="7" t="n">
        <v>0.684689551449856</v>
      </c>
      <c r="HR11" s="7" t="n">
        <v>0.489851783729047</v>
      </c>
      <c r="HS11" s="7" t="n">
        <v>1.61106117855736</v>
      </c>
      <c r="HT11" s="7" t="n">
        <v>-1.67185797369114</v>
      </c>
      <c r="HU11" s="7" t="n">
        <v>1.38123553883326</v>
      </c>
      <c r="HV11" s="7" t="n">
        <v>-0.223462619281447</v>
      </c>
      <c r="HW11" s="7" t="n">
        <v>-1.54549747017235</v>
      </c>
      <c r="HX11" s="7" t="n">
        <v>-1.55084592815716</v>
      </c>
      <c r="HY11" s="7" t="n">
        <v>-0.132937438103711</v>
      </c>
      <c r="HZ11" s="7" t="n">
        <v>-0.499848635385569</v>
      </c>
      <c r="IA11" s="7" t="n">
        <v>0.240755745023667</v>
      </c>
      <c r="IB11" s="7" t="n">
        <v>-0.411689950977234</v>
      </c>
      <c r="IC11" s="7" t="n">
        <v>-0.111369782606874</v>
      </c>
      <c r="ID11" s="7" t="n">
        <v>-1.34840557144259</v>
      </c>
      <c r="IE11" s="7" t="n">
        <v>-0.598544166707612</v>
      </c>
      <c r="IF11" s="7" t="n">
        <v>-1.83068395069715</v>
      </c>
      <c r="IG11" s="7" t="n">
        <v>-1.53545823627642</v>
      </c>
      <c r="IH11" s="7" t="n">
        <v>0.13445650043408</v>
      </c>
      <c r="II11" s="7" t="n">
        <v>-1.96049833962306</v>
      </c>
      <c r="IJ11" s="7" t="n">
        <v>-0.0389164288976464</v>
      </c>
      <c r="IK11" s="7" t="n">
        <v>1.71148616361176</v>
      </c>
      <c r="IL11" s="7" t="n">
        <v>-0.7582524828649519</v>
      </c>
      <c r="IM11" s="7" t="n">
        <v>-0.0173487188076008</v>
      </c>
      <c r="IN11" s="7" t="n">
        <v>-0.546182277526564</v>
      </c>
      <c r="IO11" s="7" t="n">
        <v>1.88856544812557</v>
      </c>
      <c r="IP11" s="7" t="n">
        <v>-0.434477733871948</v>
      </c>
      <c r="IQ11" s="7" t="n">
        <v>-1.03895189200318</v>
      </c>
      <c r="IR11" s="7" t="n">
        <v>0.980829304783031</v>
      </c>
      <c r="IS11" s="7" t="n">
        <v>1.72408999446572</v>
      </c>
      <c r="IT11" s="7" t="n">
        <v>-0.8581013639316371</v>
      </c>
      <c r="IU11" s="7" t="n">
        <v>-1.58855210791767</v>
      </c>
      <c r="IV11" s="7" t="n">
        <v>0.977784550254341</v>
      </c>
      <c r="IW11" s="7" t="n">
        <v>-0.0291627517012185</v>
      </c>
      <c r="IX11" s="7" t="n">
        <v>0.774342537182987</v>
      </c>
      <c r="IY11" s="7" t="n">
        <v>-0.555572760579804</v>
      </c>
      <c r="IZ11" s="7" t="n">
        <v>1.05874650200547</v>
      </c>
      <c r="JA11" s="7" t="n">
        <v>0.780725721607905</v>
      </c>
      <c r="JB11" s="7" t="n">
        <v>-0.688709534282923</v>
      </c>
      <c r="JC11" s="7" t="n">
        <v>-0.733730518967868</v>
      </c>
      <c r="JD11" s="7" t="n">
        <v>1.15224226534439</v>
      </c>
      <c r="JE11" s="7" t="n">
        <v>0.576671775246977</v>
      </c>
      <c r="JF11" s="7" t="n">
        <v>-1.08183443613109</v>
      </c>
      <c r="JG11" s="7" t="n">
        <v>-1.33656540360696</v>
      </c>
      <c r="JH11" s="7" t="n">
        <v>2.19427539839852</v>
      </c>
      <c r="JI11" s="7" t="n">
        <v>-0.545321846722439</v>
      </c>
      <c r="JJ11" s="7" t="n">
        <v>0.924790284226387</v>
      </c>
      <c r="JK11" s="7" t="n">
        <v>-1.00653535290315</v>
      </c>
      <c r="JL11" s="7" t="n">
        <v>-0.116841396829184</v>
      </c>
      <c r="JM11" s="7" t="n">
        <v>0.520488634550675</v>
      </c>
      <c r="JN11" s="7" t="n">
        <v>0.396357710320693</v>
      </c>
      <c r="JO11" s="7" t="n">
        <v>-1.17934322204224</v>
      </c>
      <c r="JP11" s="7" t="n">
        <v>-0.662544898860742</v>
      </c>
      <c r="JQ11" s="7" t="n">
        <v>-0.51369878010237</v>
      </c>
      <c r="JR11" s="7" t="n">
        <v>0.752071736277901</v>
      </c>
      <c r="JS11" s="7" t="n">
        <v>0.633420013201033</v>
      </c>
      <c r="JT11" s="7" t="n">
        <v>0.853759231682686</v>
      </c>
      <c r="JU11" s="7" t="n">
        <v>-0.6338392914757111</v>
      </c>
      <c r="JV11" s="7" t="n">
        <v>-1.51629056222841</v>
      </c>
      <c r="JW11" s="7" t="n">
        <v>1.25681629509371</v>
      </c>
      <c r="JX11" s="7" t="n">
        <v>-1.04936172711232</v>
      </c>
      <c r="JY11" s="7" t="n">
        <v>-0.681846986218874</v>
      </c>
      <c r="JZ11" s="7" t="n">
        <v>-0.769694355194958</v>
      </c>
      <c r="KA11" s="7" t="n">
        <v>1.84013774723558</v>
      </c>
      <c r="KB11" s="7" t="n">
        <v>-0.6764264074531809</v>
      </c>
      <c r="KC11" s="7" t="n">
        <v>-0.912234321667778</v>
      </c>
      <c r="KD11" s="7" t="n">
        <v>-0.846726579630165</v>
      </c>
      <c r="KE11" s="7" t="n">
        <v>0.234016453770716</v>
      </c>
      <c r="KF11" s="7" t="n">
        <v>-0.327962443228927</v>
      </c>
      <c r="KG11" s="7" t="n">
        <v>0.646128764158573</v>
      </c>
      <c r="KH11" s="7" t="n">
        <v>-1.77595891951501</v>
      </c>
      <c r="KI11" s="7" t="n">
        <v>0.0950594362464536</v>
      </c>
      <c r="KJ11" s="7" t="n">
        <v>-0.548424005780672</v>
      </c>
      <c r="KK11" s="7" t="n">
        <v>-0.436785724794108</v>
      </c>
      <c r="KL11" s="7" t="n">
        <v>0.516094942315569</v>
      </c>
      <c r="KM11" s="7" t="n">
        <v>-0.300285068935005</v>
      </c>
      <c r="KN11" s="7" t="n">
        <v>-0.8193207081906621</v>
      </c>
      <c r="KO11" s="7" t="n">
        <v>-0.273117485702955</v>
      </c>
      <c r="KP11" s="7" t="n">
        <v>-0.9755365675441779</v>
      </c>
      <c r="KQ11" s="7" t="n">
        <v>1.33324277034062</v>
      </c>
      <c r="KR11" s="7" t="n">
        <v>0.117380159150822</v>
      </c>
      <c r="KS11" s="7" t="n">
        <v>-1.31044352029044</v>
      </c>
      <c r="KT11" s="7" t="n">
        <v>-0.44709358600137</v>
      </c>
      <c r="KU11" s="7" t="n">
        <v>0.6653526428608389</v>
      </c>
      <c r="KV11" s="7" t="n">
        <v>-0.640429186280124</v>
      </c>
      <c r="KW11" s="7" t="n">
        <v>2.3932041264781</v>
      </c>
      <c r="KX11" s="7" t="n">
        <v>-1.63079656298849</v>
      </c>
      <c r="KY11" s="7" t="n">
        <v>-0.808078577810958</v>
      </c>
      <c r="KZ11" s="7" t="n">
        <v>0.116348226666836</v>
      </c>
      <c r="LA11" s="7" t="n">
        <v>1.19210734678637</v>
      </c>
      <c r="LB11" s="7" t="n">
        <v>-0.198332760176761</v>
      </c>
      <c r="LC11" s="7" t="n">
        <v>0.141426000591947</v>
      </c>
      <c r="LD11" s="7" t="n">
        <v>-0.909304250052976</v>
      </c>
      <c r="LE11" s="7" t="n">
        <v>-0.981557430513732</v>
      </c>
      <c r="LF11" s="7" t="n">
        <v>0.647007432143954</v>
      </c>
      <c r="LG11" s="7" t="n">
        <v>0.673414963937553</v>
      </c>
      <c r="LH11" s="7" t="n">
        <v>1.32528617913438</v>
      </c>
      <c r="LI11" s="7" t="n">
        <v>-1.26466349664706</v>
      </c>
      <c r="LJ11" s="7" t="n">
        <v>-0.37105889333276</v>
      </c>
      <c r="LK11" s="7" t="n">
        <v>-1.21548386837939</v>
      </c>
      <c r="LL11" s="7" t="n">
        <v>0.61718161253421</v>
      </c>
      <c r="LM11" s="7" t="n">
        <v>0.69815544297753</v>
      </c>
      <c r="LN11" s="7" t="n">
        <v>2.17214905715324</v>
      </c>
      <c r="LO11" s="7" t="n">
        <v>-0.163002058566527</v>
      </c>
      <c r="LP11" s="7" t="n">
        <v>-1.16361576369108</v>
      </c>
      <c r="LQ11" s="7" t="n">
        <v>-0.532946146872355</v>
      </c>
      <c r="LR11" s="7" t="n">
        <v>0.0169409645505937</v>
      </c>
      <c r="LS11" s="7" t="n">
        <v>0.758916877381215</v>
      </c>
      <c r="LT11" s="7" t="n">
        <v>-0.146787071240034</v>
      </c>
      <c r="LU11" s="7" t="n">
        <v>0.18331367466381</v>
      </c>
      <c r="LV11" s="7" t="n">
        <v>-0.7204874572176601</v>
      </c>
      <c r="LW11" s="7" t="n">
        <v>-2.00839185427003</v>
      </c>
      <c r="LX11" s="7" t="n">
        <v>1.86241620306412</v>
      </c>
      <c r="LY11" s="7" t="n">
        <v>0.06759453060614259</v>
      </c>
      <c r="LZ11" s="7" t="n">
        <v>-2.58750169824804</v>
      </c>
      <c r="MA11" s="7" t="n">
        <v>1.6482243168717</v>
      </c>
      <c r="MB11" s="7" t="n">
        <v>-1.33835116875686</v>
      </c>
      <c r="MC11" s="7" t="n">
        <v>0.463316590324941</v>
      </c>
      <c r="MD11" s="7" t="n">
        <v>0.958049573934856</v>
      </c>
      <c r="ME11" s="7" t="n">
        <v>2.34364964166477</v>
      </c>
      <c r="MF11" s="7" t="n">
        <v>0.615404511069144</v>
      </c>
      <c r="MG11" s="7" t="n">
        <v>0.669179254945073</v>
      </c>
      <c r="MH11" s="7" t="n">
        <v>1.08215486503202</v>
      </c>
      <c r="MI11" s="7" t="n">
        <v>-0.752701017942383</v>
      </c>
      <c r="MJ11" s="7" t="n">
        <v>-0.228894371942186</v>
      </c>
      <c r="MK11" s="7" t="n">
        <v>0.263113964777709</v>
      </c>
      <c r="ML11" s="7" t="n">
        <v>-0.441198720270663</v>
      </c>
      <c r="MM11" s="7" t="n">
        <v>-0.260854736149566</v>
      </c>
      <c r="MN11" s="7" t="n">
        <v>0.162359165008747</v>
      </c>
      <c r="MO11" s="7" t="n">
        <v>-0.736135202896086</v>
      </c>
      <c r="MP11" s="7" t="n">
        <v>0.3730746947467</v>
      </c>
      <c r="MQ11" s="7" t="n">
        <v>-1.0761932488339</v>
      </c>
      <c r="MR11" s="7" t="n">
        <v>0.574846492944417</v>
      </c>
      <c r="MS11" s="7" t="n">
        <v>0.471411862644035</v>
      </c>
      <c r="MT11" s="7" t="n">
        <v>0.4938212746751</v>
      </c>
      <c r="MU11" s="7" t="n">
        <v>0.425606230226717</v>
      </c>
      <c r="MV11" s="7" t="n">
        <v>-0.560559249042233</v>
      </c>
      <c r="MW11" s="7" t="n">
        <v>0.293703710708681</v>
      </c>
      <c r="MX11" s="7" t="n">
        <v>2.21580822382026</v>
      </c>
      <c r="MY11" s="7" t="n">
        <v>-0.305609539404274</v>
      </c>
      <c r="MZ11" s="7" t="n">
        <v>-0.927229577980387</v>
      </c>
      <c r="NA11" s="7" t="n">
        <v>0.928504204958674</v>
      </c>
      <c r="NB11" s="7" t="n">
        <v>-0.240855394497752</v>
      </c>
      <c r="NC11" s="7" t="n">
        <v>0.0470291512613624</v>
      </c>
      <c r="ND11" s="7" t="n">
        <v>0.617131675703989</v>
      </c>
      <c r="NE11" s="7" t="n">
        <v>0.413042252574526</v>
      </c>
      <c r="NF11" s="7" t="n">
        <v>-0.70218208994633</v>
      </c>
      <c r="NG11" s="7" t="n">
        <v>-0.760750000605944</v>
      </c>
      <c r="NH11" s="7" t="n">
        <v>0.927930638457389</v>
      </c>
      <c r="NI11" s="7" t="n">
        <v>-0.203672249644106</v>
      </c>
      <c r="NJ11" s="7" t="n">
        <v>0.109313568548825</v>
      </c>
      <c r="NK11" s="7" t="n">
        <v>0.260671395519105</v>
      </c>
      <c r="NL11" s="7" t="n">
        <v>0.759713520837427</v>
      </c>
      <c r="NM11" s="7" t="n">
        <v>1.11869618629184</v>
      </c>
      <c r="NN11" s="7" t="n">
        <v>1.39649860237623</v>
      </c>
      <c r="NO11" s="7" t="n">
        <v>-1.00795370269218</v>
      </c>
      <c r="NP11" s="7" t="n">
        <v>-1.530193870292</v>
      </c>
      <c r="NQ11" s="7" t="n">
        <v>0.919697929580885</v>
      </c>
      <c r="NR11" s="7" t="n">
        <v>0.115646520252511</v>
      </c>
      <c r="NS11" s="7" t="n">
        <v>-0.456211815963672</v>
      </c>
      <c r="NT11" s="7" t="n">
        <v>0.449297848973886</v>
      </c>
      <c r="NU11" s="7" t="n">
        <v>-0.609761541440484</v>
      </c>
      <c r="NV11" s="7" t="n">
        <v>-0.552622077614462</v>
      </c>
      <c r="NW11" s="7" t="n">
        <v>-2.48473578075809</v>
      </c>
      <c r="NX11" s="7" t="n">
        <v>-1.13006758156702</v>
      </c>
      <c r="NY11" s="7" t="n">
        <v>0.16118474439443</v>
      </c>
      <c r="NZ11" s="7" t="n">
        <v>-2.34375269731034</v>
      </c>
      <c r="OA11" s="7" t="n">
        <v>0.344618423832131</v>
      </c>
      <c r="OB11" s="7" t="n">
        <v>-1.06363732119488</v>
      </c>
      <c r="OC11" s="7" t="n">
        <v>0.382352422403664</v>
      </c>
      <c r="OD11" s="7" t="n">
        <v>-0.0155680507470008</v>
      </c>
      <c r="OE11" s="7" t="n">
        <v>-0.813492899486508</v>
      </c>
      <c r="OF11" s="7" t="n">
        <v>0.456927078088789</v>
      </c>
      <c r="OG11" s="7" t="n">
        <v>-1.18711444489516</v>
      </c>
      <c r="OH11" s="7" t="n">
        <v>-0.172121431605812</v>
      </c>
      <c r="OI11" s="7" t="n">
        <v>-0.706761221376401</v>
      </c>
      <c r="OJ11" s="7" t="n">
        <v>-0.876952109358666</v>
      </c>
      <c r="OK11" s="7" t="n">
        <v>-0.493920301257522</v>
      </c>
      <c r="OL11" s="7" t="n">
        <v>-0.41669401684529</v>
      </c>
      <c r="OM11" s="7" t="n">
        <v>1.54288589294813</v>
      </c>
      <c r="ON11" s="7" t="n">
        <v>1.60916013212596</v>
      </c>
      <c r="OO11" s="7" t="n">
        <v>0.576469087295938</v>
      </c>
      <c r="OP11" s="7" t="n">
        <v>2.80102924910432</v>
      </c>
      <c r="OQ11" s="7" t="n">
        <v>-0.867894946285982</v>
      </c>
      <c r="OR11" s="7" t="n">
        <v>-0.316793104282527</v>
      </c>
      <c r="OS11" s="7" t="n">
        <v>0.38997207732161</v>
      </c>
      <c r="OT11" s="7" t="n">
        <v>0.755814854761519</v>
      </c>
      <c r="OU11" s="7" t="n">
        <v>-1.80891594865095</v>
      </c>
      <c r="OV11" s="7" t="n">
        <v>-0.384921068273313</v>
      </c>
      <c r="OW11" s="7" t="n">
        <v>-1.23544482265777</v>
      </c>
      <c r="OX11" s="7" t="n">
        <v>-1.2712786772057</v>
      </c>
      <c r="OY11" s="7" t="n">
        <v>-0.703328946267746</v>
      </c>
      <c r="OZ11" s="7" t="n">
        <v>-1.60618178401699</v>
      </c>
      <c r="PA11" s="7" t="n">
        <v>-0.0581114105208241</v>
      </c>
      <c r="PB11" s="7" t="n">
        <v>-0.415393681439146</v>
      </c>
      <c r="PC11" s="7" t="n">
        <v>1.40876906049418</v>
      </c>
      <c r="PD11" s="7" t="n">
        <v>0.86343677671853</v>
      </c>
      <c r="PE11" s="7" t="n">
        <v>-2.9376267684731</v>
      </c>
      <c r="PF11" s="7" t="n">
        <v>0.37884933897183</v>
      </c>
      <c r="PG11" s="7" t="n">
        <v>0.970433804926728</v>
      </c>
      <c r="PH11" s="7" t="n">
        <v>1.76680856141643</v>
      </c>
      <c r="PI11" s="7" t="n">
        <v>-0.453097559753241</v>
      </c>
      <c r="PJ11" s="7" t="n">
        <v>-1.23814085303294</v>
      </c>
      <c r="PK11" s="7" t="n">
        <v>-0.718073885986647</v>
      </c>
      <c r="PL11" s="7" t="n">
        <v>1.88892377250167</v>
      </c>
      <c r="PM11" s="7" t="n">
        <v>1.98572140785813</v>
      </c>
      <c r="PN11" s="7" t="n">
        <v>1.30098284961433</v>
      </c>
      <c r="PO11" s="7" t="n">
        <v>1.48091689423449</v>
      </c>
      <c r="PP11" s="7" t="n">
        <v>0.196421913232682</v>
      </c>
      <c r="PQ11" s="7" t="n">
        <v>-3.04801331821427</v>
      </c>
      <c r="PR11" s="7" t="n">
        <v>0.25751844566468</v>
      </c>
      <c r="PS11" s="7" t="n">
        <v>-0.09707628112706169</v>
      </c>
      <c r="PT11" s="7" t="n">
        <v>0.465630060514185</v>
      </c>
      <c r="PU11" s="7" t="n">
        <v>-0.0443718949408816</v>
      </c>
      <c r="PV11" s="7" t="n">
        <v>-0.686084872668043</v>
      </c>
      <c r="PW11" s="7" t="n">
        <v>0.77065689942974</v>
      </c>
      <c r="PX11" s="7" t="n">
        <v>0.363739981039892</v>
      </c>
      <c r="PY11" s="7" t="n">
        <v>0.0051286381137189</v>
      </c>
      <c r="PZ11" s="7" t="n">
        <v>-1.37878666284931</v>
      </c>
      <c r="QA11" s="7" t="n">
        <v>-0.6234627160107929</v>
      </c>
      <c r="QB11" s="7" t="n">
        <v>0.347229300550134</v>
      </c>
      <c r="QC11" s="7" t="n">
        <v>0.508434460198212</v>
      </c>
      <c r="QD11" s="7" t="n">
        <v>1.77445855032346</v>
      </c>
      <c r="QE11" s="7" t="n">
        <v>0.444969419348719</v>
      </c>
      <c r="QF11" s="7" t="n">
        <v>0.556267681327219</v>
      </c>
      <c r="QG11" s="7" t="n">
        <v>2.25027656522012</v>
      </c>
      <c r="QH11" s="7" t="n">
        <v>-1.26855609983887</v>
      </c>
      <c r="QI11" s="7" t="n">
        <v>-1.0309842617698</v>
      </c>
      <c r="QJ11" s="7" t="n">
        <v>-0.146911108571094</v>
      </c>
      <c r="QK11" s="7" t="n">
        <v>-0.145116336679865</v>
      </c>
      <c r="QL11" s="7" t="n">
        <v>-0.860295624237214</v>
      </c>
      <c r="QM11" s="7" t="n">
        <v>0.174431965236891</v>
      </c>
      <c r="QN11" s="7" t="n">
        <v>0.473244475012818</v>
      </c>
      <c r="QO11" s="7" t="n">
        <v>1.32989998894762</v>
      </c>
      <c r="QP11" s="7" t="n">
        <v>1.7825546607425</v>
      </c>
      <c r="QQ11" s="7" t="n">
        <v>-1.3897887796594</v>
      </c>
      <c r="QR11" s="7" t="n">
        <v>-1.05557399742962</v>
      </c>
      <c r="QS11" s="7" t="n">
        <v>0.328052295264493</v>
      </c>
      <c r="QT11" s="7" t="n">
        <v>0.251052464960737</v>
      </c>
      <c r="QU11" s="7" t="n">
        <v>-0.855599995657647</v>
      </c>
      <c r="QV11" s="7" t="n">
        <v>0.654545904550912</v>
      </c>
      <c r="QW11" s="7" t="n">
        <v>0.700538370121171</v>
      </c>
      <c r="QX11" s="7" t="n">
        <v>-0.897548796563538</v>
      </c>
      <c r="QY11" s="7" t="n">
        <v>0.823623321974654</v>
      </c>
      <c r="QZ11" s="7" t="n">
        <v>0.628247863217127</v>
      </c>
      <c r="RA11" s="7" t="n">
        <v>1.2078521627423</v>
      </c>
      <c r="RB11" s="7" t="n">
        <v>1.98839605958151</v>
      </c>
      <c r="RC11" s="7" t="n">
        <v>0.986119524379041</v>
      </c>
      <c r="RD11" s="7" t="n">
        <v>-0.524390311477628</v>
      </c>
      <c r="RE11" s="7" t="n">
        <v>-0.5576101267181059</v>
      </c>
      <c r="RF11" s="7" t="n">
        <v>-1.16825045745205</v>
      </c>
      <c r="RG11" s="7" t="n">
        <v>-0.0858189771895599</v>
      </c>
      <c r="RH11" s="7" t="n">
        <v>-1.23384177589496</v>
      </c>
      <c r="RI11" s="7" t="n">
        <v>0.374876219854617</v>
      </c>
      <c r="RJ11" s="7" t="n">
        <v>-0.677103107300381</v>
      </c>
      <c r="RK11" s="7" t="n">
        <v>-0.691951154909018</v>
      </c>
      <c r="RL11" s="7" t="n">
        <v>-0.060992887056542</v>
      </c>
      <c r="RM11" s="7" t="n">
        <v>-0.929638459276767</v>
      </c>
      <c r="RN11" s="7" t="n">
        <v>1.30555958103474</v>
      </c>
      <c r="RO11" s="7" t="n">
        <v>0.448996671307586</v>
      </c>
      <c r="RP11" s="7" t="n">
        <v>0.550375432014113</v>
      </c>
      <c r="RQ11" s="7" t="n">
        <v>-0.618786815496147</v>
      </c>
      <c r="RR11" s="7" t="n">
        <v>-1.25476109504197</v>
      </c>
      <c r="RS11" s="7" t="n">
        <v>-0.0343986171485599</v>
      </c>
      <c r="RT11" s="7" t="n">
        <v>-1.51339834851739</v>
      </c>
      <c r="RU11" s="7" t="n">
        <v>-0.636589807707632</v>
      </c>
      <c r="RV11" s="7" t="n">
        <v>-0.905757784147449</v>
      </c>
      <c r="RW11" s="7" t="n">
        <v>-0.27717051678527</v>
      </c>
      <c r="RX11" s="7" t="n">
        <v>0.6494658487030029</v>
      </c>
      <c r="RY11" s="7" t="n">
        <v>-1.27295381311732</v>
      </c>
      <c r="RZ11" s="7" t="n">
        <v>0.439291167991667</v>
      </c>
      <c r="SA11" s="7" t="n">
        <v>1.39588617323353</v>
      </c>
      <c r="SB11" s="7" t="n">
        <v>-0.218174220904259</v>
      </c>
      <c r="SC11" s="7" t="n">
        <v>0.445615718085498</v>
      </c>
      <c r="SD11" s="7" t="n">
        <v>0.180304591090194</v>
      </c>
      <c r="SE11" s="7" t="n">
        <v>0.653932570178365</v>
      </c>
      <c r="SF11" s="7" t="n">
        <v>0.7135305773474589</v>
      </c>
      <c r="SG11" s="7" t="n">
        <v>0.58104013631499</v>
      </c>
      <c r="SH11" s="7" t="n">
        <v>2.01346933348216</v>
      </c>
      <c r="SI11" s="7" t="n">
        <v>-0.970061020707639</v>
      </c>
      <c r="SJ11" s="7" t="n">
        <v>-0.807390990419384</v>
      </c>
      <c r="SK11" s="7" t="n">
        <v>-0.580206314276639</v>
      </c>
      <c r="SL11" s="7" t="n">
        <v>1.15559385793477</v>
      </c>
      <c r="SM11" s="7" t="n">
        <v>-0.116584011918007</v>
      </c>
      <c r="SN11" s="7" t="n">
        <v>-1.54689160089454</v>
      </c>
      <c r="SO11" s="7" t="n">
        <v>0.396115057632259</v>
      </c>
      <c r="SP11" s="7" t="n">
        <v>-0.101916240029552</v>
      </c>
      <c r="SQ11" s="7" t="n">
        <v>-0.740139190374389</v>
      </c>
      <c r="SR11" s="7" t="n">
        <v>-0.598285676588871</v>
      </c>
      <c r="SS11" s="7" t="n">
        <v>-1.41403904819659</v>
      </c>
      <c r="ST11" s="7" t="n">
        <v>-1.33318250817108</v>
      </c>
      <c r="SU11" s="7" t="n">
        <v>-0.0294796657302437</v>
      </c>
      <c r="SV11" s="7" t="n">
        <v>-0.356646427524966</v>
      </c>
      <c r="SW11" s="7" t="n">
        <v>0.317737226779687</v>
      </c>
      <c r="SX11" s="7" t="n">
        <v>-0.351264651673929</v>
      </c>
      <c r="SY11" s="7" t="n">
        <v>0.659284482103772</v>
      </c>
      <c r="SZ11" s="7" t="n">
        <v>-0.701008691034866</v>
      </c>
      <c r="TA11" s="7" t="n">
        <v>0.188105203976742</v>
      </c>
      <c r="TB11" s="7" t="n">
        <v>0.5394620026753369</v>
      </c>
      <c r="TC11" s="7" t="n">
        <v>0.382545611738144</v>
      </c>
      <c r="TD11" s="7" t="n">
        <v>0.7823577879335331</v>
      </c>
      <c r="TE11" s="7" t="n">
        <v>-1.16712433012706</v>
      </c>
      <c r="TF11" s="7" t="n">
        <v>-0.360517845158145</v>
      </c>
      <c r="TG11" s="7" t="n">
        <v>-0.195435313958592</v>
      </c>
      <c r="TH11" s="7" t="n">
        <v>-0.2982836620386</v>
      </c>
      <c r="TI11" s="7" t="n">
        <v>-1.46444316868266</v>
      </c>
      <c r="TJ11" s="7" t="n">
        <v>-0.784115369753333</v>
      </c>
      <c r="TK11" s="7" t="n">
        <v>0.488707804838465</v>
      </c>
      <c r="TL11" s="7" t="n">
        <v>-2.79321503453279</v>
      </c>
      <c r="TM11" s="7" t="n">
        <v>-2.03292774571051</v>
      </c>
      <c r="TN11" s="7" t="n">
        <v>-0.8608311718191179</v>
      </c>
      <c r="TO11" s="7" t="n">
        <v>1.35092642435747</v>
      </c>
      <c r="TP11" s="7" t="n">
        <v>-0.586023976904078</v>
      </c>
      <c r="TQ11" s="7" t="n">
        <v>-0.31367066543311</v>
      </c>
      <c r="TR11" s="7" t="n">
        <v>-0.150783948426596</v>
      </c>
      <c r="TS11" s="7" t="n">
        <v>-0.885177179231003</v>
      </c>
      <c r="TT11" s="7" t="n">
        <v>-0.7321113332779901</v>
      </c>
      <c r="TU11" s="7" t="n">
        <v>-0.72998613361489</v>
      </c>
      <c r="TV11" s="7" t="n">
        <v>2.91799239884624</v>
      </c>
      <c r="TW11" s="7" t="n">
        <v>0.860786784370612</v>
      </c>
      <c r="TX11" s="7" t="n">
        <v>-2.10362842479041</v>
      </c>
      <c r="TY11" s="7" t="n">
        <v>0.546256803034996</v>
      </c>
      <c r="TZ11" s="7" t="n">
        <v>-0.0897157736743782</v>
      </c>
      <c r="UA11" s="7" t="n">
        <v>-0.31133498378742</v>
      </c>
      <c r="UB11" s="7" t="n">
        <v>0.532529459055113</v>
      </c>
      <c r="UC11" s="7" t="n">
        <v>-0.384042003809611</v>
      </c>
      <c r="UD11" s="7" t="n">
        <v>0.372257733291226</v>
      </c>
      <c r="UE11" s="7" t="n">
        <v>0.864410145410879</v>
      </c>
      <c r="UF11" s="7" t="n">
        <v>0.9347480772469881</v>
      </c>
      <c r="UG11" s="7" t="n">
        <v>-0.25336822961664</v>
      </c>
      <c r="UH11" s="7" t="n">
        <v>-2.09619666853911</v>
      </c>
      <c r="UI11" s="7" t="n">
        <v>1.23456451457493</v>
      </c>
      <c r="UJ11" s="7" t="n">
        <v>-0.590534045729345</v>
      </c>
      <c r="UK11" s="7" t="n">
        <v>0.60322552884835</v>
      </c>
      <c r="UL11" s="7" t="n">
        <v>0.15360912324311</v>
      </c>
      <c r="UM11" s="7" t="n">
        <v>-0.286588497874715</v>
      </c>
      <c r="UN11" s="7" t="n">
        <v>-0.583949745656952</v>
      </c>
      <c r="UO11" s="7" t="n">
        <v>0.635713234713472</v>
      </c>
      <c r="UP11" s="7" t="n">
        <v>-0.813163200442364</v>
      </c>
      <c r="UQ11" s="7" t="n">
        <v>-0.428073029028063</v>
      </c>
      <c r="UR11" s="7" t="n">
        <v>0.104641305942927</v>
      </c>
      <c r="US11" s="7" t="n">
        <v>0.614589653394722</v>
      </c>
      <c r="UT11" s="7" t="n">
        <v>-0.203814402491767</v>
      </c>
      <c r="UU11" s="7" t="n">
        <v>-1.18639243217676</v>
      </c>
      <c r="UV11" s="7" t="n">
        <v>-0.762130315977972</v>
      </c>
      <c r="UW11" s="7" t="n">
        <v>0.846940809715552</v>
      </c>
      <c r="UX11" s="7" t="n">
        <v>-1.55552574742596</v>
      </c>
      <c r="UY11" s="7" t="n">
        <v>0.30297282728161</v>
      </c>
      <c r="UZ11" s="7" t="n">
        <v>-0.234726901911884</v>
      </c>
      <c r="VA11" s="7" t="n">
        <v>-0.343603618184036</v>
      </c>
      <c r="VB11" s="7" t="n">
        <v>-0.0986384334085459</v>
      </c>
      <c r="VC11" s="7" t="n">
        <v>1.06488022723535</v>
      </c>
      <c r="VD11" s="7" t="n">
        <v>1.10555726443915</v>
      </c>
      <c r="VE11" s="7" t="n">
        <v>-0.596999339996235</v>
      </c>
      <c r="VF11" s="7" t="n">
        <v>-0.0436184787088842</v>
      </c>
      <c r="VG11" s="7" t="n">
        <v>0.349254830521189</v>
      </c>
      <c r="VH11" s="7" t="n">
        <v>-1.49300093579973</v>
      </c>
      <c r="VI11" s="7" t="n">
        <v>-0.0030136206575925</v>
      </c>
      <c r="VJ11" s="7" t="n">
        <v>-0.11957453152354</v>
      </c>
      <c r="VK11" s="7" t="n">
        <v>0.380024001430053</v>
      </c>
      <c r="VL11" s="7" t="n">
        <v>-0.318143532444071</v>
      </c>
      <c r="VM11" s="7" t="n">
        <v>0.895253298318449</v>
      </c>
      <c r="VN11" s="7" t="n">
        <v>-0.227852377513022</v>
      </c>
      <c r="VO11" s="7" t="n">
        <v>0.538744779171044</v>
      </c>
      <c r="VP11" s="7" t="n">
        <v>-0.555050622370524</v>
      </c>
      <c r="VQ11" s="7" t="n">
        <v>-0.816293153222614</v>
      </c>
      <c r="VR11" s="7" t="n">
        <v>-0.313382811708418</v>
      </c>
      <c r="VS11" s="7" t="n">
        <v>0.624574265020965</v>
      </c>
      <c r="VT11" s="7" t="n">
        <v>0.225300254107236</v>
      </c>
      <c r="VU11" s="7" t="n">
        <v>-0.0590494214890437</v>
      </c>
      <c r="VV11" s="7" t="n">
        <v>-1.48041317806406</v>
      </c>
      <c r="VW11" s="7" t="n">
        <v>-1.38729092939289</v>
      </c>
      <c r="VX11" s="7" t="n">
        <v>1.19386511100413</v>
      </c>
      <c r="VY11" s="7" t="n">
        <v>-0.924470875543021</v>
      </c>
      <c r="VZ11" s="7" t="n">
        <v>-1.46977291380431</v>
      </c>
      <c r="WA11" s="7" t="n">
        <v>-0.0234408640342164</v>
      </c>
      <c r="WB11" s="7" t="n">
        <v>0.641013669450042</v>
      </c>
      <c r="WC11" s="7" t="n">
        <v>-0.346977969696319</v>
      </c>
      <c r="WD11" s="7" t="n">
        <v>-1.15214254813197</v>
      </c>
      <c r="WE11" s="7" t="n">
        <v>-0.0147069245854962</v>
      </c>
      <c r="WF11" s="7" t="n">
        <v>0.907874874320619</v>
      </c>
      <c r="WG11" s="7" t="n">
        <v>-0.355924258721968</v>
      </c>
      <c r="WH11" s="7" t="n">
        <v>0.451435439622334</v>
      </c>
      <c r="WI11" s="7" t="n">
        <v>0.948333682394654</v>
      </c>
      <c r="WJ11" s="7" t="n">
        <v>-0.8826098044469241</v>
      </c>
      <c r="WK11" s="7" t="n">
        <v>0.941962390031679</v>
      </c>
      <c r="WL11" s="7" t="n">
        <v>1.89314123282973</v>
      </c>
      <c r="WM11" s="7" t="n">
        <v>1.12231902997216</v>
      </c>
      <c r="WN11" s="7" t="n">
        <v>-1.48734453381905</v>
      </c>
      <c r="WO11" s="7" t="n">
        <v>-0.139170816088961</v>
      </c>
      <c r="WP11" s="7" t="n">
        <v>-0.0133344979742206</v>
      </c>
      <c r="WQ11" s="7" t="n">
        <v>-0.335695303337044</v>
      </c>
      <c r="WR11" s="7" t="n">
        <v>-0.514481419466319</v>
      </c>
      <c r="WS11" s="7" t="n">
        <v>1.32612972414299</v>
      </c>
      <c r="WT11" s="7" t="n">
        <v>0.86697705840101</v>
      </c>
      <c r="WU11" s="7" t="n">
        <v>0.0230863103850138</v>
      </c>
      <c r="WV11" s="7" t="n">
        <v>-0.798171674920666</v>
      </c>
      <c r="WW11" s="7" t="n">
        <v>2.12589087995593</v>
      </c>
      <c r="WX11" s="7" t="n">
        <v>-1.33869626863286</v>
      </c>
      <c r="WY11" s="7" t="n">
        <v>-0.217780768933371</v>
      </c>
      <c r="WZ11" s="7" t="n">
        <v>0.104696294436522</v>
      </c>
      <c r="XA11" s="7" t="n">
        <v>-0.6780558273585719</v>
      </c>
      <c r="XB11" s="7" t="n">
        <v>1.51717747945398</v>
      </c>
      <c r="XC11" s="7" t="n">
        <v>1.24563393984686</v>
      </c>
      <c r="XD11" s="7" t="n">
        <v>-0.8087158471692401</v>
      </c>
      <c r="XE11" s="7" t="n">
        <v>0.0202916213488047</v>
      </c>
      <c r="XF11" s="7" t="n">
        <v>0.885110724341484</v>
      </c>
      <c r="XG11" s="7" t="n">
        <v>-0.267668491752849</v>
      </c>
      <c r="XH11" s="7" t="n">
        <v>-0.983842870921247</v>
      </c>
      <c r="XI11" s="7" t="n">
        <v>1.35355376901493</v>
      </c>
      <c r="XJ11" s="7" t="n">
        <v>-2.23800268339419</v>
      </c>
      <c r="XK11" s="7" t="n">
        <v>0.314356815411626</v>
      </c>
      <c r="XL11" s="7" t="n">
        <v>-1.81631719193323</v>
      </c>
      <c r="XM11" s="7" t="n">
        <v>-0.165156022733854</v>
      </c>
      <c r="XN11" s="7" t="n">
        <v>0.66590835060933</v>
      </c>
      <c r="XO11" s="7" t="n">
        <v>0.852957524814783</v>
      </c>
      <c r="XP11" s="7" t="n">
        <v>0.807291349365963</v>
      </c>
      <c r="XQ11" s="7" t="n">
        <v>-1.57885400331908</v>
      </c>
      <c r="XR11" s="7" t="n">
        <v>1.25438229483873</v>
      </c>
      <c r="XS11" s="7" t="n">
        <v>0.840389026872396</v>
      </c>
      <c r="XT11" s="7" t="n">
        <v>-1.7594483067631</v>
      </c>
      <c r="XU11" s="7" t="n">
        <v>-1.71690709082647</v>
      </c>
      <c r="XV11" s="7" t="n">
        <v>-0.942555132756782</v>
      </c>
      <c r="XW11" s="7" t="n">
        <v>0.592570377108688</v>
      </c>
      <c r="XX11" s="7" t="n">
        <v>-0.250049168332747</v>
      </c>
      <c r="XY11" s="7" t="n">
        <v>0.0060273950233309</v>
      </c>
      <c r="XZ11" s="7" t="n">
        <v>-0.158494117155093</v>
      </c>
      <c r="YA11" s="7" t="n">
        <v>0.229599802333196</v>
      </c>
      <c r="YB11" s="7" t="n">
        <v>-0.211892311542424</v>
      </c>
      <c r="YC11" s="7" t="n">
        <v>1.67114701272478</v>
      </c>
      <c r="YD11" s="7" t="n">
        <v>1.83736833848467</v>
      </c>
      <c r="YE11" s="7" t="n">
        <v>-0.144840849874686</v>
      </c>
      <c r="YF11" s="7" t="n">
        <v>1.60921291410603</v>
      </c>
      <c r="YG11" s="7" t="n">
        <v>0.571360436721188</v>
      </c>
      <c r="YH11" s="7" t="n">
        <v>-0.157868591474388</v>
      </c>
      <c r="YI11" s="7" t="n">
        <v>-1.30875670771473</v>
      </c>
      <c r="YJ11" s="7" t="n">
        <v>-1.97365138742327</v>
      </c>
      <c r="YK11" s="7" t="n">
        <v>-1.02992254635108</v>
      </c>
      <c r="YL11" s="7" t="n">
        <v>0.212863437849717</v>
      </c>
      <c r="YM11" s="7" t="n">
        <v>-0.492076387505873</v>
      </c>
      <c r="YN11" s="7" t="n">
        <v>0.383090285618313</v>
      </c>
      <c r="YO11" s="7" t="n">
        <v>0.700210897619886</v>
      </c>
      <c r="YP11" s="7" t="n">
        <v>1.03447780791271</v>
      </c>
      <c r="YQ11" s="7" t="n">
        <v>-1.5410212046388</v>
      </c>
      <c r="YR11" s="7" t="n">
        <v>0.09157182970300951</v>
      </c>
      <c r="YS11" s="7" t="n">
        <v>1.78297430365656</v>
      </c>
      <c r="YT11" s="7" t="n">
        <v>-0.93262575698071</v>
      </c>
      <c r="YU11" s="7" t="n">
        <v>1.83834080915753</v>
      </c>
      <c r="YV11" s="7" t="n">
        <v>0.281652738487266</v>
      </c>
      <c r="YW11" s="7" t="n">
        <v>0.243099071457711</v>
      </c>
      <c r="YX11" s="7" t="n">
        <v>-2.11790514350889</v>
      </c>
      <c r="YY11" s="7" t="n">
        <v>0.32764673838666</v>
      </c>
      <c r="YZ11" s="7" t="n">
        <v>-0.523556221206236</v>
      </c>
      <c r="ZA11" s="7" t="n">
        <v>-0.28080793415119</v>
      </c>
      <c r="ZB11" s="7" t="n">
        <v>2.49258198162481</v>
      </c>
      <c r="ZC11" s="7" t="n">
        <v>-0.790880170346007</v>
      </c>
      <c r="ZD11" s="7" t="n">
        <v>-0.183641103910397</v>
      </c>
      <c r="ZE11" s="7" t="n">
        <v>-0.501104784934243</v>
      </c>
      <c r="ZF11" s="7" t="n">
        <v>-2.09365008282975</v>
      </c>
      <c r="ZG11" s="7" t="n">
        <v>-0.4891862358413</v>
      </c>
      <c r="ZH11" s="7" t="n">
        <v>0.469701560001834</v>
      </c>
      <c r="ZI11" s="7" t="n">
        <v>0.257563859619716</v>
      </c>
      <c r="ZJ11" s="7" t="n">
        <v>1.01825590233159</v>
      </c>
      <c r="ZK11" s="7" t="n">
        <v>-0.7040203194933859</v>
      </c>
      <c r="ZL11" s="7" t="n">
        <v>-1.0763328296156</v>
      </c>
      <c r="ZM11" s="7" t="n">
        <v>0.626916921985876</v>
      </c>
      <c r="ZN11" s="7" t="n">
        <v>1.38735976361472</v>
      </c>
      <c r="ZO11" s="7" t="n">
        <v>-1.74090458545293</v>
      </c>
      <c r="ZP11" s="7" t="n">
        <v>0.902076209851438</v>
      </c>
      <c r="ZQ11" s="7" t="n">
        <v>-1.46307699409684</v>
      </c>
      <c r="ZR11" s="7" t="n">
        <v>-0.894757818678946</v>
      </c>
      <c r="ZS11" s="7" t="n">
        <v>0.153639016977214</v>
      </c>
      <c r="ZT11" s="7" t="n">
        <v>1.56013711572512</v>
      </c>
      <c r="ZU11" s="7" t="n">
        <v>0.246454943064272</v>
      </c>
      <c r="ZV11" s="7" t="n">
        <v>0.169080603882365</v>
      </c>
      <c r="ZW11" s="7" t="n">
        <v>-1.33915390413016</v>
      </c>
      <c r="ZX11" s="7" t="n">
        <v>-0.802015488786104</v>
      </c>
      <c r="ZY11" s="7" t="n">
        <v>0.898980145793903</v>
      </c>
      <c r="ZZ11" s="7" t="n">
        <v>-0.717157175851143</v>
      </c>
      <c r="AAA11" s="7" t="n">
        <v>1.15893611175514</v>
      </c>
      <c r="AAB11" s="7" t="n">
        <v>0.110988929634493</v>
      </c>
      <c r="AAC11" s="7" t="n">
        <v>-1.34370189988508</v>
      </c>
      <c r="AAD11" s="7" t="n">
        <v>1.03198954562172</v>
      </c>
      <c r="AAE11" s="7" t="n">
        <v>-1.33816768517348</v>
      </c>
      <c r="AAF11" s="7" t="n">
        <v>-1.21598221153314</v>
      </c>
      <c r="AAG11" s="7" t="n">
        <v>0.15794169934762</v>
      </c>
      <c r="AAH11" s="7" t="n">
        <v>0.556965201459821</v>
      </c>
      <c r="AAI11" s="7" t="n">
        <v>2.38114641319438</v>
      </c>
      <c r="AAJ11" s="7" t="n">
        <v>1.04650943411255</v>
      </c>
      <c r="AAK11" s="7" t="n">
        <v>-0.154021216696752</v>
      </c>
      <c r="AAL11" s="7" t="n">
        <v>0.952135569891243</v>
      </c>
      <c r="AAM11" s="7" t="n">
        <v>-1.6944960086728</v>
      </c>
      <c r="AAN11" s="7" t="n">
        <v>-0.722664750681458</v>
      </c>
      <c r="AAO11" s="7" t="n">
        <v>0.868150248146657</v>
      </c>
      <c r="AAP11" s="7" t="n">
        <v>0.103461975148176</v>
      </c>
      <c r="AAQ11" s="7" t="n">
        <v>0.515573579022095</v>
      </c>
      <c r="AAR11" s="7" t="n">
        <v>-1.54881583027684</v>
      </c>
      <c r="AAS11" s="7" t="n">
        <v>1.27471680984947</v>
      </c>
      <c r="AAT11" s="7" t="n">
        <v>0.284454354619768</v>
      </c>
      <c r="AAU11" s="7" t="n">
        <v>-2.33595937320463</v>
      </c>
      <c r="AAV11" s="7" t="n">
        <v>1.15984456764861</v>
      </c>
      <c r="AAW11" s="7" t="n">
        <v>0.38108251645704</v>
      </c>
      <c r="AAX11" s="7" t="n">
        <v>-0.878654924290697</v>
      </c>
      <c r="AAY11" s="7" t="n">
        <v>0.8779240498443051</v>
      </c>
      <c r="AAZ11" s="7" t="n">
        <v>-0.124479473718769</v>
      </c>
      <c r="ABA11" s="7" t="n">
        <v>-0.640054213806137</v>
      </c>
      <c r="ABB11" s="7" t="n">
        <v>1.27019524718453</v>
      </c>
      <c r="ABC11" s="7" t="n">
        <v>-0.174498165959308</v>
      </c>
      <c r="ABD11" s="7" t="n">
        <v>-0.130858189189303</v>
      </c>
      <c r="ABE11" s="7" t="n">
        <v>1.04008230581559</v>
      </c>
      <c r="ABF11" s="7" t="n">
        <v>0.677169766524932</v>
      </c>
      <c r="ABG11" s="7" t="n">
        <v>2.62029439733426</v>
      </c>
      <c r="ABH11" s="7" t="n">
        <v>-0.518262690800782</v>
      </c>
      <c r="ABI11" s="7" t="n">
        <v>0.446512074019407</v>
      </c>
      <c r="ABJ11" s="7" t="n">
        <v>0.122194760494106</v>
      </c>
      <c r="ABK11" s="7" t="n">
        <v>0.0324567087358184</v>
      </c>
      <c r="ABL11" s="7" t="n">
        <v>0.07664631608068651</v>
      </c>
      <c r="ABM11" s="7" t="n">
        <v>0.6434771315597561</v>
      </c>
      <c r="ABN11" s="7" t="n">
        <v>1.36281926012215</v>
      </c>
      <c r="ABO11" s="7" t="n">
        <v>-1.2817943152587</v>
      </c>
      <c r="ABP11" s="7" t="n">
        <v>-0.0750703127885555</v>
      </c>
      <c r="ABQ11" s="7" t="n">
        <v>-1.16185153506178</v>
      </c>
      <c r="ABR11" s="7" t="n">
        <v>0.157116309545586</v>
      </c>
      <c r="ABS11" s="7" t="n">
        <v>1.35512802195751</v>
      </c>
      <c r="ABT11" s="7" t="n">
        <v>0.237595604499454</v>
      </c>
      <c r="ABU11" s="7" t="n">
        <v>-0.556755919370539</v>
      </c>
      <c r="ABV11" s="7" t="n">
        <v>0.633385156654621</v>
      </c>
      <c r="ABW11" s="7" t="n">
        <v>0.263771262714951</v>
      </c>
      <c r="ABX11" s="7" t="n">
        <v>-0.521998411678274</v>
      </c>
      <c r="ABY11" s="7" t="n">
        <v>-0.331860224736343</v>
      </c>
      <c r="ABZ11" s="7" t="n">
        <v>2.00085967291568</v>
      </c>
      <c r="ACA11" s="7" t="n">
        <v>-0.255916058667213</v>
      </c>
      <c r="ACB11" s="7" t="n">
        <v>0.185666347957985</v>
      </c>
      <c r="ACC11" s="7" t="n">
        <v>-1.95407502104547</v>
      </c>
      <c r="ACD11" s="7" t="n">
        <v>-0.855412698454762</v>
      </c>
      <c r="ACE11" s="7" t="n">
        <v>2.20042835387921</v>
      </c>
      <c r="ACF11" s="7" t="n">
        <v>1.34660227001822</v>
      </c>
      <c r="ACG11" s="7" t="n">
        <v>1.30861378921944</v>
      </c>
      <c r="ACH11" s="7" t="n">
        <v>1.14308266701915</v>
      </c>
      <c r="ACI11" s="7" t="n">
        <v>-1.23367622233148</v>
      </c>
      <c r="ACJ11" s="7" t="n">
        <v>2.29045859657226</v>
      </c>
      <c r="ACK11" s="7" t="n">
        <v>1.29053475102514</v>
      </c>
      <c r="ACL11" s="7" t="n">
        <v>1.38650572060446</v>
      </c>
      <c r="ACM11" s="7" t="n">
        <v>0.249818549589567</v>
      </c>
      <c r="ACN11" s="7" t="n">
        <v>-1.52583421707858</v>
      </c>
      <c r="ACO11" s="7" t="n">
        <v>-1.16767904787123</v>
      </c>
      <c r="ACP11" s="7" t="n">
        <v>1.72313667865353</v>
      </c>
      <c r="ACQ11" s="7" t="n">
        <v>0.668428903566853</v>
      </c>
      <c r="ACR11" s="7" t="n">
        <v>0.7581690411366661</v>
      </c>
      <c r="ACS11" s="7" t="n">
        <v>0.24965070882726</v>
      </c>
      <c r="ACT11" s="7" t="n">
        <v>-1.86383431261278</v>
      </c>
      <c r="ACU11" s="7" t="n">
        <v>0.881734068017385</v>
      </c>
      <c r="ACV11" s="7" t="n">
        <v>0.214688630850617</v>
      </c>
      <c r="ACW11" s="7" t="n">
        <v>0.191545971504528</v>
      </c>
      <c r="ACX11" s="7" t="n">
        <v>-3.17543317831286</v>
      </c>
      <c r="ACY11" s="7" t="n">
        <v>2.41074802074023</v>
      </c>
      <c r="ACZ11" s="7" t="n">
        <v>-0.7800190799447611</v>
      </c>
      <c r="ADA11" s="7" t="n">
        <v>0.0190940776172334</v>
      </c>
      <c r="ADB11" s="7" t="n">
        <v>0.875581741576884</v>
      </c>
      <c r="ADC11" s="7" t="n">
        <v>-1.019552601035</v>
      </c>
      <c r="ADD11" s="7" t="n">
        <v>-1.23849902533678</v>
      </c>
      <c r="ADE11" s="7" t="n">
        <v>-0.249130606652836</v>
      </c>
      <c r="ADF11" s="7" t="n">
        <v>-0.830732614478828</v>
      </c>
      <c r="ADG11" s="7" t="n">
        <v>0.365955866334522</v>
      </c>
      <c r="ADH11" s="7" t="n">
        <v>-0.38871738121682</v>
      </c>
      <c r="ADI11" s="7" t="n">
        <v>-0.0933511874169513</v>
      </c>
      <c r="ADJ11" s="7" t="n">
        <v>0.222505779549001</v>
      </c>
      <c r="ADK11" s="7" t="n">
        <v>-0.904110249818815</v>
      </c>
      <c r="ADL11" s="7" t="n">
        <v>0.662542545853419</v>
      </c>
      <c r="ADM11" s="7" t="n">
        <v>-1.48493887578274</v>
      </c>
      <c r="ADN11" s="7" t="n">
        <v>-1.18814384679467</v>
      </c>
      <c r="ADO11" s="7" t="n">
        <v>1.13508427012863</v>
      </c>
      <c r="ADP11" s="7" t="n">
        <v>-2.23505643247715</v>
      </c>
      <c r="ADQ11" s="7" t="n">
        <v>-2.90384331025329</v>
      </c>
      <c r="ADR11" s="7" t="n">
        <v>1.43910571247363</v>
      </c>
      <c r="ADS11" s="7" t="n">
        <v>0.8422555114750629</v>
      </c>
      <c r="ADT11" s="7" t="n">
        <v>-0.685280004571554</v>
      </c>
      <c r="ADU11" s="7" t="n">
        <v>1.59905463369295</v>
      </c>
      <c r="ADV11" s="7" t="n">
        <v>0.835132226590361</v>
      </c>
      <c r="ADW11" s="7" t="n">
        <v>0.346469268263306</v>
      </c>
      <c r="ADX11" s="7" t="n">
        <v>0.111889841901684</v>
      </c>
      <c r="ADY11" s="7" t="n">
        <v>-0.601499754953329</v>
      </c>
      <c r="ADZ11" s="7" t="n">
        <v>0.995507374352541</v>
      </c>
      <c r="AEA11" s="7" t="n">
        <v>0.497450683228525</v>
      </c>
      <c r="AEB11" s="7" t="n">
        <v>1.35065378600091</v>
      </c>
      <c r="AEC11" s="7" t="n">
        <v>-0.744266175122701</v>
      </c>
      <c r="AED11" s="7" t="n">
        <v>0.977375047877171</v>
      </c>
      <c r="AEE11" s="7" t="n">
        <v>0.3611742362756</v>
      </c>
      <c r="AEF11" s="7" t="n">
        <v>0.964430979562673</v>
      </c>
      <c r="AEG11" s="7" t="n">
        <v>0.113112743177099</v>
      </c>
      <c r="AEH11" s="7" t="n">
        <v>0.749645320691097</v>
      </c>
      <c r="AEI11" s="7" t="n">
        <v>-0.811307869832938</v>
      </c>
      <c r="AEJ11" s="7" t="n">
        <v>0.148680802778139</v>
      </c>
      <c r="AEK11" s="7" t="n">
        <v>0.398475601985695</v>
      </c>
      <c r="AEL11" s="7" t="n">
        <v>0.0233194193053534</v>
      </c>
      <c r="AEM11" s="7" t="n">
        <v>0.638510752103399</v>
      </c>
      <c r="AEN11" s="7" t="n">
        <v>-0.853415005310931</v>
      </c>
      <c r="AEO11" s="7" t="n">
        <v>0.802738318716719</v>
      </c>
      <c r="AEP11" s="7" t="n">
        <v>-1.12726758289875</v>
      </c>
      <c r="AEQ11" s="7" t="n">
        <v>1.77135556262196</v>
      </c>
      <c r="AER11" s="7" t="n">
        <v>0.604703879755941</v>
      </c>
      <c r="AES11" s="7" t="n">
        <v>0.190942701508897</v>
      </c>
      <c r="AET11" s="7" t="n">
        <v>0.6029054762182759</v>
      </c>
      <c r="AEU11" s="7" t="n">
        <v>0.527876017245536</v>
      </c>
      <c r="AEV11" s="7" t="n">
        <v>0.281842569598382</v>
      </c>
      <c r="AEW11" s="7" t="n">
        <v>-0.800852461431798</v>
      </c>
      <c r="AEX11" s="7" t="n">
        <v>0.220701374916775</v>
      </c>
      <c r="AEY11" s="7" t="n">
        <v>-0.520277168569954</v>
      </c>
      <c r="AEZ11" s="7" t="n">
        <v>1.15430688588421</v>
      </c>
      <c r="AFA11" s="7" t="n">
        <v>2.2943441969037</v>
      </c>
      <c r="AFB11" s="7" t="n">
        <v>-1.39102241182364</v>
      </c>
      <c r="AFC11" s="7" t="n">
        <v>0.3876315831194</v>
      </c>
      <c r="AFD11" s="7" t="n">
        <v>1.45565685867419</v>
      </c>
      <c r="AFE11" s="7" t="n">
        <v>1.9808405389588</v>
      </c>
      <c r="AFF11" s="7" t="n">
        <v>-1.06948653619814</v>
      </c>
      <c r="AFG11" s="7" t="n">
        <v>1.63173338786987</v>
      </c>
      <c r="AFH11" s="7" t="n">
        <v>0.664537818776572</v>
      </c>
      <c r="AFI11" s="7" t="n">
        <v>-2.89197584309348</v>
      </c>
      <c r="AFJ11" s="7" t="n">
        <v>0.464583792678614</v>
      </c>
      <c r="AFK11" s="7" t="n">
        <v>-1.10455474702048</v>
      </c>
      <c r="AFL11" s="7" t="n">
        <v>0.792649123841076</v>
      </c>
      <c r="AFM11" s="7" t="n">
        <v>-1.22561464028047</v>
      </c>
      <c r="AFN11" s="7" t="n">
        <v>-1.47543293586735</v>
      </c>
      <c r="AFO11" s="7" t="n">
        <v>-0.334875952014992</v>
      </c>
      <c r="AFP11" s="7" t="n">
        <v>-0.855515232984049</v>
      </c>
      <c r="AFQ11" s="7" t="n">
        <v>8.781404612379999e-05</v>
      </c>
      <c r="AFR11" s="7" t="n">
        <v>0.997523339223498</v>
      </c>
      <c r="AFS11" s="7" t="n">
        <v>1.28220946527107</v>
      </c>
      <c r="AFT11" s="7" t="n">
        <v>-0.211516122608231</v>
      </c>
      <c r="AFU11" s="7" t="n">
        <v>-1.07430050442728</v>
      </c>
      <c r="AFV11" s="7" t="n">
        <v>-1.66127466240121</v>
      </c>
      <c r="AFW11" s="7" t="n">
        <v>0.202560675728808</v>
      </c>
      <c r="AFX11" s="7" t="n">
        <v>0.80845659539348</v>
      </c>
      <c r="AFY11" s="7" t="n">
        <v>-0.0007678666540015</v>
      </c>
      <c r="AFZ11" s="7" t="n">
        <v>-0.245065814203535</v>
      </c>
      <c r="AGA11" s="7" t="n">
        <v>1.02501552954036</v>
      </c>
      <c r="AGB11" s="7" t="n">
        <v>0.800763665207966</v>
      </c>
      <c r="AGC11" s="7" t="n">
        <v>0.959792786231633</v>
      </c>
      <c r="AGD11" s="7" t="n">
        <v>0.412385285006529</v>
      </c>
      <c r="AGE11" s="7" t="n">
        <v>-1.46175637116722</v>
      </c>
      <c r="AGF11" s="7" t="n">
        <v>-1.15314320702068</v>
      </c>
      <c r="AGG11" s="7" t="n">
        <v>3.03092258034615</v>
      </c>
      <c r="AGH11" s="7" t="n">
        <v>-0.0379855444350712</v>
      </c>
      <c r="AGI11" s="7" t="n">
        <v>-2.30656115643383</v>
      </c>
      <c r="AGJ11" s="7" t="n">
        <v>-0.8663369389803099</v>
      </c>
      <c r="AGK11" s="7" t="n">
        <v>-1.71921099505888</v>
      </c>
      <c r="AGL11" s="7" t="n">
        <v>-0.30656012193105</v>
      </c>
      <c r="AGM11" s="7" t="n">
        <v>-0.892692957280516</v>
      </c>
      <c r="AGN11" s="7" t="n">
        <v>2.12505152177526</v>
      </c>
      <c r="AGO11" s="7" t="n">
        <v>0.271939720399551</v>
      </c>
      <c r="AGP11" s="7" t="n">
        <v>0.975133130491042</v>
      </c>
      <c r="AGQ11" s="7" t="n">
        <v>0.994435612735597</v>
      </c>
      <c r="AGR11" s="7" t="n">
        <v>1.7735895772717</v>
      </c>
      <c r="AGS11" s="7" t="n">
        <v>-0.344677538340964</v>
      </c>
      <c r="AGT11" s="7" t="n">
        <v>-1.39502962895283</v>
      </c>
      <c r="AGU11" s="7" t="n">
        <v>0.354063774531295</v>
      </c>
      <c r="AGV11" s="7" t="n">
        <v>-0.473478290315951</v>
      </c>
      <c r="AGW11" s="7" t="n">
        <v>-0.492606925336734</v>
      </c>
      <c r="AGX11" s="7" t="n">
        <v>-0.377404286741935</v>
      </c>
      <c r="AGY11" s="7" t="n">
        <v>-1.2181639901109</v>
      </c>
      <c r="AGZ11" s="7" t="n">
        <v>-1.24327724980751</v>
      </c>
      <c r="AHA11" s="7" t="n">
        <v>-0.42674824452257</v>
      </c>
      <c r="AHB11" s="7" t="n">
        <v>0.979822367340156</v>
      </c>
      <c r="AHC11" s="7" t="n">
        <v>-0.968567729719799</v>
      </c>
      <c r="AHD11" s="7" t="n">
        <v>-0.0938013607190654</v>
      </c>
      <c r="AHE11" s="7" t="n">
        <v>2.03970303649816</v>
      </c>
      <c r="AHF11" s="7" t="n">
        <v>-0.534351319187481</v>
      </c>
      <c r="AHG11" s="7" t="n">
        <v>-0.255219540647894</v>
      </c>
      <c r="AHH11" s="7" t="n">
        <v>-1.72670233627407</v>
      </c>
      <c r="AHI11" s="7" t="n">
        <v>0.859624000461878</v>
      </c>
      <c r="AHJ11" s="7" t="n">
        <v>-0.343013727406453</v>
      </c>
      <c r="AHK11" s="7" t="n">
        <v>-0.307582313478777</v>
      </c>
      <c r="AHL11" s="7" t="n">
        <v>0.0796752524260512</v>
      </c>
      <c r="AHM11" s="7" t="n">
        <v>2.64895778652019</v>
      </c>
      <c r="AHN11" s="7" t="n">
        <v>0.881613721074483</v>
      </c>
      <c r="AHO11" s="7" t="n">
        <v>-0.318792631791243</v>
      </c>
      <c r="AHP11" s="7" t="n">
        <v>-0.535954200891113</v>
      </c>
      <c r="AHQ11" s="7" t="n">
        <v>-0.0009298487009213</v>
      </c>
      <c r="AHR11" s="7" t="n">
        <v>1.44154425008309</v>
      </c>
      <c r="AHS11" s="7" t="n">
        <v>-0.353813112200722</v>
      </c>
      <c r="AHT11" s="7" t="n">
        <v>-1.14007153183536</v>
      </c>
      <c r="AHU11" s="7" t="n">
        <v>0.112532395176978</v>
      </c>
      <c r="AHV11" s="7" t="n">
        <v>-1.29443853786956</v>
      </c>
      <c r="AHW11" s="7" t="n">
        <v>0.582553259091157</v>
      </c>
      <c r="AHX11" s="7" t="n">
        <v>1.83971079022159</v>
      </c>
      <c r="AHY11" s="7" t="n">
        <v>0.825079889537137</v>
      </c>
      <c r="AHZ11" s="7" t="n">
        <v>-0.783263622371015</v>
      </c>
      <c r="AIA11" s="7" t="n">
        <v>0.797295350734365</v>
      </c>
      <c r="AIB11" s="7" t="n">
        <v>-1.66924800401871</v>
      </c>
      <c r="AIC11" s="7" t="n">
        <v>-1.64929855970399</v>
      </c>
      <c r="AID11" s="7" t="n">
        <v>0.131042077199141</v>
      </c>
      <c r="AIE11" s="7" t="n">
        <v>0.205155211160086</v>
      </c>
      <c r="AIF11" s="7" t="n">
        <v>0.182969895577068</v>
      </c>
      <c r="AIG11" s="7" t="n">
        <v>-0.409200832216626</v>
      </c>
      <c r="AIH11" s="7" t="n">
        <v>0.549745696079634</v>
      </c>
      <c r="AII11" s="7" t="n">
        <v>2.32311844935341</v>
      </c>
      <c r="AIJ11" s="7" t="n">
        <v>0.912116911920667</v>
      </c>
      <c r="AIK11" s="7" t="n">
        <v>0.250234215268693</v>
      </c>
      <c r="AIL11" s="7" t="n">
        <v>-0.0260240247900842</v>
      </c>
      <c r="AIM11" s="7" t="n">
        <v>-1.19841325309447</v>
      </c>
      <c r="AIN11" s="7" t="n">
        <v>-0.405721729525554</v>
      </c>
      <c r="AIO11" s="7" t="n">
        <v>0.019544307949367</v>
      </c>
      <c r="AIP11" s="7" t="n">
        <v>-1.20453717266476</v>
      </c>
      <c r="AIQ11" s="7" t="n">
        <v>1.3751313184606</v>
      </c>
      <c r="AIR11" s="7" t="n">
        <v>1.05382759554641</v>
      </c>
      <c r="AIS11" s="7" t="n">
        <v>0.927649777426538</v>
      </c>
      <c r="AIT11" s="7" t="n">
        <v>-0.333642675033118</v>
      </c>
      <c r="AIU11" s="7" t="n">
        <v>1.47462636171047</v>
      </c>
      <c r="AIV11" s="7" t="n">
        <v>-0.296271469234061</v>
      </c>
      <c r="AIW11" s="7" t="n">
        <v>1.2765104689365</v>
      </c>
      <c r="AIX11" s="7" t="n">
        <v>0.522946820274152</v>
      </c>
      <c r="AIY11" s="7" t="n">
        <v>-0.649228459316284</v>
      </c>
      <c r="AIZ11" s="7" t="n">
        <v>-0.0250525060579177</v>
      </c>
      <c r="AJA11" s="7" t="n">
        <v>2.35119207310983</v>
      </c>
      <c r="AJB11" s="7" t="n">
        <v>1.64393435783528</v>
      </c>
      <c r="AJC11" s="7" t="n">
        <v>0.009259051052087399</v>
      </c>
      <c r="AJD11" s="7" t="n">
        <v>0.187458188371768</v>
      </c>
      <c r="AJE11" s="7" t="n">
        <v>-0.894039998884629</v>
      </c>
      <c r="AJF11" s="7" t="n">
        <v>1.17221043604811</v>
      </c>
      <c r="AJG11" s="7" t="n">
        <v>0.487790450018671</v>
      </c>
      <c r="AJH11" s="7" t="n">
        <v>-0.861151647880137</v>
      </c>
      <c r="AJI11" s="7" t="n">
        <v>-2.9047720047392</v>
      </c>
      <c r="AJJ11" s="7" t="n">
        <v>-0.971513163030293</v>
      </c>
      <c r="AJK11" s="7" t="n">
        <v>-1.01889963312774</v>
      </c>
      <c r="AJL11" s="7" t="n">
        <v>-1.10260294337271</v>
      </c>
      <c r="AJM11" s="7" t="n">
        <v>1.01989120479764</v>
      </c>
      <c r="AJN11" s="7" t="n">
        <v>0.150423801692304</v>
      </c>
      <c r="AJO11" s="7" t="n">
        <v>1.56722925131454</v>
      </c>
      <c r="AJP11" s="7" t="n">
        <v>-1.32717537504122</v>
      </c>
      <c r="AJQ11" s="7" t="n">
        <v>0.331317235831784</v>
      </c>
      <c r="AJR11" s="7" t="n">
        <v>0.148582410808738</v>
      </c>
      <c r="AJS11" s="7" t="n">
        <v>1.65599696232472</v>
      </c>
      <c r="AJT11" s="7" t="n">
        <v>0.276953311473607</v>
      </c>
      <c r="AJU11" s="7" t="n">
        <v>-0.274060856657441</v>
      </c>
      <c r="AJV11" s="7" t="n">
        <v>-0.601869601039469</v>
      </c>
      <c r="AJW11" s="7" t="n">
        <v>-0.427487055122541</v>
      </c>
      <c r="AJX11" s="7" t="n">
        <v>1.26998329205164</v>
      </c>
      <c r="AJY11" s="7" t="n">
        <v>0.406125850156948</v>
      </c>
      <c r="AJZ11" s="7" t="n">
        <v>-0.0663428897202798</v>
      </c>
      <c r="AKA11" s="7" t="n">
        <v>1.80468972263991</v>
      </c>
      <c r="AKB11" s="7" t="n">
        <v>-1.06286691041558</v>
      </c>
      <c r="AKC11" s="7" t="n">
        <v>-0.405755257514746</v>
      </c>
      <c r="AKD11" s="7" t="n">
        <v>-0.443453320697188</v>
      </c>
      <c r="AKE11" s="7" t="n">
        <v>-0.606590453476698</v>
      </c>
      <c r="AKF11" s="7" t="n">
        <v>1.57732386725654</v>
      </c>
      <c r="AKG11" s="7" t="n">
        <v>-0.35653318736334</v>
      </c>
      <c r="AKH11" s="7" t="n">
        <v>1.07882364007078</v>
      </c>
      <c r="AKI11" s="7" t="n">
        <v>0.48477091167463</v>
      </c>
      <c r="AKJ11" s="7" t="n">
        <v>-1.76528586185298</v>
      </c>
      <c r="AKK11" s="7" t="n">
        <v>1.2299841782772</v>
      </c>
      <c r="AKL11" s="7" t="n">
        <v>-0.881529978679878</v>
      </c>
      <c r="AKM11" s="7" t="n">
        <v>0.323450034965124</v>
      </c>
      <c r="AKN11" s="7" t="n">
        <v>0.769067028178356</v>
      </c>
      <c r="AKO11" s="7" t="n">
        <v>-2.49758403692864</v>
      </c>
      <c r="AKP11" s="7" t="n">
        <v>-0.0205893197434295</v>
      </c>
      <c r="AKQ11" s="7" t="n">
        <v>-0.819440813359675</v>
      </c>
      <c r="AKR11" s="7" t="n">
        <v>-0.61633363280151</v>
      </c>
      <c r="AKS11" s="7" t="n">
        <v>0.81282447614855</v>
      </c>
      <c r="AKT11" s="7" t="n">
        <v>1.01567920353071</v>
      </c>
      <c r="AKU11" s="7" t="n">
        <v>-2.00075884500701</v>
      </c>
      <c r="AKV11" s="7" t="n">
        <v>1.10015540021175</v>
      </c>
      <c r="AKW11" s="7" t="n">
        <v>-0.327802425165037</v>
      </c>
      <c r="AKX11" s="7" t="n">
        <v>-1.625095918071</v>
      </c>
      <c r="AKY11" s="7" t="n">
        <v>0.41287263288197</v>
      </c>
      <c r="AKZ11" s="7" t="n">
        <v>-0.11642411909578</v>
      </c>
      <c r="ALA11" s="7" t="n">
        <v>0.577211892257203</v>
      </c>
      <c r="ALB11" s="7" t="n">
        <v>-1.16452593180791</v>
      </c>
      <c r="ALC11" s="7" t="n">
        <v>-0.629464031045203</v>
      </c>
      <c r="ALD11" s="7" t="n">
        <v>-0.354580195901835</v>
      </c>
      <c r="ALE11" s="7" t="n">
        <v>-0.0178689035164343</v>
      </c>
      <c r="ALF11" s="7" t="n">
        <v>0.832099335318167</v>
      </c>
      <c r="ALG11" s="7" t="n">
        <v>-1.96086459128431</v>
      </c>
      <c r="ALH11" s="7" t="n">
        <v>0.160925016389101</v>
      </c>
      <c r="ALI11" s="7" t="n">
        <v>0.212912654645126</v>
      </c>
      <c r="ALJ11" s="7" t="n">
        <v>0.6590078609416929</v>
      </c>
      <c r="ALK11" s="7" t="n">
        <v>1.43612617223275</v>
      </c>
      <c r="ALL11" s="7" t="n">
        <v>0.703945077549911</v>
      </c>
      <c r="ALM11" s="7" t="n">
        <v>1.67201910229632</v>
      </c>
      <c r="ALN11" s="7" t="n">
        <v>0.95986572192366</v>
      </c>
      <c r="ALO11" s="7" t="n">
        <v>0.7494957370726</v>
      </c>
      <c r="ALP11" s="7" t="n">
        <v>-0.015612193920105</v>
      </c>
      <c r="ALQ11" s="7" t="n">
        <v>-1.36602292278369</v>
      </c>
      <c r="ALR11" s="7" t="n">
        <v>0.322923093662805</v>
      </c>
      <c r="ALS11" s="7" t="n">
        <v>-0.286322708400925</v>
      </c>
      <c r="ALT11" s="7" t="n">
        <v>0.569380269483123</v>
      </c>
      <c r="ALU11" s="7" t="n">
        <v>-0.204769171254137</v>
      </c>
      <c r="ALV11" s="7" t="n">
        <v>0.246327244354716</v>
      </c>
      <c r="ALW11" s="7" t="n">
        <v>0.81702808659673</v>
      </c>
      <c r="ALX11" s="7" t="n">
        <v>-0.31787239482011</v>
      </c>
      <c r="ALY11" s="7" t="n">
        <v>-1.55667063626549</v>
      </c>
      <c r="ALZ11" s="7" t="n">
        <v>-0.799843734836407</v>
      </c>
      <c r="AMA11" s="7" t="n">
        <v>1.06425188199319</v>
      </c>
      <c r="AMB11" s="7" t="n">
        <v>-0.652111888759658</v>
      </c>
      <c r="AMC11" s="7" t="n">
        <v>0.753741464113902</v>
      </c>
      <c r="AMD11" s="7" t="n">
        <v>-1.96183508518821</v>
      </c>
      <c r="AME11" s="7" t="n">
        <v>2.22638142093946</v>
      </c>
      <c r="AMF11" s="7" t="n">
        <v>-0.203008985384479</v>
      </c>
      <c r="AMG11" s="7" t="n">
        <v>1.35558654093305</v>
      </c>
      <c r="AMH11" s="7" t="n">
        <v>-0.717389367798598</v>
      </c>
      <c r="AMI11" s="7" t="n">
        <v>1.14425175040738</v>
      </c>
      <c r="AMJ11" s="7" t="n">
        <v>-0.735418538514421</v>
      </c>
      <c r="AMK11" s="7" t="n">
        <v>0.337240706358656</v>
      </c>
      <c r="AML11" s="7" t="n">
        <v>0.267903134362927</v>
      </c>
      <c r="AMM11" s="7" t="n">
        <v>-1.55185454809819</v>
      </c>
      <c r="AMN11" s="7" t="n">
        <v>-0.660854238909005</v>
      </c>
      <c r="AMO11" s="7" t="n">
        <v>0.360652725925393</v>
      </c>
      <c r="AMP11" s="7" t="n">
        <v>0.0356903168035344</v>
      </c>
      <c r="AMQ11" s="7" t="n">
        <v>-1.70944434962802</v>
      </c>
      <c r="AMR11" s="7" t="n">
        <v>-0.606366267500014</v>
      </c>
      <c r="AMS11" s="7" t="n">
        <v>-0.0516355826680638</v>
      </c>
      <c r="AMT11" s="7" t="n">
        <v>-0.0247328019544528</v>
      </c>
      <c r="AMU11" s="7" t="n">
        <v>-0.794642498490834</v>
      </c>
      <c r="AMV11" s="7" t="n">
        <v>1.41381167449448</v>
      </c>
      <c r="AMW11" s="7" t="n">
        <v>-1.11160999015514</v>
      </c>
      <c r="AMX11" s="7" t="n">
        <v>0.199931170738987</v>
      </c>
      <c r="AMY11" s="7" t="n">
        <v>-0.106113722368035</v>
      </c>
      <c r="AMZ11" s="7" t="n">
        <v>-0.6417522559566839</v>
      </c>
      <c r="ANA11" s="7" t="n">
        <v>1.39540222170462</v>
      </c>
      <c r="ANB11" s="7" t="n">
        <v>0.367157799144183</v>
      </c>
      <c r="ANC11" s="7" t="n">
        <v>0.0858495532256096</v>
      </c>
      <c r="AND11" s="7" t="n">
        <v>0.688176122134243</v>
      </c>
      <c r="ANE11" s="7" t="n">
        <v>1.81484444846336</v>
      </c>
      <c r="ANF11" s="7" t="n">
        <v>1.27854138947632</v>
      </c>
      <c r="ANG11" s="7" t="n">
        <v>1.16076281326088</v>
      </c>
      <c r="ANH11" s="7" t="n">
        <v>-1.11995778820892</v>
      </c>
      <c r="ANI11" s="7" t="n">
        <v>-0.360521198112243</v>
      </c>
      <c r="ANJ11" s="7" t="n">
        <v>0.279439944025787</v>
      </c>
      <c r="ANK11" s="7" t="n">
        <v>0.206572420591985</v>
      </c>
      <c r="ANL11" s="7" t="n">
        <v>1.80279051163492</v>
      </c>
      <c r="ANM11" s="7" t="n">
        <v>-0.054353424539413</v>
      </c>
      <c r="ANN11" s="7" t="n">
        <v>0.0038080626383474</v>
      </c>
      <c r="ANO11" s="7" t="n">
        <v>-0.718383020704878</v>
      </c>
      <c r="ANP11" s="7" t="n">
        <v>0.130308892187991</v>
      </c>
      <c r="ANQ11" s="7" t="n">
        <v>-0.29151245216206</v>
      </c>
      <c r="ANR11" s="7" t="n">
        <v>1.75616826422409</v>
      </c>
      <c r="ANS11" s="7" t="n">
        <v>0.694069105651161</v>
      </c>
      <c r="ANT11" s="7" t="n">
        <v>1.54755382486032</v>
      </c>
      <c r="ANU11" s="7" t="n">
        <v>-2.46052696540667</v>
      </c>
      <c r="ANV11" s="7" t="n">
        <v>-0.246905343575255</v>
      </c>
      <c r="ANW11" s="7" t="n">
        <v>-0.963515887975406</v>
      </c>
      <c r="ANX11" s="7" t="n">
        <v>-0.72690770992969</v>
      </c>
      <c r="ANY11" s="7" t="n">
        <v>0.103123298196621</v>
      </c>
      <c r="ANZ11" s="7" t="n">
        <v>2.72706400657518</v>
      </c>
      <c r="AOA11" s="7" t="n">
        <v>-0.78637055003115</v>
      </c>
      <c r="AOB11" s="7" t="n">
        <v>-0.385569834184581</v>
      </c>
      <c r="AOC11" s="7" t="n">
        <v>-0.502314822697859</v>
      </c>
      <c r="AOD11" s="7" t="n">
        <v>0.555694541630123</v>
      </c>
      <c r="AOE11" s="7" t="n">
        <v>-0.0704334991583858</v>
      </c>
      <c r="AOF11" s="7" t="n">
        <v>1.24018080385647</v>
      </c>
      <c r="AOG11" s="7" t="n">
        <v>0.441129434505298</v>
      </c>
      <c r="AOH11" s="7" t="n">
        <v>2.81241837267715</v>
      </c>
      <c r="AOI11" s="7" t="n">
        <v>-1.03375249646404</v>
      </c>
      <c r="AOJ11" s="7" t="n">
        <v>1.17363896254209</v>
      </c>
      <c r="AOK11" s="7" t="n">
        <v>-0.197626386821366</v>
      </c>
      <c r="AOL11" s="7" t="n">
        <v>-0.0264405181789012</v>
      </c>
      <c r="AOM11" s="7" t="n">
        <v>0.996205262846754</v>
      </c>
      <c r="AON11" s="7" t="n">
        <v>-2.15775605451159</v>
      </c>
      <c r="AOO11" s="7" t="n">
        <v>1.22812807198573</v>
      </c>
      <c r="AOP11" s="7" t="n">
        <v>0.135768465804616</v>
      </c>
      <c r="AOQ11" s="7" t="n">
        <v>-0.190333311605943</v>
      </c>
      <c r="AOR11" s="7" t="n">
        <v>-2.20445938769185</v>
      </c>
      <c r="AOS11" s="7" t="n">
        <v>0.859030666536417</v>
      </c>
      <c r="AOT11" s="7" t="n">
        <v>1.68171053193007</v>
      </c>
      <c r="AOU11" s="7" t="n">
        <v>-1.38722376223836</v>
      </c>
      <c r="AOV11" s="7" t="n">
        <v>-0.271468713153665</v>
      </c>
      <c r="AOW11" s="7" t="n">
        <v>0.0152651934958134</v>
      </c>
      <c r="AOX11" s="7" t="n">
        <v>-1.54782132564719</v>
      </c>
      <c r="AOY11" s="7" t="n">
        <v>1.38588251070851</v>
      </c>
      <c r="AOZ11" s="7" t="n">
        <v>-0.157757431565433</v>
      </c>
      <c r="APA11" s="7" t="n">
        <v>-0.62703005062474</v>
      </c>
      <c r="APB11" s="7" t="n">
        <v>-0.0141351578993595</v>
      </c>
      <c r="APC11" s="7" t="n">
        <v>0.222776594014465</v>
      </c>
      <c r="APD11" s="7" t="n">
        <v>1.24050708097121</v>
      </c>
      <c r="APE11" s="7" t="n">
        <v>-0.0489444274394914</v>
      </c>
      <c r="APF11" s="7" t="n">
        <v>-0.271370476376349</v>
      </c>
      <c r="APG11" s="7" t="n">
        <v>0.247901529448202</v>
      </c>
      <c r="APH11" s="7" t="n">
        <v>1.95317409207459</v>
      </c>
      <c r="API11" s="7" t="n">
        <v>-0.402426611170834</v>
      </c>
      <c r="APJ11" s="7" t="n">
        <v>0.58499527369139</v>
      </c>
      <c r="APK11" s="7" t="n">
        <v>0.829097827106153</v>
      </c>
      <c r="APL11" s="7" t="n">
        <v>-1.17928519714521</v>
      </c>
      <c r="APM11" s="7" t="n">
        <v>-0.873273790388035</v>
      </c>
      <c r="APN11" s="7" t="n">
        <v>-0.115058808681452</v>
      </c>
      <c r="APO11" s="7" t="n">
        <v>-1.07017590522877</v>
      </c>
      <c r="APP11" s="7" t="n">
        <v>-1.74408631095489</v>
      </c>
      <c r="APQ11" s="7" t="n">
        <v>-0.288404381306979</v>
      </c>
      <c r="APR11" s="7" t="n">
        <v>1.45202329123521</v>
      </c>
      <c r="APS11" s="7" t="n">
        <v>0.380098424535655</v>
      </c>
      <c r="APT11" s="7" t="n">
        <v>-0.0528967764792991</v>
      </c>
      <c r="APU11" s="7" t="n">
        <v>0.725352472580667</v>
      </c>
      <c r="APV11" s="7" t="n">
        <v>0.971368126292285</v>
      </c>
      <c r="APW11" s="7" t="n">
        <v>0.682809257287059</v>
      </c>
      <c r="APX11" s="7" t="n">
        <v>0.825207677120503</v>
      </c>
      <c r="APY11" s="7" t="n">
        <v>1.10038324231352</v>
      </c>
      <c r="APZ11" s="7" t="n">
        <v>-1.17442511526641</v>
      </c>
      <c r="AQA11" s="7" t="n">
        <v>0.0606705218482042</v>
      </c>
      <c r="AQB11" s="7" t="n">
        <v>-0.701774742295001</v>
      </c>
      <c r="AQC11" s="7" t="n">
        <v>1.55059305829569</v>
      </c>
      <c r="AQD11" s="7" t="n">
        <v>-0.597265659595524</v>
      </c>
      <c r="AQE11" s="7" t="n">
        <v>-0.0131847883485567</v>
      </c>
      <c r="AQF11" s="7" t="n">
        <v>-1.69472174495287</v>
      </c>
      <c r="AQG11" s="7" t="n">
        <v>-0.954527153516057</v>
      </c>
      <c r="AQH11" s="7" t="n">
        <v>-1.38180135583258</v>
      </c>
      <c r="AQI11" s="7" t="n">
        <v>1.54494312215697</v>
      </c>
      <c r="AQJ11" s="7" t="n">
        <v>0.873887039065897</v>
      </c>
      <c r="AQK11" s="7" t="n">
        <v>0.174910407041487</v>
      </c>
      <c r="AQL11" s="7" t="n">
        <v>-0.07809264209952289</v>
      </c>
      <c r="AQM11" s="7" t="n">
        <v>1.44243600548292</v>
      </c>
      <c r="AQN11" s="7" t="n">
        <v>-1.16391852133224</v>
      </c>
      <c r="AQO11" s="7" t="n">
        <v>0.788737579494713</v>
      </c>
      <c r="AQP11" s="7" t="n">
        <v>-0.967485452325504</v>
      </c>
      <c r="AQQ11" s="7" t="n">
        <v>-0.243891358963028</v>
      </c>
      <c r="AQR11" s="7" t="n">
        <v>0.209678152979647</v>
      </c>
      <c r="AQS11" s="7" t="n">
        <v>-0.238394136660169</v>
      </c>
      <c r="AQT11" s="7" t="n">
        <v>0.219225836004496</v>
      </c>
      <c r="AQU11" s="7" t="n">
        <v>0.414511911344396</v>
      </c>
      <c r="AQV11" s="7" t="n">
        <v>3.01380144819952</v>
      </c>
      <c r="AQW11" s="7" t="n">
        <v>-0.804510541315354</v>
      </c>
      <c r="AQX11" s="7" t="n">
        <v>1.03927051789513</v>
      </c>
      <c r="AQY11" s="7" t="n">
        <v>-0.965963661439738</v>
      </c>
      <c r="AQZ11" s="7" t="n">
        <v>-0.918955269224097</v>
      </c>
      <c r="ARA11" s="7" t="n">
        <v>0.0910082338167776</v>
      </c>
      <c r="ARB11" s="7" t="n">
        <v>0.554204260209044</v>
      </c>
      <c r="ARC11" s="7" t="n">
        <v>0.821414408144459</v>
      </c>
      <c r="ARD11" s="7" t="n">
        <v>-1.61585445054454</v>
      </c>
      <c r="ARE11" s="7" t="n">
        <v>-0.6168243925468621</v>
      </c>
      <c r="ARF11" s="7" t="n">
        <v>0.31269325691068</v>
      </c>
      <c r="ARG11" s="7" t="n">
        <v>0.408722214735058</v>
      </c>
      <c r="ARH11" s="7" t="n">
        <v>0.205414033429998</v>
      </c>
      <c r="ARI11" s="7" t="n">
        <v>0.427422572110069</v>
      </c>
      <c r="ARJ11" s="7" t="n">
        <v>-1.12150395527473</v>
      </c>
      <c r="ARK11" s="7" t="n">
        <v>1.45635650883873</v>
      </c>
      <c r="ARL11" s="7" t="n">
        <v>0.136925171525044</v>
      </c>
      <c r="ARM11" s="7" t="n">
        <v>1.46227633250695</v>
      </c>
      <c r="ARN11" s="7" t="n">
        <v>1.47468360995948</v>
      </c>
      <c r="ARO11" s="7" t="n">
        <v>1.60284275192745</v>
      </c>
      <c r="ARP11" s="7" t="n">
        <v>0.277149920206012</v>
      </c>
      <c r="ARQ11" s="7" t="n">
        <v>0.674180750545036</v>
      </c>
      <c r="ARR11" s="7" t="n">
        <v>1.53384273385539</v>
      </c>
      <c r="ARS11" s="7" t="n">
        <v>1.23311826476976</v>
      </c>
      <c r="ART11" s="7" t="n">
        <v>-1.47638401834227</v>
      </c>
      <c r="ARU11" s="7" t="n">
        <v>-0.639733710073229</v>
      </c>
      <c r="ARV11" s="7" t="n">
        <v>-0.685444761502203</v>
      </c>
      <c r="ARW11" s="7" t="n">
        <v>0.570048287009384</v>
      </c>
      <c r="ARX11" s="7" t="n">
        <v>0.837812019289789</v>
      </c>
      <c r="ARY11" s="7" t="n">
        <v>-1.41162032818599</v>
      </c>
      <c r="ARZ11" s="7" t="n">
        <v>0.819185729750092</v>
      </c>
      <c r="ASA11" s="7" t="n">
        <v>0.674402151769812</v>
      </c>
      <c r="ASB11" s="7" t="n">
        <v>-0.550815098894842</v>
      </c>
      <c r="ASC11" s="7" t="n">
        <v>-0.0100349932889755</v>
      </c>
      <c r="ASD11" s="7" t="n">
        <v>0.707516352813462</v>
      </c>
      <c r="ASE11" s="7" t="n">
        <v>0.0300718184555834</v>
      </c>
      <c r="ASF11" s="7" t="n">
        <v>0.484520383992945</v>
      </c>
      <c r="ASG11" s="7" t="n">
        <v>1.00630706561231</v>
      </c>
      <c r="ASH11" s="7" t="n">
        <v>0.726319348390148</v>
      </c>
      <c r="ASI11" s="7" t="n">
        <v>1.42053688316193</v>
      </c>
      <c r="ASJ11" s="7" t="n">
        <v>-0.0232594309696008</v>
      </c>
      <c r="ASK11" s="7" t="n">
        <v>0.100996759337204</v>
      </c>
      <c r="ASL11" s="7" t="n">
        <v>1.59713875993609</v>
      </c>
      <c r="ASM11" s="7" t="n">
        <v>-0.407800919784274</v>
      </c>
      <c r="ASN11" s="7" t="n">
        <v>-2.01140724145308</v>
      </c>
      <c r="ASO11" s="7" t="n">
        <v>-0.794024189916933</v>
      </c>
      <c r="ASP11" s="7" t="n">
        <v>1.70760846179262</v>
      </c>
      <c r="ASQ11" s="7" t="n">
        <v>1.1829667366415</v>
      </c>
      <c r="ASR11" s="7" t="n">
        <v>-0.607758341481843</v>
      </c>
      <c r="ASS11" s="7" t="n">
        <v>0.112469802132708</v>
      </c>
      <c r="AST11" s="7" t="n">
        <v>1.17697004968586</v>
      </c>
      <c r="ASU11" s="7" t="n">
        <v>0.479608109839079</v>
      </c>
      <c r="ASV11" s="7" t="n">
        <v>-0.147269921494232</v>
      </c>
      <c r="ASW11" s="7" t="n">
        <v>0.24833543096006</v>
      </c>
      <c r="ASX11" s="7" t="n">
        <v>-0.940068173078019</v>
      </c>
      <c r="ASY11" s="7" t="n">
        <v>1.73061600168827</v>
      </c>
      <c r="ASZ11" s="7" t="n">
        <v>-1.28286060649631</v>
      </c>
      <c r="ATA11" s="7" t="n">
        <v>-0.791935405836828</v>
      </c>
      <c r="ATB11" s="7" t="n">
        <v>1.11035471155091</v>
      </c>
      <c r="ATC11" s="7" t="n">
        <v>1.6832594242887</v>
      </c>
      <c r="ATD11" s="7" t="n">
        <v>0.503885829183053</v>
      </c>
      <c r="ATE11" s="7" t="n">
        <v>-0.263700502992988</v>
      </c>
      <c r="ATF11" s="7" t="n">
        <v>-0.978090142236729</v>
      </c>
      <c r="ATG11" s="7" t="n">
        <v>1.95132880122476</v>
      </c>
      <c r="ATH11" s="7" t="n">
        <v>0.924072347999466</v>
      </c>
      <c r="ATI11" s="7" t="n">
        <v>0.0460532330355246</v>
      </c>
      <c r="ATJ11" s="7" t="n">
        <v>0.855420304659595</v>
      </c>
      <c r="ATK11" s="7" t="n">
        <v>-0.255523997770359</v>
      </c>
      <c r="ATL11" s="7" t="n">
        <v>0.425358635075348</v>
      </c>
      <c r="ATM11" s="7" t="n">
        <v>-0.108715767207744</v>
      </c>
      <c r="ATN11" s="7" t="n">
        <v>1.28806237191189</v>
      </c>
      <c r="ATO11" s="7" t="n">
        <v>0.607934819101496</v>
      </c>
      <c r="ATP11" s="7" t="n">
        <v>-0.308975099393701</v>
      </c>
      <c r="ATQ11" s="7" t="n">
        <v>-0.358298148422505</v>
      </c>
      <c r="ATR11" s="7" t="n">
        <v>-0.1088963320263</v>
      </c>
      <c r="ATS11" s="7" t="n">
        <v>0.714580278196524</v>
      </c>
      <c r="ATT11" s="7" t="n">
        <v>1.01383581149887</v>
      </c>
      <c r="ATU11" s="7" t="n">
        <v>0.797145351850837</v>
      </c>
      <c r="ATV11" s="7" t="n">
        <v>-0.512409995462454</v>
      </c>
      <c r="ATW11" s="7" t="n">
        <v>0.565226153933914</v>
      </c>
      <c r="ATX11" s="7" t="n">
        <v>-0.66984942716922</v>
      </c>
      <c r="ATY11" s="7" t="n">
        <v>-0.554340036338162</v>
      </c>
      <c r="ATZ11" s="7" t="n">
        <v>1.97232664948414</v>
      </c>
      <c r="AUA11" s="7" t="n">
        <v>-0.06912797300887299</v>
      </c>
      <c r="AUB11" s="7" t="n">
        <v>-0.474252517741042</v>
      </c>
      <c r="AUC11" s="7" t="n">
        <v>-1.67447323972116</v>
      </c>
      <c r="AUD11" s="7" t="n">
        <v>-0.0558720882432706</v>
      </c>
      <c r="AUE11" s="7" t="n">
        <v>-1.39214677994336</v>
      </c>
      <c r="AUF11" s="7" t="n">
        <v>0.578224830894434</v>
      </c>
      <c r="AUG11" s="7" t="n">
        <v>0.992481033915997</v>
      </c>
      <c r="AUH11" s="7" t="n">
        <v>0.320241769187556</v>
      </c>
      <c r="AUI11" s="7" t="n">
        <v>-0.838509896747499</v>
      </c>
      <c r="AUJ11" s="7" t="n">
        <v>-1.79488725522219</v>
      </c>
      <c r="AUK11" s="7" t="n">
        <v>-0.42786712848182</v>
      </c>
      <c r="AUL11" s="7" t="n">
        <v>-0.451803789167993</v>
      </c>
      <c r="AUM11" s="7" t="n">
        <v>1.5702469517719</v>
      </c>
      <c r="AUN11" s="7" t="n">
        <v>0.8093156637890579</v>
      </c>
      <c r="AUO11" s="7" t="n">
        <v>1.68068298917539</v>
      </c>
      <c r="AUP11" s="7" t="n">
        <v>-0.460298414397323</v>
      </c>
      <c r="AUQ11" s="7" t="n">
        <v>-0.373441980038825</v>
      </c>
      <c r="AUR11" s="7" t="n">
        <v>-1.14614933338005</v>
      </c>
      <c r="AUS11" s="7" t="n">
        <v>-0.024682813803278</v>
      </c>
      <c r="AUT11" s="7" t="n">
        <v>-2.0842934288019</v>
      </c>
      <c r="AUU11" s="7" t="n">
        <v>-0.270914189605846</v>
      </c>
      <c r="AUV11" s="7" t="n">
        <v>1.33920248099954</v>
      </c>
      <c r="AUW11" s="7" t="n">
        <v>0.826026988035906</v>
      </c>
      <c r="AUX11" s="7" t="n">
        <v>0.134694417361353</v>
      </c>
      <c r="AUY11" s="7" t="n">
        <v>-1.05664680311723</v>
      </c>
      <c r="AUZ11" s="7" t="n">
        <v>0.696691528260405</v>
      </c>
      <c r="AVA11" s="7" t="n">
        <v>0.3800038153501</v>
      </c>
      <c r="AVB11" s="7" t="n">
        <v>0.484467983540196</v>
      </c>
      <c r="AVC11" s="7" t="n">
        <v>-1.02892413357056</v>
      </c>
      <c r="AVD11" s="7" t="n">
        <v>-2.372038845963</v>
      </c>
      <c r="AVE11" s="7" t="n">
        <v>-0.635353768586648</v>
      </c>
      <c r="AVF11" s="7" t="n">
        <v>0.889649379046764</v>
      </c>
      <c r="AVG11" s="7" t="n">
        <v>1.46169361324787</v>
      </c>
      <c r="AVH11" s="7" t="n">
        <v>0.36587601157034</v>
      </c>
      <c r="AVI11" s="7" t="n">
        <v>-0.823526257524229</v>
      </c>
      <c r="AVJ11" s="7" t="n">
        <v>0.811169428728192</v>
      </c>
      <c r="AVK11" s="7" t="n">
        <v>1.18640549203314</v>
      </c>
      <c r="AVL11" s="7" t="n">
        <v>-0.058201463865898</v>
      </c>
      <c r="AVM11" s="7" t="n">
        <v>1.09229182400532</v>
      </c>
      <c r="AVN11" s="7" t="n">
        <v>-0.803371572272376</v>
      </c>
      <c r="AVO11" s="7" t="n">
        <v>-0.0659304259698317</v>
      </c>
      <c r="AVP11" s="7" t="n">
        <v>1.20023748891464</v>
      </c>
      <c r="AVQ11" s="7" t="n">
        <v>-0.381028332052889</v>
      </c>
      <c r="AVR11" s="7" t="n">
        <v>0.957439957601591</v>
      </c>
      <c r="AVS11" s="7" t="n">
        <v>0.163658664661173</v>
      </c>
      <c r="AVT11" s="7" t="n">
        <v>-0.416981979264268</v>
      </c>
      <c r="AVU11" s="7" t="n">
        <v>0.164634481311907</v>
      </c>
      <c r="AVV11" s="7" t="n">
        <v>-0.397897523535807</v>
      </c>
      <c r="AVW11" s="7" t="n">
        <v>0.293483138564466</v>
      </c>
      <c r="AVX11" s="7" t="n">
        <v>-1.43977655157582</v>
      </c>
      <c r="AVY11" s="7" t="n">
        <v>-1.00953503285821</v>
      </c>
      <c r="AVZ11" s="7" t="n">
        <v>-1.0648804072046</v>
      </c>
      <c r="AWA11" s="7" t="n">
        <v>-0.636530518408662</v>
      </c>
      <c r="AWB11" s="7" t="n">
        <v>0.910123524733809</v>
      </c>
      <c r="AWC11" s="7" t="n">
        <v>-1.39540893449101</v>
      </c>
      <c r="AWD11" s="7" t="n">
        <v>0.707772695957794</v>
      </c>
      <c r="AWE11" s="7" t="n">
        <v>0.54761253885962</v>
      </c>
      <c r="AWF11" s="7" t="n">
        <v>0.297823400795448</v>
      </c>
      <c r="AWG11" s="7" t="n">
        <v>-0.1315576912683</v>
      </c>
      <c r="AWH11" s="7" t="n">
        <v>1.52246475283749</v>
      </c>
      <c r="AWI11" s="7" t="n">
        <v>1.14039190706002</v>
      </c>
      <c r="AWJ11" s="7" t="n">
        <v>0.559250835991416</v>
      </c>
      <c r="AWK11" s="7" t="n">
        <v>-0.0551207442272537</v>
      </c>
      <c r="AWL11" s="7" t="n">
        <v>-2.63468713962723</v>
      </c>
      <c r="AWM11" s="7" t="n">
        <v>0.443103343288605</v>
      </c>
      <c r="AWN11" s="7" t="n">
        <v>2.45986429940698</v>
      </c>
      <c r="AWO11" s="7" t="n">
        <v>-1.65669795361345</v>
      </c>
      <c r="AWP11" s="7" t="n">
        <v>-1.79598530943072</v>
      </c>
      <c r="AWQ11" s="7" t="n">
        <v>-0.23065858688128</v>
      </c>
      <c r="AWR11" s="7" t="n">
        <v>2.26863226358091</v>
      </c>
      <c r="AWS11" s="7" t="n">
        <v>0.139509391027571</v>
      </c>
      <c r="AWT11" s="7" t="n">
        <v>0.0670021841374346</v>
      </c>
      <c r="AWU11" s="7" t="n">
        <v>-1.33454920553553</v>
      </c>
      <c r="AWV11" s="7" t="n">
        <v>2.16034791981604</v>
      </c>
      <c r="AWW11" s="7" t="n">
        <v>-0.733559360059577</v>
      </c>
      <c r="AWX11" s="7" t="n">
        <v>-0.69321452689957</v>
      </c>
      <c r="AWY11" s="7" t="n">
        <v>-0.137435915315283</v>
      </c>
      <c r="AWZ11" s="7" t="n">
        <v>-1.59567380122529</v>
      </c>
      <c r="AXA11" s="7" t="n">
        <v>-0.0425185734590688</v>
      </c>
      <c r="AXB11" s="7" t="n">
        <v>0.635401291704386</v>
      </c>
      <c r="AXC11" s="7" t="n">
        <v>-0.245395002503039</v>
      </c>
      <c r="AXD11" s="7" t="n">
        <v>-0.071794375530409</v>
      </c>
      <c r="AXE11" s="7" t="n">
        <v>0.42576631866375</v>
      </c>
      <c r="AXF11" s="7" t="n">
        <v>-0.188661805735573</v>
      </c>
      <c r="AXG11" s="7" t="n">
        <v>0.419880068558176</v>
      </c>
      <c r="AXH11" s="7" t="n">
        <v>0.196785263144304</v>
      </c>
      <c r="AXI11" s="7" t="n">
        <v>0.408366765120136</v>
      </c>
      <c r="AXJ11" s="7" t="n">
        <v>-0.979471570869855</v>
      </c>
      <c r="AXK11" s="7" t="n">
        <v>-1.08388884054417</v>
      </c>
      <c r="AXL11" s="7" t="n">
        <v>-0.008962282122081699</v>
      </c>
      <c r="AXM11" s="7" t="n">
        <v>0.762771972214176</v>
      </c>
      <c r="AXN11" s="7" t="n">
        <v>-0.218511174181949</v>
      </c>
      <c r="AXO11" s="7" t="n">
        <v>0.419312128533096</v>
      </c>
      <c r="AXP11" s="7" t="n">
        <v>-0.434339766220713</v>
      </c>
      <c r="AXQ11" s="7" t="n">
        <v>-0.875005343505512</v>
      </c>
      <c r="AXR11" s="7" t="n">
        <v>0.0975783144101965</v>
      </c>
      <c r="AXS11" s="7" t="n">
        <v>-0.10248057910229</v>
      </c>
      <c r="AXT11" s="7" t="n">
        <v>-0.9968245386443469</v>
      </c>
      <c r="AXU11" s="7" t="n">
        <v>1.04839361945578</v>
      </c>
      <c r="AXV11" s="7" t="n">
        <v>-2.08655629373517</v>
      </c>
      <c r="AXW11" s="7" t="n">
        <v>1.13059729056718</v>
      </c>
      <c r="AXX11" s="7" t="n">
        <v>-0.569768509675014</v>
      </c>
      <c r="AXY11" s="7" t="n">
        <v>1.30603601175292</v>
      </c>
      <c r="AXZ11" s="7" t="n">
        <v>1.53474558705019</v>
      </c>
      <c r="AYA11" s="7" t="n">
        <v>0.503499522939454</v>
      </c>
      <c r="AYB11" s="7" t="n">
        <v>1.02066850135367</v>
      </c>
      <c r="AYC11" s="7" t="n">
        <v>0.711360941245635</v>
      </c>
      <c r="AYD11" s="7" t="n">
        <v>-0.259703108551554</v>
      </c>
      <c r="AYE11" s="7" t="n">
        <v>1.23203649389484</v>
      </c>
      <c r="AYF11" s="7" t="n">
        <v>0.639295460931441</v>
      </c>
      <c r="AYG11" s="7" t="n">
        <v>0.993740083866716</v>
      </c>
      <c r="AYH11" s="7" t="n">
        <v>-0.0482879095858437</v>
      </c>
      <c r="AYI11" s="7" t="n">
        <v>-0.0534307222170172</v>
      </c>
      <c r="AYJ11" s="7" t="n">
        <v>1.34643143786798</v>
      </c>
      <c r="AYK11" s="7" t="n">
        <v>0.266983241724301</v>
      </c>
      <c r="AYL11" s="7" t="n">
        <v>-0.376443792133664</v>
      </c>
      <c r="AYM11" s="7" t="n">
        <v>-0.386250840825983</v>
      </c>
      <c r="AYN11" s="7" t="n">
        <v>-0.438723756727042</v>
      </c>
      <c r="AYO11" s="7" t="n">
        <v>1.02427309515346</v>
      </c>
      <c r="AYP11" s="7" t="n">
        <v>-0.38109630537996</v>
      </c>
      <c r="AYQ11" s="7" t="n">
        <v>-0.580378740631439</v>
      </c>
      <c r="AYR11" s="7" t="n">
        <v>1.61840329945834</v>
      </c>
      <c r="AYS11" s="7" t="n">
        <v>0.69758279770286</v>
      </c>
      <c r="AYT11" s="7" t="n">
        <v>1.34487401887069</v>
      </c>
      <c r="AYU11" s="7" t="n">
        <v>0.249641052291887</v>
      </c>
      <c r="AYV11" s="7" t="n">
        <v>-2.00348541100965</v>
      </c>
      <c r="AYW11" s="7" t="n">
        <v>1.29999817244494</v>
      </c>
      <c r="AYX11" s="7" t="n">
        <v>0.532745845503258</v>
      </c>
      <c r="AYY11" s="7" t="n">
        <v>-1.18068795592992</v>
      </c>
      <c r="AYZ11" s="7" t="n">
        <v>0.008994696520245199</v>
      </c>
      <c r="AZA11" s="7" t="n">
        <v>-0.6100127810677199</v>
      </c>
      <c r="AZB11" s="7" t="n">
        <v>-1.39941236242678</v>
      </c>
      <c r="AZC11" s="7" t="n">
        <v>-0.06425790073044441</v>
      </c>
      <c r="AZD11" s="7" t="n">
        <v>-0.914565932118429</v>
      </c>
      <c r="AZE11" s="7" t="n">
        <v>1.05333894184127</v>
      </c>
      <c r="AZF11" s="7" t="n">
        <v>0.647318446168844</v>
      </c>
      <c r="AZG11" s="7" t="n">
        <v>0.472462005615217</v>
      </c>
      <c r="AZH11" s="7" t="n">
        <v>-0.591442490028196</v>
      </c>
      <c r="AZI11" s="7" t="n">
        <v>0.432463944218621</v>
      </c>
      <c r="AZJ11" s="7" t="n">
        <v>0.139485593058184</v>
      </c>
      <c r="AZK11" s="7" t="n">
        <v>-1.06443197144106</v>
      </c>
      <c r="AZL11" s="7" t="n">
        <v>-1.12214980529452</v>
      </c>
      <c r="AZM11" s="7" t="n">
        <v>-0.721352194830054</v>
      </c>
      <c r="AZN11" s="7" t="n">
        <v>-0.367559710757796</v>
      </c>
      <c r="AZO11" s="7" t="n">
        <v>0.466377437837966</v>
      </c>
      <c r="AZP11" s="7" t="n">
        <v>0.0286876990236782</v>
      </c>
      <c r="AZQ11" s="7" t="n">
        <v>0.455864761436692</v>
      </c>
      <c r="AZR11" s="7" t="n">
        <v>-0.74493356314494</v>
      </c>
      <c r="AZS11" s="7" t="n">
        <v>0.280017978031536</v>
      </c>
      <c r="AZT11" s="7" t="n">
        <v>-0.9085252201034451</v>
      </c>
      <c r="AZU11" s="7" t="n">
        <v>0.977183016413197</v>
      </c>
      <c r="AZV11" s="7" t="n">
        <v>-0.7570151550579211</v>
      </c>
      <c r="AZW11" s="7" t="n">
        <v>2.09005987822216</v>
      </c>
      <c r="AZX11" s="7" t="n">
        <v>0.883035258414157</v>
      </c>
      <c r="AZY11" s="7" t="n">
        <v>-0.219276222673323</v>
      </c>
      <c r="AZZ11" s="7" t="n">
        <v>1.41125062939599</v>
      </c>
      <c r="BAA11" s="7" t="n">
        <v>-0.106029004649823</v>
      </c>
      <c r="BAB11" s="7" t="n">
        <v>-1.01505221050216</v>
      </c>
      <c r="BAC11" s="7" t="n">
        <v>-0.249493607608338</v>
      </c>
      <c r="BAD11" s="7" t="n">
        <v>-0.8254629864640251</v>
      </c>
      <c r="BAE11" s="7" t="n">
        <v>-0.396860812193764</v>
      </c>
      <c r="BAF11" s="7" t="n">
        <v>0.706255702805172</v>
      </c>
      <c r="BAG11" s="7" t="n">
        <v>-0.809057159612069</v>
      </c>
      <c r="BAH11" s="7" t="n">
        <v>0.594576860995218</v>
      </c>
      <c r="BAI11" s="7" t="n">
        <v>1.04564101936093</v>
      </c>
      <c r="BAJ11" s="7" t="n">
        <v>-0.0509091976044974</v>
      </c>
      <c r="BAK11" s="7" t="n">
        <v>-0.348886156960991</v>
      </c>
      <c r="BAL11" s="7" t="n">
        <v>0.980860063166211</v>
      </c>
      <c r="BAM11" s="7" t="n">
        <v>1.31166580715908</v>
      </c>
      <c r="BAN11" s="7" t="n">
        <v>0.0333724195058025</v>
      </c>
      <c r="BAO11" s="7" t="n">
        <v>0.211504467024992</v>
      </c>
      <c r="BAP11" s="7" t="n">
        <v>-0.52403405958761</v>
      </c>
      <c r="BAQ11" s="7" t="n">
        <v>1.30309383162491</v>
      </c>
      <c r="BAR11" s="7" t="n">
        <v>0.331130040459572</v>
      </c>
      <c r="BAS11" s="7" t="n">
        <v>0.170209284529244</v>
      </c>
      <c r="BAT11" s="7" t="n">
        <v>3.13819439615806</v>
      </c>
      <c r="BAU11" s="7" t="n">
        <v>-0.7278429296546191</v>
      </c>
      <c r="BAV11" s="7" t="n">
        <v>1.46365527617908</v>
      </c>
      <c r="BAW11" s="7" t="n">
        <v>1.19393439632507</v>
      </c>
      <c r="BAX11" s="7" t="n">
        <v>-0.705918632231059</v>
      </c>
      <c r="BAY11" s="7" t="n">
        <v>1.23906221212652</v>
      </c>
      <c r="BAZ11" s="7" t="n">
        <v>2.44583302711046</v>
      </c>
      <c r="BBA11" s="7" t="n">
        <v>-0.285010536289359</v>
      </c>
      <c r="BBB11" s="7" t="n">
        <v>1.25656108031362</v>
      </c>
      <c r="BBC11" s="7" t="n">
        <v>-1.19074392938662</v>
      </c>
      <c r="BBD11" s="7" t="n">
        <v>-1.54559220462186</v>
      </c>
      <c r="BBE11" s="7" t="n">
        <v>0.418403556302549</v>
      </c>
      <c r="BBF11" s="7" t="n">
        <v>1.20688930413749</v>
      </c>
      <c r="BBG11" s="7" t="n">
        <v>2.11651192690173</v>
      </c>
      <c r="BBH11" s="7" t="n">
        <v>-0.991400051283725</v>
      </c>
      <c r="BBI11" s="7" t="n">
        <v>-0.6271247535922559</v>
      </c>
      <c r="BBJ11" s="7" t="n">
        <v>0.262893061480989</v>
      </c>
      <c r="BBK11" s="7" t="n">
        <v>0.213078864565847</v>
      </c>
      <c r="BBL11" s="7" t="n">
        <v>0.0400264109197333</v>
      </c>
      <c r="BBM11" s="7" t="n">
        <v>1.45211409086831</v>
      </c>
      <c r="BBN11" s="7" t="n">
        <v>0.565604020762256</v>
      </c>
      <c r="BBO11" s="7" t="n">
        <v>1.03677055502577</v>
      </c>
      <c r="BBP11" s="7" t="n">
        <v>0.389447990838988</v>
      </c>
      <c r="BBQ11" s="7" t="n">
        <v>0.576712713458616</v>
      </c>
      <c r="BBR11" s="7" t="n">
        <v>-0.07132655969445099</v>
      </c>
      <c r="BBS11" s="7" t="n">
        <v>0.440438738276699</v>
      </c>
      <c r="BBT11" s="7" t="n">
        <v>0.819751828689796</v>
      </c>
      <c r="BBU11" s="7" t="n">
        <v>0.561038643671358</v>
      </c>
      <c r="BBV11" s="7" t="n">
        <v>-0.412618368584807</v>
      </c>
      <c r="BBW11" s="7" t="n">
        <v>-1.25352911881617</v>
      </c>
      <c r="BBX11" s="7" t="n">
        <v>1.17823875951976</v>
      </c>
      <c r="BBY11" s="7" t="n">
        <v>-1.13310993626344</v>
      </c>
      <c r="BBZ11" s="7" t="n">
        <v>0.424207602414044</v>
      </c>
      <c r="BCA11" s="7" t="n">
        <v>0.544398342405805</v>
      </c>
      <c r="BCB11" s="7" t="n">
        <v>-0.001261433010763</v>
      </c>
      <c r="BCC11" s="7" t="n">
        <v>0.438265348501175</v>
      </c>
      <c r="BCD11" s="7" t="n">
        <v>0.709360308187277</v>
      </c>
      <c r="BCE11" s="7" t="n">
        <v>-1.4092104229676</v>
      </c>
      <c r="BCF11" s="7" t="n">
        <v>-0.291650426219919</v>
      </c>
      <c r="BCG11" s="7" t="n">
        <v>0.5026368261120731</v>
      </c>
      <c r="BCH11" s="7" t="n">
        <v>1.12140179038441</v>
      </c>
      <c r="BCI11" s="7" t="n">
        <v>-1.31522836572768</v>
      </c>
      <c r="BCJ11" s="7" t="n">
        <v>-0.9270617722782289</v>
      </c>
      <c r="BCK11" s="7" t="n">
        <v>0.179718519834013</v>
      </c>
      <c r="BCL11" s="7" t="n">
        <v>0.826471485048507</v>
      </c>
      <c r="BCM11" s="7" t="n">
        <v>0.429880846341443</v>
      </c>
      <c r="BCN11" s="7" t="n">
        <v>0.937220443529259</v>
      </c>
      <c r="BCO11" s="7" t="n">
        <v>0.460246681561594</v>
      </c>
      <c r="BCP11" s="7" t="n">
        <v>0.15608162142467</v>
      </c>
      <c r="BCQ11" s="7" t="n">
        <v>0.425102121384312</v>
      </c>
      <c r="BCR11" s="7" t="n">
        <v>-0.432333784254493</v>
      </c>
      <c r="BCS11" s="7" t="n">
        <v>-0.412797555201868</v>
      </c>
      <c r="BCT11" s="7" t="n">
        <v>0.596336950456769</v>
      </c>
      <c r="BCU11" s="7" t="n">
        <v>-0.648137739592025</v>
      </c>
      <c r="BCV11" s="7" t="n">
        <v>1.73915582844512</v>
      </c>
      <c r="BCW11" s="7" t="n">
        <v>0.739119259907205</v>
      </c>
      <c r="BCX11" s="7" t="n">
        <v>0.281259367264816</v>
      </c>
      <c r="BCY11" s="7" t="n">
        <v>-0.474574747264616</v>
      </c>
      <c r="BCZ11" s="7" t="n">
        <v>-0.405475051260003</v>
      </c>
      <c r="BDA11" s="7" t="n">
        <v>0.986134761024839</v>
      </c>
      <c r="BDB11" s="7" t="n">
        <v>0.313381780829723</v>
      </c>
      <c r="BDC11" s="7" t="n">
        <v>-0.388803476012738</v>
      </c>
      <c r="BDD11" s="7" t="n">
        <v>0.8051010609406219</v>
      </c>
      <c r="BDE11" s="7" t="n">
        <v>-0.296913032179603</v>
      </c>
      <c r="BDF11" s="7" t="n">
        <v>-0.43911828182024</v>
      </c>
      <c r="BDG11" s="7" t="n">
        <v>-0.45209319257834</v>
      </c>
      <c r="BDH11" s="7" t="n">
        <v>-0.159451025727685</v>
      </c>
      <c r="BDI11" s="7" t="n">
        <v>0.87620974747848</v>
      </c>
      <c r="BDJ11" s="7" t="n">
        <v>1.35798596694123</v>
      </c>
      <c r="BDK11" s="7" t="n">
        <v>-0.5172532761284681</v>
      </c>
      <c r="BDL11" s="7" t="n">
        <v>0.218667920271842</v>
      </c>
      <c r="BDM11" s="7" t="n">
        <v>0.8947611464176221</v>
      </c>
      <c r="BDN11" s="7" t="n">
        <v>-1.3765500058574</v>
      </c>
      <c r="BDO11" s="7" t="n">
        <v>-0.206452830660145</v>
      </c>
      <c r="BDP11" s="7" t="n">
        <v>-1.14231469799899</v>
      </c>
      <c r="BDQ11" s="7" t="n">
        <v>1.30355789214415</v>
      </c>
      <c r="BDR11" s="7" t="n">
        <v>2.25591933066486</v>
      </c>
      <c r="BDS11" s="7" t="n">
        <v>0.223587392741534</v>
      </c>
      <c r="BDT11" s="7" t="n">
        <v>0.955919794313291</v>
      </c>
      <c r="BDU11" s="7" t="n">
        <v>0.55277004303816</v>
      </c>
      <c r="BDV11" s="7" t="n">
        <v>0.310073072457039</v>
      </c>
      <c r="BDW11" s="7" t="n">
        <v>-1.18138598129855</v>
      </c>
      <c r="BDX11" s="7" t="n">
        <v>-0.852149736960556</v>
      </c>
      <c r="BDY11" s="7" t="n">
        <v>0.430150495320324</v>
      </c>
      <c r="BDZ11" s="7" t="n">
        <v>1.45583154226645</v>
      </c>
      <c r="BEA11" s="7" t="n">
        <v>1.09306681554012</v>
      </c>
      <c r="BEB11" s="7" t="n">
        <v>0.248189068945519</v>
      </c>
      <c r="BEC11" s="7" t="n">
        <v>0.666095036182286</v>
      </c>
      <c r="BED11" s="7" t="n">
        <v>-0.0064205899106686</v>
      </c>
      <c r="BEE11" s="7" t="n">
        <v>0.849449146470439</v>
      </c>
      <c r="BEF11" s="7" t="n">
        <v>0.30538579759149</v>
      </c>
      <c r="BEG11" s="7" t="n">
        <v>-0.0396302790769919</v>
      </c>
      <c r="BEH11" s="7" t="n">
        <v>-0.0552148956038361</v>
      </c>
      <c r="BEI11" s="7" t="n">
        <v>-2.06596070483153</v>
      </c>
      <c r="BEJ11" s="7" t="n">
        <v>0.809594745701753</v>
      </c>
      <c r="BEK11" s="7" t="n">
        <v>0.278207212124522</v>
      </c>
      <c r="BEL11" s="7" t="n">
        <v>0.760796921719206</v>
      </c>
      <c r="BEM11" s="7" t="n">
        <v>0.958893135046234</v>
      </c>
      <c r="BEN11" s="7" t="n">
        <v>0.64965033053447</v>
      </c>
      <c r="BEO11" s="7" t="n">
        <v>-0.338721921874543</v>
      </c>
      <c r="BEP11" s="7" t="n">
        <v>-0.176389038505927</v>
      </c>
      <c r="BEQ11" s="7" t="n">
        <v>0.643686165219801</v>
      </c>
      <c r="BER11" s="7" t="n">
        <v>-0.8794677137693711</v>
      </c>
      <c r="BES11" s="7" t="n">
        <v>-0.760738578061893</v>
      </c>
      <c r="BET11" s="7" t="n">
        <v>-1.90939500694498</v>
      </c>
      <c r="BEU11" s="7" t="n">
        <v>-0.9239074588552</v>
      </c>
      <c r="BEV11" s="7" t="n">
        <v>-0.646922529810659</v>
      </c>
      <c r="BEW11" s="7" t="n">
        <v>0.163428275971981</v>
      </c>
      <c r="BEX11" s="7" t="n">
        <v>1.01190731816631</v>
      </c>
      <c r="BEY11" s="7" t="n">
        <v>-1.46677146439003</v>
      </c>
      <c r="BEZ11" s="7" t="n">
        <v>1.18635207635098</v>
      </c>
      <c r="BFA11" s="7" t="n">
        <v>-1.9464867841288</v>
      </c>
      <c r="BFB11" s="7" t="n">
        <v>-0.239509927255296</v>
      </c>
      <c r="BFC11" s="7" t="n">
        <v>0.0399257234983362</v>
      </c>
      <c r="BFD11" s="7" t="n">
        <v>-1.04743757488056</v>
      </c>
      <c r="BFE11" s="7" t="n">
        <v>0.07673401565417449</v>
      </c>
      <c r="BFF11" s="7" t="n">
        <v>-1.57230509746497</v>
      </c>
      <c r="BFG11" s="7" t="n">
        <v>0.0495856400001538</v>
      </c>
      <c r="BFH11" s="7" t="n">
        <v>-1.00625504747248</v>
      </c>
      <c r="BFI11" s="7" t="n">
        <v>-0.449670671637954</v>
      </c>
      <c r="BFJ11" s="7" t="n">
        <v>1.59002078437555</v>
      </c>
      <c r="BFK11" s="7" t="n">
        <v>0.0017404936487462</v>
      </c>
      <c r="BFL11" s="7" t="n">
        <v>0.621903816390495</v>
      </c>
      <c r="BFM11" s="7" t="n">
        <v>1.67166433117375</v>
      </c>
      <c r="BFN11" s="7" t="n">
        <v>-1.14781847917524</v>
      </c>
      <c r="BFO11" s="7" t="n">
        <v>2.73437018754529</v>
      </c>
      <c r="BFP11" s="7" t="n">
        <v>-0.994909914498177</v>
      </c>
      <c r="BFQ11" s="7" t="n">
        <v>0.408074356348075</v>
      </c>
      <c r="BFR11" s="7" t="n">
        <v>-1.16830161317505</v>
      </c>
      <c r="BFS11" s="7" t="n">
        <v>1.18163313823996</v>
      </c>
      <c r="BFT11" s="7" t="n">
        <v>-0.386663759109682</v>
      </c>
      <c r="BFU11" s="7" t="n">
        <v>0.63060597192464</v>
      </c>
      <c r="BFV11" s="7" t="n">
        <v>-0.0903223001555265</v>
      </c>
      <c r="BFW11" s="7" t="n">
        <v>-1.62566358190762</v>
      </c>
      <c r="BFX11" s="7" t="n">
        <v>-0.0120124551637097</v>
      </c>
      <c r="BFY11" s="7" t="n">
        <v>0.9939263425449461</v>
      </c>
      <c r="BFZ11" s="7" t="n">
        <v>-0.974467813420023</v>
      </c>
      <c r="BGA11" s="7" t="n">
        <v>0.277924954089281</v>
      </c>
      <c r="BGB11" s="7" t="n">
        <v>0.278983070399645</v>
      </c>
      <c r="BGC11" s="7" t="n">
        <v>-1.05882418661946</v>
      </c>
      <c r="BGD11" s="7" t="n">
        <v>-0.9658973591086391</v>
      </c>
      <c r="BGE11" s="7" t="n">
        <v>1.08817250066376</v>
      </c>
      <c r="BGF11" s="7" t="n">
        <v>-0.473242175247695</v>
      </c>
      <c r="BGG11" s="7" t="n">
        <v>-0.289871401360575</v>
      </c>
      <c r="BGH11" s="7" t="n">
        <v>-0.0180977484718499</v>
      </c>
      <c r="BGI11" s="7" t="n">
        <v>-0.470383758212604</v>
      </c>
      <c r="BGJ11" s="7" t="n">
        <v>-0.0308225483277165</v>
      </c>
      <c r="BGK11" s="7" t="n">
        <v>-0.264141257397881</v>
      </c>
      <c r="BGL11" s="7" t="n">
        <v>-0.359176997619922</v>
      </c>
      <c r="BGM11" s="7" t="n">
        <v>0.790148310819913</v>
      </c>
      <c r="BGN11" s="7" t="n">
        <v>1.0369735806425</v>
      </c>
      <c r="BGO11" s="7" t="n">
        <v>0.094570005974757</v>
      </c>
      <c r="BGP11" s="7" t="n">
        <v>-0.730342668444191</v>
      </c>
      <c r="BGQ11" s="7" t="n">
        <v>1.12692527310095</v>
      </c>
      <c r="BGR11" s="7" t="n">
        <v>0.282158983189191</v>
      </c>
      <c r="BGS11" s="7" t="n">
        <v>0.757225783831921</v>
      </c>
      <c r="BGT11" s="7" t="n">
        <v>-1.22752997361397</v>
      </c>
      <c r="BGU11" s="7" t="n">
        <v>-0.08130167726354209</v>
      </c>
      <c r="BGV11" s="7" t="n">
        <v>-1.14184754422414</v>
      </c>
      <c r="BGW11" s="7" t="n">
        <v>-0.701605145092036</v>
      </c>
      <c r="BGX11" s="7" t="n">
        <v>-1.18661755350638</v>
      </c>
      <c r="BGY11" s="7" t="n">
        <v>-1.49931713366403</v>
      </c>
      <c r="BGZ11" s="7" t="n">
        <v>-1.9388950207386</v>
      </c>
      <c r="BHA11" s="7" t="n">
        <v>-1.74284455949727</v>
      </c>
      <c r="BHB11" s="7" t="n">
        <v>0.286983391541643</v>
      </c>
      <c r="BHC11" s="7" t="n">
        <v>-1.75099834871816</v>
      </c>
      <c r="BHD11" s="7" t="n">
        <v>-0.0697165221064296</v>
      </c>
      <c r="BHE11" s="7" t="n">
        <v>0.384261916338567</v>
      </c>
      <c r="BHF11" s="7" t="n">
        <v>-1.0034887957648</v>
      </c>
      <c r="BHG11" s="7" t="n">
        <v>-1.46521204574079</v>
      </c>
      <c r="BHH11" s="7" t="n">
        <v>-0.478403264513198</v>
      </c>
      <c r="BHI11" s="7" t="n">
        <v>0.499150832987887</v>
      </c>
      <c r="BHJ11" s="7" t="n">
        <v>-0.583389653529798</v>
      </c>
      <c r="BHK11" s="7" t="n">
        <v>0.396512480290324</v>
      </c>
      <c r="BHL11" s="7" t="n">
        <v>-0.8524449727765721</v>
      </c>
      <c r="BHM11" s="7" t="n">
        <v>-0.53833973395643</v>
      </c>
      <c r="BHN11" s="7" t="n">
        <v>0.334914833905632</v>
      </c>
      <c r="BHO11" s="7" t="n">
        <v>0.939648861466978</v>
      </c>
      <c r="BHP11" s="7" t="n">
        <v>-0.8019864170314041</v>
      </c>
      <c r="BHQ11" s="7" t="n">
        <v>-0.333346326510482</v>
      </c>
      <c r="BHR11" s="7" t="n">
        <v>-0.92407516678601</v>
      </c>
      <c r="BHS11" s="7" t="n">
        <v>-1.14353189163977</v>
      </c>
      <c r="BHT11" s="7" t="n">
        <v>0.682441179092537</v>
      </c>
      <c r="BHU11" s="7" t="n">
        <v>-0.70467440863624</v>
      </c>
      <c r="BHV11" s="7" t="n">
        <v>-1.30336820001981</v>
      </c>
      <c r="BHW11" s="7" t="n">
        <v>-0.409187539171819</v>
      </c>
      <c r="BHX11" s="7" t="n">
        <v>0.0341449278552101</v>
      </c>
      <c r="BHY11" s="7" t="n">
        <v>0.985719434434829</v>
      </c>
      <c r="BHZ11" s="7" t="n">
        <v>2.42013569804972</v>
      </c>
      <c r="BIA11" s="7" t="n">
        <v>1.18532508893334</v>
      </c>
      <c r="BIB11" s="7" t="n">
        <v>-0.298411076359402</v>
      </c>
      <c r="BIC11" s="7" t="n">
        <v>-1.09328574671963</v>
      </c>
      <c r="BID11" s="7" t="n">
        <v>-1.92343211975446</v>
      </c>
      <c r="BIE11" s="7" t="n">
        <v>0.93617674110475</v>
      </c>
      <c r="BIF11" s="7" t="n">
        <v>-1.2044088697897</v>
      </c>
      <c r="BIG11" s="7" t="n">
        <v>-0.690469444375894</v>
      </c>
      <c r="BIH11" s="7" t="n">
        <v>0.873337787360692</v>
      </c>
      <c r="BII11" s="7" t="n">
        <v>0.239140728892168</v>
      </c>
      <c r="BIJ11" s="7" t="n">
        <v>0.741583017143</v>
      </c>
      <c r="BIK11" s="7" t="n">
        <v>1.63509877757381</v>
      </c>
      <c r="BIL11" s="7" t="n">
        <v>1.06291414765043</v>
      </c>
      <c r="BIM11" s="7" t="n">
        <v>-1.56217854266527</v>
      </c>
      <c r="BIN11" s="7" t="n">
        <v>0.391932693170875</v>
      </c>
      <c r="BIO11" s="7" t="n">
        <v>1.44242630733603</v>
      </c>
      <c r="BIP11" s="7" t="n">
        <v>0.200563503606237</v>
      </c>
      <c r="BIQ11" s="7" t="n">
        <v>0.304792390916708</v>
      </c>
      <c r="BIR11" s="7" t="n">
        <v>2.00673057611526</v>
      </c>
      <c r="BIS11" s="7" t="n">
        <v>1.0692837406727</v>
      </c>
      <c r="BIT11" s="7" t="n">
        <v>-0.0636455646808793</v>
      </c>
      <c r="BIU11" s="7" t="n">
        <v>-0.421556387932436</v>
      </c>
      <c r="BIV11" s="7" t="n">
        <v>1.59971936191077</v>
      </c>
      <c r="BIW11" s="7" t="n">
        <v>-0.158203691300443</v>
      </c>
      <c r="BIX11" s="7" t="n">
        <v>-0.172914963988133</v>
      </c>
      <c r="BIY11" s="7" t="n">
        <v>-0.653921328299337</v>
      </c>
      <c r="BIZ11" s="7" t="n">
        <v>0.568336923555661</v>
      </c>
      <c r="BJA11" s="7" t="n">
        <v>0.07986216573923249</v>
      </c>
      <c r="BJB11" s="7" t="n">
        <v>0.0050823209131373</v>
      </c>
      <c r="BJC11" s="7" t="n">
        <v>0.7385670513903539</v>
      </c>
      <c r="BJD11" s="7" t="n">
        <v>0.935368218107506</v>
      </c>
      <c r="BJE11" s="7" t="n">
        <v>-0.907903769722619</v>
      </c>
      <c r="BJF11" s="7" t="n">
        <v>1.61933435708247</v>
      </c>
      <c r="BJG11" s="7" t="n">
        <v>0.44170482740707</v>
      </c>
      <c r="BJH11" s="7" t="n">
        <v>-0.202782390304443</v>
      </c>
      <c r="BJI11" s="7" t="n">
        <v>0.657274626020979</v>
      </c>
      <c r="BJJ11" s="7" t="n">
        <v>-0.434575517644214</v>
      </c>
      <c r="BJK11" s="7" t="n">
        <v>-1.27230224247224</v>
      </c>
      <c r="BJL11" s="7" t="n">
        <v>0.802240551047779</v>
      </c>
      <c r="BJM11" s="7" t="n">
        <v>-0.539387147525996</v>
      </c>
      <c r="BJN11" s="7" t="n">
        <v>1.49415136213747</v>
      </c>
      <c r="BJO11" s="7" t="n">
        <v>-1.30542070374365</v>
      </c>
      <c r="BJP11" s="7" t="n">
        <v>1.21556793798426</v>
      </c>
      <c r="BJQ11" s="7" t="n">
        <v>0.545276986670029</v>
      </c>
      <c r="BJR11" s="7" t="n">
        <v>1.07054591930596</v>
      </c>
      <c r="BJS11" s="7" t="n">
        <v>0.445261435763058</v>
      </c>
      <c r="BJT11" s="7" t="n">
        <v>0.450321662725016</v>
      </c>
      <c r="BJU11" s="7" t="n">
        <v>0.598100060783769</v>
      </c>
      <c r="BJV11" s="7" t="n">
        <v>0.0431465921691644</v>
      </c>
      <c r="BJW11" s="7" t="n">
        <v>-0.600989874625721</v>
      </c>
      <c r="BJX11" s="7" t="n">
        <v>-1.01970153001777</v>
      </c>
      <c r="BJY11" s="7" t="n">
        <v>-1.94993897011468</v>
      </c>
      <c r="BJZ11" s="7" t="n">
        <v>-1.64254359917445</v>
      </c>
      <c r="BKA11" s="7" t="n">
        <v>0.48115871958186</v>
      </c>
      <c r="BKB11" s="7" t="n">
        <v>0.562718863090002</v>
      </c>
      <c r="BKC11" s="7" t="n">
        <v>-0.616687297104224</v>
      </c>
      <c r="BKD11" s="7" t="n">
        <v>0.169192103500301</v>
      </c>
      <c r="BKE11" s="7" t="n">
        <v>2.32375588646664</v>
      </c>
      <c r="BKF11" s="7" t="n">
        <v>-0.0537522040313539</v>
      </c>
      <c r="BKG11" s="7" t="n">
        <v>-0.56394793968044</v>
      </c>
      <c r="BKH11" s="7" t="n">
        <v>-0.538295501923129</v>
      </c>
      <c r="BKI11" s="7" t="n">
        <v>-1.21035420500251</v>
      </c>
      <c r="BKJ11" s="7" t="n">
        <v>-1.72314396552054</v>
      </c>
      <c r="BKK11" s="7" t="n">
        <v>-0.176307961792744</v>
      </c>
      <c r="BKL11" s="7" t="n">
        <v>-1.24406866240672</v>
      </c>
      <c r="BKM11" s="7" t="n">
        <v>0.139439224336523</v>
      </c>
      <c r="BKN11" s="7" t="n">
        <v>-0.801649295845829</v>
      </c>
      <c r="BKO11" s="7" t="n">
        <v>-0.708510546502172</v>
      </c>
      <c r="BKP11" s="7" t="n">
        <v>-1.02595998247892</v>
      </c>
      <c r="BKQ11" s="7" t="n">
        <v>-0.927373452785342</v>
      </c>
      <c r="BKR11" s="7" t="n">
        <v>-0.8456086988642491</v>
      </c>
      <c r="BKS11" s="7" t="n">
        <v>0.681334284070691</v>
      </c>
      <c r="BKT11" s="7" t="n">
        <v>1.54597332608567</v>
      </c>
      <c r="BKU11" s="7" t="n">
        <v>1.33015427180777</v>
      </c>
      <c r="BKV11" s="7" t="n">
        <v>0.498153618277435</v>
      </c>
      <c r="BKW11" s="7" t="n">
        <v>0.70617660219026</v>
      </c>
      <c r="BKX11" s="7" t="n">
        <v>-0.0245193308258243</v>
      </c>
      <c r="BKY11" s="7" t="n">
        <v>-0.604389353078526</v>
      </c>
      <c r="BKZ11" s="7" t="n">
        <v>-2.07389105256036</v>
      </c>
      <c r="BLA11" s="7" t="n">
        <v>0.873090127783143</v>
      </c>
      <c r="BLB11" s="7" t="n">
        <v>-0.293852514287509</v>
      </c>
      <c r="BLC11" s="7" t="n">
        <v>1.76810618125931</v>
      </c>
      <c r="BLD11" s="7" t="n">
        <v>0.778700947649469</v>
      </c>
      <c r="BLE11" s="7" t="n">
        <v>-0.0900567230894167</v>
      </c>
      <c r="BLF11" s="7" t="n">
        <v>-0.516458666239809</v>
      </c>
      <c r="BLG11" s="7" t="n">
        <v>0.516517643936965</v>
      </c>
      <c r="BLH11" s="7" t="n">
        <v>-1.23811383850112</v>
      </c>
      <c r="BLI11" s="7" t="n">
        <v>-0.849066054131517</v>
      </c>
      <c r="BLJ11" s="7" t="n">
        <v>-1.70973397133608</v>
      </c>
      <c r="BLK11" s="7" t="n">
        <v>1.13089375188466</v>
      </c>
      <c r="BLL11" s="7" t="n">
        <v>1.19457625455429</v>
      </c>
      <c r="BLM11" s="7" t="n">
        <v>1.26636588246622</v>
      </c>
      <c r="BLN11" s="7" t="n">
        <v>-0.582716398841004</v>
      </c>
      <c r="BLO11" s="7" t="n">
        <v>0.670376505866604</v>
      </c>
      <c r="BLP11" s="7" t="n">
        <v>1.44919102389177</v>
      </c>
      <c r="BLQ11" s="7" t="n">
        <v>-0.763685629472503</v>
      </c>
      <c r="BLR11" s="7" t="n">
        <v>-0.727939885984039</v>
      </c>
      <c r="BLS11" s="7" t="n">
        <v>-0.0079938043875403</v>
      </c>
      <c r="BLT11" s="7" t="n">
        <v>-0.7083660244929429</v>
      </c>
      <c r="BLU11" s="7" t="n">
        <v>-0.725746584685543</v>
      </c>
      <c r="BLV11" s="7" t="n">
        <v>0.337418782982405</v>
      </c>
      <c r="BLW11" s="7" t="n">
        <v>0.226686743223292</v>
      </c>
      <c r="BLX11" s="7" t="n">
        <v>-0.116438750894056</v>
      </c>
      <c r="BLY11" s="7" t="n">
        <v>-0.494507789123102</v>
      </c>
      <c r="BLZ11" s="7" t="n">
        <v>1.68687263652421</v>
      </c>
      <c r="BMA11" s="7" t="n">
        <v>0.552833970939698</v>
      </c>
      <c r="BMB11" s="7" t="n">
        <v>-0.150703769365994</v>
      </c>
      <c r="BMC11" s="7" t="n">
        <v>1.81097917091567</v>
      </c>
      <c r="BMD11" s="7" t="n">
        <v>-0.739927627485663</v>
      </c>
      <c r="BME11" s="7" t="n">
        <v>-1.08163973921009</v>
      </c>
      <c r="BMF11" s="7" t="n">
        <v>-0.885372089638315</v>
      </c>
      <c r="BMG11" s="7" t="n">
        <v>-0.263294360169005</v>
      </c>
      <c r="BMH11" s="7" t="n">
        <v>-0.0866818630040265</v>
      </c>
      <c r="BMI11" s="7" t="n">
        <v>-0.546593379530066</v>
      </c>
      <c r="BMJ11" s="7" t="n">
        <v>-0.499458366515249</v>
      </c>
      <c r="BMK11" s="7" t="n">
        <v>-0.796813907792685</v>
      </c>
      <c r="BML11" s="7" t="n">
        <v>-0.556633754334048</v>
      </c>
      <c r="BMM11" s="7" t="n">
        <v>-0.794644499411104</v>
      </c>
      <c r="BMN11" s="7" t="n">
        <v>0.326038898457697</v>
      </c>
      <c r="BMO11" s="7" t="n">
        <v>-0.0460865959308896</v>
      </c>
      <c r="BMP11" s="7" t="n">
        <v>-0.464107486642676</v>
      </c>
      <c r="BMQ11" s="7" t="n">
        <v>-0.974172371269052</v>
      </c>
      <c r="BMR11" s="7" t="n">
        <v>0.8093958123345369</v>
      </c>
      <c r="BMS11" s="7" t="n">
        <v>0.420842072203539</v>
      </c>
      <c r="BMT11" s="7" t="n">
        <v>0.907265876694541</v>
      </c>
      <c r="BMU11" s="7" t="n">
        <v>-2.02346361669741</v>
      </c>
      <c r="BMV11" s="7" t="n">
        <v>1.40850632777993</v>
      </c>
      <c r="BMW11" s="7" t="n">
        <v>0.92158654870386</v>
      </c>
      <c r="BMX11" s="7" t="n">
        <v>0.8295737506579109</v>
      </c>
      <c r="BMY11" s="7" t="n">
        <v>-0.438675611938139</v>
      </c>
      <c r="BMZ11" s="7" t="n">
        <v>0.0986562925151092</v>
      </c>
      <c r="BNA11" s="7" t="n">
        <v>-1.34668264479591</v>
      </c>
      <c r="BNB11" s="7" t="n">
        <v>-1.7149300336335</v>
      </c>
      <c r="BNC11" s="7" t="n">
        <v>2.53403308428004</v>
      </c>
      <c r="BND11" s="7" t="n">
        <v>0.80159908030208</v>
      </c>
      <c r="BNE11" s="7" t="n">
        <v>0.944474488520519</v>
      </c>
      <c r="BNF11" s="7" t="n">
        <v>0.146234992703972</v>
      </c>
      <c r="BNG11" s="7" t="n">
        <v>-1.84651415070129</v>
      </c>
      <c r="BNH11" s="7" t="n">
        <v>-0.07780853964869559</v>
      </c>
      <c r="BNI11" s="7" t="n">
        <v>0.751569848621733</v>
      </c>
      <c r="BNJ11" s="7" t="n">
        <v>1.44101813997002</v>
      </c>
      <c r="BNK11" s="7" t="n">
        <v>0.332737628565277</v>
      </c>
      <c r="BNL11" s="7" t="n">
        <v>1.11958340255267</v>
      </c>
      <c r="BNM11" s="7" t="n">
        <v>0.988723954357785</v>
      </c>
      <c r="BNN11" s="7" t="n">
        <v>0.403212056330806</v>
      </c>
      <c r="BNO11" s="7" t="n">
        <v>1.78093541483489</v>
      </c>
      <c r="BNP11" s="7" t="n">
        <v>1.36502930194631</v>
      </c>
      <c r="BNQ11" s="7" t="n">
        <v>-0.45211645065877</v>
      </c>
      <c r="BNR11" s="7" t="n">
        <v>0.184120636450544</v>
      </c>
      <c r="BNS11" s="7" t="n">
        <v>-1.65982083752681</v>
      </c>
      <c r="BNT11" s="7" t="n">
        <v>-0.657621964145225</v>
      </c>
      <c r="BNU11" s="7" t="n">
        <v>-0.695876583317126</v>
      </c>
      <c r="BNV11" s="7" t="n">
        <v>-0.756807803503399</v>
      </c>
      <c r="BNW11" s="7" t="n">
        <v>1.40648112647792</v>
      </c>
      <c r="BNX11" s="7" t="n">
        <v>-0.938881111980125</v>
      </c>
      <c r="BNY11" s="7" t="n">
        <v>1.1669325501314</v>
      </c>
      <c r="BNZ11" s="7" t="n">
        <v>-0.414836494665696</v>
      </c>
      <c r="BOA11" s="7" t="n">
        <v>0.9265377756309841</v>
      </c>
      <c r="BOB11" s="7" t="n">
        <v>-0.383285440307622</v>
      </c>
      <c r="BOC11" s="7" t="n">
        <v>-0.290860289759498</v>
      </c>
      <c r="BOD11" s="7" t="n">
        <v>0.74902236249111</v>
      </c>
      <c r="BOE11" s="7" t="n">
        <v>-0.256321818399756</v>
      </c>
      <c r="BOF11" s="7" t="n">
        <v>-0.363231092182413</v>
      </c>
      <c r="BOG11" s="7" t="n">
        <v>0.502712160657077</v>
      </c>
      <c r="BOH11" s="7" t="n">
        <v>2.28997808983714</v>
      </c>
      <c r="BOI11" s="7" t="n">
        <v>0.9904490123363811</v>
      </c>
      <c r="BOJ11" s="7" t="n">
        <v>0.694429075215465</v>
      </c>
      <c r="BOK11" s="7" t="n">
        <v>-0.686162884177582</v>
      </c>
      <c r="BOL11" s="7" t="n">
        <v>-0.326001566059412</v>
      </c>
      <c r="BOM11" s="7" t="n">
        <v>-0.523377237382695</v>
      </c>
      <c r="BON11" s="7" t="n">
        <v>1.37561294129189</v>
      </c>
      <c r="BOO11" s="7" t="n">
        <v>-0.91766028325466</v>
      </c>
      <c r="BOP11" s="7" t="n">
        <v>0.461874066109136</v>
      </c>
      <c r="BOQ11" s="7" t="n">
        <v>-0.455663758300473</v>
      </c>
      <c r="BOR11" s="7" t="n">
        <v>0.371699245996532</v>
      </c>
      <c r="BOS11" s="7" t="n">
        <v>-0.78437485083792</v>
      </c>
      <c r="BOT11" s="7" t="n">
        <v>-1.20084969043151</v>
      </c>
      <c r="BOU11" s="7" t="n">
        <v>0.382446532006387</v>
      </c>
      <c r="BOV11" s="7" t="n">
        <v>-1.16569697484725</v>
      </c>
      <c r="BOW11" s="7" t="n">
        <v>-1.21656046082928</v>
      </c>
      <c r="BOX11" s="7" t="n">
        <v>-0.406457381317209</v>
      </c>
      <c r="BOY11" s="7" t="n">
        <v>-0.156111699160052</v>
      </c>
      <c r="BOZ11" s="7" t="n">
        <v>0.68987481536533</v>
      </c>
      <c r="BPA11" s="7" t="n">
        <v>0.0388681389068166</v>
      </c>
      <c r="BPB11" s="7" t="n">
        <v>-0.427282372352656</v>
      </c>
      <c r="BPC11" s="7" t="n">
        <v>0.193789378759259</v>
      </c>
      <c r="BPD11" s="7" t="n">
        <v>0.689640410181689</v>
      </c>
      <c r="BPE11" s="7" t="n">
        <v>1.7664776484886</v>
      </c>
      <c r="BPF11" s="7" t="n">
        <v>-1.39129152155395</v>
      </c>
      <c r="BPG11" s="7" t="n">
        <v>-1.17523438302792</v>
      </c>
      <c r="BPH11" s="7" t="n">
        <v>0.331941830944324</v>
      </c>
      <c r="BPI11" s="7" t="n">
        <v>0.0280731972776444</v>
      </c>
      <c r="BPJ11" s="7" t="n">
        <v>-0.317143133120514</v>
      </c>
      <c r="BPK11" s="7" t="n">
        <v>-0.199814688433355</v>
      </c>
      <c r="BPL11" s="7" t="n">
        <v>-0.676030233381203</v>
      </c>
      <c r="BPM11" s="7" t="n">
        <v>-0.724610341700999</v>
      </c>
      <c r="BPN11" s="7" t="n">
        <v>0.39273380038574</v>
      </c>
      <c r="BPO11" s="7" t="n">
        <v>-0.280514335891125</v>
      </c>
      <c r="BPP11" s="7" t="n">
        <v>1.38148396589521</v>
      </c>
      <c r="BPQ11" s="7" t="n">
        <v>0.330033091707755</v>
      </c>
      <c r="BPR11" s="7" t="n">
        <v>-0.484693295467141</v>
      </c>
      <c r="BPS11" s="7" t="n">
        <v>1.8893763100448</v>
      </c>
      <c r="BPT11" s="7" t="n">
        <v>1.25447145356215</v>
      </c>
      <c r="BPU11" s="7" t="n">
        <v>-0.495680742638367</v>
      </c>
      <c r="BPV11" s="7" t="n">
        <v>-0.5684669152171949</v>
      </c>
      <c r="BPW11" s="7" t="n">
        <v>-0.568926044151932</v>
      </c>
      <c r="BPX11" s="7" t="n">
        <v>-0.262569288912458</v>
      </c>
      <c r="BPY11" s="7" t="n">
        <v>0.390875018243663</v>
      </c>
      <c r="BPZ11" s="7" t="n">
        <v>-0.617704291506033</v>
      </c>
      <c r="BQA11" s="7" t="n">
        <v>0.167540330713681</v>
      </c>
      <c r="BQB11" s="7" t="n">
        <v>0.716843561432198</v>
      </c>
      <c r="BQC11" s="7" t="n">
        <v>-0.369240756149332</v>
      </c>
      <c r="BQD11" s="7" t="n">
        <v>1.02310933083009</v>
      </c>
      <c r="BQE11" s="7" t="n">
        <v>1.11095773083039</v>
      </c>
      <c r="BQF11" s="7" t="n">
        <v>-1.92308770367432</v>
      </c>
      <c r="BQG11" s="7" t="n">
        <v>-0.112180515234806</v>
      </c>
      <c r="BQH11" s="7" t="n">
        <v>1.82096582284552</v>
      </c>
    </row>
    <row r="12">
      <c r="A12" s="7" t="n">
        <v>10</v>
      </c>
      <c r="B12" s="7" t="n">
        <v>-0.825753887779052</v>
      </c>
      <c r="C12" s="7" t="n">
        <v>-0.06260382007999719</v>
      </c>
      <c r="D12" s="7" t="n">
        <v>-1.03325669744293</v>
      </c>
      <c r="E12" s="7" t="n">
        <v>0.0393442870540584</v>
      </c>
      <c r="F12" s="7" t="n">
        <v>1.52348276464538</v>
      </c>
      <c r="G12" s="7" t="n">
        <v>-0.450425712719426</v>
      </c>
      <c r="H12" s="7" t="n">
        <v>-0.828927974163457</v>
      </c>
      <c r="I12" s="7" t="n">
        <v>0.838657548612715</v>
      </c>
      <c r="J12" s="7" t="n">
        <v>0.0418387141893327</v>
      </c>
      <c r="K12" s="7" t="n">
        <v>-0.28206113722332</v>
      </c>
      <c r="L12" s="7" t="n">
        <v>1.66601780286434</v>
      </c>
      <c r="M12" s="7" t="n">
        <v>2.19248379751954</v>
      </c>
      <c r="N12" s="7" t="n">
        <v>0.0400059263192179</v>
      </c>
      <c r="O12" s="7" t="n">
        <v>1.18052051731005</v>
      </c>
      <c r="P12" s="7" t="n">
        <v>-0.360591424663319</v>
      </c>
      <c r="Q12" s="7" t="n">
        <v>0.653372207880247</v>
      </c>
      <c r="R12" s="7" t="n">
        <v>-1.3176215436641</v>
      </c>
      <c r="S12" s="7" t="n">
        <v>-1.76437216088842</v>
      </c>
      <c r="T12" s="7" t="n">
        <v>-0.800055467908303</v>
      </c>
      <c r="U12" s="7" t="n">
        <v>0.761720939189342</v>
      </c>
      <c r="V12" s="7" t="n">
        <v>-0.992178788968186</v>
      </c>
      <c r="W12" s="7" t="n">
        <v>0.957502104672474</v>
      </c>
      <c r="X12" s="7" t="n">
        <v>-2.1528793869631</v>
      </c>
      <c r="Y12" s="7" t="n">
        <v>0.553694305078081</v>
      </c>
      <c r="Z12" s="7" t="n">
        <v>0.406008584504981</v>
      </c>
      <c r="AA12" s="7" t="n">
        <v>1.2469093134852</v>
      </c>
      <c r="AB12" s="7" t="n">
        <v>-0.670707379115155</v>
      </c>
      <c r="AC12" s="7" t="n">
        <v>-0.0044384192758501</v>
      </c>
      <c r="AD12" s="7" t="n">
        <v>1.37833310472467</v>
      </c>
      <c r="AE12" s="7" t="n">
        <v>1.7612527576902</v>
      </c>
      <c r="AF12" s="7" t="n">
        <v>-0.525989258850307</v>
      </c>
      <c r="AG12" s="7" t="n">
        <v>-0.0227665552748958</v>
      </c>
      <c r="AH12" s="7" t="n">
        <v>0.577260185012029</v>
      </c>
      <c r="AI12" s="7" t="n">
        <v>0.7783539951465051</v>
      </c>
      <c r="AJ12" s="7" t="n">
        <v>0.5093450420312849</v>
      </c>
      <c r="AK12" s="7" t="n">
        <v>-0.808539585842908</v>
      </c>
      <c r="AL12" s="7" t="n">
        <v>-0.462974072028021</v>
      </c>
      <c r="AM12" s="7" t="n">
        <v>-0.483472146842799</v>
      </c>
      <c r="AN12" s="7" t="n">
        <v>-0.5406165244300229</v>
      </c>
      <c r="AO12" s="7" t="n">
        <v>-0.5048833233054461</v>
      </c>
      <c r="AP12" s="7" t="n">
        <v>-0.0655214127838811</v>
      </c>
      <c r="AQ12" s="7" t="n">
        <v>-0.955572702840378</v>
      </c>
      <c r="AR12" s="7" t="n">
        <v>-2.82036659010111</v>
      </c>
      <c r="AS12" s="7" t="n">
        <v>-1.07498669484457</v>
      </c>
      <c r="AT12" s="7" t="n">
        <v>-1.88337713403643</v>
      </c>
      <c r="AU12" s="7" t="n">
        <v>-0.28567602211819</v>
      </c>
      <c r="AV12" s="7" t="n">
        <v>-0.0798988911876707</v>
      </c>
      <c r="AW12" s="7" t="n">
        <v>-0.3646116287553</v>
      </c>
      <c r="AX12" s="7" t="n">
        <v>1.75664804665626</v>
      </c>
      <c r="AY12" s="7" t="n">
        <v>-1.80763255719578</v>
      </c>
      <c r="AZ12" s="7" t="n">
        <v>0.109382944497334</v>
      </c>
      <c r="BA12" s="7" t="n">
        <v>-0.154183347574951</v>
      </c>
      <c r="BB12" s="7" t="n">
        <v>0.263505122306976</v>
      </c>
      <c r="BC12" s="7" t="n">
        <v>-0.252997165420602</v>
      </c>
      <c r="BD12" s="7" t="n">
        <v>0.843136264451693</v>
      </c>
      <c r="BE12" s="7" t="n">
        <v>-0.571755648391825</v>
      </c>
      <c r="BF12" s="7" t="n">
        <v>0.441199616031354</v>
      </c>
      <c r="BG12" s="7" t="n">
        <v>-1.20721655817059</v>
      </c>
      <c r="BH12" s="7" t="n">
        <v>0.516890004793038</v>
      </c>
      <c r="BI12" s="7" t="n">
        <v>0.70153593529632</v>
      </c>
      <c r="BJ12" s="7" t="n">
        <v>-0.173342585605799</v>
      </c>
      <c r="BK12" s="7" t="n">
        <v>0.268796100623969</v>
      </c>
      <c r="BL12" s="7" t="n">
        <v>0.119231354233459</v>
      </c>
      <c r="BM12" s="7" t="n">
        <v>0.0448838807766025</v>
      </c>
      <c r="BN12" s="7" t="n">
        <v>-0.7517764694147</v>
      </c>
      <c r="BO12" s="7" t="n">
        <v>0.442499713565683</v>
      </c>
      <c r="BP12" s="7" t="n">
        <v>-0.277265945503694</v>
      </c>
      <c r="BQ12" s="7" t="n">
        <v>1.0743132001977</v>
      </c>
      <c r="BR12" s="7" t="n">
        <v>0.7267316823489161</v>
      </c>
      <c r="BS12" s="7" t="n">
        <v>0.315959853949916</v>
      </c>
      <c r="BT12" s="7" t="n">
        <v>0.530603705108725</v>
      </c>
      <c r="BU12" s="7" t="n">
        <v>-1.3234026497686</v>
      </c>
      <c r="BV12" s="7" t="n">
        <v>-0.368860754174612</v>
      </c>
      <c r="BW12" s="7" t="n">
        <v>1.17627301431254</v>
      </c>
      <c r="BX12" s="7" t="n">
        <v>-0.646585592457621</v>
      </c>
      <c r="BY12" s="7" t="n">
        <v>-0.773459678690178</v>
      </c>
      <c r="BZ12" s="7" t="n">
        <v>-1.8478580986807</v>
      </c>
      <c r="CA12" s="7" t="n">
        <v>-0.473596052157026</v>
      </c>
      <c r="CB12" s="7" t="n">
        <v>0.39395349779043</v>
      </c>
      <c r="CC12" s="7" t="n">
        <v>-1.57583298068266</v>
      </c>
      <c r="CD12" s="7" t="n">
        <v>1.58443506509748</v>
      </c>
      <c r="CE12" s="7" t="n">
        <v>-0.107544741080582</v>
      </c>
      <c r="CF12" s="7" t="n">
        <v>-0.260991546906586</v>
      </c>
      <c r="CG12" s="7" t="n">
        <v>0.915539184023101</v>
      </c>
      <c r="CH12" s="7" t="n">
        <v>0.757794462032037</v>
      </c>
      <c r="CI12" s="7" t="n">
        <v>0.338491946151667</v>
      </c>
      <c r="CJ12" s="7" t="n">
        <v>0.270740162254747</v>
      </c>
      <c r="CK12" s="7" t="n">
        <v>-0.500192486242697</v>
      </c>
      <c r="CL12" s="7" t="n">
        <v>1.15450572200136</v>
      </c>
      <c r="CM12" s="7" t="n">
        <v>0.406325351587735</v>
      </c>
      <c r="CN12" s="7" t="n">
        <v>2.38094588003755</v>
      </c>
      <c r="CO12" s="7" t="n">
        <v>-0.41664252122101</v>
      </c>
      <c r="CP12" s="7" t="n">
        <v>-0.391850675463045</v>
      </c>
      <c r="CQ12" s="7" t="n">
        <v>-1.03173099550001</v>
      </c>
      <c r="CR12" s="7" t="n">
        <v>0.554619477445503</v>
      </c>
      <c r="CS12" s="7" t="n">
        <v>-0.202636794813002</v>
      </c>
      <c r="CT12" s="7" t="n">
        <v>-0.404746663055564</v>
      </c>
      <c r="CU12" s="7" t="n">
        <v>-0.479601057619063</v>
      </c>
      <c r="CV12" s="7" t="n">
        <v>-1.17898854483494</v>
      </c>
      <c r="CW12" s="7" t="n">
        <v>1.35297612241772</v>
      </c>
      <c r="CX12" s="7" t="n">
        <v>-0.784435223345301</v>
      </c>
      <c r="CY12" s="7" t="n">
        <v>-1.89942919840308</v>
      </c>
      <c r="CZ12" s="7" t="n">
        <v>-1.29181744325981</v>
      </c>
      <c r="DA12" s="7" t="n">
        <v>0.644082438733157</v>
      </c>
      <c r="DB12" s="7" t="n">
        <v>-1.1230348440782</v>
      </c>
      <c r="DC12" s="7" t="n">
        <v>0.095781650694738</v>
      </c>
      <c r="DD12" s="7" t="n">
        <v>0.180147177743899</v>
      </c>
      <c r="DE12" s="7" t="n">
        <v>-0.349016587638746</v>
      </c>
      <c r="DF12" s="7" t="n">
        <v>-0.537462153728548</v>
      </c>
      <c r="DG12" s="7" t="n">
        <v>-0.566111381811911</v>
      </c>
      <c r="DH12" s="7" t="n">
        <v>-3.21895283418098</v>
      </c>
      <c r="DI12" s="7" t="n">
        <v>-1.82814823048884</v>
      </c>
      <c r="DJ12" s="7" t="n">
        <v>0.902012437262891</v>
      </c>
      <c r="DK12" s="7" t="n">
        <v>0.25132511578864</v>
      </c>
      <c r="DL12" s="7" t="n">
        <v>-1.47313628269258</v>
      </c>
      <c r="DM12" s="7" t="n">
        <v>-0.767944277508281</v>
      </c>
      <c r="DN12" s="7" t="n">
        <v>-0.0503971503198158</v>
      </c>
      <c r="DO12" s="7" t="n">
        <v>-1.5406549824086</v>
      </c>
      <c r="DP12" s="7" t="n">
        <v>1.94928865306528</v>
      </c>
      <c r="DQ12" s="7" t="n">
        <v>-0.592902359612586</v>
      </c>
      <c r="DR12" s="7" t="n">
        <v>-0.0887945716655542</v>
      </c>
      <c r="DS12" s="7" t="n">
        <v>0.0109959961716429</v>
      </c>
      <c r="DT12" s="7" t="n">
        <v>1.21638882581709</v>
      </c>
      <c r="DU12" s="7" t="n">
        <v>0.433268087412715</v>
      </c>
      <c r="DV12" s="7" t="n">
        <v>0.229597785688422</v>
      </c>
      <c r="DW12" s="7" t="n">
        <v>0.930257537051569</v>
      </c>
      <c r="DX12" s="7" t="n">
        <v>-0.421358172713699</v>
      </c>
      <c r="DY12" s="7" t="n">
        <v>-0.283097489082175</v>
      </c>
      <c r="DZ12" s="7" t="n">
        <v>-1.59086897890141</v>
      </c>
      <c r="EA12" s="7" t="n">
        <v>-1.08725278174231</v>
      </c>
      <c r="EB12" s="7" t="n">
        <v>-1.24940624867161</v>
      </c>
      <c r="EC12" s="7" t="n">
        <v>-0.133967419500693</v>
      </c>
      <c r="ED12" s="7" t="n">
        <v>-0.456569278397121</v>
      </c>
      <c r="EE12" s="7" t="n">
        <v>-2.35717903990592</v>
      </c>
      <c r="EF12" s="7" t="n">
        <v>0.467006360974403</v>
      </c>
      <c r="EG12" s="7" t="n">
        <v>0.878186552229634</v>
      </c>
      <c r="EH12" s="7" t="n">
        <v>0.625274826763233</v>
      </c>
      <c r="EI12" s="7" t="n">
        <v>1.43739760175466</v>
      </c>
      <c r="EJ12" s="7" t="n">
        <v>-0.969058497059585</v>
      </c>
      <c r="EK12" s="7" t="n">
        <v>1.22988119395806</v>
      </c>
      <c r="EL12" s="7" t="n">
        <v>0.275814049406521</v>
      </c>
      <c r="EM12" s="7" t="n">
        <v>-0.823173623205311</v>
      </c>
      <c r="EN12" s="7" t="n">
        <v>1.3421739726221</v>
      </c>
      <c r="EO12" s="7" t="n">
        <v>1.57634369074545</v>
      </c>
      <c r="EP12" s="7" t="n">
        <v>-2.75373897922083</v>
      </c>
      <c r="EQ12" s="7" t="n">
        <v>0.683041907693975</v>
      </c>
      <c r="ER12" s="7" t="n">
        <v>-1.07470762857609</v>
      </c>
      <c r="ES12" s="7" t="n">
        <v>-1.41819723485002</v>
      </c>
      <c r="ET12" s="7" t="n">
        <v>-0.494965614140932</v>
      </c>
      <c r="EU12" s="7" t="n">
        <v>0.856689033203722</v>
      </c>
      <c r="EV12" s="7" t="n">
        <v>0.678432069638369</v>
      </c>
      <c r="EW12" s="7" t="n">
        <v>1.33868900644376</v>
      </c>
      <c r="EX12" s="7" t="n">
        <v>-0.757847583741482</v>
      </c>
      <c r="EY12" s="7" t="n">
        <v>-0.377396725182014</v>
      </c>
      <c r="EZ12" s="7" t="n">
        <v>0.406417550288401</v>
      </c>
      <c r="FA12" s="7" t="n">
        <v>0.5213894120525649</v>
      </c>
      <c r="FB12" s="7" t="n">
        <v>0.0213058279887095</v>
      </c>
      <c r="FC12" s="7" t="n">
        <v>-0.48007468590926</v>
      </c>
      <c r="FD12" s="7" t="n">
        <v>0.564028297075447</v>
      </c>
      <c r="FE12" s="7" t="n">
        <v>0.853947973680265</v>
      </c>
      <c r="FF12" s="7" t="n">
        <v>0.643686482091543</v>
      </c>
      <c r="FG12" s="7" t="n">
        <v>0.08571499573399199</v>
      </c>
      <c r="FH12" s="7" t="n">
        <v>0.48036233279023</v>
      </c>
      <c r="FI12" s="7" t="n">
        <v>-0.294930646286302</v>
      </c>
      <c r="FJ12" s="7" t="n">
        <v>0.988138630771819</v>
      </c>
      <c r="FK12" s="7" t="n">
        <v>0.440179988939861</v>
      </c>
      <c r="FL12" s="7" t="n">
        <v>1.17790253416493</v>
      </c>
      <c r="FM12" s="7" t="n">
        <v>-0.748967639224987</v>
      </c>
      <c r="FN12" s="7" t="n">
        <v>1.96005003684227</v>
      </c>
      <c r="FO12" s="7" t="n">
        <v>0.662474781802315</v>
      </c>
      <c r="FP12" s="7" t="n">
        <v>0.40859033606534</v>
      </c>
      <c r="FQ12" s="7" t="n">
        <v>1.36210730159922</v>
      </c>
      <c r="FR12" s="7" t="n">
        <v>0.649471283479769</v>
      </c>
      <c r="FS12" s="7" t="n">
        <v>0.3821314738692</v>
      </c>
      <c r="FT12" s="7" t="n">
        <v>0.656840463109659</v>
      </c>
      <c r="FU12" s="7" t="n">
        <v>0.944765411223082</v>
      </c>
      <c r="FV12" s="7" t="n">
        <v>-0.7499816778633011</v>
      </c>
      <c r="FW12" s="7" t="n">
        <v>0.101721659042475</v>
      </c>
      <c r="FX12" s="7" t="n">
        <v>1.45750579388959</v>
      </c>
      <c r="FY12" s="7" t="n">
        <v>-0.351746673089103</v>
      </c>
      <c r="FZ12" s="7" t="n">
        <v>0.75490251288989</v>
      </c>
      <c r="GA12" s="7" t="n">
        <v>2.46457668446247</v>
      </c>
      <c r="GB12" s="7" t="n">
        <v>0.562795873424233</v>
      </c>
      <c r="GC12" s="7" t="n">
        <v>-1.62855664443913</v>
      </c>
      <c r="GD12" s="7" t="n">
        <v>0.6623529148382929</v>
      </c>
      <c r="GE12" s="7" t="n">
        <v>1.14053659384143</v>
      </c>
      <c r="GF12" s="7" t="n">
        <v>0.805741573227848</v>
      </c>
      <c r="GG12" s="7" t="n">
        <v>1.04766188383661</v>
      </c>
      <c r="GH12" s="7" t="n">
        <v>0.653911917696304</v>
      </c>
      <c r="GI12" s="7" t="n">
        <v>0.0201608458789486</v>
      </c>
      <c r="GJ12" s="7" t="n">
        <v>-0.9271396293063811</v>
      </c>
      <c r="GK12" s="7" t="n">
        <v>0.0343311998673169</v>
      </c>
      <c r="GL12" s="7" t="n">
        <v>0.0620709718687136</v>
      </c>
      <c r="GM12" s="7" t="n">
        <v>-1.73449903977295</v>
      </c>
      <c r="GN12" s="7" t="n">
        <v>-1.10725067941417</v>
      </c>
      <c r="GO12" s="7" t="n">
        <v>-1.21399690242649</v>
      </c>
      <c r="GP12" s="7" t="n">
        <v>0.226601144309513</v>
      </c>
      <c r="GQ12" s="7" t="n">
        <v>0.365321661848671</v>
      </c>
      <c r="GR12" s="7" t="n">
        <v>1.30933493110298</v>
      </c>
      <c r="GS12" s="7" t="n">
        <v>-1.23845098740927</v>
      </c>
      <c r="GT12" s="7" t="n">
        <v>0.40554131688103</v>
      </c>
      <c r="GU12" s="7" t="n">
        <v>0.0826328663705108</v>
      </c>
      <c r="GV12" s="7" t="n">
        <v>0.738375448382209</v>
      </c>
      <c r="GW12" s="7" t="n">
        <v>0.0260669872680061</v>
      </c>
      <c r="GX12" s="7" t="n">
        <v>-1.13372422377273</v>
      </c>
      <c r="GY12" s="7" t="n">
        <v>-0.926784035276964</v>
      </c>
      <c r="GZ12" s="7" t="n">
        <v>-0.239131515546839</v>
      </c>
      <c r="HA12" s="7" t="n">
        <v>-0.203167496961148</v>
      </c>
      <c r="HB12" s="7" t="n">
        <v>0.402478652679227</v>
      </c>
      <c r="HC12" s="7" t="n">
        <v>-0.762204031342124</v>
      </c>
      <c r="HD12" s="7" t="n">
        <v>0.545354942403481</v>
      </c>
      <c r="HE12" s="7" t="n">
        <v>-0.7993876324408919</v>
      </c>
      <c r="HF12" s="7" t="n">
        <v>-1.42623592244123</v>
      </c>
      <c r="HG12" s="7" t="n">
        <v>-0.964699314853843</v>
      </c>
      <c r="HH12" s="7" t="n">
        <v>-0.7527341535819519</v>
      </c>
      <c r="HI12" s="7" t="n">
        <v>-1.56092538307741</v>
      </c>
      <c r="HJ12" s="7" t="n">
        <v>2.42527386621677</v>
      </c>
      <c r="HK12" s="7" t="n">
        <v>0.592883542002399</v>
      </c>
      <c r="HL12" s="7" t="n">
        <v>-1.05266813682534</v>
      </c>
      <c r="HM12" s="7" t="n">
        <v>-1.53032865736417</v>
      </c>
      <c r="HN12" s="7" t="n">
        <v>-1.73688439071174</v>
      </c>
      <c r="HO12" s="7" t="n">
        <v>-0.433823479540133</v>
      </c>
      <c r="HP12" s="7" t="n">
        <v>-0.358664234343462</v>
      </c>
      <c r="HQ12" s="7" t="n">
        <v>-0.224346264875733</v>
      </c>
      <c r="HR12" s="7" t="n">
        <v>1.099211017221</v>
      </c>
      <c r="HS12" s="7" t="n">
        <v>0.773674127375245</v>
      </c>
      <c r="HT12" s="7" t="n">
        <v>0.126672358415479</v>
      </c>
      <c r="HU12" s="7" t="n">
        <v>-0.0258407954238188</v>
      </c>
      <c r="HV12" s="7" t="n">
        <v>-0.866724454145989</v>
      </c>
      <c r="HW12" s="7" t="n">
        <v>0.892960933266415</v>
      </c>
      <c r="HX12" s="7" t="n">
        <v>-1.25595585072475</v>
      </c>
      <c r="HY12" s="7" t="n">
        <v>0.321270489938219</v>
      </c>
      <c r="HZ12" s="7" t="n">
        <v>0.481996770178528</v>
      </c>
      <c r="IA12" s="7" t="n">
        <v>1.96807276111826</v>
      </c>
      <c r="IB12" s="7" t="n">
        <v>0.346298573160333</v>
      </c>
      <c r="IC12" s="7" t="n">
        <v>-1.01552974049572</v>
      </c>
      <c r="ID12" s="7" t="n">
        <v>0.737431100983401</v>
      </c>
      <c r="IE12" s="7" t="n">
        <v>-0.580629254892492</v>
      </c>
      <c r="IF12" s="7" t="n">
        <v>0.356193418516414</v>
      </c>
      <c r="IG12" s="7" t="n">
        <v>0.38402011007201</v>
      </c>
      <c r="IH12" s="7" t="n">
        <v>0.734479789640757</v>
      </c>
      <c r="II12" s="7" t="n">
        <v>-1.63774706443777</v>
      </c>
      <c r="IJ12" s="7" t="n">
        <v>-0.156404430929328</v>
      </c>
      <c r="IK12" s="7" t="n">
        <v>-0.6584766031037</v>
      </c>
      <c r="IL12" s="7" t="n">
        <v>-0.152325307353432</v>
      </c>
      <c r="IM12" s="7" t="n">
        <v>0.158345665563911</v>
      </c>
      <c r="IN12" s="7" t="n">
        <v>-0.617732345406821</v>
      </c>
      <c r="IO12" s="7" t="n">
        <v>0.670082786686067</v>
      </c>
      <c r="IP12" s="7" t="n">
        <v>2.32173300340893</v>
      </c>
      <c r="IQ12" s="7" t="n">
        <v>-0.010563173725431</v>
      </c>
      <c r="IR12" s="7" t="n">
        <v>1.05677023898235</v>
      </c>
      <c r="IS12" s="7" t="n">
        <v>-0.597953224690015</v>
      </c>
      <c r="IT12" s="7" t="n">
        <v>-0.656891408412085</v>
      </c>
      <c r="IU12" s="7" t="n">
        <v>0.170607601995946</v>
      </c>
      <c r="IV12" s="7" t="n">
        <v>0.544791606293229</v>
      </c>
      <c r="IW12" s="7" t="n">
        <v>0.582668917770038</v>
      </c>
      <c r="IX12" s="7" t="n">
        <v>0.9873745383174169</v>
      </c>
      <c r="IY12" s="7" t="n">
        <v>-1.57011915980587</v>
      </c>
      <c r="IZ12" s="7" t="n">
        <v>-1.34546245673748</v>
      </c>
      <c r="JA12" s="7" t="n">
        <v>0.410763828043052</v>
      </c>
      <c r="JB12" s="7" t="n">
        <v>-1.26050226586858</v>
      </c>
      <c r="JC12" s="7" t="n">
        <v>0.435288812164743</v>
      </c>
      <c r="JD12" s="7" t="n">
        <v>0.6951282511261641</v>
      </c>
      <c r="JE12" s="7" t="n">
        <v>-0.155869902717141</v>
      </c>
      <c r="JF12" s="7" t="n">
        <v>-1.1139331200045</v>
      </c>
      <c r="JG12" s="7" t="n">
        <v>0.932156615089072</v>
      </c>
      <c r="JH12" s="7" t="n">
        <v>0.946373752806337</v>
      </c>
      <c r="JI12" s="7" t="n">
        <v>-1.16481192345619</v>
      </c>
      <c r="JJ12" s="7" t="n">
        <v>-0.136143476276974</v>
      </c>
      <c r="JK12" s="7" t="n">
        <v>-0.287618269844039</v>
      </c>
      <c r="JL12" s="7" t="n">
        <v>-0.228390501238961</v>
      </c>
      <c r="JM12" s="7" t="n">
        <v>-0.159497160776469</v>
      </c>
      <c r="JN12" s="7" t="n">
        <v>0.597718265696797</v>
      </c>
      <c r="JO12" s="7" t="n">
        <v>0.0986827951855848</v>
      </c>
      <c r="JP12" s="7" t="n">
        <v>-1.00090313813086</v>
      </c>
      <c r="JQ12" s="7" t="n">
        <v>1.44523014047593</v>
      </c>
      <c r="JR12" s="7" t="n">
        <v>0.228474367738932</v>
      </c>
      <c r="JS12" s="7" t="n">
        <v>-0.0221315663001464</v>
      </c>
      <c r="JT12" s="7" t="n">
        <v>-0.476444501025704</v>
      </c>
      <c r="JU12" s="7" t="n">
        <v>-0.19029966225449</v>
      </c>
      <c r="JV12" s="7" t="n">
        <v>-1.23538006032418</v>
      </c>
      <c r="JW12" s="7" t="n">
        <v>-0.498458120564407</v>
      </c>
      <c r="JX12" s="7" t="n">
        <v>0.221257557796881</v>
      </c>
      <c r="JY12" s="7" t="n">
        <v>-0.0817487358420573</v>
      </c>
      <c r="JZ12" s="7" t="n">
        <v>-0.534921838857952</v>
      </c>
      <c r="KA12" s="7" t="n">
        <v>0.235158435786701</v>
      </c>
      <c r="KB12" s="7" t="n">
        <v>-1.67780904580078</v>
      </c>
      <c r="KC12" s="7" t="n">
        <v>0.386962170691919</v>
      </c>
      <c r="KD12" s="7" t="n">
        <v>0.370449949296658</v>
      </c>
      <c r="KE12" s="7" t="n">
        <v>-2.15248830602841</v>
      </c>
      <c r="KF12" s="7" t="n">
        <v>-0.253465716015642</v>
      </c>
      <c r="KG12" s="7" t="n">
        <v>0.39492115730948</v>
      </c>
      <c r="KH12" s="7" t="n">
        <v>0.997540049348333</v>
      </c>
      <c r="KI12" s="7" t="n">
        <v>-0.938466752509124</v>
      </c>
      <c r="KJ12" s="7" t="n">
        <v>0.6615911492407101</v>
      </c>
      <c r="KK12" s="7" t="n">
        <v>-0.595956707525865</v>
      </c>
      <c r="KL12" s="7" t="n">
        <v>0.721849615145818</v>
      </c>
      <c r="KM12" s="7" t="n">
        <v>0.88164709883385</v>
      </c>
      <c r="KN12" s="7" t="n">
        <v>-0.9120661058566349</v>
      </c>
      <c r="KO12" s="7" t="n">
        <v>2.00597229044989</v>
      </c>
      <c r="KP12" s="7" t="n">
        <v>1.57522300153419</v>
      </c>
      <c r="KQ12" s="7" t="n">
        <v>1.47062434011341</v>
      </c>
      <c r="KR12" s="7" t="n">
        <v>-0.687906643745817</v>
      </c>
      <c r="KS12" s="7" t="n">
        <v>0.468659807383823</v>
      </c>
      <c r="KT12" s="7" t="n">
        <v>-1.68532140172301</v>
      </c>
      <c r="KU12" s="7" t="n">
        <v>-0.36297863525755</v>
      </c>
      <c r="KV12" s="7" t="n">
        <v>0.150579202580245</v>
      </c>
      <c r="KW12" s="7" t="n">
        <v>-0.558645258826564</v>
      </c>
      <c r="KX12" s="7" t="n">
        <v>0.33043205191038</v>
      </c>
      <c r="KY12" s="7" t="n">
        <v>-0.967067405976503</v>
      </c>
      <c r="KZ12" s="7" t="n">
        <v>1.08532282199511</v>
      </c>
      <c r="LA12" s="7" t="n">
        <v>0.983607106852278</v>
      </c>
      <c r="LB12" s="7" t="n">
        <v>0.631101507387996</v>
      </c>
      <c r="LC12" s="7" t="n">
        <v>-1.35690331916423</v>
      </c>
      <c r="LD12" s="7" t="n">
        <v>0.244765335502453</v>
      </c>
      <c r="LE12" s="7" t="n">
        <v>0.211540540073449</v>
      </c>
      <c r="LF12" s="7" t="n">
        <v>0.117538699242626</v>
      </c>
      <c r="LG12" s="7" t="n">
        <v>-0.254315560936263</v>
      </c>
      <c r="LH12" s="7" t="n">
        <v>0.959928196489924</v>
      </c>
      <c r="LI12" s="7" t="n">
        <v>-0.684161173458393</v>
      </c>
      <c r="LJ12" s="7" t="n">
        <v>0.880901327869026</v>
      </c>
      <c r="LK12" s="7" t="n">
        <v>0.26783280523497</v>
      </c>
      <c r="LL12" s="7" t="n">
        <v>0.384965618768097</v>
      </c>
      <c r="LM12" s="7" t="n">
        <v>-1.27530616645255</v>
      </c>
      <c r="LN12" s="7" t="n">
        <v>-0.586134914137274</v>
      </c>
      <c r="LO12" s="7" t="n">
        <v>2.36525117072728</v>
      </c>
      <c r="LP12" s="7" t="n">
        <v>1.11445255703039</v>
      </c>
      <c r="LQ12" s="7" t="n">
        <v>-1.39411500155541</v>
      </c>
      <c r="LR12" s="7" t="n">
        <v>-0.608118547166457</v>
      </c>
      <c r="LS12" s="7" t="n">
        <v>1.52738404432701</v>
      </c>
      <c r="LT12" s="7" t="n">
        <v>-2.16862510389324</v>
      </c>
      <c r="LU12" s="7" t="n">
        <v>-0.344283076316805</v>
      </c>
      <c r="LV12" s="7" t="n">
        <v>-2.26974094276991</v>
      </c>
      <c r="LW12" s="7" t="n">
        <v>-0.444635998931995</v>
      </c>
      <c r="LX12" s="7" t="n">
        <v>-2.0452183269368</v>
      </c>
      <c r="LY12" s="7" t="n">
        <v>0.110445053420368</v>
      </c>
      <c r="LZ12" s="7" t="n">
        <v>0.136686199162133</v>
      </c>
      <c r="MA12" s="7" t="n">
        <v>-0.513099556882497</v>
      </c>
      <c r="MB12" s="7" t="n">
        <v>-1.06756892486788</v>
      </c>
      <c r="MC12" s="7" t="n">
        <v>0.0946038692218273</v>
      </c>
      <c r="MD12" s="7" t="n">
        <v>0.181164697292819</v>
      </c>
      <c r="ME12" s="7" t="n">
        <v>-0.417348067948856</v>
      </c>
      <c r="MF12" s="7" t="n">
        <v>0.729086757788588</v>
      </c>
      <c r="MG12" s="7" t="n">
        <v>-0.210843011270004</v>
      </c>
      <c r="MH12" s="7" t="n">
        <v>0.0353897164304654</v>
      </c>
      <c r="MI12" s="7" t="n">
        <v>0.568149660913112</v>
      </c>
      <c r="MJ12" s="7" t="n">
        <v>0.8135385458758559</v>
      </c>
      <c r="MK12" s="7" t="n">
        <v>0.141211937079697</v>
      </c>
      <c r="ML12" s="7" t="n">
        <v>0.394217696633202</v>
      </c>
      <c r="MM12" s="7" t="n">
        <v>-1.20737067617889</v>
      </c>
      <c r="MN12" s="7" t="n">
        <v>-0.194251220368084</v>
      </c>
      <c r="MO12" s="7" t="n">
        <v>-0.024433327169578</v>
      </c>
      <c r="MP12" s="7" t="n">
        <v>-0.183134241989072</v>
      </c>
      <c r="MQ12" s="7" t="n">
        <v>0.316179581041809</v>
      </c>
      <c r="MR12" s="7" t="n">
        <v>0.256904965651181</v>
      </c>
      <c r="MS12" s="7" t="n">
        <v>-0.141517666281669</v>
      </c>
      <c r="MT12" s="7" t="n">
        <v>0.962270444685017</v>
      </c>
      <c r="MU12" s="7" t="n">
        <v>0.930662889639431</v>
      </c>
      <c r="MV12" s="7" t="n">
        <v>-1.98798930106411</v>
      </c>
      <c r="MW12" s="7" t="n">
        <v>2.15146877199371</v>
      </c>
      <c r="MX12" s="7" t="n">
        <v>1.23625700901729</v>
      </c>
      <c r="MY12" s="7" t="n">
        <v>-0.134687356569963</v>
      </c>
      <c r="MZ12" s="7" t="n">
        <v>-0.184834229580239</v>
      </c>
      <c r="NA12" s="7" t="n">
        <v>-0.459766339496241</v>
      </c>
      <c r="NB12" s="7" t="n">
        <v>1.63547991725684</v>
      </c>
      <c r="NC12" s="7" t="n">
        <v>-0.651717032122363</v>
      </c>
      <c r="ND12" s="7" t="n">
        <v>-0.334268884887784</v>
      </c>
      <c r="NE12" s="7" t="n">
        <v>-0.305844334630346</v>
      </c>
      <c r="NF12" s="7" t="n">
        <v>-0.007404631512689</v>
      </c>
      <c r="NG12" s="7" t="n">
        <v>1.08404022507494</v>
      </c>
      <c r="NH12" s="7" t="n">
        <v>-0.718213791439824</v>
      </c>
      <c r="NI12" s="7" t="n">
        <v>-0.965064312634046</v>
      </c>
      <c r="NJ12" s="7" t="n">
        <v>0.509473089885468</v>
      </c>
      <c r="NK12" s="7" t="n">
        <v>0.474325854314446</v>
      </c>
      <c r="NL12" s="7" t="n">
        <v>-0.340580247365998</v>
      </c>
      <c r="NM12" s="7" t="n">
        <v>-1.29503696121594</v>
      </c>
      <c r="NN12" s="7" t="n">
        <v>-0.521820156410344</v>
      </c>
      <c r="NO12" s="7" t="n">
        <v>1.26441468556803</v>
      </c>
      <c r="NP12" s="7" t="n">
        <v>0.515484898948177</v>
      </c>
      <c r="NQ12" s="7" t="n">
        <v>-0.211273204831761</v>
      </c>
      <c r="NR12" s="7" t="n">
        <v>-0.950911600870873</v>
      </c>
      <c r="NS12" s="7" t="n">
        <v>0.192886363810036</v>
      </c>
      <c r="NT12" s="7" t="n">
        <v>-0.940144682349174</v>
      </c>
      <c r="NU12" s="7" t="n">
        <v>-0.784380046167195</v>
      </c>
      <c r="NV12" s="7" t="n">
        <v>1.22082939282301</v>
      </c>
      <c r="NW12" s="7" t="n">
        <v>-0.449139346194597</v>
      </c>
      <c r="NX12" s="7" t="n">
        <v>-0.711152929731258</v>
      </c>
      <c r="NY12" s="7" t="n">
        <v>0.693208478987727</v>
      </c>
      <c r="NZ12" s="7" t="n">
        <v>0.638155644293102</v>
      </c>
      <c r="OA12" s="7" t="n">
        <v>-1.22703884627414</v>
      </c>
      <c r="OB12" s="7" t="n">
        <v>0.388464611643492</v>
      </c>
      <c r="OC12" s="7" t="n">
        <v>0.328841809960496</v>
      </c>
      <c r="OD12" s="7" t="n">
        <v>-1.17024749425016</v>
      </c>
      <c r="OE12" s="7" t="n">
        <v>-2.10376340095896</v>
      </c>
      <c r="OF12" s="7" t="n">
        <v>1.33298657386759</v>
      </c>
      <c r="OG12" s="7" t="n">
        <v>1.02472695103367</v>
      </c>
      <c r="OH12" s="7" t="n">
        <v>0.398249899708679</v>
      </c>
      <c r="OI12" s="7" t="n">
        <v>-0.396250870181342</v>
      </c>
      <c r="OJ12" s="7" t="n">
        <v>0.904877374613076</v>
      </c>
      <c r="OK12" s="7" t="n">
        <v>0.0302203138872569</v>
      </c>
      <c r="OL12" s="7" t="n">
        <v>0.809475990386309</v>
      </c>
      <c r="OM12" s="7" t="n">
        <v>-0.813635605968578</v>
      </c>
      <c r="ON12" s="7" t="n">
        <v>-1.33668290437197</v>
      </c>
      <c r="OO12" s="7" t="n">
        <v>0.741655895983201</v>
      </c>
      <c r="OP12" s="7" t="n">
        <v>1.80491302021016</v>
      </c>
      <c r="OQ12" s="7" t="n">
        <v>0.2308501176694</v>
      </c>
      <c r="OR12" s="7" t="n">
        <v>-0.7843588696225779</v>
      </c>
      <c r="OS12" s="7" t="n">
        <v>-0.158072767140311</v>
      </c>
      <c r="OT12" s="7" t="n">
        <v>1.64309059956028</v>
      </c>
      <c r="OU12" s="7" t="n">
        <v>-0.225211869533803</v>
      </c>
      <c r="OV12" s="7" t="n">
        <v>-0.36279106505553</v>
      </c>
      <c r="OW12" s="7" t="n">
        <v>-0.0106004080588046</v>
      </c>
      <c r="OX12" s="7" t="n">
        <v>0.903450166396687</v>
      </c>
      <c r="OY12" s="7" t="n">
        <v>-1.70515417783583</v>
      </c>
      <c r="OZ12" s="7" t="n">
        <v>-0.159327119527486</v>
      </c>
      <c r="PA12" s="7" t="n">
        <v>-1.21461511918935</v>
      </c>
      <c r="PB12" s="7" t="n">
        <v>0.620800334356143</v>
      </c>
      <c r="PC12" s="7" t="n">
        <v>1.86854108652416</v>
      </c>
      <c r="PD12" s="7" t="n">
        <v>-0.681208026164298</v>
      </c>
      <c r="PE12" s="7" t="n">
        <v>0.683899483031279</v>
      </c>
      <c r="PF12" s="7" t="n">
        <v>0.395788745710614</v>
      </c>
      <c r="PG12" s="7" t="n">
        <v>-0.941472861804399</v>
      </c>
      <c r="PH12" s="7" t="n">
        <v>0.5665987721642179</v>
      </c>
      <c r="PI12" s="7" t="n">
        <v>0.633750227697869</v>
      </c>
      <c r="PJ12" s="7" t="n">
        <v>0.593541199413546</v>
      </c>
      <c r="PK12" s="7" t="n">
        <v>-0.9516515555410689</v>
      </c>
      <c r="PL12" s="7" t="n">
        <v>-0.328880980197658</v>
      </c>
      <c r="PM12" s="7" t="n">
        <v>-0.376116637001143</v>
      </c>
      <c r="PN12" s="7" t="n">
        <v>0.123827341496366</v>
      </c>
      <c r="PO12" s="7" t="n">
        <v>0.312191623864521</v>
      </c>
      <c r="PP12" s="7" t="n">
        <v>-1.7956018243182</v>
      </c>
      <c r="PQ12" s="7" t="n">
        <v>-0.64993081136895</v>
      </c>
      <c r="PR12" s="7" t="n">
        <v>0.463073470563615</v>
      </c>
      <c r="PS12" s="7" t="n">
        <v>-0.480810297282345</v>
      </c>
      <c r="PT12" s="7" t="n">
        <v>0.29115638730719</v>
      </c>
      <c r="PU12" s="7" t="n">
        <v>0.849242702298982</v>
      </c>
      <c r="PV12" s="7" t="n">
        <v>0.33227723146532</v>
      </c>
      <c r="PW12" s="7" t="n">
        <v>0.277392345712727</v>
      </c>
      <c r="PX12" s="7" t="n">
        <v>-0.08185588501741441</v>
      </c>
      <c r="PY12" s="7" t="n">
        <v>0.9378370437467179</v>
      </c>
      <c r="PZ12" s="7" t="n">
        <v>-0.425496203632989</v>
      </c>
      <c r="QA12" s="7" t="n">
        <v>-2.33120510324312</v>
      </c>
      <c r="QB12" s="7" t="n">
        <v>0.457555150547956</v>
      </c>
      <c r="QC12" s="7" t="n">
        <v>-1.31922821112561</v>
      </c>
      <c r="QD12" s="7" t="n">
        <v>-1.31618157417844</v>
      </c>
      <c r="QE12" s="7" t="n">
        <v>-1.08542344932353</v>
      </c>
      <c r="QF12" s="7" t="n">
        <v>0.060003895790302</v>
      </c>
      <c r="QG12" s="7" t="n">
        <v>-0.9298027245865</v>
      </c>
      <c r="QH12" s="7" t="n">
        <v>-0.985990895021704</v>
      </c>
      <c r="QI12" s="7" t="n">
        <v>-1.42792925945639</v>
      </c>
      <c r="QJ12" s="7" t="n">
        <v>1.38970513209181</v>
      </c>
      <c r="QK12" s="7" t="n">
        <v>1.34425208404436</v>
      </c>
      <c r="QL12" s="7" t="n">
        <v>-1.59796464607366</v>
      </c>
      <c r="QM12" s="7" t="n">
        <v>1.26063998298929</v>
      </c>
      <c r="QN12" s="7" t="n">
        <v>-0.0223264709443131</v>
      </c>
      <c r="QO12" s="7" t="n">
        <v>1.54450764176289</v>
      </c>
      <c r="QP12" s="7" t="n">
        <v>-0.216975370971408</v>
      </c>
      <c r="QQ12" s="7" t="n">
        <v>1.22805662661474</v>
      </c>
      <c r="QR12" s="7" t="n">
        <v>2.29784658024288</v>
      </c>
      <c r="QS12" s="7" t="n">
        <v>-0.358675499354128</v>
      </c>
      <c r="QT12" s="7" t="n">
        <v>0.426504207388537</v>
      </c>
      <c r="QU12" s="7" t="n">
        <v>-0.09742974433986171</v>
      </c>
      <c r="QV12" s="7" t="n">
        <v>-0.598134991461144</v>
      </c>
      <c r="QW12" s="7" t="n">
        <v>0.0008255796177333</v>
      </c>
      <c r="QX12" s="7" t="n">
        <v>-0.487029823057083</v>
      </c>
      <c r="QY12" s="7" t="n">
        <v>0.667562855650442</v>
      </c>
      <c r="QZ12" s="7" t="n">
        <v>2.14530996576785</v>
      </c>
      <c r="RA12" s="7" t="n">
        <v>0.66936173903969</v>
      </c>
      <c r="RB12" s="7" t="n">
        <v>-0.276223892325684</v>
      </c>
      <c r="RC12" s="7" t="n">
        <v>0.411464842047003</v>
      </c>
      <c r="RD12" s="7" t="n">
        <v>-0.0522497740725333</v>
      </c>
      <c r="RE12" s="7" t="n">
        <v>0.887415358349537</v>
      </c>
      <c r="RF12" s="7" t="n">
        <v>0.402208200995217</v>
      </c>
      <c r="RG12" s="7" t="n">
        <v>0.550775562188304</v>
      </c>
      <c r="RH12" s="7" t="n">
        <v>-2.06811974731974</v>
      </c>
      <c r="RI12" s="7" t="n">
        <v>-1.25569331216181</v>
      </c>
      <c r="RJ12" s="7" t="n">
        <v>-0.136998598865126</v>
      </c>
      <c r="RK12" s="7" t="n">
        <v>-0.311703691558794</v>
      </c>
      <c r="RL12" s="7" t="n">
        <v>0.574900137283799</v>
      </c>
      <c r="RM12" s="7" t="n">
        <v>0.714652499322657</v>
      </c>
      <c r="RN12" s="7" t="n">
        <v>-0.246578448184315</v>
      </c>
      <c r="RO12" s="7" t="n">
        <v>2.59968732600016</v>
      </c>
      <c r="RP12" s="7" t="n">
        <v>0.394711325679628</v>
      </c>
      <c r="RQ12" s="7" t="n">
        <v>0.463752417957353</v>
      </c>
      <c r="RR12" s="7" t="n">
        <v>0.334253739381701</v>
      </c>
      <c r="RS12" s="7" t="n">
        <v>0.165680828965536</v>
      </c>
      <c r="RT12" s="7" t="n">
        <v>0.560849142518226</v>
      </c>
      <c r="RU12" s="7" t="n">
        <v>-0.43573040690248</v>
      </c>
      <c r="RV12" s="7" t="n">
        <v>-0.9312542039192639</v>
      </c>
      <c r="RW12" s="7" t="n">
        <v>-1.11984715286037</v>
      </c>
      <c r="RX12" s="7" t="n">
        <v>1.35209738330093</v>
      </c>
      <c r="RY12" s="7" t="n">
        <v>0.60329214112514</v>
      </c>
      <c r="RZ12" s="7" t="n">
        <v>-1.02754716348551</v>
      </c>
      <c r="SA12" s="7" t="n">
        <v>1.69758837482749</v>
      </c>
      <c r="SB12" s="7" t="n">
        <v>0.745807996228791</v>
      </c>
      <c r="SC12" s="7" t="n">
        <v>2.39647016732517</v>
      </c>
      <c r="SD12" s="7" t="n">
        <v>0.833513518216239</v>
      </c>
      <c r="SE12" s="7" t="n">
        <v>1.04638171213337</v>
      </c>
      <c r="SF12" s="7" t="n">
        <v>0.602442615277617</v>
      </c>
      <c r="SG12" s="7" t="n">
        <v>0.110625064105808</v>
      </c>
      <c r="SH12" s="7" t="n">
        <v>0.917278641934769</v>
      </c>
      <c r="SI12" s="7" t="n">
        <v>-1.10884245027265</v>
      </c>
      <c r="SJ12" s="7" t="n">
        <v>-2.53002523951599</v>
      </c>
      <c r="SK12" s="7" t="n">
        <v>-2.01319806622866</v>
      </c>
      <c r="SL12" s="7" t="n">
        <v>-0.431249855364246</v>
      </c>
      <c r="SM12" s="7" t="n">
        <v>0.535934704359166</v>
      </c>
      <c r="SN12" s="7" t="n">
        <v>-0.759727615794851</v>
      </c>
      <c r="SO12" s="7" t="n">
        <v>0.479268016277653</v>
      </c>
      <c r="SP12" s="7" t="n">
        <v>-0.496217671226716</v>
      </c>
      <c r="SQ12" s="7" t="n">
        <v>-1.20813159324292</v>
      </c>
      <c r="SR12" s="7" t="n">
        <v>-1.62299911710581</v>
      </c>
      <c r="SS12" s="7" t="n">
        <v>-0.281501074435645</v>
      </c>
      <c r="ST12" s="7" t="n">
        <v>1.33649993955175</v>
      </c>
      <c r="SU12" s="7" t="n">
        <v>-1.02465054006769</v>
      </c>
      <c r="SV12" s="7" t="n">
        <v>0.303043891489876</v>
      </c>
      <c r="SW12" s="7" t="n">
        <v>1.61733136233891</v>
      </c>
      <c r="SX12" s="7" t="n">
        <v>-1.29089150961</v>
      </c>
      <c r="SY12" s="7" t="n">
        <v>-1.66100472304146</v>
      </c>
      <c r="SZ12" s="7" t="n">
        <v>0.172343654877989</v>
      </c>
      <c r="TA12" s="7" t="n">
        <v>0.0474196026031031</v>
      </c>
      <c r="TB12" s="7" t="n">
        <v>-0.361850239203522</v>
      </c>
      <c r="TC12" s="7" t="n">
        <v>-0.775911159890826</v>
      </c>
      <c r="TD12" s="7" t="n">
        <v>-1.03033804160706</v>
      </c>
      <c r="TE12" s="7" t="n">
        <v>0.497577890189741</v>
      </c>
      <c r="TF12" s="7" t="n">
        <v>-0.461845326129096</v>
      </c>
      <c r="TG12" s="7" t="n">
        <v>2.00236647063312</v>
      </c>
      <c r="TH12" s="7" t="n">
        <v>0.968017040612388</v>
      </c>
      <c r="TI12" s="7" t="n">
        <v>-1.41671563547077</v>
      </c>
      <c r="TJ12" s="7" t="n">
        <v>0.339422749809966</v>
      </c>
      <c r="TK12" s="7" t="n">
        <v>-1.32596797110049</v>
      </c>
      <c r="TL12" s="7" t="n">
        <v>-0.915762438452309</v>
      </c>
      <c r="TM12" s="7" t="n">
        <v>-0.490584008149787</v>
      </c>
      <c r="TN12" s="7" t="n">
        <v>-0.321961894292942</v>
      </c>
      <c r="TO12" s="7" t="n">
        <v>-1.28222415037143</v>
      </c>
      <c r="TP12" s="7" t="n">
        <v>0.720715975989705</v>
      </c>
      <c r="TQ12" s="7" t="n">
        <v>-0.223956786263849</v>
      </c>
      <c r="TR12" s="7" t="n">
        <v>-1.31969715084032</v>
      </c>
      <c r="TS12" s="7" t="n">
        <v>-2.18086671858401</v>
      </c>
      <c r="TT12" s="7" t="n">
        <v>-0.870849067684841</v>
      </c>
      <c r="TU12" s="7" t="n">
        <v>1.20660512250425</v>
      </c>
      <c r="TV12" s="7" t="n">
        <v>-0.203753062363069</v>
      </c>
      <c r="TW12" s="7" t="n">
        <v>2.44935495057156</v>
      </c>
      <c r="TX12" s="7" t="n">
        <v>1.85726443981219</v>
      </c>
      <c r="TY12" s="7" t="n">
        <v>-0.347191778406692</v>
      </c>
      <c r="TZ12" s="7" t="n">
        <v>0.6187317355129049</v>
      </c>
      <c r="UA12" s="7" t="n">
        <v>0.60550835142566</v>
      </c>
      <c r="UB12" s="7" t="n">
        <v>0.27502633526038</v>
      </c>
      <c r="UC12" s="7" t="n">
        <v>0.0249280634646689</v>
      </c>
      <c r="UD12" s="7" t="n">
        <v>-0.241121860259671</v>
      </c>
      <c r="UE12" s="7" t="n">
        <v>-1.12736621763876</v>
      </c>
      <c r="UF12" s="7" t="n">
        <v>-1.12055527320531</v>
      </c>
      <c r="UG12" s="7" t="n">
        <v>0.24918034720943</v>
      </c>
      <c r="UH12" s="7" t="n">
        <v>-1.20329461968556</v>
      </c>
      <c r="UI12" s="7" t="n">
        <v>-2.33962507074868</v>
      </c>
      <c r="UJ12" s="7" t="n">
        <v>1.09843713430952</v>
      </c>
      <c r="UK12" s="7" t="n">
        <v>0.396241819197361</v>
      </c>
      <c r="UL12" s="7" t="n">
        <v>0.697712273739309</v>
      </c>
      <c r="UM12" s="7" t="n">
        <v>-0.684140952081306</v>
      </c>
      <c r="UN12" s="7" t="n">
        <v>0.114026179550336</v>
      </c>
      <c r="UO12" s="7" t="n">
        <v>-0.44325523728479</v>
      </c>
      <c r="UP12" s="7" t="n">
        <v>-2.18046050186282</v>
      </c>
      <c r="UQ12" s="7" t="n">
        <v>-0.290432987435585</v>
      </c>
      <c r="UR12" s="7" t="n">
        <v>-0.734185206715777</v>
      </c>
      <c r="US12" s="7" t="n">
        <v>-1.33068899052945</v>
      </c>
      <c r="UT12" s="7" t="n">
        <v>0.71297703387384</v>
      </c>
      <c r="UU12" s="7" t="n">
        <v>-0.230906480573125</v>
      </c>
      <c r="UV12" s="7" t="n">
        <v>-0.784605718923729</v>
      </c>
      <c r="UW12" s="7" t="n">
        <v>0.174149604189941</v>
      </c>
      <c r="UX12" s="7" t="n">
        <v>0.217706308112089</v>
      </c>
      <c r="UY12" s="7" t="n">
        <v>-1.47587450503224</v>
      </c>
      <c r="UZ12" s="7" t="n">
        <v>-0.277751599181067</v>
      </c>
      <c r="VA12" s="7" t="n">
        <v>-1.56780482155866</v>
      </c>
      <c r="VB12" s="7" t="n">
        <v>-2.00455229470753</v>
      </c>
      <c r="VC12" s="7" t="n">
        <v>-2.25172950320434</v>
      </c>
      <c r="VD12" s="7" t="n">
        <v>-0.5725834795682661</v>
      </c>
      <c r="VE12" s="7" t="n">
        <v>-1.03593925915298</v>
      </c>
      <c r="VF12" s="7" t="n">
        <v>0.0628914974197597</v>
      </c>
      <c r="VG12" s="7" t="n">
        <v>0.5181465131198</v>
      </c>
      <c r="VH12" s="7" t="n">
        <v>-1.16145379230228</v>
      </c>
      <c r="VI12" s="7" t="n">
        <v>-0.732932600967684</v>
      </c>
      <c r="VJ12" s="7" t="n">
        <v>0.0581797171270326</v>
      </c>
      <c r="VK12" s="7" t="n">
        <v>-0.839398381794151</v>
      </c>
      <c r="VL12" s="7" t="n">
        <v>0.868937605150164</v>
      </c>
      <c r="VM12" s="7" t="n">
        <v>0.193078702570099</v>
      </c>
      <c r="VN12" s="7" t="n">
        <v>-1.48999447541087</v>
      </c>
      <c r="VO12" s="7" t="n">
        <v>0.581210816349421</v>
      </c>
      <c r="VP12" s="7" t="n">
        <v>-0.326350792155115</v>
      </c>
      <c r="VQ12" s="7" t="n">
        <v>0.399020602905355</v>
      </c>
      <c r="VR12" s="7" t="n">
        <v>-0.18704767854792</v>
      </c>
      <c r="VS12" s="7" t="n">
        <v>-0.173961357762511</v>
      </c>
      <c r="VT12" s="7" t="n">
        <v>-2.3852511743736</v>
      </c>
      <c r="VU12" s="7" t="n">
        <v>-0.28133466355675</v>
      </c>
      <c r="VV12" s="7" t="n">
        <v>0.753209185115058</v>
      </c>
      <c r="VW12" s="7" t="n">
        <v>-2.47704853328712</v>
      </c>
      <c r="VX12" s="7" t="n">
        <v>1.26291308124925</v>
      </c>
      <c r="VY12" s="7" t="n">
        <v>1.23686639321868</v>
      </c>
      <c r="VZ12" s="7" t="n">
        <v>0.242380542024931</v>
      </c>
      <c r="WA12" s="7" t="n">
        <v>0.396281780904761</v>
      </c>
      <c r="WB12" s="7" t="n">
        <v>-0.115867914145038</v>
      </c>
      <c r="WC12" s="7" t="n">
        <v>1.14341263979265</v>
      </c>
      <c r="WD12" s="7" t="n">
        <v>0.610061866031823</v>
      </c>
      <c r="WE12" s="7" t="n">
        <v>-0.8192231491315231</v>
      </c>
      <c r="WF12" s="7" t="n">
        <v>-0.834549072545148</v>
      </c>
      <c r="WG12" s="7" t="n">
        <v>0.0306853033084345</v>
      </c>
      <c r="WH12" s="7" t="n">
        <v>1.22611802436987</v>
      </c>
      <c r="WI12" s="7" t="n">
        <v>0.544955911074917</v>
      </c>
      <c r="WJ12" s="7" t="n">
        <v>0.383625427523358</v>
      </c>
      <c r="WK12" s="7" t="n">
        <v>0.313644830489408</v>
      </c>
      <c r="WL12" s="7" t="n">
        <v>-0.10582994947012</v>
      </c>
      <c r="WM12" s="7" t="n">
        <v>1.78674944478123</v>
      </c>
      <c r="WN12" s="7" t="n">
        <v>0.170521578034246</v>
      </c>
      <c r="WO12" s="7" t="n">
        <v>-1.1986699057678</v>
      </c>
      <c r="WP12" s="7" t="n">
        <v>-0.6075816489778419</v>
      </c>
      <c r="WQ12" s="7" t="n">
        <v>0.389975387076032</v>
      </c>
      <c r="WR12" s="7" t="n">
        <v>1.24601827327926</v>
      </c>
      <c r="WS12" s="7" t="n">
        <v>0.762260249816214</v>
      </c>
      <c r="WT12" s="7" t="n">
        <v>-1.44910099638285</v>
      </c>
      <c r="WU12" s="7" t="n">
        <v>0.255438881056233</v>
      </c>
      <c r="WV12" s="7" t="n">
        <v>-2.15142410584549</v>
      </c>
      <c r="WW12" s="7" t="n">
        <v>1.67971156113588</v>
      </c>
      <c r="WX12" s="7" t="n">
        <v>0.623690952683391</v>
      </c>
      <c r="WY12" s="7" t="n">
        <v>0.5681135766579311</v>
      </c>
      <c r="WZ12" s="7" t="n">
        <v>-0.443182364218177</v>
      </c>
      <c r="XA12" s="7" t="n">
        <v>-0.228648749725993</v>
      </c>
      <c r="XB12" s="7" t="n">
        <v>-0.137803484217282</v>
      </c>
      <c r="XC12" s="7" t="n">
        <v>-1.87443974503816</v>
      </c>
      <c r="XD12" s="7" t="n">
        <v>1.02074645936337</v>
      </c>
      <c r="XE12" s="7" t="n">
        <v>-0.229206894026962</v>
      </c>
      <c r="XF12" s="7" t="n">
        <v>-1.31130308341015</v>
      </c>
      <c r="XG12" s="7" t="n">
        <v>0.766509384719087</v>
      </c>
      <c r="XH12" s="7" t="n">
        <v>-0.827846654846552</v>
      </c>
      <c r="XI12" s="7" t="n">
        <v>-0.0831683859234615</v>
      </c>
      <c r="XJ12" s="7" t="n">
        <v>-1.48754493911667</v>
      </c>
      <c r="XK12" s="7" t="n">
        <v>0.0399475317727051</v>
      </c>
      <c r="XL12" s="7" t="n">
        <v>-0.866055740818389</v>
      </c>
      <c r="XM12" s="7" t="n">
        <v>-0.887190419304597</v>
      </c>
      <c r="XN12" s="7" t="n">
        <v>-1.32570694793532</v>
      </c>
      <c r="XO12" s="7" t="n">
        <v>0.557149981705616</v>
      </c>
      <c r="XP12" s="7" t="n">
        <v>0.366330108383343</v>
      </c>
      <c r="XQ12" s="7" t="n">
        <v>-0.394016850954354</v>
      </c>
      <c r="XR12" s="7" t="n">
        <v>-0.0122812788333678</v>
      </c>
      <c r="XS12" s="7" t="n">
        <v>2.96659075833793</v>
      </c>
      <c r="XT12" s="7" t="n">
        <v>-1.31449983015653</v>
      </c>
      <c r="XU12" s="7" t="n">
        <v>-1.6017061270515</v>
      </c>
      <c r="XV12" s="7" t="n">
        <v>-0.755550971825247</v>
      </c>
      <c r="XW12" s="7" t="n">
        <v>-1.3818171135095</v>
      </c>
      <c r="XX12" s="7" t="n">
        <v>0.517529777429302</v>
      </c>
      <c r="XY12" s="7" t="n">
        <v>-1.65814247377855</v>
      </c>
      <c r="XZ12" s="7" t="n">
        <v>-0.433803034033095</v>
      </c>
      <c r="YA12" s="7" t="n">
        <v>0.107493537013817</v>
      </c>
      <c r="YB12" s="7" t="n">
        <v>0.907628945322748</v>
      </c>
      <c r="YC12" s="7" t="n">
        <v>-1.4852548065557</v>
      </c>
      <c r="YD12" s="7" t="n">
        <v>1.78443556324823</v>
      </c>
      <c r="YE12" s="7" t="n">
        <v>-0.873877225330007</v>
      </c>
      <c r="YF12" s="7" t="n">
        <v>0.377540787980883</v>
      </c>
      <c r="YG12" s="7" t="n">
        <v>-1.28224803363424</v>
      </c>
      <c r="YH12" s="7" t="n">
        <v>0.204131269043485</v>
      </c>
      <c r="YI12" s="7" t="n">
        <v>0.41113838066855</v>
      </c>
      <c r="YJ12" s="7" t="n">
        <v>0.434429878153712</v>
      </c>
      <c r="YK12" s="7" t="n">
        <v>-0.130867644131978</v>
      </c>
      <c r="YL12" s="7" t="n">
        <v>-0.455519699820832</v>
      </c>
      <c r="YM12" s="7" t="n">
        <v>0.283182032939947</v>
      </c>
      <c r="YN12" s="7" t="n">
        <v>0.507370011565539</v>
      </c>
      <c r="YO12" s="7" t="n">
        <v>0.5783774824808831</v>
      </c>
      <c r="YP12" s="7" t="n">
        <v>1.67941677237477</v>
      </c>
      <c r="YQ12" s="7" t="n">
        <v>0.57678398190622</v>
      </c>
      <c r="YR12" s="7" t="n">
        <v>-0.332883035452465</v>
      </c>
      <c r="YS12" s="7" t="n">
        <v>1.53619287774434</v>
      </c>
      <c r="YT12" s="7" t="n">
        <v>1.10652188802766</v>
      </c>
      <c r="YU12" s="7" t="n">
        <v>-0.5036908232335</v>
      </c>
      <c r="YV12" s="7" t="n">
        <v>0.558963486112914</v>
      </c>
      <c r="YW12" s="7" t="n">
        <v>0.336412450550718</v>
      </c>
      <c r="YX12" s="7" t="n">
        <v>1.19182188827497</v>
      </c>
      <c r="YY12" s="7" t="n">
        <v>-0.796686941402443</v>
      </c>
      <c r="YZ12" s="7" t="n">
        <v>-1.92189155349358</v>
      </c>
      <c r="ZA12" s="7" t="n">
        <v>-0.955284639493884</v>
      </c>
      <c r="ZB12" s="7" t="n">
        <v>-0.5105977782611359</v>
      </c>
      <c r="ZC12" s="7" t="n">
        <v>-1.09208289890258</v>
      </c>
      <c r="ZD12" s="7" t="n">
        <v>1.59163595142181</v>
      </c>
      <c r="ZE12" s="7" t="n">
        <v>-0.663026518084387</v>
      </c>
      <c r="ZF12" s="7" t="n">
        <v>0.912336217252681</v>
      </c>
      <c r="ZG12" s="7" t="n">
        <v>1.65448464014154</v>
      </c>
      <c r="ZH12" s="7" t="n">
        <v>0.824471613073981</v>
      </c>
      <c r="ZI12" s="7" t="n">
        <v>-0.167648284696846</v>
      </c>
      <c r="ZJ12" s="7" t="n">
        <v>1.4087327477191</v>
      </c>
      <c r="ZK12" s="7" t="n">
        <v>1.78473244022958</v>
      </c>
      <c r="ZL12" s="7" t="n">
        <v>1.86249139426196</v>
      </c>
      <c r="ZM12" s="7" t="n">
        <v>-0.329480149520677</v>
      </c>
      <c r="ZN12" s="7" t="n">
        <v>-1.97373608671095</v>
      </c>
      <c r="ZO12" s="7" t="n">
        <v>1.63443729112621</v>
      </c>
      <c r="ZP12" s="7" t="n">
        <v>0.939572298308948</v>
      </c>
      <c r="ZQ12" s="7" t="n">
        <v>0.210330726954264</v>
      </c>
      <c r="ZR12" s="7" t="n">
        <v>2.06664859942269</v>
      </c>
      <c r="ZS12" s="7" t="n">
        <v>-0.713660159568935</v>
      </c>
      <c r="ZT12" s="7" t="n">
        <v>-0.754389513248498</v>
      </c>
      <c r="ZU12" s="7" t="n">
        <v>0.007918747530839799</v>
      </c>
      <c r="ZV12" s="7" t="n">
        <v>0.733302891179535</v>
      </c>
      <c r="ZW12" s="7" t="n">
        <v>0.6483701036391289</v>
      </c>
      <c r="ZX12" s="7" t="n">
        <v>-0.586358644209793</v>
      </c>
      <c r="ZY12" s="7" t="n">
        <v>2.35020622271341</v>
      </c>
      <c r="ZZ12" s="7" t="n">
        <v>-0.0160528717845973</v>
      </c>
      <c r="AAA12" s="7" t="n">
        <v>-1.91052932414024</v>
      </c>
      <c r="AAB12" s="7" t="n">
        <v>1.56628776193889</v>
      </c>
      <c r="AAC12" s="7" t="n">
        <v>-0.443789886480247</v>
      </c>
      <c r="AAD12" s="7" t="n">
        <v>2.10173404689085</v>
      </c>
      <c r="AAE12" s="7" t="n">
        <v>-1.52404031326547</v>
      </c>
      <c r="AAF12" s="7" t="n">
        <v>0.960824291612825</v>
      </c>
      <c r="AAG12" s="7" t="n">
        <v>2.05847113959322</v>
      </c>
      <c r="AAH12" s="7" t="n">
        <v>-0.846901013927763</v>
      </c>
      <c r="AAI12" s="7" t="n">
        <v>0.550120982795761</v>
      </c>
      <c r="AAJ12" s="7" t="n">
        <v>0.50908038186571</v>
      </c>
      <c r="AAK12" s="7" t="n">
        <v>-0.0294461424143339</v>
      </c>
      <c r="AAL12" s="7" t="n">
        <v>-0.267188669894933</v>
      </c>
      <c r="AAM12" s="7" t="n">
        <v>0.173346204550316</v>
      </c>
      <c r="AAN12" s="7" t="n">
        <v>0.648883105451314</v>
      </c>
      <c r="AAO12" s="7" t="n">
        <v>0.847905412464378</v>
      </c>
      <c r="AAP12" s="7" t="n">
        <v>-0.781991016298624</v>
      </c>
      <c r="AAQ12" s="7" t="n">
        <v>-0.514180112566719</v>
      </c>
      <c r="AAR12" s="7" t="n">
        <v>2.2026619055706</v>
      </c>
      <c r="AAS12" s="7" t="n">
        <v>0.421260272859814</v>
      </c>
      <c r="AAT12" s="7" t="n">
        <v>-2.25264769507252</v>
      </c>
      <c r="AAU12" s="7" t="n">
        <v>-2.64782537858158</v>
      </c>
      <c r="AAV12" s="7" t="n">
        <v>0.393979106322893</v>
      </c>
      <c r="AAW12" s="7" t="n">
        <v>-0.5506385339016669</v>
      </c>
      <c r="AAX12" s="7" t="n">
        <v>-1.50843341350582</v>
      </c>
      <c r="AAY12" s="7" t="n">
        <v>-1.76220539274676</v>
      </c>
      <c r="AAZ12" s="7" t="n">
        <v>-0.08572987193381169</v>
      </c>
      <c r="ABA12" s="7" t="n">
        <v>-0.653394877471882</v>
      </c>
      <c r="ABB12" s="7" t="n">
        <v>-0.008529589554544</v>
      </c>
      <c r="ABC12" s="7" t="n">
        <v>-0.316586766424532</v>
      </c>
      <c r="ABD12" s="7" t="n">
        <v>0.0798465032273297</v>
      </c>
      <c r="ABE12" s="7" t="n">
        <v>-2.11670776755856</v>
      </c>
      <c r="ABF12" s="7" t="n">
        <v>-1.09537392780278</v>
      </c>
      <c r="ABG12" s="7" t="n">
        <v>1.01141165146291</v>
      </c>
      <c r="ABH12" s="7" t="n">
        <v>1.39130454600579</v>
      </c>
      <c r="ABI12" s="7" t="n">
        <v>-1.4078365984858</v>
      </c>
      <c r="ABJ12" s="7" t="n">
        <v>0.886210209248894</v>
      </c>
      <c r="ABK12" s="7" t="n">
        <v>0.6720224583764119</v>
      </c>
      <c r="ABL12" s="7" t="n">
        <v>-0.313662305487474</v>
      </c>
      <c r="ABM12" s="7" t="n">
        <v>-0.110615782970625</v>
      </c>
      <c r="ABN12" s="7" t="n">
        <v>0.665730064066672</v>
      </c>
      <c r="ABO12" s="7" t="n">
        <v>0.183550304538468</v>
      </c>
      <c r="ABP12" s="7" t="n">
        <v>1.9644128695408</v>
      </c>
      <c r="ABQ12" s="7" t="n">
        <v>-0.142959821656955</v>
      </c>
      <c r="ABR12" s="7" t="n">
        <v>2.08600714350386</v>
      </c>
      <c r="ABS12" s="7" t="n">
        <v>-0.210308138681861</v>
      </c>
      <c r="ABT12" s="7" t="n">
        <v>-0.575777565476989</v>
      </c>
      <c r="ABU12" s="7" t="n">
        <v>0.208342515825754</v>
      </c>
      <c r="ABV12" s="7" t="n">
        <v>-1.70535548883419</v>
      </c>
      <c r="ABW12" s="7" t="n">
        <v>0.341140486626943</v>
      </c>
      <c r="ABX12" s="7" t="n">
        <v>-0.129184169541392</v>
      </c>
      <c r="ABY12" s="7" t="n">
        <v>-0.455880677749769</v>
      </c>
      <c r="ABZ12" s="7" t="n">
        <v>2.12659351360215</v>
      </c>
      <c r="ACA12" s="7" t="n">
        <v>-1.05518851659089</v>
      </c>
      <c r="ACB12" s="7" t="n">
        <v>1.16426154432938</v>
      </c>
      <c r="ACC12" s="7" t="n">
        <v>-0.716954481002229</v>
      </c>
      <c r="ACD12" s="7" t="n">
        <v>0.750520000144031</v>
      </c>
      <c r="ACE12" s="7" t="n">
        <v>-1.19829659218866</v>
      </c>
      <c r="ACF12" s="7" t="n">
        <v>1.23426852392999</v>
      </c>
      <c r="ACG12" s="7" t="n">
        <v>1.77901153389118</v>
      </c>
      <c r="ACH12" s="7" t="n">
        <v>0.0243411270947427</v>
      </c>
      <c r="ACI12" s="7" t="n">
        <v>2.38980822370419</v>
      </c>
      <c r="ACJ12" s="7" t="n">
        <v>0.808046854732186</v>
      </c>
      <c r="ACK12" s="7" t="n">
        <v>-1.06005327785781</v>
      </c>
      <c r="ACL12" s="7" t="n">
        <v>0.703732619424303</v>
      </c>
      <c r="ACM12" s="7" t="n">
        <v>-0.866774535836798</v>
      </c>
      <c r="ACN12" s="7" t="n">
        <v>0.634630090268781</v>
      </c>
      <c r="ACO12" s="7" t="n">
        <v>1.0036528743091</v>
      </c>
      <c r="ACP12" s="7" t="n">
        <v>1.03521552347708</v>
      </c>
      <c r="ACQ12" s="7" t="n">
        <v>-0.401404553771931</v>
      </c>
      <c r="ACR12" s="7" t="n">
        <v>-0.836402122924409</v>
      </c>
      <c r="ACS12" s="7" t="n">
        <v>-0.113543102255693</v>
      </c>
      <c r="ACT12" s="7" t="n">
        <v>-1.0121316494474</v>
      </c>
      <c r="ACU12" s="7" t="n">
        <v>-0.834134404311022</v>
      </c>
      <c r="ACV12" s="7" t="n">
        <v>-1.60993875770429</v>
      </c>
      <c r="ACW12" s="7" t="n">
        <v>1.30605156603398</v>
      </c>
      <c r="ACX12" s="7" t="n">
        <v>0.632358897547541</v>
      </c>
      <c r="ACY12" s="7" t="n">
        <v>1.14061882618548</v>
      </c>
      <c r="ACZ12" s="7" t="n">
        <v>-0.26707145160786</v>
      </c>
      <c r="ADA12" s="7" t="n">
        <v>-0.474766319079768</v>
      </c>
      <c r="ADB12" s="7" t="n">
        <v>-0.241372494926573</v>
      </c>
      <c r="ADC12" s="7" t="n">
        <v>0.80197851987038</v>
      </c>
      <c r="ADD12" s="7" t="n">
        <v>-1.21403920040597</v>
      </c>
      <c r="ADE12" s="7" t="n">
        <v>0.0501123796218466</v>
      </c>
      <c r="ADF12" s="7" t="n">
        <v>-1.59682887227545</v>
      </c>
      <c r="ADG12" s="7" t="n">
        <v>-1.03277808456808</v>
      </c>
      <c r="ADH12" s="7" t="n">
        <v>-0.676609811405441</v>
      </c>
      <c r="ADI12" s="7" t="n">
        <v>-0.358309328210881</v>
      </c>
      <c r="ADJ12" s="7" t="n">
        <v>-1.05310300033779</v>
      </c>
      <c r="ADK12" s="7" t="n">
        <v>-1.83804171176968</v>
      </c>
      <c r="ADL12" s="7" t="n">
        <v>-0.47987518377705</v>
      </c>
      <c r="ADM12" s="7" t="n">
        <v>1.28422803313663</v>
      </c>
      <c r="ADN12" s="7" t="n">
        <v>-1.15371827364861</v>
      </c>
      <c r="ADO12" s="7" t="n">
        <v>-1.43125269731723</v>
      </c>
      <c r="ADP12" s="7" t="n">
        <v>0.960874228733067</v>
      </c>
      <c r="ADQ12" s="7" t="n">
        <v>0.999059798883207</v>
      </c>
      <c r="ADR12" s="7" t="n">
        <v>0.0706363440324007</v>
      </c>
      <c r="ADS12" s="7" t="n">
        <v>-0.361848625516969</v>
      </c>
      <c r="ADT12" s="7" t="n">
        <v>2.05619927842274</v>
      </c>
      <c r="ADU12" s="7" t="n">
        <v>-0.657375273809542</v>
      </c>
      <c r="ADV12" s="7" t="n">
        <v>0.0841971586404674</v>
      </c>
      <c r="ADW12" s="7" t="n">
        <v>-2.12009135936528</v>
      </c>
      <c r="ADX12" s="7" t="n">
        <v>-0.144084849112968</v>
      </c>
      <c r="ADY12" s="7" t="n">
        <v>-0.147572205026456</v>
      </c>
      <c r="ADZ12" s="7" t="n">
        <v>0.90926666826706</v>
      </c>
      <c r="AEA12" s="7" t="n">
        <v>-1.01459943609945</v>
      </c>
      <c r="AEB12" s="7" t="n">
        <v>-0.343917469909019</v>
      </c>
      <c r="AEC12" s="7" t="n">
        <v>1.01552175834759</v>
      </c>
      <c r="AED12" s="7" t="n">
        <v>0.370628643119004</v>
      </c>
      <c r="AEE12" s="7" t="n">
        <v>-1.40558877946948</v>
      </c>
      <c r="AEF12" s="7" t="n">
        <v>0.176546924216495</v>
      </c>
      <c r="AEG12" s="7" t="n">
        <v>0.493359594525776</v>
      </c>
      <c r="AEH12" s="7" t="n">
        <v>-0.956322720309326</v>
      </c>
      <c r="AEI12" s="7" t="n">
        <v>0.190935419700479</v>
      </c>
      <c r="AEJ12" s="7" t="n">
        <v>0.0122432186933017</v>
      </c>
      <c r="AEK12" s="7" t="n">
        <v>-1.4818782731436</v>
      </c>
      <c r="AEL12" s="7" t="n">
        <v>-0.319334713754663</v>
      </c>
      <c r="AEM12" s="7" t="n">
        <v>-1.79863797443463</v>
      </c>
      <c r="AEN12" s="7" t="n">
        <v>-2.32995382907287</v>
      </c>
      <c r="AEO12" s="7" t="n">
        <v>0.1367924100545</v>
      </c>
      <c r="AEP12" s="7" t="n">
        <v>-0.553035326499728</v>
      </c>
      <c r="AEQ12" s="7" t="n">
        <v>-1.04713446282624</v>
      </c>
      <c r="AER12" s="7" t="n">
        <v>-0.217666386643647</v>
      </c>
      <c r="AES12" s="7" t="n">
        <v>0.76380447371299</v>
      </c>
      <c r="AET12" s="7" t="n">
        <v>-0.875639845959757</v>
      </c>
      <c r="AEU12" s="7" t="n">
        <v>0.929758974264017</v>
      </c>
      <c r="AEV12" s="7" t="n">
        <v>0.836429038588554</v>
      </c>
      <c r="AEW12" s="7" t="n">
        <v>0.943546317875852</v>
      </c>
      <c r="AEX12" s="7" t="n">
        <v>-0.113359532959256</v>
      </c>
      <c r="AEY12" s="7" t="n">
        <v>1.20698644670923</v>
      </c>
      <c r="AEZ12" s="7" t="n">
        <v>0.962809302985805</v>
      </c>
      <c r="AFA12" s="7" t="n">
        <v>-0.135930655888765</v>
      </c>
      <c r="AFB12" s="7" t="n">
        <v>0.234992841774631</v>
      </c>
      <c r="AFC12" s="7" t="n">
        <v>0.560719115453287</v>
      </c>
      <c r="AFD12" s="7" t="n">
        <v>1.61597132423515</v>
      </c>
      <c r="AFE12" s="7" t="n">
        <v>-0.502162367855076</v>
      </c>
      <c r="AFF12" s="7" t="n">
        <v>1.32908059594717</v>
      </c>
      <c r="AFG12" s="7" t="n">
        <v>1.25625975321251</v>
      </c>
      <c r="AFH12" s="7" t="n">
        <v>-1.15248770517946</v>
      </c>
      <c r="AFI12" s="7" t="n">
        <v>-0.887052228873265</v>
      </c>
      <c r="AFJ12" s="7" t="n">
        <v>1.18389828511585</v>
      </c>
      <c r="AFK12" s="7" t="n">
        <v>1.54623645505031</v>
      </c>
      <c r="AFL12" s="7" t="n">
        <v>-0.806730484943362</v>
      </c>
      <c r="AFM12" s="7" t="n">
        <v>-2.02025518952981</v>
      </c>
      <c r="AFN12" s="7" t="n">
        <v>-0.140150393915791</v>
      </c>
      <c r="AFO12" s="7" t="n">
        <v>0.237444156674776</v>
      </c>
      <c r="AFP12" s="7" t="n">
        <v>-0.180511724242992</v>
      </c>
      <c r="AFQ12" s="7" t="n">
        <v>0.860170639042814</v>
      </c>
      <c r="AFR12" s="7" t="n">
        <v>-0.918667547680099</v>
      </c>
      <c r="AFS12" s="7" t="n">
        <v>-1.05273142516122</v>
      </c>
      <c r="AFT12" s="7" t="n">
        <v>-1.30224105914005</v>
      </c>
      <c r="AFU12" s="7" t="n">
        <v>1.14380227957312</v>
      </c>
      <c r="AFV12" s="7" t="n">
        <v>1.31009554399774</v>
      </c>
      <c r="AFW12" s="7" t="n">
        <v>-0.672515631471867</v>
      </c>
      <c r="AFX12" s="7" t="n">
        <v>-1.28198392949082</v>
      </c>
      <c r="AFY12" s="7" t="n">
        <v>-1.42062565088417</v>
      </c>
      <c r="AFZ12" s="7" t="n">
        <v>1.68889834683196</v>
      </c>
      <c r="AGA12" s="7" t="n">
        <v>-0.310087491527137</v>
      </c>
      <c r="AGB12" s="7" t="n">
        <v>1.43732380501656</v>
      </c>
      <c r="AGC12" s="7" t="n">
        <v>-0.295071538574697</v>
      </c>
      <c r="AGD12" s="7" t="n">
        <v>0.766448311935416</v>
      </c>
      <c r="AGE12" s="7" t="n">
        <v>0.8578116092995129</v>
      </c>
      <c r="AGF12" s="7" t="n">
        <v>0.118534261925171</v>
      </c>
      <c r="AGG12" s="7" t="n">
        <v>-1.01004451158339</v>
      </c>
      <c r="AGH12" s="7" t="n">
        <v>-1.03272255981883</v>
      </c>
      <c r="AGI12" s="7" t="n">
        <v>1.13234885545394</v>
      </c>
      <c r="AGJ12" s="7" t="n">
        <v>-1.63892543582146</v>
      </c>
      <c r="AGK12" s="7" t="n">
        <v>0.0358056315392357</v>
      </c>
      <c r="AGL12" s="7" t="n">
        <v>0.369724269540874</v>
      </c>
      <c r="AGM12" s="7" t="n">
        <v>0.777493980122794</v>
      </c>
      <c r="AGN12" s="7" t="n">
        <v>-0.549284088285817</v>
      </c>
      <c r="AGO12" s="7" t="n">
        <v>-0.455151165761525</v>
      </c>
      <c r="AGP12" s="7" t="n">
        <v>-0.590986183097614</v>
      </c>
      <c r="AGQ12" s="7" t="n">
        <v>-0.0233831852564083</v>
      </c>
      <c r="AGR12" s="7" t="n">
        <v>-0.639589404324957</v>
      </c>
      <c r="AGS12" s="7" t="n">
        <v>-0.200682078794986</v>
      </c>
      <c r="AGT12" s="7" t="n">
        <v>-0.123389823211337</v>
      </c>
      <c r="AGU12" s="7" t="n">
        <v>0.0722613759493656</v>
      </c>
      <c r="AGV12" s="7" t="n">
        <v>-0.116454834354137</v>
      </c>
      <c r="AGW12" s="7" t="n">
        <v>1.39176043873888</v>
      </c>
      <c r="AGX12" s="7" t="n">
        <v>0.253925065775501</v>
      </c>
      <c r="AGY12" s="7" t="n">
        <v>1.86851321643635</v>
      </c>
      <c r="AGZ12" s="7" t="n">
        <v>0.824447526029833</v>
      </c>
      <c r="AHA12" s="7" t="n">
        <v>-1.34073819984223</v>
      </c>
      <c r="AHB12" s="7" t="n">
        <v>0.313046123165432</v>
      </c>
      <c r="AHC12" s="7" t="n">
        <v>-0.365717213466414</v>
      </c>
      <c r="AHD12" s="7" t="n">
        <v>-1.35317202377182</v>
      </c>
      <c r="AHE12" s="7" t="n">
        <v>-0.689625201375202</v>
      </c>
      <c r="AHF12" s="7" t="n">
        <v>0.146918596183671</v>
      </c>
      <c r="AHG12" s="7" t="n">
        <v>0.758298806096679</v>
      </c>
      <c r="AHH12" s="7" t="n">
        <v>-1.50382401794486</v>
      </c>
      <c r="AHI12" s="7" t="n">
        <v>1.34604820992098</v>
      </c>
      <c r="AHJ12" s="7" t="n">
        <v>-0.229566002740193</v>
      </c>
      <c r="AHK12" s="7" t="n">
        <v>1.91194221391226</v>
      </c>
      <c r="AHL12" s="7" t="n">
        <v>0.158170449917074</v>
      </c>
      <c r="AHM12" s="7" t="n">
        <v>-0.790296945506792</v>
      </c>
      <c r="AHN12" s="7" t="n">
        <v>0.389017258907064</v>
      </c>
      <c r="AHO12" s="7" t="n">
        <v>-0.655118197335823</v>
      </c>
      <c r="AHP12" s="7" t="n">
        <v>0.507515807844606</v>
      </c>
      <c r="AHQ12" s="7" t="n">
        <v>0.316601459687311</v>
      </c>
      <c r="AHR12" s="7" t="n">
        <v>-1.15575976737607</v>
      </c>
      <c r="AHS12" s="7" t="n">
        <v>1.0047475973956</v>
      </c>
      <c r="AHT12" s="7" t="n">
        <v>-1.72165544760218</v>
      </c>
      <c r="AHU12" s="7" t="n">
        <v>-0.658793543883929</v>
      </c>
      <c r="AHV12" s="7" t="n">
        <v>-1.73508263097315</v>
      </c>
      <c r="AHW12" s="7" t="n">
        <v>-1.66232463087388</v>
      </c>
      <c r="AHX12" s="7" t="n">
        <v>-1.01488156611324</v>
      </c>
      <c r="AHY12" s="7" t="n">
        <v>-0.9930372455588889</v>
      </c>
      <c r="AHZ12" s="7" t="n">
        <v>-0.148497919370807</v>
      </c>
      <c r="AIA12" s="7" t="n">
        <v>0.864447581295844</v>
      </c>
      <c r="AIB12" s="7" t="n">
        <v>-0.888216585281697</v>
      </c>
      <c r="AIC12" s="7" t="n">
        <v>-0.836527463465604</v>
      </c>
      <c r="AID12" s="7" t="n">
        <v>-1.91251039570114</v>
      </c>
      <c r="AIE12" s="7" t="n">
        <v>0.234254743340753</v>
      </c>
      <c r="AIF12" s="7" t="n">
        <v>0.122153987595729</v>
      </c>
      <c r="AIG12" s="7" t="n">
        <v>-0.930446248559782</v>
      </c>
      <c r="AIH12" s="7" t="n">
        <v>-0.22953574605689</v>
      </c>
      <c r="AII12" s="7" t="n">
        <v>-1.09429711580779</v>
      </c>
      <c r="AIJ12" s="7" t="n">
        <v>-1.36775396410793</v>
      </c>
      <c r="AIK12" s="7" t="n">
        <v>-0.307748340375081</v>
      </c>
      <c r="AIL12" s="7" t="n">
        <v>0.339573048555035</v>
      </c>
      <c r="AIM12" s="7" t="n">
        <v>-0.580851947497781</v>
      </c>
      <c r="AIN12" s="7" t="n">
        <v>-0.068855654880862</v>
      </c>
      <c r="AIO12" s="7" t="n">
        <v>0.165271882385979</v>
      </c>
      <c r="AIP12" s="7" t="n">
        <v>1.3709569836038</v>
      </c>
      <c r="AIQ12" s="7" t="n">
        <v>1.64555415812256</v>
      </c>
      <c r="AIR12" s="7" t="n">
        <v>-0.755616650012892</v>
      </c>
      <c r="AIS12" s="7" t="n">
        <v>1.95525692750668</v>
      </c>
      <c r="AIT12" s="7" t="n">
        <v>-0.937364322851053</v>
      </c>
      <c r="AIU12" s="7" t="n">
        <v>1.07782123379043</v>
      </c>
      <c r="AIV12" s="7" t="n">
        <v>-1.43933692529301</v>
      </c>
      <c r="AIW12" s="7" t="n">
        <v>0.8021882695936819</v>
      </c>
      <c r="AIX12" s="7" t="n">
        <v>0.658111146509652</v>
      </c>
      <c r="AIY12" s="7" t="n">
        <v>0.5333488618501</v>
      </c>
      <c r="AIZ12" s="7" t="n">
        <v>0.786243732492499</v>
      </c>
      <c r="AJA12" s="7" t="n">
        <v>-0.0355846307066786</v>
      </c>
      <c r="AJB12" s="7" t="n">
        <v>-0.51754604502957</v>
      </c>
      <c r="AJC12" s="7" t="n">
        <v>-0.916530705915371</v>
      </c>
      <c r="AJD12" s="7" t="n">
        <v>-0.15019593400682</v>
      </c>
      <c r="AJE12" s="7" t="n">
        <v>1.14485466406778</v>
      </c>
      <c r="AJF12" s="7" t="n">
        <v>0.696305470339204</v>
      </c>
      <c r="AJG12" s="7" t="n">
        <v>0.5482093524788439</v>
      </c>
      <c r="AJH12" s="7" t="n">
        <v>0.467142622598133</v>
      </c>
      <c r="AJI12" s="7" t="n">
        <v>0.180128693184391</v>
      </c>
      <c r="AJJ12" s="7" t="n">
        <v>-0.645672891233702</v>
      </c>
      <c r="AJK12" s="7" t="n">
        <v>1.31973971957418</v>
      </c>
      <c r="AJL12" s="7" t="n">
        <v>-1.4349559575855</v>
      </c>
      <c r="AJM12" s="7" t="n">
        <v>-0.29358291819709</v>
      </c>
      <c r="AJN12" s="7" t="n">
        <v>-0.227632775431477</v>
      </c>
      <c r="AJO12" s="7" t="n">
        <v>0.821787740500607</v>
      </c>
      <c r="AJP12" s="7" t="n">
        <v>1.19004136505633</v>
      </c>
      <c r="AJQ12" s="7" t="n">
        <v>-0.0943524294566308</v>
      </c>
      <c r="AJR12" s="7" t="n">
        <v>0.522123554611355</v>
      </c>
      <c r="AJS12" s="7" t="n">
        <v>1.46962138995996</v>
      </c>
      <c r="AJT12" s="7" t="n">
        <v>0.685055182560305</v>
      </c>
      <c r="AJU12" s="7" t="n">
        <v>-0.581428321188208</v>
      </c>
      <c r="AJV12" s="7" t="n">
        <v>0.290437282199829</v>
      </c>
      <c r="AJW12" s="7" t="n">
        <v>-0.391992563875259</v>
      </c>
      <c r="AJX12" s="7" t="n">
        <v>-1.92138176117867</v>
      </c>
      <c r="AJY12" s="7" t="n">
        <v>0.937205250182846</v>
      </c>
      <c r="AJZ12" s="7" t="n">
        <v>0.64043460933692</v>
      </c>
      <c r="AKA12" s="7" t="n">
        <v>-0.910344810816176</v>
      </c>
      <c r="AKB12" s="7" t="n">
        <v>-0.647594268078418</v>
      </c>
      <c r="AKC12" s="7" t="n">
        <v>1.82413931520774</v>
      </c>
      <c r="AKD12" s="7" t="n">
        <v>0.261450748985342</v>
      </c>
      <c r="AKE12" s="7" t="n">
        <v>0.09160231129449781</v>
      </c>
      <c r="AKF12" s="7" t="n">
        <v>1.29605477352688</v>
      </c>
      <c r="AKG12" s="7" t="n">
        <v>-0.450828088289783</v>
      </c>
      <c r="AKH12" s="7" t="n">
        <v>0.310526323393854</v>
      </c>
      <c r="AKI12" s="7" t="n">
        <v>-0.0906675597348426</v>
      </c>
      <c r="AKJ12" s="7" t="n">
        <v>-2.5271400973194</v>
      </c>
      <c r="AKK12" s="7" t="n">
        <v>2.76279356059758</v>
      </c>
      <c r="AKL12" s="7" t="n">
        <v>-1.12226480907493</v>
      </c>
      <c r="AKM12" s="7" t="n">
        <v>-0.991689628582341</v>
      </c>
      <c r="AKN12" s="7" t="n">
        <v>-3.65335306258933</v>
      </c>
      <c r="AKO12" s="7" t="n">
        <v>-0.514038444811084</v>
      </c>
      <c r="AKP12" s="7" t="n">
        <v>0.762877274841736</v>
      </c>
      <c r="AKQ12" s="7" t="n">
        <v>0.526402881833718</v>
      </c>
      <c r="AKR12" s="7" t="n">
        <v>-1.21344272066116</v>
      </c>
      <c r="AKS12" s="7" t="n">
        <v>-0.28309094137753</v>
      </c>
      <c r="AKT12" s="7" t="n">
        <v>0.0563778609336275</v>
      </c>
      <c r="AKU12" s="7" t="n">
        <v>-0.50304700243672</v>
      </c>
      <c r="AKV12" s="7" t="n">
        <v>-1.2900917456307</v>
      </c>
      <c r="AKW12" s="7" t="n">
        <v>-0.406780996591471</v>
      </c>
      <c r="AKX12" s="7" t="n">
        <v>0.598212099004866</v>
      </c>
      <c r="AKY12" s="7" t="n">
        <v>0.0697153977129796</v>
      </c>
      <c r="AKZ12" s="7" t="n">
        <v>0.7886937168603581</v>
      </c>
      <c r="ALA12" s="7" t="n">
        <v>-0.168927085031814</v>
      </c>
      <c r="ALB12" s="7" t="n">
        <v>0.950701070115158</v>
      </c>
      <c r="ALC12" s="7" t="n">
        <v>1.36207262555191</v>
      </c>
      <c r="ALD12" s="7" t="n">
        <v>1.19650112993161</v>
      </c>
      <c r="ALE12" s="7" t="n">
        <v>-0.323020093823311</v>
      </c>
      <c r="ALF12" s="7" t="n">
        <v>0.163138710417653</v>
      </c>
      <c r="ALG12" s="7" t="n">
        <v>-1.20798941376597</v>
      </c>
      <c r="ALH12" s="7" t="n">
        <v>0.115987780442576</v>
      </c>
      <c r="ALI12" s="7" t="n">
        <v>-0.846083486904728</v>
      </c>
      <c r="ALJ12" s="7" t="n">
        <v>-0.598253439872095</v>
      </c>
      <c r="ALK12" s="7" t="n">
        <v>1.97620987240226</v>
      </c>
      <c r="ALL12" s="7" t="n">
        <v>0.0675913645897238</v>
      </c>
      <c r="ALM12" s="7" t="n">
        <v>0.617162608068596</v>
      </c>
      <c r="ALN12" s="7" t="n">
        <v>-0.173223967480049</v>
      </c>
      <c r="ALO12" s="7" t="n">
        <v>-0.296847148891331</v>
      </c>
      <c r="ALP12" s="7" t="n">
        <v>-2.06226756852251</v>
      </c>
      <c r="ALQ12" s="7" t="n">
        <v>-0.727984114712793</v>
      </c>
      <c r="ALR12" s="7" t="n">
        <v>0.201837113078436</v>
      </c>
      <c r="ALS12" s="7" t="n">
        <v>-1.31974943031224</v>
      </c>
      <c r="ALT12" s="7" t="n">
        <v>-0.880943661017773</v>
      </c>
      <c r="ALU12" s="7" t="n">
        <v>-1.33555478546525</v>
      </c>
      <c r="ALV12" s="7" t="n">
        <v>-1.8002636684468</v>
      </c>
      <c r="ALW12" s="7" t="n">
        <v>0.0006296563792447</v>
      </c>
      <c r="ALX12" s="7" t="n">
        <v>-0.930760867610172</v>
      </c>
      <c r="ALY12" s="7" t="n">
        <v>-0.0624072769135903</v>
      </c>
      <c r="ALZ12" s="7" t="n">
        <v>-1.42461251899944</v>
      </c>
      <c r="AMA12" s="7" t="n">
        <v>-0.25890209984591</v>
      </c>
      <c r="AMB12" s="7" t="n">
        <v>0.962183122592552</v>
      </c>
      <c r="AMC12" s="7" t="n">
        <v>-0.0202872725466144</v>
      </c>
      <c r="AMD12" s="7" t="n">
        <v>0.98800426110904</v>
      </c>
      <c r="AME12" s="7" t="n">
        <v>-1.22092513328953</v>
      </c>
      <c r="AMF12" s="7" t="n">
        <v>0.859730362991365</v>
      </c>
      <c r="AMG12" s="7" t="n">
        <v>0.692001007307119</v>
      </c>
      <c r="AMH12" s="7" t="n">
        <v>1.00840619191957</v>
      </c>
      <c r="AMI12" s="7" t="n">
        <v>0.161037937595193</v>
      </c>
      <c r="AMJ12" s="7" t="n">
        <v>-0.578847804201691</v>
      </c>
      <c r="AMK12" s="7" t="n">
        <v>0.800372912980176</v>
      </c>
      <c r="AML12" s="7" t="n">
        <v>-1.44193354381084</v>
      </c>
      <c r="AMM12" s="7" t="n">
        <v>1.40145437881008</v>
      </c>
      <c r="AMN12" s="7" t="n">
        <v>-1.23756695569216</v>
      </c>
      <c r="AMO12" s="7" t="n">
        <v>-0.72923098929972</v>
      </c>
      <c r="AMP12" s="7" t="n">
        <v>0.266584565079858</v>
      </c>
      <c r="AMQ12" s="7" t="n">
        <v>0.243503087580772</v>
      </c>
      <c r="AMR12" s="7" t="n">
        <v>0.328318794008976</v>
      </c>
      <c r="AMS12" s="7" t="n">
        <v>0.583990738053869</v>
      </c>
      <c r="AMT12" s="7" t="n">
        <v>-0.601008578008252</v>
      </c>
      <c r="AMU12" s="7" t="n">
        <v>-0.668385842807438</v>
      </c>
      <c r="AMV12" s="7" t="n">
        <v>0.115060686399098</v>
      </c>
      <c r="AMW12" s="7" t="n">
        <v>-0.438269059339249</v>
      </c>
      <c r="AMX12" s="7" t="n">
        <v>1.64913997567468</v>
      </c>
      <c r="AMY12" s="7" t="n">
        <v>0.284263319605068</v>
      </c>
      <c r="AMZ12" s="7" t="n">
        <v>-1.93867487731331</v>
      </c>
      <c r="ANA12" s="7" t="n">
        <v>-0.754830074872727</v>
      </c>
      <c r="ANB12" s="7" t="n">
        <v>1.38472827144484</v>
      </c>
      <c r="ANC12" s="7" t="n">
        <v>-0.812757386105179</v>
      </c>
      <c r="AND12" s="7" t="n">
        <v>-0.364895269609891</v>
      </c>
      <c r="ANE12" s="7" t="n">
        <v>0.395187054974654</v>
      </c>
      <c r="ANF12" s="7" t="n">
        <v>1.79133912367692</v>
      </c>
      <c r="ANG12" s="7" t="n">
        <v>-0.561861209995755</v>
      </c>
      <c r="ANH12" s="7" t="n">
        <v>0.600508376448231</v>
      </c>
      <c r="ANI12" s="7" t="n">
        <v>2.16274704831834</v>
      </c>
      <c r="ANJ12" s="7" t="n">
        <v>-0.211424392425139</v>
      </c>
      <c r="ANK12" s="7" t="n">
        <v>1.11026932159535</v>
      </c>
      <c r="ANL12" s="7" t="n">
        <v>-0.5538752904341619</v>
      </c>
      <c r="ANM12" s="7" t="n">
        <v>0.264040588761598</v>
      </c>
      <c r="ANN12" s="7" t="n">
        <v>1.77977659287341</v>
      </c>
      <c r="ANO12" s="7" t="n">
        <v>1.3684382560728</v>
      </c>
      <c r="ANP12" s="7" t="n">
        <v>0.793922066892094</v>
      </c>
      <c r="ANQ12" s="7" t="n">
        <v>0.452307646028893</v>
      </c>
      <c r="ANR12" s="7" t="n">
        <v>-0.385976019438251</v>
      </c>
      <c r="ANS12" s="7" t="n">
        <v>-0.72196820777367</v>
      </c>
      <c r="ANT12" s="7" t="n">
        <v>0.508949782258089</v>
      </c>
      <c r="ANU12" s="7" t="n">
        <v>-0.937436841237368</v>
      </c>
      <c r="ANV12" s="7" t="n">
        <v>0.665960736364497</v>
      </c>
      <c r="ANW12" s="7" t="n">
        <v>0.5327515516361661</v>
      </c>
      <c r="ANX12" s="7" t="n">
        <v>-1.18833463760161</v>
      </c>
      <c r="ANY12" s="7" t="n">
        <v>0.6990243357395211</v>
      </c>
      <c r="ANZ12" s="7" t="n">
        <v>1.23232549102499</v>
      </c>
      <c r="AOA12" s="7" t="n">
        <v>-0.353822969445351</v>
      </c>
      <c r="AOB12" s="7" t="n">
        <v>0.623987410742786</v>
      </c>
      <c r="AOC12" s="7" t="n">
        <v>2.56633114322158</v>
      </c>
      <c r="AOD12" s="7" t="n">
        <v>0.842996044700059</v>
      </c>
      <c r="AOE12" s="7" t="n">
        <v>-0.507969129570583</v>
      </c>
      <c r="AOF12" s="7" t="n">
        <v>0.392543677991746</v>
      </c>
      <c r="AOG12" s="7" t="n">
        <v>-1.26878933226318</v>
      </c>
      <c r="AOH12" s="7" t="n">
        <v>-0.657487400679215</v>
      </c>
      <c r="AOI12" s="7" t="n">
        <v>1.53918270529479</v>
      </c>
      <c r="AOJ12" s="7" t="n">
        <v>-0.542895717546132</v>
      </c>
      <c r="AOK12" s="7" t="n">
        <v>0.190599060767728</v>
      </c>
      <c r="AOL12" s="7" t="n">
        <v>0.712648132581485</v>
      </c>
      <c r="AOM12" s="7" t="n">
        <v>2.08006838106647</v>
      </c>
      <c r="AON12" s="7" t="n">
        <v>0.527489358307543</v>
      </c>
      <c r="AOO12" s="7" t="n">
        <v>-0.201101652133868</v>
      </c>
      <c r="AOP12" s="7" t="n">
        <v>-1.5774695127478</v>
      </c>
      <c r="AOQ12" s="7" t="n">
        <v>1.38823055476516</v>
      </c>
      <c r="AOR12" s="7" t="n">
        <v>-0.898419616802876</v>
      </c>
      <c r="AOS12" s="7" t="n">
        <v>0.887096625983515</v>
      </c>
      <c r="AOT12" s="7" t="n">
        <v>-1.81521324628227</v>
      </c>
      <c r="AOU12" s="7" t="n">
        <v>-0.61430261880055</v>
      </c>
      <c r="AOV12" s="7" t="n">
        <v>-0.504453613188623</v>
      </c>
      <c r="AOW12" s="7" t="n">
        <v>0.944013135162181</v>
      </c>
      <c r="AOX12" s="7" t="n">
        <v>1.13842476764357</v>
      </c>
      <c r="AOY12" s="7" t="n">
        <v>-0.34905365170122</v>
      </c>
      <c r="AOZ12" s="7" t="n">
        <v>-1.58544407451625</v>
      </c>
      <c r="APA12" s="7" t="n">
        <v>-0.457781132029977</v>
      </c>
      <c r="APB12" s="7" t="n">
        <v>0.701362278117908</v>
      </c>
      <c r="APC12" s="7" t="n">
        <v>-0.297432550678743</v>
      </c>
      <c r="APD12" s="7" t="n">
        <v>-0.27660470164846</v>
      </c>
      <c r="APE12" s="7" t="n">
        <v>0.313995821790856</v>
      </c>
      <c r="APF12" s="7" t="n">
        <v>-1.21315706201643</v>
      </c>
      <c r="APG12" s="7" t="n">
        <v>0.5840405443568319</v>
      </c>
      <c r="APH12" s="7" t="n">
        <v>0.828461798853584</v>
      </c>
      <c r="API12" s="7" t="n">
        <v>0.512605953441402</v>
      </c>
      <c r="APJ12" s="7" t="n">
        <v>0.861823458081275</v>
      </c>
      <c r="APK12" s="7" t="n">
        <v>-1.2797648536238</v>
      </c>
      <c r="APL12" s="7" t="n">
        <v>1.5282861369929</v>
      </c>
      <c r="APM12" s="7" t="n">
        <v>-0.613301314366308</v>
      </c>
      <c r="APN12" s="7" t="n">
        <v>-0.34317165699828</v>
      </c>
      <c r="APO12" s="7" t="n">
        <v>-1.22233068166068</v>
      </c>
      <c r="APP12" s="7" t="n">
        <v>0.0463793084861596</v>
      </c>
      <c r="APQ12" s="7" t="n">
        <v>-0.365240348864233</v>
      </c>
      <c r="APR12" s="7" t="n">
        <v>0.197201542952784</v>
      </c>
      <c r="APS12" s="7" t="n">
        <v>0.0364089043483782</v>
      </c>
      <c r="APT12" s="7" t="n">
        <v>-0.39944719414575</v>
      </c>
      <c r="APU12" s="7" t="n">
        <v>0.194948808780011</v>
      </c>
      <c r="APV12" s="7" t="n">
        <v>0.239221367334667</v>
      </c>
      <c r="APW12" s="7" t="n">
        <v>-0.961088987983853</v>
      </c>
      <c r="APX12" s="7" t="n">
        <v>-0.293986340236151</v>
      </c>
      <c r="APY12" s="7" t="n">
        <v>-0.5363139711820371</v>
      </c>
      <c r="APZ12" s="7" t="n">
        <v>0.464213611286291</v>
      </c>
      <c r="AQA12" s="7" t="n">
        <v>1.80413210741391</v>
      </c>
      <c r="AQB12" s="7" t="n">
        <v>-1.22941344390343</v>
      </c>
      <c r="AQC12" s="7" t="n">
        <v>0.0371348282563589</v>
      </c>
      <c r="AQD12" s="7" t="n">
        <v>0.526670739223333</v>
      </c>
      <c r="AQE12" s="7" t="n">
        <v>2.22895336914338</v>
      </c>
      <c r="AQF12" s="7" t="n">
        <v>-0.826936011366877</v>
      </c>
      <c r="AQG12" s="7" t="n">
        <v>2.13854932558987</v>
      </c>
      <c r="AQH12" s="7" t="n">
        <v>0.151614709020173</v>
      </c>
      <c r="AQI12" s="7" t="n">
        <v>-0.829359606124445</v>
      </c>
      <c r="AQJ12" s="7" t="n">
        <v>0.272965119375002</v>
      </c>
      <c r="AQK12" s="7" t="n">
        <v>0.515855924837483</v>
      </c>
      <c r="AQL12" s="7" t="n">
        <v>0.432986852488947</v>
      </c>
      <c r="AQM12" s="7" t="n">
        <v>1.11142259518279</v>
      </c>
      <c r="AQN12" s="7" t="n">
        <v>0.409391702837963</v>
      </c>
      <c r="AQO12" s="7" t="n">
        <v>-0.677413813697847</v>
      </c>
      <c r="AQP12" s="7" t="n">
        <v>-0.322903121321097</v>
      </c>
      <c r="AQQ12" s="7" t="n">
        <v>-1.43130153770583</v>
      </c>
      <c r="AQR12" s="7" t="n">
        <v>0.740415677346002</v>
      </c>
      <c r="AQS12" s="7" t="n">
        <v>-0.8930486412662541</v>
      </c>
      <c r="AQT12" s="7" t="n">
        <v>0.0171530524530709</v>
      </c>
      <c r="AQU12" s="7" t="n">
        <v>1.71154929875944</v>
      </c>
      <c r="AQV12" s="7" t="n">
        <v>0.196044910884103</v>
      </c>
      <c r="AQW12" s="7" t="n">
        <v>-0.249097537247757</v>
      </c>
      <c r="AQX12" s="7" t="n">
        <v>-1.01605556638668</v>
      </c>
      <c r="AQY12" s="7" t="n">
        <v>-1.04817331050164</v>
      </c>
      <c r="AQZ12" s="7" t="n">
        <v>1.12009179913177</v>
      </c>
      <c r="ARA12" s="7" t="n">
        <v>-0.6163045565220761</v>
      </c>
      <c r="ARB12" s="7" t="n">
        <v>-0.809292817754002</v>
      </c>
      <c r="ARC12" s="7" t="n">
        <v>-0.337739620563405</v>
      </c>
      <c r="ARD12" s="7" t="n">
        <v>-0.0581292955994824</v>
      </c>
      <c r="ARE12" s="7" t="n">
        <v>1.09081627843425</v>
      </c>
      <c r="ARF12" s="7" t="n">
        <v>-0.0752033368238665</v>
      </c>
      <c r="ARG12" s="7" t="n">
        <v>-0.07731311269047859</v>
      </c>
      <c r="ARH12" s="7" t="n">
        <v>1.8229039280563</v>
      </c>
      <c r="ARI12" s="7" t="n">
        <v>-0.0371249263642218</v>
      </c>
      <c r="ARJ12" s="7" t="n">
        <v>-0.324450152216606</v>
      </c>
      <c r="ARK12" s="7" t="n">
        <v>-0.862845177265719</v>
      </c>
      <c r="ARL12" s="7" t="n">
        <v>-1.92310107038153</v>
      </c>
      <c r="ARM12" s="7" t="n">
        <v>-0.75829236465312</v>
      </c>
      <c r="ARN12" s="7" t="n">
        <v>0.991674103892924</v>
      </c>
      <c r="ARO12" s="7" t="n">
        <v>-0.289069739615711</v>
      </c>
      <c r="ARP12" s="7" t="n">
        <v>-0.517976377172002</v>
      </c>
      <c r="ARQ12" s="7" t="n">
        <v>-0.0215015422727511</v>
      </c>
      <c r="ARR12" s="7" t="n">
        <v>1.07147546728315</v>
      </c>
      <c r="ARS12" s="7" t="n">
        <v>0.6943025215691681</v>
      </c>
      <c r="ART12" s="7" t="n">
        <v>-0.100056257566988</v>
      </c>
      <c r="ARU12" s="7" t="n">
        <v>1.23006330370201</v>
      </c>
      <c r="ARV12" s="7" t="n">
        <v>1.16482567066747</v>
      </c>
      <c r="ARW12" s="7" t="n">
        <v>-0.560315423748959</v>
      </c>
      <c r="ARX12" s="7" t="n">
        <v>-1.05906922774658</v>
      </c>
      <c r="ARY12" s="7" t="n">
        <v>0.480821826514267</v>
      </c>
      <c r="ARZ12" s="7" t="n">
        <v>0.379461398955548</v>
      </c>
      <c r="ASA12" s="7" t="n">
        <v>-0.0457907239622898</v>
      </c>
      <c r="ASB12" s="7" t="n">
        <v>-0.174393752408002</v>
      </c>
      <c r="ASC12" s="7" t="n">
        <v>0.434430092413898</v>
      </c>
      <c r="ASD12" s="7" t="n">
        <v>-2.13509413745675</v>
      </c>
      <c r="ASE12" s="7" t="n">
        <v>-0.490687383492817</v>
      </c>
      <c r="ASF12" s="7" t="n">
        <v>-0.259138559064298</v>
      </c>
      <c r="ASG12" s="7" t="n">
        <v>1.5610504568536</v>
      </c>
      <c r="ASH12" s="7" t="n">
        <v>0.196745167778701</v>
      </c>
      <c r="ASI12" s="7" t="n">
        <v>0.574901149286094</v>
      </c>
      <c r="ASJ12" s="7" t="n">
        <v>-1.25518594404015</v>
      </c>
      <c r="ASK12" s="7" t="n">
        <v>-0.621235558203676</v>
      </c>
      <c r="ASL12" s="7" t="n">
        <v>-0.5079918366298199</v>
      </c>
      <c r="ASM12" s="7" t="n">
        <v>-1.12647870590734</v>
      </c>
      <c r="ASN12" s="7" t="n">
        <v>-1.06281657350669</v>
      </c>
      <c r="ASO12" s="7" t="n">
        <v>-0.0467477248160963</v>
      </c>
      <c r="ASP12" s="7" t="n">
        <v>-0.200090365633878</v>
      </c>
      <c r="ASQ12" s="7" t="n">
        <v>0.389334435749884</v>
      </c>
      <c r="ASR12" s="7" t="n">
        <v>-0.0942243900681328</v>
      </c>
      <c r="ASS12" s="7" t="n">
        <v>0.661944283141643</v>
      </c>
      <c r="AST12" s="7" t="n">
        <v>-1.24692922420911</v>
      </c>
      <c r="ASU12" s="7" t="n">
        <v>-0.868656563934431</v>
      </c>
      <c r="ASV12" s="7" t="n">
        <v>-0.568606798906899</v>
      </c>
      <c r="ASW12" s="7" t="n">
        <v>-0.07528260960586031</v>
      </c>
      <c r="ASX12" s="7" t="n">
        <v>-0.829854060432356</v>
      </c>
      <c r="ASY12" s="7" t="n">
        <v>-0.142152664728165</v>
      </c>
      <c r="ASZ12" s="7" t="n">
        <v>0.009520295050304699</v>
      </c>
      <c r="ATA12" s="7" t="n">
        <v>0.879001302246883</v>
      </c>
      <c r="ATB12" s="7" t="n">
        <v>0.0259441165143317</v>
      </c>
      <c r="ATC12" s="7" t="n">
        <v>-0.8132858991877</v>
      </c>
      <c r="ATD12" s="7" t="n">
        <v>0.163432766719508</v>
      </c>
      <c r="ATE12" s="7" t="n">
        <v>1.59982390310035</v>
      </c>
      <c r="ATF12" s="7" t="n">
        <v>-1.81307533812317</v>
      </c>
      <c r="ATG12" s="7" t="n">
        <v>-2.27532361430654</v>
      </c>
      <c r="ATH12" s="7" t="n">
        <v>1.43148676635266</v>
      </c>
      <c r="ATI12" s="7" t="n">
        <v>0.288693976543186</v>
      </c>
      <c r="ATJ12" s="7" t="n">
        <v>0.503368397074909</v>
      </c>
      <c r="ATK12" s="7" t="n">
        <v>-0.194140925961664</v>
      </c>
      <c r="ATL12" s="7" t="n">
        <v>-1.19171140250444</v>
      </c>
      <c r="ATM12" s="7" t="n">
        <v>0.06769672521338881</v>
      </c>
      <c r="ATN12" s="7" t="n">
        <v>-0.0348191780396781</v>
      </c>
      <c r="ATO12" s="7" t="n">
        <v>1.07489353757262</v>
      </c>
      <c r="ATP12" s="7" t="n">
        <v>-1.13394622731303</v>
      </c>
      <c r="ATQ12" s="7" t="n">
        <v>1.66841460474575</v>
      </c>
      <c r="ATR12" s="7" t="n">
        <v>0.258439840148954</v>
      </c>
      <c r="ATS12" s="7" t="n">
        <v>-0.015564906879717</v>
      </c>
      <c r="ATT12" s="7" t="n">
        <v>0.408822066280639</v>
      </c>
      <c r="ATU12" s="7" t="n">
        <v>-0.448159484923974</v>
      </c>
      <c r="ATV12" s="7" t="n">
        <v>-1.27286430218108</v>
      </c>
      <c r="ATW12" s="7" t="n">
        <v>1.5962793616307</v>
      </c>
      <c r="ATX12" s="7" t="n">
        <v>-1.2956019631716</v>
      </c>
      <c r="ATY12" s="7" t="n">
        <v>-1.26455605651527</v>
      </c>
      <c r="ATZ12" s="7" t="n">
        <v>1.03112140068091</v>
      </c>
      <c r="AUA12" s="7" t="n">
        <v>-0.84453603031832</v>
      </c>
      <c r="AUB12" s="7" t="n">
        <v>-0.811969770099059</v>
      </c>
      <c r="AUC12" s="7" t="n">
        <v>0.902697387959006</v>
      </c>
      <c r="AUD12" s="7" t="n">
        <v>1.23106137672913</v>
      </c>
      <c r="AUE12" s="7" t="n">
        <v>2.2243724595702</v>
      </c>
      <c r="AUF12" s="7" t="n">
        <v>0.585674479350705</v>
      </c>
      <c r="AUG12" s="7" t="n">
        <v>0.570833775216549</v>
      </c>
      <c r="AUH12" s="7" t="n">
        <v>-0.604319244519444</v>
      </c>
      <c r="AUI12" s="7" t="n">
        <v>-1.33478649662126</v>
      </c>
      <c r="AUJ12" s="7" t="n">
        <v>0.247459270338057</v>
      </c>
      <c r="AUK12" s="7" t="n">
        <v>0.149414248176932</v>
      </c>
      <c r="AUL12" s="7" t="n">
        <v>0.0974912441339337</v>
      </c>
      <c r="AUM12" s="7" t="n">
        <v>-1.16905214491461</v>
      </c>
      <c r="AUN12" s="7" t="n">
        <v>0.882139866076244</v>
      </c>
      <c r="AUO12" s="7" t="n">
        <v>-0.313529165056529</v>
      </c>
      <c r="AUP12" s="7" t="n">
        <v>-0.639465277783725</v>
      </c>
      <c r="AUQ12" s="7" t="n">
        <v>0.9399824883192091</v>
      </c>
      <c r="AUR12" s="7" t="n">
        <v>0.237018261768706</v>
      </c>
      <c r="AUS12" s="7" t="n">
        <v>-0.368284546621241</v>
      </c>
      <c r="AUT12" s="7" t="n">
        <v>0.961496329182202</v>
      </c>
      <c r="AUU12" s="7" t="n">
        <v>-0.311723704230205</v>
      </c>
      <c r="AUV12" s="7" t="n">
        <v>-0.538701873807847</v>
      </c>
      <c r="AUW12" s="7" t="n">
        <v>-0.669853608569597</v>
      </c>
      <c r="AUX12" s="7" t="n">
        <v>-0.645611052228438</v>
      </c>
      <c r="AUY12" s="7" t="n">
        <v>0.721859367122107</v>
      </c>
      <c r="AUZ12" s="7" t="n">
        <v>1.41263538491876</v>
      </c>
      <c r="AVA12" s="7" t="n">
        <v>0.110981829899753</v>
      </c>
      <c r="AVB12" s="7" t="n">
        <v>0.432109004983893</v>
      </c>
      <c r="AVC12" s="7" t="n">
        <v>0.151250739097082</v>
      </c>
      <c r="AVD12" s="7" t="n">
        <v>-1.35675203671612</v>
      </c>
      <c r="AVE12" s="7" t="n">
        <v>0.384605103539455</v>
      </c>
      <c r="AVF12" s="7" t="n">
        <v>-0.20750299847688</v>
      </c>
      <c r="AVG12" s="7" t="n">
        <v>1.51445590820268</v>
      </c>
      <c r="AVH12" s="7" t="n">
        <v>0.662498863080602</v>
      </c>
      <c r="AVI12" s="7" t="n">
        <v>-0.5532763394179681</v>
      </c>
      <c r="AVJ12" s="7" t="n">
        <v>-0.886157266803457</v>
      </c>
      <c r="AVK12" s="7" t="n">
        <v>2.05837216455126</v>
      </c>
      <c r="AVL12" s="7" t="n">
        <v>-1.52240344471414</v>
      </c>
      <c r="AVM12" s="7" t="n">
        <v>-0.820648798490672</v>
      </c>
      <c r="AVN12" s="7" t="n">
        <v>-0.101868282395918</v>
      </c>
      <c r="AVO12" s="7" t="n">
        <v>0.999544323369323</v>
      </c>
      <c r="AVP12" s="7" t="n">
        <v>0.438056634982397</v>
      </c>
      <c r="AVQ12" s="7" t="n">
        <v>0.702822808523902</v>
      </c>
      <c r="AVR12" s="7" t="n">
        <v>1.10052239401923</v>
      </c>
      <c r="AVS12" s="7" t="n">
        <v>-1.42236470040591</v>
      </c>
      <c r="AVT12" s="7" t="n">
        <v>-0.0440945468830459</v>
      </c>
      <c r="AVU12" s="7" t="n">
        <v>0.0912994083544198</v>
      </c>
      <c r="AVV12" s="7" t="n">
        <v>-1.59232980223665</v>
      </c>
      <c r="AVW12" s="7" t="n">
        <v>1.2518433648711</v>
      </c>
      <c r="AVX12" s="7" t="n">
        <v>-1.0763670650016</v>
      </c>
      <c r="AVY12" s="7" t="n">
        <v>1.31421483024522</v>
      </c>
      <c r="AVZ12" s="7" t="n">
        <v>0.328015944692001</v>
      </c>
      <c r="AWA12" s="7" t="n">
        <v>0.562561478954734</v>
      </c>
      <c r="AWB12" s="7" t="n">
        <v>-0.517994735065362</v>
      </c>
      <c r="AWC12" s="7" t="n">
        <v>0.171882806561978</v>
      </c>
      <c r="AWD12" s="7" t="n">
        <v>0.823063219061602</v>
      </c>
      <c r="AWE12" s="7" t="n">
        <v>1.57329459530938</v>
      </c>
      <c r="AWF12" s="7" t="n">
        <v>0.113957522781676</v>
      </c>
      <c r="AWG12" s="7" t="n">
        <v>-1.49773965527348</v>
      </c>
      <c r="AWH12" s="7" t="n">
        <v>1.48757433210088</v>
      </c>
      <c r="AWI12" s="7" t="n">
        <v>0.0191038645120793</v>
      </c>
      <c r="AWJ12" s="7" t="n">
        <v>0.651954287450396</v>
      </c>
      <c r="AWK12" s="7" t="n">
        <v>2.33290908498655</v>
      </c>
      <c r="AWL12" s="7" t="n">
        <v>-0.537714144631309</v>
      </c>
      <c r="AWM12" s="7" t="n">
        <v>0.290292110251827</v>
      </c>
      <c r="AWN12" s="7" t="n">
        <v>1.44649873701544</v>
      </c>
      <c r="AWO12" s="7" t="n">
        <v>0.397135188091964</v>
      </c>
      <c r="AWP12" s="7" t="n">
        <v>0.472251877397413</v>
      </c>
      <c r="AWQ12" s="7" t="n">
        <v>-0.990454282107899</v>
      </c>
      <c r="AWR12" s="7" t="n">
        <v>-0.688512030703135</v>
      </c>
      <c r="AWS12" s="7" t="n">
        <v>0.0563139257391976</v>
      </c>
      <c r="AWT12" s="7" t="n">
        <v>2.15056776908695</v>
      </c>
      <c r="AWU12" s="7" t="n">
        <v>0.30641043672013</v>
      </c>
      <c r="AWV12" s="7" t="n">
        <v>1.40656536598113</v>
      </c>
      <c r="AWW12" s="7" t="n">
        <v>0.238244477393314</v>
      </c>
      <c r="AWX12" s="7" t="n">
        <v>-0.276581736381431</v>
      </c>
      <c r="AWY12" s="7" t="n">
        <v>-1.16878648694461</v>
      </c>
      <c r="AWZ12" s="7" t="n">
        <v>0.997623762636633</v>
      </c>
      <c r="AXA12" s="7" t="n">
        <v>-1.31330165056837</v>
      </c>
      <c r="AXB12" s="7" t="n">
        <v>-1.16106552210084</v>
      </c>
      <c r="AXC12" s="7" t="n">
        <v>2.44654524250729</v>
      </c>
      <c r="AXD12" s="7" t="n">
        <v>-1.15197266490737</v>
      </c>
      <c r="AXE12" s="7" t="n">
        <v>-1.39780327798419</v>
      </c>
      <c r="AXF12" s="7" t="n">
        <v>-1.18445750509826</v>
      </c>
      <c r="AXG12" s="7" t="n">
        <v>-0.355040828476515</v>
      </c>
      <c r="AXH12" s="7" t="n">
        <v>0.582134633217303</v>
      </c>
      <c r="AXI12" s="7" t="n">
        <v>0.716608352722369</v>
      </c>
      <c r="AXJ12" s="7" t="n">
        <v>0.917909337176175</v>
      </c>
      <c r="AXK12" s="7" t="n">
        <v>-0.495314390776726</v>
      </c>
      <c r="AXL12" s="7" t="n">
        <v>-0.484297394977574</v>
      </c>
      <c r="AXM12" s="7" t="n">
        <v>-0.44135315025863</v>
      </c>
      <c r="AXN12" s="7" t="n">
        <v>0.615590988168078</v>
      </c>
      <c r="AXO12" s="7" t="n">
        <v>-0.19024399627611</v>
      </c>
      <c r="AXP12" s="7" t="n">
        <v>-0.649216661922956</v>
      </c>
      <c r="AXQ12" s="7" t="n">
        <v>-1.08342703759716</v>
      </c>
      <c r="AXR12" s="7" t="n">
        <v>-0.06479627918212701</v>
      </c>
      <c r="AXS12" s="7" t="n">
        <v>-0.690944811056958</v>
      </c>
      <c r="AXT12" s="7" t="n">
        <v>-1.02357006049192</v>
      </c>
      <c r="AXU12" s="7" t="n">
        <v>0.432765324575107</v>
      </c>
      <c r="AXV12" s="7" t="n">
        <v>0.717001926816466</v>
      </c>
      <c r="AXW12" s="7" t="n">
        <v>-0.513337878221229</v>
      </c>
      <c r="AXX12" s="7" t="n">
        <v>-0.173204703074029</v>
      </c>
      <c r="AXY12" s="7" t="n">
        <v>-1.02664627348594</v>
      </c>
      <c r="AXZ12" s="7" t="n">
        <v>-0.208384892331689</v>
      </c>
      <c r="AYA12" s="7" t="n">
        <v>-0.0686612733478615</v>
      </c>
      <c r="AYB12" s="7" t="n">
        <v>-1.25434131519108</v>
      </c>
      <c r="AYC12" s="7" t="n">
        <v>1.10964497053584</v>
      </c>
      <c r="AYD12" s="7" t="n">
        <v>-0.527978545031657</v>
      </c>
      <c r="AYE12" s="7" t="n">
        <v>-0.09531640136512889</v>
      </c>
      <c r="AYF12" s="7" t="n">
        <v>-0.583860410827607</v>
      </c>
      <c r="AYG12" s="7" t="n">
        <v>0.488080082190525</v>
      </c>
      <c r="AYH12" s="7" t="n">
        <v>1.48826185258308</v>
      </c>
      <c r="AYI12" s="7" t="n">
        <v>2.26620236698394</v>
      </c>
      <c r="AYJ12" s="7" t="n">
        <v>0.297732845888361</v>
      </c>
      <c r="AYK12" s="7" t="n">
        <v>-0.218807575884204</v>
      </c>
      <c r="AYL12" s="7" t="n">
        <v>-0.0335618446133655</v>
      </c>
      <c r="AYM12" s="7" t="n">
        <v>0.432756335143399</v>
      </c>
      <c r="AYN12" s="7" t="n">
        <v>1.12440714402209</v>
      </c>
      <c r="AYO12" s="7" t="n">
        <v>0.921655460507568</v>
      </c>
      <c r="AYP12" s="7" t="n">
        <v>0.497961173157097</v>
      </c>
      <c r="AYQ12" s="7" t="n">
        <v>-0.787334655474018</v>
      </c>
      <c r="AYR12" s="7" t="n">
        <v>1.35245810887154</v>
      </c>
      <c r="AYS12" s="7" t="n">
        <v>1.31259155632666</v>
      </c>
      <c r="AYT12" s="7" t="n">
        <v>1.3766115335339</v>
      </c>
      <c r="AYU12" s="7" t="n">
        <v>-0.571213373949659</v>
      </c>
      <c r="AYV12" s="7" t="n">
        <v>0.267584329360957</v>
      </c>
      <c r="AYW12" s="7" t="n">
        <v>0.252632139850023</v>
      </c>
      <c r="AYX12" s="7" t="n">
        <v>-1.07073099929199</v>
      </c>
      <c r="AYY12" s="7" t="n">
        <v>0.193026058594126</v>
      </c>
      <c r="AYZ12" s="7" t="n">
        <v>0.353079637869961</v>
      </c>
      <c r="AZA12" s="7" t="n">
        <v>0.28505264512803</v>
      </c>
      <c r="AZB12" s="7" t="n">
        <v>1.44488886768973</v>
      </c>
      <c r="AZC12" s="7" t="n">
        <v>0.0493128804692549</v>
      </c>
      <c r="AZD12" s="7" t="n">
        <v>-0.7024687826063331</v>
      </c>
      <c r="AZE12" s="7" t="n">
        <v>-0.437663051479913</v>
      </c>
      <c r="AZF12" s="7" t="n">
        <v>0.249768526222231</v>
      </c>
      <c r="AZG12" s="7" t="n">
        <v>-0.06851752931230221</v>
      </c>
      <c r="AZH12" s="7" t="n">
        <v>-0.72720318735783</v>
      </c>
      <c r="AZI12" s="7" t="n">
        <v>1.94507936258373</v>
      </c>
      <c r="AZJ12" s="7" t="n">
        <v>0.340881702593596</v>
      </c>
      <c r="AZK12" s="7" t="n">
        <v>2.72068662663857</v>
      </c>
      <c r="AZL12" s="7" t="n">
        <v>-0.312107624686617</v>
      </c>
      <c r="AZM12" s="7" t="n">
        <v>-1.43414173502762</v>
      </c>
      <c r="AZN12" s="7" t="n">
        <v>0.469305914500686</v>
      </c>
      <c r="AZO12" s="7" t="n">
        <v>0.832077802361566</v>
      </c>
      <c r="AZP12" s="7" t="n">
        <v>-1.24325954388142</v>
      </c>
      <c r="AZQ12" s="7" t="n">
        <v>0.81541334474546</v>
      </c>
      <c r="AZR12" s="7" t="n">
        <v>0.800775567024551</v>
      </c>
      <c r="AZS12" s="7" t="n">
        <v>-0.243955286819828</v>
      </c>
      <c r="AZT12" s="7" t="n">
        <v>0.644168136210012</v>
      </c>
      <c r="AZU12" s="7" t="n">
        <v>1.5160567590816</v>
      </c>
      <c r="AZV12" s="7" t="n">
        <v>-0.800689058852696</v>
      </c>
      <c r="AZW12" s="7" t="n">
        <v>0.264840412294198</v>
      </c>
      <c r="AZX12" s="7" t="n">
        <v>-0.509007585931175</v>
      </c>
      <c r="AZY12" s="7" t="n">
        <v>-0.65558014478905</v>
      </c>
      <c r="AZZ12" s="7" t="n">
        <v>0.832983161440554</v>
      </c>
      <c r="BAA12" s="7" t="n">
        <v>0.131505746342672</v>
      </c>
      <c r="BAB12" s="7" t="n">
        <v>0.693112885267715</v>
      </c>
      <c r="BAC12" s="7" t="n">
        <v>-1.55689916893028</v>
      </c>
      <c r="BAD12" s="7" t="n">
        <v>0.229663872948028</v>
      </c>
      <c r="BAE12" s="7" t="n">
        <v>1.44231846995453</v>
      </c>
      <c r="BAF12" s="7" t="n">
        <v>0.271084741951126</v>
      </c>
      <c r="BAG12" s="7" t="n">
        <v>0.8048149127351</v>
      </c>
      <c r="BAH12" s="7" t="n">
        <v>0.0505375305228509</v>
      </c>
      <c r="BAI12" s="7" t="n">
        <v>-0.251259811456665</v>
      </c>
      <c r="BAJ12" s="7" t="n">
        <v>0.6025412557037</v>
      </c>
      <c r="BAK12" s="7" t="n">
        <v>1.67911901849874</v>
      </c>
      <c r="BAL12" s="7" t="n">
        <v>0.760825993921835</v>
      </c>
      <c r="BAM12" s="7" t="n">
        <v>0.840452300750182</v>
      </c>
      <c r="BAN12" s="7" t="n">
        <v>-0.648014545348772</v>
      </c>
      <c r="BAO12" s="7" t="n">
        <v>0.252866163214954</v>
      </c>
      <c r="BAP12" s="7" t="n">
        <v>0.184362473864895</v>
      </c>
      <c r="BAQ12" s="7" t="n">
        <v>-0.340731295569969</v>
      </c>
      <c r="BAR12" s="7" t="n">
        <v>0.332144047789627</v>
      </c>
      <c r="BAS12" s="7" t="n">
        <v>0.158166036776568</v>
      </c>
      <c r="BAT12" s="7" t="n">
        <v>-0.0156076660034785</v>
      </c>
      <c r="BAU12" s="7" t="n">
        <v>0.958866404308821</v>
      </c>
      <c r="BAV12" s="7" t="n">
        <v>-1.37485921093421</v>
      </c>
      <c r="BAW12" s="7" t="n">
        <v>2.2320673548759</v>
      </c>
      <c r="BAX12" s="7" t="n">
        <v>-0.29253676956154</v>
      </c>
      <c r="BAY12" s="7" t="n">
        <v>0.0168372116867742</v>
      </c>
      <c r="BAZ12" s="7" t="n">
        <v>0.275177932804324</v>
      </c>
      <c r="BBA12" s="7" t="n">
        <v>1.71552375802975</v>
      </c>
      <c r="BBB12" s="7" t="n">
        <v>-1.40695161699387</v>
      </c>
      <c r="BBC12" s="7" t="n">
        <v>-0.442815259401793</v>
      </c>
      <c r="BBD12" s="7" t="n">
        <v>1.16008158003904</v>
      </c>
      <c r="BBE12" s="7" t="n">
        <v>-1.15637700910857</v>
      </c>
      <c r="BBF12" s="7" t="n">
        <v>1.07004152369114</v>
      </c>
      <c r="BBG12" s="7" t="n">
        <v>-0.564999972237714</v>
      </c>
      <c r="BBH12" s="7" t="n">
        <v>-0.5003274406072</v>
      </c>
      <c r="BBI12" s="7" t="n">
        <v>0.297609453165564</v>
      </c>
      <c r="BBJ12" s="7" t="n">
        <v>-2.66298036516034</v>
      </c>
      <c r="BBK12" s="7" t="n">
        <v>-0.530703426643386</v>
      </c>
      <c r="BBL12" s="7" t="n">
        <v>0.101368903162235</v>
      </c>
      <c r="BBM12" s="7" t="n">
        <v>-0.795048924355947</v>
      </c>
      <c r="BBN12" s="7" t="n">
        <v>-0.155167019918559</v>
      </c>
      <c r="BBO12" s="7" t="n">
        <v>1.02333991803465</v>
      </c>
      <c r="BBP12" s="7" t="n">
        <v>0.498751975991021</v>
      </c>
      <c r="BBQ12" s="7" t="n">
        <v>0.914935355903346</v>
      </c>
      <c r="BBR12" s="7" t="n">
        <v>-0.166280035224935</v>
      </c>
      <c r="BBS12" s="7" t="n">
        <v>-2.53998422932566</v>
      </c>
      <c r="BBT12" s="7" t="n">
        <v>0.68086031201997</v>
      </c>
      <c r="BBU12" s="7" t="n">
        <v>1.0887454994442</v>
      </c>
      <c r="BBV12" s="7" t="n">
        <v>1.40314020770581</v>
      </c>
      <c r="BBW12" s="7" t="n">
        <v>2.04680602941204</v>
      </c>
      <c r="BBX12" s="7" t="n">
        <v>0.613530565879678</v>
      </c>
      <c r="BBY12" s="7" t="n">
        <v>1.37074237010855</v>
      </c>
      <c r="BBZ12" s="7" t="n">
        <v>-0.64139800095622</v>
      </c>
      <c r="BCA12" s="7" t="n">
        <v>-0.251025386854422</v>
      </c>
      <c r="BCB12" s="7" t="n">
        <v>0.5344575989054841</v>
      </c>
      <c r="BCC12" s="7" t="n">
        <v>-0.0323459666422758</v>
      </c>
      <c r="BCD12" s="7" t="n">
        <v>2.291079437361</v>
      </c>
      <c r="BCE12" s="7" t="n">
        <v>1.20236107694349</v>
      </c>
      <c r="BCF12" s="7" t="n">
        <v>-0.385888377015983</v>
      </c>
      <c r="BCG12" s="7" t="n">
        <v>-0.645997318408073</v>
      </c>
      <c r="BCH12" s="7" t="n">
        <v>-0.261434308267682</v>
      </c>
      <c r="BCI12" s="7" t="n">
        <v>0.570532113908064</v>
      </c>
      <c r="BCJ12" s="7" t="n">
        <v>0.700018933244307</v>
      </c>
      <c r="BCK12" s="7" t="n">
        <v>1.31975911161369</v>
      </c>
      <c r="BCL12" s="7" t="n">
        <v>-0.284891270735518</v>
      </c>
      <c r="BCM12" s="7" t="n">
        <v>1.31396364200808</v>
      </c>
      <c r="BCN12" s="7" t="n">
        <v>0.466883153797261</v>
      </c>
      <c r="BCO12" s="7" t="n">
        <v>-1.14629498667149</v>
      </c>
      <c r="BCP12" s="7" t="n">
        <v>0.255723754485741</v>
      </c>
      <c r="BCQ12" s="7" t="n">
        <v>1.39515308258</v>
      </c>
      <c r="BCR12" s="7" t="n">
        <v>0.466593198023558</v>
      </c>
      <c r="BCS12" s="7" t="n">
        <v>0.906687554478509</v>
      </c>
      <c r="BCT12" s="7" t="n">
        <v>-0.311678536002738</v>
      </c>
      <c r="BCU12" s="7" t="n">
        <v>0.690030249511818</v>
      </c>
      <c r="BCV12" s="7" t="n">
        <v>0.774440509907847</v>
      </c>
      <c r="BCW12" s="7" t="n">
        <v>-0.409451996957706</v>
      </c>
      <c r="BCX12" s="7" t="n">
        <v>-1.37810427640569</v>
      </c>
      <c r="BCY12" s="7" t="n">
        <v>-0.265953081647496</v>
      </c>
      <c r="BCZ12" s="7" t="n">
        <v>0.388068793609119</v>
      </c>
      <c r="BDA12" s="7" t="n">
        <v>0.9594989380636459</v>
      </c>
      <c r="BDB12" s="7" t="n">
        <v>-0.140345476229039</v>
      </c>
      <c r="BDC12" s="7" t="n">
        <v>0.729812855946591</v>
      </c>
      <c r="BDD12" s="7" t="n">
        <v>0.714706642123892</v>
      </c>
      <c r="BDE12" s="7" t="n">
        <v>0.377346549741144</v>
      </c>
      <c r="BDF12" s="7" t="n">
        <v>-0.774299623533159</v>
      </c>
      <c r="BDG12" s="7" t="n">
        <v>-1.16071224549938</v>
      </c>
      <c r="BDH12" s="7" t="n">
        <v>-0.08011734281512541</v>
      </c>
      <c r="BDI12" s="7" t="n">
        <v>1.58640484579097</v>
      </c>
      <c r="BDJ12" s="7" t="n">
        <v>-0.2706964184418</v>
      </c>
      <c r="BDK12" s="7" t="n">
        <v>0.242578118115153</v>
      </c>
      <c r="BDL12" s="7" t="n">
        <v>1.6540535445737</v>
      </c>
      <c r="BDM12" s="7" t="n">
        <v>-1.67208325360404</v>
      </c>
      <c r="BDN12" s="7" t="n">
        <v>0.0782602449640115</v>
      </c>
      <c r="BDO12" s="7" t="n">
        <v>0.541453614441995</v>
      </c>
      <c r="BDP12" s="7" t="n">
        <v>-1.73003270654786</v>
      </c>
      <c r="BDQ12" s="7" t="n">
        <v>0.570202707492017</v>
      </c>
      <c r="BDR12" s="7" t="n">
        <v>-1.64132182418232</v>
      </c>
      <c r="BDS12" s="7" t="n">
        <v>-0.934603820533041</v>
      </c>
      <c r="BDT12" s="7" t="n">
        <v>-2.47588086757e-05</v>
      </c>
      <c r="BDU12" s="7" t="n">
        <v>-0.385798904661882</v>
      </c>
      <c r="BDV12" s="7" t="n">
        <v>1.15531638836283</v>
      </c>
      <c r="BDW12" s="7" t="n">
        <v>-0.0342219343609354</v>
      </c>
      <c r="BDX12" s="7" t="n">
        <v>-0.949311754165678</v>
      </c>
      <c r="BDY12" s="7" t="n">
        <v>-0.207867599968608</v>
      </c>
      <c r="BDZ12" s="7" t="n">
        <v>-0.354628372709427</v>
      </c>
      <c r="BEA12" s="7" t="n">
        <v>1.12442999942483</v>
      </c>
      <c r="BEB12" s="7" t="n">
        <v>-0.843933052119168</v>
      </c>
      <c r="BEC12" s="7" t="n">
        <v>0.338950043845997</v>
      </c>
      <c r="BED12" s="7" t="n">
        <v>1.25221448922388</v>
      </c>
      <c r="BEE12" s="7" t="n">
        <v>0.5126266178368371</v>
      </c>
      <c r="BEF12" s="7" t="n">
        <v>-0.706485299750982</v>
      </c>
      <c r="BEG12" s="7" t="n">
        <v>0.584917271650009</v>
      </c>
      <c r="BEH12" s="7" t="n">
        <v>0.618252097555718</v>
      </c>
      <c r="BEI12" s="7" t="n">
        <v>-0.774781600613767</v>
      </c>
      <c r="BEJ12" s="7" t="n">
        <v>1.21350771966162</v>
      </c>
      <c r="BEK12" s="7" t="n">
        <v>0.5361707449634791</v>
      </c>
      <c r="BEL12" s="7" t="n">
        <v>2.02297003327648</v>
      </c>
      <c r="BEM12" s="7" t="n">
        <v>0.513242334743874</v>
      </c>
      <c r="BEN12" s="7" t="n">
        <v>-1.76723522999399</v>
      </c>
      <c r="BEO12" s="7" t="n">
        <v>1.65390595785156</v>
      </c>
      <c r="BEP12" s="7" t="n">
        <v>-1.56731580375196</v>
      </c>
      <c r="BEQ12" s="7" t="n">
        <v>1.30329706954219</v>
      </c>
      <c r="BER12" s="7" t="n">
        <v>2.06947675861607</v>
      </c>
      <c r="BES12" s="7" t="n">
        <v>0.133509503126725</v>
      </c>
      <c r="BET12" s="7" t="n">
        <v>-1.56694202279674</v>
      </c>
      <c r="BEU12" s="7" t="n">
        <v>-1.47334869043345</v>
      </c>
      <c r="BEV12" s="7" t="n">
        <v>0.0544074978826527</v>
      </c>
      <c r="BEW12" s="7" t="n">
        <v>-0.413301098921702</v>
      </c>
      <c r="BEX12" s="7" t="n">
        <v>1.65792059970317</v>
      </c>
      <c r="BEY12" s="7" t="n">
        <v>-0.37349251580939</v>
      </c>
      <c r="BEZ12" s="7" t="n">
        <v>1.4267537739144</v>
      </c>
      <c r="BFA12" s="7" t="n">
        <v>-1.57194145869345</v>
      </c>
      <c r="BFB12" s="7" t="n">
        <v>1.41533780215486</v>
      </c>
      <c r="BFC12" s="7" t="n">
        <v>-1.75268726747587</v>
      </c>
      <c r="BFD12" s="7" t="n">
        <v>2.31116354550821</v>
      </c>
      <c r="BFE12" s="7" t="n">
        <v>2.64010074977143</v>
      </c>
      <c r="BFF12" s="7" t="n">
        <v>0.109098340146058</v>
      </c>
      <c r="BFG12" s="7" t="n">
        <v>1.05610120526937</v>
      </c>
      <c r="BFH12" s="7" t="n">
        <v>1.64173205335659</v>
      </c>
      <c r="BFI12" s="7" t="n">
        <v>1.15899794459518</v>
      </c>
      <c r="BFJ12" s="7" t="n">
        <v>0.2790247016986</v>
      </c>
      <c r="BFK12" s="7" t="n">
        <v>-0.629478406488198</v>
      </c>
      <c r="BFL12" s="7" t="n">
        <v>-1.00594160554691</v>
      </c>
      <c r="BFM12" s="7" t="n">
        <v>1.08719530258207</v>
      </c>
      <c r="BFN12" s="7" t="n">
        <v>0.329707640593828</v>
      </c>
      <c r="BFO12" s="7" t="n">
        <v>1.6841197476345</v>
      </c>
      <c r="BFP12" s="7" t="n">
        <v>-0.842658631995275</v>
      </c>
      <c r="BFQ12" s="7" t="n">
        <v>0.625926666336125</v>
      </c>
      <c r="BFR12" s="7" t="n">
        <v>0.525481743136726</v>
      </c>
      <c r="BFS12" s="7" t="n">
        <v>1.16670691851491</v>
      </c>
      <c r="BFT12" s="7" t="n">
        <v>0.349062544273548</v>
      </c>
      <c r="BFU12" s="7" t="n">
        <v>1.0691015640457</v>
      </c>
      <c r="BFV12" s="7" t="n">
        <v>0.249168098047801</v>
      </c>
      <c r="BFW12" s="7" t="n">
        <v>1.17119994274326</v>
      </c>
      <c r="BFX12" s="7" t="n">
        <v>-0.931470435646762</v>
      </c>
      <c r="BFY12" s="7" t="n">
        <v>1.63137056983104</v>
      </c>
      <c r="BFZ12" s="7" t="n">
        <v>0.32695361290454</v>
      </c>
      <c r="BGA12" s="7" t="n">
        <v>1.92819159469381</v>
      </c>
      <c r="BGB12" s="7" t="n">
        <v>0.0566983583576625</v>
      </c>
      <c r="BGC12" s="7" t="n">
        <v>0.866753541095875</v>
      </c>
      <c r="BGD12" s="7" t="n">
        <v>1.72802267295481</v>
      </c>
      <c r="BGE12" s="7" t="n">
        <v>0.799918639316022</v>
      </c>
      <c r="BGF12" s="7" t="n">
        <v>0.276810768896702</v>
      </c>
      <c r="BGG12" s="7" t="n">
        <v>0.07759376373050431</v>
      </c>
      <c r="BGH12" s="7" t="n">
        <v>-0.627725716942428</v>
      </c>
      <c r="BGI12" s="7" t="n">
        <v>-1.83782135837904</v>
      </c>
      <c r="BGJ12" s="7" t="n">
        <v>0.466754901626323</v>
      </c>
      <c r="BGK12" s="7" t="n">
        <v>-1.5549617594137</v>
      </c>
      <c r="BGL12" s="7" t="n">
        <v>1.19541480329421</v>
      </c>
      <c r="BGM12" s="7" t="n">
        <v>-0.368641540241058</v>
      </c>
      <c r="BGN12" s="7" t="n">
        <v>0.436860884333043</v>
      </c>
      <c r="BGO12" s="7" t="n">
        <v>-0.265432932799908</v>
      </c>
      <c r="BGP12" s="7" t="n">
        <v>0.6014295870358199</v>
      </c>
      <c r="BGQ12" s="7" t="n">
        <v>1.15636255818862</v>
      </c>
      <c r="BGR12" s="7" t="n">
        <v>-0.348811194535008</v>
      </c>
      <c r="BGS12" s="7" t="n">
        <v>1.72974241948113</v>
      </c>
      <c r="BGT12" s="7" t="n">
        <v>-0.242970258341064</v>
      </c>
      <c r="BGU12" s="7" t="n">
        <v>0.776064531303993</v>
      </c>
      <c r="BGV12" s="7" t="n">
        <v>-1.86610738778164</v>
      </c>
      <c r="BGW12" s="7" t="n">
        <v>2.10691452309955</v>
      </c>
      <c r="BGX12" s="7" t="n">
        <v>-0.42014091271377</v>
      </c>
      <c r="BGY12" s="7" t="n">
        <v>-0.70859935522985</v>
      </c>
      <c r="BGZ12" s="7" t="n">
        <v>0.443989055078076</v>
      </c>
      <c r="BHA12" s="7" t="n">
        <v>-0.181367053578015</v>
      </c>
      <c r="BHB12" s="7" t="n">
        <v>0.391582550919391</v>
      </c>
      <c r="BHC12" s="7" t="n">
        <v>-0.653027950022095</v>
      </c>
      <c r="BHD12" s="7" t="n">
        <v>0.331842457361762</v>
      </c>
      <c r="BHE12" s="7" t="n">
        <v>0.889774433445207</v>
      </c>
      <c r="BHF12" s="7" t="n">
        <v>-0.601396727727168</v>
      </c>
      <c r="BHG12" s="7" t="n">
        <v>0.339256922485904</v>
      </c>
      <c r="BHH12" s="7" t="n">
        <v>-0.451778502700238</v>
      </c>
      <c r="BHI12" s="7" t="n">
        <v>-0.7873040999804199</v>
      </c>
      <c r="BHJ12" s="7" t="n">
        <v>0.335856799698813</v>
      </c>
      <c r="BHK12" s="7" t="n">
        <v>1.80072099432853</v>
      </c>
      <c r="BHL12" s="7" t="n">
        <v>0.0226752151512676</v>
      </c>
      <c r="BHM12" s="7" t="n">
        <v>0.405564147792249</v>
      </c>
      <c r="BHN12" s="7" t="n">
        <v>0.943814038855424</v>
      </c>
      <c r="BHO12" s="7" t="n">
        <v>-0.108161460267087</v>
      </c>
      <c r="BHP12" s="7" t="n">
        <v>-0.474144605168619</v>
      </c>
      <c r="BHQ12" s="7" t="n">
        <v>-0.824787895614415</v>
      </c>
      <c r="BHR12" s="7" t="n">
        <v>0.8403393693343501</v>
      </c>
      <c r="BHS12" s="7" t="n">
        <v>-0.631575691566318</v>
      </c>
      <c r="BHT12" s="7" t="n">
        <v>-0.495744943285551</v>
      </c>
      <c r="BHU12" s="7" t="n">
        <v>1.50616542653429</v>
      </c>
      <c r="BHV12" s="7" t="n">
        <v>0.0471318478054139</v>
      </c>
      <c r="BHW12" s="7" t="n">
        <v>1.08704236623803</v>
      </c>
      <c r="BHX12" s="7" t="n">
        <v>-0.0285020756955995</v>
      </c>
      <c r="BHY12" s="7" t="n">
        <v>1.47949123321582</v>
      </c>
      <c r="BHZ12" s="7" t="n">
        <v>0.556896911153973</v>
      </c>
      <c r="BIA12" s="7" t="n">
        <v>0.507808896920226</v>
      </c>
      <c r="BIB12" s="7" t="n">
        <v>-0.572616996515011</v>
      </c>
      <c r="BIC12" s="7" t="n">
        <v>-0.593619122923367</v>
      </c>
      <c r="BID12" s="7" t="n">
        <v>-0.418008902426429</v>
      </c>
      <c r="BIE12" s="7" t="n">
        <v>-1.08615094575535</v>
      </c>
      <c r="BIF12" s="7" t="n">
        <v>-0.283509178912951</v>
      </c>
      <c r="BIG12" s="7" t="n">
        <v>-0.105597787580458</v>
      </c>
      <c r="BIH12" s="7" t="n">
        <v>-0.853588819605909</v>
      </c>
      <c r="BII12" s="7" t="n">
        <v>-1.65910058645994</v>
      </c>
      <c r="BIJ12" s="7" t="n">
        <v>-1.20334198234938</v>
      </c>
      <c r="BIK12" s="7" t="n">
        <v>1.02458037416531</v>
      </c>
      <c r="BIL12" s="7" t="n">
        <v>0.675395089905178</v>
      </c>
      <c r="BIM12" s="7" t="n">
        <v>2.5092123650155</v>
      </c>
      <c r="BIN12" s="7" t="n">
        <v>0.828892062594669</v>
      </c>
      <c r="BIO12" s="7" t="n">
        <v>1.41015335485597</v>
      </c>
      <c r="BIP12" s="7" t="n">
        <v>-0.688704478568022</v>
      </c>
      <c r="BIQ12" s="7" t="n">
        <v>0.552804864104078</v>
      </c>
      <c r="BIR12" s="7" t="n">
        <v>-0.42209936056665</v>
      </c>
      <c r="BIS12" s="7" t="n">
        <v>-1.76963276487555</v>
      </c>
      <c r="BIT12" s="7" t="n">
        <v>-1.15181808084533</v>
      </c>
      <c r="BIU12" s="7" t="n">
        <v>1.26618230777292</v>
      </c>
      <c r="BIV12" s="7" t="n">
        <v>0.0787935959322027</v>
      </c>
      <c r="BIW12" s="7" t="n">
        <v>0.132038227040834</v>
      </c>
      <c r="BIX12" s="7" t="n">
        <v>0.190880465086792</v>
      </c>
      <c r="BIY12" s="7" t="n">
        <v>-0.461533086159819</v>
      </c>
      <c r="BIZ12" s="7" t="n">
        <v>-1.97267809409182</v>
      </c>
      <c r="BJA12" s="7" t="n">
        <v>1.92876543734375</v>
      </c>
      <c r="BJB12" s="7" t="n">
        <v>0.155582440761798</v>
      </c>
      <c r="BJC12" s="7" t="n">
        <v>0.619805856510936</v>
      </c>
      <c r="BJD12" s="7" t="n">
        <v>0.380323546051515</v>
      </c>
      <c r="BJE12" s="7" t="n">
        <v>1.14583720516891</v>
      </c>
      <c r="BJF12" s="7" t="n">
        <v>-0.434012524649789</v>
      </c>
      <c r="BJG12" s="7" t="n">
        <v>0.54219628141815</v>
      </c>
      <c r="BJH12" s="7" t="n">
        <v>0.385613049864051</v>
      </c>
      <c r="BJI12" s="7" t="n">
        <v>0.427723957487757</v>
      </c>
      <c r="BJJ12" s="7" t="n">
        <v>-0.71694404918441</v>
      </c>
      <c r="BJK12" s="7" t="n">
        <v>0.59124429128658</v>
      </c>
      <c r="BJL12" s="7" t="n">
        <v>-1.04946319626548</v>
      </c>
      <c r="BJM12" s="7" t="n">
        <v>0.152162205547142</v>
      </c>
      <c r="BJN12" s="7" t="n">
        <v>0.115551313327196</v>
      </c>
      <c r="BJO12" s="7" t="n">
        <v>0.657083811461053</v>
      </c>
      <c r="BJP12" s="7" t="n">
        <v>0.10061088988446</v>
      </c>
      <c r="BJQ12" s="7" t="n">
        <v>0.9506283495704549</v>
      </c>
      <c r="BJR12" s="7" t="n">
        <v>2.24505166716799</v>
      </c>
      <c r="BJS12" s="7" t="n">
        <v>-0.205030969222061</v>
      </c>
      <c r="BJT12" s="7" t="n">
        <v>0.604375971518002</v>
      </c>
      <c r="BJU12" s="7" t="n">
        <v>0.175636360707508</v>
      </c>
      <c r="BJV12" s="7" t="n">
        <v>0.436238811538654</v>
      </c>
      <c r="BJW12" s="7" t="n">
        <v>-0.163614695159258</v>
      </c>
      <c r="BJX12" s="7" t="n">
        <v>0.335655450340259</v>
      </c>
      <c r="BJY12" s="7" t="n">
        <v>0.13573029052258</v>
      </c>
      <c r="BJZ12" s="7" t="n">
        <v>1.12945206926975</v>
      </c>
      <c r="BKA12" s="7" t="n">
        <v>0.0252309421004401</v>
      </c>
      <c r="BKB12" s="7" t="n">
        <v>1.74467904076891</v>
      </c>
      <c r="BKC12" s="7" t="n">
        <v>-1.39877336372157</v>
      </c>
      <c r="BKD12" s="7" t="n">
        <v>0.260452932353999</v>
      </c>
      <c r="BKE12" s="7" t="n">
        <v>0.141371884462885</v>
      </c>
      <c r="BKF12" s="7" t="n">
        <v>0.0598857734517759</v>
      </c>
      <c r="BKG12" s="7" t="n">
        <v>-1.57918243323032</v>
      </c>
      <c r="BKH12" s="7" t="n">
        <v>0.8068049693764821</v>
      </c>
      <c r="BKI12" s="7" t="n">
        <v>-1.43800366728722</v>
      </c>
      <c r="BKJ12" s="7" t="n">
        <v>-0.0064136922264758</v>
      </c>
      <c r="BKK12" s="7" t="n">
        <v>0.0076236013881674</v>
      </c>
      <c r="BKL12" s="7" t="n">
        <v>0.507106619423318</v>
      </c>
      <c r="BKM12" s="7" t="n">
        <v>0.829350265894166</v>
      </c>
      <c r="BKN12" s="7" t="n">
        <v>-1.62100276978222</v>
      </c>
      <c r="BKO12" s="7" t="n">
        <v>-0.664761962838248</v>
      </c>
      <c r="BKP12" s="7" t="n">
        <v>1.14335812453812</v>
      </c>
      <c r="BKQ12" s="7" t="n">
        <v>-0.218910815128006</v>
      </c>
      <c r="BKR12" s="7" t="n">
        <v>-0.681645925523342</v>
      </c>
      <c r="BKS12" s="7" t="n">
        <v>0.196039759010945</v>
      </c>
      <c r="BKT12" s="7" t="n">
        <v>-0.821967701666224</v>
      </c>
      <c r="BKU12" s="7" t="n">
        <v>0.551592288002769</v>
      </c>
      <c r="BKV12" s="7" t="n">
        <v>-0.178576959703778</v>
      </c>
      <c r="BKW12" s="7" t="n">
        <v>-1.22517713905079</v>
      </c>
      <c r="BKX12" s="7" t="n">
        <v>-0.725717628517879</v>
      </c>
      <c r="BKY12" s="7" t="n">
        <v>-0.435532122150319</v>
      </c>
      <c r="BKZ12" s="7" t="n">
        <v>0.757255641487133</v>
      </c>
      <c r="BLA12" s="7" t="n">
        <v>0.937527638244509</v>
      </c>
      <c r="BLB12" s="7" t="n">
        <v>1.84740095842568</v>
      </c>
      <c r="BLC12" s="7" t="n">
        <v>-0.909683182697489</v>
      </c>
      <c r="BLD12" s="7" t="n">
        <v>0.745008377790491</v>
      </c>
      <c r="BLE12" s="7" t="n">
        <v>1.3528815570498</v>
      </c>
      <c r="BLF12" s="7" t="n">
        <v>0.375542299571962</v>
      </c>
      <c r="BLG12" s="7" t="n">
        <v>-1.0041630389317</v>
      </c>
      <c r="BLH12" s="7" t="n">
        <v>-0.173227770312242</v>
      </c>
      <c r="BLI12" s="7" t="n">
        <v>-0.772890451717365</v>
      </c>
      <c r="BLJ12" s="7" t="n">
        <v>-1.29447514967203</v>
      </c>
      <c r="BLK12" s="7" t="n">
        <v>-1.87659833146004</v>
      </c>
      <c r="BLL12" s="7" t="n">
        <v>-0.629108349039465</v>
      </c>
      <c r="BLM12" s="7" t="n">
        <v>0.9797827517150181</v>
      </c>
      <c r="BLN12" s="7" t="n">
        <v>-1.10700307311034</v>
      </c>
      <c r="BLO12" s="7" t="n">
        <v>-0.633213662869504</v>
      </c>
      <c r="BLP12" s="7" t="n">
        <v>-0.383423430416119</v>
      </c>
      <c r="BLQ12" s="7" t="n">
        <v>-0.911730412929326</v>
      </c>
      <c r="BLR12" s="7" t="n">
        <v>0.403362329117927</v>
      </c>
      <c r="BLS12" s="7" t="n">
        <v>-0.131233802218684</v>
      </c>
      <c r="BLT12" s="7" t="n">
        <v>-0.106070031791453</v>
      </c>
      <c r="BLU12" s="7" t="n">
        <v>-0.374488029972207</v>
      </c>
      <c r="BLV12" s="7" t="n">
        <v>-1.22974728358077</v>
      </c>
      <c r="BLW12" s="7" t="n">
        <v>-2.2928161657822</v>
      </c>
      <c r="BLX12" s="7" t="n">
        <v>-1.26240312386615</v>
      </c>
      <c r="BLY12" s="7" t="n">
        <v>0.608236947676898</v>
      </c>
      <c r="BLZ12" s="7" t="n">
        <v>-0.127522224445311</v>
      </c>
      <c r="BMA12" s="7" t="n">
        <v>1.34337880232781</v>
      </c>
      <c r="BMB12" s="7" t="n">
        <v>-1.59244387829563</v>
      </c>
      <c r="BMC12" s="7" t="n">
        <v>-0.0768151308135137</v>
      </c>
      <c r="BMD12" s="7" t="n">
        <v>0.590879098135091</v>
      </c>
      <c r="BME12" s="7" t="n">
        <v>-1.05293002684242</v>
      </c>
      <c r="BMF12" s="7" t="n">
        <v>-1.12159263888765</v>
      </c>
      <c r="BMG12" s="7" t="n">
        <v>-0.576191818595958</v>
      </c>
      <c r="BMH12" s="7" t="n">
        <v>-1.98477434932917</v>
      </c>
      <c r="BMI12" s="7" t="n">
        <v>-1.818246408809</v>
      </c>
      <c r="BMJ12" s="7" t="n">
        <v>-1.2113088206981</v>
      </c>
      <c r="BMK12" s="7" t="n">
        <v>0.331965119731035</v>
      </c>
      <c r="BML12" s="7" t="n">
        <v>0.09956255702477421</v>
      </c>
      <c r="BMM12" s="7" t="n">
        <v>0.276499635032898</v>
      </c>
      <c r="BMN12" s="7" t="n">
        <v>-1.05031216956989</v>
      </c>
      <c r="BMO12" s="7" t="n">
        <v>-0.77119860543723</v>
      </c>
      <c r="BMP12" s="7" t="n">
        <v>0.43732778574331</v>
      </c>
      <c r="BMQ12" s="7" t="n">
        <v>0.302788046778762</v>
      </c>
      <c r="BMR12" s="7" t="n">
        <v>0.504824658981576</v>
      </c>
      <c r="BMS12" s="7" t="n">
        <v>1.11954337912188</v>
      </c>
      <c r="BMT12" s="7" t="n">
        <v>-0.786129703610253</v>
      </c>
      <c r="BMU12" s="7" t="n">
        <v>0.362972448189343</v>
      </c>
      <c r="BMV12" s="7" t="n">
        <v>0.923080581695081</v>
      </c>
      <c r="BMW12" s="7" t="n">
        <v>-0.243471721998595</v>
      </c>
      <c r="BMX12" s="7" t="n">
        <v>-0.49226252833657</v>
      </c>
      <c r="BMY12" s="7" t="n">
        <v>-2.13405857882779</v>
      </c>
      <c r="BMZ12" s="7" t="n">
        <v>0.008662181147313999</v>
      </c>
      <c r="BNA12" s="7" t="n">
        <v>-1.16423234749992</v>
      </c>
      <c r="BNB12" s="7" t="n">
        <v>-0.593351224432044</v>
      </c>
      <c r="BNC12" s="7" t="n">
        <v>2.02279730339592</v>
      </c>
      <c r="BND12" s="7" t="n">
        <v>-0.658247676221372</v>
      </c>
      <c r="BNE12" s="7" t="n">
        <v>-2.31971131969689</v>
      </c>
      <c r="BNF12" s="7" t="n">
        <v>-1.38371573251208</v>
      </c>
      <c r="BNG12" s="7" t="n">
        <v>-1.66519427995069</v>
      </c>
      <c r="BNH12" s="7" t="n">
        <v>0.809336416741028</v>
      </c>
      <c r="BNI12" s="7" t="n">
        <v>-0.43474881391705</v>
      </c>
      <c r="BNJ12" s="7" t="n">
        <v>-1.97667963986203</v>
      </c>
      <c r="BNK12" s="7" t="n">
        <v>0.165320928741196</v>
      </c>
      <c r="BNL12" s="7" t="n">
        <v>0.5348846007671491</v>
      </c>
      <c r="BNM12" s="7" t="n">
        <v>-0.7885498005407779</v>
      </c>
      <c r="BNN12" s="7" t="n">
        <v>-0.07890693699714491</v>
      </c>
      <c r="BNO12" s="7" t="n">
        <v>0.631592881958678</v>
      </c>
      <c r="BNP12" s="7" t="n">
        <v>0.956154570421192</v>
      </c>
      <c r="BNQ12" s="7" t="n">
        <v>0.121890945602441</v>
      </c>
      <c r="BNR12" s="7" t="n">
        <v>-0.168637360819958</v>
      </c>
      <c r="BNS12" s="7" t="n">
        <v>1.18395336630532</v>
      </c>
      <c r="BNT12" s="7" t="n">
        <v>1.77542695756816</v>
      </c>
      <c r="BNU12" s="7" t="n">
        <v>-0.233747649701045</v>
      </c>
      <c r="BNV12" s="7" t="n">
        <v>0.0643109690768883</v>
      </c>
      <c r="BNW12" s="7" t="n">
        <v>0.451103241458162</v>
      </c>
      <c r="BNX12" s="7" t="n">
        <v>-0.951988794899159</v>
      </c>
      <c r="BNY12" s="7" t="n">
        <v>0.991716767476051</v>
      </c>
      <c r="BNZ12" s="7" t="n">
        <v>0.593762611972722</v>
      </c>
      <c r="BOA12" s="7" t="n">
        <v>-1.57922853761574</v>
      </c>
      <c r="BOB12" s="7" t="n">
        <v>0.674953047035228</v>
      </c>
      <c r="BOC12" s="7" t="n">
        <v>-2.24392976879987</v>
      </c>
      <c r="BOD12" s="7" t="n">
        <v>0.361417736143335</v>
      </c>
      <c r="BOE12" s="7" t="n">
        <v>0.999312550194242</v>
      </c>
      <c r="BOF12" s="7" t="n">
        <v>0.101855972952394</v>
      </c>
      <c r="BOG12" s="7" t="n">
        <v>-0.0966155405741133</v>
      </c>
      <c r="BOH12" s="7" t="n">
        <v>2.37981856889426</v>
      </c>
      <c r="BOI12" s="7" t="n">
        <v>0.175008964248016</v>
      </c>
      <c r="BOJ12" s="7" t="n">
        <v>0.0644764932709838</v>
      </c>
      <c r="BOK12" s="7" t="n">
        <v>0.23137850425686</v>
      </c>
      <c r="BOL12" s="7" t="n">
        <v>-1.17099373158091</v>
      </c>
      <c r="BOM12" s="7" t="n">
        <v>0.0941211151142788</v>
      </c>
      <c r="BON12" s="7" t="n">
        <v>-1.47749472193634</v>
      </c>
      <c r="BOO12" s="7" t="n">
        <v>-0.346667593275572</v>
      </c>
      <c r="BOP12" s="7" t="n">
        <v>-1.4326769802825</v>
      </c>
      <c r="BOQ12" s="7" t="n">
        <v>1.10131442167896</v>
      </c>
      <c r="BOR12" s="7" t="n">
        <v>0.0108046648374464</v>
      </c>
      <c r="BOS12" s="7" t="n">
        <v>-0.817121598437003</v>
      </c>
      <c r="BOT12" s="7" t="n">
        <v>0.80444947018996</v>
      </c>
      <c r="BOU12" s="7" t="n">
        <v>0.0260612891893141</v>
      </c>
      <c r="BOV12" s="7" t="n">
        <v>0.703635267430077</v>
      </c>
      <c r="BOW12" s="7" t="n">
        <v>-0.56019729821627</v>
      </c>
      <c r="BOX12" s="7" t="n">
        <v>-0.795507552110842</v>
      </c>
      <c r="BOY12" s="7" t="n">
        <v>0.583472158991254</v>
      </c>
      <c r="BOZ12" s="7" t="n">
        <v>-0.710057593143291</v>
      </c>
      <c r="BPA12" s="7" t="n">
        <v>1.21949780468081</v>
      </c>
      <c r="BPB12" s="7" t="n">
        <v>-0.339863413331294</v>
      </c>
      <c r="BPC12" s="7" t="n">
        <v>0.182351745995326</v>
      </c>
      <c r="BPD12" s="7" t="n">
        <v>1.15329948803343</v>
      </c>
      <c r="BPE12" s="7" t="n">
        <v>2.32189113923594</v>
      </c>
      <c r="BPF12" s="7" t="n">
        <v>-0.0289644377668544</v>
      </c>
      <c r="BPG12" s="7" t="n">
        <v>-0.663826321873532</v>
      </c>
      <c r="BPH12" s="7" t="n">
        <v>1.80197975370483</v>
      </c>
      <c r="BPI12" s="7" t="n">
        <v>0.489554390401532</v>
      </c>
      <c r="BPJ12" s="7" t="n">
        <v>1.12388817880942</v>
      </c>
      <c r="BPK12" s="7" t="n">
        <v>-0.41933336445903</v>
      </c>
      <c r="BPL12" s="7" t="n">
        <v>-1.29575430400273</v>
      </c>
      <c r="BPM12" s="7" t="n">
        <v>-0.259103447412244</v>
      </c>
      <c r="BPN12" s="7" t="n">
        <v>0.8720073746357569</v>
      </c>
      <c r="BPO12" s="7" t="n">
        <v>0.0917288931435104</v>
      </c>
      <c r="BPP12" s="7" t="n">
        <v>0.241678138744939</v>
      </c>
      <c r="BPQ12" s="7" t="n">
        <v>-1.05434464534733</v>
      </c>
      <c r="BPR12" s="7" t="n">
        <v>1.23242329076079</v>
      </c>
      <c r="BPS12" s="7" t="n">
        <v>0.182117938966194</v>
      </c>
      <c r="BPT12" s="7" t="n">
        <v>1.11111991575134</v>
      </c>
      <c r="BPU12" s="7" t="n">
        <v>0.0453697720248718</v>
      </c>
      <c r="BPV12" s="7" t="n">
        <v>0.972383688811657</v>
      </c>
      <c r="BPW12" s="7" t="n">
        <v>-1.13032152767793</v>
      </c>
      <c r="BPX12" s="7" t="n">
        <v>-0.166071950672157</v>
      </c>
      <c r="BPY12" s="7" t="n">
        <v>0.131356461340546</v>
      </c>
      <c r="BPZ12" s="7" t="n">
        <v>-0.992794938044622</v>
      </c>
      <c r="BQA12" s="7" t="n">
        <v>0.699001986325764</v>
      </c>
      <c r="BQB12" s="7" t="n">
        <v>-0.07778207142025539</v>
      </c>
      <c r="BQC12" s="7" t="n">
        <v>-1.70300080474369</v>
      </c>
      <c r="BQD12" s="7" t="n">
        <v>0.445177032176953</v>
      </c>
      <c r="BQE12" s="7" t="n">
        <v>1.99561089659839</v>
      </c>
      <c r="BQF12" s="7" t="n">
        <v>0.0168221248299975</v>
      </c>
      <c r="BQG12" s="7" t="n">
        <v>0.364102071276609</v>
      </c>
      <c r="BQH12" s="7" t="n">
        <v>0.720785249376754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BD114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7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12" customWidth="1" min="10" max="10"/>
    <col width="11" customWidth="1" min="11" max="11"/>
    <col width="12" customWidth="1" min="12" max="12"/>
    <col width="11" customWidth="1" min="13" max="13"/>
    <col width="12" customWidth="1" min="14" max="14"/>
    <col width="11" customWidth="1" min="15" max="15"/>
    <col width="11" customWidth="1" min="16" max="16"/>
    <col width="13" customWidth="1" min="17" max="17"/>
    <col width="12" customWidth="1" min="18" max="18"/>
    <col width="13" customWidth="1" min="19" max="19"/>
    <col width="11" customWidth="1" min="20" max="20"/>
    <col width="13" customWidth="1" min="21" max="21"/>
    <col width="11" customWidth="1" min="22" max="22"/>
    <col width="11" customWidth="1" min="23" max="23"/>
    <col width="13" customWidth="1" min="24" max="24"/>
    <col width="11" customWidth="1" min="25" max="25"/>
    <col width="12" customWidth="1" min="26" max="26"/>
    <col width="13" customWidth="1" min="27" max="27"/>
    <col width="14" customWidth="1" min="28" max="28"/>
    <col width="14" customWidth="1" min="29" max="29"/>
    <col width="14" customWidth="1" min="30" max="30"/>
    <col width="13" customWidth="1" min="31" max="31"/>
    <col width="13" customWidth="1" min="32" max="32"/>
    <col width="12" customWidth="1" min="33" max="33"/>
    <col width="13" customWidth="1" min="34" max="34"/>
    <col width="13" customWidth="1" min="35" max="35"/>
    <col width="13" customWidth="1" min="36" max="36"/>
    <col width="12" customWidth="1" min="37" max="37"/>
    <col width="13" customWidth="1" min="38" max="38"/>
    <col width="13" customWidth="1" min="39" max="39"/>
    <col width="13" customWidth="1" min="40" max="40"/>
    <col width="12" customWidth="1" min="41" max="41"/>
    <col width="12" customWidth="1" min="42" max="42"/>
    <col width="12" customWidth="1" min="43" max="43"/>
    <col width="13" customWidth="1" min="44" max="44"/>
    <col width="10" customWidth="1" min="45" max="45"/>
    <col width="12" customWidth="1" min="46" max="46"/>
    <col width="11" customWidth="1" min="47" max="47"/>
    <col width="13" customWidth="1" min="48" max="48"/>
    <col width="13" customWidth="1" min="49" max="49"/>
    <col width="13" customWidth="1" min="50" max="50"/>
    <col width="13" customWidth="1" min="51" max="51"/>
    <col width="11" customWidth="1" min="52" max="52"/>
    <col width="11" customWidth="1" min="53" max="53"/>
    <col width="11" customWidth="1" min="54" max="54"/>
    <col width="12" customWidth="1" min="55" max="55"/>
    <col width="13" customWidth="1" min="56" max="56"/>
  </cols>
  <sheetData>
    <row r="1">
      <c r="A1" s="3" t="inlineStr">
        <is>
          <t>Monthly projection — AV per policy rolls BEF_PREM → +premium → BEF_FEE → −fees/COI → BEF_INV → +investment → next month; counts as in BasicTerm_SE; margin and AV roll-forward identities checked per row</t>
        </is>
      </c>
    </row>
    <row r="2">
      <c r="A2" s="10" t="inlineStr">
        <is>
          <t>Month</t>
        </is>
      </c>
      <c r="B2" s="10" t="inlineStr">
        <is>
          <t>Months in force</t>
        </is>
      </c>
      <c r="C2" s="10" t="inlineStr">
        <is>
          <t>Duration (yrs)</t>
        </is>
      </c>
      <c r="D2" s="10" t="inlineStr">
        <is>
          <t>Age</t>
        </is>
      </c>
      <c r="E2" s="10" t="inlineStr">
        <is>
          <t>Premium pp</t>
        </is>
      </c>
      <c r="F2" s="10" t="inlineStr">
        <is>
          <t>Mort rate p.a.</t>
        </is>
      </c>
      <c r="G2" s="10" t="inlineStr">
        <is>
          <t>Mort rate p.m.</t>
        </is>
      </c>
      <c r="H2" s="10" t="inlineStr">
        <is>
          <t>Lapse rate p.a.</t>
        </is>
      </c>
      <c r="I2" s="10" t="inlineStr">
        <is>
          <t>Surr charge rate</t>
        </is>
      </c>
      <c r="J2" s="10" t="inlineStr">
        <is>
          <t>In force (BEF_MAT)</t>
        </is>
      </c>
      <c r="K2" s="10" t="inlineStr">
        <is>
          <t>Maturities</t>
        </is>
      </c>
      <c r="L2" s="10" t="inlineStr">
        <is>
          <t>In force (BEF_NB)</t>
        </is>
      </c>
      <c r="M2" s="10" t="inlineStr">
        <is>
          <t>New business</t>
        </is>
      </c>
      <c r="N2" s="10" t="inlineStr">
        <is>
          <t>In force (BEF_DECR)</t>
        </is>
      </c>
      <c r="O2" s="10" t="inlineStr">
        <is>
          <t>Deaths</t>
        </is>
      </c>
      <c r="P2" s="10" t="inlineStr">
        <is>
          <t>Lapses</t>
        </is>
      </c>
      <c r="Q2" s="10" t="inlineStr">
        <is>
          <t>AV pp BEF_PREM</t>
        </is>
      </c>
      <c r="R2" s="10" t="inlineStr">
        <is>
          <t>Premium to AV pp</t>
        </is>
      </c>
      <c r="S2" s="10" t="inlineStr">
        <is>
          <t>AV pp BEF_FEE</t>
        </is>
      </c>
      <c r="T2" s="10" t="inlineStr">
        <is>
          <t>Maint fee pp</t>
        </is>
      </c>
      <c r="U2" s="10" t="inlineStr">
        <is>
          <t>Net amount at risk</t>
        </is>
      </c>
      <c r="V2" s="10" t="inlineStr">
        <is>
          <t>COI rate</t>
        </is>
      </c>
      <c r="W2" s="10" t="inlineStr">
        <is>
          <t>COI pp</t>
        </is>
      </c>
      <c r="X2" s="10" t="inlineStr">
        <is>
          <t>AV pp BEF_INV</t>
        </is>
      </c>
      <c r="Y2" s="10" t="inlineStr">
        <is>
          <t>Inv return p.m.</t>
        </is>
      </c>
      <c r="Z2" s="10" t="inlineStr">
        <is>
          <t>Inv income pp</t>
        </is>
      </c>
      <c r="AA2" s="10" t="inlineStr">
        <is>
          <t>AV pp MID_MTH</t>
        </is>
      </c>
      <c r="AB2" s="10" t="inlineStr">
        <is>
          <t>AV total (BEF_MAT)</t>
        </is>
      </c>
      <c r="AC2" s="10" t="inlineStr">
        <is>
          <t>AV total (BEF_NB)</t>
        </is>
      </c>
      <c r="AD2" s="10" t="inlineStr">
        <is>
          <t>AV total (BEF_FEE)</t>
        </is>
      </c>
      <c r="AE2" s="10" t="inlineStr">
        <is>
          <t>Premium income</t>
        </is>
      </c>
      <c r="AF2" s="10" t="inlineStr">
        <is>
          <t>Premium to AV</t>
        </is>
      </c>
      <c r="AG2" s="10" t="inlineStr">
        <is>
          <t>Death claim pp</t>
        </is>
      </c>
      <c r="AH2" s="10" t="inlineStr">
        <is>
          <t>Death claims</t>
        </is>
      </c>
      <c r="AI2" s="10" t="inlineStr">
        <is>
          <t>AV released: death</t>
        </is>
      </c>
      <c r="AJ2" s="10" t="inlineStr">
        <is>
          <t>AV released: lapse</t>
        </is>
      </c>
      <c r="AK2" s="10" t="inlineStr">
        <is>
          <t>Surrender charge</t>
        </is>
      </c>
      <c r="AL2" s="10" t="inlineStr">
        <is>
          <t>Surrender claims</t>
        </is>
      </c>
      <c r="AM2" s="10" t="inlineStr">
        <is>
          <t>AV released: maturity</t>
        </is>
      </c>
      <c r="AN2" s="10" t="inlineStr">
        <is>
          <t>Claims total</t>
        </is>
      </c>
      <c r="AO2" s="10" t="inlineStr">
        <is>
          <t>Death strain over AV</t>
        </is>
      </c>
      <c r="AP2" s="10" t="inlineStr">
        <is>
          <t>COI charge</t>
        </is>
      </c>
      <c r="AQ2" s="10" t="inlineStr">
        <is>
          <t>Maintenance fee</t>
        </is>
      </c>
      <c r="AR2" s="10" t="inlineStr">
        <is>
          <t>Investment income</t>
        </is>
      </c>
      <c r="AS2" s="10" t="inlineStr">
        <is>
          <t>Inflation factor</t>
        </is>
      </c>
      <c r="AT2" s="10" t="inlineStr">
        <is>
          <t>Expenses</t>
        </is>
      </c>
      <c r="AU2" s="10" t="inlineStr">
        <is>
          <t>Commission</t>
        </is>
      </c>
      <c r="AV2" s="10" t="inlineStr">
        <is>
          <t>Change in AV</t>
        </is>
      </c>
      <c r="AW2" s="10" t="inlineStr">
        <is>
          <t>Net cash flow</t>
        </is>
      </c>
      <c r="AX2" s="10" t="inlineStr">
        <is>
          <t>Expense margin</t>
        </is>
      </c>
      <c r="AY2" s="10" t="inlineStr">
        <is>
          <t>Mortality margin</t>
        </is>
      </c>
      <c r="AZ2" s="10" t="inlineStr">
        <is>
          <t>Margin identity rel diff</t>
        </is>
      </c>
      <c r="BA2" s="10" t="inlineStr">
        <is>
          <t>AV roll-fwd rel diff</t>
        </is>
      </c>
      <c r="BB2" s="10" t="inlineStr">
        <is>
          <t>Disc rate p.m.</t>
        </is>
      </c>
      <c r="BC2" s="10" t="inlineStr">
        <is>
          <t>Discount factor</t>
        </is>
      </c>
      <c r="BD2" s="10" t="inlineStr">
        <is>
          <t>PV net cash flow</t>
        </is>
      </c>
    </row>
    <row r="3">
      <c r="A3" s="25" t="inlineStr">
        <is>
          <t>t</t>
        </is>
      </c>
      <c r="B3" s="25" t="inlineStr">
        <is>
          <t>duration_mth</t>
        </is>
      </c>
      <c r="C3" s="25" t="inlineStr">
        <is>
          <t>duration</t>
        </is>
      </c>
      <c r="D3" s="25" t="inlineStr">
        <is>
          <t>age</t>
        </is>
      </c>
      <c r="E3" s="25" t="inlineStr">
        <is>
          <t>premium_pp</t>
        </is>
      </c>
      <c r="F3" s="25" t="inlineStr">
        <is>
          <t>mort_rate</t>
        </is>
      </c>
      <c r="G3" s="25" t="inlineStr">
        <is>
          <t>mort_rate_mth</t>
        </is>
      </c>
      <c r="H3" s="25" t="inlineStr">
        <is>
          <t>lapse_rate</t>
        </is>
      </c>
      <c r="I3" s="25" t="inlineStr">
        <is>
          <t>surr_charge_rate</t>
        </is>
      </c>
      <c r="J3" s="25" t="inlineStr">
        <is>
          <t>pols_if</t>
        </is>
      </c>
      <c r="K3" s="25" t="inlineStr">
        <is>
          <t>pols_maturity</t>
        </is>
      </c>
      <c r="L3" s="25" t="inlineStr">
        <is>
          <t>pols_if_bef_nb</t>
        </is>
      </c>
      <c r="M3" s="25" t="inlineStr">
        <is>
          <t>pols_new_biz</t>
        </is>
      </c>
      <c r="N3" s="25" t="inlineStr">
        <is>
          <t>pols_if_bef_decr</t>
        </is>
      </c>
      <c r="O3" s="25" t="inlineStr">
        <is>
          <t>pols_death</t>
        </is>
      </c>
      <c r="P3" s="25" t="inlineStr">
        <is>
          <t>pols_lapse</t>
        </is>
      </c>
      <c r="Q3" s="25" t="inlineStr">
        <is>
          <t>av_pp_bef_prem</t>
        </is>
      </c>
      <c r="R3" s="25" t="inlineStr">
        <is>
          <t>prem_to_av_pp</t>
        </is>
      </c>
      <c r="S3" s="25" t="inlineStr">
        <is>
          <t>av_pp_bef_fee</t>
        </is>
      </c>
      <c r="T3" s="25" t="inlineStr">
        <is>
          <t>maint_fee_pp</t>
        </is>
      </c>
      <c r="U3" s="25" t="inlineStr">
        <is>
          <t>net_amt_at_risk</t>
        </is>
      </c>
      <c r="V3" s="25" t="inlineStr">
        <is>
          <t>coi_rate</t>
        </is>
      </c>
      <c r="W3" s="25" t="inlineStr">
        <is>
          <t>coi_pp</t>
        </is>
      </c>
      <c r="X3" s="25" t="inlineStr">
        <is>
          <t>av_pp_bef_inv</t>
        </is>
      </c>
      <c r="Y3" s="25" t="inlineStr">
        <is>
          <t>inv_return_mth</t>
        </is>
      </c>
      <c r="Z3" s="25" t="inlineStr">
        <is>
          <t>inv_income_pp</t>
        </is>
      </c>
      <c r="AA3" s="25" t="inlineStr">
        <is>
          <t>av_pp_mid_mth</t>
        </is>
      </c>
      <c r="AB3" s="25" t="inlineStr">
        <is>
          <t>av_bef_mat</t>
        </is>
      </c>
      <c r="AC3" s="25" t="inlineStr">
        <is>
          <t>av_bef_nb</t>
        </is>
      </c>
      <c r="AD3" s="25" t="inlineStr">
        <is>
          <t>av_bef_fee</t>
        </is>
      </c>
      <c r="AE3" s="25" t="inlineStr">
        <is>
          <t>premiums</t>
        </is>
      </c>
      <c r="AF3" s="25" t="inlineStr">
        <is>
          <t>prem_to_av</t>
        </is>
      </c>
      <c r="AG3" s="25" t="inlineStr">
        <is>
          <t>claim_pp_death</t>
        </is>
      </c>
      <c r="AH3" s="25" t="inlineStr">
        <is>
          <t>claims_death</t>
        </is>
      </c>
      <c r="AI3" s="25" t="inlineStr">
        <is>
          <t>cfav_death</t>
        </is>
      </c>
      <c r="AJ3" s="25" t="inlineStr">
        <is>
          <t>cfav_lapse</t>
        </is>
      </c>
      <c r="AK3" s="25" t="inlineStr">
        <is>
          <t>surr_charge</t>
        </is>
      </c>
      <c r="AL3" s="25" t="inlineStr">
        <is>
          <t>claims_lapse</t>
        </is>
      </c>
      <c r="AM3" s="25" t="inlineStr">
        <is>
          <t>cfav_maturity</t>
        </is>
      </c>
      <c r="AN3" s="25" t="inlineStr">
        <is>
          <t>claims_total</t>
        </is>
      </c>
      <c r="AO3" s="25" t="inlineStr">
        <is>
          <t>claims_over_av</t>
        </is>
      </c>
      <c r="AP3" s="25" t="inlineStr">
        <is>
          <t>coi</t>
        </is>
      </c>
      <c r="AQ3" s="25" t="inlineStr">
        <is>
          <t>maint_fee</t>
        </is>
      </c>
      <c r="AR3" s="25" t="inlineStr">
        <is>
          <t>inv_income</t>
        </is>
      </c>
      <c r="AS3" s="25" t="inlineStr">
        <is>
          <t>inflation_factor</t>
        </is>
      </c>
      <c r="AT3" s="25" t="inlineStr">
        <is>
          <t>expenses</t>
        </is>
      </c>
      <c r="AU3" s="25" t="inlineStr">
        <is>
          <t>commissions</t>
        </is>
      </c>
      <c r="AV3" s="25" t="inlineStr">
        <is>
          <t>av_change</t>
        </is>
      </c>
      <c r="AW3" s="25" t="inlineStr">
        <is>
          <t>net_cf</t>
        </is>
      </c>
      <c r="AX3" s="25" t="inlineStr">
        <is>
          <t>margin_expense</t>
        </is>
      </c>
      <c r="AY3" s="25" t="inlineStr">
        <is>
          <t>margin_mortality</t>
        </is>
      </c>
      <c r="AZ3" s="25" t="inlineStr">
        <is>
          <t>margin_diff</t>
        </is>
      </c>
      <c r="BA3" s="25" t="inlineStr">
        <is>
          <t>av_roll_diff</t>
        </is>
      </c>
      <c r="BB3" s="25" t="inlineStr">
        <is>
          <t>disc_rate_mth</t>
        </is>
      </c>
      <c r="BC3" s="25" t="inlineStr">
        <is>
          <t>disc_factor</t>
        </is>
      </c>
      <c r="BD3" s="25" t="inlineStr">
        <is>
          <t>pv_net_cf_t</t>
        </is>
      </c>
    </row>
    <row r="4">
      <c r="A4" s="27" t="n">
        <v>0</v>
      </c>
      <c r="B4" s="28">
        <f>Duration0+A4</f>
        <v/>
      </c>
      <c r="C4" s="27">
        <f>INT(B4/12)</f>
        <v/>
      </c>
      <c r="D4" s="28">
        <f>AgeAtEntry+C4</f>
        <v/>
      </c>
      <c r="E4" s="29">
        <f>IF(PremiumType="SINGLE",IF(B4=0,PremiumPPInput,0),IF(B4&lt;12*PolicyTerm,PremiumPPInput,0))</f>
        <v/>
      </c>
      <c r="F4" s="30">
        <f>INDEX(MortRates,MATCH(MIN(D4,120),MortAges,0),MAX(MIN(C4,5),0)+1)</f>
        <v/>
      </c>
      <c r="G4" s="31">
        <f>1-(1-F4)^(1/12)</f>
        <v/>
      </c>
      <c r="H4" s="32">
        <f>MAX(LapseBase-LapseStep*C4,LapseFloor)</f>
        <v/>
      </c>
      <c r="I4" s="32">
        <f>IF(HasSurrCharge,INDEX(SurrRates,MIN(C4,SurrDurMax)+1,MATCH(SurrChargeID,SurrTypes,0)),0)</f>
        <v/>
      </c>
      <c r="J4" s="30">
        <f>PolsIfInit</f>
        <v/>
      </c>
      <c r="K4" s="30">
        <f>IF(B4=12*PolicyTerm,J4,0)</f>
        <v/>
      </c>
      <c r="L4" s="33">
        <f>J4-K4</f>
        <v/>
      </c>
      <c r="M4" s="30">
        <f>IF(B4=0,PolicyCount,0)</f>
        <v/>
      </c>
      <c r="N4" s="33">
        <f>L4+M4</f>
        <v/>
      </c>
      <c r="O4" s="31">
        <f>N4*G4</f>
        <v/>
      </c>
      <c r="P4" s="33">
        <f>(N4-O4)*(1-(1-H4)^(1/12))</f>
        <v/>
      </c>
      <c r="Q4" s="29">
        <f>AvPPInit</f>
        <v/>
      </c>
      <c r="R4" s="29">
        <f>(1-LoadPremRate)*E4</f>
        <v/>
      </c>
      <c r="S4" s="34">
        <f>Q4+R4</f>
        <v/>
      </c>
      <c r="T4" s="29">
        <f>MaintFeeRateAnn/12*S4</f>
        <v/>
      </c>
      <c r="U4" s="29">
        <f>MAX(SumAssured-S4,0)</f>
        <v/>
      </c>
      <c r="V4" s="35">
        <f>CoiMultiple*G4</f>
        <v/>
      </c>
      <c r="W4" s="34">
        <f>V4*U4</f>
        <v/>
      </c>
      <c r="X4" s="34">
        <f>S4-T4-W4</f>
        <v/>
      </c>
      <c r="Y4" s="36">
        <f>EXP((Mu-0.5*Sigma^2)/12+Sigma*SQRT(1/12)*INDEX(NormRand,ScenID,A4+1))-1</f>
        <v/>
      </c>
      <c r="Z4" s="34">
        <f>Y4*X4</f>
        <v/>
      </c>
      <c r="AA4" s="34">
        <f>X4+0.5*Z4</f>
        <v/>
      </c>
      <c r="AB4" s="34">
        <f>Q4*J4</f>
        <v/>
      </c>
      <c r="AC4" s="34">
        <f>Q4*L4</f>
        <v/>
      </c>
      <c r="AD4" s="34">
        <f>S4*N4</f>
        <v/>
      </c>
      <c r="AE4" s="34">
        <f>E4*N4</f>
        <v/>
      </c>
      <c r="AF4" s="34">
        <f>R4*N4</f>
        <v/>
      </c>
      <c r="AG4" s="29">
        <f>MAX(SumAssured,AA4)</f>
        <v/>
      </c>
      <c r="AH4" s="34">
        <f>AG4*O4</f>
        <v/>
      </c>
      <c r="AI4" s="34">
        <f>AA4*O4</f>
        <v/>
      </c>
      <c r="AJ4" s="34">
        <f>AA4*P4</f>
        <v/>
      </c>
      <c r="AK4" s="34">
        <f>I4*AA4*P4</f>
        <v/>
      </c>
      <c r="AL4" s="34">
        <f>AJ4-AK4</f>
        <v/>
      </c>
      <c r="AM4" s="34">
        <f>Q4*K4</f>
        <v/>
      </c>
      <c r="AN4" s="34">
        <f>AH4+AL4+AM4</f>
        <v/>
      </c>
      <c r="AO4" s="34">
        <f>(AG4-AA4)*O4</f>
        <v/>
      </c>
      <c r="AP4" s="34">
        <f>W4*N4</f>
        <v/>
      </c>
      <c r="AQ4" s="34">
        <f>T4*N4</f>
        <v/>
      </c>
      <c r="AR4" s="34">
        <f>Z4*J5+0.5*Z4*(O4+P4)</f>
        <v/>
      </c>
      <c r="AS4" s="30">
        <f>(1+InflationRate)^(A4/12)</f>
        <v/>
      </c>
      <c r="AT4" s="29">
        <f>ExpenseAcq*M4+N4*ExpenseMaint/12*AS4</f>
        <v/>
      </c>
      <c r="AU4" s="29">
        <f>CommissionRate*AE4</f>
        <v/>
      </c>
      <c r="AV4" s="34">
        <f>AB5-AB4</f>
        <v/>
      </c>
      <c r="AW4" s="34">
        <f>AE4+AR4-AN4-AT4-AU4-AV4</f>
        <v/>
      </c>
      <c r="AX4" s="29">
        <f>LoadPremRate*E4*N4+AK4+AQ4-AU4-AT4</f>
        <v/>
      </c>
      <c r="AY4" s="34">
        <f>AP4-AO4</f>
        <v/>
      </c>
      <c r="AZ4" s="37">
        <f>(AW4-AX4-AY4)/MAX(1,ABS(AW4),ABS(AX4),ABS(AY4))</f>
        <v/>
      </c>
      <c r="BA4" s="37">
        <f>IF(OR(K4&gt;0,K5&gt;0),0,(AC5-(AC4+AF4-AQ4-AP4+AR4-AI4-AJ4-AM4))/MAX(1,ABS(AC4),ABS(AC5)))</f>
        <v/>
      </c>
      <c r="BB4" s="35">
        <f>(1+INDEX(DiscRateAnn,INT(A4/12)+1))^(1/12)-1</f>
        <v/>
      </c>
      <c r="BC4" s="31">
        <f>(1+BB4)^-A4</f>
        <v/>
      </c>
      <c r="BD4" s="34">
        <f>AW4*BC4</f>
        <v/>
      </c>
    </row>
    <row r="5">
      <c r="A5" s="27">
        <f>A4+1</f>
        <v/>
      </c>
      <c r="B5" s="28">
        <f>Duration0+A5</f>
        <v/>
      </c>
      <c r="C5" s="27">
        <f>INT(B5/12)</f>
        <v/>
      </c>
      <c r="D5" s="28">
        <f>AgeAtEntry+C5</f>
        <v/>
      </c>
      <c r="E5" s="29">
        <f>IF(PremiumType="SINGLE",IF(B5=0,PremiumPPInput,0),IF(B5&lt;12*PolicyTerm,PremiumPPInput,0))</f>
        <v/>
      </c>
      <c r="F5" s="30">
        <f>INDEX(MortRates,MATCH(MIN(D5,120),MortAges,0),MAX(MIN(C5,5),0)+1)</f>
        <v/>
      </c>
      <c r="G5" s="31">
        <f>1-(1-F5)^(1/12)</f>
        <v/>
      </c>
      <c r="H5" s="32">
        <f>MAX(LapseBase-LapseStep*C5,LapseFloor)</f>
        <v/>
      </c>
      <c r="I5" s="32">
        <f>IF(HasSurrCharge,INDEX(SurrRates,MIN(C5,SurrDurMax)+1,MATCH(SurrChargeID,SurrTypes,0)),0)</f>
        <v/>
      </c>
      <c r="J5" s="33">
        <f>N4-P4-O4</f>
        <v/>
      </c>
      <c r="K5" s="30">
        <f>IF(B5=12*PolicyTerm,J5,0)</f>
        <v/>
      </c>
      <c r="L5" s="33">
        <f>J5-K5</f>
        <v/>
      </c>
      <c r="M5" s="30">
        <f>IF(B5=0,PolicyCount,0)</f>
        <v/>
      </c>
      <c r="N5" s="33">
        <f>L5+M5</f>
        <v/>
      </c>
      <c r="O5" s="31">
        <f>N5*G5</f>
        <v/>
      </c>
      <c r="P5" s="33">
        <f>(N5-O5)*(1-(1-H5)^(1/12))</f>
        <v/>
      </c>
      <c r="Q5" s="34">
        <f>X4+Z4</f>
        <v/>
      </c>
      <c r="R5" s="29">
        <f>(1-LoadPremRate)*E5</f>
        <v/>
      </c>
      <c r="S5" s="34">
        <f>Q5+R5</f>
        <v/>
      </c>
      <c r="T5" s="29">
        <f>MaintFeeRateAnn/12*S5</f>
        <v/>
      </c>
      <c r="U5" s="29">
        <f>MAX(SumAssured-S5,0)</f>
        <v/>
      </c>
      <c r="V5" s="35">
        <f>CoiMultiple*G5</f>
        <v/>
      </c>
      <c r="W5" s="34">
        <f>V5*U5</f>
        <v/>
      </c>
      <c r="X5" s="34">
        <f>S5-T5-W5</f>
        <v/>
      </c>
      <c r="Y5" s="36">
        <f>EXP((Mu-0.5*Sigma^2)/12+Sigma*SQRT(1/12)*INDEX(NormRand,ScenID,A5+1))-1</f>
        <v/>
      </c>
      <c r="Z5" s="34">
        <f>Y5*X5</f>
        <v/>
      </c>
      <c r="AA5" s="34">
        <f>X5+0.5*Z5</f>
        <v/>
      </c>
      <c r="AB5" s="34">
        <f>Q5*J5</f>
        <v/>
      </c>
      <c r="AC5" s="34">
        <f>Q5*L5</f>
        <v/>
      </c>
      <c r="AD5" s="34">
        <f>S5*N5</f>
        <v/>
      </c>
      <c r="AE5" s="34">
        <f>E5*N5</f>
        <v/>
      </c>
      <c r="AF5" s="34">
        <f>R5*N5</f>
        <v/>
      </c>
      <c r="AG5" s="29">
        <f>MAX(SumAssured,AA5)</f>
        <v/>
      </c>
      <c r="AH5" s="34">
        <f>AG5*O5</f>
        <v/>
      </c>
      <c r="AI5" s="34">
        <f>AA5*O5</f>
        <v/>
      </c>
      <c r="AJ5" s="34">
        <f>AA5*P5</f>
        <v/>
      </c>
      <c r="AK5" s="34">
        <f>I5*AA5*P5</f>
        <v/>
      </c>
      <c r="AL5" s="34">
        <f>AJ5-AK5</f>
        <v/>
      </c>
      <c r="AM5" s="34">
        <f>Q5*K5</f>
        <v/>
      </c>
      <c r="AN5" s="34">
        <f>AH5+AL5+AM5</f>
        <v/>
      </c>
      <c r="AO5" s="34">
        <f>(AG5-AA5)*O5</f>
        <v/>
      </c>
      <c r="AP5" s="34">
        <f>W5*N5</f>
        <v/>
      </c>
      <c r="AQ5" s="34">
        <f>T5*N5</f>
        <v/>
      </c>
      <c r="AR5" s="34">
        <f>Z5*J6+0.5*Z5*(O5+P5)</f>
        <v/>
      </c>
      <c r="AS5" s="30">
        <f>(1+InflationRate)^(A5/12)</f>
        <v/>
      </c>
      <c r="AT5" s="29">
        <f>ExpenseAcq*M5+N5*ExpenseMaint/12*AS5</f>
        <v/>
      </c>
      <c r="AU5" s="29">
        <f>CommissionRate*AE5</f>
        <v/>
      </c>
      <c r="AV5" s="34">
        <f>AB6-AB5</f>
        <v/>
      </c>
      <c r="AW5" s="34">
        <f>AE5+AR5-AN5-AT5-AU5-AV5</f>
        <v/>
      </c>
      <c r="AX5" s="29">
        <f>LoadPremRate*E5*N5+AK5+AQ5-AU5-AT5</f>
        <v/>
      </c>
      <c r="AY5" s="34">
        <f>AP5-AO5</f>
        <v/>
      </c>
      <c r="AZ5" s="37">
        <f>(AW5-AX5-AY5)/MAX(1,ABS(AW5),ABS(AX5),ABS(AY5))</f>
        <v/>
      </c>
      <c r="BA5" s="37">
        <f>IF(OR(K5&gt;0,K6&gt;0),0,(AC6-(AC5+AF5-AQ5-AP5+AR5-AI5-AJ5-AM5))/MAX(1,ABS(AC5),ABS(AC6)))</f>
        <v/>
      </c>
      <c r="BB5" s="35">
        <f>(1+INDEX(DiscRateAnn,INT(A5/12)+1))^(1/12)-1</f>
        <v/>
      </c>
      <c r="BC5" s="31">
        <f>(1+BB5)^-A5</f>
        <v/>
      </c>
      <c r="BD5" s="34">
        <f>AW5*BC5</f>
        <v/>
      </c>
    </row>
    <row r="6">
      <c r="A6" s="27">
        <f>A5+1</f>
        <v/>
      </c>
      <c r="B6" s="28">
        <f>Duration0+A6</f>
        <v/>
      </c>
      <c r="C6" s="27">
        <f>INT(B6/12)</f>
        <v/>
      </c>
      <c r="D6" s="28">
        <f>AgeAtEntry+C6</f>
        <v/>
      </c>
      <c r="E6" s="29">
        <f>IF(PremiumType="SINGLE",IF(B6=0,PremiumPPInput,0),IF(B6&lt;12*PolicyTerm,PremiumPPInput,0))</f>
        <v/>
      </c>
      <c r="F6" s="30">
        <f>INDEX(MortRates,MATCH(MIN(D6,120),MortAges,0),MAX(MIN(C6,5),0)+1)</f>
        <v/>
      </c>
      <c r="G6" s="31">
        <f>1-(1-F6)^(1/12)</f>
        <v/>
      </c>
      <c r="H6" s="32">
        <f>MAX(LapseBase-LapseStep*C6,LapseFloor)</f>
        <v/>
      </c>
      <c r="I6" s="32">
        <f>IF(HasSurrCharge,INDEX(SurrRates,MIN(C6,SurrDurMax)+1,MATCH(SurrChargeID,SurrTypes,0)),0)</f>
        <v/>
      </c>
      <c r="J6" s="33">
        <f>N5-P5-O5</f>
        <v/>
      </c>
      <c r="K6" s="30">
        <f>IF(B6=12*PolicyTerm,J6,0)</f>
        <v/>
      </c>
      <c r="L6" s="33">
        <f>J6-K6</f>
        <v/>
      </c>
      <c r="M6" s="30">
        <f>IF(B6=0,PolicyCount,0)</f>
        <v/>
      </c>
      <c r="N6" s="33">
        <f>L6+M6</f>
        <v/>
      </c>
      <c r="O6" s="31">
        <f>N6*G6</f>
        <v/>
      </c>
      <c r="P6" s="33">
        <f>(N6-O6)*(1-(1-H6)^(1/12))</f>
        <v/>
      </c>
      <c r="Q6" s="34">
        <f>X5+Z5</f>
        <v/>
      </c>
      <c r="R6" s="29">
        <f>(1-LoadPremRate)*E6</f>
        <v/>
      </c>
      <c r="S6" s="34">
        <f>Q6+R6</f>
        <v/>
      </c>
      <c r="T6" s="29">
        <f>MaintFeeRateAnn/12*S6</f>
        <v/>
      </c>
      <c r="U6" s="29">
        <f>MAX(SumAssured-S6,0)</f>
        <v/>
      </c>
      <c r="V6" s="35">
        <f>CoiMultiple*G6</f>
        <v/>
      </c>
      <c r="W6" s="34">
        <f>V6*U6</f>
        <v/>
      </c>
      <c r="X6" s="34">
        <f>S6-T6-W6</f>
        <v/>
      </c>
      <c r="Y6" s="36">
        <f>EXP((Mu-0.5*Sigma^2)/12+Sigma*SQRT(1/12)*INDEX(NormRand,ScenID,A6+1))-1</f>
        <v/>
      </c>
      <c r="Z6" s="34">
        <f>Y6*X6</f>
        <v/>
      </c>
      <c r="AA6" s="34">
        <f>X6+0.5*Z6</f>
        <v/>
      </c>
      <c r="AB6" s="34">
        <f>Q6*J6</f>
        <v/>
      </c>
      <c r="AC6" s="34">
        <f>Q6*L6</f>
        <v/>
      </c>
      <c r="AD6" s="34">
        <f>S6*N6</f>
        <v/>
      </c>
      <c r="AE6" s="34">
        <f>E6*N6</f>
        <v/>
      </c>
      <c r="AF6" s="34">
        <f>R6*N6</f>
        <v/>
      </c>
      <c r="AG6" s="29">
        <f>MAX(SumAssured,AA6)</f>
        <v/>
      </c>
      <c r="AH6" s="34">
        <f>AG6*O6</f>
        <v/>
      </c>
      <c r="AI6" s="34">
        <f>AA6*O6</f>
        <v/>
      </c>
      <c r="AJ6" s="34">
        <f>AA6*P6</f>
        <v/>
      </c>
      <c r="AK6" s="34">
        <f>I6*AA6*P6</f>
        <v/>
      </c>
      <c r="AL6" s="34">
        <f>AJ6-AK6</f>
        <v/>
      </c>
      <c r="AM6" s="34">
        <f>Q6*K6</f>
        <v/>
      </c>
      <c r="AN6" s="34">
        <f>AH6+AL6+AM6</f>
        <v/>
      </c>
      <c r="AO6" s="34">
        <f>(AG6-AA6)*O6</f>
        <v/>
      </c>
      <c r="AP6" s="34">
        <f>W6*N6</f>
        <v/>
      </c>
      <c r="AQ6" s="34">
        <f>T6*N6</f>
        <v/>
      </c>
      <c r="AR6" s="34">
        <f>Z6*J7+0.5*Z6*(O6+P6)</f>
        <v/>
      </c>
      <c r="AS6" s="30">
        <f>(1+InflationRate)^(A6/12)</f>
        <v/>
      </c>
      <c r="AT6" s="29">
        <f>ExpenseAcq*M6+N6*ExpenseMaint/12*AS6</f>
        <v/>
      </c>
      <c r="AU6" s="29">
        <f>CommissionRate*AE6</f>
        <v/>
      </c>
      <c r="AV6" s="34">
        <f>AB7-AB6</f>
        <v/>
      </c>
      <c r="AW6" s="34">
        <f>AE6+AR6-AN6-AT6-AU6-AV6</f>
        <v/>
      </c>
      <c r="AX6" s="29">
        <f>LoadPremRate*E6*N6+AK6+AQ6-AU6-AT6</f>
        <v/>
      </c>
      <c r="AY6" s="34">
        <f>AP6-AO6</f>
        <v/>
      </c>
      <c r="AZ6" s="37">
        <f>(AW6-AX6-AY6)/MAX(1,ABS(AW6),ABS(AX6),ABS(AY6))</f>
        <v/>
      </c>
      <c r="BA6" s="37">
        <f>IF(OR(K6&gt;0,K7&gt;0),0,(AC7-(AC6+AF6-AQ6-AP6+AR6-AI6-AJ6-AM6))/MAX(1,ABS(AC6),ABS(AC7)))</f>
        <v/>
      </c>
      <c r="BB6" s="35">
        <f>(1+INDEX(DiscRateAnn,INT(A6/12)+1))^(1/12)-1</f>
        <v/>
      </c>
      <c r="BC6" s="31">
        <f>(1+BB6)^-A6</f>
        <v/>
      </c>
      <c r="BD6" s="34">
        <f>AW6*BC6</f>
        <v/>
      </c>
    </row>
    <row r="7">
      <c r="A7" s="27">
        <f>A6+1</f>
        <v/>
      </c>
      <c r="B7" s="28">
        <f>Duration0+A7</f>
        <v/>
      </c>
      <c r="C7" s="27">
        <f>INT(B7/12)</f>
        <v/>
      </c>
      <c r="D7" s="28">
        <f>AgeAtEntry+C7</f>
        <v/>
      </c>
      <c r="E7" s="29">
        <f>IF(PremiumType="SINGLE",IF(B7=0,PremiumPPInput,0),IF(B7&lt;12*PolicyTerm,PremiumPPInput,0))</f>
        <v/>
      </c>
      <c r="F7" s="30">
        <f>INDEX(MortRates,MATCH(MIN(D7,120),MortAges,0),MAX(MIN(C7,5),0)+1)</f>
        <v/>
      </c>
      <c r="G7" s="31">
        <f>1-(1-F7)^(1/12)</f>
        <v/>
      </c>
      <c r="H7" s="32">
        <f>MAX(LapseBase-LapseStep*C7,LapseFloor)</f>
        <v/>
      </c>
      <c r="I7" s="32">
        <f>IF(HasSurrCharge,INDEX(SurrRates,MIN(C7,SurrDurMax)+1,MATCH(SurrChargeID,SurrTypes,0)),0)</f>
        <v/>
      </c>
      <c r="J7" s="33">
        <f>N6-P6-O6</f>
        <v/>
      </c>
      <c r="K7" s="30">
        <f>IF(B7=12*PolicyTerm,J7,0)</f>
        <v/>
      </c>
      <c r="L7" s="33">
        <f>J7-K7</f>
        <v/>
      </c>
      <c r="M7" s="30">
        <f>IF(B7=0,PolicyCount,0)</f>
        <v/>
      </c>
      <c r="N7" s="33">
        <f>L7+M7</f>
        <v/>
      </c>
      <c r="O7" s="31">
        <f>N7*G7</f>
        <v/>
      </c>
      <c r="P7" s="33">
        <f>(N7-O7)*(1-(1-H7)^(1/12))</f>
        <v/>
      </c>
      <c r="Q7" s="34">
        <f>X6+Z6</f>
        <v/>
      </c>
      <c r="R7" s="29">
        <f>(1-LoadPremRate)*E7</f>
        <v/>
      </c>
      <c r="S7" s="34">
        <f>Q7+R7</f>
        <v/>
      </c>
      <c r="T7" s="29">
        <f>MaintFeeRateAnn/12*S7</f>
        <v/>
      </c>
      <c r="U7" s="29">
        <f>MAX(SumAssured-S7,0)</f>
        <v/>
      </c>
      <c r="V7" s="35">
        <f>CoiMultiple*G7</f>
        <v/>
      </c>
      <c r="W7" s="34">
        <f>V7*U7</f>
        <v/>
      </c>
      <c r="X7" s="34">
        <f>S7-T7-W7</f>
        <v/>
      </c>
      <c r="Y7" s="36">
        <f>EXP((Mu-0.5*Sigma^2)/12+Sigma*SQRT(1/12)*INDEX(NormRand,ScenID,A7+1))-1</f>
        <v/>
      </c>
      <c r="Z7" s="34">
        <f>Y7*X7</f>
        <v/>
      </c>
      <c r="AA7" s="34">
        <f>X7+0.5*Z7</f>
        <v/>
      </c>
      <c r="AB7" s="34">
        <f>Q7*J7</f>
        <v/>
      </c>
      <c r="AC7" s="34">
        <f>Q7*L7</f>
        <v/>
      </c>
      <c r="AD7" s="34">
        <f>S7*N7</f>
        <v/>
      </c>
      <c r="AE7" s="34">
        <f>E7*N7</f>
        <v/>
      </c>
      <c r="AF7" s="34">
        <f>R7*N7</f>
        <v/>
      </c>
      <c r="AG7" s="29">
        <f>MAX(SumAssured,AA7)</f>
        <v/>
      </c>
      <c r="AH7" s="34">
        <f>AG7*O7</f>
        <v/>
      </c>
      <c r="AI7" s="34">
        <f>AA7*O7</f>
        <v/>
      </c>
      <c r="AJ7" s="34">
        <f>AA7*P7</f>
        <v/>
      </c>
      <c r="AK7" s="34">
        <f>I7*AA7*P7</f>
        <v/>
      </c>
      <c r="AL7" s="34">
        <f>AJ7-AK7</f>
        <v/>
      </c>
      <c r="AM7" s="34">
        <f>Q7*K7</f>
        <v/>
      </c>
      <c r="AN7" s="34">
        <f>AH7+AL7+AM7</f>
        <v/>
      </c>
      <c r="AO7" s="34">
        <f>(AG7-AA7)*O7</f>
        <v/>
      </c>
      <c r="AP7" s="34">
        <f>W7*N7</f>
        <v/>
      </c>
      <c r="AQ7" s="34">
        <f>T7*N7</f>
        <v/>
      </c>
      <c r="AR7" s="34">
        <f>Z7*J8+0.5*Z7*(O7+P7)</f>
        <v/>
      </c>
      <c r="AS7" s="30">
        <f>(1+InflationRate)^(A7/12)</f>
        <v/>
      </c>
      <c r="AT7" s="29">
        <f>ExpenseAcq*M7+N7*ExpenseMaint/12*AS7</f>
        <v/>
      </c>
      <c r="AU7" s="29">
        <f>CommissionRate*AE7</f>
        <v/>
      </c>
      <c r="AV7" s="34">
        <f>AB8-AB7</f>
        <v/>
      </c>
      <c r="AW7" s="34">
        <f>AE7+AR7-AN7-AT7-AU7-AV7</f>
        <v/>
      </c>
      <c r="AX7" s="29">
        <f>LoadPremRate*E7*N7+AK7+AQ7-AU7-AT7</f>
        <v/>
      </c>
      <c r="AY7" s="34">
        <f>AP7-AO7</f>
        <v/>
      </c>
      <c r="AZ7" s="37">
        <f>(AW7-AX7-AY7)/MAX(1,ABS(AW7),ABS(AX7),ABS(AY7))</f>
        <v/>
      </c>
      <c r="BA7" s="37">
        <f>IF(OR(K7&gt;0,K8&gt;0),0,(AC8-(AC7+AF7-AQ7-AP7+AR7-AI7-AJ7-AM7))/MAX(1,ABS(AC7),ABS(AC8)))</f>
        <v/>
      </c>
      <c r="BB7" s="35">
        <f>(1+INDEX(DiscRateAnn,INT(A7/12)+1))^(1/12)-1</f>
        <v/>
      </c>
      <c r="BC7" s="31">
        <f>(1+BB7)^-A7</f>
        <v/>
      </c>
      <c r="BD7" s="34">
        <f>AW7*BC7</f>
        <v/>
      </c>
    </row>
    <row r="8">
      <c r="A8" s="27">
        <f>A7+1</f>
        <v/>
      </c>
      <c r="B8" s="28">
        <f>Duration0+A8</f>
        <v/>
      </c>
      <c r="C8" s="27">
        <f>INT(B8/12)</f>
        <v/>
      </c>
      <c r="D8" s="28">
        <f>AgeAtEntry+C8</f>
        <v/>
      </c>
      <c r="E8" s="29">
        <f>IF(PremiumType="SINGLE",IF(B8=0,PremiumPPInput,0),IF(B8&lt;12*PolicyTerm,PremiumPPInput,0))</f>
        <v/>
      </c>
      <c r="F8" s="30">
        <f>INDEX(MortRates,MATCH(MIN(D8,120),MortAges,0),MAX(MIN(C8,5),0)+1)</f>
        <v/>
      </c>
      <c r="G8" s="31">
        <f>1-(1-F8)^(1/12)</f>
        <v/>
      </c>
      <c r="H8" s="32">
        <f>MAX(LapseBase-LapseStep*C8,LapseFloor)</f>
        <v/>
      </c>
      <c r="I8" s="32">
        <f>IF(HasSurrCharge,INDEX(SurrRates,MIN(C8,SurrDurMax)+1,MATCH(SurrChargeID,SurrTypes,0)),0)</f>
        <v/>
      </c>
      <c r="J8" s="33">
        <f>N7-P7-O7</f>
        <v/>
      </c>
      <c r="K8" s="30">
        <f>IF(B8=12*PolicyTerm,J8,0)</f>
        <v/>
      </c>
      <c r="L8" s="33">
        <f>J8-K8</f>
        <v/>
      </c>
      <c r="M8" s="30">
        <f>IF(B8=0,PolicyCount,0)</f>
        <v/>
      </c>
      <c r="N8" s="33">
        <f>L8+M8</f>
        <v/>
      </c>
      <c r="O8" s="31">
        <f>N8*G8</f>
        <v/>
      </c>
      <c r="P8" s="33">
        <f>(N8-O8)*(1-(1-H8)^(1/12))</f>
        <v/>
      </c>
      <c r="Q8" s="34">
        <f>X7+Z7</f>
        <v/>
      </c>
      <c r="R8" s="29">
        <f>(1-LoadPremRate)*E8</f>
        <v/>
      </c>
      <c r="S8" s="34">
        <f>Q8+R8</f>
        <v/>
      </c>
      <c r="T8" s="29">
        <f>MaintFeeRateAnn/12*S8</f>
        <v/>
      </c>
      <c r="U8" s="29">
        <f>MAX(SumAssured-S8,0)</f>
        <v/>
      </c>
      <c r="V8" s="35">
        <f>CoiMultiple*G8</f>
        <v/>
      </c>
      <c r="W8" s="34">
        <f>V8*U8</f>
        <v/>
      </c>
      <c r="X8" s="34">
        <f>S8-T8-W8</f>
        <v/>
      </c>
      <c r="Y8" s="36">
        <f>EXP((Mu-0.5*Sigma^2)/12+Sigma*SQRT(1/12)*INDEX(NormRand,ScenID,A8+1))-1</f>
        <v/>
      </c>
      <c r="Z8" s="34">
        <f>Y8*X8</f>
        <v/>
      </c>
      <c r="AA8" s="34">
        <f>X8+0.5*Z8</f>
        <v/>
      </c>
      <c r="AB8" s="34">
        <f>Q8*J8</f>
        <v/>
      </c>
      <c r="AC8" s="34">
        <f>Q8*L8</f>
        <v/>
      </c>
      <c r="AD8" s="34">
        <f>S8*N8</f>
        <v/>
      </c>
      <c r="AE8" s="34">
        <f>E8*N8</f>
        <v/>
      </c>
      <c r="AF8" s="34">
        <f>R8*N8</f>
        <v/>
      </c>
      <c r="AG8" s="29">
        <f>MAX(SumAssured,AA8)</f>
        <v/>
      </c>
      <c r="AH8" s="34">
        <f>AG8*O8</f>
        <v/>
      </c>
      <c r="AI8" s="34">
        <f>AA8*O8</f>
        <v/>
      </c>
      <c r="AJ8" s="34">
        <f>AA8*P8</f>
        <v/>
      </c>
      <c r="AK8" s="34">
        <f>I8*AA8*P8</f>
        <v/>
      </c>
      <c r="AL8" s="34">
        <f>AJ8-AK8</f>
        <v/>
      </c>
      <c r="AM8" s="34">
        <f>Q8*K8</f>
        <v/>
      </c>
      <c r="AN8" s="34">
        <f>AH8+AL8+AM8</f>
        <v/>
      </c>
      <c r="AO8" s="34">
        <f>(AG8-AA8)*O8</f>
        <v/>
      </c>
      <c r="AP8" s="34">
        <f>W8*N8</f>
        <v/>
      </c>
      <c r="AQ8" s="34">
        <f>T8*N8</f>
        <v/>
      </c>
      <c r="AR8" s="34">
        <f>Z8*J9+0.5*Z8*(O8+P8)</f>
        <v/>
      </c>
      <c r="AS8" s="30">
        <f>(1+InflationRate)^(A8/12)</f>
        <v/>
      </c>
      <c r="AT8" s="29">
        <f>ExpenseAcq*M8+N8*ExpenseMaint/12*AS8</f>
        <v/>
      </c>
      <c r="AU8" s="29">
        <f>CommissionRate*AE8</f>
        <v/>
      </c>
      <c r="AV8" s="34">
        <f>AB9-AB8</f>
        <v/>
      </c>
      <c r="AW8" s="34">
        <f>AE8+AR8-AN8-AT8-AU8-AV8</f>
        <v/>
      </c>
      <c r="AX8" s="29">
        <f>LoadPremRate*E8*N8+AK8+AQ8-AU8-AT8</f>
        <v/>
      </c>
      <c r="AY8" s="34">
        <f>AP8-AO8</f>
        <v/>
      </c>
      <c r="AZ8" s="37">
        <f>(AW8-AX8-AY8)/MAX(1,ABS(AW8),ABS(AX8),ABS(AY8))</f>
        <v/>
      </c>
      <c r="BA8" s="37">
        <f>IF(OR(K8&gt;0,K9&gt;0),0,(AC9-(AC8+AF8-AQ8-AP8+AR8-AI8-AJ8-AM8))/MAX(1,ABS(AC8),ABS(AC9)))</f>
        <v/>
      </c>
      <c r="BB8" s="35">
        <f>(1+INDEX(DiscRateAnn,INT(A8/12)+1))^(1/12)-1</f>
        <v/>
      </c>
      <c r="BC8" s="31">
        <f>(1+BB8)^-A8</f>
        <v/>
      </c>
      <c r="BD8" s="34">
        <f>AW8*BC8</f>
        <v/>
      </c>
    </row>
    <row r="9">
      <c r="A9" s="27">
        <f>A8+1</f>
        <v/>
      </c>
      <c r="B9" s="28">
        <f>Duration0+A9</f>
        <v/>
      </c>
      <c r="C9" s="27">
        <f>INT(B9/12)</f>
        <v/>
      </c>
      <c r="D9" s="28">
        <f>AgeAtEntry+C9</f>
        <v/>
      </c>
      <c r="E9" s="29">
        <f>IF(PremiumType="SINGLE",IF(B9=0,PremiumPPInput,0),IF(B9&lt;12*PolicyTerm,PremiumPPInput,0))</f>
        <v/>
      </c>
      <c r="F9" s="30">
        <f>INDEX(MortRates,MATCH(MIN(D9,120),MortAges,0),MAX(MIN(C9,5),0)+1)</f>
        <v/>
      </c>
      <c r="G9" s="31">
        <f>1-(1-F9)^(1/12)</f>
        <v/>
      </c>
      <c r="H9" s="32">
        <f>MAX(LapseBase-LapseStep*C9,LapseFloor)</f>
        <v/>
      </c>
      <c r="I9" s="32">
        <f>IF(HasSurrCharge,INDEX(SurrRates,MIN(C9,SurrDurMax)+1,MATCH(SurrChargeID,SurrTypes,0)),0)</f>
        <v/>
      </c>
      <c r="J9" s="33">
        <f>N8-P8-O8</f>
        <v/>
      </c>
      <c r="K9" s="30">
        <f>IF(B9=12*PolicyTerm,J9,0)</f>
        <v/>
      </c>
      <c r="L9" s="33">
        <f>J9-K9</f>
        <v/>
      </c>
      <c r="M9" s="30">
        <f>IF(B9=0,PolicyCount,0)</f>
        <v/>
      </c>
      <c r="N9" s="33">
        <f>L9+M9</f>
        <v/>
      </c>
      <c r="O9" s="31">
        <f>N9*G9</f>
        <v/>
      </c>
      <c r="P9" s="33">
        <f>(N9-O9)*(1-(1-H9)^(1/12))</f>
        <v/>
      </c>
      <c r="Q9" s="34">
        <f>X8+Z8</f>
        <v/>
      </c>
      <c r="R9" s="29">
        <f>(1-LoadPremRate)*E9</f>
        <v/>
      </c>
      <c r="S9" s="34">
        <f>Q9+R9</f>
        <v/>
      </c>
      <c r="T9" s="29">
        <f>MaintFeeRateAnn/12*S9</f>
        <v/>
      </c>
      <c r="U9" s="29">
        <f>MAX(SumAssured-S9,0)</f>
        <v/>
      </c>
      <c r="V9" s="35">
        <f>CoiMultiple*G9</f>
        <v/>
      </c>
      <c r="W9" s="34">
        <f>V9*U9</f>
        <v/>
      </c>
      <c r="X9" s="34">
        <f>S9-T9-W9</f>
        <v/>
      </c>
      <c r="Y9" s="36">
        <f>EXP((Mu-0.5*Sigma^2)/12+Sigma*SQRT(1/12)*INDEX(NormRand,ScenID,A9+1))-1</f>
        <v/>
      </c>
      <c r="Z9" s="34">
        <f>Y9*X9</f>
        <v/>
      </c>
      <c r="AA9" s="34">
        <f>X9+0.5*Z9</f>
        <v/>
      </c>
      <c r="AB9" s="34">
        <f>Q9*J9</f>
        <v/>
      </c>
      <c r="AC9" s="34">
        <f>Q9*L9</f>
        <v/>
      </c>
      <c r="AD9" s="34">
        <f>S9*N9</f>
        <v/>
      </c>
      <c r="AE9" s="34">
        <f>E9*N9</f>
        <v/>
      </c>
      <c r="AF9" s="34">
        <f>R9*N9</f>
        <v/>
      </c>
      <c r="AG9" s="29">
        <f>MAX(SumAssured,AA9)</f>
        <v/>
      </c>
      <c r="AH9" s="34">
        <f>AG9*O9</f>
        <v/>
      </c>
      <c r="AI9" s="34">
        <f>AA9*O9</f>
        <v/>
      </c>
      <c r="AJ9" s="34">
        <f>AA9*P9</f>
        <v/>
      </c>
      <c r="AK9" s="34">
        <f>I9*AA9*P9</f>
        <v/>
      </c>
      <c r="AL9" s="34">
        <f>AJ9-AK9</f>
        <v/>
      </c>
      <c r="AM9" s="34">
        <f>Q9*K9</f>
        <v/>
      </c>
      <c r="AN9" s="34">
        <f>AH9+AL9+AM9</f>
        <v/>
      </c>
      <c r="AO9" s="34">
        <f>(AG9-AA9)*O9</f>
        <v/>
      </c>
      <c r="AP9" s="34">
        <f>W9*N9</f>
        <v/>
      </c>
      <c r="AQ9" s="34">
        <f>T9*N9</f>
        <v/>
      </c>
      <c r="AR9" s="34">
        <f>Z9*J10+0.5*Z9*(O9+P9)</f>
        <v/>
      </c>
      <c r="AS9" s="30">
        <f>(1+InflationRate)^(A9/12)</f>
        <v/>
      </c>
      <c r="AT9" s="29">
        <f>ExpenseAcq*M9+N9*ExpenseMaint/12*AS9</f>
        <v/>
      </c>
      <c r="AU9" s="29">
        <f>CommissionRate*AE9</f>
        <v/>
      </c>
      <c r="AV9" s="34">
        <f>AB10-AB9</f>
        <v/>
      </c>
      <c r="AW9" s="34">
        <f>AE9+AR9-AN9-AT9-AU9-AV9</f>
        <v/>
      </c>
      <c r="AX9" s="29">
        <f>LoadPremRate*E9*N9+AK9+AQ9-AU9-AT9</f>
        <v/>
      </c>
      <c r="AY9" s="34">
        <f>AP9-AO9</f>
        <v/>
      </c>
      <c r="AZ9" s="37">
        <f>(AW9-AX9-AY9)/MAX(1,ABS(AW9),ABS(AX9),ABS(AY9))</f>
        <v/>
      </c>
      <c r="BA9" s="37">
        <f>IF(OR(K9&gt;0,K10&gt;0),0,(AC10-(AC9+AF9-AQ9-AP9+AR9-AI9-AJ9-AM9))/MAX(1,ABS(AC9),ABS(AC10)))</f>
        <v/>
      </c>
      <c r="BB9" s="35">
        <f>(1+INDEX(DiscRateAnn,INT(A9/12)+1))^(1/12)-1</f>
        <v/>
      </c>
      <c r="BC9" s="31">
        <f>(1+BB9)^-A9</f>
        <v/>
      </c>
      <c r="BD9" s="34">
        <f>AW9*BC9</f>
        <v/>
      </c>
    </row>
    <row r="10">
      <c r="A10" s="27">
        <f>A9+1</f>
        <v/>
      </c>
      <c r="B10" s="28">
        <f>Duration0+A10</f>
        <v/>
      </c>
      <c r="C10" s="27">
        <f>INT(B10/12)</f>
        <v/>
      </c>
      <c r="D10" s="28">
        <f>AgeAtEntry+C10</f>
        <v/>
      </c>
      <c r="E10" s="29">
        <f>IF(PremiumType="SINGLE",IF(B10=0,PremiumPPInput,0),IF(B10&lt;12*PolicyTerm,PremiumPPInput,0))</f>
        <v/>
      </c>
      <c r="F10" s="30">
        <f>INDEX(MortRates,MATCH(MIN(D10,120),MortAges,0),MAX(MIN(C10,5),0)+1)</f>
        <v/>
      </c>
      <c r="G10" s="31">
        <f>1-(1-F10)^(1/12)</f>
        <v/>
      </c>
      <c r="H10" s="32">
        <f>MAX(LapseBase-LapseStep*C10,LapseFloor)</f>
        <v/>
      </c>
      <c r="I10" s="32">
        <f>IF(HasSurrCharge,INDEX(SurrRates,MIN(C10,SurrDurMax)+1,MATCH(SurrChargeID,SurrTypes,0)),0)</f>
        <v/>
      </c>
      <c r="J10" s="33">
        <f>N9-P9-O9</f>
        <v/>
      </c>
      <c r="K10" s="30">
        <f>IF(B10=12*PolicyTerm,J10,0)</f>
        <v/>
      </c>
      <c r="L10" s="33">
        <f>J10-K10</f>
        <v/>
      </c>
      <c r="M10" s="30">
        <f>IF(B10=0,PolicyCount,0)</f>
        <v/>
      </c>
      <c r="N10" s="33">
        <f>L10+M10</f>
        <v/>
      </c>
      <c r="O10" s="31">
        <f>N10*G10</f>
        <v/>
      </c>
      <c r="P10" s="33">
        <f>(N10-O10)*(1-(1-H10)^(1/12))</f>
        <v/>
      </c>
      <c r="Q10" s="34">
        <f>X9+Z9</f>
        <v/>
      </c>
      <c r="R10" s="29">
        <f>(1-LoadPremRate)*E10</f>
        <v/>
      </c>
      <c r="S10" s="34">
        <f>Q10+R10</f>
        <v/>
      </c>
      <c r="T10" s="29">
        <f>MaintFeeRateAnn/12*S10</f>
        <v/>
      </c>
      <c r="U10" s="29">
        <f>MAX(SumAssured-S10,0)</f>
        <v/>
      </c>
      <c r="V10" s="35">
        <f>CoiMultiple*G10</f>
        <v/>
      </c>
      <c r="W10" s="34">
        <f>V10*U10</f>
        <v/>
      </c>
      <c r="X10" s="34">
        <f>S10-T10-W10</f>
        <v/>
      </c>
      <c r="Y10" s="36">
        <f>EXP((Mu-0.5*Sigma^2)/12+Sigma*SQRT(1/12)*INDEX(NormRand,ScenID,A10+1))-1</f>
        <v/>
      </c>
      <c r="Z10" s="34">
        <f>Y10*X10</f>
        <v/>
      </c>
      <c r="AA10" s="34">
        <f>X10+0.5*Z10</f>
        <v/>
      </c>
      <c r="AB10" s="34">
        <f>Q10*J10</f>
        <v/>
      </c>
      <c r="AC10" s="34">
        <f>Q10*L10</f>
        <v/>
      </c>
      <c r="AD10" s="34">
        <f>S10*N10</f>
        <v/>
      </c>
      <c r="AE10" s="34">
        <f>E10*N10</f>
        <v/>
      </c>
      <c r="AF10" s="34">
        <f>R10*N10</f>
        <v/>
      </c>
      <c r="AG10" s="29">
        <f>MAX(SumAssured,AA10)</f>
        <v/>
      </c>
      <c r="AH10" s="34">
        <f>AG10*O10</f>
        <v/>
      </c>
      <c r="AI10" s="34">
        <f>AA10*O10</f>
        <v/>
      </c>
      <c r="AJ10" s="34">
        <f>AA10*P10</f>
        <v/>
      </c>
      <c r="AK10" s="34">
        <f>I10*AA10*P10</f>
        <v/>
      </c>
      <c r="AL10" s="34">
        <f>AJ10-AK10</f>
        <v/>
      </c>
      <c r="AM10" s="34">
        <f>Q10*K10</f>
        <v/>
      </c>
      <c r="AN10" s="34">
        <f>AH10+AL10+AM10</f>
        <v/>
      </c>
      <c r="AO10" s="34">
        <f>(AG10-AA10)*O10</f>
        <v/>
      </c>
      <c r="AP10" s="34">
        <f>W10*N10</f>
        <v/>
      </c>
      <c r="AQ10" s="34">
        <f>T10*N10</f>
        <v/>
      </c>
      <c r="AR10" s="34">
        <f>Z10*J11+0.5*Z10*(O10+P10)</f>
        <v/>
      </c>
      <c r="AS10" s="30">
        <f>(1+InflationRate)^(A10/12)</f>
        <v/>
      </c>
      <c r="AT10" s="29">
        <f>ExpenseAcq*M10+N10*ExpenseMaint/12*AS10</f>
        <v/>
      </c>
      <c r="AU10" s="29">
        <f>CommissionRate*AE10</f>
        <v/>
      </c>
      <c r="AV10" s="34">
        <f>AB11-AB10</f>
        <v/>
      </c>
      <c r="AW10" s="34">
        <f>AE10+AR10-AN10-AT10-AU10-AV10</f>
        <v/>
      </c>
      <c r="AX10" s="29">
        <f>LoadPremRate*E10*N10+AK10+AQ10-AU10-AT10</f>
        <v/>
      </c>
      <c r="AY10" s="34">
        <f>AP10-AO10</f>
        <v/>
      </c>
      <c r="AZ10" s="37">
        <f>(AW10-AX10-AY10)/MAX(1,ABS(AW10),ABS(AX10),ABS(AY10))</f>
        <v/>
      </c>
      <c r="BA10" s="37">
        <f>IF(OR(K10&gt;0,K11&gt;0),0,(AC11-(AC10+AF10-AQ10-AP10+AR10-AI10-AJ10-AM10))/MAX(1,ABS(AC10),ABS(AC11)))</f>
        <v/>
      </c>
      <c r="BB10" s="35">
        <f>(1+INDEX(DiscRateAnn,INT(A10/12)+1))^(1/12)-1</f>
        <v/>
      </c>
      <c r="BC10" s="31">
        <f>(1+BB10)^-A10</f>
        <v/>
      </c>
      <c r="BD10" s="34">
        <f>AW10*BC10</f>
        <v/>
      </c>
    </row>
    <row r="11">
      <c r="A11" s="27">
        <f>A10+1</f>
        <v/>
      </c>
      <c r="B11" s="28">
        <f>Duration0+A11</f>
        <v/>
      </c>
      <c r="C11" s="27">
        <f>INT(B11/12)</f>
        <v/>
      </c>
      <c r="D11" s="28">
        <f>AgeAtEntry+C11</f>
        <v/>
      </c>
      <c r="E11" s="29">
        <f>IF(PremiumType="SINGLE",IF(B11=0,PremiumPPInput,0),IF(B11&lt;12*PolicyTerm,PremiumPPInput,0))</f>
        <v/>
      </c>
      <c r="F11" s="30">
        <f>INDEX(MortRates,MATCH(MIN(D11,120),MortAges,0),MAX(MIN(C11,5),0)+1)</f>
        <v/>
      </c>
      <c r="G11" s="31">
        <f>1-(1-F11)^(1/12)</f>
        <v/>
      </c>
      <c r="H11" s="32">
        <f>MAX(LapseBase-LapseStep*C11,LapseFloor)</f>
        <v/>
      </c>
      <c r="I11" s="32">
        <f>IF(HasSurrCharge,INDEX(SurrRates,MIN(C11,SurrDurMax)+1,MATCH(SurrChargeID,SurrTypes,0)),0)</f>
        <v/>
      </c>
      <c r="J11" s="33">
        <f>N10-P10-O10</f>
        <v/>
      </c>
      <c r="K11" s="30">
        <f>IF(B11=12*PolicyTerm,J11,0)</f>
        <v/>
      </c>
      <c r="L11" s="33">
        <f>J11-K11</f>
        <v/>
      </c>
      <c r="M11" s="30">
        <f>IF(B11=0,PolicyCount,0)</f>
        <v/>
      </c>
      <c r="N11" s="33">
        <f>L11+M11</f>
        <v/>
      </c>
      <c r="O11" s="31">
        <f>N11*G11</f>
        <v/>
      </c>
      <c r="P11" s="33">
        <f>(N11-O11)*(1-(1-H11)^(1/12))</f>
        <v/>
      </c>
      <c r="Q11" s="34">
        <f>X10+Z10</f>
        <v/>
      </c>
      <c r="R11" s="29">
        <f>(1-LoadPremRate)*E11</f>
        <v/>
      </c>
      <c r="S11" s="34">
        <f>Q11+R11</f>
        <v/>
      </c>
      <c r="T11" s="29">
        <f>MaintFeeRateAnn/12*S11</f>
        <v/>
      </c>
      <c r="U11" s="29">
        <f>MAX(SumAssured-S11,0)</f>
        <v/>
      </c>
      <c r="V11" s="35">
        <f>CoiMultiple*G11</f>
        <v/>
      </c>
      <c r="W11" s="34">
        <f>V11*U11</f>
        <v/>
      </c>
      <c r="X11" s="34">
        <f>S11-T11-W11</f>
        <v/>
      </c>
      <c r="Y11" s="36">
        <f>EXP((Mu-0.5*Sigma^2)/12+Sigma*SQRT(1/12)*INDEX(NormRand,ScenID,A11+1))-1</f>
        <v/>
      </c>
      <c r="Z11" s="34">
        <f>Y11*X11</f>
        <v/>
      </c>
      <c r="AA11" s="34">
        <f>X11+0.5*Z11</f>
        <v/>
      </c>
      <c r="AB11" s="34">
        <f>Q11*J11</f>
        <v/>
      </c>
      <c r="AC11" s="34">
        <f>Q11*L11</f>
        <v/>
      </c>
      <c r="AD11" s="34">
        <f>S11*N11</f>
        <v/>
      </c>
      <c r="AE11" s="34">
        <f>E11*N11</f>
        <v/>
      </c>
      <c r="AF11" s="34">
        <f>R11*N11</f>
        <v/>
      </c>
      <c r="AG11" s="29">
        <f>MAX(SumAssured,AA11)</f>
        <v/>
      </c>
      <c r="AH11" s="34">
        <f>AG11*O11</f>
        <v/>
      </c>
      <c r="AI11" s="34">
        <f>AA11*O11</f>
        <v/>
      </c>
      <c r="AJ11" s="34">
        <f>AA11*P11</f>
        <v/>
      </c>
      <c r="AK11" s="34">
        <f>I11*AA11*P11</f>
        <v/>
      </c>
      <c r="AL11" s="34">
        <f>AJ11-AK11</f>
        <v/>
      </c>
      <c r="AM11" s="34">
        <f>Q11*K11</f>
        <v/>
      </c>
      <c r="AN11" s="34">
        <f>AH11+AL11+AM11</f>
        <v/>
      </c>
      <c r="AO11" s="34">
        <f>(AG11-AA11)*O11</f>
        <v/>
      </c>
      <c r="AP11" s="34">
        <f>W11*N11</f>
        <v/>
      </c>
      <c r="AQ11" s="34">
        <f>T11*N11</f>
        <v/>
      </c>
      <c r="AR11" s="34">
        <f>Z11*J12+0.5*Z11*(O11+P11)</f>
        <v/>
      </c>
      <c r="AS11" s="30">
        <f>(1+InflationRate)^(A11/12)</f>
        <v/>
      </c>
      <c r="AT11" s="29">
        <f>ExpenseAcq*M11+N11*ExpenseMaint/12*AS11</f>
        <v/>
      </c>
      <c r="AU11" s="29">
        <f>CommissionRate*AE11</f>
        <v/>
      </c>
      <c r="AV11" s="34">
        <f>AB12-AB11</f>
        <v/>
      </c>
      <c r="AW11" s="34">
        <f>AE11+AR11-AN11-AT11-AU11-AV11</f>
        <v/>
      </c>
      <c r="AX11" s="29">
        <f>LoadPremRate*E11*N11+AK11+AQ11-AU11-AT11</f>
        <v/>
      </c>
      <c r="AY11" s="34">
        <f>AP11-AO11</f>
        <v/>
      </c>
      <c r="AZ11" s="37">
        <f>(AW11-AX11-AY11)/MAX(1,ABS(AW11),ABS(AX11),ABS(AY11))</f>
        <v/>
      </c>
      <c r="BA11" s="37">
        <f>IF(OR(K11&gt;0,K12&gt;0),0,(AC12-(AC11+AF11-AQ11-AP11+AR11-AI11-AJ11-AM11))/MAX(1,ABS(AC11),ABS(AC12)))</f>
        <v/>
      </c>
      <c r="BB11" s="35">
        <f>(1+INDEX(DiscRateAnn,INT(A11/12)+1))^(1/12)-1</f>
        <v/>
      </c>
      <c r="BC11" s="31">
        <f>(1+BB11)^-A11</f>
        <v/>
      </c>
      <c r="BD11" s="34">
        <f>AW11*BC11</f>
        <v/>
      </c>
    </row>
    <row r="12">
      <c r="A12" s="27">
        <f>A11+1</f>
        <v/>
      </c>
      <c r="B12" s="28">
        <f>Duration0+A12</f>
        <v/>
      </c>
      <c r="C12" s="27">
        <f>INT(B12/12)</f>
        <v/>
      </c>
      <c r="D12" s="28">
        <f>AgeAtEntry+C12</f>
        <v/>
      </c>
      <c r="E12" s="29">
        <f>IF(PremiumType="SINGLE",IF(B12=0,PremiumPPInput,0),IF(B12&lt;12*PolicyTerm,PremiumPPInput,0))</f>
        <v/>
      </c>
      <c r="F12" s="30">
        <f>INDEX(MortRates,MATCH(MIN(D12,120),MortAges,0),MAX(MIN(C12,5),0)+1)</f>
        <v/>
      </c>
      <c r="G12" s="31">
        <f>1-(1-F12)^(1/12)</f>
        <v/>
      </c>
      <c r="H12" s="32">
        <f>MAX(LapseBase-LapseStep*C12,LapseFloor)</f>
        <v/>
      </c>
      <c r="I12" s="32">
        <f>IF(HasSurrCharge,INDEX(SurrRates,MIN(C12,SurrDurMax)+1,MATCH(SurrChargeID,SurrTypes,0)),0)</f>
        <v/>
      </c>
      <c r="J12" s="33">
        <f>N11-P11-O11</f>
        <v/>
      </c>
      <c r="K12" s="30">
        <f>IF(B12=12*PolicyTerm,J12,0)</f>
        <v/>
      </c>
      <c r="L12" s="33">
        <f>J12-K12</f>
        <v/>
      </c>
      <c r="M12" s="30">
        <f>IF(B12=0,PolicyCount,0)</f>
        <v/>
      </c>
      <c r="N12" s="33">
        <f>L12+M12</f>
        <v/>
      </c>
      <c r="O12" s="31">
        <f>N12*G12</f>
        <v/>
      </c>
      <c r="P12" s="33">
        <f>(N12-O12)*(1-(1-H12)^(1/12))</f>
        <v/>
      </c>
      <c r="Q12" s="34">
        <f>X11+Z11</f>
        <v/>
      </c>
      <c r="R12" s="29">
        <f>(1-LoadPremRate)*E12</f>
        <v/>
      </c>
      <c r="S12" s="34">
        <f>Q12+R12</f>
        <v/>
      </c>
      <c r="T12" s="29">
        <f>MaintFeeRateAnn/12*S12</f>
        <v/>
      </c>
      <c r="U12" s="29">
        <f>MAX(SumAssured-S12,0)</f>
        <v/>
      </c>
      <c r="V12" s="35">
        <f>CoiMultiple*G12</f>
        <v/>
      </c>
      <c r="W12" s="34">
        <f>V12*U12</f>
        <v/>
      </c>
      <c r="X12" s="34">
        <f>S12-T12-W12</f>
        <v/>
      </c>
      <c r="Y12" s="36">
        <f>EXP((Mu-0.5*Sigma^2)/12+Sigma*SQRT(1/12)*INDEX(NormRand,ScenID,A12+1))-1</f>
        <v/>
      </c>
      <c r="Z12" s="34">
        <f>Y12*X12</f>
        <v/>
      </c>
      <c r="AA12" s="34">
        <f>X12+0.5*Z12</f>
        <v/>
      </c>
      <c r="AB12" s="34">
        <f>Q12*J12</f>
        <v/>
      </c>
      <c r="AC12" s="34">
        <f>Q12*L12</f>
        <v/>
      </c>
      <c r="AD12" s="34">
        <f>S12*N12</f>
        <v/>
      </c>
      <c r="AE12" s="34">
        <f>E12*N12</f>
        <v/>
      </c>
      <c r="AF12" s="34">
        <f>R12*N12</f>
        <v/>
      </c>
      <c r="AG12" s="29">
        <f>MAX(SumAssured,AA12)</f>
        <v/>
      </c>
      <c r="AH12" s="34">
        <f>AG12*O12</f>
        <v/>
      </c>
      <c r="AI12" s="34">
        <f>AA12*O12</f>
        <v/>
      </c>
      <c r="AJ12" s="34">
        <f>AA12*P12</f>
        <v/>
      </c>
      <c r="AK12" s="34">
        <f>I12*AA12*P12</f>
        <v/>
      </c>
      <c r="AL12" s="34">
        <f>AJ12-AK12</f>
        <v/>
      </c>
      <c r="AM12" s="34">
        <f>Q12*K12</f>
        <v/>
      </c>
      <c r="AN12" s="34">
        <f>AH12+AL12+AM12</f>
        <v/>
      </c>
      <c r="AO12" s="34">
        <f>(AG12-AA12)*O12</f>
        <v/>
      </c>
      <c r="AP12" s="34">
        <f>W12*N12</f>
        <v/>
      </c>
      <c r="AQ12" s="34">
        <f>T12*N12</f>
        <v/>
      </c>
      <c r="AR12" s="34">
        <f>Z12*J13+0.5*Z12*(O12+P12)</f>
        <v/>
      </c>
      <c r="AS12" s="30">
        <f>(1+InflationRate)^(A12/12)</f>
        <v/>
      </c>
      <c r="AT12" s="29">
        <f>ExpenseAcq*M12+N12*ExpenseMaint/12*AS12</f>
        <v/>
      </c>
      <c r="AU12" s="29">
        <f>CommissionRate*AE12</f>
        <v/>
      </c>
      <c r="AV12" s="34">
        <f>AB13-AB12</f>
        <v/>
      </c>
      <c r="AW12" s="34">
        <f>AE12+AR12-AN12-AT12-AU12-AV12</f>
        <v/>
      </c>
      <c r="AX12" s="29">
        <f>LoadPremRate*E12*N12+AK12+AQ12-AU12-AT12</f>
        <v/>
      </c>
      <c r="AY12" s="34">
        <f>AP12-AO12</f>
        <v/>
      </c>
      <c r="AZ12" s="37">
        <f>(AW12-AX12-AY12)/MAX(1,ABS(AW12),ABS(AX12),ABS(AY12))</f>
        <v/>
      </c>
      <c r="BA12" s="37">
        <f>IF(OR(K12&gt;0,K13&gt;0),0,(AC13-(AC12+AF12-AQ12-AP12+AR12-AI12-AJ12-AM12))/MAX(1,ABS(AC12),ABS(AC13)))</f>
        <v/>
      </c>
      <c r="BB12" s="35">
        <f>(1+INDEX(DiscRateAnn,INT(A12/12)+1))^(1/12)-1</f>
        <v/>
      </c>
      <c r="BC12" s="31">
        <f>(1+BB12)^-A12</f>
        <v/>
      </c>
      <c r="BD12" s="34">
        <f>AW12*BC12</f>
        <v/>
      </c>
    </row>
    <row r="13">
      <c r="A13" s="27">
        <f>A12+1</f>
        <v/>
      </c>
      <c r="B13" s="28">
        <f>Duration0+A13</f>
        <v/>
      </c>
      <c r="C13" s="27">
        <f>INT(B13/12)</f>
        <v/>
      </c>
      <c r="D13" s="28">
        <f>AgeAtEntry+C13</f>
        <v/>
      </c>
      <c r="E13" s="29">
        <f>IF(PremiumType="SINGLE",IF(B13=0,PremiumPPInput,0),IF(B13&lt;12*PolicyTerm,PremiumPPInput,0))</f>
        <v/>
      </c>
      <c r="F13" s="30">
        <f>INDEX(MortRates,MATCH(MIN(D13,120),MortAges,0),MAX(MIN(C13,5),0)+1)</f>
        <v/>
      </c>
      <c r="G13" s="31">
        <f>1-(1-F13)^(1/12)</f>
        <v/>
      </c>
      <c r="H13" s="32">
        <f>MAX(LapseBase-LapseStep*C13,LapseFloor)</f>
        <v/>
      </c>
      <c r="I13" s="32">
        <f>IF(HasSurrCharge,INDEX(SurrRates,MIN(C13,SurrDurMax)+1,MATCH(SurrChargeID,SurrTypes,0)),0)</f>
        <v/>
      </c>
      <c r="J13" s="33">
        <f>N12-P12-O12</f>
        <v/>
      </c>
      <c r="K13" s="30">
        <f>IF(B13=12*PolicyTerm,J13,0)</f>
        <v/>
      </c>
      <c r="L13" s="33">
        <f>J13-K13</f>
        <v/>
      </c>
      <c r="M13" s="30">
        <f>IF(B13=0,PolicyCount,0)</f>
        <v/>
      </c>
      <c r="N13" s="33">
        <f>L13+M13</f>
        <v/>
      </c>
      <c r="O13" s="31">
        <f>N13*G13</f>
        <v/>
      </c>
      <c r="P13" s="33">
        <f>(N13-O13)*(1-(1-H13)^(1/12))</f>
        <v/>
      </c>
      <c r="Q13" s="34">
        <f>X12+Z12</f>
        <v/>
      </c>
      <c r="R13" s="29">
        <f>(1-LoadPremRate)*E13</f>
        <v/>
      </c>
      <c r="S13" s="34">
        <f>Q13+R13</f>
        <v/>
      </c>
      <c r="T13" s="29">
        <f>MaintFeeRateAnn/12*S13</f>
        <v/>
      </c>
      <c r="U13" s="29">
        <f>MAX(SumAssured-S13,0)</f>
        <v/>
      </c>
      <c r="V13" s="35">
        <f>CoiMultiple*G13</f>
        <v/>
      </c>
      <c r="W13" s="34">
        <f>V13*U13</f>
        <v/>
      </c>
      <c r="X13" s="34">
        <f>S13-T13-W13</f>
        <v/>
      </c>
      <c r="Y13" s="36">
        <f>EXP((Mu-0.5*Sigma^2)/12+Sigma*SQRT(1/12)*INDEX(NormRand,ScenID,A13+1))-1</f>
        <v/>
      </c>
      <c r="Z13" s="34">
        <f>Y13*X13</f>
        <v/>
      </c>
      <c r="AA13" s="34">
        <f>X13+0.5*Z13</f>
        <v/>
      </c>
      <c r="AB13" s="34">
        <f>Q13*J13</f>
        <v/>
      </c>
      <c r="AC13" s="34">
        <f>Q13*L13</f>
        <v/>
      </c>
      <c r="AD13" s="34">
        <f>S13*N13</f>
        <v/>
      </c>
      <c r="AE13" s="34">
        <f>E13*N13</f>
        <v/>
      </c>
      <c r="AF13" s="34">
        <f>R13*N13</f>
        <v/>
      </c>
      <c r="AG13" s="29">
        <f>MAX(SumAssured,AA13)</f>
        <v/>
      </c>
      <c r="AH13" s="34">
        <f>AG13*O13</f>
        <v/>
      </c>
      <c r="AI13" s="34">
        <f>AA13*O13</f>
        <v/>
      </c>
      <c r="AJ13" s="34">
        <f>AA13*P13</f>
        <v/>
      </c>
      <c r="AK13" s="34">
        <f>I13*AA13*P13</f>
        <v/>
      </c>
      <c r="AL13" s="34">
        <f>AJ13-AK13</f>
        <v/>
      </c>
      <c r="AM13" s="34">
        <f>Q13*K13</f>
        <v/>
      </c>
      <c r="AN13" s="34">
        <f>AH13+AL13+AM13</f>
        <v/>
      </c>
      <c r="AO13" s="34">
        <f>(AG13-AA13)*O13</f>
        <v/>
      </c>
      <c r="AP13" s="34">
        <f>W13*N13</f>
        <v/>
      </c>
      <c r="AQ13" s="34">
        <f>T13*N13</f>
        <v/>
      </c>
      <c r="AR13" s="34">
        <f>Z13*J14+0.5*Z13*(O13+P13)</f>
        <v/>
      </c>
      <c r="AS13" s="30">
        <f>(1+InflationRate)^(A13/12)</f>
        <v/>
      </c>
      <c r="AT13" s="29">
        <f>ExpenseAcq*M13+N13*ExpenseMaint/12*AS13</f>
        <v/>
      </c>
      <c r="AU13" s="29">
        <f>CommissionRate*AE13</f>
        <v/>
      </c>
      <c r="AV13" s="34">
        <f>AB14-AB13</f>
        <v/>
      </c>
      <c r="AW13" s="34">
        <f>AE13+AR13-AN13-AT13-AU13-AV13</f>
        <v/>
      </c>
      <c r="AX13" s="29">
        <f>LoadPremRate*E13*N13+AK13+AQ13-AU13-AT13</f>
        <v/>
      </c>
      <c r="AY13" s="34">
        <f>AP13-AO13</f>
        <v/>
      </c>
      <c r="AZ13" s="37">
        <f>(AW13-AX13-AY13)/MAX(1,ABS(AW13),ABS(AX13),ABS(AY13))</f>
        <v/>
      </c>
      <c r="BA13" s="37">
        <f>IF(OR(K13&gt;0,K14&gt;0),0,(AC14-(AC13+AF13-AQ13-AP13+AR13-AI13-AJ13-AM13))/MAX(1,ABS(AC13),ABS(AC14)))</f>
        <v/>
      </c>
      <c r="BB13" s="35">
        <f>(1+INDEX(DiscRateAnn,INT(A13/12)+1))^(1/12)-1</f>
        <v/>
      </c>
      <c r="BC13" s="31">
        <f>(1+BB13)^-A13</f>
        <v/>
      </c>
      <c r="BD13" s="34">
        <f>AW13*BC13</f>
        <v/>
      </c>
    </row>
    <row r="14">
      <c r="A14" s="27">
        <f>A13+1</f>
        <v/>
      </c>
      <c r="B14" s="28">
        <f>Duration0+A14</f>
        <v/>
      </c>
      <c r="C14" s="27">
        <f>INT(B14/12)</f>
        <v/>
      </c>
      <c r="D14" s="28">
        <f>AgeAtEntry+C14</f>
        <v/>
      </c>
      <c r="E14" s="29">
        <f>IF(PremiumType="SINGLE",IF(B14=0,PremiumPPInput,0),IF(B14&lt;12*PolicyTerm,PremiumPPInput,0))</f>
        <v/>
      </c>
      <c r="F14" s="30">
        <f>INDEX(MortRates,MATCH(MIN(D14,120),MortAges,0),MAX(MIN(C14,5),0)+1)</f>
        <v/>
      </c>
      <c r="G14" s="31">
        <f>1-(1-F14)^(1/12)</f>
        <v/>
      </c>
      <c r="H14" s="32">
        <f>MAX(LapseBase-LapseStep*C14,LapseFloor)</f>
        <v/>
      </c>
      <c r="I14" s="32">
        <f>IF(HasSurrCharge,INDEX(SurrRates,MIN(C14,SurrDurMax)+1,MATCH(SurrChargeID,SurrTypes,0)),0)</f>
        <v/>
      </c>
      <c r="J14" s="33">
        <f>N13-P13-O13</f>
        <v/>
      </c>
      <c r="K14" s="30">
        <f>IF(B14=12*PolicyTerm,J14,0)</f>
        <v/>
      </c>
      <c r="L14" s="33">
        <f>J14-K14</f>
        <v/>
      </c>
      <c r="M14" s="30">
        <f>IF(B14=0,PolicyCount,0)</f>
        <v/>
      </c>
      <c r="N14" s="33">
        <f>L14+M14</f>
        <v/>
      </c>
      <c r="O14" s="31">
        <f>N14*G14</f>
        <v/>
      </c>
      <c r="P14" s="33">
        <f>(N14-O14)*(1-(1-H14)^(1/12))</f>
        <v/>
      </c>
      <c r="Q14" s="34">
        <f>X13+Z13</f>
        <v/>
      </c>
      <c r="R14" s="29">
        <f>(1-LoadPremRate)*E14</f>
        <v/>
      </c>
      <c r="S14" s="34">
        <f>Q14+R14</f>
        <v/>
      </c>
      <c r="T14" s="29">
        <f>MaintFeeRateAnn/12*S14</f>
        <v/>
      </c>
      <c r="U14" s="29">
        <f>MAX(SumAssured-S14,0)</f>
        <v/>
      </c>
      <c r="V14" s="35">
        <f>CoiMultiple*G14</f>
        <v/>
      </c>
      <c r="W14" s="34">
        <f>V14*U14</f>
        <v/>
      </c>
      <c r="X14" s="34">
        <f>S14-T14-W14</f>
        <v/>
      </c>
      <c r="Y14" s="36">
        <f>EXP((Mu-0.5*Sigma^2)/12+Sigma*SQRT(1/12)*INDEX(NormRand,ScenID,A14+1))-1</f>
        <v/>
      </c>
      <c r="Z14" s="34">
        <f>Y14*X14</f>
        <v/>
      </c>
      <c r="AA14" s="34">
        <f>X14+0.5*Z14</f>
        <v/>
      </c>
      <c r="AB14" s="34">
        <f>Q14*J14</f>
        <v/>
      </c>
      <c r="AC14" s="34">
        <f>Q14*L14</f>
        <v/>
      </c>
      <c r="AD14" s="34">
        <f>S14*N14</f>
        <v/>
      </c>
      <c r="AE14" s="34">
        <f>E14*N14</f>
        <v/>
      </c>
      <c r="AF14" s="34">
        <f>R14*N14</f>
        <v/>
      </c>
      <c r="AG14" s="29">
        <f>MAX(SumAssured,AA14)</f>
        <v/>
      </c>
      <c r="AH14" s="34">
        <f>AG14*O14</f>
        <v/>
      </c>
      <c r="AI14" s="34">
        <f>AA14*O14</f>
        <v/>
      </c>
      <c r="AJ14" s="34">
        <f>AA14*P14</f>
        <v/>
      </c>
      <c r="AK14" s="34">
        <f>I14*AA14*P14</f>
        <v/>
      </c>
      <c r="AL14" s="34">
        <f>AJ14-AK14</f>
        <v/>
      </c>
      <c r="AM14" s="34">
        <f>Q14*K14</f>
        <v/>
      </c>
      <c r="AN14" s="34">
        <f>AH14+AL14+AM14</f>
        <v/>
      </c>
      <c r="AO14" s="34">
        <f>(AG14-AA14)*O14</f>
        <v/>
      </c>
      <c r="AP14" s="34">
        <f>W14*N14</f>
        <v/>
      </c>
      <c r="AQ14" s="34">
        <f>T14*N14</f>
        <v/>
      </c>
      <c r="AR14" s="34">
        <f>Z14*J15+0.5*Z14*(O14+P14)</f>
        <v/>
      </c>
      <c r="AS14" s="30">
        <f>(1+InflationRate)^(A14/12)</f>
        <v/>
      </c>
      <c r="AT14" s="29">
        <f>ExpenseAcq*M14+N14*ExpenseMaint/12*AS14</f>
        <v/>
      </c>
      <c r="AU14" s="29">
        <f>CommissionRate*AE14</f>
        <v/>
      </c>
      <c r="AV14" s="34">
        <f>AB15-AB14</f>
        <v/>
      </c>
      <c r="AW14" s="34">
        <f>AE14+AR14-AN14-AT14-AU14-AV14</f>
        <v/>
      </c>
      <c r="AX14" s="29">
        <f>LoadPremRate*E14*N14+AK14+AQ14-AU14-AT14</f>
        <v/>
      </c>
      <c r="AY14" s="34">
        <f>AP14-AO14</f>
        <v/>
      </c>
      <c r="AZ14" s="37">
        <f>(AW14-AX14-AY14)/MAX(1,ABS(AW14),ABS(AX14),ABS(AY14))</f>
        <v/>
      </c>
      <c r="BA14" s="37">
        <f>IF(OR(K14&gt;0,K15&gt;0),0,(AC15-(AC14+AF14-AQ14-AP14+AR14-AI14-AJ14-AM14))/MAX(1,ABS(AC14),ABS(AC15)))</f>
        <v/>
      </c>
      <c r="BB14" s="35">
        <f>(1+INDEX(DiscRateAnn,INT(A14/12)+1))^(1/12)-1</f>
        <v/>
      </c>
      <c r="BC14" s="31">
        <f>(1+BB14)^-A14</f>
        <v/>
      </c>
      <c r="BD14" s="34">
        <f>AW14*BC14</f>
        <v/>
      </c>
    </row>
    <row r="15">
      <c r="A15" s="27">
        <f>A14+1</f>
        <v/>
      </c>
      <c r="B15" s="28">
        <f>Duration0+A15</f>
        <v/>
      </c>
      <c r="C15" s="27">
        <f>INT(B15/12)</f>
        <v/>
      </c>
      <c r="D15" s="28">
        <f>AgeAtEntry+C15</f>
        <v/>
      </c>
      <c r="E15" s="29">
        <f>IF(PremiumType="SINGLE",IF(B15=0,PremiumPPInput,0),IF(B15&lt;12*PolicyTerm,PremiumPPInput,0))</f>
        <v/>
      </c>
      <c r="F15" s="30">
        <f>INDEX(MortRates,MATCH(MIN(D15,120),MortAges,0),MAX(MIN(C15,5),0)+1)</f>
        <v/>
      </c>
      <c r="G15" s="31">
        <f>1-(1-F15)^(1/12)</f>
        <v/>
      </c>
      <c r="H15" s="32">
        <f>MAX(LapseBase-LapseStep*C15,LapseFloor)</f>
        <v/>
      </c>
      <c r="I15" s="32">
        <f>IF(HasSurrCharge,INDEX(SurrRates,MIN(C15,SurrDurMax)+1,MATCH(SurrChargeID,SurrTypes,0)),0)</f>
        <v/>
      </c>
      <c r="J15" s="33">
        <f>N14-P14-O14</f>
        <v/>
      </c>
      <c r="K15" s="30">
        <f>IF(B15=12*PolicyTerm,J15,0)</f>
        <v/>
      </c>
      <c r="L15" s="33">
        <f>J15-K15</f>
        <v/>
      </c>
      <c r="M15" s="30">
        <f>IF(B15=0,PolicyCount,0)</f>
        <v/>
      </c>
      <c r="N15" s="33">
        <f>L15+M15</f>
        <v/>
      </c>
      <c r="O15" s="31">
        <f>N15*G15</f>
        <v/>
      </c>
      <c r="P15" s="33">
        <f>(N15-O15)*(1-(1-H15)^(1/12))</f>
        <v/>
      </c>
      <c r="Q15" s="34">
        <f>X14+Z14</f>
        <v/>
      </c>
      <c r="R15" s="29">
        <f>(1-LoadPremRate)*E15</f>
        <v/>
      </c>
      <c r="S15" s="34">
        <f>Q15+R15</f>
        <v/>
      </c>
      <c r="T15" s="29">
        <f>MaintFeeRateAnn/12*S15</f>
        <v/>
      </c>
      <c r="U15" s="29">
        <f>MAX(SumAssured-S15,0)</f>
        <v/>
      </c>
      <c r="V15" s="35">
        <f>CoiMultiple*G15</f>
        <v/>
      </c>
      <c r="W15" s="34">
        <f>V15*U15</f>
        <v/>
      </c>
      <c r="X15" s="34">
        <f>S15-T15-W15</f>
        <v/>
      </c>
      <c r="Y15" s="36">
        <f>EXP((Mu-0.5*Sigma^2)/12+Sigma*SQRT(1/12)*INDEX(NormRand,ScenID,A15+1))-1</f>
        <v/>
      </c>
      <c r="Z15" s="34">
        <f>Y15*X15</f>
        <v/>
      </c>
      <c r="AA15" s="34">
        <f>X15+0.5*Z15</f>
        <v/>
      </c>
      <c r="AB15" s="34">
        <f>Q15*J15</f>
        <v/>
      </c>
      <c r="AC15" s="34">
        <f>Q15*L15</f>
        <v/>
      </c>
      <c r="AD15" s="34">
        <f>S15*N15</f>
        <v/>
      </c>
      <c r="AE15" s="34">
        <f>E15*N15</f>
        <v/>
      </c>
      <c r="AF15" s="34">
        <f>R15*N15</f>
        <v/>
      </c>
      <c r="AG15" s="29">
        <f>MAX(SumAssured,AA15)</f>
        <v/>
      </c>
      <c r="AH15" s="34">
        <f>AG15*O15</f>
        <v/>
      </c>
      <c r="AI15" s="34">
        <f>AA15*O15</f>
        <v/>
      </c>
      <c r="AJ15" s="34">
        <f>AA15*P15</f>
        <v/>
      </c>
      <c r="AK15" s="34">
        <f>I15*AA15*P15</f>
        <v/>
      </c>
      <c r="AL15" s="34">
        <f>AJ15-AK15</f>
        <v/>
      </c>
      <c r="AM15" s="34">
        <f>Q15*K15</f>
        <v/>
      </c>
      <c r="AN15" s="34">
        <f>AH15+AL15+AM15</f>
        <v/>
      </c>
      <c r="AO15" s="34">
        <f>(AG15-AA15)*O15</f>
        <v/>
      </c>
      <c r="AP15" s="34">
        <f>W15*N15</f>
        <v/>
      </c>
      <c r="AQ15" s="34">
        <f>T15*N15</f>
        <v/>
      </c>
      <c r="AR15" s="34">
        <f>Z15*J16+0.5*Z15*(O15+P15)</f>
        <v/>
      </c>
      <c r="AS15" s="30">
        <f>(1+InflationRate)^(A15/12)</f>
        <v/>
      </c>
      <c r="AT15" s="29">
        <f>ExpenseAcq*M15+N15*ExpenseMaint/12*AS15</f>
        <v/>
      </c>
      <c r="AU15" s="29">
        <f>CommissionRate*AE15</f>
        <v/>
      </c>
      <c r="AV15" s="34">
        <f>AB16-AB15</f>
        <v/>
      </c>
      <c r="AW15" s="34">
        <f>AE15+AR15-AN15-AT15-AU15-AV15</f>
        <v/>
      </c>
      <c r="AX15" s="29">
        <f>LoadPremRate*E15*N15+AK15+AQ15-AU15-AT15</f>
        <v/>
      </c>
      <c r="AY15" s="34">
        <f>AP15-AO15</f>
        <v/>
      </c>
      <c r="AZ15" s="37">
        <f>(AW15-AX15-AY15)/MAX(1,ABS(AW15),ABS(AX15),ABS(AY15))</f>
        <v/>
      </c>
      <c r="BA15" s="37">
        <f>IF(OR(K15&gt;0,K16&gt;0),0,(AC16-(AC15+AF15-AQ15-AP15+AR15-AI15-AJ15-AM15))/MAX(1,ABS(AC15),ABS(AC16)))</f>
        <v/>
      </c>
      <c r="BB15" s="35">
        <f>(1+INDEX(DiscRateAnn,INT(A15/12)+1))^(1/12)-1</f>
        <v/>
      </c>
      <c r="BC15" s="31">
        <f>(1+BB15)^-A15</f>
        <v/>
      </c>
      <c r="BD15" s="34">
        <f>AW15*BC15</f>
        <v/>
      </c>
    </row>
    <row r="16">
      <c r="A16" s="27">
        <f>A15+1</f>
        <v/>
      </c>
      <c r="B16" s="28">
        <f>Duration0+A16</f>
        <v/>
      </c>
      <c r="C16" s="27">
        <f>INT(B16/12)</f>
        <v/>
      </c>
      <c r="D16" s="28">
        <f>AgeAtEntry+C16</f>
        <v/>
      </c>
      <c r="E16" s="29">
        <f>IF(PremiumType="SINGLE",IF(B16=0,PremiumPPInput,0),IF(B16&lt;12*PolicyTerm,PremiumPPInput,0))</f>
        <v/>
      </c>
      <c r="F16" s="30">
        <f>INDEX(MortRates,MATCH(MIN(D16,120),MortAges,0),MAX(MIN(C16,5),0)+1)</f>
        <v/>
      </c>
      <c r="G16" s="31">
        <f>1-(1-F16)^(1/12)</f>
        <v/>
      </c>
      <c r="H16" s="32">
        <f>MAX(LapseBase-LapseStep*C16,LapseFloor)</f>
        <v/>
      </c>
      <c r="I16" s="32">
        <f>IF(HasSurrCharge,INDEX(SurrRates,MIN(C16,SurrDurMax)+1,MATCH(SurrChargeID,SurrTypes,0)),0)</f>
        <v/>
      </c>
      <c r="J16" s="33">
        <f>N15-P15-O15</f>
        <v/>
      </c>
      <c r="K16" s="30">
        <f>IF(B16=12*PolicyTerm,J16,0)</f>
        <v/>
      </c>
      <c r="L16" s="33">
        <f>J16-K16</f>
        <v/>
      </c>
      <c r="M16" s="30">
        <f>IF(B16=0,PolicyCount,0)</f>
        <v/>
      </c>
      <c r="N16" s="33">
        <f>L16+M16</f>
        <v/>
      </c>
      <c r="O16" s="31">
        <f>N16*G16</f>
        <v/>
      </c>
      <c r="P16" s="33">
        <f>(N16-O16)*(1-(1-H16)^(1/12))</f>
        <v/>
      </c>
      <c r="Q16" s="34">
        <f>X15+Z15</f>
        <v/>
      </c>
      <c r="R16" s="29">
        <f>(1-LoadPremRate)*E16</f>
        <v/>
      </c>
      <c r="S16" s="34">
        <f>Q16+R16</f>
        <v/>
      </c>
      <c r="T16" s="29">
        <f>MaintFeeRateAnn/12*S16</f>
        <v/>
      </c>
      <c r="U16" s="29">
        <f>MAX(SumAssured-S16,0)</f>
        <v/>
      </c>
      <c r="V16" s="35">
        <f>CoiMultiple*G16</f>
        <v/>
      </c>
      <c r="W16" s="34">
        <f>V16*U16</f>
        <v/>
      </c>
      <c r="X16" s="34">
        <f>S16-T16-W16</f>
        <v/>
      </c>
      <c r="Y16" s="36">
        <f>EXP((Mu-0.5*Sigma^2)/12+Sigma*SQRT(1/12)*INDEX(NormRand,ScenID,A16+1))-1</f>
        <v/>
      </c>
      <c r="Z16" s="34">
        <f>Y16*X16</f>
        <v/>
      </c>
      <c r="AA16" s="34">
        <f>X16+0.5*Z16</f>
        <v/>
      </c>
      <c r="AB16" s="34">
        <f>Q16*J16</f>
        <v/>
      </c>
      <c r="AC16" s="34">
        <f>Q16*L16</f>
        <v/>
      </c>
      <c r="AD16" s="34">
        <f>S16*N16</f>
        <v/>
      </c>
      <c r="AE16" s="34">
        <f>E16*N16</f>
        <v/>
      </c>
      <c r="AF16" s="34">
        <f>R16*N16</f>
        <v/>
      </c>
      <c r="AG16" s="29">
        <f>MAX(SumAssured,AA16)</f>
        <v/>
      </c>
      <c r="AH16" s="34">
        <f>AG16*O16</f>
        <v/>
      </c>
      <c r="AI16" s="34">
        <f>AA16*O16</f>
        <v/>
      </c>
      <c r="AJ16" s="34">
        <f>AA16*P16</f>
        <v/>
      </c>
      <c r="AK16" s="34">
        <f>I16*AA16*P16</f>
        <v/>
      </c>
      <c r="AL16" s="34">
        <f>AJ16-AK16</f>
        <v/>
      </c>
      <c r="AM16" s="34">
        <f>Q16*K16</f>
        <v/>
      </c>
      <c r="AN16" s="34">
        <f>AH16+AL16+AM16</f>
        <v/>
      </c>
      <c r="AO16" s="34">
        <f>(AG16-AA16)*O16</f>
        <v/>
      </c>
      <c r="AP16" s="34">
        <f>W16*N16</f>
        <v/>
      </c>
      <c r="AQ16" s="34">
        <f>T16*N16</f>
        <v/>
      </c>
      <c r="AR16" s="34">
        <f>Z16*J17+0.5*Z16*(O16+P16)</f>
        <v/>
      </c>
      <c r="AS16" s="30">
        <f>(1+InflationRate)^(A16/12)</f>
        <v/>
      </c>
      <c r="AT16" s="29">
        <f>ExpenseAcq*M16+N16*ExpenseMaint/12*AS16</f>
        <v/>
      </c>
      <c r="AU16" s="29">
        <f>CommissionRate*AE16</f>
        <v/>
      </c>
      <c r="AV16" s="34">
        <f>AB17-AB16</f>
        <v/>
      </c>
      <c r="AW16" s="34">
        <f>AE16+AR16-AN16-AT16-AU16-AV16</f>
        <v/>
      </c>
      <c r="AX16" s="29">
        <f>LoadPremRate*E16*N16+AK16+AQ16-AU16-AT16</f>
        <v/>
      </c>
      <c r="AY16" s="34">
        <f>AP16-AO16</f>
        <v/>
      </c>
      <c r="AZ16" s="37">
        <f>(AW16-AX16-AY16)/MAX(1,ABS(AW16),ABS(AX16),ABS(AY16))</f>
        <v/>
      </c>
      <c r="BA16" s="37">
        <f>IF(OR(K16&gt;0,K17&gt;0),0,(AC17-(AC16+AF16-AQ16-AP16+AR16-AI16-AJ16-AM16))/MAX(1,ABS(AC16),ABS(AC17)))</f>
        <v/>
      </c>
      <c r="BB16" s="35">
        <f>(1+INDEX(DiscRateAnn,INT(A16/12)+1))^(1/12)-1</f>
        <v/>
      </c>
      <c r="BC16" s="31">
        <f>(1+BB16)^-A16</f>
        <v/>
      </c>
      <c r="BD16" s="34">
        <f>AW16*BC16</f>
        <v/>
      </c>
    </row>
    <row r="17">
      <c r="A17" s="27">
        <f>A16+1</f>
        <v/>
      </c>
      <c r="B17" s="28">
        <f>Duration0+A17</f>
        <v/>
      </c>
      <c r="C17" s="27">
        <f>INT(B17/12)</f>
        <v/>
      </c>
      <c r="D17" s="28">
        <f>AgeAtEntry+C17</f>
        <v/>
      </c>
      <c r="E17" s="29">
        <f>IF(PremiumType="SINGLE",IF(B17=0,PremiumPPInput,0),IF(B17&lt;12*PolicyTerm,PremiumPPInput,0))</f>
        <v/>
      </c>
      <c r="F17" s="30">
        <f>INDEX(MortRates,MATCH(MIN(D17,120),MortAges,0),MAX(MIN(C17,5),0)+1)</f>
        <v/>
      </c>
      <c r="G17" s="31">
        <f>1-(1-F17)^(1/12)</f>
        <v/>
      </c>
      <c r="H17" s="32">
        <f>MAX(LapseBase-LapseStep*C17,LapseFloor)</f>
        <v/>
      </c>
      <c r="I17" s="32">
        <f>IF(HasSurrCharge,INDEX(SurrRates,MIN(C17,SurrDurMax)+1,MATCH(SurrChargeID,SurrTypes,0)),0)</f>
        <v/>
      </c>
      <c r="J17" s="33">
        <f>N16-P16-O16</f>
        <v/>
      </c>
      <c r="K17" s="30">
        <f>IF(B17=12*PolicyTerm,J17,0)</f>
        <v/>
      </c>
      <c r="L17" s="33">
        <f>J17-K17</f>
        <v/>
      </c>
      <c r="M17" s="30">
        <f>IF(B17=0,PolicyCount,0)</f>
        <v/>
      </c>
      <c r="N17" s="33">
        <f>L17+M17</f>
        <v/>
      </c>
      <c r="O17" s="31">
        <f>N17*G17</f>
        <v/>
      </c>
      <c r="P17" s="33">
        <f>(N17-O17)*(1-(1-H17)^(1/12))</f>
        <v/>
      </c>
      <c r="Q17" s="34">
        <f>X16+Z16</f>
        <v/>
      </c>
      <c r="R17" s="29">
        <f>(1-LoadPremRate)*E17</f>
        <v/>
      </c>
      <c r="S17" s="34">
        <f>Q17+R17</f>
        <v/>
      </c>
      <c r="T17" s="29">
        <f>MaintFeeRateAnn/12*S17</f>
        <v/>
      </c>
      <c r="U17" s="29">
        <f>MAX(SumAssured-S17,0)</f>
        <v/>
      </c>
      <c r="V17" s="35">
        <f>CoiMultiple*G17</f>
        <v/>
      </c>
      <c r="W17" s="34">
        <f>V17*U17</f>
        <v/>
      </c>
      <c r="X17" s="34">
        <f>S17-T17-W17</f>
        <v/>
      </c>
      <c r="Y17" s="36">
        <f>EXP((Mu-0.5*Sigma^2)/12+Sigma*SQRT(1/12)*INDEX(NormRand,ScenID,A17+1))-1</f>
        <v/>
      </c>
      <c r="Z17" s="34">
        <f>Y17*X17</f>
        <v/>
      </c>
      <c r="AA17" s="34">
        <f>X17+0.5*Z17</f>
        <v/>
      </c>
      <c r="AB17" s="34">
        <f>Q17*J17</f>
        <v/>
      </c>
      <c r="AC17" s="34">
        <f>Q17*L17</f>
        <v/>
      </c>
      <c r="AD17" s="34">
        <f>S17*N17</f>
        <v/>
      </c>
      <c r="AE17" s="34">
        <f>E17*N17</f>
        <v/>
      </c>
      <c r="AF17" s="34">
        <f>R17*N17</f>
        <v/>
      </c>
      <c r="AG17" s="29">
        <f>MAX(SumAssured,AA17)</f>
        <v/>
      </c>
      <c r="AH17" s="34">
        <f>AG17*O17</f>
        <v/>
      </c>
      <c r="AI17" s="34">
        <f>AA17*O17</f>
        <v/>
      </c>
      <c r="AJ17" s="34">
        <f>AA17*P17</f>
        <v/>
      </c>
      <c r="AK17" s="34">
        <f>I17*AA17*P17</f>
        <v/>
      </c>
      <c r="AL17" s="34">
        <f>AJ17-AK17</f>
        <v/>
      </c>
      <c r="AM17" s="34">
        <f>Q17*K17</f>
        <v/>
      </c>
      <c r="AN17" s="34">
        <f>AH17+AL17+AM17</f>
        <v/>
      </c>
      <c r="AO17" s="34">
        <f>(AG17-AA17)*O17</f>
        <v/>
      </c>
      <c r="AP17" s="34">
        <f>W17*N17</f>
        <v/>
      </c>
      <c r="AQ17" s="34">
        <f>T17*N17</f>
        <v/>
      </c>
      <c r="AR17" s="34">
        <f>Z17*J18+0.5*Z17*(O17+P17)</f>
        <v/>
      </c>
      <c r="AS17" s="30">
        <f>(1+InflationRate)^(A17/12)</f>
        <v/>
      </c>
      <c r="AT17" s="29">
        <f>ExpenseAcq*M17+N17*ExpenseMaint/12*AS17</f>
        <v/>
      </c>
      <c r="AU17" s="29">
        <f>CommissionRate*AE17</f>
        <v/>
      </c>
      <c r="AV17" s="34">
        <f>AB18-AB17</f>
        <v/>
      </c>
      <c r="AW17" s="34">
        <f>AE17+AR17-AN17-AT17-AU17-AV17</f>
        <v/>
      </c>
      <c r="AX17" s="29">
        <f>LoadPremRate*E17*N17+AK17+AQ17-AU17-AT17</f>
        <v/>
      </c>
      <c r="AY17" s="34">
        <f>AP17-AO17</f>
        <v/>
      </c>
      <c r="AZ17" s="37">
        <f>(AW17-AX17-AY17)/MAX(1,ABS(AW17),ABS(AX17),ABS(AY17))</f>
        <v/>
      </c>
      <c r="BA17" s="37">
        <f>IF(OR(K17&gt;0,K18&gt;0),0,(AC18-(AC17+AF17-AQ17-AP17+AR17-AI17-AJ17-AM17))/MAX(1,ABS(AC17),ABS(AC18)))</f>
        <v/>
      </c>
      <c r="BB17" s="35">
        <f>(1+INDEX(DiscRateAnn,INT(A17/12)+1))^(1/12)-1</f>
        <v/>
      </c>
      <c r="BC17" s="31">
        <f>(1+BB17)^-A17</f>
        <v/>
      </c>
      <c r="BD17" s="34">
        <f>AW17*BC17</f>
        <v/>
      </c>
    </row>
    <row r="18">
      <c r="A18" s="27">
        <f>A17+1</f>
        <v/>
      </c>
      <c r="B18" s="28">
        <f>Duration0+A18</f>
        <v/>
      </c>
      <c r="C18" s="27">
        <f>INT(B18/12)</f>
        <v/>
      </c>
      <c r="D18" s="28">
        <f>AgeAtEntry+C18</f>
        <v/>
      </c>
      <c r="E18" s="29">
        <f>IF(PremiumType="SINGLE",IF(B18=0,PremiumPPInput,0),IF(B18&lt;12*PolicyTerm,PremiumPPInput,0))</f>
        <v/>
      </c>
      <c r="F18" s="30">
        <f>INDEX(MortRates,MATCH(MIN(D18,120),MortAges,0),MAX(MIN(C18,5),0)+1)</f>
        <v/>
      </c>
      <c r="G18" s="31">
        <f>1-(1-F18)^(1/12)</f>
        <v/>
      </c>
      <c r="H18" s="32">
        <f>MAX(LapseBase-LapseStep*C18,LapseFloor)</f>
        <v/>
      </c>
      <c r="I18" s="32">
        <f>IF(HasSurrCharge,INDEX(SurrRates,MIN(C18,SurrDurMax)+1,MATCH(SurrChargeID,SurrTypes,0)),0)</f>
        <v/>
      </c>
      <c r="J18" s="33">
        <f>N17-P17-O17</f>
        <v/>
      </c>
      <c r="K18" s="30">
        <f>IF(B18=12*PolicyTerm,J18,0)</f>
        <v/>
      </c>
      <c r="L18" s="33">
        <f>J18-K18</f>
        <v/>
      </c>
      <c r="M18" s="30">
        <f>IF(B18=0,PolicyCount,0)</f>
        <v/>
      </c>
      <c r="N18" s="33">
        <f>L18+M18</f>
        <v/>
      </c>
      <c r="O18" s="31">
        <f>N18*G18</f>
        <v/>
      </c>
      <c r="P18" s="33">
        <f>(N18-O18)*(1-(1-H18)^(1/12))</f>
        <v/>
      </c>
      <c r="Q18" s="34">
        <f>X17+Z17</f>
        <v/>
      </c>
      <c r="R18" s="29">
        <f>(1-LoadPremRate)*E18</f>
        <v/>
      </c>
      <c r="S18" s="34">
        <f>Q18+R18</f>
        <v/>
      </c>
      <c r="T18" s="29">
        <f>MaintFeeRateAnn/12*S18</f>
        <v/>
      </c>
      <c r="U18" s="29">
        <f>MAX(SumAssured-S18,0)</f>
        <v/>
      </c>
      <c r="V18" s="35">
        <f>CoiMultiple*G18</f>
        <v/>
      </c>
      <c r="W18" s="34">
        <f>V18*U18</f>
        <v/>
      </c>
      <c r="X18" s="34">
        <f>S18-T18-W18</f>
        <v/>
      </c>
      <c r="Y18" s="36">
        <f>EXP((Mu-0.5*Sigma^2)/12+Sigma*SQRT(1/12)*INDEX(NormRand,ScenID,A18+1))-1</f>
        <v/>
      </c>
      <c r="Z18" s="34">
        <f>Y18*X18</f>
        <v/>
      </c>
      <c r="AA18" s="34">
        <f>X18+0.5*Z18</f>
        <v/>
      </c>
      <c r="AB18" s="34">
        <f>Q18*J18</f>
        <v/>
      </c>
      <c r="AC18" s="34">
        <f>Q18*L18</f>
        <v/>
      </c>
      <c r="AD18" s="34">
        <f>S18*N18</f>
        <v/>
      </c>
      <c r="AE18" s="34">
        <f>E18*N18</f>
        <v/>
      </c>
      <c r="AF18" s="34">
        <f>R18*N18</f>
        <v/>
      </c>
      <c r="AG18" s="29">
        <f>MAX(SumAssured,AA18)</f>
        <v/>
      </c>
      <c r="AH18" s="34">
        <f>AG18*O18</f>
        <v/>
      </c>
      <c r="AI18" s="34">
        <f>AA18*O18</f>
        <v/>
      </c>
      <c r="AJ18" s="34">
        <f>AA18*P18</f>
        <v/>
      </c>
      <c r="AK18" s="34">
        <f>I18*AA18*P18</f>
        <v/>
      </c>
      <c r="AL18" s="34">
        <f>AJ18-AK18</f>
        <v/>
      </c>
      <c r="AM18" s="34">
        <f>Q18*K18</f>
        <v/>
      </c>
      <c r="AN18" s="34">
        <f>AH18+AL18+AM18</f>
        <v/>
      </c>
      <c r="AO18" s="34">
        <f>(AG18-AA18)*O18</f>
        <v/>
      </c>
      <c r="AP18" s="34">
        <f>W18*N18</f>
        <v/>
      </c>
      <c r="AQ18" s="34">
        <f>T18*N18</f>
        <v/>
      </c>
      <c r="AR18" s="34">
        <f>Z18*J19+0.5*Z18*(O18+P18)</f>
        <v/>
      </c>
      <c r="AS18" s="30">
        <f>(1+InflationRate)^(A18/12)</f>
        <v/>
      </c>
      <c r="AT18" s="29">
        <f>ExpenseAcq*M18+N18*ExpenseMaint/12*AS18</f>
        <v/>
      </c>
      <c r="AU18" s="29">
        <f>CommissionRate*AE18</f>
        <v/>
      </c>
      <c r="AV18" s="34">
        <f>AB19-AB18</f>
        <v/>
      </c>
      <c r="AW18" s="34">
        <f>AE18+AR18-AN18-AT18-AU18-AV18</f>
        <v/>
      </c>
      <c r="AX18" s="29">
        <f>LoadPremRate*E18*N18+AK18+AQ18-AU18-AT18</f>
        <v/>
      </c>
      <c r="AY18" s="34">
        <f>AP18-AO18</f>
        <v/>
      </c>
      <c r="AZ18" s="37">
        <f>(AW18-AX18-AY18)/MAX(1,ABS(AW18),ABS(AX18),ABS(AY18))</f>
        <v/>
      </c>
      <c r="BA18" s="37">
        <f>IF(OR(K18&gt;0,K19&gt;0),0,(AC19-(AC18+AF18-AQ18-AP18+AR18-AI18-AJ18-AM18))/MAX(1,ABS(AC18),ABS(AC19)))</f>
        <v/>
      </c>
      <c r="BB18" s="35">
        <f>(1+INDEX(DiscRateAnn,INT(A18/12)+1))^(1/12)-1</f>
        <v/>
      </c>
      <c r="BC18" s="31">
        <f>(1+BB18)^-A18</f>
        <v/>
      </c>
      <c r="BD18" s="34">
        <f>AW18*BC18</f>
        <v/>
      </c>
    </row>
    <row r="19">
      <c r="A19" s="27">
        <f>A18+1</f>
        <v/>
      </c>
      <c r="B19" s="28">
        <f>Duration0+A19</f>
        <v/>
      </c>
      <c r="C19" s="27">
        <f>INT(B19/12)</f>
        <v/>
      </c>
      <c r="D19" s="28">
        <f>AgeAtEntry+C19</f>
        <v/>
      </c>
      <c r="E19" s="29">
        <f>IF(PremiumType="SINGLE",IF(B19=0,PremiumPPInput,0),IF(B19&lt;12*PolicyTerm,PremiumPPInput,0))</f>
        <v/>
      </c>
      <c r="F19" s="30">
        <f>INDEX(MortRates,MATCH(MIN(D19,120),MortAges,0),MAX(MIN(C19,5),0)+1)</f>
        <v/>
      </c>
      <c r="G19" s="31">
        <f>1-(1-F19)^(1/12)</f>
        <v/>
      </c>
      <c r="H19" s="32">
        <f>MAX(LapseBase-LapseStep*C19,LapseFloor)</f>
        <v/>
      </c>
      <c r="I19" s="32">
        <f>IF(HasSurrCharge,INDEX(SurrRates,MIN(C19,SurrDurMax)+1,MATCH(SurrChargeID,SurrTypes,0)),0)</f>
        <v/>
      </c>
      <c r="J19" s="33">
        <f>N18-P18-O18</f>
        <v/>
      </c>
      <c r="K19" s="30">
        <f>IF(B19=12*PolicyTerm,J19,0)</f>
        <v/>
      </c>
      <c r="L19" s="33">
        <f>J19-K19</f>
        <v/>
      </c>
      <c r="M19" s="30">
        <f>IF(B19=0,PolicyCount,0)</f>
        <v/>
      </c>
      <c r="N19" s="33">
        <f>L19+M19</f>
        <v/>
      </c>
      <c r="O19" s="31">
        <f>N19*G19</f>
        <v/>
      </c>
      <c r="P19" s="33">
        <f>(N19-O19)*(1-(1-H19)^(1/12))</f>
        <v/>
      </c>
      <c r="Q19" s="34">
        <f>X18+Z18</f>
        <v/>
      </c>
      <c r="R19" s="29">
        <f>(1-LoadPremRate)*E19</f>
        <v/>
      </c>
      <c r="S19" s="34">
        <f>Q19+R19</f>
        <v/>
      </c>
      <c r="T19" s="29">
        <f>MaintFeeRateAnn/12*S19</f>
        <v/>
      </c>
      <c r="U19" s="29">
        <f>MAX(SumAssured-S19,0)</f>
        <v/>
      </c>
      <c r="V19" s="35">
        <f>CoiMultiple*G19</f>
        <v/>
      </c>
      <c r="W19" s="34">
        <f>V19*U19</f>
        <v/>
      </c>
      <c r="X19" s="34">
        <f>S19-T19-W19</f>
        <v/>
      </c>
      <c r="Y19" s="36">
        <f>EXP((Mu-0.5*Sigma^2)/12+Sigma*SQRT(1/12)*INDEX(NormRand,ScenID,A19+1))-1</f>
        <v/>
      </c>
      <c r="Z19" s="34">
        <f>Y19*X19</f>
        <v/>
      </c>
      <c r="AA19" s="34">
        <f>X19+0.5*Z19</f>
        <v/>
      </c>
      <c r="AB19" s="34">
        <f>Q19*J19</f>
        <v/>
      </c>
      <c r="AC19" s="34">
        <f>Q19*L19</f>
        <v/>
      </c>
      <c r="AD19" s="34">
        <f>S19*N19</f>
        <v/>
      </c>
      <c r="AE19" s="34">
        <f>E19*N19</f>
        <v/>
      </c>
      <c r="AF19" s="34">
        <f>R19*N19</f>
        <v/>
      </c>
      <c r="AG19" s="29">
        <f>MAX(SumAssured,AA19)</f>
        <v/>
      </c>
      <c r="AH19" s="34">
        <f>AG19*O19</f>
        <v/>
      </c>
      <c r="AI19" s="34">
        <f>AA19*O19</f>
        <v/>
      </c>
      <c r="AJ19" s="34">
        <f>AA19*P19</f>
        <v/>
      </c>
      <c r="AK19" s="34">
        <f>I19*AA19*P19</f>
        <v/>
      </c>
      <c r="AL19" s="34">
        <f>AJ19-AK19</f>
        <v/>
      </c>
      <c r="AM19" s="34">
        <f>Q19*K19</f>
        <v/>
      </c>
      <c r="AN19" s="34">
        <f>AH19+AL19+AM19</f>
        <v/>
      </c>
      <c r="AO19" s="34">
        <f>(AG19-AA19)*O19</f>
        <v/>
      </c>
      <c r="AP19" s="34">
        <f>W19*N19</f>
        <v/>
      </c>
      <c r="AQ19" s="34">
        <f>T19*N19</f>
        <v/>
      </c>
      <c r="AR19" s="34">
        <f>Z19*J20+0.5*Z19*(O19+P19)</f>
        <v/>
      </c>
      <c r="AS19" s="30">
        <f>(1+InflationRate)^(A19/12)</f>
        <v/>
      </c>
      <c r="AT19" s="29">
        <f>ExpenseAcq*M19+N19*ExpenseMaint/12*AS19</f>
        <v/>
      </c>
      <c r="AU19" s="29">
        <f>CommissionRate*AE19</f>
        <v/>
      </c>
      <c r="AV19" s="34">
        <f>AB20-AB19</f>
        <v/>
      </c>
      <c r="AW19" s="34">
        <f>AE19+AR19-AN19-AT19-AU19-AV19</f>
        <v/>
      </c>
      <c r="AX19" s="29">
        <f>LoadPremRate*E19*N19+AK19+AQ19-AU19-AT19</f>
        <v/>
      </c>
      <c r="AY19" s="34">
        <f>AP19-AO19</f>
        <v/>
      </c>
      <c r="AZ19" s="37">
        <f>(AW19-AX19-AY19)/MAX(1,ABS(AW19),ABS(AX19),ABS(AY19))</f>
        <v/>
      </c>
      <c r="BA19" s="37">
        <f>IF(OR(K19&gt;0,K20&gt;0),0,(AC20-(AC19+AF19-AQ19-AP19+AR19-AI19-AJ19-AM19))/MAX(1,ABS(AC19),ABS(AC20)))</f>
        <v/>
      </c>
      <c r="BB19" s="35">
        <f>(1+INDEX(DiscRateAnn,INT(A19/12)+1))^(1/12)-1</f>
        <v/>
      </c>
      <c r="BC19" s="31">
        <f>(1+BB19)^-A19</f>
        <v/>
      </c>
      <c r="BD19" s="34">
        <f>AW19*BC19</f>
        <v/>
      </c>
    </row>
    <row r="20">
      <c r="A20" s="27">
        <f>A19+1</f>
        <v/>
      </c>
      <c r="B20" s="28">
        <f>Duration0+A20</f>
        <v/>
      </c>
      <c r="C20" s="27">
        <f>INT(B20/12)</f>
        <v/>
      </c>
      <c r="D20" s="28">
        <f>AgeAtEntry+C20</f>
        <v/>
      </c>
      <c r="E20" s="29">
        <f>IF(PremiumType="SINGLE",IF(B20=0,PremiumPPInput,0),IF(B20&lt;12*PolicyTerm,PremiumPPInput,0))</f>
        <v/>
      </c>
      <c r="F20" s="30">
        <f>INDEX(MortRates,MATCH(MIN(D20,120),MortAges,0),MAX(MIN(C20,5),0)+1)</f>
        <v/>
      </c>
      <c r="G20" s="31">
        <f>1-(1-F20)^(1/12)</f>
        <v/>
      </c>
      <c r="H20" s="32">
        <f>MAX(LapseBase-LapseStep*C20,LapseFloor)</f>
        <v/>
      </c>
      <c r="I20" s="32">
        <f>IF(HasSurrCharge,INDEX(SurrRates,MIN(C20,SurrDurMax)+1,MATCH(SurrChargeID,SurrTypes,0)),0)</f>
        <v/>
      </c>
      <c r="J20" s="33">
        <f>N19-P19-O19</f>
        <v/>
      </c>
      <c r="K20" s="30">
        <f>IF(B20=12*PolicyTerm,J20,0)</f>
        <v/>
      </c>
      <c r="L20" s="33">
        <f>J20-K20</f>
        <v/>
      </c>
      <c r="M20" s="30">
        <f>IF(B20=0,PolicyCount,0)</f>
        <v/>
      </c>
      <c r="N20" s="33">
        <f>L20+M20</f>
        <v/>
      </c>
      <c r="O20" s="31">
        <f>N20*G20</f>
        <v/>
      </c>
      <c r="P20" s="33">
        <f>(N20-O20)*(1-(1-H20)^(1/12))</f>
        <v/>
      </c>
      <c r="Q20" s="34">
        <f>X19+Z19</f>
        <v/>
      </c>
      <c r="R20" s="29">
        <f>(1-LoadPremRate)*E20</f>
        <v/>
      </c>
      <c r="S20" s="34">
        <f>Q20+R20</f>
        <v/>
      </c>
      <c r="T20" s="29">
        <f>MaintFeeRateAnn/12*S20</f>
        <v/>
      </c>
      <c r="U20" s="29">
        <f>MAX(SumAssured-S20,0)</f>
        <v/>
      </c>
      <c r="V20" s="35">
        <f>CoiMultiple*G20</f>
        <v/>
      </c>
      <c r="W20" s="34">
        <f>V20*U20</f>
        <v/>
      </c>
      <c r="X20" s="34">
        <f>S20-T20-W20</f>
        <v/>
      </c>
      <c r="Y20" s="36">
        <f>EXP((Mu-0.5*Sigma^2)/12+Sigma*SQRT(1/12)*INDEX(NormRand,ScenID,A20+1))-1</f>
        <v/>
      </c>
      <c r="Z20" s="34">
        <f>Y20*X20</f>
        <v/>
      </c>
      <c r="AA20" s="34">
        <f>X20+0.5*Z20</f>
        <v/>
      </c>
      <c r="AB20" s="34">
        <f>Q20*J20</f>
        <v/>
      </c>
      <c r="AC20" s="34">
        <f>Q20*L20</f>
        <v/>
      </c>
      <c r="AD20" s="34">
        <f>S20*N20</f>
        <v/>
      </c>
      <c r="AE20" s="34">
        <f>E20*N20</f>
        <v/>
      </c>
      <c r="AF20" s="34">
        <f>R20*N20</f>
        <v/>
      </c>
      <c r="AG20" s="29">
        <f>MAX(SumAssured,AA20)</f>
        <v/>
      </c>
      <c r="AH20" s="34">
        <f>AG20*O20</f>
        <v/>
      </c>
      <c r="AI20" s="34">
        <f>AA20*O20</f>
        <v/>
      </c>
      <c r="AJ20" s="34">
        <f>AA20*P20</f>
        <v/>
      </c>
      <c r="AK20" s="34">
        <f>I20*AA20*P20</f>
        <v/>
      </c>
      <c r="AL20" s="34">
        <f>AJ20-AK20</f>
        <v/>
      </c>
      <c r="AM20" s="34">
        <f>Q20*K20</f>
        <v/>
      </c>
      <c r="AN20" s="34">
        <f>AH20+AL20+AM20</f>
        <v/>
      </c>
      <c r="AO20" s="34">
        <f>(AG20-AA20)*O20</f>
        <v/>
      </c>
      <c r="AP20" s="34">
        <f>W20*N20</f>
        <v/>
      </c>
      <c r="AQ20" s="34">
        <f>T20*N20</f>
        <v/>
      </c>
      <c r="AR20" s="34">
        <f>Z20*J21+0.5*Z20*(O20+P20)</f>
        <v/>
      </c>
      <c r="AS20" s="30">
        <f>(1+InflationRate)^(A20/12)</f>
        <v/>
      </c>
      <c r="AT20" s="29">
        <f>ExpenseAcq*M20+N20*ExpenseMaint/12*AS20</f>
        <v/>
      </c>
      <c r="AU20" s="29">
        <f>CommissionRate*AE20</f>
        <v/>
      </c>
      <c r="AV20" s="34">
        <f>AB21-AB20</f>
        <v/>
      </c>
      <c r="AW20" s="34">
        <f>AE20+AR20-AN20-AT20-AU20-AV20</f>
        <v/>
      </c>
      <c r="AX20" s="29">
        <f>LoadPremRate*E20*N20+AK20+AQ20-AU20-AT20</f>
        <v/>
      </c>
      <c r="AY20" s="34">
        <f>AP20-AO20</f>
        <v/>
      </c>
      <c r="AZ20" s="37">
        <f>(AW20-AX20-AY20)/MAX(1,ABS(AW20),ABS(AX20),ABS(AY20))</f>
        <v/>
      </c>
      <c r="BA20" s="37">
        <f>IF(OR(K20&gt;0,K21&gt;0),0,(AC21-(AC20+AF20-AQ20-AP20+AR20-AI20-AJ20-AM20))/MAX(1,ABS(AC20),ABS(AC21)))</f>
        <v/>
      </c>
      <c r="BB20" s="35">
        <f>(1+INDEX(DiscRateAnn,INT(A20/12)+1))^(1/12)-1</f>
        <v/>
      </c>
      <c r="BC20" s="31">
        <f>(1+BB20)^-A20</f>
        <v/>
      </c>
      <c r="BD20" s="34">
        <f>AW20*BC20</f>
        <v/>
      </c>
    </row>
    <row r="21">
      <c r="A21" s="27">
        <f>A20+1</f>
        <v/>
      </c>
      <c r="B21" s="28">
        <f>Duration0+A21</f>
        <v/>
      </c>
      <c r="C21" s="27">
        <f>INT(B21/12)</f>
        <v/>
      </c>
      <c r="D21" s="28">
        <f>AgeAtEntry+C21</f>
        <v/>
      </c>
      <c r="E21" s="29">
        <f>IF(PremiumType="SINGLE",IF(B21=0,PremiumPPInput,0),IF(B21&lt;12*PolicyTerm,PremiumPPInput,0))</f>
        <v/>
      </c>
      <c r="F21" s="30">
        <f>INDEX(MortRates,MATCH(MIN(D21,120),MortAges,0),MAX(MIN(C21,5),0)+1)</f>
        <v/>
      </c>
      <c r="G21" s="31">
        <f>1-(1-F21)^(1/12)</f>
        <v/>
      </c>
      <c r="H21" s="32">
        <f>MAX(LapseBase-LapseStep*C21,LapseFloor)</f>
        <v/>
      </c>
      <c r="I21" s="32">
        <f>IF(HasSurrCharge,INDEX(SurrRates,MIN(C21,SurrDurMax)+1,MATCH(SurrChargeID,SurrTypes,0)),0)</f>
        <v/>
      </c>
      <c r="J21" s="33">
        <f>N20-P20-O20</f>
        <v/>
      </c>
      <c r="K21" s="30">
        <f>IF(B21=12*PolicyTerm,J21,0)</f>
        <v/>
      </c>
      <c r="L21" s="33">
        <f>J21-K21</f>
        <v/>
      </c>
      <c r="M21" s="30">
        <f>IF(B21=0,PolicyCount,0)</f>
        <v/>
      </c>
      <c r="N21" s="33">
        <f>L21+M21</f>
        <v/>
      </c>
      <c r="O21" s="31">
        <f>N21*G21</f>
        <v/>
      </c>
      <c r="P21" s="33">
        <f>(N21-O21)*(1-(1-H21)^(1/12))</f>
        <v/>
      </c>
      <c r="Q21" s="34">
        <f>X20+Z20</f>
        <v/>
      </c>
      <c r="R21" s="29">
        <f>(1-LoadPremRate)*E21</f>
        <v/>
      </c>
      <c r="S21" s="34">
        <f>Q21+R21</f>
        <v/>
      </c>
      <c r="T21" s="29">
        <f>MaintFeeRateAnn/12*S21</f>
        <v/>
      </c>
      <c r="U21" s="29">
        <f>MAX(SumAssured-S21,0)</f>
        <v/>
      </c>
      <c r="V21" s="35">
        <f>CoiMultiple*G21</f>
        <v/>
      </c>
      <c r="W21" s="34">
        <f>V21*U21</f>
        <v/>
      </c>
      <c r="X21" s="34">
        <f>S21-T21-W21</f>
        <v/>
      </c>
      <c r="Y21" s="36">
        <f>EXP((Mu-0.5*Sigma^2)/12+Sigma*SQRT(1/12)*INDEX(NormRand,ScenID,A21+1))-1</f>
        <v/>
      </c>
      <c r="Z21" s="34">
        <f>Y21*X21</f>
        <v/>
      </c>
      <c r="AA21" s="34">
        <f>X21+0.5*Z21</f>
        <v/>
      </c>
      <c r="AB21" s="34">
        <f>Q21*J21</f>
        <v/>
      </c>
      <c r="AC21" s="34">
        <f>Q21*L21</f>
        <v/>
      </c>
      <c r="AD21" s="34">
        <f>S21*N21</f>
        <v/>
      </c>
      <c r="AE21" s="34">
        <f>E21*N21</f>
        <v/>
      </c>
      <c r="AF21" s="34">
        <f>R21*N21</f>
        <v/>
      </c>
      <c r="AG21" s="29">
        <f>MAX(SumAssured,AA21)</f>
        <v/>
      </c>
      <c r="AH21" s="34">
        <f>AG21*O21</f>
        <v/>
      </c>
      <c r="AI21" s="34">
        <f>AA21*O21</f>
        <v/>
      </c>
      <c r="AJ21" s="34">
        <f>AA21*P21</f>
        <v/>
      </c>
      <c r="AK21" s="34">
        <f>I21*AA21*P21</f>
        <v/>
      </c>
      <c r="AL21" s="34">
        <f>AJ21-AK21</f>
        <v/>
      </c>
      <c r="AM21" s="34">
        <f>Q21*K21</f>
        <v/>
      </c>
      <c r="AN21" s="34">
        <f>AH21+AL21+AM21</f>
        <v/>
      </c>
      <c r="AO21" s="34">
        <f>(AG21-AA21)*O21</f>
        <v/>
      </c>
      <c r="AP21" s="34">
        <f>W21*N21</f>
        <v/>
      </c>
      <c r="AQ21" s="34">
        <f>T21*N21</f>
        <v/>
      </c>
      <c r="AR21" s="34">
        <f>Z21*J22+0.5*Z21*(O21+P21)</f>
        <v/>
      </c>
      <c r="AS21" s="30">
        <f>(1+InflationRate)^(A21/12)</f>
        <v/>
      </c>
      <c r="AT21" s="29">
        <f>ExpenseAcq*M21+N21*ExpenseMaint/12*AS21</f>
        <v/>
      </c>
      <c r="AU21" s="29">
        <f>CommissionRate*AE21</f>
        <v/>
      </c>
      <c r="AV21" s="34">
        <f>AB22-AB21</f>
        <v/>
      </c>
      <c r="AW21" s="34">
        <f>AE21+AR21-AN21-AT21-AU21-AV21</f>
        <v/>
      </c>
      <c r="AX21" s="29">
        <f>LoadPremRate*E21*N21+AK21+AQ21-AU21-AT21</f>
        <v/>
      </c>
      <c r="AY21" s="34">
        <f>AP21-AO21</f>
        <v/>
      </c>
      <c r="AZ21" s="37">
        <f>(AW21-AX21-AY21)/MAX(1,ABS(AW21),ABS(AX21),ABS(AY21))</f>
        <v/>
      </c>
      <c r="BA21" s="37">
        <f>IF(OR(K21&gt;0,K22&gt;0),0,(AC22-(AC21+AF21-AQ21-AP21+AR21-AI21-AJ21-AM21))/MAX(1,ABS(AC21),ABS(AC22)))</f>
        <v/>
      </c>
      <c r="BB21" s="35">
        <f>(1+INDEX(DiscRateAnn,INT(A21/12)+1))^(1/12)-1</f>
        <v/>
      </c>
      <c r="BC21" s="31">
        <f>(1+BB21)^-A21</f>
        <v/>
      </c>
      <c r="BD21" s="34">
        <f>AW21*BC21</f>
        <v/>
      </c>
    </row>
    <row r="22">
      <c r="A22" s="27">
        <f>A21+1</f>
        <v/>
      </c>
      <c r="B22" s="28">
        <f>Duration0+A22</f>
        <v/>
      </c>
      <c r="C22" s="27">
        <f>INT(B22/12)</f>
        <v/>
      </c>
      <c r="D22" s="28">
        <f>AgeAtEntry+C22</f>
        <v/>
      </c>
      <c r="E22" s="29">
        <f>IF(PremiumType="SINGLE",IF(B22=0,PremiumPPInput,0),IF(B22&lt;12*PolicyTerm,PremiumPPInput,0))</f>
        <v/>
      </c>
      <c r="F22" s="30">
        <f>INDEX(MortRates,MATCH(MIN(D22,120),MortAges,0),MAX(MIN(C22,5),0)+1)</f>
        <v/>
      </c>
      <c r="G22" s="31">
        <f>1-(1-F22)^(1/12)</f>
        <v/>
      </c>
      <c r="H22" s="32">
        <f>MAX(LapseBase-LapseStep*C22,LapseFloor)</f>
        <v/>
      </c>
      <c r="I22" s="32">
        <f>IF(HasSurrCharge,INDEX(SurrRates,MIN(C22,SurrDurMax)+1,MATCH(SurrChargeID,SurrTypes,0)),0)</f>
        <v/>
      </c>
      <c r="J22" s="33">
        <f>N21-P21-O21</f>
        <v/>
      </c>
      <c r="K22" s="30">
        <f>IF(B22=12*PolicyTerm,J22,0)</f>
        <v/>
      </c>
      <c r="L22" s="33">
        <f>J22-K22</f>
        <v/>
      </c>
      <c r="M22" s="30">
        <f>IF(B22=0,PolicyCount,0)</f>
        <v/>
      </c>
      <c r="N22" s="33">
        <f>L22+M22</f>
        <v/>
      </c>
      <c r="O22" s="31">
        <f>N22*G22</f>
        <v/>
      </c>
      <c r="P22" s="33">
        <f>(N22-O22)*(1-(1-H22)^(1/12))</f>
        <v/>
      </c>
      <c r="Q22" s="34">
        <f>X21+Z21</f>
        <v/>
      </c>
      <c r="R22" s="29">
        <f>(1-LoadPremRate)*E22</f>
        <v/>
      </c>
      <c r="S22" s="34">
        <f>Q22+R22</f>
        <v/>
      </c>
      <c r="T22" s="29">
        <f>MaintFeeRateAnn/12*S22</f>
        <v/>
      </c>
      <c r="U22" s="29">
        <f>MAX(SumAssured-S22,0)</f>
        <v/>
      </c>
      <c r="V22" s="35">
        <f>CoiMultiple*G22</f>
        <v/>
      </c>
      <c r="W22" s="34">
        <f>V22*U22</f>
        <v/>
      </c>
      <c r="X22" s="34">
        <f>S22-T22-W22</f>
        <v/>
      </c>
      <c r="Y22" s="36">
        <f>EXP((Mu-0.5*Sigma^2)/12+Sigma*SQRT(1/12)*INDEX(NormRand,ScenID,A22+1))-1</f>
        <v/>
      </c>
      <c r="Z22" s="34">
        <f>Y22*X22</f>
        <v/>
      </c>
      <c r="AA22" s="34">
        <f>X22+0.5*Z22</f>
        <v/>
      </c>
      <c r="AB22" s="34">
        <f>Q22*J22</f>
        <v/>
      </c>
      <c r="AC22" s="34">
        <f>Q22*L22</f>
        <v/>
      </c>
      <c r="AD22" s="34">
        <f>S22*N22</f>
        <v/>
      </c>
      <c r="AE22" s="34">
        <f>E22*N22</f>
        <v/>
      </c>
      <c r="AF22" s="34">
        <f>R22*N22</f>
        <v/>
      </c>
      <c r="AG22" s="29">
        <f>MAX(SumAssured,AA22)</f>
        <v/>
      </c>
      <c r="AH22" s="34">
        <f>AG22*O22</f>
        <v/>
      </c>
      <c r="AI22" s="34">
        <f>AA22*O22</f>
        <v/>
      </c>
      <c r="AJ22" s="34">
        <f>AA22*P22</f>
        <v/>
      </c>
      <c r="AK22" s="34">
        <f>I22*AA22*P22</f>
        <v/>
      </c>
      <c r="AL22" s="34">
        <f>AJ22-AK22</f>
        <v/>
      </c>
      <c r="AM22" s="34">
        <f>Q22*K22</f>
        <v/>
      </c>
      <c r="AN22" s="34">
        <f>AH22+AL22+AM22</f>
        <v/>
      </c>
      <c r="AO22" s="34">
        <f>(AG22-AA22)*O22</f>
        <v/>
      </c>
      <c r="AP22" s="34">
        <f>W22*N22</f>
        <v/>
      </c>
      <c r="AQ22" s="34">
        <f>T22*N22</f>
        <v/>
      </c>
      <c r="AR22" s="34">
        <f>Z22*J23+0.5*Z22*(O22+P22)</f>
        <v/>
      </c>
      <c r="AS22" s="30">
        <f>(1+InflationRate)^(A22/12)</f>
        <v/>
      </c>
      <c r="AT22" s="29">
        <f>ExpenseAcq*M22+N22*ExpenseMaint/12*AS22</f>
        <v/>
      </c>
      <c r="AU22" s="29">
        <f>CommissionRate*AE22</f>
        <v/>
      </c>
      <c r="AV22" s="34">
        <f>AB23-AB22</f>
        <v/>
      </c>
      <c r="AW22" s="34">
        <f>AE22+AR22-AN22-AT22-AU22-AV22</f>
        <v/>
      </c>
      <c r="AX22" s="29">
        <f>LoadPremRate*E22*N22+AK22+AQ22-AU22-AT22</f>
        <v/>
      </c>
      <c r="AY22" s="34">
        <f>AP22-AO22</f>
        <v/>
      </c>
      <c r="AZ22" s="37">
        <f>(AW22-AX22-AY22)/MAX(1,ABS(AW22),ABS(AX22),ABS(AY22))</f>
        <v/>
      </c>
      <c r="BA22" s="37">
        <f>IF(OR(K22&gt;0,K23&gt;0),0,(AC23-(AC22+AF22-AQ22-AP22+AR22-AI22-AJ22-AM22))/MAX(1,ABS(AC22),ABS(AC23)))</f>
        <v/>
      </c>
      <c r="BB22" s="35">
        <f>(1+INDEX(DiscRateAnn,INT(A22/12)+1))^(1/12)-1</f>
        <v/>
      </c>
      <c r="BC22" s="31">
        <f>(1+BB22)^-A22</f>
        <v/>
      </c>
      <c r="BD22" s="34">
        <f>AW22*BC22</f>
        <v/>
      </c>
    </row>
    <row r="23">
      <c r="A23" s="27">
        <f>A22+1</f>
        <v/>
      </c>
      <c r="B23" s="28">
        <f>Duration0+A23</f>
        <v/>
      </c>
      <c r="C23" s="27">
        <f>INT(B23/12)</f>
        <v/>
      </c>
      <c r="D23" s="28">
        <f>AgeAtEntry+C23</f>
        <v/>
      </c>
      <c r="E23" s="29">
        <f>IF(PremiumType="SINGLE",IF(B23=0,PremiumPPInput,0),IF(B23&lt;12*PolicyTerm,PremiumPPInput,0))</f>
        <v/>
      </c>
      <c r="F23" s="30">
        <f>INDEX(MortRates,MATCH(MIN(D23,120),MortAges,0),MAX(MIN(C23,5),0)+1)</f>
        <v/>
      </c>
      <c r="G23" s="31">
        <f>1-(1-F23)^(1/12)</f>
        <v/>
      </c>
      <c r="H23" s="32">
        <f>MAX(LapseBase-LapseStep*C23,LapseFloor)</f>
        <v/>
      </c>
      <c r="I23" s="32">
        <f>IF(HasSurrCharge,INDEX(SurrRates,MIN(C23,SurrDurMax)+1,MATCH(SurrChargeID,SurrTypes,0)),0)</f>
        <v/>
      </c>
      <c r="J23" s="33">
        <f>N22-P22-O22</f>
        <v/>
      </c>
      <c r="K23" s="30">
        <f>IF(B23=12*PolicyTerm,J23,0)</f>
        <v/>
      </c>
      <c r="L23" s="33">
        <f>J23-K23</f>
        <v/>
      </c>
      <c r="M23" s="30">
        <f>IF(B23=0,PolicyCount,0)</f>
        <v/>
      </c>
      <c r="N23" s="33">
        <f>L23+M23</f>
        <v/>
      </c>
      <c r="O23" s="31">
        <f>N23*G23</f>
        <v/>
      </c>
      <c r="P23" s="33">
        <f>(N23-O23)*(1-(1-H23)^(1/12))</f>
        <v/>
      </c>
      <c r="Q23" s="34">
        <f>X22+Z22</f>
        <v/>
      </c>
      <c r="R23" s="29">
        <f>(1-LoadPremRate)*E23</f>
        <v/>
      </c>
      <c r="S23" s="34">
        <f>Q23+R23</f>
        <v/>
      </c>
      <c r="T23" s="29">
        <f>MaintFeeRateAnn/12*S23</f>
        <v/>
      </c>
      <c r="U23" s="29">
        <f>MAX(SumAssured-S23,0)</f>
        <v/>
      </c>
      <c r="V23" s="35">
        <f>CoiMultiple*G23</f>
        <v/>
      </c>
      <c r="W23" s="34">
        <f>V23*U23</f>
        <v/>
      </c>
      <c r="X23" s="34">
        <f>S23-T23-W23</f>
        <v/>
      </c>
      <c r="Y23" s="36">
        <f>EXP((Mu-0.5*Sigma^2)/12+Sigma*SQRT(1/12)*INDEX(NormRand,ScenID,A23+1))-1</f>
        <v/>
      </c>
      <c r="Z23" s="34">
        <f>Y23*X23</f>
        <v/>
      </c>
      <c r="AA23" s="34">
        <f>X23+0.5*Z23</f>
        <v/>
      </c>
      <c r="AB23" s="34">
        <f>Q23*J23</f>
        <v/>
      </c>
      <c r="AC23" s="34">
        <f>Q23*L23</f>
        <v/>
      </c>
      <c r="AD23" s="34">
        <f>S23*N23</f>
        <v/>
      </c>
      <c r="AE23" s="34">
        <f>E23*N23</f>
        <v/>
      </c>
      <c r="AF23" s="34">
        <f>R23*N23</f>
        <v/>
      </c>
      <c r="AG23" s="29">
        <f>MAX(SumAssured,AA23)</f>
        <v/>
      </c>
      <c r="AH23" s="34">
        <f>AG23*O23</f>
        <v/>
      </c>
      <c r="AI23" s="34">
        <f>AA23*O23</f>
        <v/>
      </c>
      <c r="AJ23" s="34">
        <f>AA23*P23</f>
        <v/>
      </c>
      <c r="AK23" s="34">
        <f>I23*AA23*P23</f>
        <v/>
      </c>
      <c r="AL23" s="34">
        <f>AJ23-AK23</f>
        <v/>
      </c>
      <c r="AM23" s="34">
        <f>Q23*K23</f>
        <v/>
      </c>
      <c r="AN23" s="34">
        <f>AH23+AL23+AM23</f>
        <v/>
      </c>
      <c r="AO23" s="34">
        <f>(AG23-AA23)*O23</f>
        <v/>
      </c>
      <c r="AP23" s="34">
        <f>W23*N23</f>
        <v/>
      </c>
      <c r="AQ23" s="34">
        <f>T23*N23</f>
        <v/>
      </c>
      <c r="AR23" s="34">
        <f>Z23*J24+0.5*Z23*(O23+P23)</f>
        <v/>
      </c>
      <c r="AS23" s="30">
        <f>(1+InflationRate)^(A23/12)</f>
        <v/>
      </c>
      <c r="AT23" s="29">
        <f>ExpenseAcq*M23+N23*ExpenseMaint/12*AS23</f>
        <v/>
      </c>
      <c r="AU23" s="29">
        <f>CommissionRate*AE23</f>
        <v/>
      </c>
      <c r="AV23" s="34">
        <f>AB24-AB23</f>
        <v/>
      </c>
      <c r="AW23" s="34">
        <f>AE23+AR23-AN23-AT23-AU23-AV23</f>
        <v/>
      </c>
      <c r="AX23" s="29">
        <f>LoadPremRate*E23*N23+AK23+AQ23-AU23-AT23</f>
        <v/>
      </c>
      <c r="AY23" s="34">
        <f>AP23-AO23</f>
        <v/>
      </c>
      <c r="AZ23" s="37">
        <f>(AW23-AX23-AY23)/MAX(1,ABS(AW23),ABS(AX23),ABS(AY23))</f>
        <v/>
      </c>
      <c r="BA23" s="37">
        <f>IF(OR(K23&gt;0,K24&gt;0),0,(AC24-(AC23+AF23-AQ23-AP23+AR23-AI23-AJ23-AM23))/MAX(1,ABS(AC23),ABS(AC24)))</f>
        <v/>
      </c>
      <c r="BB23" s="35">
        <f>(1+INDEX(DiscRateAnn,INT(A23/12)+1))^(1/12)-1</f>
        <v/>
      </c>
      <c r="BC23" s="31">
        <f>(1+BB23)^-A23</f>
        <v/>
      </c>
      <c r="BD23" s="34">
        <f>AW23*BC23</f>
        <v/>
      </c>
    </row>
    <row r="24">
      <c r="A24" s="27">
        <f>A23+1</f>
        <v/>
      </c>
      <c r="B24" s="28">
        <f>Duration0+A24</f>
        <v/>
      </c>
      <c r="C24" s="27">
        <f>INT(B24/12)</f>
        <v/>
      </c>
      <c r="D24" s="28">
        <f>AgeAtEntry+C24</f>
        <v/>
      </c>
      <c r="E24" s="29">
        <f>IF(PremiumType="SINGLE",IF(B24=0,PremiumPPInput,0),IF(B24&lt;12*PolicyTerm,PremiumPPInput,0))</f>
        <v/>
      </c>
      <c r="F24" s="30">
        <f>INDEX(MortRates,MATCH(MIN(D24,120),MortAges,0),MAX(MIN(C24,5),0)+1)</f>
        <v/>
      </c>
      <c r="G24" s="31">
        <f>1-(1-F24)^(1/12)</f>
        <v/>
      </c>
      <c r="H24" s="32">
        <f>MAX(LapseBase-LapseStep*C24,LapseFloor)</f>
        <v/>
      </c>
      <c r="I24" s="32">
        <f>IF(HasSurrCharge,INDEX(SurrRates,MIN(C24,SurrDurMax)+1,MATCH(SurrChargeID,SurrTypes,0)),0)</f>
        <v/>
      </c>
      <c r="J24" s="33">
        <f>N23-P23-O23</f>
        <v/>
      </c>
      <c r="K24" s="30">
        <f>IF(B24=12*PolicyTerm,J24,0)</f>
        <v/>
      </c>
      <c r="L24" s="33">
        <f>J24-K24</f>
        <v/>
      </c>
      <c r="M24" s="30">
        <f>IF(B24=0,PolicyCount,0)</f>
        <v/>
      </c>
      <c r="N24" s="33">
        <f>L24+M24</f>
        <v/>
      </c>
      <c r="O24" s="31">
        <f>N24*G24</f>
        <v/>
      </c>
      <c r="P24" s="33">
        <f>(N24-O24)*(1-(1-H24)^(1/12))</f>
        <v/>
      </c>
      <c r="Q24" s="34">
        <f>X23+Z23</f>
        <v/>
      </c>
      <c r="R24" s="29">
        <f>(1-LoadPremRate)*E24</f>
        <v/>
      </c>
      <c r="S24" s="34">
        <f>Q24+R24</f>
        <v/>
      </c>
      <c r="T24" s="29">
        <f>MaintFeeRateAnn/12*S24</f>
        <v/>
      </c>
      <c r="U24" s="29">
        <f>MAX(SumAssured-S24,0)</f>
        <v/>
      </c>
      <c r="V24" s="35">
        <f>CoiMultiple*G24</f>
        <v/>
      </c>
      <c r="W24" s="34">
        <f>V24*U24</f>
        <v/>
      </c>
      <c r="X24" s="34">
        <f>S24-T24-W24</f>
        <v/>
      </c>
      <c r="Y24" s="36">
        <f>EXP((Mu-0.5*Sigma^2)/12+Sigma*SQRT(1/12)*INDEX(NormRand,ScenID,A24+1))-1</f>
        <v/>
      </c>
      <c r="Z24" s="34">
        <f>Y24*X24</f>
        <v/>
      </c>
      <c r="AA24" s="34">
        <f>X24+0.5*Z24</f>
        <v/>
      </c>
      <c r="AB24" s="34">
        <f>Q24*J24</f>
        <v/>
      </c>
      <c r="AC24" s="34">
        <f>Q24*L24</f>
        <v/>
      </c>
      <c r="AD24" s="34">
        <f>S24*N24</f>
        <v/>
      </c>
      <c r="AE24" s="34">
        <f>E24*N24</f>
        <v/>
      </c>
      <c r="AF24" s="34">
        <f>R24*N24</f>
        <v/>
      </c>
      <c r="AG24" s="29">
        <f>MAX(SumAssured,AA24)</f>
        <v/>
      </c>
      <c r="AH24" s="34">
        <f>AG24*O24</f>
        <v/>
      </c>
      <c r="AI24" s="34">
        <f>AA24*O24</f>
        <v/>
      </c>
      <c r="AJ24" s="34">
        <f>AA24*P24</f>
        <v/>
      </c>
      <c r="AK24" s="34">
        <f>I24*AA24*P24</f>
        <v/>
      </c>
      <c r="AL24" s="34">
        <f>AJ24-AK24</f>
        <v/>
      </c>
      <c r="AM24" s="34">
        <f>Q24*K24</f>
        <v/>
      </c>
      <c r="AN24" s="34">
        <f>AH24+AL24+AM24</f>
        <v/>
      </c>
      <c r="AO24" s="34">
        <f>(AG24-AA24)*O24</f>
        <v/>
      </c>
      <c r="AP24" s="34">
        <f>W24*N24</f>
        <v/>
      </c>
      <c r="AQ24" s="34">
        <f>T24*N24</f>
        <v/>
      </c>
      <c r="AR24" s="34">
        <f>Z24*J25+0.5*Z24*(O24+P24)</f>
        <v/>
      </c>
      <c r="AS24" s="30">
        <f>(1+InflationRate)^(A24/12)</f>
        <v/>
      </c>
      <c r="AT24" s="29">
        <f>ExpenseAcq*M24+N24*ExpenseMaint/12*AS24</f>
        <v/>
      </c>
      <c r="AU24" s="29">
        <f>CommissionRate*AE24</f>
        <v/>
      </c>
      <c r="AV24" s="34">
        <f>AB25-AB24</f>
        <v/>
      </c>
      <c r="AW24" s="34">
        <f>AE24+AR24-AN24-AT24-AU24-AV24</f>
        <v/>
      </c>
      <c r="AX24" s="29">
        <f>LoadPremRate*E24*N24+AK24+AQ24-AU24-AT24</f>
        <v/>
      </c>
      <c r="AY24" s="34">
        <f>AP24-AO24</f>
        <v/>
      </c>
      <c r="AZ24" s="37">
        <f>(AW24-AX24-AY24)/MAX(1,ABS(AW24),ABS(AX24),ABS(AY24))</f>
        <v/>
      </c>
      <c r="BA24" s="37">
        <f>IF(OR(K24&gt;0,K25&gt;0),0,(AC25-(AC24+AF24-AQ24-AP24+AR24-AI24-AJ24-AM24))/MAX(1,ABS(AC24),ABS(AC25)))</f>
        <v/>
      </c>
      <c r="BB24" s="35">
        <f>(1+INDEX(DiscRateAnn,INT(A24/12)+1))^(1/12)-1</f>
        <v/>
      </c>
      <c r="BC24" s="31">
        <f>(1+BB24)^-A24</f>
        <v/>
      </c>
      <c r="BD24" s="34">
        <f>AW24*BC24</f>
        <v/>
      </c>
    </row>
    <row r="25">
      <c r="A25" s="27">
        <f>A24+1</f>
        <v/>
      </c>
      <c r="B25" s="28">
        <f>Duration0+A25</f>
        <v/>
      </c>
      <c r="C25" s="27">
        <f>INT(B25/12)</f>
        <v/>
      </c>
      <c r="D25" s="28">
        <f>AgeAtEntry+C25</f>
        <v/>
      </c>
      <c r="E25" s="29">
        <f>IF(PremiumType="SINGLE",IF(B25=0,PremiumPPInput,0),IF(B25&lt;12*PolicyTerm,PremiumPPInput,0))</f>
        <v/>
      </c>
      <c r="F25" s="30">
        <f>INDEX(MortRates,MATCH(MIN(D25,120),MortAges,0),MAX(MIN(C25,5),0)+1)</f>
        <v/>
      </c>
      <c r="G25" s="31">
        <f>1-(1-F25)^(1/12)</f>
        <v/>
      </c>
      <c r="H25" s="32">
        <f>MAX(LapseBase-LapseStep*C25,LapseFloor)</f>
        <v/>
      </c>
      <c r="I25" s="32">
        <f>IF(HasSurrCharge,INDEX(SurrRates,MIN(C25,SurrDurMax)+1,MATCH(SurrChargeID,SurrTypes,0)),0)</f>
        <v/>
      </c>
      <c r="J25" s="33">
        <f>N24-P24-O24</f>
        <v/>
      </c>
      <c r="K25" s="30">
        <f>IF(B25=12*PolicyTerm,J25,0)</f>
        <v/>
      </c>
      <c r="L25" s="33">
        <f>J25-K25</f>
        <v/>
      </c>
      <c r="M25" s="30">
        <f>IF(B25=0,PolicyCount,0)</f>
        <v/>
      </c>
      <c r="N25" s="33">
        <f>L25+M25</f>
        <v/>
      </c>
      <c r="O25" s="31">
        <f>N25*G25</f>
        <v/>
      </c>
      <c r="P25" s="33">
        <f>(N25-O25)*(1-(1-H25)^(1/12))</f>
        <v/>
      </c>
      <c r="Q25" s="34">
        <f>X24+Z24</f>
        <v/>
      </c>
      <c r="R25" s="29">
        <f>(1-LoadPremRate)*E25</f>
        <v/>
      </c>
      <c r="S25" s="34">
        <f>Q25+R25</f>
        <v/>
      </c>
      <c r="T25" s="29">
        <f>MaintFeeRateAnn/12*S25</f>
        <v/>
      </c>
      <c r="U25" s="29">
        <f>MAX(SumAssured-S25,0)</f>
        <v/>
      </c>
      <c r="V25" s="35">
        <f>CoiMultiple*G25</f>
        <v/>
      </c>
      <c r="W25" s="34">
        <f>V25*U25</f>
        <v/>
      </c>
      <c r="X25" s="34">
        <f>S25-T25-W25</f>
        <v/>
      </c>
      <c r="Y25" s="36">
        <f>EXP((Mu-0.5*Sigma^2)/12+Sigma*SQRT(1/12)*INDEX(NormRand,ScenID,A25+1))-1</f>
        <v/>
      </c>
      <c r="Z25" s="34">
        <f>Y25*X25</f>
        <v/>
      </c>
      <c r="AA25" s="34">
        <f>X25+0.5*Z25</f>
        <v/>
      </c>
      <c r="AB25" s="34">
        <f>Q25*J25</f>
        <v/>
      </c>
      <c r="AC25" s="34">
        <f>Q25*L25</f>
        <v/>
      </c>
      <c r="AD25" s="34">
        <f>S25*N25</f>
        <v/>
      </c>
      <c r="AE25" s="34">
        <f>E25*N25</f>
        <v/>
      </c>
      <c r="AF25" s="34">
        <f>R25*N25</f>
        <v/>
      </c>
      <c r="AG25" s="29">
        <f>MAX(SumAssured,AA25)</f>
        <v/>
      </c>
      <c r="AH25" s="34">
        <f>AG25*O25</f>
        <v/>
      </c>
      <c r="AI25" s="34">
        <f>AA25*O25</f>
        <v/>
      </c>
      <c r="AJ25" s="34">
        <f>AA25*P25</f>
        <v/>
      </c>
      <c r="AK25" s="34">
        <f>I25*AA25*P25</f>
        <v/>
      </c>
      <c r="AL25" s="34">
        <f>AJ25-AK25</f>
        <v/>
      </c>
      <c r="AM25" s="34">
        <f>Q25*K25</f>
        <v/>
      </c>
      <c r="AN25" s="34">
        <f>AH25+AL25+AM25</f>
        <v/>
      </c>
      <c r="AO25" s="34">
        <f>(AG25-AA25)*O25</f>
        <v/>
      </c>
      <c r="AP25" s="34">
        <f>W25*N25</f>
        <v/>
      </c>
      <c r="AQ25" s="34">
        <f>T25*N25</f>
        <v/>
      </c>
      <c r="AR25" s="34">
        <f>Z25*J26+0.5*Z25*(O25+P25)</f>
        <v/>
      </c>
      <c r="AS25" s="30">
        <f>(1+InflationRate)^(A25/12)</f>
        <v/>
      </c>
      <c r="AT25" s="29">
        <f>ExpenseAcq*M25+N25*ExpenseMaint/12*AS25</f>
        <v/>
      </c>
      <c r="AU25" s="29">
        <f>CommissionRate*AE25</f>
        <v/>
      </c>
      <c r="AV25" s="34">
        <f>AB26-AB25</f>
        <v/>
      </c>
      <c r="AW25" s="34">
        <f>AE25+AR25-AN25-AT25-AU25-AV25</f>
        <v/>
      </c>
      <c r="AX25" s="29">
        <f>LoadPremRate*E25*N25+AK25+AQ25-AU25-AT25</f>
        <v/>
      </c>
      <c r="AY25" s="34">
        <f>AP25-AO25</f>
        <v/>
      </c>
      <c r="AZ25" s="37">
        <f>(AW25-AX25-AY25)/MAX(1,ABS(AW25),ABS(AX25),ABS(AY25))</f>
        <v/>
      </c>
      <c r="BA25" s="37">
        <f>IF(OR(K25&gt;0,K26&gt;0),0,(AC26-(AC25+AF25-AQ25-AP25+AR25-AI25-AJ25-AM25))/MAX(1,ABS(AC25),ABS(AC26)))</f>
        <v/>
      </c>
      <c r="BB25" s="35">
        <f>(1+INDEX(DiscRateAnn,INT(A25/12)+1))^(1/12)-1</f>
        <v/>
      </c>
      <c r="BC25" s="31">
        <f>(1+BB25)^-A25</f>
        <v/>
      </c>
      <c r="BD25" s="34">
        <f>AW25*BC25</f>
        <v/>
      </c>
    </row>
    <row r="26">
      <c r="A26" s="27">
        <f>A25+1</f>
        <v/>
      </c>
      <c r="B26" s="28">
        <f>Duration0+A26</f>
        <v/>
      </c>
      <c r="C26" s="27">
        <f>INT(B26/12)</f>
        <v/>
      </c>
      <c r="D26" s="28">
        <f>AgeAtEntry+C26</f>
        <v/>
      </c>
      <c r="E26" s="29">
        <f>IF(PremiumType="SINGLE",IF(B26=0,PremiumPPInput,0),IF(B26&lt;12*PolicyTerm,PremiumPPInput,0))</f>
        <v/>
      </c>
      <c r="F26" s="30">
        <f>INDEX(MortRates,MATCH(MIN(D26,120),MortAges,0),MAX(MIN(C26,5),0)+1)</f>
        <v/>
      </c>
      <c r="G26" s="31">
        <f>1-(1-F26)^(1/12)</f>
        <v/>
      </c>
      <c r="H26" s="32">
        <f>MAX(LapseBase-LapseStep*C26,LapseFloor)</f>
        <v/>
      </c>
      <c r="I26" s="32">
        <f>IF(HasSurrCharge,INDEX(SurrRates,MIN(C26,SurrDurMax)+1,MATCH(SurrChargeID,SurrTypes,0)),0)</f>
        <v/>
      </c>
      <c r="J26" s="33">
        <f>N25-P25-O25</f>
        <v/>
      </c>
      <c r="K26" s="30">
        <f>IF(B26=12*PolicyTerm,J26,0)</f>
        <v/>
      </c>
      <c r="L26" s="33">
        <f>J26-K26</f>
        <v/>
      </c>
      <c r="M26" s="30">
        <f>IF(B26=0,PolicyCount,0)</f>
        <v/>
      </c>
      <c r="N26" s="33">
        <f>L26+M26</f>
        <v/>
      </c>
      <c r="O26" s="31">
        <f>N26*G26</f>
        <v/>
      </c>
      <c r="P26" s="33">
        <f>(N26-O26)*(1-(1-H26)^(1/12))</f>
        <v/>
      </c>
      <c r="Q26" s="34">
        <f>X25+Z25</f>
        <v/>
      </c>
      <c r="R26" s="29">
        <f>(1-LoadPremRate)*E26</f>
        <v/>
      </c>
      <c r="S26" s="34">
        <f>Q26+R26</f>
        <v/>
      </c>
      <c r="T26" s="29">
        <f>MaintFeeRateAnn/12*S26</f>
        <v/>
      </c>
      <c r="U26" s="29">
        <f>MAX(SumAssured-S26,0)</f>
        <v/>
      </c>
      <c r="V26" s="35">
        <f>CoiMultiple*G26</f>
        <v/>
      </c>
      <c r="W26" s="34">
        <f>V26*U26</f>
        <v/>
      </c>
      <c r="X26" s="34">
        <f>S26-T26-W26</f>
        <v/>
      </c>
      <c r="Y26" s="36">
        <f>EXP((Mu-0.5*Sigma^2)/12+Sigma*SQRT(1/12)*INDEX(NormRand,ScenID,A26+1))-1</f>
        <v/>
      </c>
      <c r="Z26" s="34">
        <f>Y26*X26</f>
        <v/>
      </c>
      <c r="AA26" s="34">
        <f>X26+0.5*Z26</f>
        <v/>
      </c>
      <c r="AB26" s="34">
        <f>Q26*J26</f>
        <v/>
      </c>
      <c r="AC26" s="34">
        <f>Q26*L26</f>
        <v/>
      </c>
      <c r="AD26" s="34">
        <f>S26*N26</f>
        <v/>
      </c>
      <c r="AE26" s="34">
        <f>E26*N26</f>
        <v/>
      </c>
      <c r="AF26" s="34">
        <f>R26*N26</f>
        <v/>
      </c>
      <c r="AG26" s="29">
        <f>MAX(SumAssured,AA26)</f>
        <v/>
      </c>
      <c r="AH26" s="34">
        <f>AG26*O26</f>
        <v/>
      </c>
      <c r="AI26" s="34">
        <f>AA26*O26</f>
        <v/>
      </c>
      <c r="AJ26" s="34">
        <f>AA26*P26</f>
        <v/>
      </c>
      <c r="AK26" s="34">
        <f>I26*AA26*P26</f>
        <v/>
      </c>
      <c r="AL26" s="34">
        <f>AJ26-AK26</f>
        <v/>
      </c>
      <c r="AM26" s="34">
        <f>Q26*K26</f>
        <v/>
      </c>
      <c r="AN26" s="34">
        <f>AH26+AL26+AM26</f>
        <v/>
      </c>
      <c r="AO26" s="34">
        <f>(AG26-AA26)*O26</f>
        <v/>
      </c>
      <c r="AP26" s="34">
        <f>W26*N26</f>
        <v/>
      </c>
      <c r="AQ26" s="34">
        <f>T26*N26</f>
        <v/>
      </c>
      <c r="AR26" s="34">
        <f>Z26*J27+0.5*Z26*(O26+P26)</f>
        <v/>
      </c>
      <c r="AS26" s="30">
        <f>(1+InflationRate)^(A26/12)</f>
        <v/>
      </c>
      <c r="AT26" s="29">
        <f>ExpenseAcq*M26+N26*ExpenseMaint/12*AS26</f>
        <v/>
      </c>
      <c r="AU26" s="29">
        <f>CommissionRate*AE26</f>
        <v/>
      </c>
      <c r="AV26" s="34">
        <f>AB27-AB26</f>
        <v/>
      </c>
      <c r="AW26" s="34">
        <f>AE26+AR26-AN26-AT26-AU26-AV26</f>
        <v/>
      </c>
      <c r="AX26" s="29">
        <f>LoadPremRate*E26*N26+AK26+AQ26-AU26-AT26</f>
        <v/>
      </c>
      <c r="AY26" s="34">
        <f>AP26-AO26</f>
        <v/>
      </c>
      <c r="AZ26" s="37">
        <f>(AW26-AX26-AY26)/MAX(1,ABS(AW26),ABS(AX26),ABS(AY26))</f>
        <v/>
      </c>
      <c r="BA26" s="37">
        <f>IF(OR(K26&gt;0,K27&gt;0),0,(AC27-(AC26+AF26-AQ26-AP26+AR26-AI26-AJ26-AM26))/MAX(1,ABS(AC26),ABS(AC27)))</f>
        <v/>
      </c>
      <c r="BB26" s="35">
        <f>(1+INDEX(DiscRateAnn,INT(A26/12)+1))^(1/12)-1</f>
        <v/>
      </c>
      <c r="BC26" s="31">
        <f>(1+BB26)^-A26</f>
        <v/>
      </c>
      <c r="BD26" s="34">
        <f>AW26*BC26</f>
        <v/>
      </c>
    </row>
    <row r="27">
      <c r="A27" s="27">
        <f>A26+1</f>
        <v/>
      </c>
      <c r="B27" s="28">
        <f>Duration0+A27</f>
        <v/>
      </c>
      <c r="C27" s="27">
        <f>INT(B27/12)</f>
        <v/>
      </c>
      <c r="D27" s="28">
        <f>AgeAtEntry+C27</f>
        <v/>
      </c>
      <c r="E27" s="29">
        <f>IF(PremiumType="SINGLE",IF(B27=0,PremiumPPInput,0),IF(B27&lt;12*PolicyTerm,PremiumPPInput,0))</f>
        <v/>
      </c>
      <c r="F27" s="30">
        <f>INDEX(MortRates,MATCH(MIN(D27,120),MortAges,0),MAX(MIN(C27,5),0)+1)</f>
        <v/>
      </c>
      <c r="G27" s="31">
        <f>1-(1-F27)^(1/12)</f>
        <v/>
      </c>
      <c r="H27" s="32">
        <f>MAX(LapseBase-LapseStep*C27,LapseFloor)</f>
        <v/>
      </c>
      <c r="I27" s="32">
        <f>IF(HasSurrCharge,INDEX(SurrRates,MIN(C27,SurrDurMax)+1,MATCH(SurrChargeID,SurrTypes,0)),0)</f>
        <v/>
      </c>
      <c r="J27" s="33">
        <f>N26-P26-O26</f>
        <v/>
      </c>
      <c r="K27" s="30">
        <f>IF(B27=12*PolicyTerm,J27,0)</f>
        <v/>
      </c>
      <c r="L27" s="33">
        <f>J27-K27</f>
        <v/>
      </c>
      <c r="M27" s="30">
        <f>IF(B27=0,PolicyCount,0)</f>
        <v/>
      </c>
      <c r="N27" s="33">
        <f>L27+M27</f>
        <v/>
      </c>
      <c r="O27" s="31">
        <f>N27*G27</f>
        <v/>
      </c>
      <c r="P27" s="33">
        <f>(N27-O27)*(1-(1-H27)^(1/12))</f>
        <v/>
      </c>
      <c r="Q27" s="34">
        <f>X26+Z26</f>
        <v/>
      </c>
      <c r="R27" s="29">
        <f>(1-LoadPremRate)*E27</f>
        <v/>
      </c>
      <c r="S27" s="34">
        <f>Q27+R27</f>
        <v/>
      </c>
      <c r="T27" s="29">
        <f>MaintFeeRateAnn/12*S27</f>
        <v/>
      </c>
      <c r="U27" s="29">
        <f>MAX(SumAssured-S27,0)</f>
        <v/>
      </c>
      <c r="V27" s="35">
        <f>CoiMultiple*G27</f>
        <v/>
      </c>
      <c r="W27" s="34">
        <f>V27*U27</f>
        <v/>
      </c>
      <c r="X27" s="34">
        <f>S27-T27-W27</f>
        <v/>
      </c>
      <c r="Y27" s="36">
        <f>EXP((Mu-0.5*Sigma^2)/12+Sigma*SQRT(1/12)*INDEX(NormRand,ScenID,A27+1))-1</f>
        <v/>
      </c>
      <c r="Z27" s="34">
        <f>Y27*X27</f>
        <v/>
      </c>
      <c r="AA27" s="34">
        <f>X27+0.5*Z27</f>
        <v/>
      </c>
      <c r="AB27" s="34">
        <f>Q27*J27</f>
        <v/>
      </c>
      <c r="AC27" s="34">
        <f>Q27*L27</f>
        <v/>
      </c>
      <c r="AD27" s="34">
        <f>S27*N27</f>
        <v/>
      </c>
      <c r="AE27" s="34">
        <f>E27*N27</f>
        <v/>
      </c>
      <c r="AF27" s="34">
        <f>R27*N27</f>
        <v/>
      </c>
      <c r="AG27" s="29">
        <f>MAX(SumAssured,AA27)</f>
        <v/>
      </c>
      <c r="AH27" s="34">
        <f>AG27*O27</f>
        <v/>
      </c>
      <c r="AI27" s="34">
        <f>AA27*O27</f>
        <v/>
      </c>
      <c r="AJ27" s="34">
        <f>AA27*P27</f>
        <v/>
      </c>
      <c r="AK27" s="34">
        <f>I27*AA27*P27</f>
        <v/>
      </c>
      <c r="AL27" s="34">
        <f>AJ27-AK27</f>
        <v/>
      </c>
      <c r="AM27" s="34">
        <f>Q27*K27</f>
        <v/>
      </c>
      <c r="AN27" s="34">
        <f>AH27+AL27+AM27</f>
        <v/>
      </c>
      <c r="AO27" s="34">
        <f>(AG27-AA27)*O27</f>
        <v/>
      </c>
      <c r="AP27" s="34">
        <f>W27*N27</f>
        <v/>
      </c>
      <c r="AQ27" s="34">
        <f>T27*N27</f>
        <v/>
      </c>
      <c r="AR27" s="34">
        <f>Z27*J28+0.5*Z27*(O27+P27)</f>
        <v/>
      </c>
      <c r="AS27" s="30">
        <f>(1+InflationRate)^(A27/12)</f>
        <v/>
      </c>
      <c r="AT27" s="29">
        <f>ExpenseAcq*M27+N27*ExpenseMaint/12*AS27</f>
        <v/>
      </c>
      <c r="AU27" s="29">
        <f>CommissionRate*AE27</f>
        <v/>
      </c>
      <c r="AV27" s="34">
        <f>AB28-AB27</f>
        <v/>
      </c>
      <c r="AW27" s="34">
        <f>AE27+AR27-AN27-AT27-AU27-AV27</f>
        <v/>
      </c>
      <c r="AX27" s="29">
        <f>LoadPremRate*E27*N27+AK27+AQ27-AU27-AT27</f>
        <v/>
      </c>
      <c r="AY27" s="34">
        <f>AP27-AO27</f>
        <v/>
      </c>
      <c r="AZ27" s="37">
        <f>(AW27-AX27-AY27)/MAX(1,ABS(AW27),ABS(AX27),ABS(AY27))</f>
        <v/>
      </c>
      <c r="BA27" s="37">
        <f>IF(OR(K27&gt;0,K28&gt;0),0,(AC28-(AC27+AF27-AQ27-AP27+AR27-AI27-AJ27-AM27))/MAX(1,ABS(AC27),ABS(AC28)))</f>
        <v/>
      </c>
      <c r="BB27" s="35">
        <f>(1+INDEX(DiscRateAnn,INT(A27/12)+1))^(1/12)-1</f>
        <v/>
      </c>
      <c r="BC27" s="31">
        <f>(1+BB27)^-A27</f>
        <v/>
      </c>
      <c r="BD27" s="34">
        <f>AW27*BC27</f>
        <v/>
      </c>
    </row>
    <row r="28">
      <c r="A28" s="27">
        <f>A27+1</f>
        <v/>
      </c>
      <c r="B28" s="28">
        <f>Duration0+A28</f>
        <v/>
      </c>
      <c r="C28" s="27">
        <f>INT(B28/12)</f>
        <v/>
      </c>
      <c r="D28" s="28">
        <f>AgeAtEntry+C28</f>
        <v/>
      </c>
      <c r="E28" s="29">
        <f>IF(PremiumType="SINGLE",IF(B28=0,PremiumPPInput,0),IF(B28&lt;12*PolicyTerm,PremiumPPInput,0))</f>
        <v/>
      </c>
      <c r="F28" s="30">
        <f>INDEX(MortRates,MATCH(MIN(D28,120),MortAges,0),MAX(MIN(C28,5),0)+1)</f>
        <v/>
      </c>
      <c r="G28" s="31">
        <f>1-(1-F28)^(1/12)</f>
        <v/>
      </c>
      <c r="H28" s="32">
        <f>MAX(LapseBase-LapseStep*C28,LapseFloor)</f>
        <v/>
      </c>
      <c r="I28" s="32">
        <f>IF(HasSurrCharge,INDEX(SurrRates,MIN(C28,SurrDurMax)+1,MATCH(SurrChargeID,SurrTypes,0)),0)</f>
        <v/>
      </c>
      <c r="J28" s="33">
        <f>N27-P27-O27</f>
        <v/>
      </c>
      <c r="K28" s="30">
        <f>IF(B28=12*PolicyTerm,J28,0)</f>
        <v/>
      </c>
      <c r="L28" s="33">
        <f>J28-K28</f>
        <v/>
      </c>
      <c r="M28" s="30">
        <f>IF(B28=0,PolicyCount,0)</f>
        <v/>
      </c>
      <c r="N28" s="33">
        <f>L28+M28</f>
        <v/>
      </c>
      <c r="O28" s="31">
        <f>N28*G28</f>
        <v/>
      </c>
      <c r="P28" s="33">
        <f>(N28-O28)*(1-(1-H28)^(1/12))</f>
        <v/>
      </c>
      <c r="Q28" s="34">
        <f>X27+Z27</f>
        <v/>
      </c>
      <c r="R28" s="29">
        <f>(1-LoadPremRate)*E28</f>
        <v/>
      </c>
      <c r="S28" s="34">
        <f>Q28+R28</f>
        <v/>
      </c>
      <c r="T28" s="29">
        <f>MaintFeeRateAnn/12*S28</f>
        <v/>
      </c>
      <c r="U28" s="29">
        <f>MAX(SumAssured-S28,0)</f>
        <v/>
      </c>
      <c r="V28" s="35">
        <f>CoiMultiple*G28</f>
        <v/>
      </c>
      <c r="W28" s="34">
        <f>V28*U28</f>
        <v/>
      </c>
      <c r="X28" s="34">
        <f>S28-T28-W28</f>
        <v/>
      </c>
      <c r="Y28" s="36">
        <f>EXP((Mu-0.5*Sigma^2)/12+Sigma*SQRT(1/12)*INDEX(NormRand,ScenID,A28+1))-1</f>
        <v/>
      </c>
      <c r="Z28" s="34">
        <f>Y28*X28</f>
        <v/>
      </c>
      <c r="AA28" s="34">
        <f>X28+0.5*Z28</f>
        <v/>
      </c>
      <c r="AB28" s="34">
        <f>Q28*J28</f>
        <v/>
      </c>
      <c r="AC28" s="34">
        <f>Q28*L28</f>
        <v/>
      </c>
      <c r="AD28" s="34">
        <f>S28*N28</f>
        <v/>
      </c>
      <c r="AE28" s="34">
        <f>E28*N28</f>
        <v/>
      </c>
      <c r="AF28" s="34">
        <f>R28*N28</f>
        <v/>
      </c>
      <c r="AG28" s="29">
        <f>MAX(SumAssured,AA28)</f>
        <v/>
      </c>
      <c r="AH28" s="34">
        <f>AG28*O28</f>
        <v/>
      </c>
      <c r="AI28" s="34">
        <f>AA28*O28</f>
        <v/>
      </c>
      <c r="AJ28" s="34">
        <f>AA28*P28</f>
        <v/>
      </c>
      <c r="AK28" s="34">
        <f>I28*AA28*P28</f>
        <v/>
      </c>
      <c r="AL28" s="34">
        <f>AJ28-AK28</f>
        <v/>
      </c>
      <c r="AM28" s="34">
        <f>Q28*K28</f>
        <v/>
      </c>
      <c r="AN28" s="34">
        <f>AH28+AL28+AM28</f>
        <v/>
      </c>
      <c r="AO28" s="34">
        <f>(AG28-AA28)*O28</f>
        <v/>
      </c>
      <c r="AP28" s="34">
        <f>W28*N28</f>
        <v/>
      </c>
      <c r="AQ28" s="34">
        <f>T28*N28</f>
        <v/>
      </c>
      <c r="AR28" s="34">
        <f>Z28*J29+0.5*Z28*(O28+P28)</f>
        <v/>
      </c>
      <c r="AS28" s="30">
        <f>(1+InflationRate)^(A28/12)</f>
        <v/>
      </c>
      <c r="AT28" s="29">
        <f>ExpenseAcq*M28+N28*ExpenseMaint/12*AS28</f>
        <v/>
      </c>
      <c r="AU28" s="29">
        <f>CommissionRate*AE28</f>
        <v/>
      </c>
      <c r="AV28" s="34">
        <f>AB29-AB28</f>
        <v/>
      </c>
      <c r="AW28" s="34">
        <f>AE28+AR28-AN28-AT28-AU28-AV28</f>
        <v/>
      </c>
      <c r="AX28" s="29">
        <f>LoadPremRate*E28*N28+AK28+AQ28-AU28-AT28</f>
        <v/>
      </c>
      <c r="AY28" s="34">
        <f>AP28-AO28</f>
        <v/>
      </c>
      <c r="AZ28" s="37">
        <f>(AW28-AX28-AY28)/MAX(1,ABS(AW28),ABS(AX28),ABS(AY28))</f>
        <v/>
      </c>
      <c r="BA28" s="37">
        <f>IF(OR(K28&gt;0,K29&gt;0),0,(AC29-(AC28+AF28-AQ28-AP28+AR28-AI28-AJ28-AM28))/MAX(1,ABS(AC28),ABS(AC29)))</f>
        <v/>
      </c>
      <c r="BB28" s="35">
        <f>(1+INDEX(DiscRateAnn,INT(A28/12)+1))^(1/12)-1</f>
        <v/>
      </c>
      <c r="BC28" s="31">
        <f>(1+BB28)^-A28</f>
        <v/>
      </c>
      <c r="BD28" s="34">
        <f>AW28*BC28</f>
        <v/>
      </c>
    </row>
    <row r="29">
      <c r="A29" s="27">
        <f>A28+1</f>
        <v/>
      </c>
      <c r="B29" s="28">
        <f>Duration0+A29</f>
        <v/>
      </c>
      <c r="C29" s="27">
        <f>INT(B29/12)</f>
        <v/>
      </c>
      <c r="D29" s="28">
        <f>AgeAtEntry+C29</f>
        <v/>
      </c>
      <c r="E29" s="29">
        <f>IF(PremiumType="SINGLE",IF(B29=0,PremiumPPInput,0),IF(B29&lt;12*PolicyTerm,PremiumPPInput,0))</f>
        <v/>
      </c>
      <c r="F29" s="30">
        <f>INDEX(MortRates,MATCH(MIN(D29,120),MortAges,0),MAX(MIN(C29,5),0)+1)</f>
        <v/>
      </c>
      <c r="G29" s="31">
        <f>1-(1-F29)^(1/12)</f>
        <v/>
      </c>
      <c r="H29" s="32">
        <f>MAX(LapseBase-LapseStep*C29,LapseFloor)</f>
        <v/>
      </c>
      <c r="I29" s="32">
        <f>IF(HasSurrCharge,INDEX(SurrRates,MIN(C29,SurrDurMax)+1,MATCH(SurrChargeID,SurrTypes,0)),0)</f>
        <v/>
      </c>
      <c r="J29" s="33">
        <f>N28-P28-O28</f>
        <v/>
      </c>
      <c r="K29" s="30">
        <f>IF(B29=12*PolicyTerm,J29,0)</f>
        <v/>
      </c>
      <c r="L29" s="33">
        <f>J29-K29</f>
        <v/>
      </c>
      <c r="M29" s="30">
        <f>IF(B29=0,PolicyCount,0)</f>
        <v/>
      </c>
      <c r="N29" s="33">
        <f>L29+M29</f>
        <v/>
      </c>
      <c r="O29" s="31">
        <f>N29*G29</f>
        <v/>
      </c>
      <c r="P29" s="33">
        <f>(N29-O29)*(1-(1-H29)^(1/12))</f>
        <v/>
      </c>
      <c r="Q29" s="34">
        <f>X28+Z28</f>
        <v/>
      </c>
      <c r="R29" s="29">
        <f>(1-LoadPremRate)*E29</f>
        <v/>
      </c>
      <c r="S29" s="34">
        <f>Q29+R29</f>
        <v/>
      </c>
      <c r="T29" s="29">
        <f>MaintFeeRateAnn/12*S29</f>
        <v/>
      </c>
      <c r="U29" s="29">
        <f>MAX(SumAssured-S29,0)</f>
        <v/>
      </c>
      <c r="V29" s="35">
        <f>CoiMultiple*G29</f>
        <v/>
      </c>
      <c r="W29" s="34">
        <f>V29*U29</f>
        <v/>
      </c>
      <c r="X29" s="34">
        <f>S29-T29-W29</f>
        <v/>
      </c>
      <c r="Y29" s="36">
        <f>EXP((Mu-0.5*Sigma^2)/12+Sigma*SQRT(1/12)*INDEX(NormRand,ScenID,A29+1))-1</f>
        <v/>
      </c>
      <c r="Z29" s="34">
        <f>Y29*X29</f>
        <v/>
      </c>
      <c r="AA29" s="34">
        <f>X29+0.5*Z29</f>
        <v/>
      </c>
      <c r="AB29" s="34">
        <f>Q29*J29</f>
        <v/>
      </c>
      <c r="AC29" s="34">
        <f>Q29*L29</f>
        <v/>
      </c>
      <c r="AD29" s="34">
        <f>S29*N29</f>
        <v/>
      </c>
      <c r="AE29" s="34">
        <f>E29*N29</f>
        <v/>
      </c>
      <c r="AF29" s="34">
        <f>R29*N29</f>
        <v/>
      </c>
      <c r="AG29" s="29">
        <f>MAX(SumAssured,AA29)</f>
        <v/>
      </c>
      <c r="AH29" s="34">
        <f>AG29*O29</f>
        <v/>
      </c>
      <c r="AI29" s="34">
        <f>AA29*O29</f>
        <v/>
      </c>
      <c r="AJ29" s="34">
        <f>AA29*P29</f>
        <v/>
      </c>
      <c r="AK29" s="34">
        <f>I29*AA29*P29</f>
        <v/>
      </c>
      <c r="AL29" s="34">
        <f>AJ29-AK29</f>
        <v/>
      </c>
      <c r="AM29" s="34">
        <f>Q29*K29</f>
        <v/>
      </c>
      <c r="AN29" s="34">
        <f>AH29+AL29+AM29</f>
        <v/>
      </c>
      <c r="AO29" s="34">
        <f>(AG29-AA29)*O29</f>
        <v/>
      </c>
      <c r="AP29" s="34">
        <f>W29*N29</f>
        <v/>
      </c>
      <c r="AQ29" s="34">
        <f>T29*N29</f>
        <v/>
      </c>
      <c r="AR29" s="34">
        <f>Z29*J30+0.5*Z29*(O29+P29)</f>
        <v/>
      </c>
      <c r="AS29" s="30">
        <f>(1+InflationRate)^(A29/12)</f>
        <v/>
      </c>
      <c r="AT29" s="29">
        <f>ExpenseAcq*M29+N29*ExpenseMaint/12*AS29</f>
        <v/>
      </c>
      <c r="AU29" s="29">
        <f>CommissionRate*AE29</f>
        <v/>
      </c>
      <c r="AV29" s="34">
        <f>AB30-AB29</f>
        <v/>
      </c>
      <c r="AW29" s="34">
        <f>AE29+AR29-AN29-AT29-AU29-AV29</f>
        <v/>
      </c>
      <c r="AX29" s="29">
        <f>LoadPremRate*E29*N29+AK29+AQ29-AU29-AT29</f>
        <v/>
      </c>
      <c r="AY29" s="34">
        <f>AP29-AO29</f>
        <v/>
      </c>
      <c r="AZ29" s="37">
        <f>(AW29-AX29-AY29)/MAX(1,ABS(AW29),ABS(AX29),ABS(AY29))</f>
        <v/>
      </c>
      <c r="BA29" s="37">
        <f>IF(OR(K29&gt;0,K30&gt;0),0,(AC30-(AC29+AF29-AQ29-AP29+AR29-AI29-AJ29-AM29))/MAX(1,ABS(AC29),ABS(AC30)))</f>
        <v/>
      </c>
      <c r="BB29" s="35">
        <f>(1+INDEX(DiscRateAnn,INT(A29/12)+1))^(1/12)-1</f>
        <v/>
      </c>
      <c r="BC29" s="31">
        <f>(1+BB29)^-A29</f>
        <v/>
      </c>
      <c r="BD29" s="34">
        <f>AW29*BC29</f>
        <v/>
      </c>
    </row>
    <row r="30">
      <c r="A30" s="27">
        <f>A29+1</f>
        <v/>
      </c>
      <c r="B30" s="28">
        <f>Duration0+A30</f>
        <v/>
      </c>
      <c r="C30" s="27">
        <f>INT(B30/12)</f>
        <v/>
      </c>
      <c r="D30" s="28">
        <f>AgeAtEntry+C30</f>
        <v/>
      </c>
      <c r="E30" s="29">
        <f>IF(PremiumType="SINGLE",IF(B30=0,PremiumPPInput,0),IF(B30&lt;12*PolicyTerm,PremiumPPInput,0))</f>
        <v/>
      </c>
      <c r="F30" s="30">
        <f>INDEX(MortRates,MATCH(MIN(D30,120),MortAges,0),MAX(MIN(C30,5),0)+1)</f>
        <v/>
      </c>
      <c r="G30" s="31">
        <f>1-(1-F30)^(1/12)</f>
        <v/>
      </c>
      <c r="H30" s="32">
        <f>MAX(LapseBase-LapseStep*C30,LapseFloor)</f>
        <v/>
      </c>
      <c r="I30" s="32">
        <f>IF(HasSurrCharge,INDEX(SurrRates,MIN(C30,SurrDurMax)+1,MATCH(SurrChargeID,SurrTypes,0)),0)</f>
        <v/>
      </c>
      <c r="J30" s="33">
        <f>N29-P29-O29</f>
        <v/>
      </c>
      <c r="K30" s="30">
        <f>IF(B30=12*PolicyTerm,J30,0)</f>
        <v/>
      </c>
      <c r="L30" s="33">
        <f>J30-K30</f>
        <v/>
      </c>
      <c r="M30" s="30">
        <f>IF(B30=0,PolicyCount,0)</f>
        <v/>
      </c>
      <c r="N30" s="33">
        <f>L30+M30</f>
        <v/>
      </c>
      <c r="O30" s="31">
        <f>N30*G30</f>
        <v/>
      </c>
      <c r="P30" s="33">
        <f>(N30-O30)*(1-(1-H30)^(1/12))</f>
        <v/>
      </c>
      <c r="Q30" s="34">
        <f>X29+Z29</f>
        <v/>
      </c>
      <c r="R30" s="29">
        <f>(1-LoadPremRate)*E30</f>
        <v/>
      </c>
      <c r="S30" s="34">
        <f>Q30+R30</f>
        <v/>
      </c>
      <c r="T30" s="29">
        <f>MaintFeeRateAnn/12*S30</f>
        <v/>
      </c>
      <c r="U30" s="29">
        <f>MAX(SumAssured-S30,0)</f>
        <v/>
      </c>
      <c r="V30" s="35">
        <f>CoiMultiple*G30</f>
        <v/>
      </c>
      <c r="W30" s="34">
        <f>V30*U30</f>
        <v/>
      </c>
      <c r="X30" s="34">
        <f>S30-T30-W30</f>
        <v/>
      </c>
      <c r="Y30" s="36">
        <f>EXP((Mu-0.5*Sigma^2)/12+Sigma*SQRT(1/12)*INDEX(NormRand,ScenID,A30+1))-1</f>
        <v/>
      </c>
      <c r="Z30" s="34">
        <f>Y30*X30</f>
        <v/>
      </c>
      <c r="AA30" s="34">
        <f>X30+0.5*Z30</f>
        <v/>
      </c>
      <c r="AB30" s="34">
        <f>Q30*J30</f>
        <v/>
      </c>
      <c r="AC30" s="34">
        <f>Q30*L30</f>
        <v/>
      </c>
      <c r="AD30" s="34">
        <f>S30*N30</f>
        <v/>
      </c>
      <c r="AE30" s="34">
        <f>E30*N30</f>
        <v/>
      </c>
      <c r="AF30" s="34">
        <f>R30*N30</f>
        <v/>
      </c>
      <c r="AG30" s="29">
        <f>MAX(SumAssured,AA30)</f>
        <v/>
      </c>
      <c r="AH30" s="34">
        <f>AG30*O30</f>
        <v/>
      </c>
      <c r="AI30" s="34">
        <f>AA30*O30</f>
        <v/>
      </c>
      <c r="AJ30" s="34">
        <f>AA30*P30</f>
        <v/>
      </c>
      <c r="AK30" s="34">
        <f>I30*AA30*P30</f>
        <v/>
      </c>
      <c r="AL30" s="34">
        <f>AJ30-AK30</f>
        <v/>
      </c>
      <c r="AM30" s="34">
        <f>Q30*K30</f>
        <v/>
      </c>
      <c r="AN30" s="34">
        <f>AH30+AL30+AM30</f>
        <v/>
      </c>
      <c r="AO30" s="34">
        <f>(AG30-AA30)*O30</f>
        <v/>
      </c>
      <c r="AP30" s="34">
        <f>W30*N30</f>
        <v/>
      </c>
      <c r="AQ30" s="34">
        <f>T30*N30</f>
        <v/>
      </c>
      <c r="AR30" s="34">
        <f>Z30*J31+0.5*Z30*(O30+P30)</f>
        <v/>
      </c>
      <c r="AS30" s="30">
        <f>(1+InflationRate)^(A30/12)</f>
        <v/>
      </c>
      <c r="AT30" s="29">
        <f>ExpenseAcq*M30+N30*ExpenseMaint/12*AS30</f>
        <v/>
      </c>
      <c r="AU30" s="29">
        <f>CommissionRate*AE30</f>
        <v/>
      </c>
      <c r="AV30" s="34">
        <f>AB31-AB30</f>
        <v/>
      </c>
      <c r="AW30" s="34">
        <f>AE30+AR30-AN30-AT30-AU30-AV30</f>
        <v/>
      </c>
      <c r="AX30" s="29">
        <f>LoadPremRate*E30*N30+AK30+AQ30-AU30-AT30</f>
        <v/>
      </c>
      <c r="AY30" s="34">
        <f>AP30-AO30</f>
        <v/>
      </c>
      <c r="AZ30" s="37">
        <f>(AW30-AX30-AY30)/MAX(1,ABS(AW30),ABS(AX30),ABS(AY30))</f>
        <v/>
      </c>
      <c r="BA30" s="37">
        <f>IF(OR(K30&gt;0,K31&gt;0),0,(AC31-(AC30+AF30-AQ30-AP30+AR30-AI30-AJ30-AM30))/MAX(1,ABS(AC30),ABS(AC31)))</f>
        <v/>
      </c>
      <c r="BB30" s="35">
        <f>(1+INDEX(DiscRateAnn,INT(A30/12)+1))^(1/12)-1</f>
        <v/>
      </c>
      <c r="BC30" s="31">
        <f>(1+BB30)^-A30</f>
        <v/>
      </c>
      <c r="BD30" s="34">
        <f>AW30*BC30</f>
        <v/>
      </c>
    </row>
    <row r="31">
      <c r="A31" s="27">
        <f>A30+1</f>
        <v/>
      </c>
      <c r="B31" s="28">
        <f>Duration0+A31</f>
        <v/>
      </c>
      <c r="C31" s="27">
        <f>INT(B31/12)</f>
        <v/>
      </c>
      <c r="D31" s="28">
        <f>AgeAtEntry+C31</f>
        <v/>
      </c>
      <c r="E31" s="29">
        <f>IF(PremiumType="SINGLE",IF(B31=0,PremiumPPInput,0),IF(B31&lt;12*PolicyTerm,PremiumPPInput,0))</f>
        <v/>
      </c>
      <c r="F31" s="30">
        <f>INDEX(MortRates,MATCH(MIN(D31,120),MortAges,0),MAX(MIN(C31,5),0)+1)</f>
        <v/>
      </c>
      <c r="G31" s="31">
        <f>1-(1-F31)^(1/12)</f>
        <v/>
      </c>
      <c r="H31" s="32">
        <f>MAX(LapseBase-LapseStep*C31,LapseFloor)</f>
        <v/>
      </c>
      <c r="I31" s="32">
        <f>IF(HasSurrCharge,INDEX(SurrRates,MIN(C31,SurrDurMax)+1,MATCH(SurrChargeID,SurrTypes,0)),0)</f>
        <v/>
      </c>
      <c r="J31" s="33">
        <f>N30-P30-O30</f>
        <v/>
      </c>
      <c r="K31" s="30">
        <f>IF(B31=12*PolicyTerm,J31,0)</f>
        <v/>
      </c>
      <c r="L31" s="33">
        <f>J31-K31</f>
        <v/>
      </c>
      <c r="M31" s="30">
        <f>IF(B31=0,PolicyCount,0)</f>
        <v/>
      </c>
      <c r="N31" s="33">
        <f>L31+M31</f>
        <v/>
      </c>
      <c r="O31" s="31">
        <f>N31*G31</f>
        <v/>
      </c>
      <c r="P31" s="33">
        <f>(N31-O31)*(1-(1-H31)^(1/12))</f>
        <v/>
      </c>
      <c r="Q31" s="34">
        <f>X30+Z30</f>
        <v/>
      </c>
      <c r="R31" s="29">
        <f>(1-LoadPremRate)*E31</f>
        <v/>
      </c>
      <c r="S31" s="34">
        <f>Q31+R31</f>
        <v/>
      </c>
      <c r="T31" s="29">
        <f>MaintFeeRateAnn/12*S31</f>
        <v/>
      </c>
      <c r="U31" s="29">
        <f>MAX(SumAssured-S31,0)</f>
        <v/>
      </c>
      <c r="V31" s="35">
        <f>CoiMultiple*G31</f>
        <v/>
      </c>
      <c r="W31" s="34">
        <f>V31*U31</f>
        <v/>
      </c>
      <c r="X31" s="34">
        <f>S31-T31-W31</f>
        <v/>
      </c>
      <c r="Y31" s="36">
        <f>EXP((Mu-0.5*Sigma^2)/12+Sigma*SQRT(1/12)*INDEX(NormRand,ScenID,A31+1))-1</f>
        <v/>
      </c>
      <c r="Z31" s="34">
        <f>Y31*X31</f>
        <v/>
      </c>
      <c r="AA31" s="34">
        <f>X31+0.5*Z31</f>
        <v/>
      </c>
      <c r="AB31" s="34">
        <f>Q31*J31</f>
        <v/>
      </c>
      <c r="AC31" s="34">
        <f>Q31*L31</f>
        <v/>
      </c>
      <c r="AD31" s="34">
        <f>S31*N31</f>
        <v/>
      </c>
      <c r="AE31" s="34">
        <f>E31*N31</f>
        <v/>
      </c>
      <c r="AF31" s="34">
        <f>R31*N31</f>
        <v/>
      </c>
      <c r="AG31" s="29">
        <f>MAX(SumAssured,AA31)</f>
        <v/>
      </c>
      <c r="AH31" s="34">
        <f>AG31*O31</f>
        <v/>
      </c>
      <c r="AI31" s="34">
        <f>AA31*O31</f>
        <v/>
      </c>
      <c r="AJ31" s="34">
        <f>AA31*P31</f>
        <v/>
      </c>
      <c r="AK31" s="34">
        <f>I31*AA31*P31</f>
        <v/>
      </c>
      <c r="AL31" s="34">
        <f>AJ31-AK31</f>
        <v/>
      </c>
      <c r="AM31" s="34">
        <f>Q31*K31</f>
        <v/>
      </c>
      <c r="AN31" s="34">
        <f>AH31+AL31+AM31</f>
        <v/>
      </c>
      <c r="AO31" s="34">
        <f>(AG31-AA31)*O31</f>
        <v/>
      </c>
      <c r="AP31" s="34">
        <f>W31*N31</f>
        <v/>
      </c>
      <c r="AQ31" s="34">
        <f>T31*N31</f>
        <v/>
      </c>
      <c r="AR31" s="34">
        <f>Z31*J32+0.5*Z31*(O31+P31)</f>
        <v/>
      </c>
      <c r="AS31" s="30">
        <f>(1+InflationRate)^(A31/12)</f>
        <v/>
      </c>
      <c r="AT31" s="29">
        <f>ExpenseAcq*M31+N31*ExpenseMaint/12*AS31</f>
        <v/>
      </c>
      <c r="AU31" s="29">
        <f>CommissionRate*AE31</f>
        <v/>
      </c>
      <c r="AV31" s="34">
        <f>AB32-AB31</f>
        <v/>
      </c>
      <c r="AW31" s="34">
        <f>AE31+AR31-AN31-AT31-AU31-AV31</f>
        <v/>
      </c>
      <c r="AX31" s="29">
        <f>LoadPremRate*E31*N31+AK31+AQ31-AU31-AT31</f>
        <v/>
      </c>
      <c r="AY31" s="34">
        <f>AP31-AO31</f>
        <v/>
      </c>
      <c r="AZ31" s="37">
        <f>(AW31-AX31-AY31)/MAX(1,ABS(AW31),ABS(AX31),ABS(AY31))</f>
        <v/>
      </c>
      <c r="BA31" s="37">
        <f>IF(OR(K31&gt;0,K32&gt;0),0,(AC32-(AC31+AF31-AQ31-AP31+AR31-AI31-AJ31-AM31))/MAX(1,ABS(AC31),ABS(AC32)))</f>
        <v/>
      </c>
      <c r="BB31" s="35">
        <f>(1+INDEX(DiscRateAnn,INT(A31/12)+1))^(1/12)-1</f>
        <v/>
      </c>
      <c r="BC31" s="31">
        <f>(1+BB31)^-A31</f>
        <v/>
      </c>
      <c r="BD31" s="34">
        <f>AW31*BC31</f>
        <v/>
      </c>
    </row>
    <row r="32">
      <c r="A32" s="27">
        <f>A31+1</f>
        <v/>
      </c>
      <c r="B32" s="28">
        <f>Duration0+A32</f>
        <v/>
      </c>
      <c r="C32" s="27">
        <f>INT(B32/12)</f>
        <v/>
      </c>
      <c r="D32" s="28">
        <f>AgeAtEntry+C32</f>
        <v/>
      </c>
      <c r="E32" s="29">
        <f>IF(PremiumType="SINGLE",IF(B32=0,PremiumPPInput,0),IF(B32&lt;12*PolicyTerm,PremiumPPInput,0))</f>
        <v/>
      </c>
      <c r="F32" s="30">
        <f>INDEX(MortRates,MATCH(MIN(D32,120),MortAges,0),MAX(MIN(C32,5),0)+1)</f>
        <v/>
      </c>
      <c r="G32" s="31">
        <f>1-(1-F32)^(1/12)</f>
        <v/>
      </c>
      <c r="H32" s="32">
        <f>MAX(LapseBase-LapseStep*C32,LapseFloor)</f>
        <v/>
      </c>
      <c r="I32" s="32">
        <f>IF(HasSurrCharge,INDEX(SurrRates,MIN(C32,SurrDurMax)+1,MATCH(SurrChargeID,SurrTypes,0)),0)</f>
        <v/>
      </c>
      <c r="J32" s="33">
        <f>N31-P31-O31</f>
        <v/>
      </c>
      <c r="K32" s="30">
        <f>IF(B32=12*PolicyTerm,J32,0)</f>
        <v/>
      </c>
      <c r="L32" s="33">
        <f>J32-K32</f>
        <v/>
      </c>
      <c r="M32" s="30">
        <f>IF(B32=0,PolicyCount,0)</f>
        <v/>
      </c>
      <c r="N32" s="33">
        <f>L32+M32</f>
        <v/>
      </c>
      <c r="O32" s="31">
        <f>N32*G32</f>
        <v/>
      </c>
      <c r="P32" s="33">
        <f>(N32-O32)*(1-(1-H32)^(1/12))</f>
        <v/>
      </c>
      <c r="Q32" s="34">
        <f>X31+Z31</f>
        <v/>
      </c>
      <c r="R32" s="29">
        <f>(1-LoadPremRate)*E32</f>
        <v/>
      </c>
      <c r="S32" s="34">
        <f>Q32+R32</f>
        <v/>
      </c>
      <c r="T32" s="29">
        <f>MaintFeeRateAnn/12*S32</f>
        <v/>
      </c>
      <c r="U32" s="29">
        <f>MAX(SumAssured-S32,0)</f>
        <v/>
      </c>
      <c r="V32" s="35">
        <f>CoiMultiple*G32</f>
        <v/>
      </c>
      <c r="W32" s="34">
        <f>V32*U32</f>
        <v/>
      </c>
      <c r="X32" s="34">
        <f>S32-T32-W32</f>
        <v/>
      </c>
      <c r="Y32" s="36">
        <f>EXP((Mu-0.5*Sigma^2)/12+Sigma*SQRT(1/12)*INDEX(NormRand,ScenID,A32+1))-1</f>
        <v/>
      </c>
      <c r="Z32" s="34">
        <f>Y32*X32</f>
        <v/>
      </c>
      <c r="AA32" s="34">
        <f>X32+0.5*Z32</f>
        <v/>
      </c>
      <c r="AB32" s="34">
        <f>Q32*J32</f>
        <v/>
      </c>
      <c r="AC32" s="34">
        <f>Q32*L32</f>
        <v/>
      </c>
      <c r="AD32" s="34">
        <f>S32*N32</f>
        <v/>
      </c>
      <c r="AE32" s="34">
        <f>E32*N32</f>
        <v/>
      </c>
      <c r="AF32" s="34">
        <f>R32*N32</f>
        <v/>
      </c>
      <c r="AG32" s="29">
        <f>MAX(SumAssured,AA32)</f>
        <v/>
      </c>
      <c r="AH32" s="34">
        <f>AG32*O32</f>
        <v/>
      </c>
      <c r="AI32" s="34">
        <f>AA32*O32</f>
        <v/>
      </c>
      <c r="AJ32" s="34">
        <f>AA32*P32</f>
        <v/>
      </c>
      <c r="AK32" s="34">
        <f>I32*AA32*P32</f>
        <v/>
      </c>
      <c r="AL32" s="34">
        <f>AJ32-AK32</f>
        <v/>
      </c>
      <c r="AM32" s="34">
        <f>Q32*K32</f>
        <v/>
      </c>
      <c r="AN32" s="34">
        <f>AH32+AL32+AM32</f>
        <v/>
      </c>
      <c r="AO32" s="34">
        <f>(AG32-AA32)*O32</f>
        <v/>
      </c>
      <c r="AP32" s="34">
        <f>W32*N32</f>
        <v/>
      </c>
      <c r="AQ32" s="34">
        <f>T32*N32</f>
        <v/>
      </c>
      <c r="AR32" s="34">
        <f>Z32*J33+0.5*Z32*(O32+P32)</f>
        <v/>
      </c>
      <c r="AS32" s="30">
        <f>(1+InflationRate)^(A32/12)</f>
        <v/>
      </c>
      <c r="AT32" s="29">
        <f>ExpenseAcq*M32+N32*ExpenseMaint/12*AS32</f>
        <v/>
      </c>
      <c r="AU32" s="29">
        <f>CommissionRate*AE32</f>
        <v/>
      </c>
      <c r="AV32" s="34">
        <f>AB33-AB32</f>
        <v/>
      </c>
      <c r="AW32" s="34">
        <f>AE32+AR32-AN32-AT32-AU32-AV32</f>
        <v/>
      </c>
      <c r="AX32" s="29">
        <f>LoadPremRate*E32*N32+AK32+AQ32-AU32-AT32</f>
        <v/>
      </c>
      <c r="AY32" s="34">
        <f>AP32-AO32</f>
        <v/>
      </c>
      <c r="AZ32" s="37">
        <f>(AW32-AX32-AY32)/MAX(1,ABS(AW32),ABS(AX32),ABS(AY32))</f>
        <v/>
      </c>
      <c r="BA32" s="37">
        <f>IF(OR(K32&gt;0,K33&gt;0),0,(AC33-(AC32+AF32-AQ32-AP32+AR32-AI32-AJ32-AM32))/MAX(1,ABS(AC32),ABS(AC33)))</f>
        <v/>
      </c>
      <c r="BB32" s="35">
        <f>(1+INDEX(DiscRateAnn,INT(A32/12)+1))^(1/12)-1</f>
        <v/>
      </c>
      <c r="BC32" s="31">
        <f>(1+BB32)^-A32</f>
        <v/>
      </c>
      <c r="BD32" s="34">
        <f>AW32*BC32</f>
        <v/>
      </c>
    </row>
    <row r="33">
      <c r="A33" s="27">
        <f>A32+1</f>
        <v/>
      </c>
      <c r="B33" s="28">
        <f>Duration0+A33</f>
        <v/>
      </c>
      <c r="C33" s="27">
        <f>INT(B33/12)</f>
        <v/>
      </c>
      <c r="D33" s="28">
        <f>AgeAtEntry+C33</f>
        <v/>
      </c>
      <c r="E33" s="29">
        <f>IF(PremiumType="SINGLE",IF(B33=0,PremiumPPInput,0),IF(B33&lt;12*PolicyTerm,PremiumPPInput,0))</f>
        <v/>
      </c>
      <c r="F33" s="30">
        <f>INDEX(MortRates,MATCH(MIN(D33,120),MortAges,0),MAX(MIN(C33,5),0)+1)</f>
        <v/>
      </c>
      <c r="G33" s="31">
        <f>1-(1-F33)^(1/12)</f>
        <v/>
      </c>
      <c r="H33" s="32">
        <f>MAX(LapseBase-LapseStep*C33,LapseFloor)</f>
        <v/>
      </c>
      <c r="I33" s="32">
        <f>IF(HasSurrCharge,INDEX(SurrRates,MIN(C33,SurrDurMax)+1,MATCH(SurrChargeID,SurrTypes,0)),0)</f>
        <v/>
      </c>
      <c r="J33" s="33">
        <f>N32-P32-O32</f>
        <v/>
      </c>
      <c r="K33" s="30">
        <f>IF(B33=12*PolicyTerm,J33,0)</f>
        <v/>
      </c>
      <c r="L33" s="33">
        <f>J33-K33</f>
        <v/>
      </c>
      <c r="M33" s="30">
        <f>IF(B33=0,PolicyCount,0)</f>
        <v/>
      </c>
      <c r="N33" s="33">
        <f>L33+M33</f>
        <v/>
      </c>
      <c r="O33" s="31">
        <f>N33*G33</f>
        <v/>
      </c>
      <c r="P33" s="33">
        <f>(N33-O33)*(1-(1-H33)^(1/12))</f>
        <v/>
      </c>
      <c r="Q33" s="34">
        <f>X32+Z32</f>
        <v/>
      </c>
      <c r="R33" s="29">
        <f>(1-LoadPremRate)*E33</f>
        <v/>
      </c>
      <c r="S33" s="34">
        <f>Q33+R33</f>
        <v/>
      </c>
      <c r="T33" s="29">
        <f>MaintFeeRateAnn/12*S33</f>
        <v/>
      </c>
      <c r="U33" s="29">
        <f>MAX(SumAssured-S33,0)</f>
        <v/>
      </c>
      <c r="V33" s="35">
        <f>CoiMultiple*G33</f>
        <v/>
      </c>
      <c r="W33" s="34">
        <f>V33*U33</f>
        <v/>
      </c>
      <c r="X33" s="34">
        <f>S33-T33-W33</f>
        <v/>
      </c>
      <c r="Y33" s="36">
        <f>EXP((Mu-0.5*Sigma^2)/12+Sigma*SQRT(1/12)*INDEX(NormRand,ScenID,A33+1))-1</f>
        <v/>
      </c>
      <c r="Z33" s="34">
        <f>Y33*X33</f>
        <v/>
      </c>
      <c r="AA33" s="34">
        <f>X33+0.5*Z33</f>
        <v/>
      </c>
      <c r="AB33" s="34">
        <f>Q33*J33</f>
        <v/>
      </c>
      <c r="AC33" s="34">
        <f>Q33*L33</f>
        <v/>
      </c>
      <c r="AD33" s="34">
        <f>S33*N33</f>
        <v/>
      </c>
      <c r="AE33" s="34">
        <f>E33*N33</f>
        <v/>
      </c>
      <c r="AF33" s="34">
        <f>R33*N33</f>
        <v/>
      </c>
      <c r="AG33" s="29">
        <f>MAX(SumAssured,AA33)</f>
        <v/>
      </c>
      <c r="AH33" s="34">
        <f>AG33*O33</f>
        <v/>
      </c>
      <c r="AI33" s="34">
        <f>AA33*O33</f>
        <v/>
      </c>
      <c r="AJ33" s="34">
        <f>AA33*P33</f>
        <v/>
      </c>
      <c r="AK33" s="34">
        <f>I33*AA33*P33</f>
        <v/>
      </c>
      <c r="AL33" s="34">
        <f>AJ33-AK33</f>
        <v/>
      </c>
      <c r="AM33" s="34">
        <f>Q33*K33</f>
        <v/>
      </c>
      <c r="AN33" s="34">
        <f>AH33+AL33+AM33</f>
        <v/>
      </c>
      <c r="AO33" s="34">
        <f>(AG33-AA33)*O33</f>
        <v/>
      </c>
      <c r="AP33" s="34">
        <f>W33*N33</f>
        <v/>
      </c>
      <c r="AQ33" s="34">
        <f>T33*N33</f>
        <v/>
      </c>
      <c r="AR33" s="34">
        <f>Z33*J34+0.5*Z33*(O33+P33)</f>
        <v/>
      </c>
      <c r="AS33" s="30">
        <f>(1+InflationRate)^(A33/12)</f>
        <v/>
      </c>
      <c r="AT33" s="29">
        <f>ExpenseAcq*M33+N33*ExpenseMaint/12*AS33</f>
        <v/>
      </c>
      <c r="AU33" s="29">
        <f>CommissionRate*AE33</f>
        <v/>
      </c>
      <c r="AV33" s="34">
        <f>AB34-AB33</f>
        <v/>
      </c>
      <c r="AW33" s="34">
        <f>AE33+AR33-AN33-AT33-AU33-AV33</f>
        <v/>
      </c>
      <c r="AX33" s="29">
        <f>LoadPremRate*E33*N33+AK33+AQ33-AU33-AT33</f>
        <v/>
      </c>
      <c r="AY33" s="34">
        <f>AP33-AO33</f>
        <v/>
      </c>
      <c r="AZ33" s="37">
        <f>(AW33-AX33-AY33)/MAX(1,ABS(AW33),ABS(AX33),ABS(AY33))</f>
        <v/>
      </c>
      <c r="BA33" s="37">
        <f>IF(OR(K33&gt;0,K34&gt;0),0,(AC34-(AC33+AF33-AQ33-AP33+AR33-AI33-AJ33-AM33))/MAX(1,ABS(AC33),ABS(AC34)))</f>
        <v/>
      </c>
      <c r="BB33" s="35">
        <f>(1+INDEX(DiscRateAnn,INT(A33/12)+1))^(1/12)-1</f>
        <v/>
      </c>
      <c r="BC33" s="31">
        <f>(1+BB33)^-A33</f>
        <v/>
      </c>
      <c r="BD33" s="34">
        <f>AW33*BC33</f>
        <v/>
      </c>
    </row>
    <row r="34">
      <c r="A34" s="27">
        <f>A33+1</f>
        <v/>
      </c>
      <c r="B34" s="28">
        <f>Duration0+A34</f>
        <v/>
      </c>
      <c r="C34" s="27">
        <f>INT(B34/12)</f>
        <v/>
      </c>
      <c r="D34" s="28">
        <f>AgeAtEntry+C34</f>
        <v/>
      </c>
      <c r="E34" s="29">
        <f>IF(PremiumType="SINGLE",IF(B34=0,PremiumPPInput,0),IF(B34&lt;12*PolicyTerm,PremiumPPInput,0))</f>
        <v/>
      </c>
      <c r="F34" s="30">
        <f>INDEX(MortRates,MATCH(MIN(D34,120),MortAges,0),MAX(MIN(C34,5),0)+1)</f>
        <v/>
      </c>
      <c r="G34" s="31">
        <f>1-(1-F34)^(1/12)</f>
        <v/>
      </c>
      <c r="H34" s="32">
        <f>MAX(LapseBase-LapseStep*C34,LapseFloor)</f>
        <v/>
      </c>
      <c r="I34" s="32">
        <f>IF(HasSurrCharge,INDEX(SurrRates,MIN(C34,SurrDurMax)+1,MATCH(SurrChargeID,SurrTypes,0)),0)</f>
        <v/>
      </c>
      <c r="J34" s="33">
        <f>N33-P33-O33</f>
        <v/>
      </c>
      <c r="K34" s="30">
        <f>IF(B34=12*PolicyTerm,J34,0)</f>
        <v/>
      </c>
      <c r="L34" s="33">
        <f>J34-K34</f>
        <v/>
      </c>
      <c r="M34" s="30">
        <f>IF(B34=0,PolicyCount,0)</f>
        <v/>
      </c>
      <c r="N34" s="33">
        <f>L34+M34</f>
        <v/>
      </c>
      <c r="O34" s="31">
        <f>N34*G34</f>
        <v/>
      </c>
      <c r="P34" s="33">
        <f>(N34-O34)*(1-(1-H34)^(1/12))</f>
        <v/>
      </c>
      <c r="Q34" s="34">
        <f>X33+Z33</f>
        <v/>
      </c>
      <c r="R34" s="29">
        <f>(1-LoadPremRate)*E34</f>
        <v/>
      </c>
      <c r="S34" s="34">
        <f>Q34+R34</f>
        <v/>
      </c>
      <c r="T34" s="29">
        <f>MaintFeeRateAnn/12*S34</f>
        <v/>
      </c>
      <c r="U34" s="29">
        <f>MAX(SumAssured-S34,0)</f>
        <v/>
      </c>
      <c r="V34" s="35">
        <f>CoiMultiple*G34</f>
        <v/>
      </c>
      <c r="W34" s="34">
        <f>V34*U34</f>
        <v/>
      </c>
      <c r="X34" s="34">
        <f>S34-T34-W34</f>
        <v/>
      </c>
      <c r="Y34" s="36">
        <f>EXP((Mu-0.5*Sigma^2)/12+Sigma*SQRT(1/12)*INDEX(NormRand,ScenID,A34+1))-1</f>
        <v/>
      </c>
      <c r="Z34" s="34">
        <f>Y34*X34</f>
        <v/>
      </c>
      <c r="AA34" s="34">
        <f>X34+0.5*Z34</f>
        <v/>
      </c>
      <c r="AB34" s="34">
        <f>Q34*J34</f>
        <v/>
      </c>
      <c r="AC34" s="34">
        <f>Q34*L34</f>
        <v/>
      </c>
      <c r="AD34" s="34">
        <f>S34*N34</f>
        <v/>
      </c>
      <c r="AE34" s="34">
        <f>E34*N34</f>
        <v/>
      </c>
      <c r="AF34" s="34">
        <f>R34*N34</f>
        <v/>
      </c>
      <c r="AG34" s="29">
        <f>MAX(SumAssured,AA34)</f>
        <v/>
      </c>
      <c r="AH34" s="34">
        <f>AG34*O34</f>
        <v/>
      </c>
      <c r="AI34" s="34">
        <f>AA34*O34</f>
        <v/>
      </c>
      <c r="AJ34" s="34">
        <f>AA34*P34</f>
        <v/>
      </c>
      <c r="AK34" s="34">
        <f>I34*AA34*P34</f>
        <v/>
      </c>
      <c r="AL34" s="34">
        <f>AJ34-AK34</f>
        <v/>
      </c>
      <c r="AM34" s="34">
        <f>Q34*K34</f>
        <v/>
      </c>
      <c r="AN34" s="34">
        <f>AH34+AL34+AM34</f>
        <v/>
      </c>
      <c r="AO34" s="34">
        <f>(AG34-AA34)*O34</f>
        <v/>
      </c>
      <c r="AP34" s="34">
        <f>W34*N34</f>
        <v/>
      </c>
      <c r="AQ34" s="34">
        <f>T34*N34</f>
        <v/>
      </c>
      <c r="AR34" s="34">
        <f>Z34*J35+0.5*Z34*(O34+P34)</f>
        <v/>
      </c>
      <c r="AS34" s="30">
        <f>(1+InflationRate)^(A34/12)</f>
        <v/>
      </c>
      <c r="AT34" s="29">
        <f>ExpenseAcq*M34+N34*ExpenseMaint/12*AS34</f>
        <v/>
      </c>
      <c r="AU34" s="29">
        <f>CommissionRate*AE34</f>
        <v/>
      </c>
      <c r="AV34" s="34">
        <f>AB35-AB34</f>
        <v/>
      </c>
      <c r="AW34" s="34">
        <f>AE34+AR34-AN34-AT34-AU34-AV34</f>
        <v/>
      </c>
      <c r="AX34" s="29">
        <f>LoadPremRate*E34*N34+AK34+AQ34-AU34-AT34</f>
        <v/>
      </c>
      <c r="AY34" s="34">
        <f>AP34-AO34</f>
        <v/>
      </c>
      <c r="AZ34" s="37">
        <f>(AW34-AX34-AY34)/MAX(1,ABS(AW34),ABS(AX34),ABS(AY34))</f>
        <v/>
      </c>
      <c r="BA34" s="37">
        <f>IF(OR(K34&gt;0,K35&gt;0),0,(AC35-(AC34+AF34-AQ34-AP34+AR34-AI34-AJ34-AM34))/MAX(1,ABS(AC34),ABS(AC35)))</f>
        <v/>
      </c>
      <c r="BB34" s="35">
        <f>(1+INDEX(DiscRateAnn,INT(A34/12)+1))^(1/12)-1</f>
        <v/>
      </c>
      <c r="BC34" s="31">
        <f>(1+BB34)^-A34</f>
        <v/>
      </c>
      <c r="BD34" s="34">
        <f>AW34*BC34</f>
        <v/>
      </c>
    </row>
    <row r="35">
      <c r="A35" s="27">
        <f>A34+1</f>
        <v/>
      </c>
      <c r="B35" s="28">
        <f>Duration0+A35</f>
        <v/>
      </c>
      <c r="C35" s="27">
        <f>INT(B35/12)</f>
        <v/>
      </c>
      <c r="D35" s="28">
        <f>AgeAtEntry+C35</f>
        <v/>
      </c>
      <c r="E35" s="29">
        <f>IF(PremiumType="SINGLE",IF(B35=0,PremiumPPInput,0),IF(B35&lt;12*PolicyTerm,PremiumPPInput,0))</f>
        <v/>
      </c>
      <c r="F35" s="30">
        <f>INDEX(MortRates,MATCH(MIN(D35,120),MortAges,0),MAX(MIN(C35,5),0)+1)</f>
        <v/>
      </c>
      <c r="G35" s="31">
        <f>1-(1-F35)^(1/12)</f>
        <v/>
      </c>
      <c r="H35" s="32">
        <f>MAX(LapseBase-LapseStep*C35,LapseFloor)</f>
        <v/>
      </c>
      <c r="I35" s="32">
        <f>IF(HasSurrCharge,INDEX(SurrRates,MIN(C35,SurrDurMax)+1,MATCH(SurrChargeID,SurrTypes,0)),0)</f>
        <v/>
      </c>
      <c r="J35" s="33">
        <f>N34-P34-O34</f>
        <v/>
      </c>
      <c r="K35" s="30">
        <f>IF(B35=12*PolicyTerm,J35,0)</f>
        <v/>
      </c>
      <c r="L35" s="33">
        <f>J35-K35</f>
        <v/>
      </c>
      <c r="M35" s="30">
        <f>IF(B35=0,PolicyCount,0)</f>
        <v/>
      </c>
      <c r="N35" s="33">
        <f>L35+M35</f>
        <v/>
      </c>
      <c r="O35" s="31">
        <f>N35*G35</f>
        <v/>
      </c>
      <c r="P35" s="33">
        <f>(N35-O35)*(1-(1-H35)^(1/12))</f>
        <v/>
      </c>
      <c r="Q35" s="34">
        <f>X34+Z34</f>
        <v/>
      </c>
      <c r="R35" s="29">
        <f>(1-LoadPremRate)*E35</f>
        <v/>
      </c>
      <c r="S35" s="34">
        <f>Q35+R35</f>
        <v/>
      </c>
      <c r="T35" s="29">
        <f>MaintFeeRateAnn/12*S35</f>
        <v/>
      </c>
      <c r="U35" s="29">
        <f>MAX(SumAssured-S35,0)</f>
        <v/>
      </c>
      <c r="V35" s="35">
        <f>CoiMultiple*G35</f>
        <v/>
      </c>
      <c r="W35" s="34">
        <f>V35*U35</f>
        <v/>
      </c>
      <c r="X35" s="34">
        <f>S35-T35-W35</f>
        <v/>
      </c>
      <c r="Y35" s="36">
        <f>EXP((Mu-0.5*Sigma^2)/12+Sigma*SQRT(1/12)*INDEX(NormRand,ScenID,A35+1))-1</f>
        <v/>
      </c>
      <c r="Z35" s="34">
        <f>Y35*X35</f>
        <v/>
      </c>
      <c r="AA35" s="34">
        <f>X35+0.5*Z35</f>
        <v/>
      </c>
      <c r="AB35" s="34">
        <f>Q35*J35</f>
        <v/>
      </c>
      <c r="AC35" s="34">
        <f>Q35*L35</f>
        <v/>
      </c>
      <c r="AD35" s="34">
        <f>S35*N35</f>
        <v/>
      </c>
      <c r="AE35" s="34">
        <f>E35*N35</f>
        <v/>
      </c>
      <c r="AF35" s="34">
        <f>R35*N35</f>
        <v/>
      </c>
      <c r="AG35" s="29">
        <f>MAX(SumAssured,AA35)</f>
        <v/>
      </c>
      <c r="AH35" s="34">
        <f>AG35*O35</f>
        <v/>
      </c>
      <c r="AI35" s="34">
        <f>AA35*O35</f>
        <v/>
      </c>
      <c r="AJ35" s="34">
        <f>AA35*P35</f>
        <v/>
      </c>
      <c r="AK35" s="34">
        <f>I35*AA35*P35</f>
        <v/>
      </c>
      <c r="AL35" s="34">
        <f>AJ35-AK35</f>
        <v/>
      </c>
      <c r="AM35" s="34">
        <f>Q35*K35</f>
        <v/>
      </c>
      <c r="AN35" s="34">
        <f>AH35+AL35+AM35</f>
        <v/>
      </c>
      <c r="AO35" s="34">
        <f>(AG35-AA35)*O35</f>
        <v/>
      </c>
      <c r="AP35" s="34">
        <f>W35*N35</f>
        <v/>
      </c>
      <c r="AQ35" s="34">
        <f>T35*N35</f>
        <v/>
      </c>
      <c r="AR35" s="34">
        <f>Z35*J36+0.5*Z35*(O35+P35)</f>
        <v/>
      </c>
      <c r="AS35" s="30">
        <f>(1+InflationRate)^(A35/12)</f>
        <v/>
      </c>
      <c r="AT35" s="29">
        <f>ExpenseAcq*M35+N35*ExpenseMaint/12*AS35</f>
        <v/>
      </c>
      <c r="AU35" s="29">
        <f>CommissionRate*AE35</f>
        <v/>
      </c>
      <c r="AV35" s="34">
        <f>AB36-AB35</f>
        <v/>
      </c>
      <c r="AW35" s="34">
        <f>AE35+AR35-AN35-AT35-AU35-AV35</f>
        <v/>
      </c>
      <c r="AX35" s="29">
        <f>LoadPremRate*E35*N35+AK35+AQ35-AU35-AT35</f>
        <v/>
      </c>
      <c r="AY35" s="34">
        <f>AP35-AO35</f>
        <v/>
      </c>
      <c r="AZ35" s="37">
        <f>(AW35-AX35-AY35)/MAX(1,ABS(AW35),ABS(AX35),ABS(AY35))</f>
        <v/>
      </c>
      <c r="BA35" s="37">
        <f>IF(OR(K35&gt;0,K36&gt;0),0,(AC36-(AC35+AF35-AQ35-AP35+AR35-AI35-AJ35-AM35))/MAX(1,ABS(AC35),ABS(AC36)))</f>
        <v/>
      </c>
      <c r="BB35" s="35">
        <f>(1+INDEX(DiscRateAnn,INT(A35/12)+1))^(1/12)-1</f>
        <v/>
      </c>
      <c r="BC35" s="31">
        <f>(1+BB35)^-A35</f>
        <v/>
      </c>
      <c r="BD35" s="34">
        <f>AW35*BC35</f>
        <v/>
      </c>
    </row>
    <row r="36">
      <c r="A36" s="27">
        <f>A35+1</f>
        <v/>
      </c>
      <c r="B36" s="28">
        <f>Duration0+A36</f>
        <v/>
      </c>
      <c r="C36" s="27">
        <f>INT(B36/12)</f>
        <v/>
      </c>
      <c r="D36" s="28">
        <f>AgeAtEntry+C36</f>
        <v/>
      </c>
      <c r="E36" s="29">
        <f>IF(PremiumType="SINGLE",IF(B36=0,PremiumPPInput,0),IF(B36&lt;12*PolicyTerm,PremiumPPInput,0))</f>
        <v/>
      </c>
      <c r="F36" s="30">
        <f>INDEX(MortRates,MATCH(MIN(D36,120),MortAges,0),MAX(MIN(C36,5),0)+1)</f>
        <v/>
      </c>
      <c r="G36" s="31">
        <f>1-(1-F36)^(1/12)</f>
        <v/>
      </c>
      <c r="H36" s="32">
        <f>MAX(LapseBase-LapseStep*C36,LapseFloor)</f>
        <v/>
      </c>
      <c r="I36" s="32">
        <f>IF(HasSurrCharge,INDEX(SurrRates,MIN(C36,SurrDurMax)+1,MATCH(SurrChargeID,SurrTypes,0)),0)</f>
        <v/>
      </c>
      <c r="J36" s="33">
        <f>N35-P35-O35</f>
        <v/>
      </c>
      <c r="K36" s="30">
        <f>IF(B36=12*PolicyTerm,J36,0)</f>
        <v/>
      </c>
      <c r="L36" s="33">
        <f>J36-K36</f>
        <v/>
      </c>
      <c r="M36" s="30">
        <f>IF(B36=0,PolicyCount,0)</f>
        <v/>
      </c>
      <c r="N36" s="33">
        <f>L36+M36</f>
        <v/>
      </c>
      <c r="O36" s="31">
        <f>N36*G36</f>
        <v/>
      </c>
      <c r="P36" s="33">
        <f>(N36-O36)*(1-(1-H36)^(1/12))</f>
        <v/>
      </c>
      <c r="Q36" s="34">
        <f>X35+Z35</f>
        <v/>
      </c>
      <c r="R36" s="29">
        <f>(1-LoadPremRate)*E36</f>
        <v/>
      </c>
      <c r="S36" s="34">
        <f>Q36+R36</f>
        <v/>
      </c>
      <c r="T36" s="29">
        <f>MaintFeeRateAnn/12*S36</f>
        <v/>
      </c>
      <c r="U36" s="29">
        <f>MAX(SumAssured-S36,0)</f>
        <v/>
      </c>
      <c r="V36" s="35">
        <f>CoiMultiple*G36</f>
        <v/>
      </c>
      <c r="W36" s="34">
        <f>V36*U36</f>
        <v/>
      </c>
      <c r="X36" s="34">
        <f>S36-T36-W36</f>
        <v/>
      </c>
      <c r="Y36" s="36">
        <f>EXP((Mu-0.5*Sigma^2)/12+Sigma*SQRT(1/12)*INDEX(NormRand,ScenID,A36+1))-1</f>
        <v/>
      </c>
      <c r="Z36" s="34">
        <f>Y36*X36</f>
        <v/>
      </c>
      <c r="AA36" s="34">
        <f>X36+0.5*Z36</f>
        <v/>
      </c>
      <c r="AB36" s="34">
        <f>Q36*J36</f>
        <v/>
      </c>
      <c r="AC36" s="34">
        <f>Q36*L36</f>
        <v/>
      </c>
      <c r="AD36" s="34">
        <f>S36*N36</f>
        <v/>
      </c>
      <c r="AE36" s="34">
        <f>E36*N36</f>
        <v/>
      </c>
      <c r="AF36" s="34">
        <f>R36*N36</f>
        <v/>
      </c>
      <c r="AG36" s="29">
        <f>MAX(SumAssured,AA36)</f>
        <v/>
      </c>
      <c r="AH36" s="34">
        <f>AG36*O36</f>
        <v/>
      </c>
      <c r="AI36" s="34">
        <f>AA36*O36</f>
        <v/>
      </c>
      <c r="AJ36" s="34">
        <f>AA36*P36</f>
        <v/>
      </c>
      <c r="AK36" s="34">
        <f>I36*AA36*P36</f>
        <v/>
      </c>
      <c r="AL36" s="34">
        <f>AJ36-AK36</f>
        <v/>
      </c>
      <c r="AM36" s="34">
        <f>Q36*K36</f>
        <v/>
      </c>
      <c r="AN36" s="34">
        <f>AH36+AL36+AM36</f>
        <v/>
      </c>
      <c r="AO36" s="34">
        <f>(AG36-AA36)*O36</f>
        <v/>
      </c>
      <c r="AP36" s="34">
        <f>W36*N36</f>
        <v/>
      </c>
      <c r="AQ36" s="34">
        <f>T36*N36</f>
        <v/>
      </c>
      <c r="AR36" s="34">
        <f>Z36*J37+0.5*Z36*(O36+P36)</f>
        <v/>
      </c>
      <c r="AS36" s="30">
        <f>(1+InflationRate)^(A36/12)</f>
        <v/>
      </c>
      <c r="AT36" s="29">
        <f>ExpenseAcq*M36+N36*ExpenseMaint/12*AS36</f>
        <v/>
      </c>
      <c r="AU36" s="29">
        <f>CommissionRate*AE36</f>
        <v/>
      </c>
      <c r="AV36" s="34">
        <f>AB37-AB36</f>
        <v/>
      </c>
      <c r="AW36" s="34">
        <f>AE36+AR36-AN36-AT36-AU36-AV36</f>
        <v/>
      </c>
      <c r="AX36" s="29">
        <f>LoadPremRate*E36*N36+AK36+AQ36-AU36-AT36</f>
        <v/>
      </c>
      <c r="AY36" s="34">
        <f>AP36-AO36</f>
        <v/>
      </c>
      <c r="AZ36" s="37">
        <f>(AW36-AX36-AY36)/MAX(1,ABS(AW36),ABS(AX36),ABS(AY36))</f>
        <v/>
      </c>
      <c r="BA36" s="37">
        <f>IF(OR(K36&gt;0,K37&gt;0),0,(AC37-(AC36+AF36-AQ36-AP36+AR36-AI36-AJ36-AM36))/MAX(1,ABS(AC36),ABS(AC37)))</f>
        <v/>
      </c>
      <c r="BB36" s="35">
        <f>(1+INDEX(DiscRateAnn,INT(A36/12)+1))^(1/12)-1</f>
        <v/>
      </c>
      <c r="BC36" s="31">
        <f>(1+BB36)^-A36</f>
        <v/>
      </c>
      <c r="BD36" s="34">
        <f>AW36*BC36</f>
        <v/>
      </c>
    </row>
    <row r="37">
      <c r="A37" s="27">
        <f>A36+1</f>
        <v/>
      </c>
      <c r="B37" s="28">
        <f>Duration0+A37</f>
        <v/>
      </c>
      <c r="C37" s="27">
        <f>INT(B37/12)</f>
        <v/>
      </c>
      <c r="D37" s="28">
        <f>AgeAtEntry+C37</f>
        <v/>
      </c>
      <c r="E37" s="29">
        <f>IF(PremiumType="SINGLE",IF(B37=0,PremiumPPInput,0),IF(B37&lt;12*PolicyTerm,PremiumPPInput,0))</f>
        <v/>
      </c>
      <c r="F37" s="30">
        <f>INDEX(MortRates,MATCH(MIN(D37,120),MortAges,0),MAX(MIN(C37,5),0)+1)</f>
        <v/>
      </c>
      <c r="G37" s="31">
        <f>1-(1-F37)^(1/12)</f>
        <v/>
      </c>
      <c r="H37" s="32">
        <f>MAX(LapseBase-LapseStep*C37,LapseFloor)</f>
        <v/>
      </c>
      <c r="I37" s="32">
        <f>IF(HasSurrCharge,INDEX(SurrRates,MIN(C37,SurrDurMax)+1,MATCH(SurrChargeID,SurrTypes,0)),0)</f>
        <v/>
      </c>
      <c r="J37" s="33">
        <f>N36-P36-O36</f>
        <v/>
      </c>
      <c r="K37" s="30">
        <f>IF(B37=12*PolicyTerm,J37,0)</f>
        <v/>
      </c>
      <c r="L37" s="33">
        <f>J37-K37</f>
        <v/>
      </c>
      <c r="M37" s="30">
        <f>IF(B37=0,PolicyCount,0)</f>
        <v/>
      </c>
      <c r="N37" s="33">
        <f>L37+M37</f>
        <v/>
      </c>
      <c r="O37" s="31">
        <f>N37*G37</f>
        <v/>
      </c>
      <c r="P37" s="33">
        <f>(N37-O37)*(1-(1-H37)^(1/12))</f>
        <v/>
      </c>
      <c r="Q37" s="34">
        <f>X36+Z36</f>
        <v/>
      </c>
      <c r="R37" s="29">
        <f>(1-LoadPremRate)*E37</f>
        <v/>
      </c>
      <c r="S37" s="34">
        <f>Q37+R37</f>
        <v/>
      </c>
      <c r="T37" s="29">
        <f>MaintFeeRateAnn/12*S37</f>
        <v/>
      </c>
      <c r="U37" s="29">
        <f>MAX(SumAssured-S37,0)</f>
        <v/>
      </c>
      <c r="V37" s="35">
        <f>CoiMultiple*G37</f>
        <v/>
      </c>
      <c r="W37" s="34">
        <f>V37*U37</f>
        <v/>
      </c>
      <c r="X37" s="34">
        <f>S37-T37-W37</f>
        <v/>
      </c>
      <c r="Y37" s="36">
        <f>EXP((Mu-0.5*Sigma^2)/12+Sigma*SQRT(1/12)*INDEX(NormRand,ScenID,A37+1))-1</f>
        <v/>
      </c>
      <c r="Z37" s="34">
        <f>Y37*X37</f>
        <v/>
      </c>
      <c r="AA37" s="34">
        <f>X37+0.5*Z37</f>
        <v/>
      </c>
      <c r="AB37" s="34">
        <f>Q37*J37</f>
        <v/>
      </c>
      <c r="AC37" s="34">
        <f>Q37*L37</f>
        <v/>
      </c>
      <c r="AD37" s="34">
        <f>S37*N37</f>
        <v/>
      </c>
      <c r="AE37" s="34">
        <f>E37*N37</f>
        <v/>
      </c>
      <c r="AF37" s="34">
        <f>R37*N37</f>
        <v/>
      </c>
      <c r="AG37" s="29">
        <f>MAX(SumAssured,AA37)</f>
        <v/>
      </c>
      <c r="AH37" s="34">
        <f>AG37*O37</f>
        <v/>
      </c>
      <c r="AI37" s="34">
        <f>AA37*O37</f>
        <v/>
      </c>
      <c r="AJ37" s="34">
        <f>AA37*P37</f>
        <v/>
      </c>
      <c r="AK37" s="34">
        <f>I37*AA37*P37</f>
        <v/>
      </c>
      <c r="AL37" s="34">
        <f>AJ37-AK37</f>
        <v/>
      </c>
      <c r="AM37" s="34">
        <f>Q37*K37</f>
        <v/>
      </c>
      <c r="AN37" s="34">
        <f>AH37+AL37+AM37</f>
        <v/>
      </c>
      <c r="AO37" s="34">
        <f>(AG37-AA37)*O37</f>
        <v/>
      </c>
      <c r="AP37" s="34">
        <f>W37*N37</f>
        <v/>
      </c>
      <c r="AQ37" s="34">
        <f>T37*N37</f>
        <v/>
      </c>
      <c r="AR37" s="34">
        <f>Z37*J38+0.5*Z37*(O37+P37)</f>
        <v/>
      </c>
      <c r="AS37" s="30">
        <f>(1+InflationRate)^(A37/12)</f>
        <v/>
      </c>
      <c r="AT37" s="29">
        <f>ExpenseAcq*M37+N37*ExpenseMaint/12*AS37</f>
        <v/>
      </c>
      <c r="AU37" s="29">
        <f>CommissionRate*AE37</f>
        <v/>
      </c>
      <c r="AV37" s="34">
        <f>AB38-AB37</f>
        <v/>
      </c>
      <c r="AW37" s="34">
        <f>AE37+AR37-AN37-AT37-AU37-AV37</f>
        <v/>
      </c>
      <c r="AX37" s="29">
        <f>LoadPremRate*E37*N37+AK37+AQ37-AU37-AT37</f>
        <v/>
      </c>
      <c r="AY37" s="34">
        <f>AP37-AO37</f>
        <v/>
      </c>
      <c r="AZ37" s="37">
        <f>(AW37-AX37-AY37)/MAX(1,ABS(AW37),ABS(AX37),ABS(AY37))</f>
        <v/>
      </c>
      <c r="BA37" s="37">
        <f>IF(OR(K37&gt;0,K38&gt;0),0,(AC38-(AC37+AF37-AQ37-AP37+AR37-AI37-AJ37-AM37))/MAX(1,ABS(AC37),ABS(AC38)))</f>
        <v/>
      </c>
      <c r="BB37" s="35">
        <f>(1+INDEX(DiscRateAnn,INT(A37/12)+1))^(1/12)-1</f>
        <v/>
      </c>
      <c r="BC37" s="31">
        <f>(1+BB37)^-A37</f>
        <v/>
      </c>
      <c r="BD37" s="34">
        <f>AW37*BC37</f>
        <v/>
      </c>
    </row>
    <row r="38">
      <c r="A38" s="27">
        <f>A37+1</f>
        <v/>
      </c>
      <c r="B38" s="28">
        <f>Duration0+A38</f>
        <v/>
      </c>
      <c r="C38" s="27">
        <f>INT(B38/12)</f>
        <v/>
      </c>
      <c r="D38" s="28">
        <f>AgeAtEntry+C38</f>
        <v/>
      </c>
      <c r="E38" s="29">
        <f>IF(PremiumType="SINGLE",IF(B38=0,PremiumPPInput,0),IF(B38&lt;12*PolicyTerm,PremiumPPInput,0))</f>
        <v/>
      </c>
      <c r="F38" s="30">
        <f>INDEX(MortRates,MATCH(MIN(D38,120),MortAges,0),MAX(MIN(C38,5),0)+1)</f>
        <v/>
      </c>
      <c r="G38" s="31">
        <f>1-(1-F38)^(1/12)</f>
        <v/>
      </c>
      <c r="H38" s="32">
        <f>MAX(LapseBase-LapseStep*C38,LapseFloor)</f>
        <v/>
      </c>
      <c r="I38" s="32">
        <f>IF(HasSurrCharge,INDEX(SurrRates,MIN(C38,SurrDurMax)+1,MATCH(SurrChargeID,SurrTypes,0)),0)</f>
        <v/>
      </c>
      <c r="J38" s="33">
        <f>N37-P37-O37</f>
        <v/>
      </c>
      <c r="K38" s="30">
        <f>IF(B38=12*PolicyTerm,J38,0)</f>
        <v/>
      </c>
      <c r="L38" s="33">
        <f>J38-K38</f>
        <v/>
      </c>
      <c r="M38" s="30">
        <f>IF(B38=0,PolicyCount,0)</f>
        <v/>
      </c>
      <c r="N38" s="33">
        <f>L38+M38</f>
        <v/>
      </c>
      <c r="O38" s="31">
        <f>N38*G38</f>
        <v/>
      </c>
      <c r="P38" s="33">
        <f>(N38-O38)*(1-(1-H38)^(1/12))</f>
        <v/>
      </c>
      <c r="Q38" s="34">
        <f>X37+Z37</f>
        <v/>
      </c>
      <c r="R38" s="29">
        <f>(1-LoadPremRate)*E38</f>
        <v/>
      </c>
      <c r="S38" s="34">
        <f>Q38+R38</f>
        <v/>
      </c>
      <c r="T38" s="29">
        <f>MaintFeeRateAnn/12*S38</f>
        <v/>
      </c>
      <c r="U38" s="29">
        <f>MAX(SumAssured-S38,0)</f>
        <v/>
      </c>
      <c r="V38" s="35">
        <f>CoiMultiple*G38</f>
        <v/>
      </c>
      <c r="W38" s="34">
        <f>V38*U38</f>
        <v/>
      </c>
      <c r="X38" s="34">
        <f>S38-T38-W38</f>
        <v/>
      </c>
      <c r="Y38" s="36">
        <f>EXP((Mu-0.5*Sigma^2)/12+Sigma*SQRT(1/12)*INDEX(NormRand,ScenID,A38+1))-1</f>
        <v/>
      </c>
      <c r="Z38" s="34">
        <f>Y38*X38</f>
        <v/>
      </c>
      <c r="AA38" s="34">
        <f>X38+0.5*Z38</f>
        <v/>
      </c>
      <c r="AB38" s="34">
        <f>Q38*J38</f>
        <v/>
      </c>
      <c r="AC38" s="34">
        <f>Q38*L38</f>
        <v/>
      </c>
      <c r="AD38" s="34">
        <f>S38*N38</f>
        <v/>
      </c>
      <c r="AE38" s="34">
        <f>E38*N38</f>
        <v/>
      </c>
      <c r="AF38" s="34">
        <f>R38*N38</f>
        <v/>
      </c>
      <c r="AG38" s="29">
        <f>MAX(SumAssured,AA38)</f>
        <v/>
      </c>
      <c r="AH38" s="34">
        <f>AG38*O38</f>
        <v/>
      </c>
      <c r="AI38" s="34">
        <f>AA38*O38</f>
        <v/>
      </c>
      <c r="AJ38" s="34">
        <f>AA38*P38</f>
        <v/>
      </c>
      <c r="AK38" s="34">
        <f>I38*AA38*P38</f>
        <v/>
      </c>
      <c r="AL38" s="34">
        <f>AJ38-AK38</f>
        <v/>
      </c>
      <c r="AM38" s="34">
        <f>Q38*K38</f>
        <v/>
      </c>
      <c r="AN38" s="34">
        <f>AH38+AL38+AM38</f>
        <v/>
      </c>
      <c r="AO38" s="34">
        <f>(AG38-AA38)*O38</f>
        <v/>
      </c>
      <c r="AP38" s="34">
        <f>W38*N38</f>
        <v/>
      </c>
      <c r="AQ38" s="34">
        <f>T38*N38</f>
        <v/>
      </c>
      <c r="AR38" s="34">
        <f>Z38*J39+0.5*Z38*(O38+P38)</f>
        <v/>
      </c>
      <c r="AS38" s="30">
        <f>(1+InflationRate)^(A38/12)</f>
        <v/>
      </c>
      <c r="AT38" s="29">
        <f>ExpenseAcq*M38+N38*ExpenseMaint/12*AS38</f>
        <v/>
      </c>
      <c r="AU38" s="29">
        <f>CommissionRate*AE38</f>
        <v/>
      </c>
      <c r="AV38" s="34">
        <f>AB39-AB38</f>
        <v/>
      </c>
      <c r="AW38" s="34">
        <f>AE38+AR38-AN38-AT38-AU38-AV38</f>
        <v/>
      </c>
      <c r="AX38" s="29">
        <f>LoadPremRate*E38*N38+AK38+AQ38-AU38-AT38</f>
        <v/>
      </c>
      <c r="AY38" s="34">
        <f>AP38-AO38</f>
        <v/>
      </c>
      <c r="AZ38" s="37">
        <f>(AW38-AX38-AY38)/MAX(1,ABS(AW38),ABS(AX38),ABS(AY38))</f>
        <v/>
      </c>
      <c r="BA38" s="37">
        <f>IF(OR(K38&gt;0,K39&gt;0),0,(AC39-(AC38+AF38-AQ38-AP38+AR38-AI38-AJ38-AM38))/MAX(1,ABS(AC38),ABS(AC39)))</f>
        <v/>
      </c>
      <c r="BB38" s="35">
        <f>(1+INDEX(DiscRateAnn,INT(A38/12)+1))^(1/12)-1</f>
        <v/>
      </c>
      <c r="BC38" s="31">
        <f>(1+BB38)^-A38</f>
        <v/>
      </c>
      <c r="BD38" s="34">
        <f>AW38*BC38</f>
        <v/>
      </c>
    </row>
    <row r="39">
      <c r="A39" s="27">
        <f>A38+1</f>
        <v/>
      </c>
      <c r="B39" s="28">
        <f>Duration0+A39</f>
        <v/>
      </c>
      <c r="C39" s="27">
        <f>INT(B39/12)</f>
        <v/>
      </c>
      <c r="D39" s="28">
        <f>AgeAtEntry+C39</f>
        <v/>
      </c>
      <c r="E39" s="29">
        <f>IF(PremiumType="SINGLE",IF(B39=0,PremiumPPInput,0),IF(B39&lt;12*PolicyTerm,PremiumPPInput,0))</f>
        <v/>
      </c>
      <c r="F39" s="30">
        <f>INDEX(MortRates,MATCH(MIN(D39,120),MortAges,0),MAX(MIN(C39,5),0)+1)</f>
        <v/>
      </c>
      <c r="G39" s="31">
        <f>1-(1-F39)^(1/12)</f>
        <v/>
      </c>
      <c r="H39" s="32">
        <f>MAX(LapseBase-LapseStep*C39,LapseFloor)</f>
        <v/>
      </c>
      <c r="I39" s="32">
        <f>IF(HasSurrCharge,INDEX(SurrRates,MIN(C39,SurrDurMax)+1,MATCH(SurrChargeID,SurrTypes,0)),0)</f>
        <v/>
      </c>
      <c r="J39" s="33">
        <f>N38-P38-O38</f>
        <v/>
      </c>
      <c r="K39" s="30">
        <f>IF(B39=12*PolicyTerm,J39,0)</f>
        <v/>
      </c>
      <c r="L39" s="33">
        <f>J39-K39</f>
        <v/>
      </c>
      <c r="M39" s="30">
        <f>IF(B39=0,PolicyCount,0)</f>
        <v/>
      </c>
      <c r="N39" s="33">
        <f>L39+M39</f>
        <v/>
      </c>
      <c r="O39" s="31">
        <f>N39*G39</f>
        <v/>
      </c>
      <c r="P39" s="33">
        <f>(N39-O39)*(1-(1-H39)^(1/12))</f>
        <v/>
      </c>
      <c r="Q39" s="34">
        <f>X38+Z38</f>
        <v/>
      </c>
      <c r="R39" s="29">
        <f>(1-LoadPremRate)*E39</f>
        <v/>
      </c>
      <c r="S39" s="34">
        <f>Q39+R39</f>
        <v/>
      </c>
      <c r="T39" s="29">
        <f>MaintFeeRateAnn/12*S39</f>
        <v/>
      </c>
      <c r="U39" s="29">
        <f>MAX(SumAssured-S39,0)</f>
        <v/>
      </c>
      <c r="V39" s="35">
        <f>CoiMultiple*G39</f>
        <v/>
      </c>
      <c r="W39" s="34">
        <f>V39*U39</f>
        <v/>
      </c>
      <c r="X39" s="34">
        <f>S39-T39-W39</f>
        <v/>
      </c>
      <c r="Y39" s="36">
        <f>EXP((Mu-0.5*Sigma^2)/12+Sigma*SQRT(1/12)*INDEX(NormRand,ScenID,A39+1))-1</f>
        <v/>
      </c>
      <c r="Z39" s="34">
        <f>Y39*X39</f>
        <v/>
      </c>
      <c r="AA39" s="34">
        <f>X39+0.5*Z39</f>
        <v/>
      </c>
      <c r="AB39" s="34">
        <f>Q39*J39</f>
        <v/>
      </c>
      <c r="AC39" s="34">
        <f>Q39*L39</f>
        <v/>
      </c>
      <c r="AD39" s="34">
        <f>S39*N39</f>
        <v/>
      </c>
      <c r="AE39" s="34">
        <f>E39*N39</f>
        <v/>
      </c>
      <c r="AF39" s="34">
        <f>R39*N39</f>
        <v/>
      </c>
      <c r="AG39" s="29">
        <f>MAX(SumAssured,AA39)</f>
        <v/>
      </c>
      <c r="AH39" s="34">
        <f>AG39*O39</f>
        <v/>
      </c>
      <c r="AI39" s="34">
        <f>AA39*O39</f>
        <v/>
      </c>
      <c r="AJ39" s="34">
        <f>AA39*P39</f>
        <v/>
      </c>
      <c r="AK39" s="34">
        <f>I39*AA39*P39</f>
        <v/>
      </c>
      <c r="AL39" s="34">
        <f>AJ39-AK39</f>
        <v/>
      </c>
      <c r="AM39" s="34">
        <f>Q39*K39</f>
        <v/>
      </c>
      <c r="AN39" s="34">
        <f>AH39+AL39+AM39</f>
        <v/>
      </c>
      <c r="AO39" s="34">
        <f>(AG39-AA39)*O39</f>
        <v/>
      </c>
      <c r="AP39" s="34">
        <f>W39*N39</f>
        <v/>
      </c>
      <c r="AQ39" s="34">
        <f>T39*N39</f>
        <v/>
      </c>
      <c r="AR39" s="34">
        <f>Z39*J40+0.5*Z39*(O39+P39)</f>
        <v/>
      </c>
      <c r="AS39" s="30">
        <f>(1+InflationRate)^(A39/12)</f>
        <v/>
      </c>
      <c r="AT39" s="29">
        <f>ExpenseAcq*M39+N39*ExpenseMaint/12*AS39</f>
        <v/>
      </c>
      <c r="AU39" s="29">
        <f>CommissionRate*AE39</f>
        <v/>
      </c>
      <c r="AV39" s="34">
        <f>AB40-AB39</f>
        <v/>
      </c>
      <c r="AW39" s="34">
        <f>AE39+AR39-AN39-AT39-AU39-AV39</f>
        <v/>
      </c>
      <c r="AX39" s="29">
        <f>LoadPremRate*E39*N39+AK39+AQ39-AU39-AT39</f>
        <v/>
      </c>
      <c r="AY39" s="34">
        <f>AP39-AO39</f>
        <v/>
      </c>
      <c r="AZ39" s="37">
        <f>(AW39-AX39-AY39)/MAX(1,ABS(AW39),ABS(AX39),ABS(AY39))</f>
        <v/>
      </c>
      <c r="BA39" s="37">
        <f>IF(OR(K39&gt;0,K40&gt;0),0,(AC40-(AC39+AF39-AQ39-AP39+AR39-AI39-AJ39-AM39))/MAX(1,ABS(AC39),ABS(AC40)))</f>
        <v/>
      </c>
      <c r="BB39" s="35">
        <f>(1+INDEX(DiscRateAnn,INT(A39/12)+1))^(1/12)-1</f>
        <v/>
      </c>
      <c r="BC39" s="31">
        <f>(1+BB39)^-A39</f>
        <v/>
      </c>
      <c r="BD39" s="34">
        <f>AW39*BC39</f>
        <v/>
      </c>
    </row>
    <row r="40">
      <c r="A40" s="27">
        <f>A39+1</f>
        <v/>
      </c>
      <c r="B40" s="28">
        <f>Duration0+A40</f>
        <v/>
      </c>
      <c r="C40" s="27">
        <f>INT(B40/12)</f>
        <v/>
      </c>
      <c r="D40" s="28">
        <f>AgeAtEntry+C40</f>
        <v/>
      </c>
      <c r="E40" s="29">
        <f>IF(PremiumType="SINGLE",IF(B40=0,PremiumPPInput,0),IF(B40&lt;12*PolicyTerm,PremiumPPInput,0))</f>
        <v/>
      </c>
      <c r="F40" s="30">
        <f>INDEX(MortRates,MATCH(MIN(D40,120),MortAges,0),MAX(MIN(C40,5),0)+1)</f>
        <v/>
      </c>
      <c r="G40" s="31">
        <f>1-(1-F40)^(1/12)</f>
        <v/>
      </c>
      <c r="H40" s="32">
        <f>MAX(LapseBase-LapseStep*C40,LapseFloor)</f>
        <v/>
      </c>
      <c r="I40" s="32">
        <f>IF(HasSurrCharge,INDEX(SurrRates,MIN(C40,SurrDurMax)+1,MATCH(SurrChargeID,SurrTypes,0)),0)</f>
        <v/>
      </c>
      <c r="J40" s="33">
        <f>N39-P39-O39</f>
        <v/>
      </c>
      <c r="K40" s="30">
        <f>IF(B40=12*PolicyTerm,J40,0)</f>
        <v/>
      </c>
      <c r="L40" s="33">
        <f>J40-K40</f>
        <v/>
      </c>
      <c r="M40" s="30">
        <f>IF(B40=0,PolicyCount,0)</f>
        <v/>
      </c>
      <c r="N40" s="33">
        <f>L40+M40</f>
        <v/>
      </c>
      <c r="O40" s="31">
        <f>N40*G40</f>
        <v/>
      </c>
      <c r="P40" s="33">
        <f>(N40-O40)*(1-(1-H40)^(1/12))</f>
        <v/>
      </c>
      <c r="Q40" s="34">
        <f>X39+Z39</f>
        <v/>
      </c>
      <c r="R40" s="29">
        <f>(1-LoadPremRate)*E40</f>
        <v/>
      </c>
      <c r="S40" s="34">
        <f>Q40+R40</f>
        <v/>
      </c>
      <c r="T40" s="29">
        <f>MaintFeeRateAnn/12*S40</f>
        <v/>
      </c>
      <c r="U40" s="29">
        <f>MAX(SumAssured-S40,0)</f>
        <v/>
      </c>
      <c r="V40" s="35">
        <f>CoiMultiple*G40</f>
        <v/>
      </c>
      <c r="W40" s="34">
        <f>V40*U40</f>
        <v/>
      </c>
      <c r="X40" s="34">
        <f>S40-T40-W40</f>
        <v/>
      </c>
      <c r="Y40" s="36">
        <f>EXP((Mu-0.5*Sigma^2)/12+Sigma*SQRT(1/12)*INDEX(NormRand,ScenID,A40+1))-1</f>
        <v/>
      </c>
      <c r="Z40" s="34">
        <f>Y40*X40</f>
        <v/>
      </c>
      <c r="AA40" s="34">
        <f>X40+0.5*Z40</f>
        <v/>
      </c>
      <c r="AB40" s="34">
        <f>Q40*J40</f>
        <v/>
      </c>
      <c r="AC40" s="34">
        <f>Q40*L40</f>
        <v/>
      </c>
      <c r="AD40" s="34">
        <f>S40*N40</f>
        <v/>
      </c>
      <c r="AE40" s="34">
        <f>E40*N40</f>
        <v/>
      </c>
      <c r="AF40" s="34">
        <f>R40*N40</f>
        <v/>
      </c>
      <c r="AG40" s="29">
        <f>MAX(SumAssured,AA40)</f>
        <v/>
      </c>
      <c r="AH40" s="34">
        <f>AG40*O40</f>
        <v/>
      </c>
      <c r="AI40" s="34">
        <f>AA40*O40</f>
        <v/>
      </c>
      <c r="AJ40" s="34">
        <f>AA40*P40</f>
        <v/>
      </c>
      <c r="AK40" s="34">
        <f>I40*AA40*P40</f>
        <v/>
      </c>
      <c r="AL40" s="34">
        <f>AJ40-AK40</f>
        <v/>
      </c>
      <c r="AM40" s="34">
        <f>Q40*K40</f>
        <v/>
      </c>
      <c r="AN40" s="34">
        <f>AH40+AL40+AM40</f>
        <v/>
      </c>
      <c r="AO40" s="34">
        <f>(AG40-AA40)*O40</f>
        <v/>
      </c>
      <c r="AP40" s="34">
        <f>W40*N40</f>
        <v/>
      </c>
      <c r="AQ40" s="34">
        <f>T40*N40</f>
        <v/>
      </c>
      <c r="AR40" s="34">
        <f>Z40*J41+0.5*Z40*(O40+P40)</f>
        <v/>
      </c>
      <c r="AS40" s="30">
        <f>(1+InflationRate)^(A40/12)</f>
        <v/>
      </c>
      <c r="AT40" s="29">
        <f>ExpenseAcq*M40+N40*ExpenseMaint/12*AS40</f>
        <v/>
      </c>
      <c r="AU40" s="29">
        <f>CommissionRate*AE40</f>
        <v/>
      </c>
      <c r="AV40" s="34">
        <f>AB41-AB40</f>
        <v/>
      </c>
      <c r="AW40" s="34">
        <f>AE40+AR40-AN40-AT40-AU40-AV40</f>
        <v/>
      </c>
      <c r="AX40" s="29">
        <f>LoadPremRate*E40*N40+AK40+AQ40-AU40-AT40</f>
        <v/>
      </c>
      <c r="AY40" s="34">
        <f>AP40-AO40</f>
        <v/>
      </c>
      <c r="AZ40" s="37">
        <f>(AW40-AX40-AY40)/MAX(1,ABS(AW40),ABS(AX40),ABS(AY40))</f>
        <v/>
      </c>
      <c r="BA40" s="37">
        <f>IF(OR(K40&gt;0,K41&gt;0),0,(AC41-(AC40+AF40-AQ40-AP40+AR40-AI40-AJ40-AM40))/MAX(1,ABS(AC40),ABS(AC41)))</f>
        <v/>
      </c>
      <c r="BB40" s="35">
        <f>(1+INDEX(DiscRateAnn,INT(A40/12)+1))^(1/12)-1</f>
        <v/>
      </c>
      <c r="BC40" s="31">
        <f>(1+BB40)^-A40</f>
        <v/>
      </c>
      <c r="BD40" s="34">
        <f>AW40*BC40</f>
        <v/>
      </c>
    </row>
    <row r="41">
      <c r="A41" s="27">
        <f>A40+1</f>
        <v/>
      </c>
      <c r="B41" s="28">
        <f>Duration0+A41</f>
        <v/>
      </c>
      <c r="C41" s="27">
        <f>INT(B41/12)</f>
        <v/>
      </c>
      <c r="D41" s="28">
        <f>AgeAtEntry+C41</f>
        <v/>
      </c>
      <c r="E41" s="29">
        <f>IF(PremiumType="SINGLE",IF(B41=0,PremiumPPInput,0),IF(B41&lt;12*PolicyTerm,PremiumPPInput,0))</f>
        <v/>
      </c>
      <c r="F41" s="30">
        <f>INDEX(MortRates,MATCH(MIN(D41,120),MortAges,0),MAX(MIN(C41,5),0)+1)</f>
        <v/>
      </c>
      <c r="G41" s="31">
        <f>1-(1-F41)^(1/12)</f>
        <v/>
      </c>
      <c r="H41" s="32">
        <f>MAX(LapseBase-LapseStep*C41,LapseFloor)</f>
        <v/>
      </c>
      <c r="I41" s="32">
        <f>IF(HasSurrCharge,INDEX(SurrRates,MIN(C41,SurrDurMax)+1,MATCH(SurrChargeID,SurrTypes,0)),0)</f>
        <v/>
      </c>
      <c r="J41" s="33">
        <f>N40-P40-O40</f>
        <v/>
      </c>
      <c r="K41" s="30">
        <f>IF(B41=12*PolicyTerm,J41,0)</f>
        <v/>
      </c>
      <c r="L41" s="33">
        <f>J41-K41</f>
        <v/>
      </c>
      <c r="M41" s="30">
        <f>IF(B41=0,PolicyCount,0)</f>
        <v/>
      </c>
      <c r="N41" s="33">
        <f>L41+M41</f>
        <v/>
      </c>
      <c r="O41" s="31">
        <f>N41*G41</f>
        <v/>
      </c>
      <c r="P41" s="33">
        <f>(N41-O41)*(1-(1-H41)^(1/12))</f>
        <v/>
      </c>
      <c r="Q41" s="34">
        <f>X40+Z40</f>
        <v/>
      </c>
      <c r="R41" s="29">
        <f>(1-LoadPremRate)*E41</f>
        <v/>
      </c>
      <c r="S41" s="34">
        <f>Q41+R41</f>
        <v/>
      </c>
      <c r="T41" s="29">
        <f>MaintFeeRateAnn/12*S41</f>
        <v/>
      </c>
      <c r="U41" s="29">
        <f>MAX(SumAssured-S41,0)</f>
        <v/>
      </c>
      <c r="V41" s="35">
        <f>CoiMultiple*G41</f>
        <v/>
      </c>
      <c r="W41" s="34">
        <f>V41*U41</f>
        <v/>
      </c>
      <c r="X41" s="34">
        <f>S41-T41-W41</f>
        <v/>
      </c>
      <c r="Y41" s="36">
        <f>EXP((Mu-0.5*Sigma^2)/12+Sigma*SQRT(1/12)*INDEX(NormRand,ScenID,A41+1))-1</f>
        <v/>
      </c>
      <c r="Z41" s="34">
        <f>Y41*X41</f>
        <v/>
      </c>
      <c r="AA41" s="34">
        <f>X41+0.5*Z41</f>
        <v/>
      </c>
      <c r="AB41" s="34">
        <f>Q41*J41</f>
        <v/>
      </c>
      <c r="AC41" s="34">
        <f>Q41*L41</f>
        <v/>
      </c>
      <c r="AD41" s="34">
        <f>S41*N41</f>
        <v/>
      </c>
      <c r="AE41" s="34">
        <f>E41*N41</f>
        <v/>
      </c>
      <c r="AF41" s="34">
        <f>R41*N41</f>
        <v/>
      </c>
      <c r="AG41" s="29">
        <f>MAX(SumAssured,AA41)</f>
        <v/>
      </c>
      <c r="AH41" s="34">
        <f>AG41*O41</f>
        <v/>
      </c>
      <c r="AI41" s="34">
        <f>AA41*O41</f>
        <v/>
      </c>
      <c r="AJ41" s="34">
        <f>AA41*P41</f>
        <v/>
      </c>
      <c r="AK41" s="34">
        <f>I41*AA41*P41</f>
        <v/>
      </c>
      <c r="AL41" s="34">
        <f>AJ41-AK41</f>
        <v/>
      </c>
      <c r="AM41" s="34">
        <f>Q41*K41</f>
        <v/>
      </c>
      <c r="AN41" s="34">
        <f>AH41+AL41+AM41</f>
        <v/>
      </c>
      <c r="AO41" s="34">
        <f>(AG41-AA41)*O41</f>
        <v/>
      </c>
      <c r="AP41" s="34">
        <f>W41*N41</f>
        <v/>
      </c>
      <c r="AQ41" s="34">
        <f>T41*N41</f>
        <v/>
      </c>
      <c r="AR41" s="34">
        <f>Z41*J42+0.5*Z41*(O41+P41)</f>
        <v/>
      </c>
      <c r="AS41" s="30">
        <f>(1+InflationRate)^(A41/12)</f>
        <v/>
      </c>
      <c r="AT41" s="29">
        <f>ExpenseAcq*M41+N41*ExpenseMaint/12*AS41</f>
        <v/>
      </c>
      <c r="AU41" s="29">
        <f>CommissionRate*AE41</f>
        <v/>
      </c>
      <c r="AV41" s="34">
        <f>AB42-AB41</f>
        <v/>
      </c>
      <c r="AW41" s="34">
        <f>AE41+AR41-AN41-AT41-AU41-AV41</f>
        <v/>
      </c>
      <c r="AX41" s="29">
        <f>LoadPremRate*E41*N41+AK41+AQ41-AU41-AT41</f>
        <v/>
      </c>
      <c r="AY41" s="34">
        <f>AP41-AO41</f>
        <v/>
      </c>
      <c r="AZ41" s="37">
        <f>(AW41-AX41-AY41)/MAX(1,ABS(AW41),ABS(AX41),ABS(AY41))</f>
        <v/>
      </c>
      <c r="BA41" s="37">
        <f>IF(OR(K41&gt;0,K42&gt;0),0,(AC42-(AC41+AF41-AQ41-AP41+AR41-AI41-AJ41-AM41))/MAX(1,ABS(AC41),ABS(AC42)))</f>
        <v/>
      </c>
      <c r="BB41" s="35">
        <f>(1+INDEX(DiscRateAnn,INT(A41/12)+1))^(1/12)-1</f>
        <v/>
      </c>
      <c r="BC41" s="31">
        <f>(1+BB41)^-A41</f>
        <v/>
      </c>
      <c r="BD41" s="34">
        <f>AW41*BC41</f>
        <v/>
      </c>
    </row>
    <row r="42">
      <c r="A42" s="27">
        <f>A41+1</f>
        <v/>
      </c>
      <c r="B42" s="28">
        <f>Duration0+A42</f>
        <v/>
      </c>
      <c r="C42" s="27">
        <f>INT(B42/12)</f>
        <v/>
      </c>
      <c r="D42" s="28">
        <f>AgeAtEntry+C42</f>
        <v/>
      </c>
      <c r="E42" s="29">
        <f>IF(PremiumType="SINGLE",IF(B42=0,PremiumPPInput,0),IF(B42&lt;12*PolicyTerm,PremiumPPInput,0))</f>
        <v/>
      </c>
      <c r="F42" s="30">
        <f>INDEX(MortRates,MATCH(MIN(D42,120),MortAges,0),MAX(MIN(C42,5),0)+1)</f>
        <v/>
      </c>
      <c r="G42" s="31">
        <f>1-(1-F42)^(1/12)</f>
        <v/>
      </c>
      <c r="H42" s="32">
        <f>MAX(LapseBase-LapseStep*C42,LapseFloor)</f>
        <v/>
      </c>
      <c r="I42" s="32">
        <f>IF(HasSurrCharge,INDEX(SurrRates,MIN(C42,SurrDurMax)+1,MATCH(SurrChargeID,SurrTypes,0)),0)</f>
        <v/>
      </c>
      <c r="J42" s="33">
        <f>N41-P41-O41</f>
        <v/>
      </c>
      <c r="K42" s="30">
        <f>IF(B42=12*PolicyTerm,J42,0)</f>
        <v/>
      </c>
      <c r="L42" s="33">
        <f>J42-K42</f>
        <v/>
      </c>
      <c r="M42" s="30">
        <f>IF(B42=0,PolicyCount,0)</f>
        <v/>
      </c>
      <c r="N42" s="33">
        <f>L42+M42</f>
        <v/>
      </c>
      <c r="O42" s="31">
        <f>N42*G42</f>
        <v/>
      </c>
      <c r="P42" s="33">
        <f>(N42-O42)*(1-(1-H42)^(1/12))</f>
        <v/>
      </c>
      <c r="Q42" s="34">
        <f>X41+Z41</f>
        <v/>
      </c>
      <c r="R42" s="29">
        <f>(1-LoadPremRate)*E42</f>
        <v/>
      </c>
      <c r="S42" s="34">
        <f>Q42+R42</f>
        <v/>
      </c>
      <c r="T42" s="29">
        <f>MaintFeeRateAnn/12*S42</f>
        <v/>
      </c>
      <c r="U42" s="29">
        <f>MAX(SumAssured-S42,0)</f>
        <v/>
      </c>
      <c r="V42" s="35">
        <f>CoiMultiple*G42</f>
        <v/>
      </c>
      <c r="W42" s="34">
        <f>V42*U42</f>
        <v/>
      </c>
      <c r="X42" s="34">
        <f>S42-T42-W42</f>
        <v/>
      </c>
      <c r="Y42" s="36">
        <f>EXP((Mu-0.5*Sigma^2)/12+Sigma*SQRT(1/12)*INDEX(NormRand,ScenID,A42+1))-1</f>
        <v/>
      </c>
      <c r="Z42" s="34">
        <f>Y42*X42</f>
        <v/>
      </c>
      <c r="AA42" s="34">
        <f>X42+0.5*Z42</f>
        <v/>
      </c>
      <c r="AB42" s="34">
        <f>Q42*J42</f>
        <v/>
      </c>
      <c r="AC42" s="34">
        <f>Q42*L42</f>
        <v/>
      </c>
      <c r="AD42" s="34">
        <f>S42*N42</f>
        <v/>
      </c>
      <c r="AE42" s="34">
        <f>E42*N42</f>
        <v/>
      </c>
      <c r="AF42" s="34">
        <f>R42*N42</f>
        <v/>
      </c>
      <c r="AG42" s="29">
        <f>MAX(SumAssured,AA42)</f>
        <v/>
      </c>
      <c r="AH42" s="34">
        <f>AG42*O42</f>
        <v/>
      </c>
      <c r="AI42" s="34">
        <f>AA42*O42</f>
        <v/>
      </c>
      <c r="AJ42" s="34">
        <f>AA42*P42</f>
        <v/>
      </c>
      <c r="AK42" s="34">
        <f>I42*AA42*P42</f>
        <v/>
      </c>
      <c r="AL42" s="34">
        <f>AJ42-AK42</f>
        <v/>
      </c>
      <c r="AM42" s="34">
        <f>Q42*K42</f>
        <v/>
      </c>
      <c r="AN42" s="34">
        <f>AH42+AL42+AM42</f>
        <v/>
      </c>
      <c r="AO42" s="34">
        <f>(AG42-AA42)*O42</f>
        <v/>
      </c>
      <c r="AP42" s="34">
        <f>W42*N42</f>
        <v/>
      </c>
      <c r="AQ42" s="34">
        <f>T42*N42</f>
        <v/>
      </c>
      <c r="AR42" s="34">
        <f>Z42*J43+0.5*Z42*(O42+P42)</f>
        <v/>
      </c>
      <c r="AS42" s="30">
        <f>(1+InflationRate)^(A42/12)</f>
        <v/>
      </c>
      <c r="AT42" s="29">
        <f>ExpenseAcq*M42+N42*ExpenseMaint/12*AS42</f>
        <v/>
      </c>
      <c r="AU42" s="29">
        <f>CommissionRate*AE42</f>
        <v/>
      </c>
      <c r="AV42" s="34">
        <f>AB43-AB42</f>
        <v/>
      </c>
      <c r="AW42" s="34">
        <f>AE42+AR42-AN42-AT42-AU42-AV42</f>
        <v/>
      </c>
      <c r="AX42" s="29">
        <f>LoadPremRate*E42*N42+AK42+AQ42-AU42-AT42</f>
        <v/>
      </c>
      <c r="AY42" s="34">
        <f>AP42-AO42</f>
        <v/>
      </c>
      <c r="AZ42" s="37">
        <f>(AW42-AX42-AY42)/MAX(1,ABS(AW42),ABS(AX42),ABS(AY42))</f>
        <v/>
      </c>
      <c r="BA42" s="37">
        <f>IF(OR(K42&gt;0,K43&gt;0),0,(AC43-(AC42+AF42-AQ42-AP42+AR42-AI42-AJ42-AM42))/MAX(1,ABS(AC42),ABS(AC43)))</f>
        <v/>
      </c>
      <c r="BB42" s="35">
        <f>(1+INDEX(DiscRateAnn,INT(A42/12)+1))^(1/12)-1</f>
        <v/>
      </c>
      <c r="BC42" s="31">
        <f>(1+BB42)^-A42</f>
        <v/>
      </c>
      <c r="BD42" s="34">
        <f>AW42*BC42</f>
        <v/>
      </c>
    </row>
    <row r="43">
      <c r="A43" s="27">
        <f>A42+1</f>
        <v/>
      </c>
      <c r="B43" s="28">
        <f>Duration0+A43</f>
        <v/>
      </c>
      <c r="C43" s="27">
        <f>INT(B43/12)</f>
        <v/>
      </c>
      <c r="D43" s="28">
        <f>AgeAtEntry+C43</f>
        <v/>
      </c>
      <c r="E43" s="29">
        <f>IF(PremiumType="SINGLE",IF(B43=0,PremiumPPInput,0),IF(B43&lt;12*PolicyTerm,PremiumPPInput,0))</f>
        <v/>
      </c>
      <c r="F43" s="30">
        <f>INDEX(MortRates,MATCH(MIN(D43,120),MortAges,0),MAX(MIN(C43,5),0)+1)</f>
        <v/>
      </c>
      <c r="G43" s="31">
        <f>1-(1-F43)^(1/12)</f>
        <v/>
      </c>
      <c r="H43" s="32">
        <f>MAX(LapseBase-LapseStep*C43,LapseFloor)</f>
        <v/>
      </c>
      <c r="I43" s="32">
        <f>IF(HasSurrCharge,INDEX(SurrRates,MIN(C43,SurrDurMax)+1,MATCH(SurrChargeID,SurrTypes,0)),0)</f>
        <v/>
      </c>
      <c r="J43" s="33">
        <f>N42-P42-O42</f>
        <v/>
      </c>
      <c r="K43" s="30">
        <f>IF(B43=12*PolicyTerm,J43,0)</f>
        <v/>
      </c>
      <c r="L43" s="33">
        <f>J43-K43</f>
        <v/>
      </c>
      <c r="M43" s="30">
        <f>IF(B43=0,PolicyCount,0)</f>
        <v/>
      </c>
      <c r="N43" s="33">
        <f>L43+M43</f>
        <v/>
      </c>
      <c r="O43" s="31">
        <f>N43*G43</f>
        <v/>
      </c>
      <c r="P43" s="33">
        <f>(N43-O43)*(1-(1-H43)^(1/12))</f>
        <v/>
      </c>
      <c r="Q43" s="34">
        <f>X42+Z42</f>
        <v/>
      </c>
      <c r="R43" s="29">
        <f>(1-LoadPremRate)*E43</f>
        <v/>
      </c>
      <c r="S43" s="34">
        <f>Q43+R43</f>
        <v/>
      </c>
      <c r="T43" s="29">
        <f>MaintFeeRateAnn/12*S43</f>
        <v/>
      </c>
      <c r="U43" s="29">
        <f>MAX(SumAssured-S43,0)</f>
        <v/>
      </c>
      <c r="V43" s="35">
        <f>CoiMultiple*G43</f>
        <v/>
      </c>
      <c r="W43" s="34">
        <f>V43*U43</f>
        <v/>
      </c>
      <c r="X43" s="34">
        <f>S43-T43-W43</f>
        <v/>
      </c>
      <c r="Y43" s="36">
        <f>EXP((Mu-0.5*Sigma^2)/12+Sigma*SQRT(1/12)*INDEX(NormRand,ScenID,A43+1))-1</f>
        <v/>
      </c>
      <c r="Z43" s="34">
        <f>Y43*X43</f>
        <v/>
      </c>
      <c r="AA43" s="34">
        <f>X43+0.5*Z43</f>
        <v/>
      </c>
      <c r="AB43" s="34">
        <f>Q43*J43</f>
        <v/>
      </c>
      <c r="AC43" s="34">
        <f>Q43*L43</f>
        <v/>
      </c>
      <c r="AD43" s="34">
        <f>S43*N43</f>
        <v/>
      </c>
      <c r="AE43" s="34">
        <f>E43*N43</f>
        <v/>
      </c>
      <c r="AF43" s="34">
        <f>R43*N43</f>
        <v/>
      </c>
      <c r="AG43" s="29">
        <f>MAX(SumAssured,AA43)</f>
        <v/>
      </c>
      <c r="AH43" s="34">
        <f>AG43*O43</f>
        <v/>
      </c>
      <c r="AI43" s="34">
        <f>AA43*O43</f>
        <v/>
      </c>
      <c r="AJ43" s="34">
        <f>AA43*P43</f>
        <v/>
      </c>
      <c r="AK43" s="34">
        <f>I43*AA43*P43</f>
        <v/>
      </c>
      <c r="AL43" s="34">
        <f>AJ43-AK43</f>
        <v/>
      </c>
      <c r="AM43" s="34">
        <f>Q43*K43</f>
        <v/>
      </c>
      <c r="AN43" s="34">
        <f>AH43+AL43+AM43</f>
        <v/>
      </c>
      <c r="AO43" s="34">
        <f>(AG43-AA43)*O43</f>
        <v/>
      </c>
      <c r="AP43" s="34">
        <f>W43*N43</f>
        <v/>
      </c>
      <c r="AQ43" s="34">
        <f>T43*N43</f>
        <v/>
      </c>
      <c r="AR43" s="34">
        <f>Z43*J44+0.5*Z43*(O43+P43)</f>
        <v/>
      </c>
      <c r="AS43" s="30">
        <f>(1+InflationRate)^(A43/12)</f>
        <v/>
      </c>
      <c r="AT43" s="29">
        <f>ExpenseAcq*M43+N43*ExpenseMaint/12*AS43</f>
        <v/>
      </c>
      <c r="AU43" s="29">
        <f>CommissionRate*AE43</f>
        <v/>
      </c>
      <c r="AV43" s="34">
        <f>AB44-AB43</f>
        <v/>
      </c>
      <c r="AW43" s="34">
        <f>AE43+AR43-AN43-AT43-AU43-AV43</f>
        <v/>
      </c>
      <c r="AX43" s="29">
        <f>LoadPremRate*E43*N43+AK43+AQ43-AU43-AT43</f>
        <v/>
      </c>
      <c r="AY43" s="34">
        <f>AP43-AO43</f>
        <v/>
      </c>
      <c r="AZ43" s="37">
        <f>(AW43-AX43-AY43)/MAX(1,ABS(AW43),ABS(AX43),ABS(AY43))</f>
        <v/>
      </c>
      <c r="BA43" s="37">
        <f>IF(OR(K43&gt;0,K44&gt;0),0,(AC44-(AC43+AF43-AQ43-AP43+AR43-AI43-AJ43-AM43))/MAX(1,ABS(AC43),ABS(AC44)))</f>
        <v/>
      </c>
      <c r="BB43" s="35">
        <f>(1+INDEX(DiscRateAnn,INT(A43/12)+1))^(1/12)-1</f>
        <v/>
      </c>
      <c r="BC43" s="31">
        <f>(1+BB43)^-A43</f>
        <v/>
      </c>
      <c r="BD43" s="34">
        <f>AW43*BC43</f>
        <v/>
      </c>
    </row>
    <row r="44">
      <c r="A44" s="27">
        <f>A43+1</f>
        <v/>
      </c>
      <c r="B44" s="28">
        <f>Duration0+A44</f>
        <v/>
      </c>
      <c r="C44" s="27">
        <f>INT(B44/12)</f>
        <v/>
      </c>
      <c r="D44" s="28">
        <f>AgeAtEntry+C44</f>
        <v/>
      </c>
      <c r="E44" s="29">
        <f>IF(PremiumType="SINGLE",IF(B44=0,PremiumPPInput,0),IF(B44&lt;12*PolicyTerm,PremiumPPInput,0))</f>
        <v/>
      </c>
      <c r="F44" s="30">
        <f>INDEX(MortRates,MATCH(MIN(D44,120),MortAges,0),MAX(MIN(C44,5),0)+1)</f>
        <v/>
      </c>
      <c r="G44" s="31">
        <f>1-(1-F44)^(1/12)</f>
        <v/>
      </c>
      <c r="H44" s="32">
        <f>MAX(LapseBase-LapseStep*C44,LapseFloor)</f>
        <v/>
      </c>
      <c r="I44" s="32">
        <f>IF(HasSurrCharge,INDEX(SurrRates,MIN(C44,SurrDurMax)+1,MATCH(SurrChargeID,SurrTypes,0)),0)</f>
        <v/>
      </c>
      <c r="J44" s="33">
        <f>N43-P43-O43</f>
        <v/>
      </c>
      <c r="K44" s="30">
        <f>IF(B44=12*PolicyTerm,J44,0)</f>
        <v/>
      </c>
      <c r="L44" s="33">
        <f>J44-K44</f>
        <v/>
      </c>
      <c r="M44" s="30">
        <f>IF(B44=0,PolicyCount,0)</f>
        <v/>
      </c>
      <c r="N44" s="33">
        <f>L44+M44</f>
        <v/>
      </c>
      <c r="O44" s="31">
        <f>N44*G44</f>
        <v/>
      </c>
      <c r="P44" s="33">
        <f>(N44-O44)*(1-(1-H44)^(1/12))</f>
        <v/>
      </c>
      <c r="Q44" s="34">
        <f>X43+Z43</f>
        <v/>
      </c>
      <c r="R44" s="29">
        <f>(1-LoadPremRate)*E44</f>
        <v/>
      </c>
      <c r="S44" s="34">
        <f>Q44+R44</f>
        <v/>
      </c>
      <c r="T44" s="29">
        <f>MaintFeeRateAnn/12*S44</f>
        <v/>
      </c>
      <c r="U44" s="29">
        <f>MAX(SumAssured-S44,0)</f>
        <v/>
      </c>
      <c r="V44" s="35">
        <f>CoiMultiple*G44</f>
        <v/>
      </c>
      <c r="W44" s="34">
        <f>V44*U44</f>
        <v/>
      </c>
      <c r="X44" s="34">
        <f>S44-T44-W44</f>
        <v/>
      </c>
      <c r="Y44" s="36">
        <f>EXP((Mu-0.5*Sigma^2)/12+Sigma*SQRT(1/12)*INDEX(NormRand,ScenID,A44+1))-1</f>
        <v/>
      </c>
      <c r="Z44" s="34">
        <f>Y44*X44</f>
        <v/>
      </c>
      <c r="AA44" s="34">
        <f>X44+0.5*Z44</f>
        <v/>
      </c>
      <c r="AB44" s="34">
        <f>Q44*J44</f>
        <v/>
      </c>
      <c r="AC44" s="34">
        <f>Q44*L44</f>
        <v/>
      </c>
      <c r="AD44" s="34">
        <f>S44*N44</f>
        <v/>
      </c>
      <c r="AE44" s="34">
        <f>E44*N44</f>
        <v/>
      </c>
      <c r="AF44" s="34">
        <f>R44*N44</f>
        <v/>
      </c>
      <c r="AG44" s="29">
        <f>MAX(SumAssured,AA44)</f>
        <v/>
      </c>
      <c r="AH44" s="34">
        <f>AG44*O44</f>
        <v/>
      </c>
      <c r="AI44" s="34">
        <f>AA44*O44</f>
        <v/>
      </c>
      <c r="AJ44" s="34">
        <f>AA44*P44</f>
        <v/>
      </c>
      <c r="AK44" s="34">
        <f>I44*AA44*P44</f>
        <v/>
      </c>
      <c r="AL44" s="34">
        <f>AJ44-AK44</f>
        <v/>
      </c>
      <c r="AM44" s="34">
        <f>Q44*K44</f>
        <v/>
      </c>
      <c r="AN44" s="34">
        <f>AH44+AL44+AM44</f>
        <v/>
      </c>
      <c r="AO44" s="34">
        <f>(AG44-AA44)*O44</f>
        <v/>
      </c>
      <c r="AP44" s="34">
        <f>W44*N44</f>
        <v/>
      </c>
      <c r="AQ44" s="34">
        <f>T44*N44</f>
        <v/>
      </c>
      <c r="AR44" s="34">
        <f>Z44*J45+0.5*Z44*(O44+P44)</f>
        <v/>
      </c>
      <c r="AS44" s="30">
        <f>(1+InflationRate)^(A44/12)</f>
        <v/>
      </c>
      <c r="AT44" s="29">
        <f>ExpenseAcq*M44+N44*ExpenseMaint/12*AS44</f>
        <v/>
      </c>
      <c r="AU44" s="29">
        <f>CommissionRate*AE44</f>
        <v/>
      </c>
      <c r="AV44" s="34">
        <f>AB45-AB44</f>
        <v/>
      </c>
      <c r="AW44" s="34">
        <f>AE44+AR44-AN44-AT44-AU44-AV44</f>
        <v/>
      </c>
      <c r="AX44" s="29">
        <f>LoadPremRate*E44*N44+AK44+AQ44-AU44-AT44</f>
        <v/>
      </c>
      <c r="AY44" s="34">
        <f>AP44-AO44</f>
        <v/>
      </c>
      <c r="AZ44" s="37">
        <f>(AW44-AX44-AY44)/MAX(1,ABS(AW44),ABS(AX44),ABS(AY44))</f>
        <v/>
      </c>
      <c r="BA44" s="37">
        <f>IF(OR(K44&gt;0,K45&gt;0),0,(AC45-(AC44+AF44-AQ44-AP44+AR44-AI44-AJ44-AM44))/MAX(1,ABS(AC44),ABS(AC45)))</f>
        <v/>
      </c>
      <c r="BB44" s="35">
        <f>(1+INDEX(DiscRateAnn,INT(A44/12)+1))^(1/12)-1</f>
        <v/>
      </c>
      <c r="BC44" s="31">
        <f>(1+BB44)^-A44</f>
        <v/>
      </c>
      <c r="BD44" s="34">
        <f>AW44*BC44</f>
        <v/>
      </c>
    </row>
    <row r="45">
      <c r="A45" s="27">
        <f>A44+1</f>
        <v/>
      </c>
      <c r="B45" s="28">
        <f>Duration0+A45</f>
        <v/>
      </c>
      <c r="C45" s="27">
        <f>INT(B45/12)</f>
        <v/>
      </c>
      <c r="D45" s="28">
        <f>AgeAtEntry+C45</f>
        <v/>
      </c>
      <c r="E45" s="29">
        <f>IF(PremiumType="SINGLE",IF(B45=0,PremiumPPInput,0),IF(B45&lt;12*PolicyTerm,PremiumPPInput,0))</f>
        <v/>
      </c>
      <c r="F45" s="30">
        <f>INDEX(MortRates,MATCH(MIN(D45,120),MortAges,0),MAX(MIN(C45,5),0)+1)</f>
        <v/>
      </c>
      <c r="G45" s="31">
        <f>1-(1-F45)^(1/12)</f>
        <v/>
      </c>
      <c r="H45" s="32">
        <f>MAX(LapseBase-LapseStep*C45,LapseFloor)</f>
        <v/>
      </c>
      <c r="I45" s="32">
        <f>IF(HasSurrCharge,INDEX(SurrRates,MIN(C45,SurrDurMax)+1,MATCH(SurrChargeID,SurrTypes,0)),0)</f>
        <v/>
      </c>
      <c r="J45" s="33">
        <f>N44-P44-O44</f>
        <v/>
      </c>
      <c r="K45" s="30">
        <f>IF(B45=12*PolicyTerm,J45,0)</f>
        <v/>
      </c>
      <c r="L45" s="33">
        <f>J45-K45</f>
        <v/>
      </c>
      <c r="M45" s="30">
        <f>IF(B45=0,PolicyCount,0)</f>
        <v/>
      </c>
      <c r="N45" s="33">
        <f>L45+M45</f>
        <v/>
      </c>
      <c r="O45" s="31">
        <f>N45*G45</f>
        <v/>
      </c>
      <c r="P45" s="33">
        <f>(N45-O45)*(1-(1-H45)^(1/12))</f>
        <v/>
      </c>
      <c r="Q45" s="34">
        <f>X44+Z44</f>
        <v/>
      </c>
      <c r="R45" s="29">
        <f>(1-LoadPremRate)*E45</f>
        <v/>
      </c>
      <c r="S45" s="34">
        <f>Q45+R45</f>
        <v/>
      </c>
      <c r="T45" s="29">
        <f>MaintFeeRateAnn/12*S45</f>
        <v/>
      </c>
      <c r="U45" s="29">
        <f>MAX(SumAssured-S45,0)</f>
        <v/>
      </c>
      <c r="V45" s="35">
        <f>CoiMultiple*G45</f>
        <v/>
      </c>
      <c r="W45" s="34">
        <f>V45*U45</f>
        <v/>
      </c>
      <c r="X45" s="34">
        <f>S45-T45-W45</f>
        <v/>
      </c>
      <c r="Y45" s="36">
        <f>EXP((Mu-0.5*Sigma^2)/12+Sigma*SQRT(1/12)*INDEX(NormRand,ScenID,A45+1))-1</f>
        <v/>
      </c>
      <c r="Z45" s="34">
        <f>Y45*X45</f>
        <v/>
      </c>
      <c r="AA45" s="34">
        <f>X45+0.5*Z45</f>
        <v/>
      </c>
      <c r="AB45" s="34">
        <f>Q45*J45</f>
        <v/>
      </c>
      <c r="AC45" s="34">
        <f>Q45*L45</f>
        <v/>
      </c>
      <c r="AD45" s="34">
        <f>S45*N45</f>
        <v/>
      </c>
      <c r="AE45" s="34">
        <f>E45*N45</f>
        <v/>
      </c>
      <c r="AF45" s="34">
        <f>R45*N45</f>
        <v/>
      </c>
      <c r="AG45" s="29">
        <f>MAX(SumAssured,AA45)</f>
        <v/>
      </c>
      <c r="AH45" s="34">
        <f>AG45*O45</f>
        <v/>
      </c>
      <c r="AI45" s="34">
        <f>AA45*O45</f>
        <v/>
      </c>
      <c r="AJ45" s="34">
        <f>AA45*P45</f>
        <v/>
      </c>
      <c r="AK45" s="34">
        <f>I45*AA45*P45</f>
        <v/>
      </c>
      <c r="AL45" s="34">
        <f>AJ45-AK45</f>
        <v/>
      </c>
      <c r="AM45" s="34">
        <f>Q45*K45</f>
        <v/>
      </c>
      <c r="AN45" s="34">
        <f>AH45+AL45+AM45</f>
        <v/>
      </c>
      <c r="AO45" s="34">
        <f>(AG45-AA45)*O45</f>
        <v/>
      </c>
      <c r="AP45" s="34">
        <f>W45*N45</f>
        <v/>
      </c>
      <c r="AQ45" s="34">
        <f>T45*N45</f>
        <v/>
      </c>
      <c r="AR45" s="34">
        <f>Z45*J46+0.5*Z45*(O45+P45)</f>
        <v/>
      </c>
      <c r="AS45" s="30">
        <f>(1+InflationRate)^(A45/12)</f>
        <v/>
      </c>
      <c r="AT45" s="29">
        <f>ExpenseAcq*M45+N45*ExpenseMaint/12*AS45</f>
        <v/>
      </c>
      <c r="AU45" s="29">
        <f>CommissionRate*AE45</f>
        <v/>
      </c>
      <c r="AV45" s="34">
        <f>AB46-AB45</f>
        <v/>
      </c>
      <c r="AW45" s="34">
        <f>AE45+AR45-AN45-AT45-AU45-AV45</f>
        <v/>
      </c>
      <c r="AX45" s="29">
        <f>LoadPremRate*E45*N45+AK45+AQ45-AU45-AT45</f>
        <v/>
      </c>
      <c r="AY45" s="34">
        <f>AP45-AO45</f>
        <v/>
      </c>
      <c r="AZ45" s="37">
        <f>(AW45-AX45-AY45)/MAX(1,ABS(AW45),ABS(AX45),ABS(AY45))</f>
        <v/>
      </c>
      <c r="BA45" s="37">
        <f>IF(OR(K45&gt;0,K46&gt;0),0,(AC46-(AC45+AF45-AQ45-AP45+AR45-AI45-AJ45-AM45))/MAX(1,ABS(AC45),ABS(AC46)))</f>
        <v/>
      </c>
      <c r="BB45" s="35">
        <f>(1+INDEX(DiscRateAnn,INT(A45/12)+1))^(1/12)-1</f>
        <v/>
      </c>
      <c r="BC45" s="31">
        <f>(1+BB45)^-A45</f>
        <v/>
      </c>
      <c r="BD45" s="34">
        <f>AW45*BC45</f>
        <v/>
      </c>
    </row>
    <row r="46">
      <c r="A46" s="27">
        <f>A45+1</f>
        <v/>
      </c>
      <c r="B46" s="28">
        <f>Duration0+A46</f>
        <v/>
      </c>
      <c r="C46" s="27">
        <f>INT(B46/12)</f>
        <v/>
      </c>
      <c r="D46" s="28">
        <f>AgeAtEntry+C46</f>
        <v/>
      </c>
      <c r="E46" s="29">
        <f>IF(PremiumType="SINGLE",IF(B46=0,PremiumPPInput,0),IF(B46&lt;12*PolicyTerm,PremiumPPInput,0))</f>
        <v/>
      </c>
      <c r="F46" s="30">
        <f>INDEX(MortRates,MATCH(MIN(D46,120),MortAges,0),MAX(MIN(C46,5),0)+1)</f>
        <v/>
      </c>
      <c r="G46" s="31">
        <f>1-(1-F46)^(1/12)</f>
        <v/>
      </c>
      <c r="H46" s="32">
        <f>MAX(LapseBase-LapseStep*C46,LapseFloor)</f>
        <v/>
      </c>
      <c r="I46" s="32">
        <f>IF(HasSurrCharge,INDEX(SurrRates,MIN(C46,SurrDurMax)+1,MATCH(SurrChargeID,SurrTypes,0)),0)</f>
        <v/>
      </c>
      <c r="J46" s="33">
        <f>N45-P45-O45</f>
        <v/>
      </c>
      <c r="K46" s="30">
        <f>IF(B46=12*PolicyTerm,J46,0)</f>
        <v/>
      </c>
      <c r="L46" s="33">
        <f>J46-K46</f>
        <v/>
      </c>
      <c r="M46" s="30">
        <f>IF(B46=0,PolicyCount,0)</f>
        <v/>
      </c>
      <c r="N46" s="33">
        <f>L46+M46</f>
        <v/>
      </c>
      <c r="O46" s="31">
        <f>N46*G46</f>
        <v/>
      </c>
      <c r="P46" s="33">
        <f>(N46-O46)*(1-(1-H46)^(1/12))</f>
        <v/>
      </c>
      <c r="Q46" s="34">
        <f>X45+Z45</f>
        <v/>
      </c>
      <c r="R46" s="29">
        <f>(1-LoadPremRate)*E46</f>
        <v/>
      </c>
      <c r="S46" s="34">
        <f>Q46+R46</f>
        <v/>
      </c>
      <c r="T46" s="29">
        <f>MaintFeeRateAnn/12*S46</f>
        <v/>
      </c>
      <c r="U46" s="29">
        <f>MAX(SumAssured-S46,0)</f>
        <v/>
      </c>
      <c r="V46" s="35">
        <f>CoiMultiple*G46</f>
        <v/>
      </c>
      <c r="W46" s="34">
        <f>V46*U46</f>
        <v/>
      </c>
      <c r="X46" s="34">
        <f>S46-T46-W46</f>
        <v/>
      </c>
      <c r="Y46" s="36">
        <f>EXP((Mu-0.5*Sigma^2)/12+Sigma*SQRT(1/12)*INDEX(NormRand,ScenID,A46+1))-1</f>
        <v/>
      </c>
      <c r="Z46" s="34">
        <f>Y46*X46</f>
        <v/>
      </c>
      <c r="AA46" s="34">
        <f>X46+0.5*Z46</f>
        <v/>
      </c>
      <c r="AB46" s="34">
        <f>Q46*J46</f>
        <v/>
      </c>
      <c r="AC46" s="34">
        <f>Q46*L46</f>
        <v/>
      </c>
      <c r="AD46" s="34">
        <f>S46*N46</f>
        <v/>
      </c>
      <c r="AE46" s="34">
        <f>E46*N46</f>
        <v/>
      </c>
      <c r="AF46" s="34">
        <f>R46*N46</f>
        <v/>
      </c>
      <c r="AG46" s="29">
        <f>MAX(SumAssured,AA46)</f>
        <v/>
      </c>
      <c r="AH46" s="34">
        <f>AG46*O46</f>
        <v/>
      </c>
      <c r="AI46" s="34">
        <f>AA46*O46</f>
        <v/>
      </c>
      <c r="AJ46" s="34">
        <f>AA46*P46</f>
        <v/>
      </c>
      <c r="AK46" s="34">
        <f>I46*AA46*P46</f>
        <v/>
      </c>
      <c r="AL46" s="34">
        <f>AJ46-AK46</f>
        <v/>
      </c>
      <c r="AM46" s="34">
        <f>Q46*K46</f>
        <v/>
      </c>
      <c r="AN46" s="34">
        <f>AH46+AL46+AM46</f>
        <v/>
      </c>
      <c r="AO46" s="34">
        <f>(AG46-AA46)*O46</f>
        <v/>
      </c>
      <c r="AP46" s="34">
        <f>W46*N46</f>
        <v/>
      </c>
      <c r="AQ46" s="34">
        <f>T46*N46</f>
        <v/>
      </c>
      <c r="AR46" s="34">
        <f>Z46*J47+0.5*Z46*(O46+P46)</f>
        <v/>
      </c>
      <c r="AS46" s="30">
        <f>(1+InflationRate)^(A46/12)</f>
        <v/>
      </c>
      <c r="AT46" s="29">
        <f>ExpenseAcq*M46+N46*ExpenseMaint/12*AS46</f>
        <v/>
      </c>
      <c r="AU46" s="29">
        <f>CommissionRate*AE46</f>
        <v/>
      </c>
      <c r="AV46" s="34">
        <f>AB47-AB46</f>
        <v/>
      </c>
      <c r="AW46" s="34">
        <f>AE46+AR46-AN46-AT46-AU46-AV46</f>
        <v/>
      </c>
      <c r="AX46" s="29">
        <f>LoadPremRate*E46*N46+AK46+AQ46-AU46-AT46</f>
        <v/>
      </c>
      <c r="AY46" s="34">
        <f>AP46-AO46</f>
        <v/>
      </c>
      <c r="AZ46" s="37">
        <f>(AW46-AX46-AY46)/MAX(1,ABS(AW46),ABS(AX46),ABS(AY46))</f>
        <v/>
      </c>
      <c r="BA46" s="37">
        <f>IF(OR(K46&gt;0,K47&gt;0),0,(AC47-(AC46+AF46-AQ46-AP46+AR46-AI46-AJ46-AM46))/MAX(1,ABS(AC46),ABS(AC47)))</f>
        <v/>
      </c>
      <c r="BB46" s="35">
        <f>(1+INDEX(DiscRateAnn,INT(A46/12)+1))^(1/12)-1</f>
        <v/>
      </c>
      <c r="BC46" s="31">
        <f>(1+BB46)^-A46</f>
        <v/>
      </c>
      <c r="BD46" s="34">
        <f>AW46*BC46</f>
        <v/>
      </c>
    </row>
    <row r="47">
      <c r="A47" s="27">
        <f>A46+1</f>
        <v/>
      </c>
      <c r="B47" s="28">
        <f>Duration0+A47</f>
        <v/>
      </c>
      <c r="C47" s="27">
        <f>INT(B47/12)</f>
        <v/>
      </c>
      <c r="D47" s="28">
        <f>AgeAtEntry+C47</f>
        <v/>
      </c>
      <c r="E47" s="29">
        <f>IF(PremiumType="SINGLE",IF(B47=0,PremiumPPInput,0),IF(B47&lt;12*PolicyTerm,PremiumPPInput,0))</f>
        <v/>
      </c>
      <c r="F47" s="30">
        <f>INDEX(MortRates,MATCH(MIN(D47,120),MortAges,0),MAX(MIN(C47,5),0)+1)</f>
        <v/>
      </c>
      <c r="G47" s="31">
        <f>1-(1-F47)^(1/12)</f>
        <v/>
      </c>
      <c r="H47" s="32">
        <f>MAX(LapseBase-LapseStep*C47,LapseFloor)</f>
        <v/>
      </c>
      <c r="I47" s="32">
        <f>IF(HasSurrCharge,INDEX(SurrRates,MIN(C47,SurrDurMax)+1,MATCH(SurrChargeID,SurrTypes,0)),0)</f>
        <v/>
      </c>
      <c r="J47" s="33">
        <f>N46-P46-O46</f>
        <v/>
      </c>
      <c r="K47" s="30">
        <f>IF(B47=12*PolicyTerm,J47,0)</f>
        <v/>
      </c>
      <c r="L47" s="33">
        <f>J47-K47</f>
        <v/>
      </c>
      <c r="M47" s="30">
        <f>IF(B47=0,PolicyCount,0)</f>
        <v/>
      </c>
      <c r="N47" s="33">
        <f>L47+M47</f>
        <v/>
      </c>
      <c r="O47" s="31">
        <f>N47*G47</f>
        <v/>
      </c>
      <c r="P47" s="33">
        <f>(N47-O47)*(1-(1-H47)^(1/12))</f>
        <v/>
      </c>
      <c r="Q47" s="34">
        <f>X46+Z46</f>
        <v/>
      </c>
      <c r="R47" s="29">
        <f>(1-LoadPremRate)*E47</f>
        <v/>
      </c>
      <c r="S47" s="34">
        <f>Q47+R47</f>
        <v/>
      </c>
      <c r="T47" s="29">
        <f>MaintFeeRateAnn/12*S47</f>
        <v/>
      </c>
      <c r="U47" s="29">
        <f>MAX(SumAssured-S47,0)</f>
        <v/>
      </c>
      <c r="V47" s="35">
        <f>CoiMultiple*G47</f>
        <v/>
      </c>
      <c r="W47" s="34">
        <f>V47*U47</f>
        <v/>
      </c>
      <c r="X47" s="34">
        <f>S47-T47-W47</f>
        <v/>
      </c>
      <c r="Y47" s="36">
        <f>EXP((Mu-0.5*Sigma^2)/12+Sigma*SQRT(1/12)*INDEX(NormRand,ScenID,A47+1))-1</f>
        <v/>
      </c>
      <c r="Z47" s="34">
        <f>Y47*X47</f>
        <v/>
      </c>
      <c r="AA47" s="34">
        <f>X47+0.5*Z47</f>
        <v/>
      </c>
      <c r="AB47" s="34">
        <f>Q47*J47</f>
        <v/>
      </c>
      <c r="AC47" s="34">
        <f>Q47*L47</f>
        <v/>
      </c>
      <c r="AD47" s="34">
        <f>S47*N47</f>
        <v/>
      </c>
      <c r="AE47" s="34">
        <f>E47*N47</f>
        <v/>
      </c>
      <c r="AF47" s="34">
        <f>R47*N47</f>
        <v/>
      </c>
      <c r="AG47" s="29">
        <f>MAX(SumAssured,AA47)</f>
        <v/>
      </c>
      <c r="AH47" s="34">
        <f>AG47*O47</f>
        <v/>
      </c>
      <c r="AI47" s="34">
        <f>AA47*O47</f>
        <v/>
      </c>
      <c r="AJ47" s="34">
        <f>AA47*P47</f>
        <v/>
      </c>
      <c r="AK47" s="34">
        <f>I47*AA47*P47</f>
        <v/>
      </c>
      <c r="AL47" s="34">
        <f>AJ47-AK47</f>
        <v/>
      </c>
      <c r="AM47" s="34">
        <f>Q47*K47</f>
        <v/>
      </c>
      <c r="AN47" s="34">
        <f>AH47+AL47+AM47</f>
        <v/>
      </c>
      <c r="AO47" s="34">
        <f>(AG47-AA47)*O47</f>
        <v/>
      </c>
      <c r="AP47" s="34">
        <f>W47*N47</f>
        <v/>
      </c>
      <c r="AQ47" s="34">
        <f>T47*N47</f>
        <v/>
      </c>
      <c r="AR47" s="34">
        <f>Z47*J48+0.5*Z47*(O47+P47)</f>
        <v/>
      </c>
      <c r="AS47" s="30">
        <f>(1+InflationRate)^(A47/12)</f>
        <v/>
      </c>
      <c r="AT47" s="29">
        <f>ExpenseAcq*M47+N47*ExpenseMaint/12*AS47</f>
        <v/>
      </c>
      <c r="AU47" s="29">
        <f>CommissionRate*AE47</f>
        <v/>
      </c>
      <c r="AV47" s="34">
        <f>AB48-AB47</f>
        <v/>
      </c>
      <c r="AW47" s="34">
        <f>AE47+AR47-AN47-AT47-AU47-AV47</f>
        <v/>
      </c>
      <c r="AX47" s="29">
        <f>LoadPremRate*E47*N47+AK47+AQ47-AU47-AT47</f>
        <v/>
      </c>
      <c r="AY47" s="34">
        <f>AP47-AO47</f>
        <v/>
      </c>
      <c r="AZ47" s="37">
        <f>(AW47-AX47-AY47)/MAX(1,ABS(AW47),ABS(AX47),ABS(AY47))</f>
        <v/>
      </c>
      <c r="BA47" s="37">
        <f>IF(OR(K47&gt;0,K48&gt;0),0,(AC48-(AC47+AF47-AQ47-AP47+AR47-AI47-AJ47-AM47))/MAX(1,ABS(AC47),ABS(AC48)))</f>
        <v/>
      </c>
      <c r="BB47" s="35">
        <f>(1+INDEX(DiscRateAnn,INT(A47/12)+1))^(1/12)-1</f>
        <v/>
      </c>
      <c r="BC47" s="31">
        <f>(1+BB47)^-A47</f>
        <v/>
      </c>
      <c r="BD47" s="34">
        <f>AW47*BC47</f>
        <v/>
      </c>
    </row>
    <row r="48">
      <c r="A48" s="27">
        <f>A47+1</f>
        <v/>
      </c>
      <c r="B48" s="28">
        <f>Duration0+A48</f>
        <v/>
      </c>
      <c r="C48" s="27">
        <f>INT(B48/12)</f>
        <v/>
      </c>
      <c r="D48" s="28">
        <f>AgeAtEntry+C48</f>
        <v/>
      </c>
      <c r="E48" s="29">
        <f>IF(PremiumType="SINGLE",IF(B48=0,PremiumPPInput,0),IF(B48&lt;12*PolicyTerm,PremiumPPInput,0))</f>
        <v/>
      </c>
      <c r="F48" s="30">
        <f>INDEX(MortRates,MATCH(MIN(D48,120),MortAges,0),MAX(MIN(C48,5),0)+1)</f>
        <v/>
      </c>
      <c r="G48" s="31">
        <f>1-(1-F48)^(1/12)</f>
        <v/>
      </c>
      <c r="H48" s="32">
        <f>MAX(LapseBase-LapseStep*C48,LapseFloor)</f>
        <v/>
      </c>
      <c r="I48" s="32">
        <f>IF(HasSurrCharge,INDEX(SurrRates,MIN(C48,SurrDurMax)+1,MATCH(SurrChargeID,SurrTypes,0)),0)</f>
        <v/>
      </c>
      <c r="J48" s="33">
        <f>N47-P47-O47</f>
        <v/>
      </c>
      <c r="K48" s="30">
        <f>IF(B48=12*PolicyTerm,J48,0)</f>
        <v/>
      </c>
      <c r="L48" s="33">
        <f>J48-K48</f>
        <v/>
      </c>
      <c r="M48" s="30">
        <f>IF(B48=0,PolicyCount,0)</f>
        <v/>
      </c>
      <c r="N48" s="33">
        <f>L48+M48</f>
        <v/>
      </c>
      <c r="O48" s="31">
        <f>N48*G48</f>
        <v/>
      </c>
      <c r="P48" s="33">
        <f>(N48-O48)*(1-(1-H48)^(1/12))</f>
        <v/>
      </c>
      <c r="Q48" s="34">
        <f>X47+Z47</f>
        <v/>
      </c>
      <c r="R48" s="29">
        <f>(1-LoadPremRate)*E48</f>
        <v/>
      </c>
      <c r="S48" s="34">
        <f>Q48+R48</f>
        <v/>
      </c>
      <c r="T48" s="29">
        <f>MaintFeeRateAnn/12*S48</f>
        <v/>
      </c>
      <c r="U48" s="29">
        <f>MAX(SumAssured-S48,0)</f>
        <v/>
      </c>
      <c r="V48" s="35">
        <f>CoiMultiple*G48</f>
        <v/>
      </c>
      <c r="W48" s="34">
        <f>V48*U48</f>
        <v/>
      </c>
      <c r="X48" s="34">
        <f>S48-T48-W48</f>
        <v/>
      </c>
      <c r="Y48" s="36">
        <f>EXP((Mu-0.5*Sigma^2)/12+Sigma*SQRT(1/12)*INDEX(NormRand,ScenID,A48+1))-1</f>
        <v/>
      </c>
      <c r="Z48" s="34">
        <f>Y48*X48</f>
        <v/>
      </c>
      <c r="AA48" s="34">
        <f>X48+0.5*Z48</f>
        <v/>
      </c>
      <c r="AB48" s="34">
        <f>Q48*J48</f>
        <v/>
      </c>
      <c r="AC48" s="34">
        <f>Q48*L48</f>
        <v/>
      </c>
      <c r="AD48" s="34">
        <f>S48*N48</f>
        <v/>
      </c>
      <c r="AE48" s="34">
        <f>E48*N48</f>
        <v/>
      </c>
      <c r="AF48" s="34">
        <f>R48*N48</f>
        <v/>
      </c>
      <c r="AG48" s="29">
        <f>MAX(SumAssured,AA48)</f>
        <v/>
      </c>
      <c r="AH48" s="34">
        <f>AG48*O48</f>
        <v/>
      </c>
      <c r="AI48" s="34">
        <f>AA48*O48</f>
        <v/>
      </c>
      <c r="AJ48" s="34">
        <f>AA48*P48</f>
        <v/>
      </c>
      <c r="AK48" s="34">
        <f>I48*AA48*P48</f>
        <v/>
      </c>
      <c r="AL48" s="34">
        <f>AJ48-AK48</f>
        <v/>
      </c>
      <c r="AM48" s="34">
        <f>Q48*K48</f>
        <v/>
      </c>
      <c r="AN48" s="34">
        <f>AH48+AL48+AM48</f>
        <v/>
      </c>
      <c r="AO48" s="34">
        <f>(AG48-AA48)*O48</f>
        <v/>
      </c>
      <c r="AP48" s="34">
        <f>W48*N48</f>
        <v/>
      </c>
      <c r="AQ48" s="34">
        <f>T48*N48</f>
        <v/>
      </c>
      <c r="AR48" s="34">
        <f>Z48*J49+0.5*Z48*(O48+P48)</f>
        <v/>
      </c>
      <c r="AS48" s="30">
        <f>(1+InflationRate)^(A48/12)</f>
        <v/>
      </c>
      <c r="AT48" s="29">
        <f>ExpenseAcq*M48+N48*ExpenseMaint/12*AS48</f>
        <v/>
      </c>
      <c r="AU48" s="29">
        <f>CommissionRate*AE48</f>
        <v/>
      </c>
      <c r="AV48" s="34">
        <f>AB49-AB48</f>
        <v/>
      </c>
      <c r="AW48" s="34">
        <f>AE48+AR48-AN48-AT48-AU48-AV48</f>
        <v/>
      </c>
      <c r="AX48" s="29">
        <f>LoadPremRate*E48*N48+AK48+AQ48-AU48-AT48</f>
        <v/>
      </c>
      <c r="AY48" s="34">
        <f>AP48-AO48</f>
        <v/>
      </c>
      <c r="AZ48" s="37">
        <f>(AW48-AX48-AY48)/MAX(1,ABS(AW48),ABS(AX48),ABS(AY48))</f>
        <v/>
      </c>
      <c r="BA48" s="37">
        <f>IF(OR(K48&gt;0,K49&gt;0),0,(AC49-(AC48+AF48-AQ48-AP48+AR48-AI48-AJ48-AM48))/MAX(1,ABS(AC48),ABS(AC49)))</f>
        <v/>
      </c>
      <c r="BB48" s="35">
        <f>(1+INDEX(DiscRateAnn,INT(A48/12)+1))^(1/12)-1</f>
        <v/>
      </c>
      <c r="BC48" s="31">
        <f>(1+BB48)^-A48</f>
        <v/>
      </c>
      <c r="BD48" s="34">
        <f>AW48*BC48</f>
        <v/>
      </c>
    </row>
    <row r="49">
      <c r="A49" s="27">
        <f>A48+1</f>
        <v/>
      </c>
      <c r="B49" s="28">
        <f>Duration0+A49</f>
        <v/>
      </c>
      <c r="C49" s="27">
        <f>INT(B49/12)</f>
        <v/>
      </c>
      <c r="D49" s="28">
        <f>AgeAtEntry+C49</f>
        <v/>
      </c>
      <c r="E49" s="29">
        <f>IF(PremiumType="SINGLE",IF(B49=0,PremiumPPInput,0),IF(B49&lt;12*PolicyTerm,PremiumPPInput,0))</f>
        <v/>
      </c>
      <c r="F49" s="30">
        <f>INDEX(MortRates,MATCH(MIN(D49,120),MortAges,0),MAX(MIN(C49,5),0)+1)</f>
        <v/>
      </c>
      <c r="G49" s="31">
        <f>1-(1-F49)^(1/12)</f>
        <v/>
      </c>
      <c r="H49" s="32">
        <f>MAX(LapseBase-LapseStep*C49,LapseFloor)</f>
        <v/>
      </c>
      <c r="I49" s="32">
        <f>IF(HasSurrCharge,INDEX(SurrRates,MIN(C49,SurrDurMax)+1,MATCH(SurrChargeID,SurrTypes,0)),0)</f>
        <v/>
      </c>
      <c r="J49" s="33">
        <f>N48-P48-O48</f>
        <v/>
      </c>
      <c r="K49" s="30">
        <f>IF(B49=12*PolicyTerm,J49,0)</f>
        <v/>
      </c>
      <c r="L49" s="33">
        <f>J49-K49</f>
        <v/>
      </c>
      <c r="M49" s="30">
        <f>IF(B49=0,PolicyCount,0)</f>
        <v/>
      </c>
      <c r="N49" s="33">
        <f>L49+M49</f>
        <v/>
      </c>
      <c r="O49" s="31">
        <f>N49*G49</f>
        <v/>
      </c>
      <c r="P49" s="33">
        <f>(N49-O49)*(1-(1-H49)^(1/12))</f>
        <v/>
      </c>
      <c r="Q49" s="34">
        <f>X48+Z48</f>
        <v/>
      </c>
      <c r="R49" s="29">
        <f>(1-LoadPremRate)*E49</f>
        <v/>
      </c>
      <c r="S49" s="34">
        <f>Q49+R49</f>
        <v/>
      </c>
      <c r="T49" s="29">
        <f>MaintFeeRateAnn/12*S49</f>
        <v/>
      </c>
      <c r="U49" s="29">
        <f>MAX(SumAssured-S49,0)</f>
        <v/>
      </c>
      <c r="V49" s="35">
        <f>CoiMultiple*G49</f>
        <v/>
      </c>
      <c r="W49" s="34">
        <f>V49*U49</f>
        <v/>
      </c>
      <c r="X49" s="34">
        <f>S49-T49-W49</f>
        <v/>
      </c>
      <c r="Y49" s="36">
        <f>EXP((Mu-0.5*Sigma^2)/12+Sigma*SQRT(1/12)*INDEX(NormRand,ScenID,A49+1))-1</f>
        <v/>
      </c>
      <c r="Z49" s="34">
        <f>Y49*X49</f>
        <v/>
      </c>
      <c r="AA49" s="34">
        <f>X49+0.5*Z49</f>
        <v/>
      </c>
      <c r="AB49" s="34">
        <f>Q49*J49</f>
        <v/>
      </c>
      <c r="AC49" s="34">
        <f>Q49*L49</f>
        <v/>
      </c>
      <c r="AD49" s="34">
        <f>S49*N49</f>
        <v/>
      </c>
      <c r="AE49" s="34">
        <f>E49*N49</f>
        <v/>
      </c>
      <c r="AF49" s="34">
        <f>R49*N49</f>
        <v/>
      </c>
      <c r="AG49" s="29">
        <f>MAX(SumAssured,AA49)</f>
        <v/>
      </c>
      <c r="AH49" s="34">
        <f>AG49*O49</f>
        <v/>
      </c>
      <c r="AI49" s="34">
        <f>AA49*O49</f>
        <v/>
      </c>
      <c r="AJ49" s="34">
        <f>AA49*P49</f>
        <v/>
      </c>
      <c r="AK49" s="34">
        <f>I49*AA49*P49</f>
        <v/>
      </c>
      <c r="AL49" s="34">
        <f>AJ49-AK49</f>
        <v/>
      </c>
      <c r="AM49" s="34">
        <f>Q49*K49</f>
        <v/>
      </c>
      <c r="AN49" s="34">
        <f>AH49+AL49+AM49</f>
        <v/>
      </c>
      <c r="AO49" s="34">
        <f>(AG49-AA49)*O49</f>
        <v/>
      </c>
      <c r="AP49" s="34">
        <f>W49*N49</f>
        <v/>
      </c>
      <c r="AQ49" s="34">
        <f>T49*N49</f>
        <v/>
      </c>
      <c r="AR49" s="34">
        <f>Z49*J50+0.5*Z49*(O49+P49)</f>
        <v/>
      </c>
      <c r="AS49" s="30">
        <f>(1+InflationRate)^(A49/12)</f>
        <v/>
      </c>
      <c r="AT49" s="29">
        <f>ExpenseAcq*M49+N49*ExpenseMaint/12*AS49</f>
        <v/>
      </c>
      <c r="AU49" s="29">
        <f>CommissionRate*AE49</f>
        <v/>
      </c>
      <c r="AV49" s="34">
        <f>AB50-AB49</f>
        <v/>
      </c>
      <c r="AW49" s="34">
        <f>AE49+AR49-AN49-AT49-AU49-AV49</f>
        <v/>
      </c>
      <c r="AX49" s="29">
        <f>LoadPremRate*E49*N49+AK49+AQ49-AU49-AT49</f>
        <v/>
      </c>
      <c r="AY49" s="34">
        <f>AP49-AO49</f>
        <v/>
      </c>
      <c r="AZ49" s="37">
        <f>(AW49-AX49-AY49)/MAX(1,ABS(AW49),ABS(AX49),ABS(AY49))</f>
        <v/>
      </c>
      <c r="BA49" s="37">
        <f>IF(OR(K49&gt;0,K50&gt;0),0,(AC50-(AC49+AF49-AQ49-AP49+AR49-AI49-AJ49-AM49))/MAX(1,ABS(AC49),ABS(AC50)))</f>
        <v/>
      </c>
      <c r="BB49" s="35">
        <f>(1+INDEX(DiscRateAnn,INT(A49/12)+1))^(1/12)-1</f>
        <v/>
      </c>
      <c r="BC49" s="31">
        <f>(1+BB49)^-A49</f>
        <v/>
      </c>
      <c r="BD49" s="34">
        <f>AW49*BC49</f>
        <v/>
      </c>
    </row>
    <row r="50">
      <c r="A50" s="27">
        <f>A49+1</f>
        <v/>
      </c>
      <c r="B50" s="28">
        <f>Duration0+A50</f>
        <v/>
      </c>
      <c r="C50" s="27">
        <f>INT(B50/12)</f>
        <v/>
      </c>
      <c r="D50" s="28">
        <f>AgeAtEntry+C50</f>
        <v/>
      </c>
      <c r="E50" s="29">
        <f>IF(PremiumType="SINGLE",IF(B50=0,PremiumPPInput,0),IF(B50&lt;12*PolicyTerm,PremiumPPInput,0))</f>
        <v/>
      </c>
      <c r="F50" s="30">
        <f>INDEX(MortRates,MATCH(MIN(D50,120),MortAges,0),MAX(MIN(C50,5),0)+1)</f>
        <v/>
      </c>
      <c r="G50" s="31">
        <f>1-(1-F50)^(1/12)</f>
        <v/>
      </c>
      <c r="H50" s="32">
        <f>MAX(LapseBase-LapseStep*C50,LapseFloor)</f>
        <v/>
      </c>
      <c r="I50" s="32">
        <f>IF(HasSurrCharge,INDEX(SurrRates,MIN(C50,SurrDurMax)+1,MATCH(SurrChargeID,SurrTypes,0)),0)</f>
        <v/>
      </c>
      <c r="J50" s="33">
        <f>N49-P49-O49</f>
        <v/>
      </c>
      <c r="K50" s="30">
        <f>IF(B50=12*PolicyTerm,J50,0)</f>
        <v/>
      </c>
      <c r="L50" s="33">
        <f>J50-K50</f>
        <v/>
      </c>
      <c r="M50" s="30">
        <f>IF(B50=0,PolicyCount,0)</f>
        <v/>
      </c>
      <c r="N50" s="33">
        <f>L50+M50</f>
        <v/>
      </c>
      <c r="O50" s="31">
        <f>N50*G50</f>
        <v/>
      </c>
      <c r="P50" s="33">
        <f>(N50-O50)*(1-(1-H50)^(1/12))</f>
        <v/>
      </c>
      <c r="Q50" s="34">
        <f>X49+Z49</f>
        <v/>
      </c>
      <c r="R50" s="29">
        <f>(1-LoadPremRate)*E50</f>
        <v/>
      </c>
      <c r="S50" s="34">
        <f>Q50+R50</f>
        <v/>
      </c>
      <c r="T50" s="29">
        <f>MaintFeeRateAnn/12*S50</f>
        <v/>
      </c>
      <c r="U50" s="29">
        <f>MAX(SumAssured-S50,0)</f>
        <v/>
      </c>
      <c r="V50" s="35">
        <f>CoiMultiple*G50</f>
        <v/>
      </c>
      <c r="W50" s="34">
        <f>V50*U50</f>
        <v/>
      </c>
      <c r="X50" s="34">
        <f>S50-T50-W50</f>
        <v/>
      </c>
      <c r="Y50" s="36">
        <f>EXP((Mu-0.5*Sigma^2)/12+Sigma*SQRT(1/12)*INDEX(NormRand,ScenID,A50+1))-1</f>
        <v/>
      </c>
      <c r="Z50" s="34">
        <f>Y50*X50</f>
        <v/>
      </c>
      <c r="AA50" s="34">
        <f>X50+0.5*Z50</f>
        <v/>
      </c>
      <c r="AB50" s="34">
        <f>Q50*J50</f>
        <v/>
      </c>
      <c r="AC50" s="34">
        <f>Q50*L50</f>
        <v/>
      </c>
      <c r="AD50" s="34">
        <f>S50*N50</f>
        <v/>
      </c>
      <c r="AE50" s="34">
        <f>E50*N50</f>
        <v/>
      </c>
      <c r="AF50" s="34">
        <f>R50*N50</f>
        <v/>
      </c>
      <c r="AG50" s="29">
        <f>MAX(SumAssured,AA50)</f>
        <v/>
      </c>
      <c r="AH50" s="34">
        <f>AG50*O50</f>
        <v/>
      </c>
      <c r="AI50" s="34">
        <f>AA50*O50</f>
        <v/>
      </c>
      <c r="AJ50" s="34">
        <f>AA50*P50</f>
        <v/>
      </c>
      <c r="AK50" s="34">
        <f>I50*AA50*P50</f>
        <v/>
      </c>
      <c r="AL50" s="34">
        <f>AJ50-AK50</f>
        <v/>
      </c>
      <c r="AM50" s="34">
        <f>Q50*K50</f>
        <v/>
      </c>
      <c r="AN50" s="34">
        <f>AH50+AL50+AM50</f>
        <v/>
      </c>
      <c r="AO50" s="34">
        <f>(AG50-AA50)*O50</f>
        <v/>
      </c>
      <c r="AP50" s="34">
        <f>W50*N50</f>
        <v/>
      </c>
      <c r="AQ50" s="34">
        <f>T50*N50</f>
        <v/>
      </c>
      <c r="AR50" s="34">
        <f>Z50*J51+0.5*Z50*(O50+P50)</f>
        <v/>
      </c>
      <c r="AS50" s="30">
        <f>(1+InflationRate)^(A50/12)</f>
        <v/>
      </c>
      <c r="AT50" s="29">
        <f>ExpenseAcq*M50+N50*ExpenseMaint/12*AS50</f>
        <v/>
      </c>
      <c r="AU50" s="29">
        <f>CommissionRate*AE50</f>
        <v/>
      </c>
      <c r="AV50" s="34">
        <f>AB51-AB50</f>
        <v/>
      </c>
      <c r="AW50" s="34">
        <f>AE50+AR50-AN50-AT50-AU50-AV50</f>
        <v/>
      </c>
      <c r="AX50" s="29">
        <f>LoadPremRate*E50*N50+AK50+AQ50-AU50-AT50</f>
        <v/>
      </c>
      <c r="AY50" s="34">
        <f>AP50-AO50</f>
        <v/>
      </c>
      <c r="AZ50" s="37">
        <f>(AW50-AX50-AY50)/MAX(1,ABS(AW50),ABS(AX50),ABS(AY50))</f>
        <v/>
      </c>
      <c r="BA50" s="37">
        <f>IF(OR(K50&gt;0,K51&gt;0),0,(AC51-(AC50+AF50-AQ50-AP50+AR50-AI50-AJ50-AM50))/MAX(1,ABS(AC50),ABS(AC51)))</f>
        <v/>
      </c>
      <c r="BB50" s="35">
        <f>(1+INDEX(DiscRateAnn,INT(A50/12)+1))^(1/12)-1</f>
        <v/>
      </c>
      <c r="BC50" s="31">
        <f>(1+BB50)^-A50</f>
        <v/>
      </c>
      <c r="BD50" s="34">
        <f>AW50*BC50</f>
        <v/>
      </c>
    </row>
    <row r="51">
      <c r="A51" s="27">
        <f>A50+1</f>
        <v/>
      </c>
      <c r="B51" s="28">
        <f>Duration0+A51</f>
        <v/>
      </c>
      <c r="C51" s="27">
        <f>INT(B51/12)</f>
        <v/>
      </c>
      <c r="D51" s="28">
        <f>AgeAtEntry+C51</f>
        <v/>
      </c>
      <c r="E51" s="29">
        <f>IF(PremiumType="SINGLE",IF(B51=0,PremiumPPInput,0),IF(B51&lt;12*PolicyTerm,PremiumPPInput,0))</f>
        <v/>
      </c>
      <c r="F51" s="30">
        <f>INDEX(MortRates,MATCH(MIN(D51,120),MortAges,0),MAX(MIN(C51,5),0)+1)</f>
        <v/>
      </c>
      <c r="G51" s="31">
        <f>1-(1-F51)^(1/12)</f>
        <v/>
      </c>
      <c r="H51" s="32">
        <f>MAX(LapseBase-LapseStep*C51,LapseFloor)</f>
        <v/>
      </c>
      <c r="I51" s="32">
        <f>IF(HasSurrCharge,INDEX(SurrRates,MIN(C51,SurrDurMax)+1,MATCH(SurrChargeID,SurrTypes,0)),0)</f>
        <v/>
      </c>
      <c r="J51" s="33">
        <f>N50-P50-O50</f>
        <v/>
      </c>
      <c r="K51" s="30">
        <f>IF(B51=12*PolicyTerm,J51,0)</f>
        <v/>
      </c>
      <c r="L51" s="33">
        <f>J51-K51</f>
        <v/>
      </c>
      <c r="M51" s="30">
        <f>IF(B51=0,PolicyCount,0)</f>
        <v/>
      </c>
      <c r="N51" s="33">
        <f>L51+M51</f>
        <v/>
      </c>
      <c r="O51" s="31">
        <f>N51*G51</f>
        <v/>
      </c>
      <c r="P51" s="33">
        <f>(N51-O51)*(1-(1-H51)^(1/12))</f>
        <v/>
      </c>
      <c r="Q51" s="34">
        <f>X50+Z50</f>
        <v/>
      </c>
      <c r="R51" s="29">
        <f>(1-LoadPremRate)*E51</f>
        <v/>
      </c>
      <c r="S51" s="34">
        <f>Q51+R51</f>
        <v/>
      </c>
      <c r="T51" s="29">
        <f>MaintFeeRateAnn/12*S51</f>
        <v/>
      </c>
      <c r="U51" s="29">
        <f>MAX(SumAssured-S51,0)</f>
        <v/>
      </c>
      <c r="V51" s="35">
        <f>CoiMultiple*G51</f>
        <v/>
      </c>
      <c r="W51" s="34">
        <f>V51*U51</f>
        <v/>
      </c>
      <c r="X51" s="34">
        <f>S51-T51-W51</f>
        <v/>
      </c>
      <c r="Y51" s="36">
        <f>EXP((Mu-0.5*Sigma^2)/12+Sigma*SQRT(1/12)*INDEX(NormRand,ScenID,A51+1))-1</f>
        <v/>
      </c>
      <c r="Z51" s="34">
        <f>Y51*X51</f>
        <v/>
      </c>
      <c r="AA51" s="34">
        <f>X51+0.5*Z51</f>
        <v/>
      </c>
      <c r="AB51" s="34">
        <f>Q51*J51</f>
        <v/>
      </c>
      <c r="AC51" s="34">
        <f>Q51*L51</f>
        <v/>
      </c>
      <c r="AD51" s="34">
        <f>S51*N51</f>
        <v/>
      </c>
      <c r="AE51" s="34">
        <f>E51*N51</f>
        <v/>
      </c>
      <c r="AF51" s="34">
        <f>R51*N51</f>
        <v/>
      </c>
      <c r="AG51" s="29">
        <f>MAX(SumAssured,AA51)</f>
        <v/>
      </c>
      <c r="AH51" s="34">
        <f>AG51*O51</f>
        <v/>
      </c>
      <c r="AI51" s="34">
        <f>AA51*O51</f>
        <v/>
      </c>
      <c r="AJ51" s="34">
        <f>AA51*P51</f>
        <v/>
      </c>
      <c r="AK51" s="34">
        <f>I51*AA51*P51</f>
        <v/>
      </c>
      <c r="AL51" s="34">
        <f>AJ51-AK51</f>
        <v/>
      </c>
      <c r="AM51" s="34">
        <f>Q51*K51</f>
        <v/>
      </c>
      <c r="AN51" s="34">
        <f>AH51+AL51+AM51</f>
        <v/>
      </c>
      <c r="AO51" s="34">
        <f>(AG51-AA51)*O51</f>
        <v/>
      </c>
      <c r="AP51" s="34">
        <f>W51*N51</f>
        <v/>
      </c>
      <c r="AQ51" s="34">
        <f>T51*N51</f>
        <v/>
      </c>
      <c r="AR51" s="34">
        <f>Z51*J52+0.5*Z51*(O51+P51)</f>
        <v/>
      </c>
      <c r="AS51" s="30">
        <f>(1+InflationRate)^(A51/12)</f>
        <v/>
      </c>
      <c r="AT51" s="29">
        <f>ExpenseAcq*M51+N51*ExpenseMaint/12*AS51</f>
        <v/>
      </c>
      <c r="AU51" s="29">
        <f>CommissionRate*AE51</f>
        <v/>
      </c>
      <c r="AV51" s="34">
        <f>AB52-AB51</f>
        <v/>
      </c>
      <c r="AW51" s="34">
        <f>AE51+AR51-AN51-AT51-AU51-AV51</f>
        <v/>
      </c>
      <c r="AX51" s="29">
        <f>LoadPremRate*E51*N51+AK51+AQ51-AU51-AT51</f>
        <v/>
      </c>
      <c r="AY51" s="34">
        <f>AP51-AO51</f>
        <v/>
      </c>
      <c r="AZ51" s="37">
        <f>(AW51-AX51-AY51)/MAX(1,ABS(AW51),ABS(AX51),ABS(AY51))</f>
        <v/>
      </c>
      <c r="BA51" s="37">
        <f>IF(OR(K51&gt;0,K52&gt;0),0,(AC52-(AC51+AF51-AQ51-AP51+AR51-AI51-AJ51-AM51))/MAX(1,ABS(AC51),ABS(AC52)))</f>
        <v/>
      </c>
      <c r="BB51" s="35">
        <f>(1+INDEX(DiscRateAnn,INT(A51/12)+1))^(1/12)-1</f>
        <v/>
      </c>
      <c r="BC51" s="31">
        <f>(1+BB51)^-A51</f>
        <v/>
      </c>
      <c r="BD51" s="34">
        <f>AW51*BC51</f>
        <v/>
      </c>
    </row>
    <row r="52">
      <c r="A52" s="27">
        <f>A51+1</f>
        <v/>
      </c>
      <c r="B52" s="28">
        <f>Duration0+A52</f>
        <v/>
      </c>
      <c r="C52" s="27">
        <f>INT(B52/12)</f>
        <v/>
      </c>
      <c r="D52" s="28">
        <f>AgeAtEntry+C52</f>
        <v/>
      </c>
      <c r="E52" s="29">
        <f>IF(PremiumType="SINGLE",IF(B52=0,PremiumPPInput,0),IF(B52&lt;12*PolicyTerm,PremiumPPInput,0))</f>
        <v/>
      </c>
      <c r="F52" s="30">
        <f>INDEX(MortRates,MATCH(MIN(D52,120),MortAges,0),MAX(MIN(C52,5),0)+1)</f>
        <v/>
      </c>
      <c r="G52" s="31">
        <f>1-(1-F52)^(1/12)</f>
        <v/>
      </c>
      <c r="H52" s="32">
        <f>MAX(LapseBase-LapseStep*C52,LapseFloor)</f>
        <v/>
      </c>
      <c r="I52" s="32">
        <f>IF(HasSurrCharge,INDEX(SurrRates,MIN(C52,SurrDurMax)+1,MATCH(SurrChargeID,SurrTypes,0)),0)</f>
        <v/>
      </c>
      <c r="J52" s="33">
        <f>N51-P51-O51</f>
        <v/>
      </c>
      <c r="K52" s="30">
        <f>IF(B52=12*PolicyTerm,J52,0)</f>
        <v/>
      </c>
      <c r="L52" s="33">
        <f>J52-K52</f>
        <v/>
      </c>
      <c r="M52" s="30">
        <f>IF(B52=0,PolicyCount,0)</f>
        <v/>
      </c>
      <c r="N52" s="33">
        <f>L52+M52</f>
        <v/>
      </c>
      <c r="O52" s="31">
        <f>N52*G52</f>
        <v/>
      </c>
      <c r="P52" s="33">
        <f>(N52-O52)*(1-(1-H52)^(1/12))</f>
        <v/>
      </c>
      <c r="Q52" s="34">
        <f>X51+Z51</f>
        <v/>
      </c>
      <c r="R52" s="29">
        <f>(1-LoadPremRate)*E52</f>
        <v/>
      </c>
      <c r="S52" s="34">
        <f>Q52+R52</f>
        <v/>
      </c>
      <c r="T52" s="29">
        <f>MaintFeeRateAnn/12*S52</f>
        <v/>
      </c>
      <c r="U52" s="29">
        <f>MAX(SumAssured-S52,0)</f>
        <v/>
      </c>
      <c r="V52" s="35">
        <f>CoiMultiple*G52</f>
        <v/>
      </c>
      <c r="W52" s="34">
        <f>V52*U52</f>
        <v/>
      </c>
      <c r="X52" s="34">
        <f>S52-T52-W52</f>
        <v/>
      </c>
      <c r="Y52" s="36">
        <f>EXP((Mu-0.5*Sigma^2)/12+Sigma*SQRT(1/12)*INDEX(NormRand,ScenID,A52+1))-1</f>
        <v/>
      </c>
      <c r="Z52" s="34">
        <f>Y52*X52</f>
        <v/>
      </c>
      <c r="AA52" s="34">
        <f>X52+0.5*Z52</f>
        <v/>
      </c>
      <c r="AB52" s="34">
        <f>Q52*J52</f>
        <v/>
      </c>
      <c r="AC52" s="34">
        <f>Q52*L52</f>
        <v/>
      </c>
      <c r="AD52" s="34">
        <f>S52*N52</f>
        <v/>
      </c>
      <c r="AE52" s="34">
        <f>E52*N52</f>
        <v/>
      </c>
      <c r="AF52" s="34">
        <f>R52*N52</f>
        <v/>
      </c>
      <c r="AG52" s="29">
        <f>MAX(SumAssured,AA52)</f>
        <v/>
      </c>
      <c r="AH52" s="34">
        <f>AG52*O52</f>
        <v/>
      </c>
      <c r="AI52" s="34">
        <f>AA52*O52</f>
        <v/>
      </c>
      <c r="AJ52" s="34">
        <f>AA52*P52</f>
        <v/>
      </c>
      <c r="AK52" s="34">
        <f>I52*AA52*P52</f>
        <v/>
      </c>
      <c r="AL52" s="34">
        <f>AJ52-AK52</f>
        <v/>
      </c>
      <c r="AM52" s="34">
        <f>Q52*K52</f>
        <v/>
      </c>
      <c r="AN52" s="34">
        <f>AH52+AL52+AM52</f>
        <v/>
      </c>
      <c r="AO52" s="34">
        <f>(AG52-AA52)*O52</f>
        <v/>
      </c>
      <c r="AP52" s="34">
        <f>W52*N52</f>
        <v/>
      </c>
      <c r="AQ52" s="34">
        <f>T52*N52</f>
        <v/>
      </c>
      <c r="AR52" s="34">
        <f>Z52*J53+0.5*Z52*(O52+P52)</f>
        <v/>
      </c>
      <c r="AS52" s="30">
        <f>(1+InflationRate)^(A52/12)</f>
        <v/>
      </c>
      <c r="AT52" s="29">
        <f>ExpenseAcq*M52+N52*ExpenseMaint/12*AS52</f>
        <v/>
      </c>
      <c r="AU52" s="29">
        <f>CommissionRate*AE52</f>
        <v/>
      </c>
      <c r="AV52" s="34">
        <f>AB53-AB52</f>
        <v/>
      </c>
      <c r="AW52" s="34">
        <f>AE52+AR52-AN52-AT52-AU52-AV52</f>
        <v/>
      </c>
      <c r="AX52" s="29">
        <f>LoadPremRate*E52*N52+AK52+AQ52-AU52-AT52</f>
        <v/>
      </c>
      <c r="AY52" s="34">
        <f>AP52-AO52</f>
        <v/>
      </c>
      <c r="AZ52" s="37">
        <f>(AW52-AX52-AY52)/MAX(1,ABS(AW52),ABS(AX52),ABS(AY52))</f>
        <v/>
      </c>
      <c r="BA52" s="37">
        <f>IF(OR(K52&gt;0,K53&gt;0),0,(AC53-(AC52+AF52-AQ52-AP52+AR52-AI52-AJ52-AM52))/MAX(1,ABS(AC52),ABS(AC53)))</f>
        <v/>
      </c>
      <c r="BB52" s="35">
        <f>(1+INDEX(DiscRateAnn,INT(A52/12)+1))^(1/12)-1</f>
        <v/>
      </c>
      <c r="BC52" s="31">
        <f>(1+BB52)^-A52</f>
        <v/>
      </c>
      <c r="BD52" s="34">
        <f>AW52*BC52</f>
        <v/>
      </c>
    </row>
    <row r="53">
      <c r="A53" s="27">
        <f>A52+1</f>
        <v/>
      </c>
      <c r="B53" s="28">
        <f>Duration0+A53</f>
        <v/>
      </c>
      <c r="C53" s="27">
        <f>INT(B53/12)</f>
        <v/>
      </c>
      <c r="D53" s="28">
        <f>AgeAtEntry+C53</f>
        <v/>
      </c>
      <c r="E53" s="29">
        <f>IF(PremiumType="SINGLE",IF(B53=0,PremiumPPInput,0),IF(B53&lt;12*PolicyTerm,PremiumPPInput,0))</f>
        <v/>
      </c>
      <c r="F53" s="30">
        <f>INDEX(MortRates,MATCH(MIN(D53,120),MortAges,0),MAX(MIN(C53,5),0)+1)</f>
        <v/>
      </c>
      <c r="G53" s="31">
        <f>1-(1-F53)^(1/12)</f>
        <v/>
      </c>
      <c r="H53" s="32">
        <f>MAX(LapseBase-LapseStep*C53,LapseFloor)</f>
        <v/>
      </c>
      <c r="I53" s="32">
        <f>IF(HasSurrCharge,INDEX(SurrRates,MIN(C53,SurrDurMax)+1,MATCH(SurrChargeID,SurrTypes,0)),0)</f>
        <v/>
      </c>
      <c r="J53" s="33">
        <f>N52-P52-O52</f>
        <v/>
      </c>
      <c r="K53" s="30">
        <f>IF(B53=12*PolicyTerm,J53,0)</f>
        <v/>
      </c>
      <c r="L53" s="33">
        <f>J53-K53</f>
        <v/>
      </c>
      <c r="M53" s="30">
        <f>IF(B53=0,PolicyCount,0)</f>
        <v/>
      </c>
      <c r="N53" s="33">
        <f>L53+M53</f>
        <v/>
      </c>
      <c r="O53" s="31">
        <f>N53*G53</f>
        <v/>
      </c>
      <c r="P53" s="33">
        <f>(N53-O53)*(1-(1-H53)^(1/12))</f>
        <v/>
      </c>
      <c r="Q53" s="34">
        <f>X52+Z52</f>
        <v/>
      </c>
      <c r="R53" s="29">
        <f>(1-LoadPremRate)*E53</f>
        <v/>
      </c>
      <c r="S53" s="34">
        <f>Q53+R53</f>
        <v/>
      </c>
      <c r="T53" s="29">
        <f>MaintFeeRateAnn/12*S53</f>
        <v/>
      </c>
      <c r="U53" s="29">
        <f>MAX(SumAssured-S53,0)</f>
        <v/>
      </c>
      <c r="V53" s="35">
        <f>CoiMultiple*G53</f>
        <v/>
      </c>
      <c r="W53" s="34">
        <f>V53*U53</f>
        <v/>
      </c>
      <c r="X53" s="34">
        <f>S53-T53-W53</f>
        <v/>
      </c>
      <c r="Y53" s="36">
        <f>EXP((Mu-0.5*Sigma^2)/12+Sigma*SQRT(1/12)*INDEX(NormRand,ScenID,A53+1))-1</f>
        <v/>
      </c>
      <c r="Z53" s="34">
        <f>Y53*X53</f>
        <v/>
      </c>
      <c r="AA53" s="34">
        <f>X53+0.5*Z53</f>
        <v/>
      </c>
      <c r="AB53" s="34">
        <f>Q53*J53</f>
        <v/>
      </c>
      <c r="AC53" s="34">
        <f>Q53*L53</f>
        <v/>
      </c>
      <c r="AD53" s="34">
        <f>S53*N53</f>
        <v/>
      </c>
      <c r="AE53" s="34">
        <f>E53*N53</f>
        <v/>
      </c>
      <c r="AF53" s="34">
        <f>R53*N53</f>
        <v/>
      </c>
      <c r="AG53" s="29">
        <f>MAX(SumAssured,AA53)</f>
        <v/>
      </c>
      <c r="AH53" s="34">
        <f>AG53*O53</f>
        <v/>
      </c>
      <c r="AI53" s="34">
        <f>AA53*O53</f>
        <v/>
      </c>
      <c r="AJ53" s="34">
        <f>AA53*P53</f>
        <v/>
      </c>
      <c r="AK53" s="34">
        <f>I53*AA53*P53</f>
        <v/>
      </c>
      <c r="AL53" s="34">
        <f>AJ53-AK53</f>
        <v/>
      </c>
      <c r="AM53" s="34">
        <f>Q53*K53</f>
        <v/>
      </c>
      <c r="AN53" s="34">
        <f>AH53+AL53+AM53</f>
        <v/>
      </c>
      <c r="AO53" s="34">
        <f>(AG53-AA53)*O53</f>
        <v/>
      </c>
      <c r="AP53" s="34">
        <f>W53*N53</f>
        <v/>
      </c>
      <c r="AQ53" s="34">
        <f>T53*N53</f>
        <v/>
      </c>
      <c r="AR53" s="34">
        <f>Z53*J54+0.5*Z53*(O53+P53)</f>
        <v/>
      </c>
      <c r="AS53" s="30">
        <f>(1+InflationRate)^(A53/12)</f>
        <v/>
      </c>
      <c r="AT53" s="29">
        <f>ExpenseAcq*M53+N53*ExpenseMaint/12*AS53</f>
        <v/>
      </c>
      <c r="AU53" s="29">
        <f>CommissionRate*AE53</f>
        <v/>
      </c>
      <c r="AV53" s="34">
        <f>AB54-AB53</f>
        <v/>
      </c>
      <c r="AW53" s="34">
        <f>AE53+AR53-AN53-AT53-AU53-AV53</f>
        <v/>
      </c>
      <c r="AX53" s="29">
        <f>LoadPremRate*E53*N53+AK53+AQ53-AU53-AT53</f>
        <v/>
      </c>
      <c r="AY53" s="34">
        <f>AP53-AO53</f>
        <v/>
      </c>
      <c r="AZ53" s="37">
        <f>(AW53-AX53-AY53)/MAX(1,ABS(AW53),ABS(AX53),ABS(AY53))</f>
        <v/>
      </c>
      <c r="BA53" s="37">
        <f>IF(OR(K53&gt;0,K54&gt;0),0,(AC54-(AC53+AF53-AQ53-AP53+AR53-AI53-AJ53-AM53))/MAX(1,ABS(AC53),ABS(AC54)))</f>
        <v/>
      </c>
      <c r="BB53" s="35">
        <f>(1+INDEX(DiscRateAnn,INT(A53/12)+1))^(1/12)-1</f>
        <v/>
      </c>
      <c r="BC53" s="31">
        <f>(1+BB53)^-A53</f>
        <v/>
      </c>
      <c r="BD53" s="34">
        <f>AW53*BC53</f>
        <v/>
      </c>
    </row>
    <row r="54">
      <c r="A54" s="27">
        <f>A53+1</f>
        <v/>
      </c>
      <c r="B54" s="28">
        <f>Duration0+A54</f>
        <v/>
      </c>
      <c r="C54" s="27">
        <f>INT(B54/12)</f>
        <v/>
      </c>
      <c r="D54" s="28">
        <f>AgeAtEntry+C54</f>
        <v/>
      </c>
      <c r="E54" s="29">
        <f>IF(PremiumType="SINGLE",IF(B54=0,PremiumPPInput,0),IF(B54&lt;12*PolicyTerm,PremiumPPInput,0))</f>
        <v/>
      </c>
      <c r="F54" s="30">
        <f>INDEX(MortRates,MATCH(MIN(D54,120),MortAges,0),MAX(MIN(C54,5),0)+1)</f>
        <v/>
      </c>
      <c r="G54" s="31">
        <f>1-(1-F54)^(1/12)</f>
        <v/>
      </c>
      <c r="H54" s="32">
        <f>MAX(LapseBase-LapseStep*C54,LapseFloor)</f>
        <v/>
      </c>
      <c r="I54" s="32">
        <f>IF(HasSurrCharge,INDEX(SurrRates,MIN(C54,SurrDurMax)+1,MATCH(SurrChargeID,SurrTypes,0)),0)</f>
        <v/>
      </c>
      <c r="J54" s="33">
        <f>N53-P53-O53</f>
        <v/>
      </c>
      <c r="K54" s="30">
        <f>IF(B54=12*PolicyTerm,J54,0)</f>
        <v/>
      </c>
      <c r="L54" s="33">
        <f>J54-K54</f>
        <v/>
      </c>
      <c r="M54" s="30">
        <f>IF(B54=0,PolicyCount,0)</f>
        <v/>
      </c>
      <c r="N54" s="33">
        <f>L54+M54</f>
        <v/>
      </c>
      <c r="O54" s="31">
        <f>N54*G54</f>
        <v/>
      </c>
      <c r="P54" s="33">
        <f>(N54-O54)*(1-(1-H54)^(1/12))</f>
        <v/>
      </c>
      <c r="Q54" s="34">
        <f>X53+Z53</f>
        <v/>
      </c>
      <c r="R54" s="29">
        <f>(1-LoadPremRate)*E54</f>
        <v/>
      </c>
      <c r="S54" s="34">
        <f>Q54+R54</f>
        <v/>
      </c>
      <c r="T54" s="29">
        <f>MaintFeeRateAnn/12*S54</f>
        <v/>
      </c>
      <c r="U54" s="29">
        <f>MAX(SumAssured-S54,0)</f>
        <v/>
      </c>
      <c r="V54" s="35">
        <f>CoiMultiple*G54</f>
        <v/>
      </c>
      <c r="W54" s="34">
        <f>V54*U54</f>
        <v/>
      </c>
      <c r="X54" s="34">
        <f>S54-T54-W54</f>
        <v/>
      </c>
      <c r="Y54" s="36">
        <f>EXP((Mu-0.5*Sigma^2)/12+Sigma*SQRT(1/12)*INDEX(NormRand,ScenID,A54+1))-1</f>
        <v/>
      </c>
      <c r="Z54" s="34">
        <f>Y54*X54</f>
        <v/>
      </c>
      <c r="AA54" s="34">
        <f>X54+0.5*Z54</f>
        <v/>
      </c>
      <c r="AB54" s="34">
        <f>Q54*J54</f>
        <v/>
      </c>
      <c r="AC54" s="34">
        <f>Q54*L54</f>
        <v/>
      </c>
      <c r="AD54" s="34">
        <f>S54*N54</f>
        <v/>
      </c>
      <c r="AE54" s="34">
        <f>E54*N54</f>
        <v/>
      </c>
      <c r="AF54" s="34">
        <f>R54*N54</f>
        <v/>
      </c>
      <c r="AG54" s="29">
        <f>MAX(SumAssured,AA54)</f>
        <v/>
      </c>
      <c r="AH54" s="34">
        <f>AG54*O54</f>
        <v/>
      </c>
      <c r="AI54" s="34">
        <f>AA54*O54</f>
        <v/>
      </c>
      <c r="AJ54" s="34">
        <f>AA54*P54</f>
        <v/>
      </c>
      <c r="AK54" s="34">
        <f>I54*AA54*P54</f>
        <v/>
      </c>
      <c r="AL54" s="34">
        <f>AJ54-AK54</f>
        <v/>
      </c>
      <c r="AM54" s="34">
        <f>Q54*K54</f>
        <v/>
      </c>
      <c r="AN54" s="34">
        <f>AH54+AL54+AM54</f>
        <v/>
      </c>
      <c r="AO54" s="34">
        <f>(AG54-AA54)*O54</f>
        <v/>
      </c>
      <c r="AP54" s="34">
        <f>W54*N54</f>
        <v/>
      </c>
      <c r="AQ54" s="34">
        <f>T54*N54</f>
        <v/>
      </c>
      <c r="AR54" s="34">
        <f>Z54*J55+0.5*Z54*(O54+P54)</f>
        <v/>
      </c>
      <c r="AS54" s="30">
        <f>(1+InflationRate)^(A54/12)</f>
        <v/>
      </c>
      <c r="AT54" s="29">
        <f>ExpenseAcq*M54+N54*ExpenseMaint/12*AS54</f>
        <v/>
      </c>
      <c r="AU54" s="29">
        <f>CommissionRate*AE54</f>
        <v/>
      </c>
      <c r="AV54" s="34">
        <f>AB55-AB54</f>
        <v/>
      </c>
      <c r="AW54" s="34">
        <f>AE54+AR54-AN54-AT54-AU54-AV54</f>
        <v/>
      </c>
      <c r="AX54" s="29">
        <f>LoadPremRate*E54*N54+AK54+AQ54-AU54-AT54</f>
        <v/>
      </c>
      <c r="AY54" s="34">
        <f>AP54-AO54</f>
        <v/>
      </c>
      <c r="AZ54" s="37">
        <f>(AW54-AX54-AY54)/MAX(1,ABS(AW54),ABS(AX54),ABS(AY54))</f>
        <v/>
      </c>
      <c r="BA54" s="37">
        <f>IF(OR(K54&gt;0,K55&gt;0),0,(AC55-(AC54+AF54-AQ54-AP54+AR54-AI54-AJ54-AM54))/MAX(1,ABS(AC54),ABS(AC55)))</f>
        <v/>
      </c>
      <c r="BB54" s="35">
        <f>(1+INDEX(DiscRateAnn,INT(A54/12)+1))^(1/12)-1</f>
        <v/>
      </c>
      <c r="BC54" s="31">
        <f>(1+BB54)^-A54</f>
        <v/>
      </c>
      <c r="BD54" s="34">
        <f>AW54*BC54</f>
        <v/>
      </c>
    </row>
    <row r="55">
      <c r="A55" s="27">
        <f>A54+1</f>
        <v/>
      </c>
      <c r="B55" s="28">
        <f>Duration0+A55</f>
        <v/>
      </c>
      <c r="C55" s="27">
        <f>INT(B55/12)</f>
        <v/>
      </c>
      <c r="D55" s="28">
        <f>AgeAtEntry+C55</f>
        <v/>
      </c>
      <c r="E55" s="29">
        <f>IF(PremiumType="SINGLE",IF(B55=0,PremiumPPInput,0),IF(B55&lt;12*PolicyTerm,PremiumPPInput,0))</f>
        <v/>
      </c>
      <c r="F55" s="30">
        <f>INDEX(MortRates,MATCH(MIN(D55,120),MortAges,0),MAX(MIN(C55,5),0)+1)</f>
        <v/>
      </c>
      <c r="G55" s="31">
        <f>1-(1-F55)^(1/12)</f>
        <v/>
      </c>
      <c r="H55" s="32">
        <f>MAX(LapseBase-LapseStep*C55,LapseFloor)</f>
        <v/>
      </c>
      <c r="I55" s="32">
        <f>IF(HasSurrCharge,INDEX(SurrRates,MIN(C55,SurrDurMax)+1,MATCH(SurrChargeID,SurrTypes,0)),0)</f>
        <v/>
      </c>
      <c r="J55" s="33">
        <f>N54-P54-O54</f>
        <v/>
      </c>
      <c r="K55" s="30">
        <f>IF(B55=12*PolicyTerm,J55,0)</f>
        <v/>
      </c>
      <c r="L55" s="33">
        <f>J55-K55</f>
        <v/>
      </c>
      <c r="M55" s="30">
        <f>IF(B55=0,PolicyCount,0)</f>
        <v/>
      </c>
      <c r="N55" s="33">
        <f>L55+M55</f>
        <v/>
      </c>
      <c r="O55" s="31">
        <f>N55*G55</f>
        <v/>
      </c>
      <c r="P55" s="33">
        <f>(N55-O55)*(1-(1-H55)^(1/12))</f>
        <v/>
      </c>
      <c r="Q55" s="34">
        <f>X54+Z54</f>
        <v/>
      </c>
      <c r="R55" s="29">
        <f>(1-LoadPremRate)*E55</f>
        <v/>
      </c>
      <c r="S55" s="34">
        <f>Q55+R55</f>
        <v/>
      </c>
      <c r="T55" s="29">
        <f>MaintFeeRateAnn/12*S55</f>
        <v/>
      </c>
      <c r="U55" s="29">
        <f>MAX(SumAssured-S55,0)</f>
        <v/>
      </c>
      <c r="V55" s="35">
        <f>CoiMultiple*G55</f>
        <v/>
      </c>
      <c r="W55" s="34">
        <f>V55*U55</f>
        <v/>
      </c>
      <c r="X55" s="34">
        <f>S55-T55-W55</f>
        <v/>
      </c>
      <c r="Y55" s="36">
        <f>EXP((Mu-0.5*Sigma^2)/12+Sigma*SQRT(1/12)*INDEX(NormRand,ScenID,A55+1))-1</f>
        <v/>
      </c>
      <c r="Z55" s="34">
        <f>Y55*X55</f>
        <v/>
      </c>
      <c r="AA55" s="34">
        <f>X55+0.5*Z55</f>
        <v/>
      </c>
      <c r="AB55" s="34">
        <f>Q55*J55</f>
        <v/>
      </c>
      <c r="AC55" s="34">
        <f>Q55*L55</f>
        <v/>
      </c>
      <c r="AD55" s="34">
        <f>S55*N55</f>
        <v/>
      </c>
      <c r="AE55" s="34">
        <f>E55*N55</f>
        <v/>
      </c>
      <c r="AF55" s="34">
        <f>R55*N55</f>
        <v/>
      </c>
      <c r="AG55" s="29">
        <f>MAX(SumAssured,AA55)</f>
        <v/>
      </c>
      <c r="AH55" s="34">
        <f>AG55*O55</f>
        <v/>
      </c>
      <c r="AI55" s="34">
        <f>AA55*O55</f>
        <v/>
      </c>
      <c r="AJ55" s="34">
        <f>AA55*P55</f>
        <v/>
      </c>
      <c r="AK55" s="34">
        <f>I55*AA55*P55</f>
        <v/>
      </c>
      <c r="AL55" s="34">
        <f>AJ55-AK55</f>
        <v/>
      </c>
      <c r="AM55" s="34">
        <f>Q55*K55</f>
        <v/>
      </c>
      <c r="AN55" s="34">
        <f>AH55+AL55+AM55</f>
        <v/>
      </c>
      <c r="AO55" s="34">
        <f>(AG55-AA55)*O55</f>
        <v/>
      </c>
      <c r="AP55" s="34">
        <f>W55*N55</f>
        <v/>
      </c>
      <c r="AQ55" s="34">
        <f>T55*N55</f>
        <v/>
      </c>
      <c r="AR55" s="34">
        <f>Z55*J56+0.5*Z55*(O55+P55)</f>
        <v/>
      </c>
      <c r="AS55" s="30">
        <f>(1+InflationRate)^(A55/12)</f>
        <v/>
      </c>
      <c r="AT55" s="29">
        <f>ExpenseAcq*M55+N55*ExpenseMaint/12*AS55</f>
        <v/>
      </c>
      <c r="AU55" s="29">
        <f>CommissionRate*AE55</f>
        <v/>
      </c>
      <c r="AV55" s="34">
        <f>AB56-AB55</f>
        <v/>
      </c>
      <c r="AW55" s="34">
        <f>AE55+AR55-AN55-AT55-AU55-AV55</f>
        <v/>
      </c>
      <c r="AX55" s="29">
        <f>LoadPremRate*E55*N55+AK55+AQ55-AU55-AT55</f>
        <v/>
      </c>
      <c r="AY55" s="34">
        <f>AP55-AO55</f>
        <v/>
      </c>
      <c r="AZ55" s="37">
        <f>(AW55-AX55-AY55)/MAX(1,ABS(AW55),ABS(AX55),ABS(AY55))</f>
        <v/>
      </c>
      <c r="BA55" s="37">
        <f>IF(OR(K55&gt;0,K56&gt;0),0,(AC56-(AC55+AF55-AQ55-AP55+AR55-AI55-AJ55-AM55))/MAX(1,ABS(AC55),ABS(AC56)))</f>
        <v/>
      </c>
      <c r="BB55" s="35">
        <f>(1+INDEX(DiscRateAnn,INT(A55/12)+1))^(1/12)-1</f>
        <v/>
      </c>
      <c r="BC55" s="31">
        <f>(1+BB55)^-A55</f>
        <v/>
      </c>
      <c r="BD55" s="34">
        <f>AW55*BC55</f>
        <v/>
      </c>
    </row>
    <row r="56">
      <c r="A56" s="27">
        <f>A55+1</f>
        <v/>
      </c>
      <c r="B56" s="28">
        <f>Duration0+A56</f>
        <v/>
      </c>
      <c r="C56" s="27">
        <f>INT(B56/12)</f>
        <v/>
      </c>
      <c r="D56" s="28">
        <f>AgeAtEntry+C56</f>
        <v/>
      </c>
      <c r="E56" s="29">
        <f>IF(PremiumType="SINGLE",IF(B56=0,PremiumPPInput,0),IF(B56&lt;12*PolicyTerm,PremiumPPInput,0))</f>
        <v/>
      </c>
      <c r="F56" s="30">
        <f>INDEX(MortRates,MATCH(MIN(D56,120),MortAges,0),MAX(MIN(C56,5),0)+1)</f>
        <v/>
      </c>
      <c r="G56" s="31">
        <f>1-(1-F56)^(1/12)</f>
        <v/>
      </c>
      <c r="H56" s="32">
        <f>MAX(LapseBase-LapseStep*C56,LapseFloor)</f>
        <v/>
      </c>
      <c r="I56" s="32">
        <f>IF(HasSurrCharge,INDEX(SurrRates,MIN(C56,SurrDurMax)+1,MATCH(SurrChargeID,SurrTypes,0)),0)</f>
        <v/>
      </c>
      <c r="J56" s="33">
        <f>N55-P55-O55</f>
        <v/>
      </c>
      <c r="K56" s="30">
        <f>IF(B56=12*PolicyTerm,J56,0)</f>
        <v/>
      </c>
      <c r="L56" s="33">
        <f>J56-K56</f>
        <v/>
      </c>
      <c r="M56" s="30">
        <f>IF(B56=0,PolicyCount,0)</f>
        <v/>
      </c>
      <c r="N56" s="33">
        <f>L56+M56</f>
        <v/>
      </c>
      <c r="O56" s="31">
        <f>N56*G56</f>
        <v/>
      </c>
      <c r="P56" s="33">
        <f>(N56-O56)*(1-(1-H56)^(1/12))</f>
        <v/>
      </c>
      <c r="Q56" s="34">
        <f>X55+Z55</f>
        <v/>
      </c>
      <c r="R56" s="29">
        <f>(1-LoadPremRate)*E56</f>
        <v/>
      </c>
      <c r="S56" s="34">
        <f>Q56+R56</f>
        <v/>
      </c>
      <c r="T56" s="29">
        <f>MaintFeeRateAnn/12*S56</f>
        <v/>
      </c>
      <c r="U56" s="29">
        <f>MAX(SumAssured-S56,0)</f>
        <v/>
      </c>
      <c r="V56" s="35">
        <f>CoiMultiple*G56</f>
        <v/>
      </c>
      <c r="W56" s="34">
        <f>V56*U56</f>
        <v/>
      </c>
      <c r="X56" s="34">
        <f>S56-T56-W56</f>
        <v/>
      </c>
      <c r="Y56" s="36">
        <f>EXP((Mu-0.5*Sigma^2)/12+Sigma*SQRT(1/12)*INDEX(NormRand,ScenID,A56+1))-1</f>
        <v/>
      </c>
      <c r="Z56" s="34">
        <f>Y56*X56</f>
        <v/>
      </c>
      <c r="AA56" s="34">
        <f>X56+0.5*Z56</f>
        <v/>
      </c>
      <c r="AB56" s="34">
        <f>Q56*J56</f>
        <v/>
      </c>
      <c r="AC56" s="34">
        <f>Q56*L56</f>
        <v/>
      </c>
      <c r="AD56" s="34">
        <f>S56*N56</f>
        <v/>
      </c>
      <c r="AE56" s="34">
        <f>E56*N56</f>
        <v/>
      </c>
      <c r="AF56" s="34">
        <f>R56*N56</f>
        <v/>
      </c>
      <c r="AG56" s="29">
        <f>MAX(SumAssured,AA56)</f>
        <v/>
      </c>
      <c r="AH56" s="34">
        <f>AG56*O56</f>
        <v/>
      </c>
      <c r="AI56" s="34">
        <f>AA56*O56</f>
        <v/>
      </c>
      <c r="AJ56" s="34">
        <f>AA56*P56</f>
        <v/>
      </c>
      <c r="AK56" s="34">
        <f>I56*AA56*P56</f>
        <v/>
      </c>
      <c r="AL56" s="34">
        <f>AJ56-AK56</f>
        <v/>
      </c>
      <c r="AM56" s="34">
        <f>Q56*K56</f>
        <v/>
      </c>
      <c r="AN56" s="34">
        <f>AH56+AL56+AM56</f>
        <v/>
      </c>
      <c r="AO56" s="34">
        <f>(AG56-AA56)*O56</f>
        <v/>
      </c>
      <c r="AP56" s="34">
        <f>W56*N56</f>
        <v/>
      </c>
      <c r="AQ56" s="34">
        <f>T56*N56</f>
        <v/>
      </c>
      <c r="AR56" s="34">
        <f>Z56*J57+0.5*Z56*(O56+P56)</f>
        <v/>
      </c>
      <c r="AS56" s="30">
        <f>(1+InflationRate)^(A56/12)</f>
        <v/>
      </c>
      <c r="AT56" s="29">
        <f>ExpenseAcq*M56+N56*ExpenseMaint/12*AS56</f>
        <v/>
      </c>
      <c r="AU56" s="29">
        <f>CommissionRate*AE56</f>
        <v/>
      </c>
      <c r="AV56" s="34">
        <f>AB57-AB56</f>
        <v/>
      </c>
      <c r="AW56" s="34">
        <f>AE56+AR56-AN56-AT56-AU56-AV56</f>
        <v/>
      </c>
      <c r="AX56" s="29">
        <f>LoadPremRate*E56*N56+AK56+AQ56-AU56-AT56</f>
        <v/>
      </c>
      <c r="AY56" s="34">
        <f>AP56-AO56</f>
        <v/>
      </c>
      <c r="AZ56" s="37">
        <f>(AW56-AX56-AY56)/MAX(1,ABS(AW56),ABS(AX56),ABS(AY56))</f>
        <v/>
      </c>
      <c r="BA56" s="37">
        <f>IF(OR(K56&gt;0,K57&gt;0),0,(AC57-(AC56+AF56-AQ56-AP56+AR56-AI56-AJ56-AM56))/MAX(1,ABS(AC56),ABS(AC57)))</f>
        <v/>
      </c>
      <c r="BB56" s="35">
        <f>(1+INDEX(DiscRateAnn,INT(A56/12)+1))^(1/12)-1</f>
        <v/>
      </c>
      <c r="BC56" s="31">
        <f>(1+BB56)^-A56</f>
        <v/>
      </c>
      <c r="BD56" s="34">
        <f>AW56*BC56</f>
        <v/>
      </c>
    </row>
    <row r="57">
      <c r="A57" s="27">
        <f>A56+1</f>
        <v/>
      </c>
      <c r="B57" s="28">
        <f>Duration0+A57</f>
        <v/>
      </c>
      <c r="C57" s="27">
        <f>INT(B57/12)</f>
        <v/>
      </c>
      <c r="D57" s="28">
        <f>AgeAtEntry+C57</f>
        <v/>
      </c>
      <c r="E57" s="29">
        <f>IF(PremiumType="SINGLE",IF(B57=0,PremiumPPInput,0),IF(B57&lt;12*PolicyTerm,PremiumPPInput,0))</f>
        <v/>
      </c>
      <c r="F57" s="30">
        <f>INDEX(MortRates,MATCH(MIN(D57,120),MortAges,0),MAX(MIN(C57,5),0)+1)</f>
        <v/>
      </c>
      <c r="G57" s="31">
        <f>1-(1-F57)^(1/12)</f>
        <v/>
      </c>
      <c r="H57" s="32">
        <f>MAX(LapseBase-LapseStep*C57,LapseFloor)</f>
        <v/>
      </c>
      <c r="I57" s="32">
        <f>IF(HasSurrCharge,INDEX(SurrRates,MIN(C57,SurrDurMax)+1,MATCH(SurrChargeID,SurrTypes,0)),0)</f>
        <v/>
      </c>
      <c r="J57" s="33">
        <f>N56-P56-O56</f>
        <v/>
      </c>
      <c r="K57" s="30">
        <f>IF(B57=12*PolicyTerm,J57,0)</f>
        <v/>
      </c>
      <c r="L57" s="33">
        <f>J57-K57</f>
        <v/>
      </c>
      <c r="M57" s="30">
        <f>IF(B57=0,PolicyCount,0)</f>
        <v/>
      </c>
      <c r="N57" s="33">
        <f>L57+M57</f>
        <v/>
      </c>
      <c r="O57" s="31">
        <f>N57*G57</f>
        <v/>
      </c>
      <c r="P57" s="33">
        <f>(N57-O57)*(1-(1-H57)^(1/12))</f>
        <v/>
      </c>
      <c r="Q57" s="34">
        <f>X56+Z56</f>
        <v/>
      </c>
      <c r="R57" s="29">
        <f>(1-LoadPremRate)*E57</f>
        <v/>
      </c>
      <c r="S57" s="34">
        <f>Q57+R57</f>
        <v/>
      </c>
      <c r="T57" s="29">
        <f>MaintFeeRateAnn/12*S57</f>
        <v/>
      </c>
      <c r="U57" s="29">
        <f>MAX(SumAssured-S57,0)</f>
        <v/>
      </c>
      <c r="V57" s="35">
        <f>CoiMultiple*G57</f>
        <v/>
      </c>
      <c r="W57" s="34">
        <f>V57*U57</f>
        <v/>
      </c>
      <c r="X57" s="34">
        <f>S57-T57-W57</f>
        <v/>
      </c>
      <c r="Y57" s="36">
        <f>EXP((Mu-0.5*Sigma^2)/12+Sigma*SQRT(1/12)*INDEX(NormRand,ScenID,A57+1))-1</f>
        <v/>
      </c>
      <c r="Z57" s="34">
        <f>Y57*X57</f>
        <v/>
      </c>
      <c r="AA57" s="34">
        <f>X57+0.5*Z57</f>
        <v/>
      </c>
      <c r="AB57" s="34">
        <f>Q57*J57</f>
        <v/>
      </c>
      <c r="AC57" s="34">
        <f>Q57*L57</f>
        <v/>
      </c>
      <c r="AD57" s="34">
        <f>S57*N57</f>
        <v/>
      </c>
      <c r="AE57" s="34">
        <f>E57*N57</f>
        <v/>
      </c>
      <c r="AF57" s="34">
        <f>R57*N57</f>
        <v/>
      </c>
      <c r="AG57" s="29">
        <f>MAX(SumAssured,AA57)</f>
        <v/>
      </c>
      <c r="AH57" s="34">
        <f>AG57*O57</f>
        <v/>
      </c>
      <c r="AI57" s="34">
        <f>AA57*O57</f>
        <v/>
      </c>
      <c r="AJ57" s="34">
        <f>AA57*P57</f>
        <v/>
      </c>
      <c r="AK57" s="34">
        <f>I57*AA57*P57</f>
        <v/>
      </c>
      <c r="AL57" s="34">
        <f>AJ57-AK57</f>
        <v/>
      </c>
      <c r="AM57" s="34">
        <f>Q57*K57</f>
        <v/>
      </c>
      <c r="AN57" s="34">
        <f>AH57+AL57+AM57</f>
        <v/>
      </c>
      <c r="AO57" s="34">
        <f>(AG57-AA57)*O57</f>
        <v/>
      </c>
      <c r="AP57" s="34">
        <f>W57*N57</f>
        <v/>
      </c>
      <c r="AQ57" s="34">
        <f>T57*N57</f>
        <v/>
      </c>
      <c r="AR57" s="34">
        <f>Z57*J58+0.5*Z57*(O57+P57)</f>
        <v/>
      </c>
      <c r="AS57" s="30">
        <f>(1+InflationRate)^(A57/12)</f>
        <v/>
      </c>
      <c r="AT57" s="29">
        <f>ExpenseAcq*M57+N57*ExpenseMaint/12*AS57</f>
        <v/>
      </c>
      <c r="AU57" s="29">
        <f>CommissionRate*AE57</f>
        <v/>
      </c>
      <c r="AV57" s="34">
        <f>AB58-AB57</f>
        <v/>
      </c>
      <c r="AW57" s="34">
        <f>AE57+AR57-AN57-AT57-AU57-AV57</f>
        <v/>
      </c>
      <c r="AX57" s="29">
        <f>LoadPremRate*E57*N57+AK57+AQ57-AU57-AT57</f>
        <v/>
      </c>
      <c r="AY57" s="34">
        <f>AP57-AO57</f>
        <v/>
      </c>
      <c r="AZ57" s="37">
        <f>(AW57-AX57-AY57)/MAX(1,ABS(AW57),ABS(AX57),ABS(AY57))</f>
        <v/>
      </c>
      <c r="BA57" s="37">
        <f>IF(OR(K57&gt;0,K58&gt;0),0,(AC58-(AC57+AF57-AQ57-AP57+AR57-AI57-AJ57-AM57))/MAX(1,ABS(AC57),ABS(AC58)))</f>
        <v/>
      </c>
      <c r="BB57" s="35">
        <f>(1+INDEX(DiscRateAnn,INT(A57/12)+1))^(1/12)-1</f>
        <v/>
      </c>
      <c r="BC57" s="31">
        <f>(1+BB57)^-A57</f>
        <v/>
      </c>
      <c r="BD57" s="34">
        <f>AW57*BC57</f>
        <v/>
      </c>
    </row>
    <row r="58">
      <c r="A58" s="27">
        <f>A57+1</f>
        <v/>
      </c>
      <c r="B58" s="28">
        <f>Duration0+A58</f>
        <v/>
      </c>
      <c r="C58" s="27">
        <f>INT(B58/12)</f>
        <v/>
      </c>
      <c r="D58" s="28">
        <f>AgeAtEntry+C58</f>
        <v/>
      </c>
      <c r="E58" s="29">
        <f>IF(PremiumType="SINGLE",IF(B58=0,PremiumPPInput,0),IF(B58&lt;12*PolicyTerm,PremiumPPInput,0))</f>
        <v/>
      </c>
      <c r="F58" s="30">
        <f>INDEX(MortRates,MATCH(MIN(D58,120),MortAges,0),MAX(MIN(C58,5),0)+1)</f>
        <v/>
      </c>
      <c r="G58" s="31">
        <f>1-(1-F58)^(1/12)</f>
        <v/>
      </c>
      <c r="H58" s="32">
        <f>MAX(LapseBase-LapseStep*C58,LapseFloor)</f>
        <v/>
      </c>
      <c r="I58" s="32">
        <f>IF(HasSurrCharge,INDEX(SurrRates,MIN(C58,SurrDurMax)+1,MATCH(SurrChargeID,SurrTypes,0)),0)</f>
        <v/>
      </c>
      <c r="J58" s="33">
        <f>N57-P57-O57</f>
        <v/>
      </c>
      <c r="K58" s="30">
        <f>IF(B58=12*PolicyTerm,J58,0)</f>
        <v/>
      </c>
      <c r="L58" s="33">
        <f>J58-K58</f>
        <v/>
      </c>
      <c r="M58" s="30">
        <f>IF(B58=0,PolicyCount,0)</f>
        <v/>
      </c>
      <c r="N58" s="33">
        <f>L58+M58</f>
        <v/>
      </c>
      <c r="O58" s="31">
        <f>N58*G58</f>
        <v/>
      </c>
      <c r="P58" s="33">
        <f>(N58-O58)*(1-(1-H58)^(1/12))</f>
        <v/>
      </c>
      <c r="Q58" s="34">
        <f>X57+Z57</f>
        <v/>
      </c>
      <c r="R58" s="29">
        <f>(1-LoadPremRate)*E58</f>
        <v/>
      </c>
      <c r="S58" s="34">
        <f>Q58+R58</f>
        <v/>
      </c>
      <c r="T58" s="29">
        <f>MaintFeeRateAnn/12*S58</f>
        <v/>
      </c>
      <c r="U58" s="29">
        <f>MAX(SumAssured-S58,0)</f>
        <v/>
      </c>
      <c r="V58" s="35">
        <f>CoiMultiple*G58</f>
        <v/>
      </c>
      <c r="W58" s="34">
        <f>V58*U58</f>
        <v/>
      </c>
      <c r="X58" s="34">
        <f>S58-T58-W58</f>
        <v/>
      </c>
      <c r="Y58" s="36">
        <f>EXP((Mu-0.5*Sigma^2)/12+Sigma*SQRT(1/12)*INDEX(NormRand,ScenID,A58+1))-1</f>
        <v/>
      </c>
      <c r="Z58" s="34">
        <f>Y58*X58</f>
        <v/>
      </c>
      <c r="AA58" s="34">
        <f>X58+0.5*Z58</f>
        <v/>
      </c>
      <c r="AB58" s="34">
        <f>Q58*J58</f>
        <v/>
      </c>
      <c r="AC58" s="34">
        <f>Q58*L58</f>
        <v/>
      </c>
      <c r="AD58" s="34">
        <f>S58*N58</f>
        <v/>
      </c>
      <c r="AE58" s="34">
        <f>E58*N58</f>
        <v/>
      </c>
      <c r="AF58" s="34">
        <f>R58*N58</f>
        <v/>
      </c>
      <c r="AG58" s="29">
        <f>MAX(SumAssured,AA58)</f>
        <v/>
      </c>
      <c r="AH58" s="34">
        <f>AG58*O58</f>
        <v/>
      </c>
      <c r="AI58" s="34">
        <f>AA58*O58</f>
        <v/>
      </c>
      <c r="AJ58" s="34">
        <f>AA58*P58</f>
        <v/>
      </c>
      <c r="AK58" s="34">
        <f>I58*AA58*P58</f>
        <v/>
      </c>
      <c r="AL58" s="34">
        <f>AJ58-AK58</f>
        <v/>
      </c>
      <c r="AM58" s="34">
        <f>Q58*K58</f>
        <v/>
      </c>
      <c r="AN58" s="34">
        <f>AH58+AL58+AM58</f>
        <v/>
      </c>
      <c r="AO58" s="34">
        <f>(AG58-AA58)*O58</f>
        <v/>
      </c>
      <c r="AP58" s="34">
        <f>W58*N58</f>
        <v/>
      </c>
      <c r="AQ58" s="34">
        <f>T58*N58</f>
        <v/>
      </c>
      <c r="AR58" s="34">
        <f>Z58*J59+0.5*Z58*(O58+P58)</f>
        <v/>
      </c>
      <c r="AS58" s="30">
        <f>(1+InflationRate)^(A58/12)</f>
        <v/>
      </c>
      <c r="AT58" s="29">
        <f>ExpenseAcq*M58+N58*ExpenseMaint/12*AS58</f>
        <v/>
      </c>
      <c r="AU58" s="29">
        <f>CommissionRate*AE58</f>
        <v/>
      </c>
      <c r="AV58" s="34">
        <f>AB59-AB58</f>
        <v/>
      </c>
      <c r="AW58" s="34">
        <f>AE58+AR58-AN58-AT58-AU58-AV58</f>
        <v/>
      </c>
      <c r="AX58" s="29">
        <f>LoadPremRate*E58*N58+AK58+AQ58-AU58-AT58</f>
        <v/>
      </c>
      <c r="AY58" s="34">
        <f>AP58-AO58</f>
        <v/>
      </c>
      <c r="AZ58" s="37">
        <f>(AW58-AX58-AY58)/MAX(1,ABS(AW58),ABS(AX58),ABS(AY58))</f>
        <v/>
      </c>
      <c r="BA58" s="37">
        <f>IF(OR(K58&gt;0,K59&gt;0),0,(AC59-(AC58+AF58-AQ58-AP58+AR58-AI58-AJ58-AM58))/MAX(1,ABS(AC58),ABS(AC59)))</f>
        <v/>
      </c>
      <c r="BB58" s="35">
        <f>(1+INDEX(DiscRateAnn,INT(A58/12)+1))^(1/12)-1</f>
        <v/>
      </c>
      <c r="BC58" s="31">
        <f>(1+BB58)^-A58</f>
        <v/>
      </c>
      <c r="BD58" s="34">
        <f>AW58*BC58</f>
        <v/>
      </c>
    </row>
    <row r="59">
      <c r="A59" s="27">
        <f>A58+1</f>
        <v/>
      </c>
      <c r="B59" s="28">
        <f>Duration0+A59</f>
        <v/>
      </c>
      <c r="C59" s="27">
        <f>INT(B59/12)</f>
        <v/>
      </c>
      <c r="D59" s="28">
        <f>AgeAtEntry+C59</f>
        <v/>
      </c>
      <c r="E59" s="29">
        <f>IF(PremiumType="SINGLE",IF(B59=0,PremiumPPInput,0),IF(B59&lt;12*PolicyTerm,PremiumPPInput,0))</f>
        <v/>
      </c>
      <c r="F59" s="30">
        <f>INDEX(MortRates,MATCH(MIN(D59,120),MortAges,0),MAX(MIN(C59,5),0)+1)</f>
        <v/>
      </c>
      <c r="G59" s="31">
        <f>1-(1-F59)^(1/12)</f>
        <v/>
      </c>
      <c r="H59" s="32">
        <f>MAX(LapseBase-LapseStep*C59,LapseFloor)</f>
        <v/>
      </c>
      <c r="I59" s="32">
        <f>IF(HasSurrCharge,INDEX(SurrRates,MIN(C59,SurrDurMax)+1,MATCH(SurrChargeID,SurrTypes,0)),0)</f>
        <v/>
      </c>
      <c r="J59" s="33">
        <f>N58-P58-O58</f>
        <v/>
      </c>
      <c r="K59" s="30">
        <f>IF(B59=12*PolicyTerm,J59,0)</f>
        <v/>
      </c>
      <c r="L59" s="33">
        <f>J59-K59</f>
        <v/>
      </c>
      <c r="M59" s="30">
        <f>IF(B59=0,PolicyCount,0)</f>
        <v/>
      </c>
      <c r="N59" s="33">
        <f>L59+M59</f>
        <v/>
      </c>
      <c r="O59" s="31">
        <f>N59*G59</f>
        <v/>
      </c>
      <c r="P59" s="33">
        <f>(N59-O59)*(1-(1-H59)^(1/12))</f>
        <v/>
      </c>
      <c r="Q59" s="34">
        <f>X58+Z58</f>
        <v/>
      </c>
      <c r="R59" s="29">
        <f>(1-LoadPremRate)*E59</f>
        <v/>
      </c>
      <c r="S59" s="34">
        <f>Q59+R59</f>
        <v/>
      </c>
      <c r="T59" s="29">
        <f>MaintFeeRateAnn/12*S59</f>
        <v/>
      </c>
      <c r="U59" s="29">
        <f>MAX(SumAssured-S59,0)</f>
        <v/>
      </c>
      <c r="V59" s="35">
        <f>CoiMultiple*G59</f>
        <v/>
      </c>
      <c r="W59" s="34">
        <f>V59*U59</f>
        <v/>
      </c>
      <c r="X59" s="34">
        <f>S59-T59-W59</f>
        <v/>
      </c>
      <c r="Y59" s="36">
        <f>EXP((Mu-0.5*Sigma^2)/12+Sigma*SQRT(1/12)*INDEX(NormRand,ScenID,A59+1))-1</f>
        <v/>
      </c>
      <c r="Z59" s="34">
        <f>Y59*X59</f>
        <v/>
      </c>
      <c r="AA59" s="34">
        <f>X59+0.5*Z59</f>
        <v/>
      </c>
      <c r="AB59" s="34">
        <f>Q59*J59</f>
        <v/>
      </c>
      <c r="AC59" s="34">
        <f>Q59*L59</f>
        <v/>
      </c>
      <c r="AD59" s="34">
        <f>S59*N59</f>
        <v/>
      </c>
      <c r="AE59" s="34">
        <f>E59*N59</f>
        <v/>
      </c>
      <c r="AF59" s="34">
        <f>R59*N59</f>
        <v/>
      </c>
      <c r="AG59" s="29">
        <f>MAX(SumAssured,AA59)</f>
        <v/>
      </c>
      <c r="AH59" s="34">
        <f>AG59*O59</f>
        <v/>
      </c>
      <c r="AI59" s="34">
        <f>AA59*O59</f>
        <v/>
      </c>
      <c r="AJ59" s="34">
        <f>AA59*P59</f>
        <v/>
      </c>
      <c r="AK59" s="34">
        <f>I59*AA59*P59</f>
        <v/>
      </c>
      <c r="AL59" s="34">
        <f>AJ59-AK59</f>
        <v/>
      </c>
      <c r="AM59" s="34">
        <f>Q59*K59</f>
        <v/>
      </c>
      <c r="AN59" s="34">
        <f>AH59+AL59+AM59</f>
        <v/>
      </c>
      <c r="AO59" s="34">
        <f>(AG59-AA59)*O59</f>
        <v/>
      </c>
      <c r="AP59" s="34">
        <f>W59*N59</f>
        <v/>
      </c>
      <c r="AQ59" s="34">
        <f>T59*N59</f>
        <v/>
      </c>
      <c r="AR59" s="34">
        <f>Z59*J60+0.5*Z59*(O59+P59)</f>
        <v/>
      </c>
      <c r="AS59" s="30">
        <f>(1+InflationRate)^(A59/12)</f>
        <v/>
      </c>
      <c r="AT59" s="29">
        <f>ExpenseAcq*M59+N59*ExpenseMaint/12*AS59</f>
        <v/>
      </c>
      <c r="AU59" s="29">
        <f>CommissionRate*AE59</f>
        <v/>
      </c>
      <c r="AV59" s="34">
        <f>AB60-AB59</f>
        <v/>
      </c>
      <c r="AW59" s="34">
        <f>AE59+AR59-AN59-AT59-AU59-AV59</f>
        <v/>
      </c>
      <c r="AX59" s="29">
        <f>LoadPremRate*E59*N59+AK59+AQ59-AU59-AT59</f>
        <v/>
      </c>
      <c r="AY59" s="34">
        <f>AP59-AO59</f>
        <v/>
      </c>
      <c r="AZ59" s="37">
        <f>(AW59-AX59-AY59)/MAX(1,ABS(AW59),ABS(AX59),ABS(AY59))</f>
        <v/>
      </c>
      <c r="BA59" s="37">
        <f>IF(OR(K59&gt;0,K60&gt;0),0,(AC60-(AC59+AF59-AQ59-AP59+AR59-AI59-AJ59-AM59))/MAX(1,ABS(AC59),ABS(AC60)))</f>
        <v/>
      </c>
      <c r="BB59" s="35">
        <f>(1+INDEX(DiscRateAnn,INT(A59/12)+1))^(1/12)-1</f>
        <v/>
      </c>
      <c r="BC59" s="31">
        <f>(1+BB59)^-A59</f>
        <v/>
      </c>
      <c r="BD59" s="34">
        <f>AW59*BC59</f>
        <v/>
      </c>
    </row>
    <row r="60">
      <c r="A60" s="27">
        <f>A59+1</f>
        <v/>
      </c>
      <c r="B60" s="28">
        <f>Duration0+A60</f>
        <v/>
      </c>
      <c r="C60" s="27">
        <f>INT(B60/12)</f>
        <v/>
      </c>
      <c r="D60" s="28">
        <f>AgeAtEntry+C60</f>
        <v/>
      </c>
      <c r="E60" s="29">
        <f>IF(PremiumType="SINGLE",IF(B60=0,PremiumPPInput,0),IF(B60&lt;12*PolicyTerm,PremiumPPInput,0))</f>
        <v/>
      </c>
      <c r="F60" s="30">
        <f>INDEX(MortRates,MATCH(MIN(D60,120),MortAges,0),MAX(MIN(C60,5),0)+1)</f>
        <v/>
      </c>
      <c r="G60" s="31">
        <f>1-(1-F60)^(1/12)</f>
        <v/>
      </c>
      <c r="H60" s="32">
        <f>MAX(LapseBase-LapseStep*C60,LapseFloor)</f>
        <v/>
      </c>
      <c r="I60" s="32">
        <f>IF(HasSurrCharge,INDEX(SurrRates,MIN(C60,SurrDurMax)+1,MATCH(SurrChargeID,SurrTypes,0)),0)</f>
        <v/>
      </c>
      <c r="J60" s="33">
        <f>N59-P59-O59</f>
        <v/>
      </c>
      <c r="K60" s="30">
        <f>IF(B60=12*PolicyTerm,J60,0)</f>
        <v/>
      </c>
      <c r="L60" s="33">
        <f>J60-K60</f>
        <v/>
      </c>
      <c r="M60" s="30">
        <f>IF(B60=0,PolicyCount,0)</f>
        <v/>
      </c>
      <c r="N60" s="33">
        <f>L60+M60</f>
        <v/>
      </c>
      <c r="O60" s="31">
        <f>N60*G60</f>
        <v/>
      </c>
      <c r="P60" s="33">
        <f>(N60-O60)*(1-(1-H60)^(1/12))</f>
        <v/>
      </c>
      <c r="Q60" s="34">
        <f>X59+Z59</f>
        <v/>
      </c>
      <c r="R60" s="29">
        <f>(1-LoadPremRate)*E60</f>
        <v/>
      </c>
      <c r="S60" s="34">
        <f>Q60+R60</f>
        <v/>
      </c>
      <c r="T60" s="29">
        <f>MaintFeeRateAnn/12*S60</f>
        <v/>
      </c>
      <c r="U60" s="29">
        <f>MAX(SumAssured-S60,0)</f>
        <v/>
      </c>
      <c r="V60" s="35">
        <f>CoiMultiple*G60</f>
        <v/>
      </c>
      <c r="W60" s="34">
        <f>V60*U60</f>
        <v/>
      </c>
      <c r="X60" s="34">
        <f>S60-T60-W60</f>
        <v/>
      </c>
      <c r="Y60" s="36">
        <f>EXP((Mu-0.5*Sigma^2)/12+Sigma*SQRT(1/12)*INDEX(NormRand,ScenID,A60+1))-1</f>
        <v/>
      </c>
      <c r="Z60" s="34">
        <f>Y60*X60</f>
        <v/>
      </c>
      <c r="AA60" s="34">
        <f>X60+0.5*Z60</f>
        <v/>
      </c>
      <c r="AB60" s="34">
        <f>Q60*J60</f>
        <v/>
      </c>
      <c r="AC60" s="34">
        <f>Q60*L60</f>
        <v/>
      </c>
      <c r="AD60" s="34">
        <f>S60*N60</f>
        <v/>
      </c>
      <c r="AE60" s="34">
        <f>E60*N60</f>
        <v/>
      </c>
      <c r="AF60" s="34">
        <f>R60*N60</f>
        <v/>
      </c>
      <c r="AG60" s="29">
        <f>MAX(SumAssured,AA60)</f>
        <v/>
      </c>
      <c r="AH60" s="34">
        <f>AG60*O60</f>
        <v/>
      </c>
      <c r="AI60" s="34">
        <f>AA60*O60</f>
        <v/>
      </c>
      <c r="AJ60" s="34">
        <f>AA60*P60</f>
        <v/>
      </c>
      <c r="AK60" s="34">
        <f>I60*AA60*P60</f>
        <v/>
      </c>
      <c r="AL60" s="34">
        <f>AJ60-AK60</f>
        <v/>
      </c>
      <c r="AM60" s="34">
        <f>Q60*K60</f>
        <v/>
      </c>
      <c r="AN60" s="34">
        <f>AH60+AL60+AM60</f>
        <v/>
      </c>
      <c r="AO60" s="34">
        <f>(AG60-AA60)*O60</f>
        <v/>
      </c>
      <c r="AP60" s="34">
        <f>W60*N60</f>
        <v/>
      </c>
      <c r="AQ60" s="34">
        <f>T60*N60</f>
        <v/>
      </c>
      <c r="AR60" s="34">
        <f>Z60*J61+0.5*Z60*(O60+P60)</f>
        <v/>
      </c>
      <c r="AS60" s="30">
        <f>(1+InflationRate)^(A60/12)</f>
        <v/>
      </c>
      <c r="AT60" s="29">
        <f>ExpenseAcq*M60+N60*ExpenseMaint/12*AS60</f>
        <v/>
      </c>
      <c r="AU60" s="29">
        <f>CommissionRate*AE60</f>
        <v/>
      </c>
      <c r="AV60" s="34">
        <f>AB61-AB60</f>
        <v/>
      </c>
      <c r="AW60" s="34">
        <f>AE60+AR60-AN60-AT60-AU60-AV60</f>
        <v/>
      </c>
      <c r="AX60" s="29">
        <f>LoadPremRate*E60*N60+AK60+AQ60-AU60-AT60</f>
        <v/>
      </c>
      <c r="AY60" s="34">
        <f>AP60-AO60</f>
        <v/>
      </c>
      <c r="AZ60" s="37">
        <f>(AW60-AX60-AY60)/MAX(1,ABS(AW60),ABS(AX60),ABS(AY60))</f>
        <v/>
      </c>
      <c r="BA60" s="37">
        <f>IF(OR(K60&gt;0,K61&gt;0),0,(AC61-(AC60+AF60-AQ60-AP60+AR60-AI60-AJ60-AM60))/MAX(1,ABS(AC60),ABS(AC61)))</f>
        <v/>
      </c>
      <c r="BB60" s="35">
        <f>(1+INDEX(DiscRateAnn,INT(A60/12)+1))^(1/12)-1</f>
        <v/>
      </c>
      <c r="BC60" s="31">
        <f>(1+BB60)^-A60</f>
        <v/>
      </c>
      <c r="BD60" s="34">
        <f>AW60*BC60</f>
        <v/>
      </c>
    </row>
    <row r="61">
      <c r="A61" s="27">
        <f>A60+1</f>
        <v/>
      </c>
      <c r="B61" s="28">
        <f>Duration0+A61</f>
        <v/>
      </c>
      <c r="C61" s="27">
        <f>INT(B61/12)</f>
        <v/>
      </c>
      <c r="D61" s="28">
        <f>AgeAtEntry+C61</f>
        <v/>
      </c>
      <c r="E61" s="29">
        <f>IF(PremiumType="SINGLE",IF(B61=0,PremiumPPInput,0),IF(B61&lt;12*PolicyTerm,PremiumPPInput,0))</f>
        <v/>
      </c>
      <c r="F61" s="30">
        <f>INDEX(MortRates,MATCH(MIN(D61,120),MortAges,0),MAX(MIN(C61,5),0)+1)</f>
        <v/>
      </c>
      <c r="G61" s="31">
        <f>1-(1-F61)^(1/12)</f>
        <v/>
      </c>
      <c r="H61" s="32">
        <f>MAX(LapseBase-LapseStep*C61,LapseFloor)</f>
        <v/>
      </c>
      <c r="I61" s="32">
        <f>IF(HasSurrCharge,INDEX(SurrRates,MIN(C61,SurrDurMax)+1,MATCH(SurrChargeID,SurrTypes,0)),0)</f>
        <v/>
      </c>
      <c r="J61" s="33">
        <f>N60-P60-O60</f>
        <v/>
      </c>
      <c r="K61" s="30">
        <f>IF(B61=12*PolicyTerm,J61,0)</f>
        <v/>
      </c>
      <c r="L61" s="33">
        <f>J61-K61</f>
        <v/>
      </c>
      <c r="M61" s="30">
        <f>IF(B61=0,PolicyCount,0)</f>
        <v/>
      </c>
      <c r="N61" s="33">
        <f>L61+M61</f>
        <v/>
      </c>
      <c r="O61" s="31">
        <f>N61*G61</f>
        <v/>
      </c>
      <c r="P61" s="33">
        <f>(N61-O61)*(1-(1-H61)^(1/12))</f>
        <v/>
      </c>
      <c r="Q61" s="34">
        <f>X60+Z60</f>
        <v/>
      </c>
      <c r="R61" s="29">
        <f>(1-LoadPremRate)*E61</f>
        <v/>
      </c>
      <c r="S61" s="34">
        <f>Q61+R61</f>
        <v/>
      </c>
      <c r="T61" s="29">
        <f>MaintFeeRateAnn/12*S61</f>
        <v/>
      </c>
      <c r="U61" s="29">
        <f>MAX(SumAssured-S61,0)</f>
        <v/>
      </c>
      <c r="V61" s="35">
        <f>CoiMultiple*G61</f>
        <v/>
      </c>
      <c r="W61" s="34">
        <f>V61*U61</f>
        <v/>
      </c>
      <c r="X61" s="34">
        <f>S61-T61-W61</f>
        <v/>
      </c>
      <c r="Y61" s="36">
        <f>EXP((Mu-0.5*Sigma^2)/12+Sigma*SQRT(1/12)*INDEX(NormRand,ScenID,A61+1))-1</f>
        <v/>
      </c>
      <c r="Z61" s="34">
        <f>Y61*X61</f>
        <v/>
      </c>
      <c r="AA61" s="34">
        <f>X61+0.5*Z61</f>
        <v/>
      </c>
      <c r="AB61" s="34">
        <f>Q61*J61</f>
        <v/>
      </c>
      <c r="AC61" s="34">
        <f>Q61*L61</f>
        <v/>
      </c>
      <c r="AD61" s="34">
        <f>S61*N61</f>
        <v/>
      </c>
      <c r="AE61" s="34">
        <f>E61*N61</f>
        <v/>
      </c>
      <c r="AF61" s="34">
        <f>R61*N61</f>
        <v/>
      </c>
      <c r="AG61" s="29">
        <f>MAX(SumAssured,AA61)</f>
        <v/>
      </c>
      <c r="AH61" s="34">
        <f>AG61*O61</f>
        <v/>
      </c>
      <c r="AI61" s="34">
        <f>AA61*O61</f>
        <v/>
      </c>
      <c r="AJ61" s="34">
        <f>AA61*P61</f>
        <v/>
      </c>
      <c r="AK61" s="34">
        <f>I61*AA61*P61</f>
        <v/>
      </c>
      <c r="AL61" s="34">
        <f>AJ61-AK61</f>
        <v/>
      </c>
      <c r="AM61" s="34">
        <f>Q61*K61</f>
        <v/>
      </c>
      <c r="AN61" s="34">
        <f>AH61+AL61+AM61</f>
        <v/>
      </c>
      <c r="AO61" s="34">
        <f>(AG61-AA61)*O61</f>
        <v/>
      </c>
      <c r="AP61" s="34">
        <f>W61*N61</f>
        <v/>
      </c>
      <c r="AQ61" s="34">
        <f>T61*N61</f>
        <v/>
      </c>
      <c r="AR61" s="34">
        <f>Z61*J62+0.5*Z61*(O61+P61)</f>
        <v/>
      </c>
      <c r="AS61" s="30">
        <f>(1+InflationRate)^(A61/12)</f>
        <v/>
      </c>
      <c r="AT61" s="29">
        <f>ExpenseAcq*M61+N61*ExpenseMaint/12*AS61</f>
        <v/>
      </c>
      <c r="AU61" s="29">
        <f>CommissionRate*AE61</f>
        <v/>
      </c>
      <c r="AV61" s="34">
        <f>AB62-AB61</f>
        <v/>
      </c>
      <c r="AW61" s="34">
        <f>AE61+AR61-AN61-AT61-AU61-AV61</f>
        <v/>
      </c>
      <c r="AX61" s="29">
        <f>LoadPremRate*E61*N61+AK61+AQ61-AU61-AT61</f>
        <v/>
      </c>
      <c r="AY61" s="34">
        <f>AP61-AO61</f>
        <v/>
      </c>
      <c r="AZ61" s="37">
        <f>(AW61-AX61-AY61)/MAX(1,ABS(AW61),ABS(AX61),ABS(AY61))</f>
        <v/>
      </c>
      <c r="BA61" s="37">
        <f>IF(OR(K61&gt;0,K62&gt;0),0,(AC62-(AC61+AF61-AQ61-AP61+AR61-AI61-AJ61-AM61))/MAX(1,ABS(AC61),ABS(AC62)))</f>
        <v/>
      </c>
      <c r="BB61" s="35">
        <f>(1+INDEX(DiscRateAnn,INT(A61/12)+1))^(1/12)-1</f>
        <v/>
      </c>
      <c r="BC61" s="31">
        <f>(1+BB61)^-A61</f>
        <v/>
      </c>
      <c r="BD61" s="34">
        <f>AW61*BC61</f>
        <v/>
      </c>
    </row>
    <row r="62">
      <c r="A62" s="27">
        <f>A61+1</f>
        <v/>
      </c>
      <c r="B62" s="28">
        <f>Duration0+A62</f>
        <v/>
      </c>
      <c r="C62" s="27">
        <f>INT(B62/12)</f>
        <v/>
      </c>
      <c r="D62" s="28">
        <f>AgeAtEntry+C62</f>
        <v/>
      </c>
      <c r="E62" s="29">
        <f>IF(PremiumType="SINGLE",IF(B62=0,PremiumPPInput,0),IF(B62&lt;12*PolicyTerm,PremiumPPInput,0))</f>
        <v/>
      </c>
      <c r="F62" s="30">
        <f>INDEX(MortRates,MATCH(MIN(D62,120),MortAges,0),MAX(MIN(C62,5),0)+1)</f>
        <v/>
      </c>
      <c r="G62" s="31">
        <f>1-(1-F62)^(1/12)</f>
        <v/>
      </c>
      <c r="H62" s="32">
        <f>MAX(LapseBase-LapseStep*C62,LapseFloor)</f>
        <v/>
      </c>
      <c r="I62" s="32">
        <f>IF(HasSurrCharge,INDEX(SurrRates,MIN(C62,SurrDurMax)+1,MATCH(SurrChargeID,SurrTypes,0)),0)</f>
        <v/>
      </c>
      <c r="J62" s="33">
        <f>N61-P61-O61</f>
        <v/>
      </c>
      <c r="K62" s="30">
        <f>IF(B62=12*PolicyTerm,J62,0)</f>
        <v/>
      </c>
      <c r="L62" s="33">
        <f>J62-K62</f>
        <v/>
      </c>
      <c r="M62" s="30">
        <f>IF(B62=0,PolicyCount,0)</f>
        <v/>
      </c>
      <c r="N62" s="33">
        <f>L62+M62</f>
        <v/>
      </c>
      <c r="O62" s="31">
        <f>N62*G62</f>
        <v/>
      </c>
      <c r="P62" s="33">
        <f>(N62-O62)*(1-(1-H62)^(1/12))</f>
        <v/>
      </c>
      <c r="Q62" s="34">
        <f>X61+Z61</f>
        <v/>
      </c>
      <c r="R62" s="29">
        <f>(1-LoadPremRate)*E62</f>
        <v/>
      </c>
      <c r="S62" s="34">
        <f>Q62+R62</f>
        <v/>
      </c>
      <c r="T62" s="29">
        <f>MaintFeeRateAnn/12*S62</f>
        <v/>
      </c>
      <c r="U62" s="29">
        <f>MAX(SumAssured-S62,0)</f>
        <v/>
      </c>
      <c r="V62" s="35">
        <f>CoiMultiple*G62</f>
        <v/>
      </c>
      <c r="W62" s="34">
        <f>V62*U62</f>
        <v/>
      </c>
      <c r="X62" s="34">
        <f>S62-T62-W62</f>
        <v/>
      </c>
      <c r="Y62" s="36">
        <f>EXP((Mu-0.5*Sigma^2)/12+Sigma*SQRT(1/12)*INDEX(NormRand,ScenID,A62+1))-1</f>
        <v/>
      </c>
      <c r="Z62" s="34">
        <f>Y62*X62</f>
        <v/>
      </c>
      <c r="AA62" s="34">
        <f>X62+0.5*Z62</f>
        <v/>
      </c>
      <c r="AB62" s="34">
        <f>Q62*J62</f>
        <v/>
      </c>
      <c r="AC62" s="34">
        <f>Q62*L62</f>
        <v/>
      </c>
      <c r="AD62" s="34">
        <f>S62*N62</f>
        <v/>
      </c>
      <c r="AE62" s="34">
        <f>E62*N62</f>
        <v/>
      </c>
      <c r="AF62" s="34">
        <f>R62*N62</f>
        <v/>
      </c>
      <c r="AG62" s="29">
        <f>MAX(SumAssured,AA62)</f>
        <v/>
      </c>
      <c r="AH62" s="34">
        <f>AG62*O62</f>
        <v/>
      </c>
      <c r="AI62" s="34">
        <f>AA62*O62</f>
        <v/>
      </c>
      <c r="AJ62" s="34">
        <f>AA62*P62</f>
        <v/>
      </c>
      <c r="AK62" s="34">
        <f>I62*AA62*P62</f>
        <v/>
      </c>
      <c r="AL62" s="34">
        <f>AJ62-AK62</f>
        <v/>
      </c>
      <c r="AM62" s="34">
        <f>Q62*K62</f>
        <v/>
      </c>
      <c r="AN62" s="34">
        <f>AH62+AL62+AM62</f>
        <v/>
      </c>
      <c r="AO62" s="34">
        <f>(AG62-AA62)*O62</f>
        <v/>
      </c>
      <c r="AP62" s="34">
        <f>W62*N62</f>
        <v/>
      </c>
      <c r="AQ62" s="34">
        <f>T62*N62</f>
        <v/>
      </c>
      <c r="AR62" s="34">
        <f>Z62*J63+0.5*Z62*(O62+P62)</f>
        <v/>
      </c>
      <c r="AS62" s="30">
        <f>(1+InflationRate)^(A62/12)</f>
        <v/>
      </c>
      <c r="AT62" s="29">
        <f>ExpenseAcq*M62+N62*ExpenseMaint/12*AS62</f>
        <v/>
      </c>
      <c r="AU62" s="29">
        <f>CommissionRate*AE62</f>
        <v/>
      </c>
      <c r="AV62" s="34">
        <f>AB63-AB62</f>
        <v/>
      </c>
      <c r="AW62" s="34">
        <f>AE62+AR62-AN62-AT62-AU62-AV62</f>
        <v/>
      </c>
      <c r="AX62" s="29">
        <f>LoadPremRate*E62*N62+AK62+AQ62-AU62-AT62</f>
        <v/>
      </c>
      <c r="AY62" s="34">
        <f>AP62-AO62</f>
        <v/>
      </c>
      <c r="AZ62" s="37">
        <f>(AW62-AX62-AY62)/MAX(1,ABS(AW62),ABS(AX62),ABS(AY62))</f>
        <v/>
      </c>
      <c r="BA62" s="37">
        <f>IF(OR(K62&gt;0,K63&gt;0),0,(AC63-(AC62+AF62-AQ62-AP62+AR62-AI62-AJ62-AM62))/MAX(1,ABS(AC62),ABS(AC63)))</f>
        <v/>
      </c>
      <c r="BB62" s="35">
        <f>(1+INDEX(DiscRateAnn,INT(A62/12)+1))^(1/12)-1</f>
        <v/>
      </c>
      <c r="BC62" s="31">
        <f>(1+BB62)^-A62</f>
        <v/>
      </c>
      <c r="BD62" s="34">
        <f>AW62*BC62</f>
        <v/>
      </c>
    </row>
    <row r="63">
      <c r="A63" s="27">
        <f>A62+1</f>
        <v/>
      </c>
      <c r="B63" s="28">
        <f>Duration0+A63</f>
        <v/>
      </c>
      <c r="C63" s="27">
        <f>INT(B63/12)</f>
        <v/>
      </c>
      <c r="D63" s="28">
        <f>AgeAtEntry+C63</f>
        <v/>
      </c>
      <c r="E63" s="29">
        <f>IF(PremiumType="SINGLE",IF(B63=0,PremiumPPInput,0),IF(B63&lt;12*PolicyTerm,PremiumPPInput,0))</f>
        <v/>
      </c>
      <c r="F63" s="30">
        <f>INDEX(MortRates,MATCH(MIN(D63,120),MortAges,0),MAX(MIN(C63,5),0)+1)</f>
        <v/>
      </c>
      <c r="G63" s="31">
        <f>1-(1-F63)^(1/12)</f>
        <v/>
      </c>
      <c r="H63" s="32">
        <f>MAX(LapseBase-LapseStep*C63,LapseFloor)</f>
        <v/>
      </c>
      <c r="I63" s="32">
        <f>IF(HasSurrCharge,INDEX(SurrRates,MIN(C63,SurrDurMax)+1,MATCH(SurrChargeID,SurrTypes,0)),0)</f>
        <v/>
      </c>
      <c r="J63" s="33">
        <f>N62-P62-O62</f>
        <v/>
      </c>
      <c r="K63" s="30">
        <f>IF(B63=12*PolicyTerm,J63,0)</f>
        <v/>
      </c>
      <c r="L63" s="33">
        <f>J63-K63</f>
        <v/>
      </c>
      <c r="M63" s="30">
        <f>IF(B63=0,PolicyCount,0)</f>
        <v/>
      </c>
      <c r="N63" s="33">
        <f>L63+M63</f>
        <v/>
      </c>
      <c r="O63" s="31">
        <f>N63*G63</f>
        <v/>
      </c>
      <c r="P63" s="33">
        <f>(N63-O63)*(1-(1-H63)^(1/12))</f>
        <v/>
      </c>
      <c r="Q63" s="34">
        <f>X62+Z62</f>
        <v/>
      </c>
      <c r="R63" s="29">
        <f>(1-LoadPremRate)*E63</f>
        <v/>
      </c>
      <c r="S63" s="34">
        <f>Q63+R63</f>
        <v/>
      </c>
      <c r="T63" s="29">
        <f>MaintFeeRateAnn/12*S63</f>
        <v/>
      </c>
      <c r="U63" s="29">
        <f>MAX(SumAssured-S63,0)</f>
        <v/>
      </c>
      <c r="V63" s="35">
        <f>CoiMultiple*G63</f>
        <v/>
      </c>
      <c r="W63" s="34">
        <f>V63*U63</f>
        <v/>
      </c>
      <c r="X63" s="34">
        <f>S63-T63-W63</f>
        <v/>
      </c>
      <c r="Y63" s="36">
        <f>EXP((Mu-0.5*Sigma^2)/12+Sigma*SQRT(1/12)*INDEX(NormRand,ScenID,A63+1))-1</f>
        <v/>
      </c>
      <c r="Z63" s="34">
        <f>Y63*X63</f>
        <v/>
      </c>
      <c r="AA63" s="34">
        <f>X63+0.5*Z63</f>
        <v/>
      </c>
      <c r="AB63" s="34">
        <f>Q63*J63</f>
        <v/>
      </c>
      <c r="AC63" s="34">
        <f>Q63*L63</f>
        <v/>
      </c>
      <c r="AD63" s="34">
        <f>S63*N63</f>
        <v/>
      </c>
      <c r="AE63" s="34">
        <f>E63*N63</f>
        <v/>
      </c>
      <c r="AF63" s="34">
        <f>R63*N63</f>
        <v/>
      </c>
      <c r="AG63" s="29">
        <f>MAX(SumAssured,AA63)</f>
        <v/>
      </c>
      <c r="AH63" s="34">
        <f>AG63*O63</f>
        <v/>
      </c>
      <c r="AI63" s="34">
        <f>AA63*O63</f>
        <v/>
      </c>
      <c r="AJ63" s="34">
        <f>AA63*P63</f>
        <v/>
      </c>
      <c r="AK63" s="34">
        <f>I63*AA63*P63</f>
        <v/>
      </c>
      <c r="AL63" s="34">
        <f>AJ63-AK63</f>
        <v/>
      </c>
      <c r="AM63" s="34">
        <f>Q63*K63</f>
        <v/>
      </c>
      <c r="AN63" s="34">
        <f>AH63+AL63+AM63</f>
        <v/>
      </c>
      <c r="AO63" s="34">
        <f>(AG63-AA63)*O63</f>
        <v/>
      </c>
      <c r="AP63" s="34">
        <f>W63*N63</f>
        <v/>
      </c>
      <c r="AQ63" s="34">
        <f>T63*N63</f>
        <v/>
      </c>
      <c r="AR63" s="34">
        <f>Z63*J64+0.5*Z63*(O63+P63)</f>
        <v/>
      </c>
      <c r="AS63" s="30">
        <f>(1+InflationRate)^(A63/12)</f>
        <v/>
      </c>
      <c r="AT63" s="29">
        <f>ExpenseAcq*M63+N63*ExpenseMaint/12*AS63</f>
        <v/>
      </c>
      <c r="AU63" s="29">
        <f>CommissionRate*AE63</f>
        <v/>
      </c>
      <c r="AV63" s="34">
        <f>AB64-AB63</f>
        <v/>
      </c>
      <c r="AW63" s="34">
        <f>AE63+AR63-AN63-AT63-AU63-AV63</f>
        <v/>
      </c>
      <c r="AX63" s="29">
        <f>LoadPremRate*E63*N63+AK63+AQ63-AU63-AT63</f>
        <v/>
      </c>
      <c r="AY63" s="34">
        <f>AP63-AO63</f>
        <v/>
      </c>
      <c r="AZ63" s="37">
        <f>(AW63-AX63-AY63)/MAX(1,ABS(AW63),ABS(AX63),ABS(AY63))</f>
        <v/>
      </c>
      <c r="BA63" s="37">
        <f>IF(OR(K63&gt;0,K64&gt;0),0,(AC64-(AC63+AF63-AQ63-AP63+AR63-AI63-AJ63-AM63))/MAX(1,ABS(AC63),ABS(AC64)))</f>
        <v/>
      </c>
      <c r="BB63" s="35">
        <f>(1+INDEX(DiscRateAnn,INT(A63/12)+1))^(1/12)-1</f>
        <v/>
      </c>
      <c r="BC63" s="31">
        <f>(1+BB63)^-A63</f>
        <v/>
      </c>
      <c r="BD63" s="34">
        <f>AW63*BC63</f>
        <v/>
      </c>
    </row>
    <row r="64">
      <c r="A64" s="27">
        <f>A63+1</f>
        <v/>
      </c>
      <c r="B64" s="28">
        <f>Duration0+A64</f>
        <v/>
      </c>
      <c r="C64" s="27">
        <f>INT(B64/12)</f>
        <v/>
      </c>
      <c r="D64" s="28">
        <f>AgeAtEntry+C64</f>
        <v/>
      </c>
      <c r="E64" s="29">
        <f>IF(PremiumType="SINGLE",IF(B64=0,PremiumPPInput,0),IF(B64&lt;12*PolicyTerm,PremiumPPInput,0))</f>
        <v/>
      </c>
      <c r="F64" s="30">
        <f>INDEX(MortRates,MATCH(MIN(D64,120),MortAges,0),MAX(MIN(C64,5),0)+1)</f>
        <v/>
      </c>
      <c r="G64" s="31">
        <f>1-(1-F64)^(1/12)</f>
        <v/>
      </c>
      <c r="H64" s="32">
        <f>MAX(LapseBase-LapseStep*C64,LapseFloor)</f>
        <v/>
      </c>
      <c r="I64" s="32">
        <f>IF(HasSurrCharge,INDEX(SurrRates,MIN(C64,SurrDurMax)+1,MATCH(SurrChargeID,SurrTypes,0)),0)</f>
        <v/>
      </c>
      <c r="J64" s="33">
        <f>N63-P63-O63</f>
        <v/>
      </c>
      <c r="K64" s="30">
        <f>IF(B64=12*PolicyTerm,J64,0)</f>
        <v/>
      </c>
      <c r="L64" s="33">
        <f>J64-K64</f>
        <v/>
      </c>
      <c r="M64" s="30">
        <f>IF(B64=0,PolicyCount,0)</f>
        <v/>
      </c>
      <c r="N64" s="33">
        <f>L64+M64</f>
        <v/>
      </c>
      <c r="O64" s="31">
        <f>N64*G64</f>
        <v/>
      </c>
      <c r="P64" s="33">
        <f>(N64-O64)*(1-(1-H64)^(1/12))</f>
        <v/>
      </c>
      <c r="Q64" s="34">
        <f>X63+Z63</f>
        <v/>
      </c>
      <c r="R64" s="29">
        <f>(1-LoadPremRate)*E64</f>
        <v/>
      </c>
      <c r="S64" s="34">
        <f>Q64+R64</f>
        <v/>
      </c>
      <c r="T64" s="29">
        <f>MaintFeeRateAnn/12*S64</f>
        <v/>
      </c>
      <c r="U64" s="29">
        <f>MAX(SumAssured-S64,0)</f>
        <v/>
      </c>
      <c r="V64" s="35">
        <f>CoiMultiple*G64</f>
        <v/>
      </c>
      <c r="W64" s="34">
        <f>V64*U64</f>
        <v/>
      </c>
      <c r="X64" s="34">
        <f>S64-T64-W64</f>
        <v/>
      </c>
      <c r="Y64" s="36">
        <f>EXP((Mu-0.5*Sigma^2)/12+Sigma*SQRT(1/12)*INDEX(NormRand,ScenID,A64+1))-1</f>
        <v/>
      </c>
      <c r="Z64" s="34">
        <f>Y64*X64</f>
        <v/>
      </c>
      <c r="AA64" s="34">
        <f>X64+0.5*Z64</f>
        <v/>
      </c>
      <c r="AB64" s="34">
        <f>Q64*J64</f>
        <v/>
      </c>
      <c r="AC64" s="34">
        <f>Q64*L64</f>
        <v/>
      </c>
      <c r="AD64" s="34">
        <f>S64*N64</f>
        <v/>
      </c>
      <c r="AE64" s="34">
        <f>E64*N64</f>
        <v/>
      </c>
      <c r="AF64" s="34">
        <f>R64*N64</f>
        <v/>
      </c>
      <c r="AG64" s="29">
        <f>MAX(SumAssured,AA64)</f>
        <v/>
      </c>
      <c r="AH64" s="34">
        <f>AG64*O64</f>
        <v/>
      </c>
      <c r="AI64" s="34">
        <f>AA64*O64</f>
        <v/>
      </c>
      <c r="AJ64" s="34">
        <f>AA64*P64</f>
        <v/>
      </c>
      <c r="AK64" s="34">
        <f>I64*AA64*P64</f>
        <v/>
      </c>
      <c r="AL64" s="34">
        <f>AJ64-AK64</f>
        <v/>
      </c>
      <c r="AM64" s="34">
        <f>Q64*K64</f>
        <v/>
      </c>
      <c r="AN64" s="34">
        <f>AH64+AL64+AM64</f>
        <v/>
      </c>
      <c r="AO64" s="34">
        <f>(AG64-AA64)*O64</f>
        <v/>
      </c>
      <c r="AP64" s="34">
        <f>W64*N64</f>
        <v/>
      </c>
      <c r="AQ64" s="34">
        <f>T64*N64</f>
        <v/>
      </c>
      <c r="AR64" s="34">
        <f>Z64*J65+0.5*Z64*(O64+P64)</f>
        <v/>
      </c>
      <c r="AS64" s="30">
        <f>(1+InflationRate)^(A64/12)</f>
        <v/>
      </c>
      <c r="AT64" s="29">
        <f>ExpenseAcq*M64+N64*ExpenseMaint/12*AS64</f>
        <v/>
      </c>
      <c r="AU64" s="29">
        <f>CommissionRate*AE64</f>
        <v/>
      </c>
      <c r="AV64" s="34">
        <f>AB65-AB64</f>
        <v/>
      </c>
      <c r="AW64" s="34">
        <f>AE64+AR64-AN64-AT64-AU64-AV64</f>
        <v/>
      </c>
      <c r="AX64" s="29">
        <f>LoadPremRate*E64*N64+AK64+AQ64-AU64-AT64</f>
        <v/>
      </c>
      <c r="AY64" s="34">
        <f>AP64-AO64</f>
        <v/>
      </c>
      <c r="AZ64" s="37">
        <f>(AW64-AX64-AY64)/MAX(1,ABS(AW64),ABS(AX64),ABS(AY64))</f>
        <v/>
      </c>
      <c r="BA64" s="37">
        <f>IF(OR(K64&gt;0,K65&gt;0),0,(AC65-(AC64+AF64-AQ64-AP64+AR64-AI64-AJ64-AM64))/MAX(1,ABS(AC64),ABS(AC65)))</f>
        <v/>
      </c>
      <c r="BB64" s="35">
        <f>(1+INDEX(DiscRateAnn,INT(A64/12)+1))^(1/12)-1</f>
        <v/>
      </c>
      <c r="BC64" s="31">
        <f>(1+BB64)^-A64</f>
        <v/>
      </c>
      <c r="BD64" s="34">
        <f>AW64*BC64</f>
        <v/>
      </c>
    </row>
    <row r="65">
      <c r="A65" s="27">
        <f>A64+1</f>
        <v/>
      </c>
      <c r="B65" s="28">
        <f>Duration0+A65</f>
        <v/>
      </c>
      <c r="C65" s="27">
        <f>INT(B65/12)</f>
        <v/>
      </c>
      <c r="D65" s="28">
        <f>AgeAtEntry+C65</f>
        <v/>
      </c>
      <c r="E65" s="29">
        <f>IF(PremiumType="SINGLE",IF(B65=0,PremiumPPInput,0),IF(B65&lt;12*PolicyTerm,PremiumPPInput,0))</f>
        <v/>
      </c>
      <c r="F65" s="30">
        <f>INDEX(MortRates,MATCH(MIN(D65,120),MortAges,0),MAX(MIN(C65,5),0)+1)</f>
        <v/>
      </c>
      <c r="G65" s="31">
        <f>1-(1-F65)^(1/12)</f>
        <v/>
      </c>
      <c r="H65" s="32">
        <f>MAX(LapseBase-LapseStep*C65,LapseFloor)</f>
        <v/>
      </c>
      <c r="I65" s="32">
        <f>IF(HasSurrCharge,INDEX(SurrRates,MIN(C65,SurrDurMax)+1,MATCH(SurrChargeID,SurrTypes,0)),0)</f>
        <v/>
      </c>
      <c r="J65" s="33">
        <f>N64-P64-O64</f>
        <v/>
      </c>
      <c r="K65" s="30">
        <f>IF(B65=12*PolicyTerm,J65,0)</f>
        <v/>
      </c>
      <c r="L65" s="33">
        <f>J65-K65</f>
        <v/>
      </c>
      <c r="M65" s="30">
        <f>IF(B65=0,PolicyCount,0)</f>
        <v/>
      </c>
      <c r="N65" s="33">
        <f>L65+M65</f>
        <v/>
      </c>
      <c r="O65" s="31">
        <f>N65*G65</f>
        <v/>
      </c>
      <c r="P65" s="33">
        <f>(N65-O65)*(1-(1-H65)^(1/12))</f>
        <v/>
      </c>
      <c r="Q65" s="34">
        <f>X64+Z64</f>
        <v/>
      </c>
      <c r="R65" s="29">
        <f>(1-LoadPremRate)*E65</f>
        <v/>
      </c>
      <c r="S65" s="34">
        <f>Q65+R65</f>
        <v/>
      </c>
      <c r="T65" s="29">
        <f>MaintFeeRateAnn/12*S65</f>
        <v/>
      </c>
      <c r="U65" s="29">
        <f>MAX(SumAssured-S65,0)</f>
        <v/>
      </c>
      <c r="V65" s="35">
        <f>CoiMultiple*G65</f>
        <v/>
      </c>
      <c r="W65" s="34">
        <f>V65*U65</f>
        <v/>
      </c>
      <c r="X65" s="34">
        <f>S65-T65-W65</f>
        <v/>
      </c>
      <c r="Y65" s="36">
        <f>EXP((Mu-0.5*Sigma^2)/12+Sigma*SQRT(1/12)*INDEX(NormRand,ScenID,A65+1))-1</f>
        <v/>
      </c>
      <c r="Z65" s="34">
        <f>Y65*X65</f>
        <v/>
      </c>
      <c r="AA65" s="34">
        <f>X65+0.5*Z65</f>
        <v/>
      </c>
      <c r="AB65" s="34">
        <f>Q65*J65</f>
        <v/>
      </c>
      <c r="AC65" s="34">
        <f>Q65*L65</f>
        <v/>
      </c>
      <c r="AD65" s="34">
        <f>S65*N65</f>
        <v/>
      </c>
      <c r="AE65" s="34">
        <f>E65*N65</f>
        <v/>
      </c>
      <c r="AF65" s="34">
        <f>R65*N65</f>
        <v/>
      </c>
      <c r="AG65" s="29">
        <f>MAX(SumAssured,AA65)</f>
        <v/>
      </c>
      <c r="AH65" s="34">
        <f>AG65*O65</f>
        <v/>
      </c>
      <c r="AI65" s="34">
        <f>AA65*O65</f>
        <v/>
      </c>
      <c r="AJ65" s="34">
        <f>AA65*P65</f>
        <v/>
      </c>
      <c r="AK65" s="34">
        <f>I65*AA65*P65</f>
        <v/>
      </c>
      <c r="AL65" s="34">
        <f>AJ65-AK65</f>
        <v/>
      </c>
      <c r="AM65" s="34">
        <f>Q65*K65</f>
        <v/>
      </c>
      <c r="AN65" s="34">
        <f>AH65+AL65+AM65</f>
        <v/>
      </c>
      <c r="AO65" s="34">
        <f>(AG65-AA65)*O65</f>
        <v/>
      </c>
      <c r="AP65" s="34">
        <f>W65*N65</f>
        <v/>
      </c>
      <c r="AQ65" s="34">
        <f>T65*N65</f>
        <v/>
      </c>
      <c r="AR65" s="34">
        <f>Z65*J66+0.5*Z65*(O65+P65)</f>
        <v/>
      </c>
      <c r="AS65" s="30">
        <f>(1+InflationRate)^(A65/12)</f>
        <v/>
      </c>
      <c r="AT65" s="29">
        <f>ExpenseAcq*M65+N65*ExpenseMaint/12*AS65</f>
        <v/>
      </c>
      <c r="AU65" s="29">
        <f>CommissionRate*AE65</f>
        <v/>
      </c>
      <c r="AV65" s="34">
        <f>AB66-AB65</f>
        <v/>
      </c>
      <c r="AW65" s="34">
        <f>AE65+AR65-AN65-AT65-AU65-AV65</f>
        <v/>
      </c>
      <c r="AX65" s="29">
        <f>LoadPremRate*E65*N65+AK65+AQ65-AU65-AT65</f>
        <v/>
      </c>
      <c r="AY65" s="34">
        <f>AP65-AO65</f>
        <v/>
      </c>
      <c r="AZ65" s="37">
        <f>(AW65-AX65-AY65)/MAX(1,ABS(AW65),ABS(AX65),ABS(AY65))</f>
        <v/>
      </c>
      <c r="BA65" s="37">
        <f>IF(OR(K65&gt;0,K66&gt;0),0,(AC66-(AC65+AF65-AQ65-AP65+AR65-AI65-AJ65-AM65))/MAX(1,ABS(AC65),ABS(AC66)))</f>
        <v/>
      </c>
      <c r="BB65" s="35">
        <f>(1+INDEX(DiscRateAnn,INT(A65/12)+1))^(1/12)-1</f>
        <v/>
      </c>
      <c r="BC65" s="31">
        <f>(1+BB65)^-A65</f>
        <v/>
      </c>
      <c r="BD65" s="34">
        <f>AW65*BC65</f>
        <v/>
      </c>
    </row>
    <row r="66">
      <c r="A66" s="27">
        <f>A65+1</f>
        <v/>
      </c>
      <c r="B66" s="28">
        <f>Duration0+A66</f>
        <v/>
      </c>
      <c r="C66" s="27">
        <f>INT(B66/12)</f>
        <v/>
      </c>
      <c r="D66" s="28">
        <f>AgeAtEntry+C66</f>
        <v/>
      </c>
      <c r="E66" s="29">
        <f>IF(PremiumType="SINGLE",IF(B66=0,PremiumPPInput,0),IF(B66&lt;12*PolicyTerm,PremiumPPInput,0))</f>
        <v/>
      </c>
      <c r="F66" s="30">
        <f>INDEX(MortRates,MATCH(MIN(D66,120),MortAges,0),MAX(MIN(C66,5),0)+1)</f>
        <v/>
      </c>
      <c r="G66" s="31">
        <f>1-(1-F66)^(1/12)</f>
        <v/>
      </c>
      <c r="H66" s="32">
        <f>MAX(LapseBase-LapseStep*C66,LapseFloor)</f>
        <v/>
      </c>
      <c r="I66" s="32">
        <f>IF(HasSurrCharge,INDEX(SurrRates,MIN(C66,SurrDurMax)+1,MATCH(SurrChargeID,SurrTypes,0)),0)</f>
        <v/>
      </c>
      <c r="J66" s="33">
        <f>N65-P65-O65</f>
        <v/>
      </c>
      <c r="K66" s="30">
        <f>IF(B66=12*PolicyTerm,J66,0)</f>
        <v/>
      </c>
      <c r="L66" s="33">
        <f>J66-K66</f>
        <v/>
      </c>
      <c r="M66" s="30">
        <f>IF(B66=0,PolicyCount,0)</f>
        <v/>
      </c>
      <c r="N66" s="33">
        <f>L66+M66</f>
        <v/>
      </c>
      <c r="O66" s="31">
        <f>N66*G66</f>
        <v/>
      </c>
      <c r="P66" s="33">
        <f>(N66-O66)*(1-(1-H66)^(1/12))</f>
        <v/>
      </c>
      <c r="Q66" s="34">
        <f>X65+Z65</f>
        <v/>
      </c>
      <c r="R66" s="29">
        <f>(1-LoadPremRate)*E66</f>
        <v/>
      </c>
      <c r="S66" s="34">
        <f>Q66+R66</f>
        <v/>
      </c>
      <c r="T66" s="29">
        <f>MaintFeeRateAnn/12*S66</f>
        <v/>
      </c>
      <c r="U66" s="29">
        <f>MAX(SumAssured-S66,0)</f>
        <v/>
      </c>
      <c r="V66" s="35">
        <f>CoiMultiple*G66</f>
        <v/>
      </c>
      <c r="W66" s="34">
        <f>V66*U66</f>
        <v/>
      </c>
      <c r="X66" s="34">
        <f>S66-T66-W66</f>
        <v/>
      </c>
      <c r="Y66" s="36">
        <f>EXP((Mu-0.5*Sigma^2)/12+Sigma*SQRT(1/12)*INDEX(NormRand,ScenID,A66+1))-1</f>
        <v/>
      </c>
      <c r="Z66" s="34">
        <f>Y66*X66</f>
        <v/>
      </c>
      <c r="AA66" s="34">
        <f>X66+0.5*Z66</f>
        <v/>
      </c>
      <c r="AB66" s="34">
        <f>Q66*J66</f>
        <v/>
      </c>
      <c r="AC66" s="34">
        <f>Q66*L66</f>
        <v/>
      </c>
      <c r="AD66" s="34">
        <f>S66*N66</f>
        <v/>
      </c>
      <c r="AE66" s="34">
        <f>E66*N66</f>
        <v/>
      </c>
      <c r="AF66" s="34">
        <f>R66*N66</f>
        <v/>
      </c>
      <c r="AG66" s="29">
        <f>MAX(SumAssured,AA66)</f>
        <v/>
      </c>
      <c r="AH66" s="34">
        <f>AG66*O66</f>
        <v/>
      </c>
      <c r="AI66" s="34">
        <f>AA66*O66</f>
        <v/>
      </c>
      <c r="AJ66" s="34">
        <f>AA66*P66</f>
        <v/>
      </c>
      <c r="AK66" s="34">
        <f>I66*AA66*P66</f>
        <v/>
      </c>
      <c r="AL66" s="34">
        <f>AJ66-AK66</f>
        <v/>
      </c>
      <c r="AM66" s="34">
        <f>Q66*K66</f>
        <v/>
      </c>
      <c r="AN66" s="34">
        <f>AH66+AL66+AM66</f>
        <v/>
      </c>
      <c r="AO66" s="34">
        <f>(AG66-AA66)*O66</f>
        <v/>
      </c>
      <c r="AP66" s="34">
        <f>W66*N66</f>
        <v/>
      </c>
      <c r="AQ66" s="34">
        <f>T66*N66</f>
        <v/>
      </c>
      <c r="AR66" s="34">
        <f>Z66*J67+0.5*Z66*(O66+P66)</f>
        <v/>
      </c>
      <c r="AS66" s="30">
        <f>(1+InflationRate)^(A66/12)</f>
        <v/>
      </c>
      <c r="AT66" s="29">
        <f>ExpenseAcq*M66+N66*ExpenseMaint/12*AS66</f>
        <v/>
      </c>
      <c r="AU66" s="29">
        <f>CommissionRate*AE66</f>
        <v/>
      </c>
      <c r="AV66" s="34">
        <f>AB67-AB66</f>
        <v/>
      </c>
      <c r="AW66" s="34">
        <f>AE66+AR66-AN66-AT66-AU66-AV66</f>
        <v/>
      </c>
      <c r="AX66" s="29">
        <f>LoadPremRate*E66*N66+AK66+AQ66-AU66-AT66</f>
        <v/>
      </c>
      <c r="AY66" s="34">
        <f>AP66-AO66</f>
        <v/>
      </c>
      <c r="AZ66" s="37">
        <f>(AW66-AX66-AY66)/MAX(1,ABS(AW66),ABS(AX66),ABS(AY66))</f>
        <v/>
      </c>
      <c r="BA66" s="37">
        <f>IF(OR(K66&gt;0,K67&gt;0),0,(AC67-(AC66+AF66-AQ66-AP66+AR66-AI66-AJ66-AM66))/MAX(1,ABS(AC66),ABS(AC67)))</f>
        <v/>
      </c>
      <c r="BB66" s="35">
        <f>(1+INDEX(DiscRateAnn,INT(A66/12)+1))^(1/12)-1</f>
        <v/>
      </c>
      <c r="BC66" s="31">
        <f>(1+BB66)^-A66</f>
        <v/>
      </c>
      <c r="BD66" s="34">
        <f>AW66*BC66</f>
        <v/>
      </c>
    </row>
    <row r="67">
      <c r="A67" s="27">
        <f>A66+1</f>
        <v/>
      </c>
      <c r="B67" s="28">
        <f>Duration0+A67</f>
        <v/>
      </c>
      <c r="C67" s="27">
        <f>INT(B67/12)</f>
        <v/>
      </c>
      <c r="D67" s="28">
        <f>AgeAtEntry+C67</f>
        <v/>
      </c>
      <c r="E67" s="29">
        <f>IF(PremiumType="SINGLE",IF(B67=0,PremiumPPInput,0),IF(B67&lt;12*PolicyTerm,PremiumPPInput,0))</f>
        <v/>
      </c>
      <c r="F67" s="30">
        <f>INDEX(MortRates,MATCH(MIN(D67,120),MortAges,0),MAX(MIN(C67,5),0)+1)</f>
        <v/>
      </c>
      <c r="G67" s="31">
        <f>1-(1-F67)^(1/12)</f>
        <v/>
      </c>
      <c r="H67" s="32">
        <f>MAX(LapseBase-LapseStep*C67,LapseFloor)</f>
        <v/>
      </c>
      <c r="I67" s="32">
        <f>IF(HasSurrCharge,INDEX(SurrRates,MIN(C67,SurrDurMax)+1,MATCH(SurrChargeID,SurrTypes,0)),0)</f>
        <v/>
      </c>
      <c r="J67" s="33">
        <f>N66-P66-O66</f>
        <v/>
      </c>
      <c r="K67" s="30">
        <f>IF(B67=12*PolicyTerm,J67,0)</f>
        <v/>
      </c>
      <c r="L67" s="33">
        <f>J67-K67</f>
        <v/>
      </c>
      <c r="M67" s="30">
        <f>IF(B67=0,PolicyCount,0)</f>
        <v/>
      </c>
      <c r="N67" s="33">
        <f>L67+M67</f>
        <v/>
      </c>
      <c r="O67" s="31">
        <f>N67*G67</f>
        <v/>
      </c>
      <c r="P67" s="33">
        <f>(N67-O67)*(1-(1-H67)^(1/12))</f>
        <v/>
      </c>
      <c r="Q67" s="34">
        <f>X66+Z66</f>
        <v/>
      </c>
      <c r="R67" s="29">
        <f>(1-LoadPremRate)*E67</f>
        <v/>
      </c>
      <c r="S67" s="34">
        <f>Q67+R67</f>
        <v/>
      </c>
      <c r="T67" s="29">
        <f>MaintFeeRateAnn/12*S67</f>
        <v/>
      </c>
      <c r="U67" s="29">
        <f>MAX(SumAssured-S67,0)</f>
        <v/>
      </c>
      <c r="V67" s="35">
        <f>CoiMultiple*G67</f>
        <v/>
      </c>
      <c r="W67" s="34">
        <f>V67*U67</f>
        <v/>
      </c>
      <c r="X67" s="34">
        <f>S67-T67-W67</f>
        <v/>
      </c>
      <c r="Y67" s="36">
        <f>EXP((Mu-0.5*Sigma^2)/12+Sigma*SQRT(1/12)*INDEX(NormRand,ScenID,A67+1))-1</f>
        <v/>
      </c>
      <c r="Z67" s="34">
        <f>Y67*X67</f>
        <v/>
      </c>
      <c r="AA67" s="34">
        <f>X67+0.5*Z67</f>
        <v/>
      </c>
      <c r="AB67" s="34">
        <f>Q67*J67</f>
        <v/>
      </c>
      <c r="AC67" s="34">
        <f>Q67*L67</f>
        <v/>
      </c>
      <c r="AD67" s="34">
        <f>S67*N67</f>
        <v/>
      </c>
      <c r="AE67" s="34">
        <f>E67*N67</f>
        <v/>
      </c>
      <c r="AF67" s="34">
        <f>R67*N67</f>
        <v/>
      </c>
      <c r="AG67" s="29">
        <f>MAX(SumAssured,AA67)</f>
        <v/>
      </c>
      <c r="AH67" s="34">
        <f>AG67*O67</f>
        <v/>
      </c>
      <c r="AI67" s="34">
        <f>AA67*O67</f>
        <v/>
      </c>
      <c r="AJ67" s="34">
        <f>AA67*P67</f>
        <v/>
      </c>
      <c r="AK67" s="34">
        <f>I67*AA67*P67</f>
        <v/>
      </c>
      <c r="AL67" s="34">
        <f>AJ67-AK67</f>
        <v/>
      </c>
      <c r="AM67" s="34">
        <f>Q67*K67</f>
        <v/>
      </c>
      <c r="AN67" s="34">
        <f>AH67+AL67+AM67</f>
        <v/>
      </c>
      <c r="AO67" s="34">
        <f>(AG67-AA67)*O67</f>
        <v/>
      </c>
      <c r="AP67" s="34">
        <f>W67*N67</f>
        <v/>
      </c>
      <c r="AQ67" s="34">
        <f>T67*N67</f>
        <v/>
      </c>
      <c r="AR67" s="34">
        <f>Z67*J68+0.5*Z67*(O67+P67)</f>
        <v/>
      </c>
      <c r="AS67" s="30">
        <f>(1+InflationRate)^(A67/12)</f>
        <v/>
      </c>
      <c r="AT67" s="29">
        <f>ExpenseAcq*M67+N67*ExpenseMaint/12*AS67</f>
        <v/>
      </c>
      <c r="AU67" s="29">
        <f>CommissionRate*AE67</f>
        <v/>
      </c>
      <c r="AV67" s="34">
        <f>AB68-AB67</f>
        <v/>
      </c>
      <c r="AW67" s="34">
        <f>AE67+AR67-AN67-AT67-AU67-AV67</f>
        <v/>
      </c>
      <c r="AX67" s="29">
        <f>LoadPremRate*E67*N67+AK67+AQ67-AU67-AT67</f>
        <v/>
      </c>
      <c r="AY67" s="34">
        <f>AP67-AO67</f>
        <v/>
      </c>
      <c r="AZ67" s="37">
        <f>(AW67-AX67-AY67)/MAX(1,ABS(AW67),ABS(AX67),ABS(AY67))</f>
        <v/>
      </c>
      <c r="BA67" s="37">
        <f>IF(OR(K67&gt;0,K68&gt;0),0,(AC68-(AC67+AF67-AQ67-AP67+AR67-AI67-AJ67-AM67))/MAX(1,ABS(AC67),ABS(AC68)))</f>
        <v/>
      </c>
      <c r="BB67" s="35">
        <f>(1+INDEX(DiscRateAnn,INT(A67/12)+1))^(1/12)-1</f>
        <v/>
      </c>
      <c r="BC67" s="31">
        <f>(1+BB67)^-A67</f>
        <v/>
      </c>
      <c r="BD67" s="34">
        <f>AW67*BC67</f>
        <v/>
      </c>
    </row>
    <row r="68">
      <c r="A68" s="27">
        <f>A67+1</f>
        <v/>
      </c>
      <c r="B68" s="28">
        <f>Duration0+A68</f>
        <v/>
      </c>
      <c r="C68" s="27">
        <f>INT(B68/12)</f>
        <v/>
      </c>
      <c r="D68" s="28">
        <f>AgeAtEntry+C68</f>
        <v/>
      </c>
      <c r="E68" s="29">
        <f>IF(PremiumType="SINGLE",IF(B68=0,PremiumPPInput,0),IF(B68&lt;12*PolicyTerm,PremiumPPInput,0))</f>
        <v/>
      </c>
      <c r="F68" s="30">
        <f>INDEX(MortRates,MATCH(MIN(D68,120),MortAges,0),MAX(MIN(C68,5),0)+1)</f>
        <v/>
      </c>
      <c r="G68" s="31">
        <f>1-(1-F68)^(1/12)</f>
        <v/>
      </c>
      <c r="H68" s="32">
        <f>MAX(LapseBase-LapseStep*C68,LapseFloor)</f>
        <v/>
      </c>
      <c r="I68" s="32">
        <f>IF(HasSurrCharge,INDEX(SurrRates,MIN(C68,SurrDurMax)+1,MATCH(SurrChargeID,SurrTypes,0)),0)</f>
        <v/>
      </c>
      <c r="J68" s="33">
        <f>N67-P67-O67</f>
        <v/>
      </c>
      <c r="K68" s="30">
        <f>IF(B68=12*PolicyTerm,J68,0)</f>
        <v/>
      </c>
      <c r="L68" s="33">
        <f>J68-K68</f>
        <v/>
      </c>
      <c r="M68" s="30">
        <f>IF(B68=0,PolicyCount,0)</f>
        <v/>
      </c>
      <c r="N68" s="33">
        <f>L68+M68</f>
        <v/>
      </c>
      <c r="O68" s="31">
        <f>N68*G68</f>
        <v/>
      </c>
      <c r="P68" s="33">
        <f>(N68-O68)*(1-(1-H68)^(1/12))</f>
        <v/>
      </c>
      <c r="Q68" s="34">
        <f>X67+Z67</f>
        <v/>
      </c>
      <c r="R68" s="29">
        <f>(1-LoadPremRate)*E68</f>
        <v/>
      </c>
      <c r="S68" s="34">
        <f>Q68+R68</f>
        <v/>
      </c>
      <c r="T68" s="29">
        <f>MaintFeeRateAnn/12*S68</f>
        <v/>
      </c>
      <c r="U68" s="29">
        <f>MAX(SumAssured-S68,0)</f>
        <v/>
      </c>
      <c r="V68" s="35">
        <f>CoiMultiple*G68</f>
        <v/>
      </c>
      <c r="W68" s="34">
        <f>V68*U68</f>
        <v/>
      </c>
      <c r="X68" s="34">
        <f>S68-T68-W68</f>
        <v/>
      </c>
      <c r="Y68" s="36">
        <f>EXP((Mu-0.5*Sigma^2)/12+Sigma*SQRT(1/12)*INDEX(NormRand,ScenID,A68+1))-1</f>
        <v/>
      </c>
      <c r="Z68" s="34">
        <f>Y68*X68</f>
        <v/>
      </c>
      <c r="AA68" s="34">
        <f>X68+0.5*Z68</f>
        <v/>
      </c>
      <c r="AB68" s="34">
        <f>Q68*J68</f>
        <v/>
      </c>
      <c r="AC68" s="34">
        <f>Q68*L68</f>
        <v/>
      </c>
      <c r="AD68" s="34">
        <f>S68*N68</f>
        <v/>
      </c>
      <c r="AE68" s="34">
        <f>E68*N68</f>
        <v/>
      </c>
      <c r="AF68" s="34">
        <f>R68*N68</f>
        <v/>
      </c>
      <c r="AG68" s="29">
        <f>MAX(SumAssured,AA68)</f>
        <v/>
      </c>
      <c r="AH68" s="34">
        <f>AG68*O68</f>
        <v/>
      </c>
      <c r="AI68" s="34">
        <f>AA68*O68</f>
        <v/>
      </c>
      <c r="AJ68" s="34">
        <f>AA68*P68</f>
        <v/>
      </c>
      <c r="AK68" s="34">
        <f>I68*AA68*P68</f>
        <v/>
      </c>
      <c r="AL68" s="34">
        <f>AJ68-AK68</f>
        <v/>
      </c>
      <c r="AM68" s="34">
        <f>Q68*K68</f>
        <v/>
      </c>
      <c r="AN68" s="34">
        <f>AH68+AL68+AM68</f>
        <v/>
      </c>
      <c r="AO68" s="34">
        <f>(AG68-AA68)*O68</f>
        <v/>
      </c>
      <c r="AP68" s="34">
        <f>W68*N68</f>
        <v/>
      </c>
      <c r="AQ68" s="34">
        <f>T68*N68</f>
        <v/>
      </c>
      <c r="AR68" s="34">
        <f>Z68*J69+0.5*Z68*(O68+P68)</f>
        <v/>
      </c>
      <c r="AS68" s="30">
        <f>(1+InflationRate)^(A68/12)</f>
        <v/>
      </c>
      <c r="AT68" s="29">
        <f>ExpenseAcq*M68+N68*ExpenseMaint/12*AS68</f>
        <v/>
      </c>
      <c r="AU68" s="29">
        <f>CommissionRate*AE68</f>
        <v/>
      </c>
      <c r="AV68" s="34">
        <f>AB69-AB68</f>
        <v/>
      </c>
      <c r="AW68" s="34">
        <f>AE68+AR68-AN68-AT68-AU68-AV68</f>
        <v/>
      </c>
      <c r="AX68" s="29">
        <f>LoadPremRate*E68*N68+AK68+AQ68-AU68-AT68</f>
        <v/>
      </c>
      <c r="AY68" s="34">
        <f>AP68-AO68</f>
        <v/>
      </c>
      <c r="AZ68" s="37">
        <f>(AW68-AX68-AY68)/MAX(1,ABS(AW68),ABS(AX68),ABS(AY68))</f>
        <v/>
      </c>
      <c r="BA68" s="37">
        <f>IF(OR(K68&gt;0,K69&gt;0),0,(AC69-(AC68+AF68-AQ68-AP68+AR68-AI68-AJ68-AM68))/MAX(1,ABS(AC68),ABS(AC69)))</f>
        <v/>
      </c>
      <c r="BB68" s="35">
        <f>(1+INDEX(DiscRateAnn,INT(A68/12)+1))^(1/12)-1</f>
        <v/>
      </c>
      <c r="BC68" s="31">
        <f>(1+BB68)^-A68</f>
        <v/>
      </c>
      <c r="BD68" s="34">
        <f>AW68*BC68</f>
        <v/>
      </c>
    </row>
    <row r="69">
      <c r="A69" s="27">
        <f>A68+1</f>
        <v/>
      </c>
      <c r="B69" s="28">
        <f>Duration0+A69</f>
        <v/>
      </c>
      <c r="C69" s="27">
        <f>INT(B69/12)</f>
        <v/>
      </c>
      <c r="D69" s="28">
        <f>AgeAtEntry+C69</f>
        <v/>
      </c>
      <c r="E69" s="29">
        <f>IF(PremiumType="SINGLE",IF(B69=0,PremiumPPInput,0),IF(B69&lt;12*PolicyTerm,PremiumPPInput,0))</f>
        <v/>
      </c>
      <c r="F69" s="30">
        <f>INDEX(MortRates,MATCH(MIN(D69,120),MortAges,0),MAX(MIN(C69,5),0)+1)</f>
        <v/>
      </c>
      <c r="G69" s="31">
        <f>1-(1-F69)^(1/12)</f>
        <v/>
      </c>
      <c r="H69" s="32">
        <f>MAX(LapseBase-LapseStep*C69,LapseFloor)</f>
        <v/>
      </c>
      <c r="I69" s="32">
        <f>IF(HasSurrCharge,INDEX(SurrRates,MIN(C69,SurrDurMax)+1,MATCH(SurrChargeID,SurrTypes,0)),0)</f>
        <v/>
      </c>
      <c r="J69" s="33">
        <f>N68-P68-O68</f>
        <v/>
      </c>
      <c r="K69" s="30">
        <f>IF(B69=12*PolicyTerm,J69,0)</f>
        <v/>
      </c>
      <c r="L69" s="33">
        <f>J69-K69</f>
        <v/>
      </c>
      <c r="M69" s="30">
        <f>IF(B69=0,PolicyCount,0)</f>
        <v/>
      </c>
      <c r="N69" s="33">
        <f>L69+M69</f>
        <v/>
      </c>
      <c r="O69" s="31">
        <f>N69*G69</f>
        <v/>
      </c>
      <c r="P69" s="33">
        <f>(N69-O69)*(1-(1-H69)^(1/12))</f>
        <v/>
      </c>
      <c r="Q69" s="34">
        <f>X68+Z68</f>
        <v/>
      </c>
      <c r="R69" s="29">
        <f>(1-LoadPremRate)*E69</f>
        <v/>
      </c>
      <c r="S69" s="34">
        <f>Q69+R69</f>
        <v/>
      </c>
      <c r="T69" s="29">
        <f>MaintFeeRateAnn/12*S69</f>
        <v/>
      </c>
      <c r="U69" s="29">
        <f>MAX(SumAssured-S69,0)</f>
        <v/>
      </c>
      <c r="V69" s="35">
        <f>CoiMultiple*G69</f>
        <v/>
      </c>
      <c r="W69" s="34">
        <f>V69*U69</f>
        <v/>
      </c>
      <c r="X69" s="34">
        <f>S69-T69-W69</f>
        <v/>
      </c>
      <c r="Y69" s="36">
        <f>EXP((Mu-0.5*Sigma^2)/12+Sigma*SQRT(1/12)*INDEX(NormRand,ScenID,A69+1))-1</f>
        <v/>
      </c>
      <c r="Z69" s="34">
        <f>Y69*X69</f>
        <v/>
      </c>
      <c r="AA69" s="34">
        <f>X69+0.5*Z69</f>
        <v/>
      </c>
      <c r="AB69" s="34">
        <f>Q69*J69</f>
        <v/>
      </c>
      <c r="AC69" s="34">
        <f>Q69*L69</f>
        <v/>
      </c>
      <c r="AD69" s="34">
        <f>S69*N69</f>
        <v/>
      </c>
      <c r="AE69" s="34">
        <f>E69*N69</f>
        <v/>
      </c>
      <c r="AF69" s="34">
        <f>R69*N69</f>
        <v/>
      </c>
      <c r="AG69" s="29">
        <f>MAX(SumAssured,AA69)</f>
        <v/>
      </c>
      <c r="AH69" s="34">
        <f>AG69*O69</f>
        <v/>
      </c>
      <c r="AI69" s="34">
        <f>AA69*O69</f>
        <v/>
      </c>
      <c r="AJ69" s="34">
        <f>AA69*P69</f>
        <v/>
      </c>
      <c r="AK69" s="34">
        <f>I69*AA69*P69</f>
        <v/>
      </c>
      <c r="AL69" s="34">
        <f>AJ69-AK69</f>
        <v/>
      </c>
      <c r="AM69" s="34">
        <f>Q69*K69</f>
        <v/>
      </c>
      <c r="AN69" s="34">
        <f>AH69+AL69+AM69</f>
        <v/>
      </c>
      <c r="AO69" s="34">
        <f>(AG69-AA69)*O69</f>
        <v/>
      </c>
      <c r="AP69" s="34">
        <f>W69*N69</f>
        <v/>
      </c>
      <c r="AQ69" s="34">
        <f>T69*N69</f>
        <v/>
      </c>
      <c r="AR69" s="34">
        <f>Z69*J70+0.5*Z69*(O69+P69)</f>
        <v/>
      </c>
      <c r="AS69" s="30">
        <f>(1+InflationRate)^(A69/12)</f>
        <v/>
      </c>
      <c r="AT69" s="29">
        <f>ExpenseAcq*M69+N69*ExpenseMaint/12*AS69</f>
        <v/>
      </c>
      <c r="AU69" s="29">
        <f>CommissionRate*AE69</f>
        <v/>
      </c>
      <c r="AV69" s="34">
        <f>AB70-AB69</f>
        <v/>
      </c>
      <c r="AW69" s="34">
        <f>AE69+AR69-AN69-AT69-AU69-AV69</f>
        <v/>
      </c>
      <c r="AX69" s="29">
        <f>LoadPremRate*E69*N69+AK69+AQ69-AU69-AT69</f>
        <v/>
      </c>
      <c r="AY69" s="34">
        <f>AP69-AO69</f>
        <v/>
      </c>
      <c r="AZ69" s="37">
        <f>(AW69-AX69-AY69)/MAX(1,ABS(AW69),ABS(AX69),ABS(AY69))</f>
        <v/>
      </c>
      <c r="BA69" s="37">
        <f>IF(OR(K69&gt;0,K70&gt;0),0,(AC70-(AC69+AF69-AQ69-AP69+AR69-AI69-AJ69-AM69))/MAX(1,ABS(AC69),ABS(AC70)))</f>
        <v/>
      </c>
      <c r="BB69" s="35">
        <f>(1+INDEX(DiscRateAnn,INT(A69/12)+1))^(1/12)-1</f>
        <v/>
      </c>
      <c r="BC69" s="31">
        <f>(1+BB69)^-A69</f>
        <v/>
      </c>
      <c r="BD69" s="34">
        <f>AW69*BC69</f>
        <v/>
      </c>
    </row>
    <row r="70">
      <c r="A70" s="27">
        <f>A69+1</f>
        <v/>
      </c>
      <c r="B70" s="28">
        <f>Duration0+A70</f>
        <v/>
      </c>
      <c r="C70" s="27">
        <f>INT(B70/12)</f>
        <v/>
      </c>
      <c r="D70" s="28">
        <f>AgeAtEntry+C70</f>
        <v/>
      </c>
      <c r="E70" s="29">
        <f>IF(PremiumType="SINGLE",IF(B70=0,PremiumPPInput,0),IF(B70&lt;12*PolicyTerm,PremiumPPInput,0))</f>
        <v/>
      </c>
      <c r="F70" s="30">
        <f>INDEX(MortRates,MATCH(MIN(D70,120),MortAges,0),MAX(MIN(C70,5),0)+1)</f>
        <v/>
      </c>
      <c r="G70" s="31">
        <f>1-(1-F70)^(1/12)</f>
        <v/>
      </c>
      <c r="H70" s="32">
        <f>MAX(LapseBase-LapseStep*C70,LapseFloor)</f>
        <v/>
      </c>
      <c r="I70" s="32">
        <f>IF(HasSurrCharge,INDEX(SurrRates,MIN(C70,SurrDurMax)+1,MATCH(SurrChargeID,SurrTypes,0)),0)</f>
        <v/>
      </c>
      <c r="J70" s="33">
        <f>N69-P69-O69</f>
        <v/>
      </c>
      <c r="K70" s="30">
        <f>IF(B70=12*PolicyTerm,J70,0)</f>
        <v/>
      </c>
      <c r="L70" s="33">
        <f>J70-K70</f>
        <v/>
      </c>
      <c r="M70" s="30">
        <f>IF(B70=0,PolicyCount,0)</f>
        <v/>
      </c>
      <c r="N70" s="33">
        <f>L70+M70</f>
        <v/>
      </c>
      <c r="O70" s="31">
        <f>N70*G70</f>
        <v/>
      </c>
      <c r="P70" s="33">
        <f>(N70-O70)*(1-(1-H70)^(1/12))</f>
        <v/>
      </c>
      <c r="Q70" s="34">
        <f>X69+Z69</f>
        <v/>
      </c>
      <c r="R70" s="29">
        <f>(1-LoadPremRate)*E70</f>
        <v/>
      </c>
      <c r="S70" s="34">
        <f>Q70+R70</f>
        <v/>
      </c>
      <c r="T70" s="29">
        <f>MaintFeeRateAnn/12*S70</f>
        <v/>
      </c>
      <c r="U70" s="29">
        <f>MAX(SumAssured-S70,0)</f>
        <v/>
      </c>
      <c r="V70" s="35">
        <f>CoiMultiple*G70</f>
        <v/>
      </c>
      <c r="W70" s="34">
        <f>V70*U70</f>
        <v/>
      </c>
      <c r="X70" s="34">
        <f>S70-T70-W70</f>
        <v/>
      </c>
      <c r="Y70" s="36">
        <f>EXP((Mu-0.5*Sigma^2)/12+Sigma*SQRT(1/12)*INDEX(NormRand,ScenID,A70+1))-1</f>
        <v/>
      </c>
      <c r="Z70" s="34">
        <f>Y70*X70</f>
        <v/>
      </c>
      <c r="AA70" s="34">
        <f>X70+0.5*Z70</f>
        <v/>
      </c>
      <c r="AB70" s="34">
        <f>Q70*J70</f>
        <v/>
      </c>
      <c r="AC70" s="34">
        <f>Q70*L70</f>
        <v/>
      </c>
      <c r="AD70" s="34">
        <f>S70*N70</f>
        <v/>
      </c>
      <c r="AE70" s="34">
        <f>E70*N70</f>
        <v/>
      </c>
      <c r="AF70" s="34">
        <f>R70*N70</f>
        <v/>
      </c>
      <c r="AG70" s="29">
        <f>MAX(SumAssured,AA70)</f>
        <v/>
      </c>
      <c r="AH70" s="34">
        <f>AG70*O70</f>
        <v/>
      </c>
      <c r="AI70" s="34">
        <f>AA70*O70</f>
        <v/>
      </c>
      <c r="AJ70" s="34">
        <f>AA70*P70</f>
        <v/>
      </c>
      <c r="AK70" s="34">
        <f>I70*AA70*P70</f>
        <v/>
      </c>
      <c r="AL70" s="34">
        <f>AJ70-AK70</f>
        <v/>
      </c>
      <c r="AM70" s="34">
        <f>Q70*K70</f>
        <v/>
      </c>
      <c r="AN70" s="34">
        <f>AH70+AL70+AM70</f>
        <v/>
      </c>
      <c r="AO70" s="34">
        <f>(AG70-AA70)*O70</f>
        <v/>
      </c>
      <c r="AP70" s="34">
        <f>W70*N70</f>
        <v/>
      </c>
      <c r="AQ70" s="34">
        <f>T70*N70</f>
        <v/>
      </c>
      <c r="AR70" s="34">
        <f>Z70*J71+0.5*Z70*(O70+P70)</f>
        <v/>
      </c>
      <c r="AS70" s="30">
        <f>(1+InflationRate)^(A70/12)</f>
        <v/>
      </c>
      <c r="AT70" s="29">
        <f>ExpenseAcq*M70+N70*ExpenseMaint/12*AS70</f>
        <v/>
      </c>
      <c r="AU70" s="29">
        <f>CommissionRate*AE70</f>
        <v/>
      </c>
      <c r="AV70" s="34">
        <f>AB71-AB70</f>
        <v/>
      </c>
      <c r="AW70" s="34">
        <f>AE70+AR70-AN70-AT70-AU70-AV70</f>
        <v/>
      </c>
      <c r="AX70" s="29">
        <f>LoadPremRate*E70*N70+AK70+AQ70-AU70-AT70</f>
        <v/>
      </c>
      <c r="AY70" s="34">
        <f>AP70-AO70</f>
        <v/>
      </c>
      <c r="AZ70" s="37">
        <f>(AW70-AX70-AY70)/MAX(1,ABS(AW70),ABS(AX70),ABS(AY70))</f>
        <v/>
      </c>
      <c r="BA70" s="37">
        <f>IF(OR(K70&gt;0,K71&gt;0),0,(AC71-(AC70+AF70-AQ70-AP70+AR70-AI70-AJ70-AM70))/MAX(1,ABS(AC70),ABS(AC71)))</f>
        <v/>
      </c>
      <c r="BB70" s="35">
        <f>(1+INDEX(DiscRateAnn,INT(A70/12)+1))^(1/12)-1</f>
        <v/>
      </c>
      <c r="BC70" s="31">
        <f>(1+BB70)^-A70</f>
        <v/>
      </c>
      <c r="BD70" s="34">
        <f>AW70*BC70</f>
        <v/>
      </c>
    </row>
    <row r="71">
      <c r="A71" s="27">
        <f>A70+1</f>
        <v/>
      </c>
      <c r="B71" s="28">
        <f>Duration0+A71</f>
        <v/>
      </c>
      <c r="C71" s="27">
        <f>INT(B71/12)</f>
        <v/>
      </c>
      <c r="D71" s="28">
        <f>AgeAtEntry+C71</f>
        <v/>
      </c>
      <c r="E71" s="29">
        <f>IF(PremiumType="SINGLE",IF(B71=0,PremiumPPInput,0),IF(B71&lt;12*PolicyTerm,PremiumPPInput,0))</f>
        <v/>
      </c>
      <c r="F71" s="30">
        <f>INDEX(MortRates,MATCH(MIN(D71,120),MortAges,0),MAX(MIN(C71,5),0)+1)</f>
        <v/>
      </c>
      <c r="G71" s="31">
        <f>1-(1-F71)^(1/12)</f>
        <v/>
      </c>
      <c r="H71" s="32">
        <f>MAX(LapseBase-LapseStep*C71,LapseFloor)</f>
        <v/>
      </c>
      <c r="I71" s="32">
        <f>IF(HasSurrCharge,INDEX(SurrRates,MIN(C71,SurrDurMax)+1,MATCH(SurrChargeID,SurrTypes,0)),0)</f>
        <v/>
      </c>
      <c r="J71" s="33">
        <f>N70-P70-O70</f>
        <v/>
      </c>
      <c r="K71" s="30">
        <f>IF(B71=12*PolicyTerm,J71,0)</f>
        <v/>
      </c>
      <c r="L71" s="33">
        <f>J71-K71</f>
        <v/>
      </c>
      <c r="M71" s="30">
        <f>IF(B71=0,PolicyCount,0)</f>
        <v/>
      </c>
      <c r="N71" s="33">
        <f>L71+M71</f>
        <v/>
      </c>
      <c r="O71" s="31">
        <f>N71*G71</f>
        <v/>
      </c>
      <c r="P71" s="33">
        <f>(N71-O71)*(1-(1-H71)^(1/12))</f>
        <v/>
      </c>
      <c r="Q71" s="34">
        <f>X70+Z70</f>
        <v/>
      </c>
      <c r="R71" s="29">
        <f>(1-LoadPremRate)*E71</f>
        <v/>
      </c>
      <c r="S71" s="34">
        <f>Q71+R71</f>
        <v/>
      </c>
      <c r="T71" s="29">
        <f>MaintFeeRateAnn/12*S71</f>
        <v/>
      </c>
      <c r="U71" s="29">
        <f>MAX(SumAssured-S71,0)</f>
        <v/>
      </c>
      <c r="V71" s="35">
        <f>CoiMultiple*G71</f>
        <v/>
      </c>
      <c r="W71" s="34">
        <f>V71*U71</f>
        <v/>
      </c>
      <c r="X71" s="34">
        <f>S71-T71-W71</f>
        <v/>
      </c>
      <c r="Y71" s="36">
        <f>EXP((Mu-0.5*Sigma^2)/12+Sigma*SQRT(1/12)*INDEX(NormRand,ScenID,A71+1))-1</f>
        <v/>
      </c>
      <c r="Z71" s="34">
        <f>Y71*X71</f>
        <v/>
      </c>
      <c r="AA71" s="34">
        <f>X71+0.5*Z71</f>
        <v/>
      </c>
      <c r="AB71" s="34">
        <f>Q71*J71</f>
        <v/>
      </c>
      <c r="AC71" s="34">
        <f>Q71*L71</f>
        <v/>
      </c>
      <c r="AD71" s="34">
        <f>S71*N71</f>
        <v/>
      </c>
      <c r="AE71" s="34">
        <f>E71*N71</f>
        <v/>
      </c>
      <c r="AF71" s="34">
        <f>R71*N71</f>
        <v/>
      </c>
      <c r="AG71" s="29">
        <f>MAX(SumAssured,AA71)</f>
        <v/>
      </c>
      <c r="AH71" s="34">
        <f>AG71*O71</f>
        <v/>
      </c>
      <c r="AI71" s="34">
        <f>AA71*O71</f>
        <v/>
      </c>
      <c r="AJ71" s="34">
        <f>AA71*P71</f>
        <v/>
      </c>
      <c r="AK71" s="34">
        <f>I71*AA71*P71</f>
        <v/>
      </c>
      <c r="AL71" s="34">
        <f>AJ71-AK71</f>
        <v/>
      </c>
      <c r="AM71" s="34">
        <f>Q71*K71</f>
        <v/>
      </c>
      <c r="AN71" s="34">
        <f>AH71+AL71+AM71</f>
        <v/>
      </c>
      <c r="AO71" s="34">
        <f>(AG71-AA71)*O71</f>
        <v/>
      </c>
      <c r="AP71" s="34">
        <f>W71*N71</f>
        <v/>
      </c>
      <c r="AQ71" s="34">
        <f>T71*N71</f>
        <v/>
      </c>
      <c r="AR71" s="34">
        <f>Z71*J72+0.5*Z71*(O71+P71)</f>
        <v/>
      </c>
      <c r="AS71" s="30">
        <f>(1+InflationRate)^(A71/12)</f>
        <v/>
      </c>
      <c r="AT71" s="29">
        <f>ExpenseAcq*M71+N71*ExpenseMaint/12*AS71</f>
        <v/>
      </c>
      <c r="AU71" s="29">
        <f>CommissionRate*AE71</f>
        <v/>
      </c>
      <c r="AV71" s="34">
        <f>AB72-AB71</f>
        <v/>
      </c>
      <c r="AW71" s="34">
        <f>AE71+AR71-AN71-AT71-AU71-AV71</f>
        <v/>
      </c>
      <c r="AX71" s="29">
        <f>LoadPremRate*E71*N71+AK71+AQ71-AU71-AT71</f>
        <v/>
      </c>
      <c r="AY71" s="34">
        <f>AP71-AO71</f>
        <v/>
      </c>
      <c r="AZ71" s="37">
        <f>(AW71-AX71-AY71)/MAX(1,ABS(AW71),ABS(AX71),ABS(AY71))</f>
        <v/>
      </c>
      <c r="BA71" s="37">
        <f>IF(OR(K71&gt;0,K72&gt;0),0,(AC72-(AC71+AF71-AQ71-AP71+AR71-AI71-AJ71-AM71))/MAX(1,ABS(AC71),ABS(AC72)))</f>
        <v/>
      </c>
      <c r="BB71" s="35">
        <f>(1+INDEX(DiscRateAnn,INT(A71/12)+1))^(1/12)-1</f>
        <v/>
      </c>
      <c r="BC71" s="31">
        <f>(1+BB71)^-A71</f>
        <v/>
      </c>
      <c r="BD71" s="34">
        <f>AW71*BC71</f>
        <v/>
      </c>
    </row>
    <row r="72">
      <c r="A72" s="27">
        <f>A71+1</f>
        <v/>
      </c>
      <c r="B72" s="28">
        <f>Duration0+A72</f>
        <v/>
      </c>
      <c r="C72" s="27">
        <f>INT(B72/12)</f>
        <v/>
      </c>
      <c r="D72" s="28">
        <f>AgeAtEntry+C72</f>
        <v/>
      </c>
      <c r="E72" s="29">
        <f>IF(PremiumType="SINGLE",IF(B72=0,PremiumPPInput,0),IF(B72&lt;12*PolicyTerm,PremiumPPInput,0))</f>
        <v/>
      </c>
      <c r="F72" s="30">
        <f>INDEX(MortRates,MATCH(MIN(D72,120),MortAges,0),MAX(MIN(C72,5),0)+1)</f>
        <v/>
      </c>
      <c r="G72" s="31">
        <f>1-(1-F72)^(1/12)</f>
        <v/>
      </c>
      <c r="H72" s="32">
        <f>MAX(LapseBase-LapseStep*C72,LapseFloor)</f>
        <v/>
      </c>
      <c r="I72" s="32">
        <f>IF(HasSurrCharge,INDEX(SurrRates,MIN(C72,SurrDurMax)+1,MATCH(SurrChargeID,SurrTypes,0)),0)</f>
        <v/>
      </c>
      <c r="J72" s="33">
        <f>N71-P71-O71</f>
        <v/>
      </c>
      <c r="K72" s="30">
        <f>IF(B72=12*PolicyTerm,J72,0)</f>
        <v/>
      </c>
      <c r="L72" s="33">
        <f>J72-K72</f>
        <v/>
      </c>
      <c r="M72" s="30">
        <f>IF(B72=0,PolicyCount,0)</f>
        <v/>
      </c>
      <c r="N72" s="33">
        <f>L72+M72</f>
        <v/>
      </c>
      <c r="O72" s="31">
        <f>N72*G72</f>
        <v/>
      </c>
      <c r="P72" s="33">
        <f>(N72-O72)*(1-(1-H72)^(1/12))</f>
        <v/>
      </c>
      <c r="Q72" s="34">
        <f>X71+Z71</f>
        <v/>
      </c>
      <c r="R72" s="29">
        <f>(1-LoadPremRate)*E72</f>
        <v/>
      </c>
      <c r="S72" s="34">
        <f>Q72+R72</f>
        <v/>
      </c>
      <c r="T72" s="29">
        <f>MaintFeeRateAnn/12*S72</f>
        <v/>
      </c>
      <c r="U72" s="29">
        <f>MAX(SumAssured-S72,0)</f>
        <v/>
      </c>
      <c r="V72" s="35">
        <f>CoiMultiple*G72</f>
        <v/>
      </c>
      <c r="W72" s="34">
        <f>V72*U72</f>
        <v/>
      </c>
      <c r="X72" s="34">
        <f>S72-T72-W72</f>
        <v/>
      </c>
      <c r="Y72" s="36">
        <f>EXP((Mu-0.5*Sigma^2)/12+Sigma*SQRT(1/12)*INDEX(NormRand,ScenID,A72+1))-1</f>
        <v/>
      </c>
      <c r="Z72" s="34">
        <f>Y72*X72</f>
        <v/>
      </c>
      <c r="AA72" s="34">
        <f>X72+0.5*Z72</f>
        <v/>
      </c>
      <c r="AB72" s="34">
        <f>Q72*J72</f>
        <v/>
      </c>
      <c r="AC72" s="34">
        <f>Q72*L72</f>
        <v/>
      </c>
      <c r="AD72" s="34">
        <f>S72*N72</f>
        <v/>
      </c>
      <c r="AE72" s="34">
        <f>E72*N72</f>
        <v/>
      </c>
      <c r="AF72" s="34">
        <f>R72*N72</f>
        <v/>
      </c>
      <c r="AG72" s="29">
        <f>MAX(SumAssured,AA72)</f>
        <v/>
      </c>
      <c r="AH72" s="34">
        <f>AG72*O72</f>
        <v/>
      </c>
      <c r="AI72" s="34">
        <f>AA72*O72</f>
        <v/>
      </c>
      <c r="AJ72" s="34">
        <f>AA72*P72</f>
        <v/>
      </c>
      <c r="AK72" s="34">
        <f>I72*AA72*P72</f>
        <v/>
      </c>
      <c r="AL72" s="34">
        <f>AJ72-AK72</f>
        <v/>
      </c>
      <c r="AM72" s="34">
        <f>Q72*K72</f>
        <v/>
      </c>
      <c r="AN72" s="34">
        <f>AH72+AL72+AM72</f>
        <v/>
      </c>
      <c r="AO72" s="34">
        <f>(AG72-AA72)*O72</f>
        <v/>
      </c>
      <c r="AP72" s="34">
        <f>W72*N72</f>
        <v/>
      </c>
      <c r="AQ72" s="34">
        <f>T72*N72</f>
        <v/>
      </c>
      <c r="AR72" s="34">
        <f>Z72*J73+0.5*Z72*(O72+P72)</f>
        <v/>
      </c>
      <c r="AS72" s="30">
        <f>(1+InflationRate)^(A72/12)</f>
        <v/>
      </c>
      <c r="AT72" s="29">
        <f>ExpenseAcq*M72+N72*ExpenseMaint/12*AS72</f>
        <v/>
      </c>
      <c r="AU72" s="29">
        <f>CommissionRate*AE72</f>
        <v/>
      </c>
      <c r="AV72" s="34">
        <f>AB73-AB72</f>
        <v/>
      </c>
      <c r="AW72" s="34">
        <f>AE72+AR72-AN72-AT72-AU72-AV72</f>
        <v/>
      </c>
      <c r="AX72" s="29">
        <f>LoadPremRate*E72*N72+AK72+AQ72-AU72-AT72</f>
        <v/>
      </c>
      <c r="AY72" s="34">
        <f>AP72-AO72</f>
        <v/>
      </c>
      <c r="AZ72" s="37">
        <f>(AW72-AX72-AY72)/MAX(1,ABS(AW72),ABS(AX72),ABS(AY72))</f>
        <v/>
      </c>
      <c r="BA72" s="37">
        <f>IF(OR(K72&gt;0,K73&gt;0),0,(AC73-(AC72+AF72-AQ72-AP72+AR72-AI72-AJ72-AM72))/MAX(1,ABS(AC72),ABS(AC73)))</f>
        <v/>
      </c>
      <c r="BB72" s="35">
        <f>(1+INDEX(DiscRateAnn,INT(A72/12)+1))^(1/12)-1</f>
        <v/>
      </c>
      <c r="BC72" s="31">
        <f>(1+BB72)^-A72</f>
        <v/>
      </c>
      <c r="BD72" s="34">
        <f>AW72*BC72</f>
        <v/>
      </c>
    </row>
    <row r="73">
      <c r="A73" s="27">
        <f>A72+1</f>
        <v/>
      </c>
      <c r="B73" s="28">
        <f>Duration0+A73</f>
        <v/>
      </c>
      <c r="C73" s="27">
        <f>INT(B73/12)</f>
        <v/>
      </c>
      <c r="D73" s="28">
        <f>AgeAtEntry+C73</f>
        <v/>
      </c>
      <c r="E73" s="29">
        <f>IF(PremiumType="SINGLE",IF(B73=0,PremiumPPInput,0),IF(B73&lt;12*PolicyTerm,PremiumPPInput,0))</f>
        <v/>
      </c>
      <c r="F73" s="30">
        <f>INDEX(MortRates,MATCH(MIN(D73,120),MortAges,0),MAX(MIN(C73,5),0)+1)</f>
        <v/>
      </c>
      <c r="G73" s="31">
        <f>1-(1-F73)^(1/12)</f>
        <v/>
      </c>
      <c r="H73" s="32">
        <f>MAX(LapseBase-LapseStep*C73,LapseFloor)</f>
        <v/>
      </c>
      <c r="I73" s="32">
        <f>IF(HasSurrCharge,INDEX(SurrRates,MIN(C73,SurrDurMax)+1,MATCH(SurrChargeID,SurrTypes,0)),0)</f>
        <v/>
      </c>
      <c r="J73" s="33">
        <f>N72-P72-O72</f>
        <v/>
      </c>
      <c r="K73" s="30">
        <f>IF(B73=12*PolicyTerm,J73,0)</f>
        <v/>
      </c>
      <c r="L73" s="33">
        <f>J73-K73</f>
        <v/>
      </c>
      <c r="M73" s="30">
        <f>IF(B73=0,PolicyCount,0)</f>
        <v/>
      </c>
      <c r="N73" s="33">
        <f>L73+M73</f>
        <v/>
      </c>
      <c r="O73" s="31">
        <f>N73*G73</f>
        <v/>
      </c>
      <c r="P73" s="33">
        <f>(N73-O73)*(1-(1-H73)^(1/12))</f>
        <v/>
      </c>
      <c r="Q73" s="34">
        <f>X72+Z72</f>
        <v/>
      </c>
      <c r="R73" s="29">
        <f>(1-LoadPremRate)*E73</f>
        <v/>
      </c>
      <c r="S73" s="34">
        <f>Q73+R73</f>
        <v/>
      </c>
      <c r="T73" s="29">
        <f>MaintFeeRateAnn/12*S73</f>
        <v/>
      </c>
      <c r="U73" s="29">
        <f>MAX(SumAssured-S73,0)</f>
        <v/>
      </c>
      <c r="V73" s="35">
        <f>CoiMultiple*G73</f>
        <v/>
      </c>
      <c r="W73" s="34">
        <f>V73*U73</f>
        <v/>
      </c>
      <c r="X73" s="34">
        <f>S73-T73-W73</f>
        <v/>
      </c>
      <c r="Y73" s="36">
        <f>EXP((Mu-0.5*Sigma^2)/12+Sigma*SQRT(1/12)*INDEX(NormRand,ScenID,A73+1))-1</f>
        <v/>
      </c>
      <c r="Z73" s="34">
        <f>Y73*X73</f>
        <v/>
      </c>
      <c r="AA73" s="34">
        <f>X73+0.5*Z73</f>
        <v/>
      </c>
      <c r="AB73" s="34">
        <f>Q73*J73</f>
        <v/>
      </c>
      <c r="AC73" s="34">
        <f>Q73*L73</f>
        <v/>
      </c>
      <c r="AD73" s="34">
        <f>S73*N73</f>
        <v/>
      </c>
      <c r="AE73" s="34">
        <f>E73*N73</f>
        <v/>
      </c>
      <c r="AF73" s="34">
        <f>R73*N73</f>
        <v/>
      </c>
      <c r="AG73" s="29">
        <f>MAX(SumAssured,AA73)</f>
        <v/>
      </c>
      <c r="AH73" s="34">
        <f>AG73*O73</f>
        <v/>
      </c>
      <c r="AI73" s="34">
        <f>AA73*O73</f>
        <v/>
      </c>
      <c r="AJ73" s="34">
        <f>AA73*P73</f>
        <v/>
      </c>
      <c r="AK73" s="34">
        <f>I73*AA73*P73</f>
        <v/>
      </c>
      <c r="AL73" s="34">
        <f>AJ73-AK73</f>
        <v/>
      </c>
      <c r="AM73" s="34">
        <f>Q73*K73</f>
        <v/>
      </c>
      <c r="AN73" s="34">
        <f>AH73+AL73+AM73</f>
        <v/>
      </c>
      <c r="AO73" s="34">
        <f>(AG73-AA73)*O73</f>
        <v/>
      </c>
      <c r="AP73" s="34">
        <f>W73*N73</f>
        <v/>
      </c>
      <c r="AQ73" s="34">
        <f>T73*N73</f>
        <v/>
      </c>
      <c r="AR73" s="34">
        <f>Z73*J74+0.5*Z73*(O73+P73)</f>
        <v/>
      </c>
      <c r="AS73" s="30">
        <f>(1+InflationRate)^(A73/12)</f>
        <v/>
      </c>
      <c r="AT73" s="29">
        <f>ExpenseAcq*M73+N73*ExpenseMaint/12*AS73</f>
        <v/>
      </c>
      <c r="AU73" s="29">
        <f>CommissionRate*AE73</f>
        <v/>
      </c>
      <c r="AV73" s="34">
        <f>AB74-AB73</f>
        <v/>
      </c>
      <c r="AW73" s="34">
        <f>AE73+AR73-AN73-AT73-AU73-AV73</f>
        <v/>
      </c>
      <c r="AX73" s="29">
        <f>LoadPremRate*E73*N73+AK73+AQ73-AU73-AT73</f>
        <v/>
      </c>
      <c r="AY73" s="34">
        <f>AP73-AO73</f>
        <v/>
      </c>
      <c r="AZ73" s="37">
        <f>(AW73-AX73-AY73)/MAX(1,ABS(AW73),ABS(AX73),ABS(AY73))</f>
        <v/>
      </c>
      <c r="BA73" s="37">
        <f>IF(OR(K73&gt;0,K74&gt;0),0,(AC74-(AC73+AF73-AQ73-AP73+AR73-AI73-AJ73-AM73))/MAX(1,ABS(AC73),ABS(AC74)))</f>
        <v/>
      </c>
      <c r="BB73" s="35">
        <f>(1+INDEX(DiscRateAnn,INT(A73/12)+1))^(1/12)-1</f>
        <v/>
      </c>
      <c r="BC73" s="31">
        <f>(1+BB73)^-A73</f>
        <v/>
      </c>
      <c r="BD73" s="34">
        <f>AW73*BC73</f>
        <v/>
      </c>
    </row>
    <row r="74">
      <c r="A74" s="27">
        <f>A73+1</f>
        <v/>
      </c>
      <c r="B74" s="28">
        <f>Duration0+A74</f>
        <v/>
      </c>
      <c r="C74" s="27">
        <f>INT(B74/12)</f>
        <v/>
      </c>
      <c r="D74" s="28">
        <f>AgeAtEntry+C74</f>
        <v/>
      </c>
      <c r="E74" s="29">
        <f>IF(PremiumType="SINGLE",IF(B74=0,PremiumPPInput,0),IF(B74&lt;12*PolicyTerm,PremiumPPInput,0))</f>
        <v/>
      </c>
      <c r="F74" s="30">
        <f>INDEX(MortRates,MATCH(MIN(D74,120),MortAges,0),MAX(MIN(C74,5),0)+1)</f>
        <v/>
      </c>
      <c r="G74" s="31">
        <f>1-(1-F74)^(1/12)</f>
        <v/>
      </c>
      <c r="H74" s="32">
        <f>MAX(LapseBase-LapseStep*C74,LapseFloor)</f>
        <v/>
      </c>
      <c r="I74" s="32">
        <f>IF(HasSurrCharge,INDEX(SurrRates,MIN(C74,SurrDurMax)+1,MATCH(SurrChargeID,SurrTypes,0)),0)</f>
        <v/>
      </c>
      <c r="J74" s="33">
        <f>N73-P73-O73</f>
        <v/>
      </c>
      <c r="K74" s="30">
        <f>IF(B74=12*PolicyTerm,J74,0)</f>
        <v/>
      </c>
      <c r="L74" s="33">
        <f>J74-K74</f>
        <v/>
      </c>
      <c r="M74" s="30">
        <f>IF(B74=0,PolicyCount,0)</f>
        <v/>
      </c>
      <c r="N74" s="33">
        <f>L74+M74</f>
        <v/>
      </c>
      <c r="O74" s="31">
        <f>N74*G74</f>
        <v/>
      </c>
      <c r="P74" s="33">
        <f>(N74-O74)*(1-(1-H74)^(1/12))</f>
        <v/>
      </c>
      <c r="Q74" s="34">
        <f>X73+Z73</f>
        <v/>
      </c>
      <c r="R74" s="29">
        <f>(1-LoadPremRate)*E74</f>
        <v/>
      </c>
      <c r="S74" s="34">
        <f>Q74+R74</f>
        <v/>
      </c>
      <c r="T74" s="29">
        <f>MaintFeeRateAnn/12*S74</f>
        <v/>
      </c>
      <c r="U74" s="29">
        <f>MAX(SumAssured-S74,0)</f>
        <v/>
      </c>
      <c r="V74" s="35">
        <f>CoiMultiple*G74</f>
        <v/>
      </c>
      <c r="W74" s="34">
        <f>V74*U74</f>
        <v/>
      </c>
      <c r="X74" s="34">
        <f>S74-T74-W74</f>
        <v/>
      </c>
      <c r="Y74" s="36">
        <f>EXP((Mu-0.5*Sigma^2)/12+Sigma*SQRT(1/12)*INDEX(NormRand,ScenID,A74+1))-1</f>
        <v/>
      </c>
      <c r="Z74" s="34">
        <f>Y74*X74</f>
        <v/>
      </c>
      <c r="AA74" s="34">
        <f>X74+0.5*Z74</f>
        <v/>
      </c>
      <c r="AB74" s="34">
        <f>Q74*J74</f>
        <v/>
      </c>
      <c r="AC74" s="34">
        <f>Q74*L74</f>
        <v/>
      </c>
      <c r="AD74" s="34">
        <f>S74*N74</f>
        <v/>
      </c>
      <c r="AE74" s="34">
        <f>E74*N74</f>
        <v/>
      </c>
      <c r="AF74" s="34">
        <f>R74*N74</f>
        <v/>
      </c>
      <c r="AG74" s="29">
        <f>MAX(SumAssured,AA74)</f>
        <v/>
      </c>
      <c r="AH74" s="34">
        <f>AG74*O74</f>
        <v/>
      </c>
      <c r="AI74" s="34">
        <f>AA74*O74</f>
        <v/>
      </c>
      <c r="AJ74" s="34">
        <f>AA74*P74</f>
        <v/>
      </c>
      <c r="AK74" s="34">
        <f>I74*AA74*P74</f>
        <v/>
      </c>
      <c r="AL74" s="34">
        <f>AJ74-AK74</f>
        <v/>
      </c>
      <c r="AM74" s="34">
        <f>Q74*K74</f>
        <v/>
      </c>
      <c r="AN74" s="34">
        <f>AH74+AL74+AM74</f>
        <v/>
      </c>
      <c r="AO74" s="34">
        <f>(AG74-AA74)*O74</f>
        <v/>
      </c>
      <c r="AP74" s="34">
        <f>W74*N74</f>
        <v/>
      </c>
      <c r="AQ74" s="34">
        <f>T74*N74</f>
        <v/>
      </c>
      <c r="AR74" s="34">
        <f>Z74*J75+0.5*Z74*(O74+P74)</f>
        <v/>
      </c>
      <c r="AS74" s="30">
        <f>(1+InflationRate)^(A74/12)</f>
        <v/>
      </c>
      <c r="AT74" s="29">
        <f>ExpenseAcq*M74+N74*ExpenseMaint/12*AS74</f>
        <v/>
      </c>
      <c r="AU74" s="29">
        <f>CommissionRate*AE74</f>
        <v/>
      </c>
      <c r="AV74" s="34">
        <f>AB75-AB74</f>
        <v/>
      </c>
      <c r="AW74" s="34">
        <f>AE74+AR74-AN74-AT74-AU74-AV74</f>
        <v/>
      </c>
      <c r="AX74" s="29">
        <f>LoadPremRate*E74*N74+AK74+AQ74-AU74-AT74</f>
        <v/>
      </c>
      <c r="AY74" s="34">
        <f>AP74-AO74</f>
        <v/>
      </c>
      <c r="AZ74" s="37">
        <f>(AW74-AX74-AY74)/MAX(1,ABS(AW74),ABS(AX74),ABS(AY74))</f>
        <v/>
      </c>
      <c r="BA74" s="37">
        <f>IF(OR(K74&gt;0,K75&gt;0),0,(AC75-(AC74+AF74-AQ74-AP74+AR74-AI74-AJ74-AM74))/MAX(1,ABS(AC74),ABS(AC75)))</f>
        <v/>
      </c>
      <c r="BB74" s="35">
        <f>(1+INDEX(DiscRateAnn,INT(A74/12)+1))^(1/12)-1</f>
        <v/>
      </c>
      <c r="BC74" s="31">
        <f>(1+BB74)^-A74</f>
        <v/>
      </c>
      <c r="BD74" s="34">
        <f>AW74*BC74</f>
        <v/>
      </c>
    </row>
    <row r="75">
      <c r="A75" s="27">
        <f>A74+1</f>
        <v/>
      </c>
      <c r="B75" s="28">
        <f>Duration0+A75</f>
        <v/>
      </c>
      <c r="C75" s="27">
        <f>INT(B75/12)</f>
        <v/>
      </c>
      <c r="D75" s="28">
        <f>AgeAtEntry+C75</f>
        <v/>
      </c>
      <c r="E75" s="29">
        <f>IF(PremiumType="SINGLE",IF(B75=0,PremiumPPInput,0),IF(B75&lt;12*PolicyTerm,PremiumPPInput,0))</f>
        <v/>
      </c>
      <c r="F75" s="30">
        <f>INDEX(MortRates,MATCH(MIN(D75,120),MortAges,0),MAX(MIN(C75,5),0)+1)</f>
        <v/>
      </c>
      <c r="G75" s="31">
        <f>1-(1-F75)^(1/12)</f>
        <v/>
      </c>
      <c r="H75" s="32">
        <f>MAX(LapseBase-LapseStep*C75,LapseFloor)</f>
        <v/>
      </c>
      <c r="I75" s="32">
        <f>IF(HasSurrCharge,INDEX(SurrRates,MIN(C75,SurrDurMax)+1,MATCH(SurrChargeID,SurrTypes,0)),0)</f>
        <v/>
      </c>
      <c r="J75" s="33">
        <f>N74-P74-O74</f>
        <v/>
      </c>
      <c r="K75" s="30">
        <f>IF(B75=12*PolicyTerm,J75,0)</f>
        <v/>
      </c>
      <c r="L75" s="33">
        <f>J75-K75</f>
        <v/>
      </c>
      <c r="M75" s="30">
        <f>IF(B75=0,PolicyCount,0)</f>
        <v/>
      </c>
      <c r="N75" s="33">
        <f>L75+M75</f>
        <v/>
      </c>
      <c r="O75" s="31">
        <f>N75*G75</f>
        <v/>
      </c>
      <c r="P75" s="33">
        <f>(N75-O75)*(1-(1-H75)^(1/12))</f>
        <v/>
      </c>
      <c r="Q75" s="34">
        <f>X74+Z74</f>
        <v/>
      </c>
      <c r="R75" s="29">
        <f>(1-LoadPremRate)*E75</f>
        <v/>
      </c>
      <c r="S75" s="34">
        <f>Q75+R75</f>
        <v/>
      </c>
      <c r="T75" s="29">
        <f>MaintFeeRateAnn/12*S75</f>
        <v/>
      </c>
      <c r="U75" s="29">
        <f>MAX(SumAssured-S75,0)</f>
        <v/>
      </c>
      <c r="V75" s="35">
        <f>CoiMultiple*G75</f>
        <v/>
      </c>
      <c r="W75" s="34">
        <f>V75*U75</f>
        <v/>
      </c>
      <c r="X75" s="34">
        <f>S75-T75-W75</f>
        <v/>
      </c>
      <c r="Y75" s="36">
        <f>EXP((Mu-0.5*Sigma^2)/12+Sigma*SQRT(1/12)*INDEX(NormRand,ScenID,A75+1))-1</f>
        <v/>
      </c>
      <c r="Z75" s="34">
        <f>Y75*X75</f>
        <v/>
      </c>
      <c r="AA75" s="34">
        <f>X75+0.5*Z75</f>
        <v/>
      </c>
      <c r="AB75" s="34">
        <f>Q75*J75</f>
        <v/>
      </c>
      <c r="AC75" s="34">
        <f>Q75*L75</f>
        <v/>
      </c>
      <c r="AD75" s="34">
        <f>S75*N75</f>
        <v/>
      </c>
      <c r="AE75" s="34">
        <f>E75*N75</f>
        <v/>
      </c>
      <c r="AF75" s="34">
        <f>R75*N75</f>
        <v/>
      </c>
      <c r="AG75" s="29">
        <f>MAX(SumAssured,AA75)</f>
        <v/>
      </c>
      <c r="AH75" s="34">
        <f>AG75*O75</f>
        <v/>
      </c>
      <c r="AI75" s="34">
        <f>AA75*O75</f>
        <v/>
      </c>
      <c r="AJ75" s="34">
        <f>AA75*P75</f>
        <v/>
      </c>
      <c r="AK75" s="34">
        <f>I75*AA75*P75</f>
        <v/>
      </c>
      <c r="AL75" s="34">
        <f>AJ75-AK75</f>
        <v/>
      </c>
      <c r="AM75" s="34">
        <f>Q75*K75</f>
        <v/>
      </c>
      <c r="AN75" s="34">
        <f>AH75+AL75+AM75</f>
        <v/>
      </c>
      <c r="AO75" s="34">
        <f>(AG75-AA75)*O75</f>
        <v/>
      </c>
      <c r="AP75" s="34">
        <f>W75*N75</f>
        <v/>
      </c>
      <c r="AQ75" s="34">
        <f>T75*N75</f>
        <v/>
      </c>
      <c r="AR75" s="34">
        <f>Z75*J76+0.5*Z75*(O75+P75)</f>
        <v/>
      </c>
      <c r="AS75" s="30">
        <f>(1+InflationRate)^(A75/12)</f>
        <v/>
      </c>
      <c r="AT75" s="29">
        <f>ExpenseAcq*M75+N75*ExpenseMaint/12*AS75</f>
        <v/>
      </c>
      <c r="AU75" s="29">
        <f>CommissionRate*AE75</f>
        <v/>
      </c>
      <c r="AV75" s="34">
        <f>AB76-AB75</f>
        <v/>
      </c>
      <c r="AW75" s="34">
        <f>AE75+AR75-AN75-AT75-AU75-AV75</f>
        <v/>
      </c>
      <c r="AX75" s="29">
        <f>LoadPremRate*E75*N75+AK75+AQ75-AU75-AT75</f>
        <v/>
      </c>
      <c r="AY75" s="34">
        <f>AP75-AO75</f>
        <v/>
      </c>
      <c r="AZ75" s="37">
        <f>(AW75-AX75-AY75)/MAX(1,ABS(AW75),ABS(AX75),ABS(AY75))</f>
        <v/>
      </c>
      <c r="BA75" s="37">
        <f>IF(OR(K75&gt;0,K76&gt;0),0,(AC76-(AC75+AF75-AQ75-AP75+AR75-AI75-AJ75-AM75))/MAX(1,ABS(AC75),ABS(AC76)))</f>
        <v/>
      </c>
      <c r="BB75" s="35">
        <f>(1+INDEX(DiscRateAnn,INT(A75/12)+1))^(1/12)-1</f>
        <v/>
      </c>
      <c r="BC75" s="31">
        <f>(1+BB75)^-A75</f>
        <v/>
      </c>
      <c r="BD75" s="34">
        <f>AW75*BC75</f>
        <v/>
      </c>
    </row>
    <row r="76">
      <c r="A76" s="27">
        <f>A75+1</f>
        <v/>
      </c>
      <c r="B76" s="28">
        <f>Duration0+A76</f>
        <v/>
      </c>
      <c r="C76" s="27">
        <f>INT(B76/12)</f>
        <v/>
      </c>
      <c r="D76" s="28">
        <f>AgeAtEntry+C76</f>
        <v/>
      </c>
      <c r="E76" s="29">
        <f>IF(PremiumType="SINGLE",IF(B76=0,PremiumPPInput,0),IF(B76&lt;12*PolicyTerm,PremiumPPInput,0))</f>
        <v/>
      </c>
      <c r="F76" s="30">
        <f>INDEX(MortRates,MATCH(MIN(D76,120),MortAges,0),MAX(MIN(C76,5),0)+1)</f>
        <v/>
      </c>
      <c r="G76" s="31">
        <f>1-(1-F76)^(1/12)</f>
        <v/>
      </c>
      <c r="H76" s="32">
        <f>MAX(LapseBase-LapseStep*C76,LapseFloor)</f>
        <v/>
      </c>
      <c r="I76" s="32">
        <f>IF(HasSurrCharge,INDEX(SurrRates,MIN(C76,SurrDurMax)+1,MATCH(SurrChargeID,SurrTypes,0)),0)</f>
        <v/>
      </c>
      <c r="J76" s="33">
        <f>N75-P75-O75</f>
        <v/>
      </c>
      <c r="K76" s="30">
        <f>IF(B76=12*PolicyTerm,J76,0)</f>
        <v/>
      </c>
      <c r="L76" s="33">
        <f>J76-K76</f>
        <v/>
      </c>
      <c r="M76" s="30">
        <f>IF(B76=0,PolicyCount,0)</f>
        <v/>
      </c>
      <c r="N76" s="33">
        <f>L76+M76</f>
        <v/>
      </c>
      <c r="O76" s="31">
        <f>N76*G76</f>
        <v/>
      </c>
      <c r="P76" s="33">
        <f>(N76-O76)*(1-(1-H76)^(1/12))</f>
        <v/>
      </c>
      <c r="Q76" s="34">
        <f>X75+Z75</f>
        <v/>
      </c>
      <c r="R76" s="29">
        <f>(1-LoadPremRate)*E76</f>
        <v/>
      </c>
      <c r="S76" s="34">
        <f>Q76+R76</f>
        <v/>
      </c>
      <c r="T76" s="29">
        <f>MaintFeeRateAnn/12*S76</f>
        <v/>
      </c>
      <c r="U76" s="29">
        <f>MAX(SumAssured-S76,0)</f>
        <v/>
      </c>
      <c r="V76" s="35">
        <f>CoiMultiple*G76</f>
        <v/>
      </c>
      <c r="W76" s="34">
        <f>V76*U76</f>
        <v/>
      </c>
      <c r="X76" s="34">
        <f>S76-T76-W76</f>
        <v/>
      </c>
      <c r="Y76" s="36">
        <f>EXP((Mu-0.5*Sigma^2)/12+Sigma*SQRT(1/12)*INDEX(NormRand,ScenID,A76+1))-1</f>
        <v/>
      </c>
      <c r="Z76" s="34">
        <f>Y76*X76</f>
        <v/>
      </c>
      <c r="AA76" s="34">
        <f>X76+0.5*Z76</f>
        <v/>
      </c>
      <c r="AB76" s="34">
        <f>Q76*J76</f>
        <v/>
      </c>
      <c r="AC76" s="34">
        <f>Q76*L76</f>
        <v/>
      </c>
      <c r="AD76" s="34">
        <f>S76*N76</f>
        <v/>
      </c>
      <c r="AE76" s="34">
        <f>E76*N76</f>
        <v/>
      </c>
      <c r="AF76" s="34">
        <f>R76*N76</f>
        <v/>
      </c>
      <c r="AG76" s="29">
        <f>MAX(SumAssured,AA76)</f>
        <v/>
      </c>
      <c r="AH76" s="34">
        <f>AG76*O76</f>
        <v/>
      </c>
      <c r="AI76" s="34">
        <f>AA76*O76</f>
        <v/>
      </c>
      <c r="AJ76" s="34">
        <f>AA76*P76</f>
        <v/>
      </c>
      <c r="AK76" s="34">
        <f>I76*AA76*P76</f>
        <v/>
      </c>
      <c r="AL76" s="34">
        <f>AJ76-AK76</f>
        <v/>
      </c>
      <c r="AM76" s="34">
        <f>Q76*K76</f>
        <v/>
      </c>
      <c r="AN76" s="34">
        <f>AH76+AL76+AM76</f>
        <v/>
      </c>
      <c r="AO76" s="34">
        <f>(AG76-AA76)*O76</f>
        <v/>
      </c>
      <c r="AP76" s="34">
        <f>W76*N76</f>
        <v/>
      </c>
      <c r="AQ76" s="34">
        <f>T76*N76</f>
        <v/>
      </c>
      <c r="AR76" s="34">
        <f>Z76*J77+0.5*Z76*(O76+P76)</f>
        <v/>
      </c>
      <c r="AS76" s="30">
        <f>(1+InflationRate)^(A76/12)</f>
        <v/>
      </c>
      <c r="AT76" s="29">
        <f>ExpenseAcq*M76+N76*ExpenseMaint/12*AS76</f>
        <v/>
      </c>
      <c r="AU76" s="29">
        <f>CommissionRate*AE76</f>
        <v/>
      </c>
      <c r="AV76" s="34">
        <f>AB77-AB76</f>
        <v/>
      </c>
      <c r="AW76" s="34">
        <f>AE76+AR76-AN76-AT76-AU76-AV76</f>
        <v/>
      </c>
      <c r="AX76" s="29">
        <f>LoadPremRate*E76*N76+AK76+AQ76-AU76-AT76</f>
        <v/>
      </c>
      <c r="AY76" s="34">
        <f>AP76-AO76</f>
        <v/>
      </c>
      <c r="AZ76" s="37">
        <f>(AW76-AX76-AY76)/MAX(1,ABS(AW76),ABS(AX76),ABS(AY76))</f>
        <v/>
      </c>
      <c r="BA76" s="37">
        <f>IF(OR(K76&gt;0,K77&gt;0),0,(AC77-(AC76+AF76-AQ76-AP76+AR76-AI76-AJ76-AM76))/MAX(1,ABS(AC76),ABS(AC77)))</f>
        <v/>
      </c>
      <c r="BB76" s="35">
        <f>(1+INDEX(DiscRateAnn,INT(A76/12)+1))^(1/12)-1</f>
        <v/>
      </c>
      <c r="BC76" s="31">
        <f>(1+BB76)^-A76</f>
        <v/>
      </c>
      <c r="BD76" s="34">
        <f>AW76*BC76</f>
        <v/>
      </c>
    </row>
    <row r="77">
      <c r="A77" s="27">
        <f>A76+1</f>
        <v/>
      </c>
      <c r="B77" s="28">
        <f>Duration0+A77</f>
        <v/>
      </c>
      <c r="C77" s="27">
        <f>INT(B77/12)</f>
        <v/>
      </c>
      <c r="D77" s="28">
        <f>AgeAtEntry+C77</f>
        <v/>
      </c>
      <c r="E77" s="29">
        <f>IF(PremiumType="SINGLE",IF(B77=0,PremiumPPInput,0),IF(B77&lt;12*PolicyTerm,PremiumPPInput,0))</f>
        <v/>
      </c>
      <c r="F77" s="30">
        <f>INDEX(MortRates,MATCH(MIN(D77,120),MortAges,0),MAX(MIN(C77,5),0)+1)</f>
        <v/>
      </c>
      <c r="G77" s="31">
        <f>1-(1-F77)^(1/12)</f>
        <v/>
      </c>
      <c r="H77" s="32">
        <f>MAX(LapseBase-LapseStep*C77,LapseFloor)</f>
        <v/>
      </c>
      <c r="I77" s="32">
        <f>IF(HasSurrCharge,INDEX(SurrRates,MIN(C77,SurrDurMax)+1,MATCH(SurrChargeID,SurrTypes,0)),0)</f>
        <v/>
      </c>
      <c r="J77" s="33">
        <f>N76-P76-O76</f>
        <v/>
      </c>
      <c r="K77" s="30">
        <f>IF(B77=12*PolicyTerm,J77,0)</f>
        <v/>
      </c>
      <c r="L77" s="33">
        <f>J77-K77</f>
        <v/>
      </c>
      <c r="M77" s="30">
        <f>IF(B77=0,PolicyCount,0)</f>
        <v/>
      </c>
      <c r="N77" s="33">
        <f>L77+M77</f>
        <v/>
      </c>
      <c r="O77" s="31">
        <f>N77*G77</f>
        <v/>
      </c>
      <c r="P77" s="33">
        <f>(N77-O77)*(1-(1-H77)^(1/12))</f>
        <v/>
      </c>
      <c r="Q77" s="34">
        <f>X76+Z76</f>
        <v/>
      </c>
      <c r="R77" s="29">
        <f>(1-LoadPremRate)*E77</f>
        <v/>
      </c>
      <c r="S77" s="34">
        <f>Q77+R77</f>
        <v/>
      </c>
      <c r="T77" s="29">
        <f>MaintFeeRateAnn/12*S77</f>
        <v/>
      </c>
      <c r="U77" s="29">
        <f>MAX(SumAssured-S77,0)</f>
        <v/>
      </c>
      <c r="V77" s="35">
        <f>CoiMultiple*G77</f>
        <v/>
      </c>
      <c r="W77" s="34">
        <f>V77*U77</f>
        <v/>
      </c>
      <c r="X77" s="34">
        <f>S77-T77-W77</f>
        <v/>
      </c>
      <c r="Y77" s="36">
        <f>EXP((Mu-0.5*Sigma^2)/12+Sigma*SQRT(1/12)*INDEX(NormRand,ScenID,A77+1))-1</f>
        <v/>
      </c>
      <c r="Z77" s="34">
        <f>Y77*X77</f>
        <v/>
      </c>
      <c r="AA77" s="34">
        <f>X77+0.5*Z77</f>
        <v/>
      </c>
      <c r="AB77" s="34">
        <f>Q77*J77</f>
        <v/>
      </c>
      <c r="AC77" s="34">
        <f>Q77*L77</f>
        <v/>
      </c>
      <c r="AD77" s="34">
        <f>S77*N77</f>
        <v/>
      </c>
      <c r="AE77" s="34">
        <f>E77*N77</f>
        <v/>
      </c>
      <c r="AF77" s="34">
        <f>R77*N77</f>
        <v/>
      </c>
      <c r="AG77" s="29">
        <f>MAX(SumAssured,AA77)</f>
        <v/>
      </c>
      <c r="AH77" s="34">
        <f>AG77*O77</f>
        <v/>
      </c>
      <c r="AI77" s="34">
        <f>AA77*O77</f>
        <v/>
      </c>
      <c r="AJ77" s="34">
        <f>AA77*P77</f>
        <v/>
      </c>
      <c r="AK77" s="34">
        <f>I77*AA77*P77</f>
        <v/>
      </c>
      <c r="AL77" s="34">
        <f>AJ77-AK77</f>
        <v/>
      </c>
      <c r="AM77" s="34">
        <f>Q77*K77</f>
        <v/>
      </c>
      <c r="AN77" s="34">
        <f>AH77+AL77+AM77</f>
        <v/>
      </c>
      <c r="AO77" s="34">
        <f>(AG77-AA77)*O77</f>
        <v/>
      </c>
      <c r="AP77" s="34">
        <f>W77*N77</f>
        <v/>
      </c>
      <c r="AQ77" s="34">
        <f>T77*N77</f>
        <v/>
      </c>
      <c r="AR77" s="34">
        <f>Z77*J78+0.5*Z77*(O77+P77)</f>
        <v/>
      </c>
      <c r="AS77" s="30">
        <f>(1+InflationRate)^(A77/12)</f>
        <v/>
      </c>
      <c r="AT77" s="29">
        <f>ExpenseAcq*M77+N77*ExpenseMaint/12*AS77</f>
        <v/>
      </c>
      <c r="AU77" s="29">
        <f>CommissionRate*AE77</f>
        <v/>
      </c>
      <c r="AV77" s="34">
        <f>AB78-AB77</f>
        <v/>
      </c>
      <c r="AW77" s="34">
        <f>AE77+AR77-AN77-AT77-AU77-AV77</f>
        <v/>
      </c>
      <c r="AX77" s="29">
        <f>LoadPremRate*E77*N77+AK77+AQ77-AU77-AT77</f>
        <v/>
      </c>
      <c r="AY77" s="34">
        <f>AP77-AO77</f>
        <v/>
      </c>
      <c r="AZ77" s="37">
        <f>(AW77-AX77-AY77)/MAX(1,ABS(AW77),ABS(AX77),ABS(AY77))</f>
        <v/>
      </c>
      <c r="BA77" s="37">
        <f>IF(OR(K77&gt;0,K78&gt;0),0,(AC78-(AC77+AF77-AQ77-AP77+AR77-AI77-AJ77-AM77))/MAX(1,ABS(AC77),ABS(AC78)))</f>
        <v/>
      </c>
      <c r="BB77" s="35">
        <f>(1+INDEX(DiscRateAnn,INT(A77/12)+1))^(1/12)-1</f>
        <v/>
      </c>
      <c r="BC77" s="31">
        <f>(1+BB77)^-A77</f>
        <v/>
      </c>
      <c r="BD77" s="34">
        <f>AW77*BC77</f>
        <v/>
      </c>
    </row>
    <row r="78">
      <c r="A78" s="27">
        <f>A77+1</f>
        <v/>
      </c>
      <c r="B78" s="28">
        <f>Duration0+A78</f>
        <v/>
      </c>
      <c r="C78" s="27">
        <f>INT(B78/12)</f>
        <v/>
      </c>
      <c r="D78" s="28">
        <f>AgeAtEntry+C78</f>
        <v/>
      </c>
      <c r="E78" s="29">
        <f>IF(PremiumType="SINGLE",IF(B78=0,PremiumPPInput,0),IF(B78&lt;12*PolicyTerm,PremiumPPInput,0))</f>
        <v/>
      </c>
      <c r="F78" s="30">
        <f>INDEX(MortRates,MATCH(MIN(D78,120),MortAges,0),MAX(MIN(C78,5),0)+1)</f>
        <v/>
      </c>
      <c r="G78" s="31">
        <f>1-(1-F78)^(1/12)</f>
        <v/>
      </c>
      <c r="H78" s="32">
        <f>MAX(LapseBase-LapseStep*C78,LapseFloor)</f>
        <v/>
      </c>
      <c r="I78" s="32">
        <f>IF(HasSurrCharge,INDEX(SurrRates,MIN(C78,SurrDurMax)+1,MATCH(SurrChargeID,SurrTypes,0)),0)</f>
        <v/>
      </c>
      <c r="J78" s="33">
        <f>N77-P77-O77</f>
        <v/>
      </c>
      <c r="K78" s="30">
        <f>IF(B78=12*PolicyTerm,J78,0)</f>
        <v/>
      </c>
      <c r="L78" s="33">
        <f>J78-K78</f>
        <v/>
      </c>
      <c r="M78" s="30">
        <f>IF(B78=0,PolicyCount,0)</f>
        <v/>
      </c>
      <c r="N78" s="33">
        <f>L78+M78</f>
        <v/>
      </c>
      <c r="O78" s="31">
        <f>N78*G78</f>
        <v/>
      </c>
      <c r="P78" s="33">
        <f>(N78-O78)*(1-(1-H78)^(1/12))</f>
        <v/>
      </c>
      <c r="Q78" s="34">
        <f>X77+Z77</f>
        <v/>
      </c>
      <c r="R78" s="29">
        <f>(1-LoadPremRate)*E78</f>
        <v/>
      </c>
      <c r="S78" s="34">
        <f>Q78+R78</f>
        <v/>
      </c>
      <c r="T78" s="29">
        <f>MaintFeeRateAnn/12*S78</f>
        <v/>
      </c>
      <c r="U78" s="29">
        <f>MAX(SumAssured-S78,0)</f>
        <v/>
      </c>
      <c r="V78" s="35">
        <f>CoiMultiple*G78</f>
        <v/>
      </c>
      <c r="W78" s="34">
        <f>V78*U78</f>
        <v/>
      </c>
      <c r="X78" s="34">
        <f>S78-T78-W78</f>
        <v/>
      </c>
      <c r="Y78" s="36">
        <f>EXP((Mu-0.5*Sigma^2)/12+Sigma*SQRT(1/12)*INDEX(NormRand,ScenID,A78+1))-1</f>
        <v/>
      </c>
      <c r="Z78" s="34">
        <f>Y78*X78</f>
        <v/>
      </c>
      <c r="AA78" s="34">
        <f>X78+0.5*Z78</f>
        <v/>
      </c>
      <c r="AB78" s="34">
        <f>Q78*J78</f>
        <v/>
      </c>
      <c r="AC78" s="34">
        <f>Q78*L78</f>
        <v/>
      </c>
      <c r="AD78" s="34">
        <f>S78*N78</f>
        <v/>
      </c>
      <c r="AE78" s="34">
        <f>E78*N78</f>
        <v/>
      </c>
      <c r="AF78" s="34">
        <f>R78*N78</f>
        <v/>
      </c>
      <c r="AG78" s="29">
        <f>MAX(SumAssured,AA78)</f>
        <v/>
      </c>
      <c r="AH78" s="34">
        <f>AG78*O78</f>
        <v/>
      </c>
      <c r="AI78" s="34">
        <f>AA78*O78</f>
        <v/>
      </c>
      <c r="AJ78" s="34">
        <f>AA78*P78</f>
        <v/>
      </c>
      <c r="AK78" s="34">
        <f>I78*AA78*P78</f>
        <v/>
      </c>
      <c r="AL78" s="34">
        <f>AJ78-AK78</f>
        <v/>
      </c>
      <c r="AM78" s="34">
        <f>Q78*K78</f>
        <v/>
      </c>
      <c r="AN78" s="34">
        <f>AH78+AL78+AM78</f>
        <v/>
      </c>
      <c r="AO78" s="34">
        <f>(AG78-AA78)*O78</f>
        <v/>
      </c>
      <c r="AP78" s="34">
        <f>W78*N78</f>
        <v/>
      </c>
      <c r="AQ78" s="34">
        <f>T78*N78</f>
        <v/>
      </c>
      <c r="AR78" s="34">
        <f>Z78*J79+0.5*Z78*(O78+P78)</f>
        <v/>
      </c>
      <c r="AS78" s="30">
        <f>(1+InflationRate)^(A78/12)</f>
        <v/>
      </c>
      <c r="AT78" s="29">
        <f>ExpenseAcq*M78+N78*ExpenseMaint/12*AS78</f>
        <v/>
      </c>
      <c r="AU78" s="29">
        <f>CommissionRate*AE78</f>
        <v/>
      </c>
      <c r="AV78" s="34">
        <f>AB79-AB78</f>
        <v/>
      </c>
      <c r="AW78" s="34">
        <f>AE78+AR78-AN78-AT78-AU78-AV78</f>
        <v/>
      </c>
      <c r="AX78" s="29">
        <f>LoadPremRate*E78*N78+AK78+AQ78-AU78-AT78</f>
        <v/>
      </c>
      <c r="AY78" s="34">
        <f>AP78-AO78</f>
        <v/>
      </c>
      <c r="AZ78" s="37">
        <f>(AW78-AX78-AY78)/MAX(1,ABS(AW78),ABS(AX78),ABS(AY78))</f>
        <v/>
      </c>
      <c r="BA78" s="37">
        <f>IF(OR(K78&gt;0,K79&gt;0),0,(AC79-(AC78+AF78-AQ78-AP78+AR78-AI78-AJ78-AM78))/MAX(1,ABS(AC78),ABS(AC79)))</f>
        <v/>
      </c>
      <c r="BB78" s="35">
        <f>(1+INDEX(DiscRateAnn,INT(A78/12)+1))^(1/12)-1</f>
        <v/>
      </c>
      <c r="BC78" s="31">
        <f>(1+BB78)^-A78</f>
        <v/>
      </c>
      <c r="BD78" s="34">
        <f>AW78*BC78</f>
        <v/>
      </c>
    </row>
    <row r="79">
      <c r="A79" s="27">
        <f>A78+1</f>
        <v/>
      </c>
      <c r="B79" s="28">
        <f>Duration0+A79</f>
        <v/>
      </c>
      <c r="C79" s="27">
        <f>INT(B79/12)</f>
        <v/>
      </c>
      <c r="D79" s="28">
        <f>AgeAtEntry+C79</f>
        <v/>
      </c>
      <c r="E79" s="29">
        <f>IF(PremiumType="SINGLE",IF(B79=0,PremiumPPInput,0),IF(B79&lt;12*PolicyTerm,PremiumPPInput,0))</f>
        <v/>
      </c>
      <c r="F79" s="30">
        <f>INDEX(MortRates,MATCH(MIN(D79,120),MortAges,0),MAX(MIN(C79,5),0)+1)</f>
        <v/>
      </c>
      <c r="G79" s="31">
        <f>1-(1-F79)^(1/12)</f>
        <v/>
      </c>
      <c r="H79" s="32">
        <f>MAX(LapseBase-LapseStep*C79,LapseFloor)</f>
        <v/>
      </c>
      <c r="I79" s="32">
        <f>IF(HasSurrCharge,INDEX(SurrRates,MIN(C79,SurrDurMax)+1,MATCH(SurrChargeID,SurrTypes,0)),0)</f>
        <v/>
      </c>
      <c r="J79" s="33">
        <f>N78-P78-O78</f>
        <v/>
      </c>
      <c r="K79" s="30">
        <f>IF(B79=12*PolicyTerm,J79,0)</f>
        <v/>
      </c>
      <c r="L79" s="33">
        <f>J79-K79</f>
        <v/>
      </c>
      <c r="M79" s="30">
        <f>IF(B79=0,PolicyCount,0)</f>
        <v/>
      </c>
      <c r="N79" s="33">
        <f>L79+M79</f>
        <v/>
      </c>
      <c r="O79" s="31">
        <f>N79*G79</f>
        <v/>
      </c>
      <c r="P79" s="33">
        <f>(N79-O79)*(1-(1-H79)^(1/12))</f>
        <v/>
      </c>
      <c r="Q79" s="34">
        <f>X78+Z78</f>
        <v/>
      </c>
      <c r="R79" s="29">
        <f>(1-LoadPremRate)*E79</f>
        <v/>
      </c>
      <c r="S79" s="34">
        <f>Q79+R79</f>
        <v/>
      </c>
      <c r="T79" s="29">
        <f>MaintFeeRateAnn/12*S79</f>
        <v/>
      </c>
      <c r="U79" s="29">
        <f>MAX(SumAssured-S79,0)</f>
        <v/>
      </c>
      <c r="V79" s="35">
        <f>CoiMultiple*G79</f>
        <v/>
      </c>
      <c r="W79" s="34">
        <f>V79*U79</f>
        <v/>
      </c>
      <c r="X79" s="34">
        <f>S79-T79-W79</f>
        <v/>
      </c>
      <c r="Y79" s="36">
        <f>EXP((Mu-0.5*Sigma^2)/12+Sigma*SQRT(1/12)*INDEX(NormRand,ScenID,A79+1))-1</f>
        <v/>
      </c>
      <c r="Z79" s="34">
        <f>Y79*X79</f>
        <v/>
      </c>
      <c r="AA79" s="34">
        <f>X79+0.5*Z79</f>
        <v/>
      </c>
      <c r="AB79" s="34">
        <f>Q79*J79</f>
        <v/>
      </c>
      <c r="AC79" s="34">
        <f>Q79*L79</f>
        <v/>
      </c>
      <c r="AD79" s="34">
        <f>S79*N79</f>
        <v/>
      </c>
      <c r="AE79" s="34">
        <f>E79*N79</f>
        <v/>
      </c>
      <c r="AF79" s="34">
        <f>R79*N79</f>
        <v/>
      </c>
      <c r="AG79" s="29">
        <f>MAX(SumAssured,AA79)</f>
        <v/>
      </c>
      <c r="AH79" s="34">
        <f>AG79*O79</f>
        <v/>
      </c>
      <c r="AI79" s="34">
        <f>AA79*O79</f>
        <v/>
      </c>
      <c r="AJ79" s="34">
        <f>AA79*P79</f>
        <v/>
      </c>
      <c r="AK79" s="34">
        <f>I79*AA79*P79</f>
        <v/>
      </c>
      <c r="AL79" s="34">
        <f>AJ79-AK79</f>
        <v/>
      </c>
      <c r="AM79" s="34">
        <f>Q79*K79</f>
        <v/>
      </c>
      <c r="AN79" s="34">
        <f>AH79+AL79+AM79</f>
        <v/>
      </c>
      <c r="AO79" s="34">
        <f>(AG79-AA79)*O79</f>
        <v/>
      </c>
      <c r="AP79" s="34">
        <f>W79*N79</f>
        <v/>
      </c>
      <c r="AQ79" s="34">
        <f>T79*N79</f>
        <v/>
      </c>
      <c r="AR79" s="34">
        <f>Z79*J80+0.5*Z79*(O79+P79)</f>
        <v/>
      </c>
      <c r="AS79" s="30">
        <f>(1+InflationRate)^(A79/12)</f>
        <v/>
      </c>
      <c r="AT79" s="29">
        <f>ExpenseAcq*M79+N79*ExpenseMaint/12*AS79</f>
        <v/>
      </c>
      <c r="AU79" s="29">
        <f>CommissionRate*AE79</f>
        <v/>
      </c>
      <c r="AV79" s="34">
        <f>AB80-AB79</f>
        <v/>
      </c>
      <c r="AW79" s="34">
        <f>AE79+AR79-AN79-AT79-AU79-AV79</f>
        <v/>
      </c>
      <c r="AX79" s="29">
        <f>LoadPremRate*E79*N79+AK79+AQ79-AU79-AT79</f>
        <v/>
      </c>
      <c r="AY79" s="34">
        <f>AP79-AO79</f>
        <v/>
      </c>
      <c r="AZ79" s="37">
        <f>(AW79-AX79-AY79)/MAX(1,ABS(AW79),ABS(AX79),ABS(AY79))</f>
        <v/>
      </c>
      <c r="BA79" s="37">
        <f>IF(OR(K79&gt;0,K80&gt;0),0,(AC80-(AC79+AF79-AQ79-AP79+AR79-AI79-AJ79-AM79))/MAX(1,ABS(AC79),ABS(AC80)))</f>
        <v/>
      </c>
      <c r="BB79" s="35">
        <f>(1+INDEX(DiscRateAnn,INT(A79/12)+1))^(1/12)-1</f>
        <v/>
      </c>
      <c r="BC79" s="31">
        <f>(1+BB79)^-A79</f>
        <v/>
      </c>
      <c r="BD79" s="34">
        <f>AW79*BC79</f>
        <v/>
      </c>
    </row>
    <row r="80">
      <c r="A80" s="27">
        <f>A79+1</f>
        <v/>
      </c>
      <c r="B80" s="28">
        <f>Duration0+A80</f>
        <v/>
      </c>
      <c r="C80" s="27">
        <f>INT(B80/12)</f>
        <v/>
      </c>
      <c r="D80" s="28">
        <f>AgeAtEntry+C80</f>
        <v/>
      </c>
      <c r="E80" s="29">
        <f>IF(PremiumType="SINGLE",IF(B80=0,PremiumPPInput,0),IF(B80&lt;12*PolicyTerm,PremiumPPInput,0))</f>
        <v/>
      </c>
      <c r="F80" s="30">
        <f>INDEX(MortRates,MATCH(MIN(D80,120),MortAges,0),MAX(MIN(C80,5),0)+1)</f>
        <v/>
      </c>
      <c r="G80" s="31">
        <f>1-(1-F80)^(1/12)</f>
        <v/>
      </c>
      <c r="H80" s="32">
        <f>MAX(LapseBase-LapseStep*C80,LapseFloor)</f>
        <v/>
      </c>
      <c r="I80" s="32">
        <f>IF(HasSurrCharge,INDEX(SurrRates,MIN(C80,SurrDurMax)+1,MATCH(SurrChargeID,SurrTypes,0)),0)</f>
        <v/>
      </c>
      <c r="J80" s="33">
        <f>N79-P79-O79</f>
        <v/>
      </c>
      <c r="K80" s="30">
        <f>IF(B80=12*PolicyTerm,J80,0)</f>
        <v/>
      </c>
      <c r="L80" s="33">
        <f>J80-K80</f>
        <v/>
      </c>
      <c r="M80" s="30">
        <f>IF(B80=0,PolicyCount,0)</f>
        <v/>
      </c>
      <c r="N80" s="33">
        <f>L80+M80</f>
        <v/>
      </c>
      <c r="O80" s="31">
        <f>N80*G80</f>
        <v/>
      </c>
      <c r="P80" s="33">
        <f>(N80-O80)*(1-(1-H80)^(1/12))</f>
        <v/>
      </c>
      <c r="Q80" s="34">
        <f>X79+Z79</f>
        <v/>
      </c>
      <c r="R80" s="29">
        <f>(1-LoadPremRate)*E80</f>
        <v/>
      </c>
      <c r="S80" s="34">
        <f>Q80+R80</f>
        <v/>
      </c>
      <c r="T80" s="29">
        <f>MaintFeeRateAnn/12*S80</f>
        <v/>
      </c>
      <c r="U80" s="29">
        <f>MAX(SumAssured-S80,0)</f>
        <v/>
      </c>
      <c r="V80" s="35">
        <f>CoiMultiple*G80</f>
        <v/>
      </c>
      <c r="W80" s="34">
        <f>V80*U80</f>
        <v/>
      </c>
      <c r="X80" s="34">
        <f>S80-T80-W80</f>
        <v/>
      </c>
      <c r="Y80" s="36">
        <f>EXP((Mu-0.5*Sigma^2)/12+Sigma*SQRT(1/12)*INDEX(NormRand,ScenID,A80+1))-1</f>
        <v/>
      </c>
      <c r="Z80" s="34">
        <f>Y80*X80</f>
        <v/>
      </c>
      <c r="AA80" s="34">
        <f>X80+0.5*Z80</f>
        <v/>
      </c>
      <c r="AB80" s="34">
        <f>Q80*J80</f>
        <v/>
      </c>
      <c r="AC80" s="34">
        <f>Q80*L80</f>
        <v/>
      </c>
      <c r="AD80" s="34">
        <f>S80*N80</f>
        <v/>
      </c>
      <c r="AE80" s="34">
        <f>E80*N80</f>
        <v/>
      </c>
      <c r="AF80" s="34">
        <f>R80*N80</f>
        <v/>
      </c>
      <c r="AG80" s="29">
        <f>MAX(SumAssured,AA80)</f>
        <v/>
      </c>
      <c r="AH80" s="34">
        <f>AG80*O80</f>
        <v/>
      </c>
      <c r="AI80" s="34">
        <f>AA80*O80</f>
        <v/>
      </c>
      <c r="AJ80" s="34">
        <f>AA80*P80</f>
        <v/>
      </c>
      <c r="AK80" s="34">
        <f>I80*AA80*P80</f>
        <v/>
      </c>
      <c r="AL80" s="34">
        <f>AJ80-AK80</f>
        <v/>
      </c>
      <c r="AM80" s="34">
        <f>Q80*K80</f>
        <v/>
      </c>
      <c r="AN80" s="34">
        <f>AH80+AL80+AM80</f>
        <v/>
      </c>
      <c r="AO80" s="34">
        <f>(AG80-AA80)*O80</f>
        <v/>
      </c>
      <c r="AP80" s="34">
        <f>W80*N80</f>
        <v/>
      </c>
      <c r="AQ80" s="34">
        <f>T80*N80</f>
        <v/>
      </c>
      <c r="AR80" s="34">
        <f>Z80*J81+0.5*Z80*(O80+P80)</f>
        <v/>
      </c>
      <c r="AS80" s="30">
        <f>(1+InflationRate)^(A80/12)</f>
        <v/>
      </c>
      <c r="AT80" s="29">
        <f>ExpenseAcq*M80+N80*ExpenseMaint/12*AS80</f>
        <v/>
      </c>
      <c r="AU80" s="29">
        <f>CommissionRate*AE80</f>
        <v/>
      </c>
      <c r="AV80" s="34">
        <f>AB81-AB80</f>
        <v/>
      </c>
      <c r="AW80" s="34">
        <f>AE80+AR80-AN80-AT80-AU80-AV80</f>
        <v/>
      </c>
      <c r="AX80" s="29">
        <f>LoadPremRate*E80*N80+AK80+AQ80-AU80-AT80</f>
        <v/>
      </c>
      <c r="AY80" s="34">
        <f>AP80-AO80</f>
        <v/>
      </c>
      <c r="AZ80" s="37">
        <f>(AW80-AX80-AY80)/MAX(1,ABS(AW80),ABS(AX80),ABS(AY80))</f>
        <v/>
      </c>
      <c r="BA80" s="37">
        <f>IF(OR(K80&gt;0,K81&gt;0),0,(AC81-(AC80+AF80-AQ80-AP80+AR80-AI80-AJ80-AM80))/MAX(1,ABS(AC80),ABS(AC81)))</f>
        <v/>
      </c>
      <c r="BB80" s="35">
        <f>(1+INDEX(DiscRateAnn,INT(A80/12)+1))^(1/12)-1</f>
        <v/>
      </c>
      <c r="BC80" s="31">
        <f>(1+BB80)^-A80</f>
        <v/>
      </c>
      <c r="BD80" s="34">
        <f>AW80*BC80</f>
        <v/>
      </c>
    </row>
    <row r="81">
      <c r="A81" s="27">
        <f>A80+1</f>
        <v/>
      </c>
      <c r="B81" s="28">
        <f>Duration0+A81</f>
        <v/>
      </c>
      <c r="C81" s="27">
        <f>INT(B81/12)</f>
        <v/>
      </c>
      <c r="D81" s="28">
        <f>AgeAtEntry+C81</f>
        <v/>
      </c>
      <c r="E81" s="29">
        <f>IF(PremiumType="SINGLE",IF(B81=0,PremiumPPInput,0),IF(B81&lt;12*PolicyTerm,PremiumPPInput,0))</f>
        <v/>
      </c>
      <c r="F81" s="30">
        <f>INDEX(MortRates,MATCH(MIN(D81,120),MortAges,0),MAX(MIN(C81,5),0)+1)</f>
        <v/>
      </c>
      <c r="G81" s="31">
        <f>1-(1-F81)^(1/12)</f>
        <v/>
      </c>
      <c r="H81" s="32">
        <f>MAX(LapseBase-LapseStep*C81,LapseFloor)</f>
        <v/>
      </c>
      <c r="I81" s="32">
        <f>IF(HasSurrCharge,INDEX(SurrRates,MIN(C81,SurrDurMax)+1,MATCH(SurrChargeID,SurrTypes,0)),0)</f>
        <v/>
      </c>
      <c r="J81" s="33">
        <f>N80-P80-O80</f>
        <v/>
      </c>
      <c r="K81" s="30">
        <f>IF(B81=12*PolicyTerm,J81,0)</f>
        <v/>
      </c>
      <c r="L81" s="33">
        <f>J81-K81</f>
        <v/>
      </c>
      <c r="M81" s="30">
        <f>IF(B81=0,PolicyCount,0)</f>
        <v/>
      </c>
      <c r="N81" s="33">
        <f>L81+M81</f>
        <v/>
      </c>
      <c r="O81" s="31">
        <f>N81*G81</f>
        <v/>
      </c>
      <c r="P81" s="33">
        <f>(N81-O81)*(1-(1-H81)^(1/12))</f>
        <v/>
      </c>
      <c r="Q81" s="34">
        <f>X80+Z80</f>
        <v/>
      </c>
      <c r="R81" s="29">
        <f>(1-LoadPremRate)*E81</f>
        <v/>
      </c>
      <c r="S81" s="34">
        <f>Q81+R81</f>
        <v/>
      </c>
      <c r="T81" s="29">
        <f>MaintFeeRateAnn/12*S81</f>
        <v/>
      </c>
      <c r="U81" s="29">
        <f>MAX(SumAssured-S81,0)</f>
        <v/>
      </c>
      <c r="V81" s="35">
        <f>CoiMultiple*G81</f>
        <v/>
      </c>
      <c r="W81" s="34">
        <f>V81*U81</f>
        <v/>
      </c>
      <c r="X81" s="34">
        <f>S81-T81-W81</f>
        <v/>
      </c>
      <c r="Y81" s="36">
        <f>EXP((Mu-0.5*Sigma^2)/12+Sigma*SQRT(1/12)*INDEX(NormRand,ScenID,A81+1))-1</f>
        <v/>
      </c>
      <c r="Z81" s="34">
        <f>Y81*X81</f>
        <v/>
      </c>
      <c r="AA81" s="34">
        <f>X81+0.5*Z81</f>
        <v/>
      </c>
      <c r="AB81" s="34">
        <f>Q81*J81</f>
        <v/>
      </c>
      <c r="AC81" s="34">
        <f>Q81*L81</f>
        <v/>
      </c>
      <c r="AD81" s="34">
        <f>S81*N81</f>
        <v/>
      </c>
      <c r="AE81" s="34">
        <f>E81*N81</f>
        <v/>
      </c>
      <c r="AF81" s="34">
        <f>R81*N81</f>
        <v/>
      </c>
      <c r="AG81" s="29">
        <f>MAX(SumAssured,AA81)</f>
        <v/>
      </c>
      <c r="AH81" s="34">
        <f>AG81*O81</f>
        <v/>
      </c>
      <c r="AI81" s="34">
        <f>AA81*O81</f>
        <v/>
      </c>
      <c r="AJ81" s="34">
        <f>AA81*P81</f>
        <v/>
      </c>
      <c r="AK81" s="34">
        <f>I81*AA81*P81</f>
        <v/>
      </c>
      <c r="AL81" s="34">
        <f>AJ81-AK81</f>
        <v/>
      </c>
      <c r="AM81" s="34">
        <f>Q81*K81</f>
        <v/>
      </c>
      <c r="AN81" s="34">
        <f>AH81+AL81+AM81</f>
        <v/>
      </c>
      <c r="AO81" s="34">
        <f>(AG81-AA81)*O81</f>
        <v/>
      </c>
      <c r="AP81" s="34">
        <f>W81*N81</f>
        <v/>
      </c>
      <c r="AQ81" s="34">
        <f>T81*N81</f>
        <v/>
      </c>
      <c r="AR81" s="34">
        <f>Z81*J82+0.5*Z81*(O81+P81)</f>
        <v/>
      </c>
      <c r="AS81" s="30">
        <f>(1+InflationRate)^(A81/12)</f>
        <v/>
      </c>
      <c r="AT81" s="29">
        <f>ExpenseAcq*M81+N81*ExpenseMaint/12*AS81</f>
        <v/>
      </c>
      <c r="AU81" s="29">
        <f>CommissionRate*AE81</f>
        <v/>
      </c>
      <c r="AV81" s="34">
        <f>AB82-AB81</f>
        <v/>
      </c>
      <c r="AW81" s="34">
        <f>AE81+AR81-AN81-AT81-AU81-AV81</f>
        <v/>
      </c>
      <c r="AX81" s="29">
        <f>LoadPremRate*E81*N81+AK81+AQ81-AU81-AT81</f>
        <v/>
      </c>
      <c r="AY81" s="34">
        <f>AP81-AO81</f>
        <v/>
      </c>
      <c r="AZ81" s="37">
        <f>(AW81-AX81-AY81)/MAX(1,ABS(AW81),ABS(AX81),ABS(AY81))</f>
        <v/>
      </c>
      <c r="BA81" s="37">
        <f>IF(OR(K81&gt;0,K82&gt;0),0,(AC82-(AC81+AF81-AQ81-AP81+AR81-AI81-AJ81-AM81))/MAX(1,ABS(AC81),ABS(AC82)))</f>
        <v/>
      </c>
      <c r="BB81" s="35">
        <f>(1+INDEX(DiscRateAnn,INT(A81/12)+1))^(1/12)-1</f>
        <v/>
      </c>
      <c r="BC81" s="31">
        <f>(1+BB81)^-A81</f>
        <v/>
      </c>
      <c r="BD81" s="34">
        <f>AW81*BC81</f>
        <v/>
      </c>
    </row>
    <row r="82">
      <c r="A82" s="27">
        <f>A81+1</f>
        <v/>
      </c>
      <c r="B82" s="28">
        <f>Duration0+A82</f>
        <v/>
      </c>
      <c r="C82" s="27">
        <f>INT(B82/12)</f>
        <v/>
      </c>
      <c r="D82" s="28">
        <f>AgeAtEntry+C82</f>
        <v/>
      </c>
      <c r="E82" s="29">
        <f>IF(PremiumType="SINGLE",IF(B82=0,PremiumPPInput,0),IF(B82&lt;12*PolicyTerm,PremiumPPInput,0))</f>
        <v/>
      </c>
      <c r="F82" s="30">
        <f>INDEX(MortRates,MATCH(MIN(D82,120),MortAges,0),MAX(MIN(C82,5),0)+1)</f>
        <v/>
      </c>
      <c r="G82" s="31">
        <f>1-(1-F82)^(1/12)</f>
        <v/>
      </c>
      <c r="H82" s="32">
        <f>MAX(LapseBase-LapseStep*C82,LapseFloor)</f>
        <v/>
      </c>
      <c r="I82" s="32">
        <f>IF(HasSurrCharge,INDEX(SurrRates,MIN(C82,SurrDurMax)+1,MATCH(SurrChargeID,SurrTypes,0)),0)</f>
        <v/>
      </c>
      <c r="J82" s="33">
        <f>N81-P81-O81</f>
        <v/>
      </c>
      <c r="K82" s="30">
        <f>IF(B82=12*PolicyTerm,J82,0)</f>
        <v/>
      </c>
      <c r="L82" s="33">
        <f>J82-K82</f>
        <v/>
      </c>
      <c r="M82" s="30">
        <f>IF(B82=0,PolicyCount,0)</f>
        <v/>
      </c>
      <c r="N82" s="33">
        <f>L82+M82</f>
        <v/>
      </c>
      <c r="O82" s="31">
        <f>N82*G82</f>
        <v/>
      </c>
      <c r="P82" s="33">
        <f>(N82-O82)*(1-(1-H82)^(1/12))</f>
        <v/>
      </c>
      <c r="Q82" s="34">
        <f>X81+Z81</f>
        <v/>
      </c>
      <c r="R82" s="29">
        <f>(1-LoadPremRate)*E82</f>
        <v/>
      </c>
      <c r="S82" s="34">
        <f>Q82+R82</f>
        <v/>
      </c>
      <c r="T82" s="29">
        <f>MaintFeeRateAnn/12*S82</f>
        <v/>
      </c>
      <c r="U82" s="29">
        <f>MAX(SumAssured-S82,0)</f>
        <v/>
      </c>
      <c r="V82" s="35">
        <f>CoiMultiple*G82</f>
        <v/>
      </c>
      <c r="W82" s="34">
        <f>V82*U82</f>
        <v/>
      </c>
      <c r="X82" s="34">
        <f>S82-T82-W82</f>
        <v/>
      </c>
      <c r="Y82" s="36">
        <f>EXP((Mu-0.5*Sigma^2)/12+Sigma*SQRT(1/12)*INDEX(NormRand,ScenID,A82+1))-1</f>
        <v/>
      </c>
      <c r="Z82" s="34">
        <f>Y82*X82</f>
        <v/>
      </c>
      <c r="AA82" s="34">
        <f>X82+0.5*Z82</f>
        <v/>
      </c>
      <c r="AB82" s="34">
        <f>Q82*J82</f>
        <v/>
      </c>
      <c r="AC82" s="34">
        <f>Q82*L82</f>
        <v/>
      </c>
      <c r="AD82" s="34">
        <f>S82*N82</f>
        <v/>
      </c>
      <c r="AE82" s="34">
        <f>E82*N82</f>
        <v/>
      </c>
      <c r="AF82" s="34">
        <f>R82*N82</f>
        <v/>
      </c>
      <c r="AG82" s="29">
        <f>MAX(SumAssured,AA82)</f>
        <v/>
      </c>
      <c r="AH82" s="34">
        <f>AG82*O82</f>
        <v/>
      </c>
      <c r="AI82" s="34">
        <f>AA82*O82</f>
        <v/>
      </c>
      <c r="AJ82" s="34">
        <f>AA82*P82</f>
        <v/>
      </c>
      <c r="AK82" s="34">
        <f>I82*AA82*P82</f>
        <v/>
      </c>
      <c r="AL82" s="34">
        <f>AJ82-AK82</f>
        <v/>
      </c>
      <c r="AM82" s="34">
        <f>Q82*K82</f>
        <v/>
      </c>
      <c r="AN82" s="34">
        <f>AH82+AL82+AM82</f>
        <v/>
      </c>
      <c r="AO82" s="34">
        <f>(AG82-AA82)*O82</f>
        <v/>
      </c>
      <c r="AP82" s="34">
        <f>W82*N82</f>
        <v/>
      </c>
      <c r="AQ82" s="34">
        <f>T82*N82</f>
        <v/>
      </c>
      <c r="AR82" s="34">
        <f>Z82*J83+0.5*Z82*(O82+P82)</f>
        <v/>
      </c>
      <c r="AS82" s="30">
        <f>(1+InflationRate)^(A82/12)</f>
        <v/>
      </c>
      <c r="AT82" s="29">
        <f>ExpenseAcq*M82+N82*ExpenseMaint/12*AS82</f>
        <v/>
      </c>
      <c r="AU82" s="29">
        <f>CommissionRate*AE82</f>
        <v/>
      </c>
      <c r="AV82" s="34">
        <f>AB83-AB82</f>
        <v/>
      </c>
      <c r="AW82" s="34">
        <f>AE82+AR82-AN82-AT82-AU82-AV82</f>
        <v/>
      </c>
      <c r="AX82" s="29">
        <f>LoadPremRate*E82*N82+AK82+AQ82-AU82-AT82</f>
        <v/>
      </c>
      <c r="AY82" s="34">
        <f>AP82-AO82</f>
        <v/>
      </c>
      <c r="AZ82" s="37">
        <f>(AW82-AX82-AY82)/MAX(1,ABS(AW82),ABS(AX82),ABS(AY82))</f>
        <v/>
      </c>
      <c r="BA82" s="37">
        <f>IF(OR(K82&gt;0,K83&gt;0),0,(AC83-(AC82+AF82-AQ82-AP82+AR82-AI82-AJ82-AM82))/MAX(1,ABS(AC82),ABS(AC83)))</f>
        <v/>
      </c>
      <c r="BB82" s="35">
        <f>(1+INDEX(DiscRateAnn,INT(A82/12)+1))^(1/12)-1</f>
        <v/>
      </c>
      <c r="BC82" s="31">
        <f>(1+BB82)^-A82</f>
        <v/>
      </c>
      <c r="BD82" s="34">
        <f>AW82*BC82</f>
        <v/>
      </c>
    </row>
    <row r="83">
      <c r="A83" s="27">
        <f>A82+1</f>
        <v/>
      </c>
      <c r="B83" s="28">
        <f>Duration0+A83</f>
        <v/>
      </c>
      <c r="C83" s="27">
        <f>INT(B83/12)</f>
        <v/>
      </c>
      <c r="D83" s="28">
        <f>AgeAtEntry+C83</f>
        <v/>
      </c>
      <c r="E83" s="29">
        <f>IF(PremiumType="SINGLE",IF(B83=0,PremiumPPInput,0),IF(B83&lt;12*PolicyTerm,PremiumPPInput,0))</f>
        <v/>
      </c>
      <c r="F83" s="30">
        <f>INDEX(MortRates,MATCH(MIN(D83,120),MortAges,0),MAX(MIN(C83,5),0)+1)</f>
        <v/>
      </c>
      <c r="G83" s="31">
        <f>1-(1-F83)^(1/12)</f>
        <v/>
      </c>
      <c r="H83" s="32">
        <f>MAX(LapseBase-LapseStep*C83,LapseFloor)</f>
        <v/>
      </c>
      <c r="I83" s="32">
        <f>IF(HasSurrCharge,INDEX(SurrRates,MIN(C83,SurrDurMax)+1,MATCH(SurrChargeID,SurrTypes,0)),0)</f>
        <v/>
      </c>
      <c r="J83" s="33">
        <f>N82-P82-O82</f>
        <v/>
      </c>
      <c r="K83" s="30">
        <f>IF(B83=12*PolicyTerm,J83,0)</f>
        <v/>
      </c>
      <c r="L83" s="33">
        <f>J83-K83</f>
        <v/>
      </c>
      <c r="M83" s="30">
        <f>IF(B83=0,PolicyCount,0)</f>
        <v/>
      </c>
      <c r="N83" s="33">
        <f>L83+M83</f>
        <v/>
      </c>
      <c r="O83" s="31">
        <f>N83*G83</f>
        <v/>
      </c>
      <c r="P83" s="33">
        <f>(N83-O83)*(1-(1-H83)^(1/12))</f>
        <v/>
      </c>
      <c r="Q83" s="34">
        <f>X82+Z82</f>
        <v/>
      </c>
      <c r="R83" s="29">
        <f>(1-LoadPremRate)*E83</f>
        <v/>
      </c>
      <c r="S83" s="34">
        <f>Q83+R83</f>
        <v/>
      </c>
      <c r="T83" s="29">
        <f>MaintFeeRateAnn/12*S83</f>
        <v/>
      </c>
      <c r="U83" s="29">
        <f>MAX(SumAssured-S83,0)</f>
        <v/>
      </c>
      <c r="V83" s="35">
        <f>CoiMultiple*G83</f>
        <v/>
      </c>
      <c r="W83" s="34">
        <f>V83*U83</f>
        <v/>
      </c>
      <c r="X83" s="34">
        <f>S83-T83-W83</f>
        <v/>
      </c>
      <c r="Y83" s="36">
        <f>EXP((Mu-0.5*Sigma^2)/12+Sigma*SQRT(1/12)*INDEX(NormRand,ScenID,A83+1))-1</f>
        <v/>
      </c>
      <c r="Z83" s="34">
        <f>Y83*X83</f>
        <v/>
      </c>
      <c r="AA83" s="34">
        <f>X83+0.5*Z83</f>
        <v/>
      </c>
      <c r="AB83" s="34">
        <f>Q83*J83</f>
        <v/>
      </c>
      <c r="AC83" s="34">
        <f>Q83*L83</f>
        <v/>
      </c>
      <c r="AD83" s="34">
        <f>S83*N83</f>
        <v/>
      </c>
      <c r="AE83" s="34">
        <f>E83*N83</f>
        <v/>
      </c>
      <c r="AF83" s="34">
        <f>R83*N83</f>
        <v/>
      </c>
      <c r="AG83" s="29">
        <f>MAX(SumAssured,AA83)</f>
        <v/>
      </c>
      <c r="AH83" s="34">
        <f>AG83*O83</f>
        <v/>
      </c>
      <c r="AI83" s="34">
        <f>AA83*O83</f>
        <v/>
      </c>
      <c r="AJ83" s="34">
        <f>AA83*P83</f>
        <v/>
      </c>
      <c r="AK83" s="34">
        <f>I83*AA83*P83</f>
        <v/>
      </c>
      <c r="AL83" s="34">
        <f>AJ83-AK83</f>
        <v/>
      </c>
      <c r="AM83" s="34">
        <f>Q83*K83</f>
        <v/>
      </c>
      <c r="AN83" s="34">
        <f>AH83+AL83+AM83</f>
        <v/>
      </c>
      <c r="AO83" s="34">
        <f>(AG83-AA83)*O83</f>
        <v/>
      </c>
      <c r="AP83" s="34">
        <f>W83*N83</f>
        <v/>
      </c>
      <c r="AQ83" s="34">
        <f>T83*N83</f>
        <v/>
      </c>
      <c r="AR83" s="34">
        <f>Z83*J84+0.5*Z83*(O83+P83)</f>
        <v/>
      </c>
      <c r="AS83" s="30">
        <f>(1+InflationRate)^(A83/12)</f>
        <v/>
      </c>
      <c r="AT83" s="29">
        <f>ExpenseAcq*M83+N83*ExpenseMaint/12*AS83</f>
        <v/>
      </c>
      <c r="AU83" s="29">
        <f>CommissionRate*AE83</f>
        <v/>
      </c>
      <c r="AV83" s="34">
        <f>AB84-AB83</f>
        <v/>
      </c>
      <c r="AW83" s="34">
        <f>AE83+AR83-AN83-AT83-AU83-AV83</f>
        <v/>
      </c>
      <c r="AX83" s="29">
        <f>LoadPremRate*E83*N83+AK83+AQ83-AU83-AT83</f>
        <v/>
      </c>
      <c r="AY83" s="34">
        <f>AP83-AO83</f>
        <v/>
      </c>
      <c r="AZ83" s="37">
        <f>(AW83-AX83-AY83)/MAX(1,ABS(AW83),ABS(AX83),ABS(AY83))</f>
        <v/>
      </c>
      <c r="BA83" s="37">
        <f>IF(OR(K83&gt;0,K84&gt;0),0,(AC84-(AC83+AF83-AQ83-AP83+AR83-AI83-AJ83-AM83))/MAX(1,ABS(AC83),ABS(AC84)))</f>
        <v/>
      </c>
      <c r="BB83" s="35">
        <f>(1+INDEX(DiscRateAnn,INT(A83/12)+1))^(1/12)-1</f>
        <v/>
      </c>
      <c r="BC83" s="31">
        <f>(1+BB83)^-A83</f>
        <v/>
      </c>
      <c r="BD83" s="34">
        <f>AW83*BC83</f>
        <v/>
      </c>
    </row>
    <row r="84">
      <c r="A84" s="27">
        <f>A83+1</f>
        <v/>
      </c>
      <c r="B84" s="28">
        <f>Duration0+A84</f>
        <v/>
      </c>
      <c r="C84" s="27">
        <f>INT(B84/12)</f>
        <v/>
      </c>
      <c r="D84" s="28">
        <f>AgeAtEntry+C84</f>
        <v/>
      </c>
      <c r="E84" s="29">
        <f>IF(PremiumType="SINGLE",IF(B84=0,PremiumPPInput,0),IF(B84&lt;12*PolicyTerm,PremiumPPInput,0))</f>
        <v/>
      </c>
      <c r="F84" s="30">
        <f>INDEX(MortRates,MATCH(MIN(D84,120),MortAges,0),MAX(MIN(C84,5),0)+1)</f>
        <v/>
      </c>
      <c r="G84" s="31">
        <f>1-(1-F84)^(1/12)</f>
        <v/>
      </c>
      <c r="H84" s="32">
        <f>MAX(LapseBase-LapseStep*C84,LapseFloor)</f>
        <v/>
      </c>
      <c r="I84" s="32">
        <f>IF(HasSurrCharge,INDEX(SurrRates,MIN(C84,SurrDurMax)+1,MATCH(SurrChargeID,SurrTypes,0)),0)</f>
        <v/>
      </c>
      <c r="J84" s="33">
        <f>N83-P83-O83</f>
        <v/>
      </c>
      <c r="K84" s="30">
        <f>IF(B84=12*PolicyTerm,J84,0)</f>
        <v/>
      </c>
      <c r="L84" s="33">
        <f>J84-K84</f>
        <v/>
      </c>
      <c r="M84" s="30">
        <f>IF(B84=0,PolicyCount,0)</f>
        <v/>
      </c>
      <c r="N84" s="33">
        <f>L84+M84</f>
        <v/>
      </c>
      <c r="O84" s="31">
        <f>N84*G84</f>
        <v/>
      </c>
      <c r="P84" s="33">
        <f>(N84-O84)*(1-(1-H84)^(1/12))</f>
        <v/>
      </c>
      <c r="Q84" s="34">
        <f>X83+Z83</f>
        <v/>
      </c>
      <c r="R84" s="29">
        <f>(1-LoadPremRate)*E84</f>
        <v/>
      </c>
      <c r="S84" s="34">
        <f>Q84+R84</f>
        <v/>
      </c>
      <c r="T84" s="29">
        <f>MaintFeeRateAnn/12*S84</f>
        <v/>
      </c>
      <c r="U84" s="29">
        <f>MAX(SumAssured-S84,0)</f>
        <v/>
      </c>
      <c r="V84" s="35">
        <f>CoiMultiple*G84</f>
        <v/>
      </c>
      <c r="W84" s="34">
        <f>V84*U84</f>
        <v/>
      </c>
      <c r="X84" s="34">
        <f>S84-T84-W84</f>
        <v/>
      </c>
      <c r="Y84" s="36">
        <f>EXP((Mu-0.5*Sigma^2)/12+Sigma*SQRT(1/12)*INDEX(NormRand,ScenID,A84+1))-1</f>
        <v/>
      </c>
      <c r="Z84" s="34">
        <f>Y84*X84</f>
        <v/>
      </c>
      <c r="AA84" s="34">
        <f>X84+0.5*Z84</f>
        <v/>
      </c>
      <c r="AB84" s="34">
        <f>Q84*J84</f>
        <v/>
      </c>
      <c r="AC84" s="34">
        <f>Q84*L84</f>
        <v/>
      </c>
      <c r="AD84" s="34">
        <f>S84*N84</f>
        <v/>
      </c>
      <c r="AE84" s="34">
        <f>E84*N84</f>
        <v/>
      </c>
      <c r="AF84" s="34">
        <f>R84*N84</f>
        <v/>
      </c>
      <c r="AG84" s="29">
        <f>MAX(SumAssured,AA84)</f>
        <v/>
      </c>
      <c r="AH84" s="34">
        <f>AG84*O84</f>
        <v/>
      </c>
      <c r="AI84" s="34">
        <f>AA84*O84</f>
        <v/>
      </c>
      <c r="AJ84" s="34">
        <f>AA84*P84</f>
        <v/>
      </c>
      <c r="AK84" s="34">
        <f>I84*AA84*P84</f>
        <v/>
      </c>
      <c r="AL84" s="34">
        <f>AJ84-AK84</f>
        <v/>
      </c>
      <c r="AM84" s="34">
        <f>Q84*K84</f>
        <v/>
      </c>
      <c r="AN84" s="34">
        <f>AH84+AL84+AM84</f>
        <v/>
      </c>
      <c r="AO84" s="34">
        <f>(AG84-AA84)*O84</f>
        <v/>
      </c>
      <c r="AP84" s="34">
        <f>W84*N84</f>
        <v/>
      </c>
      <c r="AQ84" s="34">
        <f>T84*N84</f>
        <v/>
      </c>
      <c r="AR84" s="34">
        <f>Z84*J85+0.5*Z84*(O84+P84)</f>
        <v/>
      </c>
      <c r="AS84" s="30">
        <f>(1+InflationRate)^(A84/12)</f>
        <v/>
      </c>
      <c r="AT84" s="29">
        <f>ExpenseAcq*M84+N84*ExpenseMaint/12*AS84</f>
        <v/>
      </c>
      <c r="AU84" s="29">
        <f>CommissionRate*AE84</f>
        <v/>
      </c>
      <c r="AV84" s="34">
        <f>AB85-AB84</f>
        <v/>
      </c>
      <c r="AW84" s="34">
        <f>AE84+AR84-AN84-AT84-AU84-AV84</f>
        <v/>
      </c>
      <c r="AX84" s="29">
        <f>LoadPremRate*E84*N84+AK84+AQ84-AU84-AT84</f>
        <v/>
      </c>
      <c r="AY84" s="34">
        <f>AP84-AO84</f>
        <v/>
      </c>
      <c r="AZ84" s="37">
        <f>(AW84-AX84-AY84)/MAX(1,ABS(AW84),ABS(AX84),ABS(AY84))</f>
        <v/>
      </c>
      <c r="BA84" s="37">
        <f>IF(OR(K84&gt;0,K85&gt;0),0,(AC85-(AC84+AF84-AQ84-AP84+AR84-AI84-AJ84-AM84))/MAX(1,ABS(AC84),ABS(AC85)))</f>
        <v/>
      </c>
      <c r="BB84" s="35">
        <f>(1+INDEX(DiscRateAnn,INT(A84/12)+1))^(1/12)-1</f>
        <v/>
      </c>
      <c r="BC84" s="31">
        <f>(1+BB84)^-A84</f>
        <v/>
      </c>
      <c r="BD84" s="34">
        <f>AW84*BC84</f>
        <v/>
      </c>
    </row>
    <row r="85">
      <c r="A85" s="27">
        <f>A84+1</f>
        <v/>
      </c>
      <c r="B85" s="28">
        <f>Duration0+A85</f>
        <v/>
      </c>
      <c r="C85" s="27">
        <f>INT(B85/12)</f>
        <v/>
      </c>
      <c r="D85" s="28">
        <f>AgeAtEntry+C85</f>
        <v/>
      </c>
      <c r="E85" s="29">
        <f>IF(PremiumType="SINGLE",IF(B85=0,PremiumPPInput,0),IF(B85&lt;12*PolicyTerm,PremiumPPInput,0))</f>
        <v/>
      </c>
      <c r="F85" s="30">
        <f>INDEX(MortRates,MATCH(MIN(D85,120),MortAges,0),MAX(MIN(C85,5),0)+1)</f>
        <v/>
      </c>
      <c r="G85" s="31">
        <f>1-(1-F85)^(1/12)</f>
        <v/>
      </c>
      <c r="H85" s="32">
        <f>MAX(LapseBase-LapseStep*C85,LapseFloor)</f>
        <v/>
      </c>
      <c r="I85" s="32">
        <f>IF(HasSurrCharge,INDEX(SurrRates,MIN(C85,SurrDurMax)+1,MATCH(SurrChargeID,SurrTypes,0)),0)</f>
        <v/>
      </c>
      <c r="J85" s="33">
        <f>N84-P84-O84</f>
        <v/>
      </c>
      <c r="K85" s="30">
        <f>IF(B85=12*PolicyTerm,J85,0)</f>
        <v/>
      </c>
      <c r="L85" s="33">
        <f>J85-K85</f>
        <v/>
      </c>
      <c r="M85" s="30">
        <f>IF(B85=0,PolicyCount,0)</f>
        <v/>
      </c>
      <c r="N85" s="33">
        <f>L85+M85</f>
        <v/>
      </c>
      <c r="O85" s="31">
        <f>N85*G85</f>
        <v/>
      </c>
      <c r="P85" s="33">
        <f>(N85-O85)*(1-(1-H85)^(1/12))</f>
        <v/>
      </c>
      <c r="Q85" s="34">
        <f>X84+Z84</f>
        <v/>
      </c>
      <c r="R85" s="29">
        <f>(1-LoadPremRate)*E85</f>
        <v/>
      </c>
      <c r="S85" s="34">
        <f>Q85+R85</f>
        <v/>
      </c>
      <c r="T85" s="29">
        <f>MaintFeeRateAnn/12*S85</f>
        <v/>
      </c>
      <c r="U85" s="29">
        <f>MAX(SumAssured-S85,0)</f>
        <v/>
      </c>
      <c r="V85" s="35">
        <f>CoiMultiple*G85</f>
        <v/>
      </c>
      <c r="W85" s="34">
        <f>V85*U85</f>
        <v/>
      </c>
      <c r="X85" s="34">
        <f>S85-T85-W85</f>
        <v/>
      </c>
      <c r="Y85" s="36">
        <f>EXP((Mu-0.5*Sigma^2)/12+Sigma*SQRT(1/12)*INDEX(NormRand,ScenID,A85+1))-1</f>
        <v/>
      </c>
      <c r="Z85" s="34">
        <f>Y85*X85</f>
        <v/>
      </c>
      <c r="AA85" s="34">
        <f>X85+0.5*Z85</f>
        <v/>
      </c>
      <c r="AB85" s="34">
        <f>Q85*J85</f>
        <v/>
      </c>
      <c r="AC85" s="34">
        <f>Q85*L85</f>
        <v/>
      </c>
      <c r="AD85" s="34">
        <f>S85*N85</f>
        <v/>
      </c>
      <c r="AE85" s="34">
        <f>E85*N85</f>
        <v/>
      </c>
      <c r="AF85" s="34">
        <f>R85*N85</f>
        <v/>
      </c>
      <c r="AG85" s="29">
        <f>MAX(SumAssured,AA85)</f>
        <v/>
      </c>
      <c r="AH85" s="34">
        <f>AG85*O85</f>
        <v/>
      </c>
      <c r="AI85" s="34">
        <f>AA85*O85</f>
        <v/>
      </c>
      <c r="AJ85" s="34">
        <f>AA85*P85</f>
        <v/>
      </c>
      <c r="AK85" s="34">
        <f>I85*AA85*P85</f>
        <v/>
      </c>
      <c r="AL85" s="34">
        <f>AJ85-AK85</f>
        <v/>
      </c>
      <c r="AM85" s="34">
        <f>Q85*K85</f>
        <v/>
      </c>
      <c r="AN85" s="34">
        <f>AH85+AL85+AM85</f>
        <v/>
      </c>
      <c r="AO85" s="34">
        <f>(AG85-AA85)*O85</f>
        <v/>
      </c>
      <c r="AP85" s="34">
        <f>W85*N85</f>
        <v/>
      </c>
      <c r="AQ85" s="34">
        <f>T85*N85</f>
        <v/>
      </c>
      <c r="AR85" s="34">
        <f>Z85*J86+0.5*Z85*(O85+P85)</f>
        <v/>
      </c>
      <c r="AS85" s="30">
        <f>(1+InflationRate)^(A85/12)</f>
        <v/>
      </c>
      <c r="AT85" s="29">
        <f>ExpenseAcq*M85+N85*ExpenseMaint/12*AS85</f>
        <v/>
      </c>
      <c r="AU85" s="29">
        <f>CommissionRate*AE85</f>
        <v/>
      </c>
      <c r="AV85" s="34">
        <f>AB86-AB85</f>
        <v/>
      </c>
      <c r="AW85" s="34">
        <f>AE85+AR85-AN85-AT85-AU85-AV85</f>
        <v/>
      </c>
      <c r="AX85" s="29">
        <f>LoadPremRate*E85*N85+AK85+AQ85-AU85-AT85</f>
        <v/>
      </c>
      <c r="AY85" s="34">
        <f>AP85-AO85</f>
        <v/>
      </c>
      <c r="AZ85" s="37">
        <f>(AW85-AX85-AY85)/MAX(1,ABS(AW85),ABS(AX85),ABS(AY85))</f>
        <v/>
      </c>
      <c r="BA85" s="37">
        <f>IF(OR(K85&gt;0,K86&gt;0),0,(AC86-(AC85+AF85-AQ85-AP85+AR85-AI85-AJ85-AM85))/MAX(1,ABS(AC85),ABS(AC86)))</f>
        <v/>
      </c>
      <c r="BB85" s="35">
        <f>(1+INDEX(DiscRateAnn,INT(A85/12)+1))^(1/12)-1</f>
        <v/>
      </c>
      <c r="BC85" s="31">
        <f>(1+BB85)^-A85</f>
        <v/>
      </c>
      <c r="BD85" s="34">
        <f>AW85*BC85</f>
        <v/>
      </c>
    </row>
    <row r="86">
      <c r="A86" s="27">
        <f>A85+1</f>
        <v/>
      </c>
      <c r="B86" s="28">
        <f>Duration0+A86</f>
        <v/>
      </c>
      <c r="C86" s="27">
        <f>INT(B86/12)</f>
        <v/>
      </c>
      <c r="D86" s="28">
        <f>AgeAtEntry+C86</f>
        <v/>
      </c>
      <c r="E86" s="29">
        <f>IF(PremiumType="SINGLE",IF(B86=0,PremiumPPInput,0),IF(B86&lt;12*PolicyTerm,PremiumPPInput,0))</f>
        <v/>
      </c>
      <c r="F86" s="30">
        <f>INDEX(MortRates,MATCH(MIN(D86,120),MortAges,0),MAX(MIN(C86,5),0)+1)</f>
        <v/>
      </c>
      <c r="G86" s="31">
        <f>1-(1-F86)^(1/12)</f>
        <v/>
      </c>
      <c r="H86" s="32">
        <f>MAX(LapseBase-LapseStep*C86,LapseFloor)</f>
        <v/>
      </c>
      <c r="I86" s="32">
        <f>IF(HasSurrCharge,INDEX(SurrRates,MIN(C86,SurrDurMax)+1,MATCH(SurrChargeID,SurrTypes,0)),0)</f>
        <v/>
      </c>
      <c r="J86" s="33">
        <f>N85-P85-O85</f>
        <v/>
      </c>
      <c r="K86" s="30">
        <f>IF(B86=12*PolicyTerm,J86,0)</f>
        <v/>
      </c>
      <c r="L86" s="33">
        <f>J86-K86</f>
        <v/>
      </c>
      <c r="M86" s="30">
        <f>IF(B86=0,PolicyCount,0)</f>
        <v/>
      </c>
      <c r="N86" s="33">
        <f>L86+M86</f>
        <v/>
      </c>
      <c r="O86" s="31">
        <f>N86*G86</f>
        <v/>
      </c>
      <c r="P86" s="33">
        <f>(N86-O86)*(1-(1-H86)^(1/12))</f>
        <v/>
      </c>
      <c r="Q86" s="34">
        <f>X85+Z85</f>
        <v/>
      </c>
      <c r="R86" s="29">
        <f>(1-LoadPremRate)*E86</f>
        <v/>
      </c>
      <c r="S86" s="34">
        <f>Q86+R86</f>
        <v/>
      </c>
      <c r="T86" s="29">
        <f>MaintFeeRateAnn/12*S86</f>
        <v/>
      </c>
      <c r="U86" s="29">
        <f>MAX(SumAssured-S86,0)</f>
        <v/>
      </c>
      <c r="V86" s="35">
        <f>CoiMultiple*G86</f>
        <v/>
      </c>
      <c r="W86" s="34">
        <f>V86*U86</f>
        <v/>
      </c>
      <c r="X86" s="34">
        <f>S86-T86-W86</f>
        <v/>
      </c>
      <c r="Y86" s="36">
        <f>EXP((Mu-0.5*Sigma^2)/12+Sigma*SQRT(1/12)*INDEX(NormRand,ScenID,A86+1))-1</f>
        <v/>
      </c>
      <c r="Z86" s="34">
        <f>Y86*X86</f>
        <v/>
      </c>
      <c r="AA86" s="34">
        <f>X86+0.5*Z86</f>
        <v/>
      </c>
      <c r="AB86" s="34">
        <f>Q86*J86</f>
        <v/>
      </c>
      <c r="AC86" s="34">
        <f>Q86*L86</f>
        <v/>
      </c>
      <c r="AD86" s="34">
        <f>S86*N86</f>
        <v/>
      </c>
      <c r="AE86" s="34">
        <f>E86*N86</f>
        <v/>
      </c>
      <c r="AF86" s="34">
        <f>R86*N86</f>
        <v/>
      </c>
      <c r="AG86" s="29">
        <f>MAX(SumAssured,AA86)</f>
        <v/>
      </c>
      <c r="AH86" s="34">
        <f>AG86*O86</f>
        <v/>
      </c>
      <c r="AI86" s="34">
        <f>AA86*O86</f>
        <v/>
      </c>
      <c r="AJ86" s="34">
        <f>AA86*P86</f>
        <v/>
      </c>
      <c r="AK86" s="34">
        <f>I86*AA86*P86</f>
        <v/>
      </c>
      <c r="AL86" s="34">
        <f>AJ86-AK86</f>
        <v/>
      </c>
      <c r="AM86" s="34">
        <f>Q86*K86</f>
        <v/>
      </c>
      <c r="AN86" s="34">
        <f>AH86+AL86+AM86</f>
        <v/>
      </c>
      <c r="AO86" s="34">
        <f>(AG86-AA86)*O86</f>
        <v/>
      </c>
      <c r="AP86" s="34">
        <f>W86*N86</f>
        <v/>
      </c>
      <c r="AQ86" s="34">
        <f>T86*N86</f>
        <v/>
      </c>
      <c r="AR86" s="34">
        <f>Z86*J87+0.5*Z86*(O86+P86)</f>
        <v/>
      </c>
      <c r="AS86" s="30">
        <f>(1+InflationRate)^(A86/12)</f>
        <v/>
      </c>
      <c r="AT86" s="29">
        <f>ExpenseAcq*M86+N86*ExpenseMaint/12*AS86</f>
        <v/>
      </c>
      <c r="AU86" s="29">
        <f>CommissionRate*AE86</f>
        <v/>
      </c>
      <c r="AV86" s="34">
        <f>AB87-AB86</f>
        <v/>
      </c>
      <c r="AW86" s="34">
        <f>AE86+AR86-AN86-AT86-AU86-AV86</f>
        <v/>
      </c>
      <c r="AX86" s="29">
        <f>LoadPremRate*E86*N86+AK86+AQ86-AU86-AT86</f>
        <v/>
      </c>
      <c r="AY86" s="34">
        <f>AP86-AO86</f>
        <v/>
      </c>
      <c r="AZ86" s="37">
        <f>(AW86-AX86-AY86)/MAX(1,ABS(AW86),ABS(AX86),ABS(AY86))</f>
        <v/>
      </c>
      <c r="BA86" s="37">
        <f>IF(OR(K86&gt;0,K87&gt;0),0,(AC87-(AC86+AF86-AQ86-AP86+AR86-AI86-AJ86-AM86))/MAX(1,ABS(AC86),ABS(AC87)))</f>
        <v/>
      </c>
      <c r="BB86" s="35">
        <f>(1+INDEX(DiscRateAnn,INT(A86/12)+1))^(1/12)-1</f>
        <v/>
      </c>
      <c r="BC86" s="31">
        <f>(1+BB86)^-A86</f>
        <v/>
      </c>
      <c r="BD86" s="34">
        <f>AW86*BC86</f>
        <v/>
      </c>
    </row>
    <row r="87">
      <c r="A87" s="27">
        <f>A86+1</f>
        <v/>
      </c>
      <c r="B87" s="28">
        <f>Duration0+A87</f>
        <v/>
      </c>
      <c r="C87" s="27">
        <f>INT(B87/12)</f>
        <v/>
      </c>
      <c r="D87" s="28">
        <f>AgeAtEntry+C87</f>
        <v/>
      </c>
      <c r="E87" s="29">
        <f>IF(PremiumType="SINGLE",IF(B87=0,PremiumPPInput,0),IF(B87&lt;12*PolicyTerm,PremiumPPInput,0))</f>
        <v/>
      </c>
      <c r="F87" s="30">
        <f>INDEX(MortRates,MATCH(MIN(D87,120),MortAges,0),MAX(MIN(C87,5),0)+1)</f>
        <v/>
      </c>
      <c r="G87" s="31">
        <f>1-(1-F87)^(1/12)</f>
        <v/>
      </c>
      <c r="H87" s="32">
        <f>MAX(LapseBase-LapseStep*C87,LapseFloor)</f>
        <v/>
      </c>
      <c r="I87" s="32">
        <f>IF(HasSurrCharge,INDEX(SurrRates,MIN(C87,SurrDurMax)+1,MATCH(SurrChargeID,SurrTypes,0)),0)</f>
        <v/>
      </c>
      <c r="J87" s="33">
        <f>N86-P86-O86</f>
        <v/>
      </c>
      <c r="K87" s="30">
        <f>IF(B87=12*PolicyTerm,J87,0)</f>
        <v/>
      </c>
      <c r="L87" s="33">
        <f>J87-K87</f>
        <v/>
      </c>
      <c r="M87" s="30">
        <f>IF(B87=0,PolicyCount,0)</f>
        <v/>
      </c>
      <c r="N87" s="33">
        <f>L87+M87</f>
        <v/>
      </c>
      <c r="O87" s="31">
        <f>N87*G87</f>
        <v/>
      </c>
      <c r="P87" s="33">
        <f>(N87-O87)*(1-(1-H87)^(1/12))</f>
        <v/>
      </c>
      <c r="Q87" s="34">
        <f>X86+Z86</f>
        <v/>
      </c>
      <c r="R87" s="29">
        <f>(1-LoadPremRate)*E87</f>
        <v/>
      </c>
      <c r="S87" s="34">
        <f>Q87+R87</f>
        <v/>
      </c>
      <c r="T87" s="29">
        <f>MaintFeeRateAnn/12*S87</f>
        <v/>
      </c>
      <c r="U87" s="29">
        <f>MAX(SumAssured-S87,0)</f>
        <v/>
      </c>
      <c r="V87" s="35">
        <f>CoiMultiple*G87</f>
        <v/>
      </c>
      <c r="W87" s="34">
        <f>V87*U87</f>
        <v/>
      </c>
      <c r="X87" s="34">
        <f>S87-T87-W87</f>
        <v/>
      </c>
      <c r="Y87" s="36">
        <f>EXP((Mu-0.5*Sigma^2)/12+Sigma*SQRT(1/12)*INDEX(NormRand,ScenID,A87+1))-1</f>
        <v/>
      </c>
      <c r="Z87" s="34">
        <f>Y87*X87</f>
        <v/>
      </c>
      <c r="AA87" s="34">
        <f>X87+0.5*Z87</f>
        <v/>
      </c>
      <c r="AB87" s="34">
        <f>Q87*J87</f>
        <v/>
      </c>
      <c r="AC87" s="34">
        <f>Q87*L87</f>
        <v/>
      </c>
      <c r="AD87" s="34">
        <f>S87*N87</f>
        <v/>
      </c>
      <c r="AE87" s="34">
        <f>E87*N87</f>
        <v/>
      </c>
      <c r="AF87" s="34">
        <f>R87*N87</f>
        <v/>
      </c>
      <c r="AG87" s="29">
        <f>MAX(SumAssured,AA87)</f>
        <v/>
      </c>
      <c r="AH87" s="34">
        <f>AG87*O87</f>
        <v/>
      </c>
      <c r="AI87" s="34">
        <f>AA87*O87</f>
        <v/>
      </c>
      <c r="AJ87" s="34">
        <f>AA87*P87</f>
        <v/>
      </c>
      <c r="AK87" s="34">
        <f>I87*AA87*P87</f>
        <v/>
      </c>
      <c r="AL87" s="34">
        <f>AJ87-AK87</f>
        <v/>
      </c>
      <c r="AM87" s="34">
        <f>Q87*K87</f>
        <v/>
      </c>
      <c r="AN87" s="34">
        <f>AH87+AL87+AM87</f>
        <v/>
      </c>
      <c r="AO87" s="34">
        <f>(AG87-AA87)*O87</f>
        <v/>
      </c>
      <c r="AP87" s="34">
        <f>W87*N87</f>
        <v/>
      </c>
      <c r="AQ87" s="34">
        <f>T87*N87</f>
        <v/>
      </c>
      <c r="AR87" s="34">
        <f>Z87*J88+0.5*Z87*(O87+P87)</f>
        <v/>
      </c>
      <c r="AS87" s="30">
        <f>(1+InflationRate)^(A87/12)</f>
        <v/>
      </c>
      <c r="AT87" s="29">
        <f>ExpenseAcq*M87+N87*ExpenseMaint/12*AS87</f>
        <v/>
      </c>
      <c r="AU87" s="29">
        <f>CommissionRate*AE87</f>
        <v/>
      </c>
      <c r="AV87" s="34">
        <f>AB88-AB87</f>
        <v/>
      </c>
      <c r="AW87" s="34">
        <f>AE87+AR87-AN87-AT87-AU87-AV87</f>
        <v/>
      </c>
      <c r="AX87" s="29">
        <f>LoadPremRate*E87*N87+AK87+AQ87-AU87-AT87</f>
        <v/>
      </c>
      <c r="AY87" s="34">
        <f>AP87-AO87</f>
        <v/>
      </c>
      <c r="AZ87" s="37">
        <f>(AW87-AX87-AY87)/MAX(1,ABS(AW87),ABS(AX87),ABS(AY87))</f>
        <v/>
      </c>
      <c r="BA87" s="37">
        <f>IF(OR(K87&gt;0,K88&gt;0),0,(AC88-(AC87+AF87-AQ87-AP87+AR87-AI87-AJ87-AM87))/MAX(1,ABS(AC87),ABS(AC88)))</f>
        <v/>
      </c>
      <c r="BB87" s="35">
        <f>(1+INDEX(DiscRateAnn,INT(A87/12)+1))^(1/12)-1</f>
        <v/>
      </c>
      <c r="BC87" s="31">
        <f>(1+BB87)^-A87</f>
        <v/>
      </c>
      <c r="BD87" s="34">
        <f>AW87*BC87</f>
        <v/>
      </c>
    </row>
    <row r="88">
      <c r="A88" s="27">
        <f>A87+1</f>
        <v/>
      </c>
      <c r="B88" s="28">
        <f>Duration0+A88</f>
        <v/>
      </c>
      <c r="C88" s="27">
        <f>INT(B88/12)</f>
        <v/>
      </c>
      <c r="D88" s="28">
        <f>AgeAtEntry+C88</f>
        <v/>
      </c>
      <c r="E88" s="29">
        <f>IF(PremiumType="SINGLE",IF(B88=0,PremiumPPInput,0),IF(B88&lt;12*PolicyTerm,PremiumPPInput,0))</f>
        <v/>
      </c>
      <c r="F88" s="30">
        <f>INDEX(MortRates,MATCH(MIN(D88,120),MortAges,0),MAX(MIN(C88,5),0)+1)</f>
        <v/>
      </c>
      <c r="G88" s="31">
        <f>1-(1-F88)^(1/12)</f>
        <v/>
      </c>
      <c r="H88" s="32">
        <f>MAX(LapseBase-LapseStep*C88,LapseFloor)</f>
        <v/>
      </c>
      <c r="I88" s="32">
        <f>IF(HasSurrCharge,INDEX(SurrRates,MIN(C88,SurrDurMax)+1,MATCH(SurrChargeID,SurrTypes,0)),0)</f>
        <v/>
      </c>
      <c r="J88" s="33">
        <f>N87-P87-O87</f>
        <v/>
      </c>
      <c r="K88" s="30">
        <f>IF(B88=12*PolicyTerm,J88,0)</f>
        <v/>
      </c>
      <c r="L88" s="33">
        <f>J88-K88</f>
        <v/>
      </c>
      <c r="M88" s="30">
        <f>IF(B88=0,PolicyCount,0)</f>
        <v/>
      </c>
      <c r="N88" s="33">
        <f>L88+M88</f>
        <v/>
      </c>
      <c r="O88" s="31">
        <f>N88*G88</f>
        <v/>
      </c>
      <c r="P88" s="33">
        <f>(N88-O88)*(1-(1-H88)^(1/12))</f>
        <v/>
      </c>
      <c r="Q88" s="34">
        <f>X87+Z87</f>
        <v/>
      </c>
      <c r="R88" s="29">
        <f>(1-LoadPremRate)*E88</f>
        <v/>
      </c>
      <c r="S88" s="34">
        <f>Q88+R88</f>
        <v/>
      </c>
      <c r="T88" s="29">
        <f>MaintFeeRateAnn/12*S88</f>
        <v/>
      </c>
      <c r="U88" s="29">
        <f>MAX(SumAssured-S88,0)</f>
        <v/>
      </c>
      <c r="V88" s="35">
        <f>CoiMultiple*G88</f>
        <v/>
      </c>
      <c r="W88" s="34">
        <f>V88*U88</f>
        <v/>
      </c>
      <c r="X88" s="34">
        <f>S88-T88-W88</f>
        <v/>
      </c>
      <c r="Y88" s="36">
        <f>EXP((Mu-0.5*Sigma^2)/12+Sigma*SQRT(1/12)*INDEX(NormRand,ScenID,A88+1))-1</f>
        <v/>
      </c>
      <c r="Z88" s="34">
        <f>Y88*X88</f>
        <v/>
      </c>
      <c r="AA88" s="34">
        <f>X88+0.5*Z88</f>
        <v/>
      </c>
      <c r="AB88" s="34">
        <f>Q88*J88</f>
        <v/>
      </c>
      <c r="AC88" s="34">
        <f>Q88*L88</f>
        <v/>
      </c>
      <c r="AD88" s="34">
        <f>S88*N88</f>
        <v/>
      </c>
      <c r="AE88" s="34">
        <f>E88*N88</f>
        <v/>
      </c>
      <c r="AF88" s="34">
        <f>R88*N88</f>
        <v/>
      </c>
      <c r="AG88" s="29">
        <f>MAX(SumAssured,AA88)</f>
        <v/>
      </c>
      <c r="AH88" s="34">
        <f>AG88*O88</f>
        <v/>
      </c>
      <c r="AI88" s="34">
        <f>AA88*O88</f>
        <v/>
      </c>
      <c r="AJ88" s="34">
        <f>AA88*P88</f>
        <v/>
      </c>
      <c r="AK88" s="34">
        <f>I88*AA88*P88</f>
        <v/>
      </c>
      <c r="AL88" s="34">
        <f>AJ88-AK88</f>
        <v/>
      </c>
      <c r="AM88" s="34">
        <f>Q88*K88</f>
        <v/>
      </c>
      <c r="AN88" s="34">
        <f>AH88+AL88+AM88</f>
        <v/>
      </c>
      <c r="AO88" s="34">
        <f>(AG88-AA88)*O88</f>
        <v/>
      </c>
      <c r="AP88" s="34">
        <f>W88*N88</f>
        <v/>
      </c>
      <c r="AQ88" s="34">
        <f>T88*N88</f>
        <v/>
      </c>
      <c r="AR88" s="34">
        <f>Z88*J89+0.5*Z88*(O88+P88)</f>
        <v/>
      </c>
      <c r="AS88" s="30">
        <f>(1+InflationRate)^(A88/12)</f>
        <v/>
      </c>
      <c r="AT88" s="29">
        <f>ExpenseAcq*M88+N88*ExpenseMaint/12*AS88</f>
        <v/>
      </c>
      <c r="AU88" s="29">
        <f>CommissionRate*AE88</f>
        <v/>
      </c>
      <c r="AV88" s="34">
        <f>AB89-AB88</f>
        <v/>
      </c>
      <c r="AW88" s="34">
        <f>AE88+AR88-AN88-AT88-AU88-AV88</f>
        <v/>
      </c>
      <c r="AX88" s="29">
        <f>LoadPremRate*E88*N88+AK88+AQ88-AU88-AT88</f>
        <v/>
      </c>
      <c r="AY88" s="34">
        <f>AP88-AO88</f>
        <v/>
      </c>
      <c r="AZ88" s="37">
        <f>(AW88-AX88-AY88)/MAX(1,ABS(AW88),ABS(AX88),ABS(AY88))</f>
        <v/>
      </c>
      <c r="BA88" s="37">
        <f>IF(OR(K88&gt;0,K89&gt;0),0,(AC89-(AC88+AF88-AQ88-AP88+AR88-AI88-AJ88-AM88))/MAX(1,ABS(AC88),ABS(AC89)))</f>
        <v/>
      </c>
      <c r="BB88" s="35">
        <f>(1+INDEX(DiscRateAnn,INT(A88/12)+1))^(1/12)-1</f>
        <v/>
      </c>
      <c r="BC88" s="31">
        <f>(1+BB88)^-A88</f>
        <v/>
      </c>
      <c r="BD88" s="34">
        <f>AW88*BC88</f>
        <v/>
      </c>
    </row>
    <row r="89">
      <c r="A89" s="27">
        <f>A88+1</f>
        <v/>
      </c>
      <c r="B89" s="28">
        <f>Duration0+A89</f>
        <v/>
      </c>
      <c r="C89" s="27">
        <f>INT(B89/12)</f>
        <v/>
      </c>
      <c r="D89" s="28">
        <f>AgeAtEntry+C89</f>
        <v/>
      </c>
      <c r="E89" s="29">
        <f>IF(PremiumType="SINGLE",IF(B89=0,PremiumPPInput,0),IF(B89&lt;12*PolicyTerm,PremiumPPInput,0))</f>
        <v/>
      </c>
      <c r="F89" s="30">
        <f>INDEX(MortRates,MATCH(MIN(D89,120),MortAges,0),MAX(MIN(C89,5),0)+1)</f>
        <v/>
      </c>
      <c r="G89" s="31">
        <f>1-(1-F89)^(1/12)</f>
        <v/>
      </c>
      <c r="H89" s="32">
        <f>MAX(LapseBase-LapseStep*C89,LapseFloor)</f>
        <v/>
      </c>
      <c r="I89" s="32">
        <f>IF(HasSurrCharge,INDEX(SurrRates,MIN(C89,SurrDurMax)+1,MATCH(SurrChargeID,SurrTypes,0)),0)</f>
        <v/>
      </c>
      <c r="J89" s="33">
        <f>N88-P88-O88</f>
        <v/>
      </c>
      <c r="K89" s="30">
        <f>IF(B89=12*PolicyTerm,J89,0)</f>
        <v/>
      </c>
      <c r="L89" s="33">
        <f>J89-K89</f>
        <v/>
      </c>
      <c r="M89" s="30">
        <f>IF(B89=0,PolicyCount,0)</f>
        <v/>
      </c>
      <c r="N89" s="33">
        <f>L89+M89</f>
        <v/>
      </c>
      <c r="O89" s="31">
        <f>N89*G89</f>
        <v/>
      </c>
      <c r="P89" s="33">
        <f>(N89-O89)*(1-(1-H89)^(1/12))</f>
        <v/>
      </c>
      <c r="Q89" s="34">
        <f>X88+Z88</f>
        <v/>
      </c>
      <c r="R89" s="29">
        <f>(1-LoadPremRate)*E89</f>
        <v/>
      </c>
      <c r="S89" s="34">
        <f>Q89+R89</f>
        <v/>
      </c>
      <c r="T89" s="29">
        <f>MaintFeeRateAnn/12*S89</f>
        <v/>
      </c>
      <c r="U89" s="29">
        <f>MAX(SumAssured-S89,0)</f>
        <v/>
      </c>
      <c r="V89" s="35">
        <f>CoiMultiple*G89</f>
        <v/>
      </c>
      <c r="W89" s="34">
        <f>V89*U89</f>
        <v/>
      </c>
      <c r="X89" s="34">
        <f>S89-T89-W89</f>
        <v/>
      </c>
      <c r="Y89" s="36">
        <f>EXP((Mu-0.5*Sigma^2)/12+Sigma*SQRT(1/12)*INDEX(NormRand,ScenID,A89+1))-1</f>
        <v/>
      </c>
      <c r="Z89" s="34">
        <f>Y89*X89</f>
        <v/>
      </c>
      <c r="AA89" s="34">
        <f>X89+0.5*Z89</f>
        <v/>
      </c>
      <c r="AB89" s="34">
        <f>Q89*J89</f>
        <v/>
      </c>
      <c r="AC89" s="34">
        <f>Q89*L89</f>
        <v/>
      </c>
      <c r="AD89" s="34">
        <f>S89*N89</f>
        <v/>
      </c>
      <c r="AE89" s="34">
        <f>E89*N89</f>
        <v/>
      </c>
      <c r="AF89" s="34">
        <f>R89*N89</f>
        <v/>
      </c>
      <c r="AG89" s="29">
        <f>MAX(SumAssured,AA89)</f>
        <v/>
      </c>
      <c r="AH89" s="34">
        <f>AG89*O89</f>
        <v/>
      </c>
      <c r="AI89" s="34">
        <f>AA89*O89</f>
        <v/>
      </c>
      <c r="AJ89" s="34">
        <f>AA89*P89</f>
        <v/>
      </c>
      <c r="AK89" s="34">
        <f>I89*AA89*P89</f>
        <v/>
      </c>
      <c r="AL89" s="34">
        <f>AJ89-AK89</f>
        <v/>
      </c>
      <c r="AM89" s="34">
        <f>Q89*K89</f>
        <v/>
      </c>
      <c r="AN89" s="34">
        <f>AH89+AL89+AM89</f>
        <v/>
      </c>
      <c r="AO89" s="34">
        <f>(AG89-AA89)*O89</f>
        <v/>
      </c>
      <c r="AP89" s="34">
        <f>W89*N89</f>
        <v/>
      </c>
      <c r="AQ89" s="34">
        <f>T89*N89</f>
        <v/>
      </c>
      <c r="AR89" s="34">
        <f>Z89*J90+0.5*Z89*(O89+P89)</f>
        <v/>
      </c>
      <c r="AS89" s="30">
        <f>(1+InflationRate)^(A89/12)</f>
        <v/>
      </c>
      <c r="AT89" s="29">
        <f>ExpenseAcq*M89+N89*ExpenseMaint/12*AS89</f>
        <v/>
      </c>
      <c r="AU89" s="29">
        <f>CommissionRate*AE89</f>
        <v/>
      </c>
      <c r="AV89" s="34">
        <f>AB90-AB89</f>
        <v/>
      </c>
      <c r="AW89" s="34">
        <f>AE89+AR89-AN89-AT89-AU89-AV89</f>
        <v/>
      </c>
      <c r="AX89" s="29">
        <f>LoadPremRate*E89*N89+AK89+AQ89-AU89-AT89</f>
        <v/>
      </c>
      <c r="AY89" s="34">
        <f>AP89-AO89</f>
        <v/>
      </c>
      <c r="AZ89" s="37">
        <f>(AW89-AX89-AY89)/MAX(1,ABS(AW89),ABS(AX89),ABS(AY89))</f>
        <v/>
      </c>
      <c r="BA89" s="37">
        <f>IF(OR(K89&gt;0,K90&gt;0),0,(AC90-(AC89+AF89-AQ89-AP89+AR89-AI89-AJ89-AM89))/MAX(1,ABS(AC89),ABS(AC90)))</f>
        <v/>
      </c>
      <c r="BB89" s="35">
        <f>(1+INDEX(DiscRateAnn,INT(A89/12)+1))^(1/12)-1</f>
        <v/>
      </c>
      <c r="BC89" s="31">
        <f>(1+BB89)^-A89</f>
        <v/>
      </c>
      <c r="BD89" s="34">
        <f>AW89*BC89</f>
        <v/>
      </c>
    </row>
    <row r="90">
      <c r="A90" s="27">
        <f>A89+1</f>
        <v/>
      </c>
      <c r="B90" s="28">
        <f>Duration0+A90</f>
        <v/>
      </c>
      <c r="C90" s="27">
        <f>INT(B90/12)</f>
        <v/>
      </c>
      <c r="D90" s="28">
        <f>AgeAtEntry+C90</f>
        <v/>
      </c>
      <c r="E90" s="29">
        <f>IF(PremiumType="SINGLE",IF(B90=0,PremiumPPInput,0),IF(B90&lt;12*PolicyTerm,PremiumPPInput,0))</f>
        <v/>
      </c>
      <c r="F90" s="30">
        <f>INDEX(MortRates,MATCH(MIN(D90,120),MortAges,0),MAX(MIN(C90,5),0)+1)</f>
        <v/>
      </c>
      <c r="G90" s="31">
        <f>1-(1-F90)^(1/12)</f>
        <v/>
      </c>
      <c r="H90" s="32">
        <f>MAX(LapseBase-LapseStep*C90,LapseFloor)</f>
        <v/>
      </c>
      <c r="I90" s="32">
        <f>IF(HasSurrCharge,INDEX(SurrRates,MIN(C90,SurrDurMax)+1,MATCH(SurrChargeID,SurrTypes,0)),0)</f>
        <v/>
      </c>
      <c r="J90" s="33">
        <f>N89-P89-O89</f>
        <v/>
      </c>
      <c r="K90" s="30">
        <f>IF(B90=12*PolicyTerm,J90,0)</f>
        <v/>
      </c>
      <c r="L90" s="33">
        <f>J90-K90</f>
        <v/>
      </c>
      <c r="M90" s="30">
        <f>IF(B90=0,PolicyCount,0)</f>
        <v/>
      </c>
      <c r="N90" s="33">
        <f>L90+M90</f>
        <v/>
      </c>
      <c r="O90" s="31">
        <f>N90*G90</f>
        <v/>
      </c>
      <c r="P90" s="33">
        <f>(N90-O90)*(1-(1-H90)^(1/12))</f>
        <v/>
      </c>
      <c r="Q90" s="34">
        <f>X89+Z89</f>
        <v/>
      </c>
      <c r="R90" s="29">
        <f>(1-LoadPremRate)*E90</f>
        <v/>
      </c>
      <c r="S90" s="34">
        <f>Q90+R90</f>
        <v/>
      </c>
      <c r="T90" s="29">
        <f>MaintFeeRateAnn/12*S90</f>
        <v/>
      </c>
      <c r="U90" s="29">
        <f>MAX(SumAssured-S90,0)</f>
        <v/>
      </c>
      <c r="V90" s="35">
        <f>CoiMultiple*G90</f>
        <v/>
      </c>
      <c r="W90" s="34">
        <f>V90*U90</f>
        <v/>
      </c>
      <c r="X90" s="34">
        <f>S90-T90-W90</f>
        <v/>
      </c>
      <c r="Y90" s="36">
        <f>EXP((Mu-0.5*Sigma^2)/12+Sigma*SQRT(1/12)*INDEX(NormRand,ScenID,A90+1))-1</f>
        <v/>
      </c>
      <c r="Z90" s="34">
        <f>Y90*X90</f>
        <v/>
      </c>
      <c r="AA90" s="34">
        <f>X90+0.5*Z90</f>
        <v/>
      </c>
      <c r="AB90" s="34">
        <f>Q90*J90</f>
        <v/>
      </c>
      <c r="AC90" s="34">
        <f>Q90*L90</f>
        <v/>
      </c>
      <c r="AD90" s="34">
        <f>S90*N90</f>
        <v/>
      </c>
      <c r="AE90" s="34">
        <f>E90*N90</f>
        <v/>
      </c>
      <c r="AF90" s="34">
        <f>R90*N90</f>
        <v/>
      </c>
      <c r="AG90" s="29">
        <f>MAX(SumAssured,AA90)</f>
        <v/>
      </c>
      <c r="AH90" s="34">
        <f>AG90*O90</f>
        <v/>
      </c>
      <c r="AI90" s="34">
        <f>AA90*O90</f>
        <v/>
      </c>
      <c r="AJ90" s="34">
        <f>AA90*P90</f>
        <v/>
      </c>
      <c r="AK90" s="34">
        <f>I90*AA90*P90</f>
        <v/>
      </c>
      <c r="AL90" s="34">
        <f>AJ90-AK90</f>
        <v/>
      </c>
      <c r="AM90" s="34">
        <f>Q90*K90</f>
        <v/>
      </c>
      <c r="AN90" s="34">
        <f>AH90+AL90+AM90</f>
        <v/>
      </c>
      <c r="AO90" s="34">
        <f>(AG90-AA90)*O90</f>
        <v/>
      </c>
      <c r="AP90" s="34">
        <f>W90*N90</f>
        <v/>
      </c>
      <c r="AQ90" s="34">
        <f>T90*N90</f>
        <v/>
      </c>
      <c r="AR90" s="34">
        <f>Z90*J91+0.5*Z90*(O90+P90)</f>
        <v/>
      </c>
      <c r="AS90" s="30">
        <f>(1+InflationRate)^(A90/12)</f>
        <v/>
      </c>
      <c r="AT90" s="29">
        <f>ExpenseAcq*M90+N90*ExpenseMaint/12*AS90</f>
        <v/>
      </c>
      <c r="AU90" s="29">
        <f>CommissionRate*AE90</f>
        <v/>
      </c>
      <c r="AV90" s="34">
        <f>AB91-AB90</f>
        <v/>
      </c>
      <c r="AW90" s="34">
        <f>AE90+AR90-AN90-AT90-AU90-AV90</f>
        <v/>
      </c>
      <c r="AX90" s="29">
        <f>LoadPremRate*E90*N90+AK90+AQ90-AU90-AT90</f>
        <v/>
      </c>
      <c r="AY90" s="34">
        <f>AP90-AO90</f>
        <v/>
      </c>
      <c r="AZ90" s="37">
        <f>(AW90-AX90-AY90)/MAX(1,ABS(AW90),ABS(AX90),ABS(AY90))</f>
        <v/>
      </c>
      <c r="BA90" s="37">
        <f>IF(OR(K90&gt;0,K91&gt;0),0,(AC91-(AC90+AF90-AQ90-AP90+AR90-AI90-AJ90-AM90))/MAX(1,ABS(AC90),ABS(AC91)))</f>
        <v/>
      </c>
      <c r="BB90" s="35">
        <f>(1+INDEX(DiscRateAnn,INT(A90/12)+1))^(1/12)-1</f>
        <v/>
      </c>
      <c r="BC90" s="31">
        <f>(1+BB90)^-A90</f>
        <v/>
      </c>
      <c r="BD90" s="34">
        <f>AW90*BC90</f>
        <v/>
      </c>
    </row>
    <row r="91">
      <c r="A91" s="27">
        <f>A90+1</f>
        <v/>
      </c>
      <c r="B91" s="28">
        <f>Duration0+A91</f>
        <v/>
      </c>
      <c r="C91" s="27">
        <f>INT(B91/12)</f>
        <v/>
      </c>
      <c r="D91" s="28">
        <f>AgeAtEntry+C91</f>
        <v/>
      </c>
      <c r="E91" s="29">
        <f>IF(PremiumType="SINGLE",IF(B91=0,PremiumPPInput,0),IF(B91&lt;12*PolicyTerm,PremiumPPInput,0))</f>
        <v/>
      </c>
      <c r="F91" s="30">
        <f>INDEX(MortRates,MATCH(MIN(D91,120),MortAges,0),MAX(MIN(C91,5),0)+1)</f>
        <v/>
      </c>
      <c r="G91" s="31">
        <f>1-(1-F91)^(1/12)</f>
        <v/>
      </c>
      <c r="H91" s="32">
        <f>MAX(LapseBase-LapseStep*C91,LapseFloor)</f>
        <v/>
      </c>
      <c r="I91" s="32">
        <f>IF(HasSurrCharge,INDEX(SurrRates,MIN(C91,SurrDurMax)+1,MATCH(SurrChargeID,SurrTypes,0)),0)</f>
        <v/>
      </c>
      <c r="J91" s="33">
        <f>N90-P90-O90</f>
        <v/>
      </c>
      <c r="K91" s="30">
        <f>IF(B91=12*PolicyTerm,J91,0)</f>
        <v/>
      </c>
      <c r="L91" s="33">
        <f>J91-K91</f>
        <v/>
      </c>
      <c r="M91" s="30">
        <f>IF(B91=0,PolicyCount,0)</f>
        <v/>
      </c>
      <c r="N91" s="33">
        <f>L91+M91</f>
        <v/>
      </c>
      <c r="O91" s="31">
        <f>N91*G91</f>
        <v/>
      </c>
      <c r="P91" s="33">
        <f>(N91-O91)*(1-(1-H91)^(1/12))</f>
        <v/>
      </c>
      <c r="Q91" s="34">
        <f>X90+Z90</f>
        <v/>
      </c>
      <c r="R91" s="29">
        <f>(1-LoadPremRate)*E91</f>
        <v/>
      </c>
      <c r="S91" s="34">
        <f>Q91+R91</f>
        <v/>
      </c>
      <c r="T91" s="29">
        <f>MaintFeeRateAnn/12*S91</f>
        <v/>
      </c>
      <c r="U91" s="29">
        <f>MAX(SumAssured-S91,0)</f>
        <v/>
      </c>
      <c r="V91" s="35">
        <f>CoiMultiple*G91</f>
        <v/>
      </c>
      <c r="W91" s="34">
        <f>V91*U91</f>
        <v/>
      </c>
      <c r="X91" s="34">
        <f>S91-T91-W91</f>
        <v/>
      </c>
      <c r="Y91" s="36">
        <f>EXP((Mu-0.5*Sigma^2)/12+Sigma*SQRT(1/12)*INDEX(NormRand,ScenID,A91+1))-1</f>
        <v/>
      </c>
      <c r="Z91" s="34">
        <f>Y91*X91</f>
        <v/>
      </c>
      <c r="AA91" s="34">
        <f>X91+0.5*Z91</f>
        <v/>
      </c>
      <c r="AB91" s="34">
        <f>Q91*J91</f>
        <v/>
      </c>
      <c r="AC91" s="34">
        <f>Q91*L91</f>
        <v/>
      </c>
      <c r="AD91" s="34">
        <f>S91*N91</f>
        <v/>
      </c>
      <c r="AE91" s="34">
        <f>E91*N91</f>
        <v/>
      </c>
      <c r="AF91" s="34">
        <f>R91*N91</f>
        <v/>
      </c>
      <c r="AG91" s="29">
        <f>MAX(SumAssured,AA91)</f>
        <v/>
      </c>
      <c r="AH91" s="34">
        <f>AG91*O91</f>
        <v/>
      </c>
      <c r="AI91" s="34">
        <f>AA91*O91</f>
        <v/>
      </c>
      <c r="AJ91" s="34">
        <f>AA91*P91</f>
        <v/>
      </c>
      <c r="AK91" s="34">
        <f>I91*AA91*P91</f>
        <v/>
      </c>
      <c r="AL91" s="34">
        <f>AJ91-AK91</f>
        <v/>
      </c>
      <c r="AM91" s="34">
        <f>Q91*K91</f>
        <v/>
      </c>
      <c r="AN91" s="34">
        <f>AH91+AL91+AM91</f>
        <v/>
      </c>
      <c r="AO91" s="34">
        <f>(AG91-AA91)*O91</f>
        <v/>
      </c>
      <c r="AP91" s="34">
        <f>W91*N91</f>
        <v/>
      </c>
      <c r="AQ91" s="34">
        <f>T91*N91</f>
        <v/>
      </c>
      <c r="AR91" s="34">
        <f>Z91*J92+0.5*Z91*(O91+P91)</f>
        <v/>
      </c>
      <c r="AS91" s="30">
        <f>(1+InflationRate)^(A91/12)</f>
        <v/>
      </c>
      <c r="AT91" s="29">
        <f>ExpenseAcq*M91+N91*ExpenseMaint/12*AS91</f>
        <v/>
      </c>
      <c r="AU91" s="29">
        <f>CommissionRate*AE91</f>
        <v/>
      </c>
      <c r="AV91" s="34">
        <f>AB92-AB91</f>
        <v/>
      </c>
      <c r="AW91" s="34">
        <f>AE91+AR91-AN91-AT91-AU91-AV91</f>
        <v/>
      </c>
      <c r="AX91" s="29">
        <f>LoadPremRate*E91*N91+AK91+AQ91-AU91-AT91</f>
        <v/>
      </c>
      <c r="AY91" s="34">
        <f>AP91-AO91</f>
        <v/>
      </c>
      <c r="AZ91" s="37">
        <f>(AW91-AX91-AY91)/MAX(1,ABS(AW91),ABS(AX91),ABS(AY91))</f>
        <v/>
      </c>
      <c r="BA91" s="37">
        <f>IF(OR(K91&gt;0,K92&gt;0),0,(AC92-(AC91+AF91-AQ91-AP91+AR91-AI91-AJ91-AM91))/MAX(1,ABS(AC91),ABS(AC92)))</f>
        <v/>
      </c>
      <c r="BB91" s="35">
        <f>(1+INDEX(DiscRateAnn,INT(A91/12)+1))^(1/12)-1</f>
        <v/>
      </c>
      <c r="BC91" s="31">
        <f>(1+BB91)^-A91</f>
        <v/>
      </c>
      <c r="BD91" s="34">
        <f>AW91*BC91</f>
        <v/>
      </c>
    </row>
    <row r="92">
      <c r="A92" s="27">
        <f>A91+1</f>
        <v/>
      </c>
      <c r="B92" s="28">
        <f>Duration0+A92</f>
        <v/>
      </c>
      <c r="C92" s="27">
        <f>INT(B92/12)</f>
        <v/>
      </c>
      <c r="D92" s="28">
        <f>AgeAtEntry+C92</f>
        <v/>
      </c>
      <c r="E92" s="29">
        <f>IF(PremiumType="SINGLE",IF(B92=0,PremiumPPInput,0),IF(B92&lt;12*PolicyTerm,PremiumPPInput,0))</f>
        <v/>
      </c>
      <c r="F92" s="30">
        <f>INDEX(MortRates,MATCH(MIN(D92,120),MortAges,0),MAX(MIN(C92,5),0)+1)</f>
        <v/>
      </c>
      <c r="G92" s="31">
        <f>1-(1-F92)^(1/12)</f>
        <v/>
      </c>
      <c r="H92" s="32">
        <f>MAX(LapseBase-LapseStep*C92,LapseFloor)</f>
        <v/>
      </c>
      <c r="I92" s="32">
        <f>IF(HasSurrCharge,INDEX(SurrRates,MIN(C92,SurrDurMax)+1,MATCH(SurrChargeID,SurrTypes,0)),0)</f>
        <v/>
      </c>
      <c r="J92" s="33">
        <f>N91-P91-O91</f>
        <v/>
      </c>
      <c r="K92" s="30">
        <f>IF(B92=12*PolicyTerm,J92,0)</f>
        <v/>
      </c>
      <c r="L92" s="33">
        <f>J92-K92</f>
        <v/>
      </c>
      <c r="M92" s="30">
        <f>IF(B92=0,PolicyCount,0)</f>
        <v/>
      </c>
      <c r="N92" s="33">
        <f>L92+M92</f>
        <v/>
      </c>
      <c r="O92" s="31">
        <f>N92*G92</f>
        <v/>
      </c>
      <c r="P92" s="33">
        <f>(N92-O92)*(1-(1-H92)^(1/12))</f>
        <v/>
      </c>
      <c r="Q92" s="34">
        <f>X91+Z91</f>
        <v/>
      </c>
      <c r="R92" s="29">
        <f>(1-LoadPremRate)*E92</f>
        <v/>
      </c>
      <c r="S92" s="34">
        <f>Q92+R92</f>
        <v/>
      </c>
      <c r="T92" s="29">
        <f>MaintFeeRateAnn/12*S92</f>
        <v/>
      </c>
      <c r="U92" s="29">
        <f>MAX(SumAssured-S92,0)</f>
        <v/>
      </c>
      <c r="V92" s="35">
        <f>CoiMultiple*G92</f>
        <v/>
      </c>
      <c r="W92" s="34">
        <f>V92*U92</f>
        <v/>
      </c>
      <c r="X92" s="34">
        <f>S92-T92-W92</f>
        <v/>
      </c>
      <c r="Y92" s="36">
        <f>EXP((Mu-0.5*Sigma^2)/12+Sigma*SQRT(1/12)*INDEX(NormRand,ScenID,A92+1))-1</f>
        <v/>
      </c>
      <c r="Z92" s="34">
        <f>Y92*X92</f>
        <v/>
      </c>
      <c r="AA92" s="34">
        <f>X92+0.5*Z92</f>
        <v/>
      </c>
      <c r="AB92" s="34">
        <f>Q92*J92</f>
        <v/>
      </c>
      <c r="AC92" s="34">
        <f>Q92*L92</f>
        <v/>
      </c>
      <c r="AD92" s="34">
        <f>S92*N92</f>
        <v/>
      </c>
      <c r="AE92" s="34">
        <f>E92*N92</f>
        <v/>
      </c>
      <c r="AF92" s="34">
        <f>R92*N92</f>
        <v/>
      </c>
      <c r="AG92" s="29">
        <f>MAX(SumAssured,AA92)</f>
        <v/>
      </c>
      <c r="AH92" s="34">
        <f>AG92*O92</f>
        <v/>
      </c>
      <c r="AI92" s="34">
        <f>AA92*O92</f>
        <v/>
      </c>
      <c r="AJ92" s="34">
        <f>AA92*P92</f>
        <v/>
      </c>
      <c r="AK92" s="34">
        <f>I92*AA92*P92</f>
        <v/>
      </c>
      <c r="AL92" s="34">
        <f>AJ92-AK92</f>
        <v/>
      </c>
      <c r="AM92" s="34">
        <f>Q92*K92</f>
        <v/>
      </c>
      <c r="AN92" s="34">
        <f>AH92+AL92+AM92</f>
        <v/>
      </c>
      <c r="AO92" s="34">
        <f>(AG92-AA92)*O92</f>
        <v/>
      </c>
      <c r="AP92" s="34">
        <f>W92*N92</f>
        <v/>
      </c>
      <c r="AQ92" s="34">
        <f>T92*N92</f>
        <v/>
      </c>
      <c r="AR92" s="34">
        <f>Z92*J93+0.5*Z92*(O92+P92)</f>
        <v/>
      </c>
      <c r="AS92" s="30">
        <f>(1+InflationRate)^(A92/12)</f>
        <v/>
      </c>
      <c r="AT92" s="29">
        <f>ExpenseAcq*M92+N92*ExpenseMaint/12*AS92</f>
        <v/>
      </c>
      <c r="AU92" s="29">
        <f>CommissionRate*AE92</f>
        <v/>
      </c>
      <c r="AV92" s="34">
        <f>AB93-AB92</f>
        <v/>
      </c>
      <c r="AW92" s="34">
        <f>AE92+AR92-AN92-AT92-AU92-AV92</f>
        <v/>
      </c>
      <c r="AX92" s="29">
        <f>LoadPremRate*E92*N92+AK92+AQ92-AU92-AT92</f>
        <v/>
      </c>
      <c r="AY92" s="34">
        <f>AP92-AO92</f>
        <v/>
      </c>
      <c r="AZ92" s="37">
        <f>(AW92-AX92-AY92)/MAX(1,ABS(AW92),ABS(AX92),ABS(AY92))</f>
        <v/>
      </c>
      <c r="BA92" s="37">
        <f>IF(OR(K92&gt;0,K93&gt;0),0,(AC93-(AC92+AF92-AQ92-AP92+AR92-AI92-AJ92-AM92))/MAX(1,ABS(AC92),ABS(AC93)))</f>
        <v/>
      </c>
      <c r="BB92" s="35">
        <f>(1+INDEX(DiscRateAnn,INT(A92/12)+1))^(1/12)-1</f>
        <v/>
      </c>
      <c r="BC92" s="31">
        <f>(1+BB92)^-A92</f>
        <v/>
      </c>
      <c r="BD92" s="34">
        <f>AW92*BC92</f>
        <v/>
      </c>
    </row>
    <row r="93">
      <c r="A93" s="27">
        <f>A92+1</f>
        <v/>
      </c>
      <c r="B93" s="28">
        <f>Duration0+A93</f>
        <v/>
      </c>
      <c r="C93" s="27">
        <f>INT(B93/12)</f>
        <v/>
      </c>
      <c r="D93" s="28">
        <f>AgeAtEntry+C93</f>
        <v/>
      </c>
      <c r="E93" s="29">
        <f>IF(PremiumType="SINGLE",IF(B93=0,PremiumPPInput,0),IF(B93&lt;12*PolicyTerm,PremiumPPInput,0))</f>
        <v/>
      </c>
      <c r="F93" s="30">
        <f>INDEX(MortRates,MATCH(MIN(D93,120),MortAges,0),MAX(MIN(C93,5),0)+1)</f>
        <v/>
      </c>
      <c r="G93" s="31">
        <f>1-(1-F93)^(1/12)</f>
        <v/>
      </c>
      <c r="H93" s="32">
        <f>MAX(LapseBase-LapseStep*C93,LapseFloor)</f>
        <v/>
      </c>
      <c r="I93" s="32">
        <f>IF(HasSurrCharge,INDEX(SurrRates,MIN(C93,SurrDurMax)+1,MATCH(SurrChargeID,SurrTypes,0)),0)</f>
        <v/>
      </c>
      <c r="J93" s="33">
        <f>N92-P92-O92</f>
        <v/>
      </c>
      <c r="K93" s="30">
        <f>IF(B93=12*PolicyTerm,J93,0)</f>
        <v/>
      </c>
      <c r="L93" s="33">
        <f>J93-K93</f>
        <v/>
      </c>
      <c r="M93" s="30">
        <f>IF(B93=0,PolicyCount,0)</f>
        <v/>
      </c>
      <c r="N93" s="33">
        <f>L93+M93</f>
        <v/>
      </c>
      <c r="O93" s="31">
        <f>N93*G93</f>
        <v/>
      </c>
      <c r="P93" s="33">
        <f>(N93-O93)*(1-(1-H93)^(1/12))</f>
        <v/>
      </c>
      <c r="Q93" s="34">
        <f>X92+Z92</f>
        <v/>
      </c>
      <c r="R93" s="29">
        <f>(1-LoadPremRate)*E93</f>
        <v/>
      </c>
      <c r="S93" s="34">
        <f>Q93+R93</f>
        <v/>
      </c>
      <c r="T93" s="29">
        <f>MaintFeeRateAnn/12*S93</f>
        <v/>
      </c>
      <c r="U93" s="29">
        <f>MAX(SumAssured-S93,0)</f>
        <v/>
      </c>
      <c r="V93" s="35">
        <f>CoiMultiple*G93</f>
        <v/>
      </c>
      <c r="W93" s="34">
        <f>V93*U93</f>
        <v/>
      </c>
      <c r="X93" s="34">
        <f>S93-T93-W93</f>
        <v/>
      </c>
      <c r="Y93" s="36">
        <f>EXP((Mu-0.5*Sigma^2)/12+Sigma*SQRT(1/12)*INDEX(NormRand,ScenID,A93+1))-1</f>
        <v/>
      </c>
      <c r="Z93" s="34">
        <f>Y93*X93</f>
        <v/>
      </c>
      <c r="AA93" s="34">
        <f>X93+0.5*Z93</f>
        <v/>
      </c>
      <c r="AB93" s="34">
        <f>Q93*J93</f>
        <v/>
      </c>
      <c r="AC93" s="34">
        <f>Q93*L93</f>
        <v/>
      </c>
      <c r="AD93" s="34">
        <f>S93*N93</f>
        <v/>
      </c>
      <c r="AE93" s="34">
        <f>E93*N93</f>
        <v/>
      </c>
      <c r="AF93" s="34">
        <f>R93*N93</f>
        <v/>
      </c>
      <c r="AG93" s="29">
        <f>MAX(SumAssured,AA93)</f>
        <v/>
      </c>
      <c r="AH93" s="34">
        <f>AG93*O93</f>
        <v/>
      </c>
      <c r="AI93" s="34">
        <f>AA93*O93</f>
        <v/>
      </c>
      <c r="AJ93" s="34">
        <f>AA93*P93</f>
        <v/>
      </c>
      <c r="AK93" s="34">
        <f>I93*AA93*P93</f>
        <v/>
      </c>
      <c r="AL93" s="34">
        <f>AJ93-AK93</f>
        <v/>
      </c>
      <c r="AM93" s="34">
        <f>Q93*K93</f>
        <v/>
      </c>
      <c r="AN93" s="34">
        <f>AH93+AL93+AM93</f>
        <v/>
      </c>
      <c r="AO93" s="34">
        <f>(AG93-AA93)*O93</f>
        <v/>
      </c>
      <c r="AP93" s="34">
        <f>W93*N93</f>
        <v/>
      </c>
      <c r="AQ93" s="34">
        <f>T93*N93</f>
        <v/>
      </c>
      <c r="AR93" s="34">
        <f>Z93*J94+0.5*Z93*(O93+P93)</f>
        <v/>
      </c>
      <c r="AS93" s="30">
        <f>(1+InflationRate)^(A93/12)</f>
        <v/>
      </c>
      <c r="AT93" s="29">
        <f>ExpenseAcq*M93+N93*ExpenseMaint/12*AS93</f>
        <v/>
      </c>
      <c r="AU93" s="29">
        <f>CommissionRate*AE93</f>
        <v/>
      </c>
      <c r="AV93" s="34">
        <f>AB94-AB93</f>
        <v/>
      </c>
      <c r="AW93" s="34">
        <f>AE93+AR93-AN93-AT93-AU93-AV93</f>
        <v/>
      </c>
      <c r="AX93" s="29">
        <f>LoadPremRate*E93*N93+AK93+AQ93-AU93-AT93</f>
        <v/>
      </c>
      <c r="AY93" s="34">
        <f>AP93-AO93</f>
        <v/>
      </c>
      <c r="AZ93" s="37">
        <f>(AW93-AX93-AY93)/MAX(1,ABS(AW93),ABS(AX93),ABS(AY93))</f>
        <v/>
      </c>
      <c r="BA93" s="37">
        <f>IF(OR(K93&gt;0,K94&gt;0),0,(AC94-(AC93+AF93-AQ93-AP93+AR93-AI93-AJ93-AM93))/MAX(1,ABS(AC93),ABS(AC94)))</f>
        <v/>
      </c>
      <c r="BB93" s="35">
        <f>(1+INDEX(DiscRateAnn,INT(A93/12)+1))^(1/12)-1</f>
        <v/>
      </c>
      <c r="BC93" s="31">
        <f>(1+BB93)^-A93</f>
        <v/>
      </c>
      <c r="BD93" s="34">
        <f>AW93*BC93</f>
        <v/>
      </c>
    </row>
    <row r="94">
      <c r="A94" s="27">
        <f>A93+1</f>
        <v/>
      </c>
      <c r="B94" s="28">
        <f>Duration0+A94</f>
        <v/>
      </c>
      <c r="C94" s="27">
        <f>INT(B94/12)</f>
        <v/>
      </c>
      <c r="D94" s="28">
        <f>AgeAtEntry+C94</f>
        <v/>
      </c>
      <c r="E94" s="29">
        <f>IF(PremiumType="SINGLE",IF(B94=0,PremiumPPInput,0),IF(B94&lt;12*PolicyTerm,PremiumPPInput,0))</f>
        <v/>
      </c>
      <c r="F94" s="30">
        <f>INDEX(MortRates,MATCH(MIN(D94,120),MortAges,0),MAX(MIN(C94,5),0)+1)</f>
        <v/>
      </c>
      <c r="G94" s="31">
        <f>1-(1-F94)^(1/12)</f>
        <v/>
      </c>
      <c r="H94" s="32">
        <f>MAX(LapseBase-LapseStep*C94,LapseFloor)</f>
        <v/>
      </c>
      <c r="I94" s="32">
        <f>IF(HasSurrCharge,INDEX(SurrRates,MIN(C94,SurrDurMax)+1,MATCH(SurrChargeID,SurrTypes,0)),0)</f>
        <v/>
      </c>
      <c r="J94" s="33">
        <f>N93-P93-O93</f>
        <v/>
      </c>
      <c r="K94" s="30">
        <f>IF(B94=12*PolicyTerm,J94,0)</f>
        <v/>
      </c>
      <c r="L94" s="33">
        <f>J94-K94</f>
        <v/>
      </c>
      <c r="M94" s="30">
        <f>IF(B94=0,PolicyCount,0)</f>
        <v/>
      </c>
      <c r="N94" s="33">
        <f>L94+M94</f>
        <v/>
      </c>
      <c r="O94" s="31">
        <f>N94*G94</f>
        <v/>
      </c>
      <c r="P94" s="33">
        <f>(N94-O94)*(1-(1-H94)^(1/12))</f>
        <v/>
      </c>
      <c r="Q94" s="34">
        <f>X93+Z93</f>
        <v/>
      </c>
      <c r="R94" s="29">
        <f>(1-LoadPremRate)*E94</f>
        <v/>
      </c>
      <c r="S94" s="34">
        <f>Q94+R94</f>
        <v/>
      </c>
      <c r="T94" s="29">
        <f>MaintFeeRateAnn/12*S94</f>
        <v/>
      </c>
      <c r="U94" s="29">
        <f>MAX(SumAssured-S94,0)</f>
        <v/>
      </c>
      <c r="V94" s="35">
        <f>CoiMultiple*G94</f>
        <v/>
      </c>
      <c r="W94" s="34">
        <f>V94*U94</f>
        <v/>
      </c>
      <c r="X94" s="34">
        <f>S94-T94-W94</f>
        <v/>
      </c>
      <c r="Y94" s="36">
        <f>EXP((Mu-0.5*Sigma^2)/12+Sigma*SQRT(1/12)*INDEX(NormRand,ScenID,A94+1))-1</f>
        <v/>
      </c>
      <c r="Z94" s="34">
        <f>Y94*X94</f>
        <v/>
      </c>
      <c r="AA94" s="34">
        <f>X94+0.5*Z94</f>
        <v/>
      </c>
      <c r="AB94" s="34">
        <f>Q94*J94</f>
        <v/>
      </c>
      <c r="AC94" s="34">
        <f>Q94*L94</f>
        <v/>
      </c>
      <c r="AD94" s="34">
        <f>S94*N94</f>
        <v/>
      </c>
      <c r="AE94" s="34">
        <f>E94*N94</f>
        <v/>
      </c>
      <c r="AF94" s="34">
        <f>R94*N94</f>
        <v/>
      </c>
      <c r="AG94" s="29">
        <f>MAX(SumAssured,AA94)</f>
        <v/>
      </c>
      <c r="AH94" s="34">
        <f>AG94*O94</f>
        <v/>
      </c>
      <c r="AI94" s="34">
        <f>AA94*O94</f>
        <v/>
      </c>
      <c r="AJ94" s="34">
        <f>AA94*P94</f>
        <v/>
      </c>
      <c r="AK94" s="34">
        <f>I94*AA94*P94</f>
        <v/>
      </c>
      <c r="AL94" s="34">
        <f>AJ94-AK94</f>
        <v/>
      </c>
      <c r="AM94" s="34">
        <f>Q94*K94</f>
        <v/>
      </c>
      <c r="AN94" s="34">
        <f>AH94+AL94+AM94</f>
        <v/>
      </c>
      <c r="AO94" s="34">
        <f>(AG94-AA94)*O94</f>
        <v/>
      </c>
      <c r="AP94" s="34">
        <f>W94*N94</f>
        <v/>
      </c>
      <c r="AQ94" s="34">
        <f>T94*N94</f>
        <v/>
      </c>
      <c r="AR94" s="34">
        <f>Z94*J95+0.5*Z94*(O94+P94)</f>
        <v/>
      </c>
      <c r="AS94" s="30">
        <f>(1+InflationRate)^(A94/12)</f>
        <v/>
      </c>
      <c r="AT94" s="29">
        <f>ExpenseAcq*M94+N94*ExpenseMaint/12*AS94</f>
        <v/>
      </c>
      <c r="AU94" s="29">
        <f>CommissionRate*AE94</f>
        <v/>
      </c>
      <c r="AV94" s="34">
        <f>AB95-AB94</f>
        <v/>
      </c>
      <c r="AW94" s="34">
        <f>AE94+AR94-AN94-AT94-AU94-AV94</f>
        <v/>
      </c>
      <c r="AX94" s="29">
        <f>LoadPremRate*E94*N94+AK94+AQ94-AU94-AT94</f>
        <v/>
      </c>
      <c r="AY94" s="34">
        <f>AP94-AO94</f>
        <v/>
      </c>
      <c r="AZ94" s="37">
        <f>(AW94-AX94-AY94)/MAX(1,ABS(AW94),ABS(AX94),ABS(AY94))</f>
        <v/>
      </c>
      <c r="BA94" s="37">
        <f>IF(OR(K94&gt;0,K95&gt;0),0,(AC95-(AC94+AF94-AQ94-AP94+AR94-AI94-AJ94-AM94))/MAX(1,ABS(AC94),ABS(AC95)))</f>
        <v/>
      </c>
      <c r="BB94" s="35">
        <f>(1+INDEX(DiscRateAnn,INT(A94/12)+1))^(1/12)-1</f>
        <v/>
      </c>
      <c r="BC94" s="31">
        <f>(1+BB94)^-A94</f>
        <v/>
      </c>
      <c r="BD94" s="34">
        <f>AW94*BC94</f>
        <v/>
      </c>
    </row>
    <row r="95">
      <c r="A95" s="27">
        <f>A94+1</f>
        <v/>
      </c>
      <c r="B95" s="28">
        <f>Duration0+A95</f>
        <v/>
      </c>
      <c r="C95" s="27">
        <f>INT(B95/12)</f>
        <v/>
      </c>
      <c r="D95" s="28">
        <f>AgeAtEntry+C95</f>
        <v/>
      </c>
      <c r="E95" s="29">
        <f>IF(PremiumType="SINGLE",IF(B95=0,PremiumPPInput,0),IF(B95&lt;12*PolicyTerm,PremiumPPInput,0))</f>
        <v/>
      </c>
      <c r="F95" s="30">
        <f>INDEX(MortRates,MATCH(MIN(D95,120),MortAges,0),MAX(MIN(C95,5),0)+1)</f>
        <v/>
      </c>
      <c r="G95" s="31">
        <f>1-(1-F95)^(1/12)</f>
        <v/>
      </c>
      <c r="H95" s="32">
        <f>MAX(LapseBase-LapseStep*C95,LapseFloor)</f>
        <v/>
      </c>
      <c r="I95" s="32">
        <f>IF(HasSurrCharge,INDEX(SurrRates,MIN(C95,SurrDurMax)+1,MATCH(SurrChargeID,SurrTypes,0)),0)</f>
        <v/>
      </c>
      <c r="J95" s="33">
        <f>N94-P94-O94</f>
        <v/>
      </c>
      <c r="K95" s="30">
        <f>IF(B95=12*PolicyTerm,J95,0)</f>
        <v/>
      </c>
      <c r="L95" s="33">
        <f>J95-K95</f>
        <v/>
      </c>
      <c r="M95" s="30">
        <f>IF(B95=0,PolicyCount,0)</f>
        <v/>
      </c>
      <c r="N95" s="33">
        <f>L95+M95</f>
        <v/>
      </c>
      <c r="O95" s="31">
        <f>N95*G95</f>
        <v/>
      </c>
      <c r="P95" s="33">
        <f>(N95-O95)*(1-(1-H95)^(1/12))</f>
        <v/>
      </c>
      <c r="Q95" s="34">
        <f>X94+Z94</f>
        <v/>
      </c>
      <c r="R95" s="29">
        <f>(1-LoadPremRate)*E95</f>
        <v/>
      </c>
      <c r="S95" s="34">
        <f>Q95+R95</f>
        <v/>
      </c>
      <c r="T95" s="29">
        <f>MaintFeeRateAnn/12*S95</f>
        <v/>
      </c>
      <c r="U95" s="29">
        <f>MAX(SumAssured-S95,0)</f>
        <v/>
      </c>
      <c r="V95" s="35">
        <f>CoiMultiple*G95</f>
        <v/>
      </c>
      <c r="W95" s="34">
        <f>V95*U95</f>
        <v/>
      </c>
      <c r="X95" s="34">
        <f>S95-T95-W95</f>
        <v/>
      </c>
      <c r="Y95" s="36">
        <f>EXP((Mu-0.5*Sigma^2)/12+Sigma*SQRT(1/12)*INDEX(NormRand,ScenID,A95+1))-1</f>
        <v/>
      </c>
      <c r="Z95" s="34">
        <f>Y95*X95</f>
        <v/>
      </c>
      <c r="AA95" s="34">
        <f>X95+0.5*Z95</f>
        <v/>
      </c>
      <c r="AB95" s="34">
        <f>Q95*J95</f>
        <v/>
      </c>
      <c r="AC95" s="34">
        <f>Q95*L95</f>
        <v/>
      </c>
      <c r="AD95" s="34">
        <f>S95*N95</f>
        <v/>
      </c>
      <c r="AE95" s="34">
        <f>E95*N95</f>
        <v/>
      </c>
      <c r="AF95" s="34">
        <f>R95*N95</f>
        <v/>
      </c>
      <c r="AG95" s="29">
        <f>MAX(SumAssured,AA95)</f>
        <v/>
      </c>
      <c r="AH95" s="34">
        <f>AG95*O95</f>
        <v/>
      </c>
      <c r="AI95" s="34">
        <f>AA95*O95</f>
        <v/>
      </c>
      <c r="AJ95" s="34">
        <f>AA95*P95</f>
        <v/>
      </c>
      <c r="AK95" s="34">
        <f>I95*AA95*P95</f>
        <v/>
      </c>
      <c r="AL95" s="34">
        <f>AJ95-AK95</f>
        <v/>
      </c>
      <c r="AM95" s="34">
        <f>Q95*K95</f>
        <v/>
      </c>
      <c r="AN95" s="34">
        <f>AH95+AL95+AM95</f>
        <v/>
      </c>
      <c r="AO95" s="34">
        <f>(AG95-AA95)*O95</f>
        <v/>
      </c>
      <c r="AP95" s="34">
        <f>W95*N95</f>
        <v/>
      </c>
      <c r="AQ95" s="34">
        <f>T95*N95</f>
        <v/>
      </c>
      <c r="AR95" s="34">
        <f>Z95*J96+0.5*Z95*(O95+P95)</f>
        <v/>
      </c>
      <c r="AS95" s="30">
        <f>(1+InflationRate)^(A95/12)</f>
        <v/>
      </c>
      <c r="AT95" s="29">
        <f>ExpenseAcq*M95+N95*ExpenseMaint/12*AS95</f>
        <v/>
      </c>
      <c r="AU95" s="29">
        <f>CommissionRate*AE95</f>
        <v/>
      </c>
      <c r="AV95" s="34">
        <f>AB96-AB95</f>
        <v/>
      </c>
      <c r="AW95" s="34">
        <f>AE95+AR95-AN95-AT95-AU95-AV95</f>
        <v/>
      </c>
      <c r="AX95" s="29">
        <f>LoadPremRate*E95*N95+AK95+AQ95-AU95-AT95</f>
        <v/>
      </c>
      <c r="AY95" s="34">
        <f>AP95-AO95</f>
        <v/>
      </c>
      <c r="AZ95" s="37">
        <f>(AW95-AX95-AY95)/MAX(1,ABS(AW95),ABS(AX95),ABS(AY95))</f>
        <v/>
      </c>
      <c r="BA95" s="37">
        <f>IF(OR(K95&gt;0,K96&gt;0),0,(AC96-(AC95+AF95-AQ95-AP95+AR95-AI95-AJ95-AM95))/MAX(1,ABS(AC95),ABS(AC96)))</f>
        <v/>
      </c>
      <c r="BB95" s="35">
        <f>(1+INDEX(DiscRateAnn,INT(A95/12)+1))^(1/12)-1</f>
        <v/>
      </c>
      <c r="BC95" s="31">
        <f>(1+BB95)^-A95</f>
        <v/>
      </c>
      <c r="BD95" s="34">
        <f>AW95*BC95</f>
        <v/>
      </c>
    </row>
    <row r="96">
      <c r="A96" s="27">
        <f>A95+1</f>
        <v/>
      </c>
      <c r="B96" s="28">
        <f>Duration0+A96</f>
        <v/>
      </c>
      <c r="C96" s="27">
        <f>INT(B96/12)</f>
        <v/>
      </c>
      <c r="D96" s="28">
        <f>AgeAtEntry+C96</f>
        <v/>
      </c>
      <c r="E96" s="29">
        <f>IF(PremiumType="SINGLE",IF(B96=0,PremiumPPInput,0),IF(B96&lt;12*PolicyTerm,PremiumPPInput,0))</f>
        <v/>
      </c>
      <c r="F96" s="30">
        <f>INDEX(MortRates,MATCH(MIN(D96,120),MortAges,0),MAX(MIN(C96,5),0)+1)</f>
        <v/>
      </c>
      <c r="G96" s="31">
        <f>1-(1-F96)^(1/12)</f>
        <v/>
      </c>
      <c r="H96" s="32">
        <f>MAX(LapseBase-LapseStep*C96,LapseFloor)</f>
        <v/>
      </c>
      <c r="I96" s="32">
        <f>IF(HasSurrCharge,INDEX(SurrRates,MIN(C96,SurrDurMax)+1,MATCH(SurrChargeID,SurrTypes,0)),0)</f>
        <v/>
      </c>
      <c r="J96" s="33">
        <f>N95-P95-O95</f>
        <v/>
      </c>
      <c r="K96" s="30">
        <f>IF(B96=12*PolicyTerm,J96,0)</f>
        <v/>
      </c>
      <c r="L96" s="33">
        <f>J96-K96</f>
        <v/>
      </c>
      <c r="M96" s="30">
        <f>IF(B96=0,PolicyCount,0)</f>
        <v/>
      </c>
      <c r="N96" s="33">
        <f>L96+M96</f>
        <v/>
      </c>
      <c r="O96" s="31">
        <f>N96*G96</f>
        <v/>
      </c>
      <c r="P96" s="33">
        <f>(N96-O96)*(1-(1-H96)^(1/12))</f>
        <v/>
      </c>
      <c r="Q96" s="34">
        <f>X95+Z95</f>
        <v/>
      </c>
      <c r="R96" s="29">
        <f>(1-LoadPremRate)*E96</f>
        <v/>
      </c>
      <c r="S96" s="34">
        <f>Q96+R96</f>
        <v/>
      </c>
      <c r="T96" s="29">
        <f>MaintFeeRateAnn/12*S96</f>
        <v/>
      </c>
      <c r="U96" s="29">
        <f>MAX(SumAssured-S96,0)</f>
        <v/>
      </c>
      <c r="V96" s="35">
        <f>CoiMultiple*G96</f>
        <v/>
      </c>
      <c r="W96" s="34">
        <f>V96*U96</f>
        <v/>
      </c>
      <c r="X96" s="34">
        <f>S96-T96-W96</f>
        <v/>
      </c>
      <c r="Y96" s="36">
        <f>EXP((Mu-0.5*Sigma^2)/12+Sigma*SQRT(1/12)*INDEX(NormRand,ScenID,A96+1))-1</f>
        <v/>
      </c>
      <c r="Z96" s="34">
        <f>Y96*X96</f>
        <v/>
      </c>
      <c r="AA96" s="34">
        <f>X96+0.5*Z96</f>
        <v/>
      </c>
      <c r="AB96" s="34">
        <f>Q96*J96</f>
        <v/>
      </c>
      <c r="AC96" s="34">
        <f>Q96*L96</f>
        <v/>
      </c>
      <c r="AD96" s="34">
        <f>S96*N96</f>
        <v/>
      </c>
      <c r="AE96" s="34">
        <f>E96*N96</f>
        <v/>
      </c>
      <c r="AF96" s="34">
        <f>R96*N96</f>
        <v/>
      </c>
      <c r="AG96" s="29">
        <f>MAX(SumAssured,AA96)</f>
        <v/>
      </c>
      <c r="AH96" s="34">
        <f>AG96*O96</f>
        <v/>
      </c>
      <c r="AI96" s="34">
        <f>AA96*O96</f>
        <v/>
      </c>
      <c r="AJ96" s="34">
        <f>AA96*P96</f>
        <v/>
      </c>
      <c r="AK96" s="34">
        <f>I96*AA96*P96</f>
        <v/>
      </c>
      <c r="AL96" s="34">
        <f>AJ96-AK96</f>
        <v/>
      </c>
      <c r="AM96" s="34">
        <f>Q96*K96</f>
        <v/>
      </c>
      <c r="AN96" s="34">
        <f>AH96+AL96+AM96</f>
        <v/>
      </c>
      <c r="AO96" s="34">
        <f>(AG96-AA96)*O96</f>
        <v/>
      </c>
      <c r="AP96" s="34">
        <f>W96*N96</f>
        <v/>
      </c>
      <c r="AQ96" s="34">
        <f>T96*N96</f>
        <v/>
      </c>
      <c r="AR96" s="34">
        <f>Z96*J97+0.5*Z96*(O96+P96)</f>
        <v/>
      </c>
      <c r="AS96" s="30">
        <f>(1+InflationRate)^(A96/12)</f>
        <v/>
      </c>
      <c r="AT96" s="29">
        <f>ExpenseAcq*M96+N96*ExpenseMaint/12*AS96</f>
        <v/>
      </c>
      <c r="AU96" s="29">
        <f>CommissionRate*AE96</f>
        <v/>
      </c>
      <c r="AV96" s="34">
        <f>AB97-AB96</f>
        <v/>
      </c>
      <c r="AW96" s="34">
        <f>AE96+AR96-AN96-AT96-AU96-AV96</f>
        <v/>
      </c>
      <c r="AX96" s="29">
        <f>LoadPremRate*E96*N96+AK96+AQ96-AU96-AT96</f>
        <v/>
      </c>
      <c r="AY96" s="34">
        <f>AP96-AO96</f>
        <v/>
      </c>
      <c r="AZ96" s="37">
        <f>(AW96-AX96-AY96)/MAX(1,ABS(AW96),ABS(AX96),ABS(AY96))</f>
        <v/>
      </c>
      <c r="BA96" s="37">
        <f>IF(OR(K96&gt;0,K97&gt;0),0,(AC97-(AC96+AF96-AQ96-AP96+AR96-AI96-AJ96-AM96))/MAX(1,ABS(AC96),ABS(AC97)))</f>
        <v/>
      </c>
      <c r="BB96" s="35">
        <f>(1+INDEX(DiscRateAnn,INT(A96/12)+1))^(1/12)-1</f>
        <v/>
      </c>
      <c r="BC96" s="31">
        <f>(1+BB96)^-A96</f>
        <v/>
      </c>
      <c r="BD96" s="34">
        <f>AW96*BC96</f>
        <v/>
      </c>
    </row>
    <row r="97">
      <c r="A97" s="27">
        <f>A96+1</f>
        <v/>
      </c>
      <c r="B97" s="28">
        <f>Duration0+A97</f>
        <v/>
      </c>
      <c r="C97" s="27">
        <f>INT(B97/12)</f>
        <v/>
      </c>
      <c r="D97" s="28">
        <f>AgeAtEntry+C97</f>
        <v/>
      </c>
      <c r="E97" s="29">
        <f>IF(PremiumType="SINGLE",IF(B97=0,PremiumPPInput,0),IF(B97&lt;12*PolicyTerm,PremiumPPInput,0))</f>
        <v/>
      </c>
      <c r="F97" s="30">
        <f>INDEX(MortRates,MATCH(MIN(D97,120),MortAges,0),MAX(MIN(C97,5),0)+1)</f>
        <v/>
      </c>
      <c r="G97" s="31">
        <f>1-(1-F97)^(1/12)</f>
        <v/>
      </c>
      <c r="H97" s="32">
        <f>MAX(LapseBase-LapseStep*C97,LapseFloor)</f>
        <v/>
      </c>
      <c r="I97" s="32">
        <f>IF(HasSurrCharge,INDEX(SurrRates,MIN(C97,SurrDurMax)+1,MATCH(SurrChargeID,SurrTypes,0)),0)</f>
        <v/>
      </c>
      <c r="J97" s="33">
        <f>N96-P96-O96</f>
        <v/>
      </c>
      <c r="K97" s="30">
        <f>IF(B97=12*PolicyTerm,J97,0)</f>
        <v/>
      </c>
      <c r="L97" s="33">
        <f>J97-K97</f>
        <v/>
      </c>
      <c r="M97" s="30">
        <f>IF(B97=0,PolicyCount,0)</f>
        <v/>
      </c>
      <c r="N97" s="33">
        <f>L97+M97</f>
        <v/>
      </c>
      <c r="O97" s="31">
        <f>N97*G97</f>
        <v/>
      </c>
      <c r="P97" s="33">
        <f>(N97-O97)*(1-(1-H97)^(1/12))</f>
        <v/>
      </c>
      <c r="Q97" s="34">
        <f>X96+Z96</f>
        <v/>
      </c>
      <c r="R97" s="29">
        <f>(1-LoadPremRate)*E97</f>
        <v/>
      </c>
      <c r="S97" s="34">
        <f>Q97+R97</f>
        <v/>
      </c>
      <c r="T97" s="29">
        <f>MaintFeeRateAnn/12*S97</f>
        <v/>
      </c>
      <c r="U97" s="29">
        <f>MAX(SumAssured-S97,0)</f>
        <v/>
      </c>
      <c r="V97" s="35">
        <f>CoiMultiple*G97</f>
        <v/>
      </c>
      <c r="W97" s="34">
        <f>V97*U97</f>
        <v/>
      </c>
      <c r="X97" s="34">
        <f>S97-T97-W97</f>
        <v/>
      </c>
      <c r="Y97" s="36">
        <f>EXP((Mu-0.5*Sigma^2)/12+Sigma*SQRT(1/12)*INDEX(NormRand,ScenID,A97+1))-1</f>
        <v/>
      </c>
      <c r="Z97" s="34">
        <f>Y97*X97</f>
        <v/>
      </c>
      <c r="AA97" s="34">
        <f>X97+0.5*Z97</f>
        <v/>
      </c>
      <c r="AB97" s="34">
        <f>Q97*J97</f>
        <v/>
      </c>
      <c r="AC97" s="34">
        <f>Q97*L97</f>
        <v/>
      </c>
      <c r="AD97" s="34">
        <f>S97*N97</f>
        <v/>
      </c>
      <c r="AE97" s="34">
        <f>E97*N97</f>
        <v/>
      </c>
      <c r="AF97" s="34">
        <f>R97*N97</f>
        <v/>
      </c>
      <c r="AG97" s="29">
        <f>MAX(SumAssured,AA97)</f>
        <v/>
      </c>
      <c r="AH97" s="34">
        <f>AG97*O97</f>
        <v/>
      </c>
      <c r="AI97" s="34">
        <f>AA97*O97</f>
        <v/>
      </c>
      <c r="AJ97" s="34">
        <f>AA97*P97</f>
        <v/>
      </c>
      <c r="AK97" s="34">
        <f>I97*AA97*P97</f>
        <v/>
      </c>
      <c r="AL97" s="34">
        <f>AJ97-AK97</f>
        <v/>
      </c>
      <c r="AM97" s="34">
        <f>Q97*K97</f>
        <v/>
      </c>
      <c r="AN97" s="34">
        <f>AH97+AL97+AM97</f>
        <v/>
      </c>
      <c r="AO97" s="34">
        <f>(AG97-AA97)*O97</f>
        <v/>
      </c>
      <c r="AP97" s="34">
        <f>W97*N97</f>
        <v/>
      </c>
      <c r="AQ97" s="34">
        <f>T97*N97</f>
        <v/>
      </c>
      <c r="AR97" s="34">
        <f>Z97*J98+0.5*Z97*(O97+P97)</f>
        <v/>
      </c>
      <c r="AS97" s="30">
        <f>(1+InflationRate)^(A97/12)</f>
        <v/>
      </c>
      <c r="AT97" s="29">
        <f>ExpenseAcq*M97+N97*ExpenseMaint/12*AS97</f>
        <v/>
      </c>
      <c r="AU97" s="29">
        <f>CommissionRate*AE97</f>
        <v/>
      </c>
      <c r="AV97" s="34">
        <f>AB98-AB97</f>
        <v/>
      </c>
      <c r="AW97" s="34">
        <f>AE97+AR97-AN97-AT97-AU97-AV97</f>
        <v/>
      </c>
      <c r="AX97" s="29">
        <f>LoadPremRate*E97*N97+AK97+AQ97-AU97-AT97</f>
        <v/>
      </c>
      <c r="AY97" s="34">
        <f>AP97-AO97</f>
        <v/>
      </c>
      <c r="AZ97" s="37">
        <f>(AW97-AX97-AY97)/MAX(1,ABS(AW97),ABS(AX97),ABS(AY97))</f>
        <v/>
      </c>
      <c r="BA97" s="37">
        <f>IF(OR(K97&gt;0,K98&gt;0),0,(AC98-(AC97+AF97-AQ97-AP97+AR97-AI97-AJ97-AM97))/MAX(1,ABS(AC97),ABS(AC98)))</f>
        <v/>
      </c>
      <c r="BB97" s="35">
        <f>(1+INDEX(DiscRateAnn,INT(A97/12)+1))^(1/12)-1</f>
        <v/>
      </c>
      <c r="BC97" s="31">
        <f>(1+BB97)^-A97</f>
        <v/>
      </c>
      <c r="BD97" s="34">
        <f>AW97*BC97</f>
        <v/>
      </c>
    </row>
    <row r="98">
      <c r="A98" s="27">
        <f>A97+1</f>
        <v/>
      </c>
      <c r="B98" s="28">
        <f>Duration0+A98</f>
        <v/>
      </c>
      <c r="C98" s="27">
        <f>INT(B98/12)</f>
        <v/>
      </c>
      <c r="D98" s="28">
        <f>AgeAtEntry+C98</f>
        <v/>
      </c>
      <c r="E98" s="29">
        <f>IF(PremiumType="SINGLE",IF(B98=0,PremiumPPInput,0),IF(B98&lt;12*PolicyTerm,PremiumPPInput,0))</f>
        <v/>
      </c>
      <c r="F98" s="30">
        <f>INDEX(MortRates,MATCH(MIN(D98,120),MortAges,0),MAX(MIN(C98,5),0)+1)</f>
        <v/>
      </c>
      <c r="G98" s="31">
        <f>1-(1-F98)^(1/12)</f>
        <v/>
      </c>
      <c r="H98" s="32">
        <f>MAX(LapseBase-LapseStep*C98,LapseFloor)</f>
        <v/>
      </c>
      <c r="I98" s="32">
        <f>IF(HasSurrCharge,INDEX(SurrRates,MIN(C98,SurrDurMax)+1,MATCH(SurrChargeID,SurrTypes,0)),0)</f>
        <v/>
      </c>
      <c r="J98" s="33">
        <f>N97-P97-O97</f>
        <v/>
      </c>
      <c r="K98" s="30">
        <f>IF(B98=12*PolicyTerm,J98,0)</f>
        <v/>
      </c>
      <c r="L98" s="33">
        <f>J98-K98</f>
        <v/>
      </c>
      <c r="M98" s="30">
        <f>IF(B98=0,PolicyCount,0)</f>
        <v/>
      </c>
      <c r="N98" s="33">
        <f>L98+M98</f>
        <v/>
      </c>
      <c r="O98" s="31">
        <f>N98*G98</f>
        <v/>
      </c>
      <c r="P98" s="33">
        <f>(N98-O98)*(1-(1-H98)^(1/12))</f>
        <v/>
      </c>
      <c r="Q98" s="34">
        <f>X97+Z97</f>
        <v/>
      </c>
      <c r="R98" s="29">
        <f>(1-LoadPremRate)*E98</f>
        <v/>
      </c>
      <c r="S98" s="34">
        <f>Q98+R98</f>
        <v/>
      </c>
      <c r="T98" s="29">
        <f>MaintFeeRateAnn/12*S98</f>
        <v/>
      </c>
      <c r="U98" s="29">
        <f>MAX(SumAssured-S98,0)</f>
        <v/>
      </c>
      <c r="V98" s="35">
        <f>CoiMultiple*G98</f>
        <v/>
      </c>
      <c r="W98" s="34">
        <f>V98*U98</f>
        <v/>
      </c>
      <c r="X98" s="34">
        <f>S98-T98-W98</f>
        <v/>
      </c>
      <c r="Y98" s="36">
        <f>EXP((Mu-0.5*Sigma^2)/12+Sigma*SQRT(1/12)*INDEX(NormRand,ScenID,A98+1))-1</f>
        <v/>
      </c>
      <c r="Z98" s="34">
        <f>Y98*X98</f>
        <v/>
      </c>
      <c r="AA98" s="34">
        <f>X98+0.5*Z98</f>
        <v/>
      </c>
      <c r="AB98" s="34">
        <f>Q98*J98</f>
        <v/>
      </c>
      <c r="AC98" s="34">
        <f>Q98*L98</f>
        <v/>
      </c>
      <c r="AD98" s="34">
        <f>S98*N98</f>
        <v/>
      </c>
      <c r="AE98" s="34">
        <f>E98*N98</f>
        <v/>
      </c>
      <c r="AF98" s="34">
        <f>R98*N98</f>
        <v/>
      </c>
      <c r="AG98" s="29">
        <f>MAX(SumAssured,AA98)</f>
        <v/>
      </c>
      <c r="AH98" s="34">
        <f>AG98*O98</f>
        <v/>
      </c>
      <c r="AI98" s="34">
        <f>AA98*O98</f>
        <v/>
      </c>
      <c r="AJ98" s="34">
        <f>AA98*P98</f>
        <v/>
      </c>
      <c r="AK98" s="34">
        <f>I98*AA98*P98</f>
        <v/>
      </c>
      <c r="AL98" s="34">
        <f>AJ98-AK98</f>
        <v/>
      </c>
      <c r="AM98" s="34">
        <f>Q98*K98</f>
        <v/>
      </c>
      <c r="AN98" s="34">
        <f>AH98+AL98+AM98</f>
        <v/>
      </c>
      <c r="AO98" s="34">
        <f>(AG98-AA98)*O98</f>
        <v/>
      </c>
      <c r="AP98" s="34">
        <f>W98*N98</f>
        <v/>
      </c>
      <c r="AQ98" s="34">
        <f>T98*N98</f>
        <v/>
      </c>
      <c r="AR98" s="34">
        <f>Z98*J99+0.5*Z98*(O98+P98)</f>
        <v/>
      </c>
      <c r="AS98" s="30">
        <f>(1+InflationRate)^(A98/12)</f>
        <v/>
      </c>
      <c r="AT98" s="29">
        <f>ExpenseAcq*M98+N98*ExpenseMaint/12*AS98</f>
        <v/>
      </c>
      <c r="AU98" s="29">
        <f>CommissionRate*AE98</f>
        <v/>
      </c>
      <c r="AV98" s="34">
        <f>AB99-AB98</f>
        <v/>
      </c>
      <c r="AW98" s="34">
        <f>AE98+AR98-AN98-AT98-AU98-AV98</f>
        <v/>
      </c>
      <c r="AX98" s="29">
        <f>LoadPremRate*E98*N98+AK98+AQ98-AU98-AT98</f>
        <v/>
      </c>
      <c r="AY98" s="34">
        <f>AP98-AO98</f>
        <v/>
      </c>
      <c r="AZ98" s="37">
        <f>(AW98-AX98-AY98)/MAX(1,ABS(AW98),ABS(AX98),ABS(AY98))</f>
        <v/>
      </c>
      <c r="BA98" s="37">
        <f>IF(OR(K98&gt;0,K99&gt;0),0,(AC99-(AC98+AF98-AQ98-AP98+AR98-AI98-AJ98-AM98))/MAX(1,ABS(AC98),ABS(AC99)))</f>
        <v/>
      </c>
      <c r="BB98" s="35">
        <f>(1+INDEX(DiscRateAnn,INT(A98/12)+1))^(1/12)-1</f>
        <v/>
      </c>
      <c r="BC98" s="31">
        <f>(1+BB98)^-A98</f>
        <v/>
      </c>
      <c r="BD98" s="34">
        <f>AW98*BC98</f>
        <v/>
      </c>
    </row>
    <row r="99">
      <c r="A99" s="27">
        <f>A98+1</f>
        <v/>
      </c>
      <c r="B99" s="28">
        <f>Duration0+A99</f>
        <v/>
      </c>
      <c r="C99" s="27">
        <f>INT(B99/12)</f>
        <v/>
      </c>
      <c r="D99" s="28">
        <f>AgeAtEntry+C99</f>
        <v/>
      </c>
      <c r="E99" s="29">
        <f>IF(PremiumType="SINGLE",IF(B99=0,PremiumPPInput,0),IF(B99&lt;12*PolicyTerm,PremiumPPInput,0))</f>
        <v/>
      </c>
      <c r="F99" s="30">
        <f>INDEX(MortRates,MATCH(MIN(D99,120),MortAges,0),MAX(MIN(C99,5),0)+1)</f>
        <v/>
      </c>
      <c r="G99" s="31">
        <f>1-(1-F99)^(1/12)</f>
        <v/>
      </c>
      <c r="H99" s="32">
        <f>MAX(LapseBase-LapseStep*C99,LapseFloor)</f>
        <v/>
      </c>
      <c r="I99" s="32">
        <f>IF(HasSurrCharge,INDEX(SurrRates,MIN(C99,SurrDurMax)+1,MATCH(SurrChargeID,SurrTypes,0)),0)</f>
        <v/>
      </c>
      <c r="J99" s="33">
        <f>N98-P98-O98</f>
        <v/>
      </c>
      <c r="K99" s="30">
        <f>IF(B99=12*PolicyTerm,J99,0)</f>
        <v/>
      </c>
      <c r="L99" s="33">
        <f>J99-K99</f>
        <v/>
      </c>
      <c r="M99" s="30">
        <f>IF(B99=0,PolicyCount,0)</f>
        <v/>
      </c>
      <c r="N99" s="33">
        <f>L99+M99</f>
        <v/>
      </c>
      <c r="O99" s="31">
        <f>N99*G99</f>
        <v/>
      </c>
      <c r="P99" s="33">
        <f>(N99-O99)*(1-(1-H99)^(1/12))</f>
        <v/>
      </c>
      <c r="Q99" s="34">
        <f>X98+Z98</f>
        <v/>
      </c>
      <c r="R99" s="29">
        <f>(1-LoadPremRate)*E99</f>
        <v/>
      </c>
      <c r="S99" s="34">
        <f>Q99+R99</f>
        <v/>
      </c>
      <c r="T99" s="29">
        <f>MaintFeeRateAnn/12*S99</f>
        <v/>
      </c>
      <c r="U99" s="29">
        <f>MAX(SumAssured-S99,0)</f>
        <v/>
      </c>
      <c r="V99" s="35">
        <f>CoiMultiple*G99</f>
        <v/>
      </c>
      <c r="W99" s="34">
        <f>V99*U99</f>
        <v/>
      </c>
      <c r="X99" s="34">
        <f>S99-T99-W99</f>
        <v/>
      </c>
      <c r="Y99" s="36">
        <f>EXP((Mu-0.5*Sigma^2)/12+Sigma*SQRT(1/12)*INDEX(NormRand,ScenID,A99+1))-1</f>
        <v/>
      </c>
      <c r="Z99" s="34">
        <f>Y99*X99</f>
        <v/>
      </c>
      <c r="AA99" s="34">
        <f>X99+0.5*Z99</f>
        <v/>
      </c>
      <c r="AB99" s="34">
        <f>Q99*J99</f>
        <v/>
      </c>
      <c r="AC99" s="34">
        <f>Q99*L99</f>
        <v/>
      </c>
      <c r="AD99" s="34">
        <f>S99*N99</f>
        <v/>
      </c>
      <c r="AE99" s="34">
        <f>E99*N99</f>
        <v/>
      </c>
      <c r="AF99" s="34">
        <f>R99*N99</f>
        <v/>
      </c>
      <c r="AG99" s="29">
        <f>MAX(SumAssured,AA99)</f>
        <v/>
      </c>
      <c r="AH99" s="34">
        <f>AG99*O99</f>
        <v/>
      </c>
      <c r="AI99" s="34">
        <f>AA99*O99</f>
        <v/>
      </c>
      <c r="AJ99" s="34">
        <f>AA99*P99</f>
        <v/>
      </c>
      <c r="AK99" s="34">
        <f>I99*AA99*P99</f>
        <v/>
      </c>
      <c r="AL99" s="34">
        <f>AJ99-AK99</f>
        <v/>
      </c>
      <c r="AM99" s="34">
        <f>Q99*K99</f>
        <v/>
      </c>
      <c r="AN99" s="34">
        <f>AH99+AL99+AM99</f>
        <v/>
      </c>
      <c r="AO99" s="34">
        <f>(AG99-AA99)*O99</f>
        <v/>
      </c>
      <c r="AP99" s="34">
        <f>W99*N99</f>
        <v/>
      </c>
      <c r="AQ99" s="34">
        <f>T99*N99</f>
        <v/>
      </c>
      <c r="AR99" s="34">
        <f>Z99*J100+0.5*Z99*(O99+P99)</f>
        <v/>
      </c>
      <c r="AS99" s="30">
        <f>(1+InflationRate)^(A99/12)</f>
        <v/>
      </c>
      <c r="AT99" s="29">
        <f>ExpenseAcq*M99+N99*ExpenseMaint/12*AS99</f>
        <v/>
      </c>
      <c r="AU99" s="29">
        <f>CommissionRate*AE99</f>
        <v/>
      </c>
      <c r="AV99" s="34">
        <f>AB100-AB99</f>
        <v/>
      </c>
      <c r="AW99" s="34">
        <f>AE99+AR99-AN99-AT99-AU99-AV99</f>
        <v/>
      </c>
      <c r="AX99" s="29">
        <f>LoadPremRate*E99*N99+AK99+AQ99-AU99-AT99</f>
        <v/>
      </c>
      <c r="AY99" s="34">
        <f>AP99-AO99</f>
        <v/>
      </c>
      <c r="AZ99" s="37">
        <f>(AW99-AX99-AY99)/MAX(1,ABS(AW99),ABS(AX99),ABS(AY99))</f>
        <v/>
      </c>
      <c r="BA99" s="37">
        <f>IF(OR(K99&gt;0,K100&gt;0),0,(AC100-(AC99+AF99-AQ99-AP99+AR99-AI99-AJ99-AM99))/MAX(1,ABS(AC99),ABS(AC100)))</f>
        <v/>
      </c>
      <c r="BB99" s="35">
        <f>(1+INDEX(DiscRateAnn,INT(A99/12)+1))^(1/12)-1</f>
        <v/>
      </c>
      <c r="BC99" s="31">
        <f>(1+BB99)^-A99</f>
        <v/>
      </c>
      <c r="BD99" s="34">
        <f>AW99*BC99</f>
        <v/>
      </c>
    </row>
    <row r="100">
      <c r="A100" s="27">
        <f>A99+1</f>
        <v/>
      </c>
      <c r="B100" s="28">
        <f>Duration0+A100</f>
        <v/>
      </c>
      <c r="C100" s="27">
        <f>INT(B100/12)</f>
        <v/>
      </c>
      <c r="D100" s="28">
        <f>AgeAtEntry+C100</f>
        <v/>
      </c>
      <c r="E100" s="29">
        <f>IF(PremiumType="SINGLE",IF(B100=0,PremiumPPInput,0),IF(B100&lt;12*PolicyTerm,PremiumPPInput,0))</f>
        <v/>
      </c>
      <c r="F100" s="30">
        <f>INDEX(MortRates,MATCH(MIN(D100,120),MortAges,0),MAX(MIN(C100,5),0)+1)</f>
        <v/>
      </c>
      <c r="G100" s="31">
        <f>1-(1-F100)^(1/12)</f>
        <v/>
      </c>
      <c r="H100" s="32">
        <f>MAX(LapseBase-LapseStep*C100,LapseFloor)</f>
        <v/>
      </c>
      <c r="I100" s="32">
        <f>IF(HasSurrCharge,INDEX(SurrRates,MIN(C100,SurrDurMax)+1,MATCH(SurrChargeID,SurrTypes,0)),0)</f>
        <v/>
      </c>
      <c r="J100" s="33">
        <f>N99-P99-O99</f>
        <v/>
      </c>
      <c r="K100" s="30">
        <f>IF(B100=12*PolicyTerm,J100,0)</f>
        <v/>
      </c>
      <c r="L100" s="33">
        <f>J100-K100</f>
        <v/>
      </c>
      <c r="M100" s="30">
        <f>IF(B100=0,PolicyCount,0)</f>
        <v/>
      </c>
      <c r="N100" s="33">
        <f>L100+M100</f>
        <v/>
      </c>
      <c r="O100" s="31">
        <f>N100*G100</f>
        <v/>
      </c>
      <c r="P100" s="33">
        <f>(N100-O100)*(1-(1-H100)^(1/12))</f>
        <v/>
      </c>
      <c r="Q100" s="34">
        <f>X99+Z99</f>
        <v/>
      </c>
      <c r="R100" s="29">
        <f>(1-LoadPremRate)*E100</f>
        <v/>
      </c>
      <c r="S100" s="34">
        <f>Q100+R100</f>
        <v/>
      </c>
      <c r="T100" s="29">
        <f>MaintFeeRateAnn/12*S100</f>
        <v/>
      </c>
      <c r="U100" s="29">
        <f>MAX(SumAssured-S100,0)</f>
        <v/>
      </c>
      <c r="V100" s="35">
        <f>CoiMultiple*G100</f>
        <v/>
      </c>
      <c r="W100" s="34">
        <f>V100*U100</f>
        <v/>
      </c>
      <c r="X100" s="34">
        <f>S100-T100-W100</f>
        <v/>
      </c>
      <c r="Y100" s="36">
        <f>EXP((Mu-0.5*Sigma^2)/12+Sigma*SQRT(1/12)*INDEX(NormRand,ScenID,A100+1))-1</f>
        <v/>
      </c>
      <c r="Z100" s="34">
        <f>Y100*X100</f>
        <v/>
      </c>
      <c r="AA100" s="34">
        <f>X100+0.5*Z100</f>
        <v/>
      </c>
      <c r="AB100" s="34">
        <f>Q100*J100</f>
        <v/>
      </c>
      <c r="AC100" s="34">
        <f>Q100*L100</f>
        <v/>
      </c>
      <c r="AD100" s="34">
        <f>S100*N100</f>
        <v/>
      </c>
      <c r="AE100" s="34">
        <f>E100*N100</f>
        <v/>
      </c>
      <c r="AF100" s="34">
        <f>R100*N100</f>
        <v/>
      </c>
      <c r="AG100" s="29">
        <f>MAX(SumAssured,AA100)</f>
        <v/>
      </c>
      <c r="AH100" s="34">
        <f>AG100*O100</f>
        <v/>
      </c>
      <c r="AI100" s="34">
        <f>AA100*O100</f>
        <v/>
      </c>
      <c r="AJ100" s="34">
        <f>AA100*P100</f>
        <v/>
      </c>
      <c r="AK100" s="34">
        <f>I100*AA100*P100</f>
        <v/>
      </c>
      <c r="AL100" s="34">
        <f>AJ100-AK100</f>
        <v/>
      </c>
      <c r="AM100" s="34">
        <f>Q100*K100</f>
        <v/>
      </c>
      <c r="AN100" s="34">
        <f>AH100+AL100+AM100</f>
        <v/>
      </c>
      <c r="AO100" s="34">
        <f>(AG100-AA100)*O100</f>
        <v/>
      </c>
      <c r="AP100" s="34">
        <f>W100*N100</f>
        <v/>
      </c>
      <c r="AQ100" s="34">
        <f>T100*N100</f>
        <v/>
      </c>
      <c r="AR100" s="34">
        <f>Z100*J101+0.5*Z100*(O100+P100)</f>
        <v/>
      </c>
      <c r="AS100" s="30">
        <f>(1+InflationRate)^(A100/12)</f>
        <v/>
      </c>
      <c r="AT100" s="29">
        <f>ExpenseAcq*M100+N100*ExpenseMaint/12*AS100</f>
        <v/>
      </c>
      <c r="AU100" s="29">
        <f>CommissionRate*AE100</f>
        <v/>
      </c>
      <c r="AV100" s="34">
        <f>AB101-AB100</f>
        <v/>
      </c>
      <c r="AW100" s="34">
        <f>AE100+AR100-AN100-AT100-AU100-AV100</f>
        <v/>
      </c>
      <c r="AX100" s="29">
        <f>LoadPremRate*E100*N100+AK100+AQ100-AU100-AT100</f>
        <v/>
      </c>
      <c r="AY100" s="34">
        <f>AP100-AO100</f>
        <v/>
      </c>
      <c r="AZ100" s="37">
        <f>(AW100-AX100-AY100)/MAX(1,ABS(AW100),ABS(AX100),ABS(AY100))</f>
        <v/>
      </c>
      <c r="BA100" s="37">
        <f>IF(OR(K100&gt;0,K101&gt;0),0,(AC101-(AC100+AF100-AQ100-AP100+AR100-AI100-AJ100-AM100))/MAX(1,ABS(AC100),ABS(AC101)))</f>
        <v/>
      </c>
      <c r="BB100" s="35">
        <f>(1+INDEX(DiscRateAnn,INT(A100/12)+1))^(1/12)-1</f>
        <v/>
      </c>
      <c r="BC100" s="31">
        <f>(1+BB100)^-A100</f>
        <v/>
      </c>
      <c r="BD100" s="34">
        <f>AW100*BC100</f>
        <v/>
      </c>
    </row>
    <row r="101">
      <c r="A101" s="27">
        <f>A100+1</f>
        <v/>
      </c>
      <c r="B101" s="28">
        <f>Duration0+A101</f>
        <v/>
      </c>
      <c r="C101" s="27">
        <f>INT(B101/12)</f>
        <v/>
      </c>
      <c r="D101" s="28">
        <f>AgeAtEntry+C101</f>
        <v/>
      </c>
      <c r="E101" s="29">
        <f>IF(PremiumType="SINGLE",IF(B101=0,PremiumPPInput,0),IF(B101&lt;12*PolicyTerm,PremiumPPInput,0))</f>
        <v/>
      </c>
      <c r="F101" s="30">
        <f>INDEX(MortRates,MATCH(MIN(D101,120),MortAges,0),MAX(MIN(C101,5),0)+1)</f>
        <v/>
      </c>
      <c r="G101" s="31">
        <f>1-(1-F101)^(1/12)</f>
        <v/>
      </c>
      <c r="H101" s="32">
        <f>MAX(LapseBase-LapseStep*C101,LapseFloor)</f>
        <v/>
      </c>
      <c r="I101" s="32">
        <f>IF(HasSurrCharge,INDEX(SurrRates,MIN(C101,SurrDurMax)+1,MATCH(SurrChargeID,SurrTypes,0)),0)</f>
        <v/>
      </c>
      <c r="J101" s="33">
        <f>N100-P100-O100</f>
        <v/>
      </c>
      <c r="K101" s="30">
        <f>IF(B101=12*PolicyTerm,J101,0)</f>
        <v/>
      </c>
      <c r="L101" s="33">
        <f>J101-K101</f>
        <v/>
      </c>
      <c r="M101" s="30">
        <f>IF(B101=0,PolicyCount,0)</f>
        <v/>
      </c>
      <c r="N101" s="33">
        <f>L101+M101</f>
        <v/>
      </c>
      <c r="O101" s="31">
        <f>N101*G101</f>
        <v/>
      </c>
      <c r="P101" s="33">
        <f>(N101-O101)*(1-(1-H101)^(1/12))</f>
        <v/>
      </c>
      <c r="Q101" s="34">
        <f>X100+Z100</f>
        <v/>
      </c>
      <c r="R101" s="29">
        <f>(1-LoadPremRate)*E101</f>
        <v/>
      </c>
      <c r="S101" s="34">
        <f>Q101+R101</f>
        <v/>
      </c>
      <c r="T101" s="29">
        <f>MaintFeeRateAnn/12*S101</f>
        <v/>
      </c>
      <c r="U101" s="29">
        <f>MAX(SumAssured-S101,0)</f>
        <v/>
      </c>
      <c r="V101" s="35">
        <f>CoiMultiple*G101</f>
        <v/>
      </c>
      <c r="W101" s="34">
        <f>V101*U101</f>
        <v/>
      </c>
      <c r="X101" s="34">
        <f>S101-T101-W101</f>
        <v/>
      </c>
      <c r="Y101" s="36">
        <f>EXP((Mu-0.5*Sigma^2)/12+Sigma*SQRT(1/12)*INDEX(NormRand,ScenID,A101+1))-1</f>
        <v/>
      </c>
      <c r="Z101" s="34">
        <f>Y101*X101</f>
        <v/>
      </c>
      <c r="AA101" s="34">
        <f>X101+0.5*Z101</f>
        <v/>
      </c>
      <c r="AB101" s="34">
        <f>Q101*J101</f>
        <v/>
      </c>
      <c r="AC101" s="34">
        <f>Q101*L101</f>
        <v/>
      </c>
      <c r="AD101" s="34">
        <f>S101*N101</f>
        <v/>
      </c>
      <c r="AE101" s="34">
        <f>E101*N101</f>
        <v/>
      </c>
      <c r="AF101" s="34">
        <f>R101*N101</f>
        <v/>
      </c>
      <c r="AG101" s="29">
        <f>MAX(SumAssured,AA101)</f>
        <v/>
      </c>
      <c r="AH101" s="34">
        <f>AG101*O101</f>
        <v/>
      </c>
      <c r="AI101" s="34">
        <f>AA101*O101</f>
        <v/>
      </c>
      <c r="AJ101" s="34">
        <f>AA101*P101</f>
        <v/>
      </c>
      <c r="AK101" s="34">
        <f>I101*AA101*P101</f>
        <v/>
      </c>
      <c r="AL101" s="34">
        <f>AJ101-AK101</f>
        <v/>
      </c>
      <c r="AM101" s="34">
        <f>Q101*K101</f>
        <v/>
      </c>
      <c r="AN101" s="34">
        <f>AH101+AL101+AM101</f>
        <v/>
      </c>
      <c r="AO101" s="34">
        <f>(AG101-AA101)*O101</f>
        <v/>
      </c>
      <c r="AP101" s="34">
        <f>W101*N101</f>
        <v/>
      </c>
      <c r="AQ101" s="34">
        <f>T101*N101</f>
        <v/>
      </c>
      <c r="AR101" s="34">
        <f>Z101*J102+0.5*Z101*(O101+P101)</f>
        <v/>
      </c>
      <c r="AS101" s="30">
        <f>(1+InflationRate)^(A101/12)</f>
        <v/>
      </c>
      <c r="AT101" s="29">
        <f>ExpenseAcq*M101+N101*ExpenseMaint/12*AS101</f>
        <v/>
      </c>
      <c r="AU101" s="29">
        <f>CommissionRate*AE101</f>
        <v/>
      </c>
      <c r="AV101" s="34">
        <f>AB102-AB101</f>
        <v/>
      </c>
      <c r="AW101" s="34">
        <f>AE101+AR101-AN101-AT101-AU101-AV101</f>
        <v/>
      </c>
      <c r="AX101" s="29">
        <f>LoadPremRate*E101*N101+AK101+AQ101-AU101-AT101</f>
        <v/>
      </c>
      <c r="AY101" s="34">
        <f>AP101-AO101</f>
        <v/>
      </c>
      <c r="AZ101" s="37">
        <f>(AW101-AX101-AY101)/MAX(1,ABS(AW101),ABS(AX101),ABS(AY101))</f>
        <v/>
      </c>
      <c r="BA101" s="37">
        <f>IF(OR(K101&gt;0,K102&gt;0),0,(AC102-(AC101+AF101-AQ101-AP101+AR101-AI101-AJ101-AM101))/MAX(1,ABS(AC101),ABS(AC102)))</f>
        <v/>
      </c>
      <c r="BB101" s="35">
        <f>(1+INDEX(DiscRateAnn,INT(A101/12)+1))^(1/12)-1</f>
        <v/>
      </c>
      <c r="BC101" s="31">
        <f>(1+BB101)^-A101</f>
        <v/>
      </c>
      <c r="BD101" s="34">
        <f>AW101*BC101</f>
        <v/>
      </c>
    </row>
    <row r="102">
      <c r="A102" s="27">
        <f>A101+1</f>
        <v/>
      </c>
      <c r="B102" s="28">
        <f>Duration0+A102</f>
        <v/>
      </c>
      <c r="C102" s="27">
        <f>INT(B102/12)</f>
        <v/>
      </c>
      <c r="D102" s="28">
        <f>AgeAtEntry+C102</f>
        <v/>
      </c>
      <c r="E102" s="29">
        <f>IF(PremiumType="SINGLE",IF(B102=0,PremiumPPInput,0),IF(B102&lt;12*PolicyTerm,PremiumPPInput,0))</f>
        <v/>
      </c>
      <c r="F102" s="30">
        <f>INDEX(MortRates,MATCH(MIN(D102,120),MortAges,0),MAX(MIN(C102,5),0)+1)</f>
        <v/>
      </c>
      <c r="G102" s="31">
        <f>1-(1-F102)^(1/12)</f>
        <v/>
      </c>
      <c r="H102" s="32">
        <f>MAX(LapseBase-LapseStep*C102,LapseFloor)</f>
        <v/>
      </c>
      <c r="I102" s="32">
        <f>IF(HasSurrCharge,INDEX(SurrRates,MIN(C102,SurrDurMax)+1,MATCH(SurrChargeID,SurrTypes,0)),0)</f>
        <v/>
      </c>
      <c r="J102" s="33">
        <f>N101-P101-O101</f>
        <v/>
      </c>
      <c r="K102" s="30">
        <f>IF(B102=12*PolicyTerm,J102,0)</f>
        <v/>
      </c>
      <c r="L102" s="33">
        <f>J102-K102</f>
        <v/>
      </c>
      <c r="M102" s="30">
        <f>IF(B102=0,PolicyCount,0)</f>
        <v/>
      </c>
      <c r="N102" s="33">
        <f>L102+M102</f>
        <v/>
      </c>
      <c r="O102" s="31">
        <f>N102*G102</f>
        <v/>
      </c>
      <c r="P102" s="33">
        <f>(N102-O102)*(1-(1-H102)^(1/12))</f>
        <v/>
      </c>
      <c r="Q102" s="34">
        <f>X101+Z101</f>
        <v/>
      </c>
      <c r="R102" s="29">
        <f>(1-LoadPremRate)*E102</f>
        <v/>
      </c>
      <c r="S102" s="34">
        <f>Q102+R102</f>
        <v/>
      </c>
      <c r="T102" s="29">
        <f>MaintFeeRateAnn/12*S102</f>
        <v/>
      </c>
      <c r="U102" s="29">
        <f>MAX(SumAssured-S102,0)</f>
        <v/>
      </c>
      <c r="V102" s="35">
        <f>CoiMultiple*G102</f>
        <v/>
      </c>
      <c r="W102" s="34">
        <f>V102*U102</f>
        <v/>
      </c>
      <c r="X102" s="34">
        <f>S102-T102-W102</f>
        <v/>
      </c>
      <c r="Y102" s="36">
        <f>EXP((Mu-0.5*Sigma^2)/12+Sigma*SQRT(1/12)*INDEX(NormRand,ScenID,A102+1))-1</f>
        <v/>
      </c>
      <c r="Z102" s="34">
        <f>Y102*X102</f>
        <v/>
      </c>
      <c r="AA102" s="34">
        <f>X102+0.5*Z102</f>
        <v/>
      </c>
      <c r="AB102" s="34">
        <f>Q102*J102</f>
        <v/>
      </c>
      <c r="AC102" s="34">
        <f>Q102*L102</f>
        <v/>
      </c>
      <c r="AD102" s="34">
        <f>S102*N102</f>
        <v/>
      </c>
      <c r="AE102" s="34">
        <f>E102*N102</f>
        <v/>
      </c>
      <c r="AF102" s="34">
        <f>R102*N102</f>
        <v/>
      </c>
      <c r="AG102" s="29">
        <f>MAX(SumAssured,AA102)</f>
        <v/>
      </c>
      <c r="AH102" s="34">
        <f>AG102*O102</f>
        <v/>
      </c>
      <c r="AI102" s="34">
        <f>AA102*O102</f>
        <v/>
      </c>
      <c r="AJ102" s="34">
        <f>AA102*P102</f>
        <v/>
      </c>
      <c r="AK102" s="34">
        <f>I102*AA102*P102</f>
        <v/>
      </c>
      <c r="AL102" s="34">
        <f>AJ102-AK102</f>
        <v/>
      </c>
      <c r="AM102" s="34">
        <f>Q102*K102</f>
        <v/>
      </c>
      <c r="AN102" s="34">
        <f>AH102+AL102+AM102</f>
        <v/>
      </c>
      <c r="AO102" s="34">
        <f>(AG102-AA102)*O102</f>
        <v/>
      </c>
      <c r="AP102" s="34">
        <f>W102*N102</f>
        <v/>
      </c>
      <c r="AQ102" s="34">
        <f>T102*N102</f>
        <v/>
      </c>
      <c r="AR102" s="34">
        <f>Z102*J103+0.5*Z102*(O102+P102)</f>
        <v/>
      </c>
      <c r="AS102" s="30">
        <f>(1+InflationRate)^(A102/12)</f>
        <v/>
      </c>
      <c r="AT102" s="29">
        <f>ExpenseAcq*M102+N102*ExpenseMaint/12*AS102</f>
        <v/>
      </c>
      <c r="AU102" s="29">
        <f>CommissionRate*AE102</f>
        <v/>
      </c>
      <c r="AV102" s="34">
        <f>AB103-AB102</f>
        <v/>
      </c>
      <c r="AW102" s="34">
        <f>AE102+AR102-AN102-AT102-AU102-AV102</f>
        <v/>
      </c>
      <c r="AX102" s="29">
        <f>LoadPremRate*E102*N102+AK102+AQ102-AU102-AT102</f>
        <v/>
      </c>
      <c r="AY102" s="34">
        <f>AP102-AO102</f>
        <v/>
      </c>
      <c r="AZ102" s="37">
        <f>(AW102-AX102-AY102)/MAX(1,ABS(AW102),ABS(AX102),ABS(AY102))</f>
        <v/>
      </c>
      <c r="BA102" s="37">
        <f>IF(OR(K102&gt;0,K103&gt;0),0,(AC103-(AC102+AF102-AQ102-AP102+AR102-AI102-AJ102-AM102))/MAX(1,ABS(AC102),ABS(AC103)))</f>
        <v/>
      </c>
      <c r="BB102" s="35">
        <f>(1+INDEX(DiscRateAnn,INT(A102/12)+1))^(1/12)-1</f>
        <v/>
      </c>
      <c r="BC102" s="31">
        <f>(1+BB102)^-A102</f>
        <v/>
      </c>
      <c r="BD102" s="34">
        <f>AW102*BC102</f>
        <v/>
      </c>
    </row>
    <row r="103">
      <c r="A103" s="27">
        <f>A102+1</f>
        <v/>
      </c>
      <c r="B103" s="28">
        <f>Duration0+A103</f>
        <v/>
      </c>
      <c r="C103" s="27">
        <f>INT(B103/12)</f>
        <v/>
      </c>
      <c r="D103" s="28">
        <f>AgeAtEntry+C103</f>
        <v/>
      </c>
      <c r="E103" s="29">
        <f>IF(PremiumType="SINGLE",IF(B103=0,PremiumPPInput,0),IF(B103&lt;12*PolicyTerm,PremiumPPInput,0))</f>
        <v/>
      </c>
      <c r="F103" s="30">
        <f>INDEX(MortRates,MATCH(MIN(D103,120),MortAges,0),MAX(MIN(C103,5),0)+1)</f>
        <v/>
      </c>
      <c r="G103" s="31">
        <f>1-(1-F103)^(1/12)</f>
        <v/>
      </c>
      <c r="H103" s="32">
        <f>MAX(LapseBase-LapseStep*C103,LapseFloor)</f>
        <v/>
      </c>
      <c r="I103" s="32">
        <f>IF(HasSurrCharge,INDEX(SurrRates,MIN(C103,SurrDurMax)+1,MATCH(SurrChargeID,SurrTypes,0)),0)</f>
        <v/>
      </c>
      <c r="J103" s="33">
        <f>N102-P102-O102</f>
        <v/>
      </c>
      <c r="K103" s="30">
        <f>IF(B103=12*PolicyTerm,J103,0)</f>
        <v/>
      </c>
      <c r="L103" s="33">
        <f>J103-K103</f>
        <v/>
      </c>
      <c r="M103" s="30">
        <f>IF(B103=0,PolicyCount,0)</f>
        <v/>
      </c>
      <c r="N103" s="33">
        <f>L103+M103</f>
        <v/>
      </c>
      <c r="O103" s="31">
        <f>N103*G103</f>
        <v/>
      </c>
      <c r="P103" s="33">
        <f>(N103-O103)*(1-(1-H103)^(1/12))</f>
        <v/>
      </c>
      <c r="Q103" s="34">
        <f>X102+Z102</f>
        <v/>
      </c>
      <c r="R103" s="29">
        <f>(1-LoadPremRate)*E103</f>
        <v/>
      </c>
      <c r="S103" s="34">
        <f>Q103+R103</f>
        <v/>
      </c>
      <c r="T103" s="29">
        <f>MaintFeeRateAnn/12*S103</f>
        <v/>
      </c>
      <c r="U103" s="29">
        <f>MAX(SumAssured-S103,0)</f>
        <v/>
      </c>
      <c r="V103" s="35">
        <f>CoiMultiple*G103</f>
        <v/>
      </c>
      <c r="W103" s="34">
        <f>V103*U103</f>
        <v/>
      </c>
      <c r="X103" s="34">
        <f>S103-T103-W103</f>
        <v/>
      </c>
      <c r="Y103" s="36">
        <f>EXP((Mu-0.5*Sigma^2)/12+Sigma*SQRT(1/12)*INDEX(NormRand,ScenID,A103+1))-1</f>
        <v/>
      </c>
      <c r="Z103" s="34">
        <f>Y103*X103</f>
        <v/>
      </c>
      <c r="AA103" s="34">
        <f>X103+0.5*Z103</f>
        <v/>
      </c>
      <c r="AB103" s="34">
        <f>Q103*J103</f>
        <v/>
      </c>
      <c r="AC103" s="34">
        <f>Q103*L103</f>
        <v/>
      </c>
      <c r="AD103" s="34">
        <f>S103*N103</f>
        <v/>
      </c>
      <c r="AE103" s="34">
        <f>E103*N103</f>
        <v/>
      </c>
      <c r="AF103" s="34">
        <f>R103*N103</f>
        <v/>
      </c>
      <c r="AG103" s="29">
        <f>MAX(SumAssured,AA103)</f>
        <v/>
      </c>
      <c r="AH103" s="34">
        <f>AG103*O103</f>
        <v/>
      </c>
      <c r="AI103" s="34">
        <f>AA103*O103</f>
        <v/>
      </c>
      <c r="AJ103" s="34">
        <f>AA103*P103</f>
        <v/>
      </c>
      <c r="AK103" s="34">
        <f>I103*AA103*P103</f>
        <v/>
      </c>
      <c r="AL103" s="34">
        <f>AJ103-AK103</f>
        <v/>
      </c>
      <c r="AM103" s="34">
        <f>Q103*K103</f>
        <v/>
      </c>
      <c r="AN103" s="34">
        <f>AH103+AL103+AM103</f>
        <v/>
      </c>
      <c r="AO103" s="34">
        <f>(AG103-AA103)*O103</f>
        <v/>
      </c>
      <c r="AP103" s="34">
        <f>W103*N103</f>
        <v/>
      </c>
      <c r="AQ103" s="34">
        <f>T103*N103</f>
        <v/>
      </c>
      <c r="AR103" s="34">
        <f>Z103*J104+0.5*Z103*(O103+P103)</f>
        <v/>
      </c>
      <c r="AS103" s="30">
        <f>(1+InflationRate)^(A103/12)</f>
        <v/>
      </c>
      <c r="AT103" s="29">
        <f>ExpenseAcq*M103+N103*ExpenseMaint/12*AS103</f>
        <v/>
      </c>
      <c r="AU103" s="29">
        <f>CommissionRate*AE103</f>
        <v/>
      </c>
      <c r="AV103" s="34">
        <f>AB104-AB103</f>
        <v/>
      </c>
      <c r="AW103" s="34">
        <f>AE103+AR103-AN103-AT103-AU103-AV103</f>
        <v/>
      </c>
      <c r="AX103" s="29">
        <f>LoadPremRate*E103*N103+AK103+AQ103-AU103-AT103</f>
        <v/>
      </c>
      <c r="AY103" s="34">
        <f>AP103-AO103</f>
        <v/>
      </c>
      <c r="AZ103" s="37">
        <f>(AW103-AX103-AY103)/MAX(1,ABS(AW103),ABS(AX103),ABS(AY103))</f>
        <v/>
      </c>
      <c r="BA103" s="37">
        <f>IF(OR(K103&gt;0,K104&gt;0),0,(AC104-(AC103+AF103-AQ103-AP103+AR103-AI103-AJ103-AM103))/MAX(1,ABS(AC103),ABS(AC104)))</f>
        <v/>
      </c>
      <c r="BB103" s="35">
        <f>(1+INDEX(DiscRateAnn,INT(A103/12)+1))^(1/12)-1</f>
        <v/>
      </c>
      <c r="BC103" s="31">
        <f>(1+BB103)^-A103</f>
        <v/>
      </c>
      <c r="BD103" s="34">
        <f>AW103*BC103</f>
        <v/>
      </c>
    </row>
    <row r="104">
      <c r="A104" s="27">
        <f>A103+1</f>
        <v/>
      </c>
      <c r="B104" s="28">
        <f>Duration0+A104</f>
        <v/>
      </c>
      <c r="C104" s="27">
        <f>INT(B104/12)</f>
        <v/>
      </c>
      <c r="D104" s="28">
        <f>AgeAtEntry+C104</f>
        <v/>
      </c>
      <c r="E104" s="29">
        <f>IF(PremiumType="SINGLE",IF(B104=0,PremiumPPInput,0),IF(B104&lt;12*PolicyTerm,PremiumPPInput,0))</f>
        <v/>
      </c>
      <c r="F104" s="30">
        <f>INDEX(MortRates,MATCH(MIN(D104,120),MortAges,0),MAX(MIN(C104,5),0)+1)</f>
        <v/>
      </c>
      <c r="G104" s="31">
        <f>1-(1-F104)^(1/12)</f>
        <v/>
      </c>
      <c r="H104" s="32">
        <f>MAX(LapseBase-LapseStep*C104,LapseFloor)</f>
        <v/>
      </c>
      <c r="I104" s="32">
        <f>IF(HasSurrCharge,INDEX(SurrRates,MIN(C104,SurrDurMax)+1,MATCH(SurrChargeID,SurrTypes,0)),0)</f>
        <v/>
      </c>
      <c r="J104" s="33">
        <f>N103-P103-O103</f>
        <v/>
      </c>
      <c r="K104" s="30">
        <f>IF(B104=12*PolicyTerm,J104,0)</f>
        <v/>
      </c>
      <c r="L104" s="33">
        <f>J104-K104</f>
        <v/>
      </c>
      <c r="M104" s="30">
        <f>IF(B104=0,PolicyCount,0)</f>
        <v/>
      </c>
      <c r="N104" s="33">
        <f>L104+M104</f>
        <v/>
      </c>
      <c r="O104" s="31">
        <f>N104*G104</f>
        <v/>
      </c>
      <c r="P104" s="33">
        <f>(N104-O104)*(1-(1-H104)^(1/12))</f>
        <v/>
      </c>
      <c r="Q104" s="34">
        <f>X103+Z103</f>
        <v/>
      </c>
      <c r="R104" s="29">
        <f>(1-LoadPremRate)*E104</f>
        <v/>
      </c>
      <c r="S104" s="34">
        <f>Q104+R104</f>
        <v/>
      </c>
      <c r="T104" s="29">
        <f>MaintFeeRateAnn/12*S104</f>
        <v/>
      </c>
      <c r="U104" s="29">
        <f>MAX(SumAssured-S104,0)</f>
        <v/>
      </c>
      <c r="V104" s="35">
        <f>CoiMultiple*G104</f>
        <v/>
      </c>
      <c r="W104" s="34">
        <f>V104*U104</f>
        <v/>
      </c>
      <c r="X104" s="34">
        <f>S104-T104-W104</f>
        <v/>
      </c>
      <c r="Y104" s="36">
        <f>EXP((Mu-0.5*Sigma^2)/12+Sigma*SQRT(1/12)*INDEX(NormRand,ScenID,A104+1))-1</f>
        <v/>
      </c>
      <c r="Z104" s="34">
        <f>Y104*X104</f>
        <v/>
      </c>
      <c r="AA104" s="34">
        <f>X104+0.5*Z104</f>
        <v/>
      </c>
      <c r="AB104" s="34">
        <f>Q104*J104</f>
        <v/>
      </c>
      <c r="AC104" s="34">
        <f>Q104*L104</f>
        <v/>
      </c>
      <c r="AD104" s="34">
        <f>S104*N104</f>
        <v/>
      </c>
      <c r="AE104" s="34">
        <f>E104*N104</f>
        <v/>
      </c>
      <c r="AF104" s="34">
        <f>R104*N104</f>
        <v/>
      </c>
      <c r="AG104" s="29">
        <f>MAX(SumAssured,AA104)</f>
        <v/>
      </c>
      <c r="AH104" s="34">
        <f>AG104*O104</f>
        <v/>
      </c>
      <c r="AI104" s="34">
        <f>AA104*O104</f>
        <v/>
      </c>
      <c r="AJ104" s="34">
        <f>AA104*P104</f>
        <v/>
      </c>
      <c r="AK104" s="34">
        <f>I104*AA104*P104</f>
        <v/>
      </c>
      <c r="AL104" s="34">
        <f>AJ104-AK104</f>
        <v/>
      </c>
      <c r="AM104" s="34">
        <f>Q104*K104</f>
        <v/>
      </c>
      <c r="AN104" s="34">
        <f>AH104+AL104+AM104</f>
        <v/>
      </c>
      <c r="AO104" s="34">
        <f>(AG104-AA104)*O104</f>
        <v/>
      </c>
      <c r="AP104" s="34">
        <f>W104*N104</f>
        <v/>
      </c>
      <c r="AQ104" s="34">
        <f>T104*N104</f>
        <v/>
      </c>
      <c r="AR104" s="34">
        <f>Z104*J105+0.5*Z104*(O104+P104)</f>
        <v/>
      </c>
      <c r="AS104" s="30">
        <f>(1+InflationRate)^(A104/12)</f>
        <v/>
      </c>
      <c r="AT104" s="29">
        <f>ExpenseAcq*M104+N104*ExpenseMaint/12*AS104</f>
        <v/>
      </c>
      <c r="AU104" s="29">
        <f>CommissionRate*AE104</f>
        <v/>
      </c>
      <c r="AV104" s="34">
        <f>AB105-AB104</f>
        <v/>
      </c>
      <c r="AW104" s="34">
        <f>AE104+AR104-AN104-AT104-AU104-AV104</f>
        <v/>
      </c>
      <c r="AX104" s="29">
        <f>LoadPremRate*E104*N104+AK104+AQ104-AU104-AT104</f>
        <v/>
      </c>
      <c r="AY104" s="34">
        <f>AP104-AO104</f>
        <v/>
      </c>
      <c r="AZ104" s="37">
        <f>(AW104-AX104-AY104)/MAX(1,ABS(AW104),ABS(AX104),ABS(AY104))</f>
        <v/>
      </c>
      <c r="BA104" s="37">
        <f>IF(OR(K104&gt;0,K105&gt;0),0,(AC105-(AC104+AF104-AQ104-AP104+AR104-AI104-AJ104-AM104))/MAX(1,ABS(AC104),ABS(AC105)))</f>
        <v/>
      </c>
      <c r="BB104" s="35">
        <f>(1+INDEX(DiscRateAnn,INT(A104/12)+1))^(1/12)-1</f>
        <v/>
      </c>
      <c r="BC104" s="31">
        <f>(1+BB104)^-A104</f>
        <v/>
      </c>
      <c r="BD104" s="34">
        <f>AW104*BC104</f>
        <v/>
      </c>
    </row>
    <row r="105">
      <c r="A105" s="27">
        <f>A104+1</f>
        <v/>
      </c>
      <c r="B105" s="28">
        <f>Duration0+A105</f>
        <v/>
      </c>
      <c r="C105" s="27">
        <f>INT(B105/12)</f>
        <v/>
      </c>
      <c r="D105" s="28">
        <f>AgeAtEntry+C105</f>
        <v/>
      </c>
      <c r="E105" s="29">
        <f>IF(PremiumType="SINGLE",IF(B105=0,PremiumPPInput,0),IF(B105&lt;12*PolicyTerm,PremiumPPInput,0))</f>
        <v/>
      </c>
      <c r="F105" s="30">
        <f>INDEX(MortRates,MATCH(MIN(D105,120),MortAges,0),MAX(MIN(C105,5),0)+1)</f>
        <v/>
      </c>
      <c r="G105" s="31">
        <f>1-(1-F105)^(1/12)</f>
        <v/>
      </c>
      <c r="H105" s="32">
        <f>MAX(LapseBase-LapseStep*C105,LapseFloor)</f>
        <v/>
      </c>
      <c r="I105" s="32">
        <f>IF(HasSurrCharge,INDEX(SurrRates,MIN(C105,SurrDurMax)+1,MATCH(SurrChargeID,SurrTypes,0)),0)</f>
        <v/>
      </c>
      <c r="J105" s="33">
        <f>N104-P104-O104</f>
        <v/>
      </c>
      <c r="K105" s="30">
        <f>IF(B105=12*PolicyTerm,J105,0)</f>
        <v/>
      </c>
      <c r="L105" s="33">
        <f>J105-K105</f>
        <v/>
      </c>
      <c r="M105" s="30">
        <f>IF(B105=0,PolicyCount,0)</f>
        <v/>
      </c>
      <c r="N105" s="33">
        <f>L105+M105</f>
        <v/>
      </c>
      <c r="O105" s="31">
        <f>N105*G105</f>
        <v/>
      </c>
      <c r="P105" s="33">
        <f>(N105-O105)*(1-(1-H105)^(1/12))</f>
        <v/>
      </c>
      <c r="Q105" s="34">
        <f>X104+Z104</f>
        <v/>
      </c>
      <c r="R105" s="29">
        <f>(1-LoadPremRate)*E105</f>
        <v/>
      </c>
      <c r="S105" s="34">
        <f>Q105+R105</f>
        <v/>
      </c>
      <c r="T105" s="29">
        <f>MaintFeeRateAnn/12*S105</f>
        <v/>
      </c>
      <c r="U105" s="29">
        <f>MAX(SumAssured-S105,0)</f>
        <v/>
      </c>
      <c r="V105" s="35">
        <f>CoiMultiple*G105</f>
        <v/>
      </c>
      <c r="W105" s="34">
        <f>V105*U105</f>
        <v/>
      </c>
      <c r="X105" s="34">
        <f>S105-T105-W105</f>
        <v/>
      </c>
      <c r="Y105" s="36">
        <f>EXP((Mu-0.5*Sigma^2)/12+Sigma*SQRT(1/12)*INDEX(NormRand,ScenID,A105+1))-1</f>
        <v/>
      </c>
      <c r="Z105" s="34">
        <f>Y105*X105</f>
        <v/>
      </c>
      <c r="AA105" s="34">
        <f>X105+0.5*Z105</f>
        <v/>
      </c>
      <c r="AB105" s="34">
        <f>Q105*J105</f>
        <v/>
      </c>
      <c r="AC105" s="34">
        <f>Q105*L105</f>
        <v/>
      </c>
      <c r="AD105" s="34">
        <f>S105*N105</f>
        <v/>
      </c>
      <c r="AE105" s="34">
        <f>E105*N105</f>
        <v/>
      </c>
      <c r="AF105" s="34">
        <f>R105*N105</f>
        <v/>
      </c>
      <c r="AG105" s="29">
        <f>MAX(SumAssured,AA105)</f>
        <v/>
      </c>
      <c r="AH105" s="34">
        <f>AG105*O105</f>
        <v/>
      </c>
      <c r="AI105" s="34">
        <f>AA105*O105</f>
        <v/>
      </c>
      <c r="AJ105" s="34">
        <f>AA105*P105</f>
        <v/>
      </c>
      <c r="AK105" s="34">
        <f>I105*AA105*P105</f>
        <v/>
      </c>
      <c r="AL105" s="34">
        <f>AJ105-AK105</f>
        <v/>
      </c>
      <c r="AM105" s="34">
        <f>Q105*K105</f>
        <v/>
      </c>
      <c r="AN105" s="34">
        <f>AH105+AL105+AM105</f>
        <v/>
      </c>
      <c r="AO105" s="34">
        <f>(AG105-AA105)*O105</f>
        <v/>
      </c>
      <c r="AP105" s="34">
        <f>W105*N105</f>
        <v/>
      </c>
      <c r="AQ105" s="34">
        <f>T105*N105</f>
        <v/>
      </c>
      <c r="AR105" s="34">
        <f>Z105*J106+0.5*Z105*(O105+P105)</f>
        <v/>
      </c>
      <c r="AS105" s="30">
        <f>(1+InflationRate)^(A105/12)</f>
        <v/>
      </c>
      <c r="AT105" s="29">
        <f>ExpenseAcq*M105+N105*ExpenseMaint/12*AS105</f>
        <v/>
      </c>
      <c r="AU105" s="29">
        <f>CommissionRate*AE105</f>
        <v/>
      </c>
      <c r="AV105" s="34">
        <f>AB106-AB105</f>
        <v/>
      </c>
      <c r="AW105" s="34">
        <f>AE105+AR105-AN105-AT105-AU105-AV105</f>
        <v/>
      </c>
      <c r="AX105" s="29">
        <f>LoadPremRate*E105*N105+AK105+AQ105-AU105-AT105</f>
        <v/>
      </c>
      <c r="AY105" s="34">
        <f>AP105-AO105</f>
        <v/>
      </c>
      <c r="AZ105" s="37">
        <f>(AW105-AX105-AY105)/MAX(1,ABS(AW105),ABS(AX105),ABS(AY105))</f>
        <v/>
      </c>
      <c r="BA105" s="37">
        <f>IF(OR(K105&gt;0,K106&gt;0),0,(AC106-(AC105+AF105-AQ105-AP105+AR105-AI105-AJ105-AM105))/MAX(1,ABS(AC105),ABS(AC106)))</f>
        <v/>
      </c>
      <c r="BB105" s="35">
        <f>(1+INDEX(DiscRateAnn,INT(A105/12)+1))^(1/12)-1</f>
        <v/>
      </c>
      <c r="BC105" s="31">
        <f>(1+BB105)^-A105</f>
        <v/>
      </c>
      <c r="BD105" s="34">
        <f>AW105*BC105</f>
        <v/>
      </c>
    </row>
    <row r="106">
      <c r="A106" s="27">
        <f>A105+1</f>
        <v/>
      </c>
      <c r="B106" s="28">
        <f>Duration0+A106</f>
        <v/>
      </c>
      <c r="C106" s="27">
        <f>INT(B106/12)</f>
        <v/>
      </c>
      <c r="D106" s="28">
        <f>AgeAtEntry+C106</f>
        <v/>
      </c>
      <c r="E106" s="29">
        <f>IF(PremiumType="SINGLE",IF(B106=0,PremiumPPInput,0),IF(B106&lt;12*PolicyTerm,PremiumPPInput,0))</f>
        <v/>
      </c>
      <c r="F106" s="30">
        <f>INDEX(MortRates,MATCH(MIN(D106,120),MortAges,0),MAX(MIN(C106,5),0)+1)</f>
        <v/>
      </c>
      <c r="G106" s="31">
        <f>1-(1-F106)^(1/12)</f>
        <v/>
      </c>
      <c r="H106" s="32">
        <f>MAX(LapseBase-LapseStep*C106,LapseFloor)</f>
        <v/>
      </c>
      <c r="I106" s="32">
        <f>IF(HasSurrCharge,INDEX(SurrRates,MIN(C106,SurrDurMax)+1,MATCH(SurrChargeID,SurrTypes,0)),0)</f>
        <v/>
      </c>
      <c r="J106" s="33">
        <f>N105-P105-O105</f>
        <v/>
      </c>
      <c r="K106" s="30">
        <f>IF(B106=12*PolicyTerm,J106,0)</f>
        <v/>
      </c>
      <c r="L106" s="33">
        <f>J106-K106</f>
        <v/>
      </c>
      <c r="M106" s="30">
        <f>IF(B106=0,PolicyCount,0)</f>
        <v/>
      </c>
      <c r="N106" s="33">
        <f>L106+M106</f>
        <v/>
      </c>
      <c r="O106" s="31">
        <f>N106*G106</f>
        <v/>
      </c>
      <c r="P106" s="33">
        <f>(N106-O106)*(1-(1-H106)^(1/12))</f>
        <v/>
      </c>
      <c r="Q106" s="34">
        <f>X105+Z105</f>
        <v/>
      </c>
      <c r="R106" s="29">
        <f>(1-LoadPremRate)*E106</f>
        <v/>
      </c>
      <c r="S106" s="34">
        <f>Q106+R106</f>
        <v/>
      </c>
      <c r="T106" s="29">
        <f>MaintFeeRateAnn/12*S106</f>
        <v/>
      </c>
      <c r="U106" s="29">
        <f>MAX(SumAssured-S106,0)</f>
        <v/>
      </c>
      <c r="V106" s="35">
        <f>CoiMultiple*G106</f>
        <v/>
      </c>
      <c r="W106" s="34">
        <f>V106*U106</f>
        <v/>
      </c>
      <c r="X106" s="34">
        <f>S106-T106-W106</f>
        <v/>
      </c>
      <c r="Y106" s="36">
        <f>EXP((Mu-0.5*Sigma^2)/12+Sigma*SQRT(1/12)*INDEX(NormRand,ScenID,A106+1))-1</f>
        <v/>
      </c>
      <c r="Z106" s="34">
        <f>Y106*X106</f>
        <v/>
      </c>
      <c r="AA106" s="34">
        <f>X106+0.5*Z106</f>
        <v/>
      </c>
      <c r="AB106" s="34">
        <f>Q106*J106</f>
        <v/>
      </c>
      <c r="AC106" s="34">
        <f>Q106*L106</f>
        <v/>
      </c>
      <c r="AD106" s="34">
        <f>S106*N106</f>
        <v/>
      </c>
      <c r="AE106" s="34">
        <f>E106*N106</f>
        <v/>
      </c>
      <c r="AF106" s="34">
        <f>R106*N106</f>
        <v/>
      </c>
      <c r="AG106" s="29">
        <f>MAX(SumAssured,AA106)</f>
        <v/>
      </c>
      <c r="AH106" s="34">
        <f>AG106*O106</f>
        <v/>
      </c>
      <c r="AI106" s="34">
        <f>AA106*O106</f>
        <v/>
      </c>
      <c r="AJ106" s="34">
        <f>AA106*P106</f>
        <v/>
      </c>
      <c r="AK106" s="34">
        <f>I106*AA106*P106</f>
        <v/>
      </c>
      <c r="AL106" s="34">
        <f>AJ106-AK106</f>
        <v/>
      </c>
      <c r="AM106" s="34">
        <f>Q106*K106</f>
        <v/>
      </c>
      <c r="AN106" s="34">
        <f>AH106+AL106+AM106</f>
        <v/>
      </c>
      <c r="AO106" s="34">
        <f>(AG106-AA106)*O106</f>
        <v/>
      </c>
      <c r="AP106" s="34">
        <f>W106*N106</f>
        <v/>
      </c>
      <c r="AQ106" s="34">
        <f>T106*N106</f>
        <v/>
      </c>
      <c r="AR106" s="34">
        <f>Z106*J107+0.5*Z106*(O106+P106)</f>
        <v/>
      </c>
      <c r="AS106" s="30">
        <f>(1+InflationRate)^(A106/12)</f>
        <v/>
      </c>
      <c r="AT106" s="29">
        <f>ExpenseAcq*M106+N106*ExpenseMaint/12*AS106</f>
        <v/>
      </c>
      <c r="AU106" s="29">
        <f>CommissionRate*AE106</f>
        <v/>
      </c>
      <c r="AV106" s="34">
        <f>AB107-AB106</f>
        <v/>
      </c>
      <c r="AW106" s="34">
        <f>AE106+AR106-AN106-AT106-AU106-AV106</f>
        <v/>
      </c>
      <c r="AX106" s="29">
        <f>LoadPremRate*E106*N106+AK106+AQ106-AU106-AT106</f>
        <v/>
      </c>
      <c r="AY106" s="34">
        <f>AP106-AO106</f>
        <v/>
      </c>
      <c r="AZ106" s="37">
        <f>(AW106-AX106-AY106)/MAX(1,ABS(AW106),ABS(AX106),ABS(AY106))</f>
        <v/>
      </c>
      <c r="BA106" s="37">
        <f>IF(OR(K106&gt;0,K107&gt;0),0,(AC107-(AC106+AF106-AQ106-AP106+AR106-AI106-AJ106-AM106))/MAX(1,ABS(AC106),ABS(AC107)))</f>
        <v/>
      </c>
      <c r="BB106" s="35">
        <f>(1+INDEX(DiscRateAnn,INT(A106/12)+1))^(1/12)-1</f>
        <v/>
      </c>
      <c r="BC106" s="31">
        <f>(1+BB106)^-A106</f>
        <v/>
      </c>
      <c r="BD106" s="34">
        <f>AW106*BC106</f>
        <v/>
      </c>
    </row>
    <row r="107">
      <c r="A107" s="27">
        <f>A106+1</f>
        <v/>
      </c>
      <c r="B107" s="28">
        <f>Duration0+A107</f>
        <v/>
      </c>
      <c r="C107" s="27">
        <f>INT(B107/12)</f>
        <v/>
      </c>
      <c r="D107" s="28">
        <f>AgeAtEntry+C107</f>
        <v/>
      </c>
      <c r="E107" s="29">
        <f>IF(PremiumType="SINGLE",IF(B107=0,PremiumPPInput,0),IF(B107&lt;12*PolicyTerm,PremiumPPInput,0))</f>
        <v/>
      </c>
      <c r="F107" s="30">
        <f>INDEX(MortRates,MATCH(MIN(D107,120),MortAges,0),MAX(MIN(C107,5),0)+1)</f>
        <v/>
      </c>
      <c r="G107" s="31">
        <f>1-(1-F107)^(1/12)</f>
        <v/>
      </c>
      <c r="H107" s="32">
        <f>MAX(LapseBase-LapseStep*C107,LapseFloor)</f>
        <v/>
      </c>
      <c r="I107" s="32">
        <f>IF(HasSurrCharge,INDEX(SurrRates,MIN(C107,SurrDurMax)+1,MATCH(SurrChargeID,SurrTypes,0)),0)</f>
        <v/>
      </c>
      <c r="J107" s="33">
        <f>N106-P106-O106</f>
        <v/>
      </c>
      <c r="K107" s="30">
        <f>IF(B107=12*PolicyTerm,J107,0)</f>
        <v/>
      </c>
      <c r="L107" s="33">
        <f>J107-K107</f>
        <v/>
      </c>
      <c r="M107" s="30">
        <f>IF(B107=0,PolicyCount,0)</f>
        <v/>
      </c>
      <c r="N107" s="33">
        <f>L107+M107</f>
        <v/>
      </c>
      <c r="O107" s="31">
        <f>N107*G107</f>
        <v/>
      </c>
      <c r="P107" s="33">
        <f>(N107-O107)*(1-(1-H107)^(1/12))</f>
        <v/>
      </c>
      <c r="Q107" s="34">
        <f>X106+Z106</f>
        <v/>
      </c>
      <c r="R107" s="29">
        <f>(1-LoadPremRate)*E107</f>
        <v/>
      </c>
      <c r="S107" s="34">
        <f>Q107+R107</f>
        <v/>
      </c>
      <c r="T107" s="29">
        <f>MaintFeeRateAnn/12*S107</f>
        <v/>
      </c>
      <c r="U107" s="29">
        <f>MAX(SumAssured-S107,0)</f>
        <v/>
      </c>
      <c r="V107" s="35">
        <f>CoiMultiple*G107</f>
        <v/>
      </c>
      <c r="W107" s="34">
        <f>V107*U107</f>
        <v/>
      </c>
      <c r="X107" s="34">
        <f>S107-T107-W107</f>
        <v/>
      </c>
      <c r="Y107" s="36">
        <f>EXP((Mu-0.5*Sigma^2)/12+Sigma*SQRT(1/12)*INDEX(NormRand,ScenID,A107+1))-1</f>
        <v/>
      </c>
      <c r="Z107" s="34">
        <f>Y107*X107</f>
        <v/>
      </c>
      <c r="AA107" s="34">
        <f>X107+0.5*Z107</f>
        <v/>
      </c>
      <c r="AB107" s="34">
        <f>Q107*J107</f>
        <v/>
      </c>
      <c r="AC107" s="34">
        <f>Q107*L107</f>
        <v/>
      </c>
      <c r="AD107" s="34">
        <f>S107*N107</f>
        <v/>
      </c>
      <c r="AE107" s="34">
        <f>E107*N107</f>
        <v/>
      </c>
      <c r="AF107" s="34">
        <f>R107*N107</f>
        <v/>
      </c>
      <c r="AG107" s="29">
        <f>MAX(SumAssured,AA107)</f>
        <v/>
      </c>
      <c r="AH107" s="34">
        <f>AG107*O107</f>
        <v/>
      </c>
      <c r="AI107" s="34">
        <f>AA107*O107</f>
        <v/>
      </c>
      <c r="AJ107" s="34">
        <f>AA107*P107</f>
        <v/>
      </c>
      <c r="AK107" s="34">
        <f>I107*AA107*P107</f>
        <v/>
      </c>
      <c r="AL107" s="34">
        <f>AJ107-AK107</f>
        <v/>
      </c>
      <c r="AM107" s="34">
        <f>Q107*K107</f>
        <v/>
      </c>
      <c r="AN107" s="34">
        <f>AH107+AL107+AM107</f>
        <v/>
      </c>
      <c r="AO107" s="34">
        <f>(AG107-AA107)*O107</f>
        <v/>
      </c>
      <c r="AP107" s="34">
        <f>W107*N107</f>
        <v/>
      </c>
      <c r="AQ107" s="34">
        <f>T107*N107</f>
        <v/>
      </c>
      <c r="AR107" s="34">
        <f>Z107*J108+0.5*Z107*(O107+P107)</f>
        <v/>
      </c>
      <c r="AS107" s="30">
        <f>(1+InflationRate)^(A107/12)</f>
        <v/>
      </c>
      <c r="AT107" s="29">
        <f>ExpenseAcq*M107+N107*ExpenseMaint/12*AS107</f>
        <v/>
      </c>
      <c r="AU107" s="29">
        <f>CommissionRate*AE107</f>
        <v/>
      </c>
      <c r="AV107" s="34">
        <f>AB108-AB107</f>
        <v/>
      </c>
      <c r="AW107" s="34">
        <f>AE107+AR107-AN107-AT107-AU107-AV107</f>
        <v/>
      </c>
      <c r="AX107" s="29">
        <f>LoadPremRate*E107*N107+AK107+AQ107-AU107-AT107</f>
        <v/>
      </c>
      <c r="AY107" s="34">
        <f>AP107-AO107</f>
        <v/>
      </c>
      <c r="AZ107" s="37">
        <f>(AW107-AX107-AY107)/MAX(1,ABS(AW107),ABS(AX107),ABS(AY107))</f>
        <v/>
      </c>
      <c r="BA107" s="37">
        <f>IF(OR(K107&gt;0,K108&gt;0),0,(AC108-(AC107+AF107-AQ107-AP107+AR107-AI107-AJ107-AM107))/MAX(1,ABS(AC107),ABS(AC108)))</f>
        <v/>
      </c>
      <c r="BB107" s="35">
        <f>(1+INDEX(DiscRateAnn,INT(A107/12)+1))^(1/12)-1</f>
        <v/>
      </c>
      <c r="BC107" s="31">
        <f>(1+BB107)^-A107</f>
        <v/>
      </c>
      <c r="BD107" s="34">
        <f>AW107*BC107</f>
        <v/>
      </c>
    </row>
    <row r="108">
      <c r="A108" s="27">
        <f>A107+1</f>
        <v/>
      </c>
      <c r="B108" s="28">
        <f>Duration0+A108</f>
        <v/>
      </c>
      <c r="C108" s="27">
        <f>INT(B108/12)</f>
        <v/>
      </c>
      <c r="D108" s="28">
        <f>AgeAtEntry+C108</f>
        <v/>
      </c>
      <c r="E108" s="29">
        <f>IF(PremiumType="SINGLE",IF(B108=0,PremiumPPInput,0),IF(B108&lt;12*PolicyTerm,PremiumPPInput,0))</f>
        <v/>
      </c>
      <c r="F108" s="30">
        <f>INDEX(MortRates,MATCH(MIN(D108,120),MortAges,0),MAX(MIN(C108,5),0)+1)</f>
        <v/>
      </c>
      <c r="G108" s="31">
        <f>1-(1-F108)^(1/12)</f>
        <v/>
      </c>
      <c r="H108" s="32">
        <f>MAX(LapseBase-LapseStep*C108,LapseFloor)</f>
        <v/>
      </c>
      <c r="I108" s="32">
        <f>IF(HasSurrCharge,INDEX(SurrRates,MIN(C108,SurrDurMax)+1,MATCH(SurrChargeID,SurrTypes,0)),0)</f>
        <v/>
      </c>
      <c r="J108" s="33">
        <f>N107-P107-O107</f>
        <v/>
      </c>
      <c r="K108" s="30">
        <f>IF(B108=12*PolicyTerm,J108,0)</f>
        <v/>
      </c>
      <c r="L108" s="33">
        <f>J108-K108</f>
        <v/>
      </c>
      <c r="M108" s="30">
        <f>IF(B108=0,PolicyCount,0)</f>
        <v/>
      </c>
      <c r="N108" s="33">
        <f>L108+M108</f>
        <v/>
      </c>
      <c r="O108" s="31">
        <f>N108*G108</f>
        <v/>
      </c>
      <c r="P108" s="33">
        <f>(N108-O108)*(1-(1-H108)^(1/12))</f>
        <v/>
      </c>
      <c r="Q108" s="34">
        <f>X107+Z107</f>
        <v/>
      </c>
      <c r="R108" s="29">
        <f>(1-LoadPremRate)*E108</f>
        <v/>
      </c>
      <c r="S108" s="34">
        <f>Q108+R108</f>
        <v/>
      </c>
      <c r="T108" s="29">
        <f>MaintFeeRateAnn/12*S108</f>
        <v/>
      </c>
      <c r="U108" s="29">
        <f>MAX(SumAssured-S108,0)</f>
        <v/>
      </c>
      <c r="V108" s="35">
        <f>CoiMultiple*G108</f>
        <v/>
      </c>
      <c r="W108" s="34">
        <f>V108*U108</f>
        <v/>
      </c>
      <c r="X108" s="34">
        <f>S108-T108-W108</f>
        <v/>
      </c>
      <c r="Y108" s="36">
        <f>EXP((Mu-0.5*Sigma^2)/12+Sigma*SQRT(1/12)*INDEX(NormRand,ScenID,A108+1))-1</f>
        <v/>
      </c>
      <c r="Z108" s="34">
        <f>Y108*X108</f>
        <v/>
      </c>
      <c r="AA108" s="34">
        <f>X108+0.5*Z108</f>
        <v/>
      </c>
      <c r="AB108" s="34">
        <f>Q108*J108</f>
        <v/>
      </c>
      <c r="AC108" s="34">
        <f>Q108*L108</f>
        <v/>
      </c>
      <c r="AD108" s="34">
        <f>S108*N108</f>
        <v/>
      </c>
      <c r="AE108" s="34">
        <f>E108*N108</f>
        <v/>
      </c>
      <c r="AF108" s="34">
        <f>R108*N108</f>
        <v/>
      </c>
      <c r="AG108" s="29">
        <f>MAX(SumAssured,AA108)</f>
        <v/>
      </c>
      <c r="AH108" s="34">
        <f>AG108*O108</f>
        <v/>
      </c>
      <c r="AI108" s="34">
        <f>AA108*O108</f>
        <v/>
      </c>
      <c r="AJ108" s="34">
        <f>AA108*P108</f>
        <v/>
      </c>
      <c r="AK108" s="34">
        <f>I108*AA108*P108</f>
        <v/>
      </c>
      <c r="AL108" s="34">
        <f>AJ108-AK108</f>
        <v/>
      </c>
      <c r="AM108" s="34">
        <f>Q108*K108</f>
        <v/>
      </c>
      <c r="AN108" s="34">
        <f>AH108+AL108+AM108</f>
        <v/>
      </c>
      <c r="AO108" s="34">
        <f>(AG108-AA108)*O108</f>
        <v/>
      </c>
      <c r="AP108" s="34">
        <f>W108*N108</f>
        <v/>
      </c>
      <c r="AQ108" s="34">
        <f>T108*N108</f>
        <v/>
      </c>
      <c r="AR108" s="34">
        <f>Z108*J109+0.5*Z108*(O108+P108)</f>
        <v/>
      </c>
      <c r="AS108" s="30">
        <f>(1+InflationRate)^(A108/12)</f>
        <v/>
      </c>
      <c r="AT108" s="29">
        <f>ExpenseAcq*M108+N108*ExpenseMaint/12*AS108</f>
        <v/>
      </c>
      <c r="AU108" s="29">
        <f>CommissionRate*AE108</f>
        <v/>
      </c>
      <c r="AV108" s="34">
        <f>AB109-AB108</f>
        <v/>
      </c>
      <c r="AW108" s="34">
        <f>AE108+AR108-AN108-AT108-AU108-AV108</f>
        <v/>
      </c>
      <c r="AX108" s="29">
        <f>LoadPremRate*E108*N108+AK108+AQ108-AU108-AT108</f>
        <v/>
      </c>
      <c r="AY108" s="34">
        <f>AP108-AO108</f>
        <v/>
      </c>
      <c r="AZ108" s="37">
        <f>(AW108-AX108-AY108)/MAX(1,ABS(AW108),ABS(AX108),ABS(AY108))</f>
        <v/>
      </c>
      <c r="BA108" s="37">
        <f>IF(OR(K108&gt;0,K109&gt;0),0,(AC109-(AC108+AF108-AQ108-AP108+AR108-AI108-AJ108-AM108))/MAX(1,ABS(AC108),ABS(AC109)))</f>
        <v/>
      </c>
      <c r="BB108" s="35">
        <f>(1+INDEX(DiscRateAnn,INT(A108/12)+1))^(1/12)-1</f>
        <v/>
      </c>
      <c r="BC108" s="31">
        <f>(1+BB108)^-A108</f>
        <v/>
      </c>
      <c r="BD108" s="34">
        <f>AW108*BC108</f>
        <v/>
      </c>
    </row>
    <row r="109">
      <c r="A109" s="27">
        <f>A108+1</f>
        <v/>
      </c>
      <c r="B109" s="28">
        <f>Duration0+A109</f>
        <v/>
      </c>
      <c r="C109" s="27">
        <f>INT(B109/12)</f>
        <v/>
      </c>
      <c r="D109" s="28">
        <f>AgeAtEntry+C109</f>
        <v/>
      </c>
      <c r="E109" s="29">
        <f>IF(PremiumType="SINGLE",IF(B109=0,PremiumPPInput,0),IF(B109&lt;12*PolicyTerm,PremiumPPInput,0))</f>
        <v/>
      </c>
      <c r="F109" s="30">
        <f>INDEX(MortRates,MATCH(MIN(D109,120),MortAges,0),MAX(MIN(C109,5),0)+1)</f>
        <v/>
      </c>
      <c r="G109" s="31">
        <f>1-(1-F109)^(1/12)</f>
        <v/>
      </c>
      <c r="H109" s="32">
        <f>MAX(LapseBase-LapseStep*C109,LapseFloor)</f>
        <v/>
      </c>
      <c r="I109" s="32">
        <f>IF(HasSurrCharge,INDEX(SurrRates,MIN(C109,SurrDurMax)+1,MATCH(SurrChargeID,SurrTypes,0)),0)</f>
        <v/>
      </c>
      <c r="J109" s="33">
        <f>N108-P108-O108</f>
        <v/>
      </c>
      <c r="K109" s="30">
        <f>IF(B109=12*PolicyTerm,J109,0)</f>
        <v/>
      </c>
      <c r="L109" s="33">
        <f>J109-K109</f>
        <v/>
      </c>
      <c r="M109" s="30">
        <f>IF(B109=0,PolicyCount,0)</f>
        <v/>
      </c>
      <c r="N109" s="33">
        <f>L109+M109</f>
        <v/>
      </c>
      <c r="O109" s="31">
        <f>N109*G109</f>
        <v/>
      </c>
      <c r="P109" s="33">
        <f>(N109-O109)*(1-(1-H109)^(1/12))</f>
        <v/>
      </c>
      <c r="Q109" s="34">
        <f>X108+Z108</f>
        <v/>
      </c>
      <c r="R109" s="29">
        <f>(1-LoadPremRate)*E109</f>
        <v/>
      </c>
      <c r="S109" s="34">
        <f>Q109+R109</f>
        <v/>
      </c>
      <c r="T109" s="29">
        <f>MaintFeeRateAnn/12*S109</f>
        <v/>
      </c>
      <c r="U109" s="29">
        <f>MAX(SumAssured-S109,0)</f>
        <v/>
      </c>
      <c r="V109" s="35">
        <f>CoiMultiple*G109</f>
        <v/>
      </c>
      <c r="W109" s="34">
        <f>V109*U109</f>
        <v/>
      </c>
      <c r="X109" s="34">
        <f>S109-T109-W109</f>
        <v/>
      </c>
      <c r="Y109" s="36">
        <f>EXP((Mu-0.5*Sigma^2)/12+Sigma*SQRT(1/12)*INDEX(NormRand,ScenID,A109+1))-1</f>
        <v/>
      </c>
      <c r="Z109" s="34">
        <f>Y109*X109</f>
        <v/>
      </c>
      <c r="AA109" s="34">
        <f>X109+0.5*Z109</f>
        <v/>
      </c>
      <c r="AB109" s="34">
        <f>Q109*J109</f>
        <v/>
      </c>
      <c r="AC109" s="34">
        <f>Q109*L109</f>
        <v/>
      </c>
      <c r="AD109" s="34">
        <f>S109*N109</f>
        <v/>
      </c>
      <c r="AE109" s="34">
        <f>E109*N109</f>
        <v/>
      </c>
      <c r="AF109" s="34">
        <f>R109*N109</f>
        <v/>
      </c>
      <c r="AG109" s="29">
        <f>MAX(SumAssured,AA109)</f>
        <v/>
      </c>
      <c r="AH109" s="34">
        <f>AG109*O109</f>
        <v/>
      </c>
      <c r="AI109" s="34">
        <f>AA109*O109</f>
        <v/>
      </c>
      <c r="AJ109" s="34">
        <f>AA109*P109</f>
        <v/>
      </c>
      <c r="AK109" s="34">
        <f>I109*AA109*P109</f>
        <v/>
      </c>
      <c r="AL109" s="34">
        <f>AJ109-AK109</f>
        <v/>
      </c>
      <c r="AM109" s="34">
        <f>Q109*K109</f>
        <v/>
      </c>
      <c r="AN109" s="34">
        <f>AH109+AL109+AM109</f>
        <v/>
      </c>
      <c r="AO109" s="34">
        <f>(AG109-AA109)*O109</f>
        <v/>
      </c>
      <c r="AP109" s="34">
        <f>W109*N109</f>
        <v/>
      </c>
      <c r="AQ109" s="34">
        <f>T109*N109</f>
        <v/>
      </c>
      <c r="AR109" s="34">
        <f>Z109*J110+0.5*Z109*(O109+P109)</f>
        <v/>
      </c>
      <c r="AS109" s="30">
        <f>(1+InflationRate)^(A109/12)</f>
        <v/>
      </c>
      <c r="AT109" s="29">
        <f>ExpenseAcq*M109+N109*ExpenseMaint/12*AS109</f>
        <v/>
      </c>
      <c r="AU109" s="29">
        <f>CommissionRate*AE109</f>
        <v/>
      </c>
      <c r="AV109" s="34">
        <f>AB110-AB109</f>
        <v/>
      </c>
      <c r="AW109" s="34">
        <f>AE109+AR109-AN109-AT109-AU109-AV109</f>
        <v/>
      </c>
      <c r="AX109" s="29">
        <f>LoadPremRate*E109*N109+AK109+AQ109-AU109-AT109</f>
        <v/>
      </c>
      <c r="AY109" s="34">
        <f>AP109-AO109</f>
        <v/>
      </c>
      <c r="AZ109" s="37">
        <f>(AW109-AX109-AY109)/MAX(1,ABS(AW109),ABS(AX109),ABS(AY109))</f>
        <v/>
      </c>
      <c r="BA109" s="37">
        <f>IF(OR(K109&gt;0,K110&gt;0),0,(AC110-(AC109+AF109-AQ109-AP109+AR109-AI109-AJ109-AM109))/MAX(1,ABS(AC109),ABS(AC110)))</f>
        <v/>
      </c>
      <c r="BB109" s="35">
        <f>(1+INDEX(DiscRateAnn,INT(A109/12)+1))^(1/12)-1</f>
        <v/>
      </c>
      <c r="BC109" s="31">
        <f>(1+BB109)^-A109</f>
        <v/>
      </c>
      <c r="BD109" s="34">
        <f>AW109*BC109</f>
        <v/>
      </c>
    </row>
    <row r="110">
      <c r="A110" s="27">
        <f>A109+1</f>
        <v/>
      </c>
      <c r="B110" s="28">
        <f>Duration0+A110</f>
        <v/>
      </c>
      <c r="C110" s="27">
        <f>INT(B110/12)</f>
        <v/>
      </c>
      <c r="D110" s="28">
        <f>AgeAtEntry+C110</f>
        <v/>
      </c>
      <c r="E110" s="29">
        <f>IF(PremiumType="SINGLE",IF(B110=0,PremiumPPInput,0),IF(B110&lt;12*PolicyTerm,PremiumPPInput,0))</f>
        <v/>
      </c>
      <c r="F110" s="30">
        <f>INDEX(MortRates,MATCH(MIN(D110,120),MortAges,0),MAX(MIN(C110,5),0)+1)</f>
        <v/>
      </c>
      <c r="G110" s="31">
        <f>1-(1-F110)^(1/12)</f>
        <v/>
      </c>
      <c r="H110" s="32">
        <f>MAX(LapseBase-LapseStep*C110,LapseFloor)</f>
        <v/>
      </c>
      <c r="I110" s="32">
        <f>IF(HasSurrCharge,INDEX(SurrRates,MIN(C110,SurrDurMax)+1,MATCH(SurrChargeID,SurrTypes,0)),0)</f>
        <v/>
      </c>
      <c r="J110" s="33">
        <f>N109-P109-O109</f>
        <v/>
      </c>
      <c r="K110" s="30">
        <f>IF(B110=12*PolicyTerm,J110,0)</f>
        <v/>
      </c>
      <c r="L110" s="33">
        <f>J110-K110</f>
        <v/>
      </c>
      <c r="M110" s="30">
        <f>IF(B110=0,PolicyCount,0)</f>
        <v/>
      </c>
      <c r="N110" s="33">
        <f>L110+M110</f>
        <v/>
      </c>
      <c r="O110" s="31">
        <f>N110*G110</f>
        <v/>
      </c>
      <c r="P110" s="33">
        <f>(N110-O110)*(1-(1-H110)^(1/12))</f>
        <v/>
      </c>
      <c r="Q110" s="34">
        <f>X109+Z109</f>
        <v/>
      </c>
      <c r="R110" s="29">
        <f>(1-LoadPremRate)*E110</f>
        <v/>
      </c>
      <c r="S110" s="34">
        <f>Q110+R110</f>
        <v/>
      </c>
      <c r="T110" s="29">
        <f>MaintFeeRateAnn/12*S110</f>
        <v/>
      </c>
      <c r="U110" s="29">
        <f>MAX(SumAssured-S110,0)</f>
        <v/>
      </c>
      <c r="V110" s="35">
        <f>CoiMultiple*G110</f>
        <v/>
      </c>
      <c r="W110" s="34">
        <f>V110*U110</f>
        <v/>
      </c>
      <c r="X110" s="34">
        <f>S110-T110-W110</f>
        <v/>
      </c>
      <c r="Y110" s="36">
        <f>EXP((Mu-0.5*Sigma^2)/12+Sigma*SQRT(1/12)*INDEX(NormRand,ScenID,A110+1))-1</f>
        <v/>
      </c>
      <c r="Z110" s="34">
        <f>Y110*X110</f>
        <v/>
      </c>
      <c r="AA110" s="34">
        <f>X110+0.5*Z110</f>
        <v/>
      </c>
      <c r="AB110" s="34">
        <f>Q110*J110</f>
        <v/>
      </c>
      <c r="AC110" s="34">
        <f>Q110*L110</f>
        <v/>
      </c>
      <c r="AD110" s="34">
        <f>S110*N110</f>
        <v/>
      </c>
      <c r="AE110" s="34">
        <f>E110*N110</f>
        <v/>
      </c>
      <c r="AF110" s="34">
        <f>R110*N110</f>
        <v/>
      </c>
      <c r="AG110" s="29">
        <f>MAX(SumAssured,AA110)</f>
        <v/>
      </c>
      <c r="AH110" s="34">
        <f>AG110*O110</f>
        <v/>
      </c>
      <c r="AI110" s="34">
        <f>AA110*O110</f>
        <v/>
      </c>
      <c r="AJ110" s="34">
        <f>AA110*P110</f>
        <v/>
      </c>
      <c r="AK110" s="34">
        <f>I110*AA110*P110</f>
        <v/>
      </c>
      <c r="AL110" s="34">
        <f>AJ110-AK110</f>
        <v/>
      </c>
      <c r="AM110" s="34">
        <f>Q110*K110</f>
        <v/>
      </c>
      <c r="AN110" s="34">
        <f>AH110+AL110+AM110</f>
        <v/>
      </c>
      <c r="AO110" s="34">
        <f>(AG110-AA110)*O110</f>
        <v/>
      </c>
      <c r="AP110" s="34">
        <f>W110*N110</f>
        <v/>
      </c>
      <c r="AQ110" s="34">
        <f>T110*N110</f>
        <v/>
      </c>
      <c r="AR110" s="34">
        <f>Z110*J111+0.5*Z110*(O110+P110)</f>
        <v/>
      </c>
      <c r="AS110" s="30">
        <f>(1+InflationRate)^(A110/12)</f>
        <v/>
      </c>
      <c r="AT110" s="29">
        <f>ExpenseAcq*M110+N110*ExpenseMaint/12*AS110</f>
        <v/>
      </c>
      <c r="AU110" s="29">
        <f>CommissionRate*AE110</f>
        <v/>
      </c>
      <c r="AV110" s="34">
        <f>AB111-AB110</f>
        <v/>
      </c>
      <c r="AW110" s="34">
        <f>AE110+AR110-AN110-AT110-AU110-AV110</f>
        <v/>
      </c>
      <c r="AX110" s="29">
        <f>LoadPremRate*E110*N110+AK110+AQ110-AU110-AT110</f>
        <v/>
      </c>
      <c r="AY110" s="34">
        <f>AP110-AO110</f>
        <v/>
      </c>
      <c r="AZ110" s="37">
        <f>(AW110-AX110-AY110)/MAX(1,ABS(AW110),ABS(AX110),ABS(AY110))</f>
        <v/>
      </c>
      <c r="BA110" s="37">
        <f>IF(OR(K110&gt;0,K111&gt;0),0,(AC111-(AC110+AF110-AQ110-AP110+AR110-AI110-AJ110-AM110))/MAX(1,ABS(AC110),ABS(AC111)))</f>
        <v/>
      </c>
      <c r="BB110" s="35">
        <f>(1+INDEX(DiscRateAnn,INT(A110/12)+1))^(1/12)-1</f>
        <v/>
      </c>
      <c r="BC110" s="31">
        <f>(1+BB110)^-A110</f>
        <v/>
      </c>
      <c r="BD110" s="34">
        <f>AW110*BC110</f>
        <v/>
      </c>
    </row>
    <row r="111">
      <c r="A111" s="27">
        <f>A110+1</f>
        <v/>
      </c>
      <c r="B111" s="28">
        <f>Duration0+A111</f>
        <v/>
      </c>
      <c r="C111" s="27">
        <f>INT(B111/12)</f>
        <v/>
      </c>
      <c r="D111" s="28">
        <f>AgeAtEntry+C111</f>
        <v/>
      </c>
      <c r="E111" s="29">
        <f>IF(PremiumType="SINGLE",IF(B111=0,PremiumPPInput,0),IF(B111&lt;12*PolicyTerm,PremiumPPInput,0))</f>
        <v/>
      </c>
      <c r="F111" s="30">
        <f>INDEX(MortRates,MATCH(MIN(D111,120),MortAges,0),MAX(MIN(C111,5),0)+1)</f>
        <v/>
      </c>
      <c r="G111" s="31">
        <f>1-(1-F111)^(1/12)</f>
        <v/>
      </c>
      <c r="H111" s="32">
        <f>MAX(LapseBase-LapseStep*C111,LapseFloor)</f>
        <v/>
      </c>
      <c r="I111" s="32">
        <f>IF(HasSurrCharge,INDEX(SurrRates,MIN(C111,SurrDurMax)+1,MATCH(SurrChargeID,SurrTypes,0)),0)</f>
        <v/>
      </c>
      <c r="J111" s="33">
        <f>N110-P110-O110</f>
        <v/>
      </c>
      <c r="K111" s="30">
        <f>IF(B111=12*PolicyTerm,J111,0)</f>
        <v/>
      </c>
      <c r="L111" s="33">
        <f>J111-K111</f>
        <v/>
      </c>
      <c r="M111" s="30">
        <f>IF(B111=0,PolicyCount,0)</f>
        <v/>
      </c>
      <c r="N111" s="33">
        <f>L111+M111</f>
        <v/>
      </c>
      <c r="O111" s="31">
        <f>N111*G111</f>
        <v/>
      </c>
      <c r="P111" s="33">
        <f>(N111-O111)*(1-(1-H111)^(1/12))</f>
        <v/>
      </c>
      <c r="Q111" s="34">
        <f>X110+Z110</f>
        <v/>
      </c>
      <c r="R111" s="29">
        <f>(1-LoadPremRate)*E111</f>
        <v/>
      </c>
      <c r="S111" s="34">
        <f>Q111+R111</f>
        <v/>
      </c>
      <c r="T111" s="29">
        <f>MaintFeeRateAnn/12*S111</f>
        <v/>
      </c>
      <c r="U111" s="29">
        <f>MAX(SumAssured-S111,0)</f>
        <v/>
      </c>
      <c r="V111" s="35">
        <f>CoiMultiple*G111</f>
        <v/>
      </c>
      <c r="W111" s="34">
        <f>V111*U111</f>
        <v/>
      </c>
      <c r="X111" s="34">
        <f>S111-T111-W111</f>
        <v/>
      </c>
      <c r="Y111" s="36">
        <f>EXP((Mu-0.5*Sigma^2)/12+Sigma*SQRT(1/12)*INDEX(NormRand,ScenID,A111+1))-1</f>
        <v/>
      </c>
      <c r="Z111" s="34">
        <f>Y111*X111</f>
        <v/>
      </c>
      <c r="AA111" s="34">
        <f>X111+0.5*Z111</f>
        <v/>
      </c>
      <c r="AB111" s="34">
        <f>Q111*J111</f>
        <v/>
      </c>
      <c r="AC111" s="34">
        <f>Q111*L111</f>
        <v/>
      </c>
      <c r="AD111" s="34">
        <f>S111*N111</f>
        <v/>
      </c>
      <c r="AE111" s="34">
        <f>E111*N111</f>
        <v/>
      </c>
      <c r="AF111" s="34">
        <f>R111*N111</f>
        <v/>
      </c>
      <c r="AG111" s="29">
        <f>MAX(SumAssured,AA111)</f>
        <v/>
      </c>
      <c r="AH111" s="34">
        <f>AG111*O111</f>
        <v/>
      </c>
      <c r="AI111" s="34">
        <f>AA111*O111</f>
        <v/>
      </c>
      <c r="AJ111" s="34">
        <f>AA111*P111</f>
        <v/>
      </c>
      <c r="AK111" s="34">
        <f>I111*AA111*P111</f>
        <v/>
      </c>
      <c r="AL111" s="34">
        <f>AJ111-AK111</f>
        <v/>
      </c>
      <c r="AM111" s="34">
        <f>Q111*K111</f>
        <v/>
      </c>
      <c r="AN111" s="34">
        <f>AH111+AL111+AM111</f>
        <v/>
      </c>
      <c r="AO111" s="34">
        <f>(AG111-AA111)*O111</f>
        <v/>
      </c>
      <c r="AP111" s="34">
        <f>W111*N111</f>
        <v/>
      </c>
      <c r="AQ111" s="34">
        <f>T111*N111</f>
        <v/>
      </c>
      <c r="AR111" s="34">
        <f>Z111*J112+0.5*Z111*(O111+P111)</f>
        <v/>
      </c>
      <c r="AS111" s="30">
        <f>(1+InflationRate)^(A111/12)</f>
        <v/>
      </c>
      <c r="AT111" s="29">
        <f>ExpenseAcq*M111+N111*ExpenseMaint/12*AS111</f>
        <v/>
      </c>
      <c r="AU111" s="29">
        <f>CommissionRate*AE111</f>
        <v/>
      </c>
      <c r="AV111" s="34">
        <f>AB112-AB111</f>
        <v/>
      </c>
      <c r="AW111" s="34">
        <f>AE111+AR111-AN111-AT111-AU111-AV111</f>
        <v/>
      </c>
      <c r="AX111" s="29">
        <f>LoadPremRate*E111*N111+AK111+AQ111-AU111-AT111</f>
        <v/>
      </c>
      <c r="AY111" s="34">
        <f>AP111-AO111</f>
        <v/>
      </c>
      <c r="AZ111" s="37">
        <f>(AW111-AX111-AY111)/MAX(1,ABS(AW111),ABS(AX111),ABS(AY111))</f>
        <v/>
      </c>
      <c r="BA111" s="37">
        <f>IF(OR(K111&gt;0,K112&gt;0),0,(AC112-(AC111+AF111-AQ111-AP111+AR111-AI111-AJ111-AM111))/MAX(1,ABS(AC111),ABS(AC112)))</f>
        <v/>
      </c>
      <c r="BB111" s="35">
        <f>(1+INDEX(DiscRateAnn,INT(A111/12)+1))^(1/12)-1</f>
        <v/>
      </c>
      <c r="BC111" s="31">
        <f>(1+BB111)^-A111</f>
        <v/>
      </c>
      <c r="BD111" s="34">
        <f>AW111*BC111</f>
        <v/>
      </c>
    </row>
    <row r="112">
      <c r="A112" s="27">
        <f>A111+1</f>
        <v/>
      </c>
      <c r="B112" s="28">
        <f>Duration0+A112</f>
        <v/>
      </c>
      <c r="C112" s="27">
        <f>INT(B112/12)</f>
        <v/>
      </c>
      <c r="D112" s="28">
        <f>AgeAtEntry+C112</f>
        <v/>
      </c>
      <c r="E112" s="29">
        <f>IF(PremiumType="SINGLE",IF(B112=0,PremiumPPInput,0),IF(B112&lt;12*PolicyTerm,PremiumPPInput,0))</f>
        <v/>
      </c>
      <c r="F112" s="30">
        <f>INDEX(MortRates,MATCH(MIN(D112,120),MortAges,0),MAX(MIN(C112,5),0)+1)</f>
        <v/>
      </c>
      <c r="G112" s="31">
        <f>1-(1-F112)^(1/12)</f>
        <v/>
      </c>
      <c r="H112" s="32">
        <f>MAX(LapseBase-LapseStep*C112,LapseFloor)</f>
        <v/>
      </c>
      <c r="I112" s="32">
        <f>IF(HasSurrCharge,INDEX(SurrRates,MIN(C112,SurrDurMax)+1,MATCH(SurrChargeID,SurrTypes,0)),0)</f>
        <v/>
      </c>
      <c r="J112" s="33">
        <f>N111-P111-O111</f>
        <v/>
      </c>
      <c r="K112" s="30">
        <f>IF(B112=12*PolicyTerm,J112,0)</f>
        <v/>
      </c>
      <c r="L112" s="33">
        <f>J112-K112</f>
        <v/>
      </c>
      <c r="M112" s="30">
        <f>IF(B112=0,PolicyCount,0)</f>
        <v/>
      </c>
      <c r="N112" s="33">
        <f>L112+M112</f>
        <v/>
      </c>
      <c r="O112" s="31">
        <f>N112*G112</f>
        <v/>
      </c>
      <c r="P112" s="33">
        <f>(N112-O112)*(1-(1-H112)^(1/12))</f>
        <v/>
      </c>
      <c r="Q112" s="34">
        <f>X111+Z111</f>
        <v/>
      </c>
      <c r="R112" s="29">
        <f>(1-LoadPremRate)*E112</f>
        <v/>
      </c>
      <c r="S112" s="34">
        <f>Q112+R112</f>
        <v/>
      </c>
      <c r="T112" s="29">
        <f>MaintFeeRateAnn/12*S112</f>
        <v/>
      </c>
      <c r="U112" s="29">
        <f>MAX(SumAssured-S112,0)</f>
        <v/>
      </c>
      <c r="V112" s="35">
        <f>CoiMultiple*G112</f>
        <v/>
      </c>
      <c r="W112" s="34">
        <f>V112*U112</f>
        <v/>
      </c>
      <c r="X112" s="34">
        <f>S112-T112-W112</f>
        <v/>
      </c>
      <c r="Y112" s="36">
        <f>EXP((Mu-0.5*Sigma^2)/12+Sigma*SQRT(1/12)*INDEX(NormRand,ScenID,A112+1))-1</f>
        <v/>
      </c>
      <c r="Z112" s="34">
        <f>Y112*X112</f>
        <v/>
      </c>
      <c r="AA112" s="34">
        <f>X112+0.5*Z112</f>
        <v/>
      </c>
      <c r="AB112" s="34">
        <f>Q112*J112</f>
        <v/>
      </c>
      <c r="AC112" s="34">
        <f>Q112*L112</f>
        <v/>
      </c>
      <c r="AD112" s="34">
        <f>S112*N112</f>
        <v/>
      </c>
      <c r="AE112" s="34">
        <f>E112*N112</f>
        <v/>
      </c>
      <c r="AF112" s="34">
        <f>R112*N112</f>
        <v/>
      </c>
      <c r="AG112" s="29">
        <f>MAX(SumAssured,AA112)</f>
        <v/>
      </c>
      <c r="AH112" s="34">
        <f>AG112*O112</f>
        <v/>
      </c>
      <c r="AI112" s="34">
        <f>AA112*O112</f>
        <v/>
      </c>
      <c r="AJ112" s="34">
        <f>AA112*P112</f>
        <v/>
      </c>
      <c r="AK112" s="34">
        <f>I112*AA112*P112</f>
        <v/>
      </c>
      <c r="AL112" s="34">
        <f>AJ112-AK112</f>
        <v/>
      </c>
      <c r="AM112" s="34">
        <f>Q112*K112</f>
        <v/>
      </c>
      <c r="AN112" s="34">
        <f>AH112+AL112+AM112</f>
        <v/>
      </c>
      <c r="AO112" s="34">
        <f>(AG112-AA112)*O112</f>
        <v/>
      </c>
      <c r="AP112" s="34">
        <f>W112*N112</f>
        <v/>
      </c>
      <c r="AQ112" s="34">
        <f>T112*N112</f>
        <v/>
      </c>
      <c r="AR112" s="34">
        <f>Z112*J113+0.5*Z112*(O112+P112)</f>
        <v/>
      </c>
      <c r="AS112" s="30">
        <f>(1+InflationRate)^(A112/12)</f>
        <v/>
      </c>
      <c r="AT112" s="29">
        <f>ExpenseAcq*M112+N112*ExpenseMaint/12*AS112</f>
        <v/>
      </c>
      <c r="AU112" s="29">
        <f>CommissionRate*AE112</f>
        <v/>
      </c>
      <c r="AV112" s="34">
        <f>AB113-AB112</f>
        <v/>
      </c>
      <c r="AW112" s="34">
        <f>AE112+AR112-AN112-AT112-AU112-AV112</f>
        <v/>
      </c>
      <c r="AX112" s="29">
        <f>LoadPremRate*E112*N112+AK112+AQ112-AU112-AT112</f>
        <v/>
      </c>
      <c r="AY112" s="34">
        <f>AP112-AO112</f>
        <v/>
      </c>
      <c r="AZ112" s="37">
        <f>(AW112-AX112-AY112)/MAX(1,ABS(AW112),ABS(AX112),ABS(AY112))</f>
        <v/>
      </c>
      <c r="BA112" s="37">
        <f>IF(OR(K112&gt;0,K113&gt;0),0,(AC113-(AC112+AF112-AQ112-AP112+AR112-AI112-AJ112-AM112))/MAX(1,ABS(AC112),ABS(AC113)))</f>
        <v/>
      </c>
      <c r="BB112" s="35">
        <f>(1+INDEX(DiscRateAnn,INT(A112/12)+1))^(1/12)-1</f>
        <v/>
      </c>
      <c r="BC112" s="31">
        <f>(1+BB112)^-A112</f>
        <v/>
      </c>
      <c r="BD112" s="34">
        <f>AW112*BC112</f>
        <v/>
      </c>
    </row>
    <row r="113">
      <c r="A113" s="27">
        <f>A112+1</f>
        <v/>
      </c>
      <c r="B113" s="28">
        <f>Duration0+A113</f>
        <v/>
      </c>
      <c r="C113" s="27">
        <f>INT(B113/12)</f>
        <v/>
      </c>
      <c r="D113" s="28">
        <f>AgeAtEntry+C113</f>
        <v/>
      </c>
      <c r="E113" s="29">
        <f>IF(PremiumType="SINGLE",IF(B113=0,PremiumPPInput,0),IF(B113&lt;12*PolicyTerm,PremiumPPInput,0))</f>
        <v/>
      </c>
      <c r="F113" s="30">
        <f>INDEX(MortRates,MATCH(MIN(D113,120),MortAges,0),MAX(MIN(C113,5),0)+1)</f>
        <v/>
      </c>
      <c r="G113" s="31">
        <f>1-(1-F113)^(1/12)</f>
        <v/>
      </c>
      <c r="H113" s="32">
        <f>MAX(LapseBase-LapseStep*C113,LapseFloor)</f>
        <v/>
      </c>
      <c r="I113" s="32">
        <f>IF(HasSurrCharge,INDEX(SurrRates,MIN(C113,SurrDurMax)+1,MATCH(SurrChargeID,SurrTypes,0)),0)</f>
        <v/>
      </c>
      <c r="J113" s="33">
        <f>N112-P112-O112</f>
        <v/>
      </c>
      <c r="K113" s="30">
        <f>IF(B113=12*PolicyTerm,J113,0)</f>
        <v/>
      </c>
      <c r="L113" s="33">
        <f>J113-K113</f>
        <v/>
      </c>
      <c r="M113" s="30">
        <f>IF(B113=0,PolicyCount,0)</f>
        <v/>
      </c>
      <c r="N113" s="33">
        <f>L113+M113</f>
        <v/>
      </c>
      <c r="O113" s="31">
        <f>N113*G113</f>
        <v/>
      </c>
      <c r="P113" s="33">
        <f>(N113-O113)*(1-(1-H113)^(1/12))</f>
        <v/>
      </c>
      <c r="Q113" s="34">
        <f>X112+Z112</f>
        <v/>
      </c>
      <c r="R113" s="29">
        <f>(1-LoadPremRate)*E113</f>
        <v/>
      </c>
      <c r="S113" s="34">
        <f>Q113+R113</f>
        <v/>
      </c>
      <c r="T113" s="29">
        <f>MaintFeeRateAnn/12*S113</f>
        <v/>
      </c>
      <c r="U113" s="29">
        <f>MAX(SumAssured-S113,0)</f>
        <v/>
      </c>
      <c r="V113" s="35">
        <f>CoiMultiple*G113</f>
        <v/>
      </c>
      <c r="W113" s="34">
        <f>V113*U113</f>
        <v/>
      </c>
      <c r="X113" s="34">
        <f>S113-T113-W113</f>
        <v/>
      </c>
      <c r="Y113" s="36">
        <f>EXP((Mu-0.5*Sigma^2)/12+Sigma*SQRT(1/12)*INDEX(NormRand,ScenID,A113+1))-1</f>
        <v/>
      </c>
      <c r="Z113" s="34">
        <f>Y113*X113</f>
        <v/>
      </c>
      <c r="AA113" s="34">
        <f>X113+0.5*Z113</f>
        <v/>
      </c>
      <c r="AB113" s="34">
        <f>Q113*J113</f>
        <v/>
      </c>
      <c r="AC113" s="34">
        <f>Q113*L113</f>
        <v/>
      </c>
      <c r="AD113" s="34">
        <f>S113*N113</f>
        <v/>
      </c>
      <c r="AE113" s="34">
        <f>E113*N113</f>
        <v/>
      </c>
      <c r="AF113" s="34">
        <f>R113*N113</f>
        <v/>
      </c>
      <c r="AG113" s="29">
        <f>MAX(SumAssured,AA113)</f>
        <v/>
      </c>
      <c r="AH113" s="34">
        <f>AG113*O113</f>
        <v/>
      </c>
      <c r="AI113" s="34">
        <f>AA113*O113</f>
        <v/>
      </c>
      <c r="AJ113" s="34">
        <f>AA113*P113</f>
        <v/>
      </c>
      <c r="AK113" s="34">
        <f>I113*AA113*P113</f>
        <v/>
      </c>
      <c r="AL113" s="34">
        <f>AJ113-AK113</f>
        <v/>
      </c>
      <c r="AM113" s="34">
        <f>Q113*K113</f>
        <v/>
      </c>
      <c r="AN113" s="34">
        <f>AH113+AL113+AM113</f>
        <v/>
      </c>
      <c r="AO113" s="34">
        <f>(AG113-AA113)*O113</f>
        <v/>
      </c>
      <c r="AP113" s="34">
        <f>W113*N113</f>
        <v/>
      </c>
      <c r="AQ113" s="34">
        <f>T113*N113</f>
        <v/>
      </c>
      <c r="AR113" s="34">
        <f>Z113*J114+0.5*Z113*(O113+P113)</f>
        <v/>
      </c>
      <c r="AS113" s="30">
        <f>(1+InflationRate)^(A113/12)</f>
        <v/>
      </c>
      <c r="AT113" s="29">
        <f>ExpenseAcq*M113+N113*ExpenseMaint/12*AS113</f>
        <v/>
      </c>
      <c r="AU113" s="29">
        <f>CommissionRate*AE113</f>
        <v/>
      </c>
      <c r="AV113" s="34">
        <f>AB114-AB113</f>
        <v/>
      </c>
      <c r="AW113" s="34">
        <f>AE113+AR113-AN113-AT113-AU113-AV113</f>
        <v/>
      </c>
      <c r="AX113" s="29">
        <f>LoadPremRate*E113*N113+AK113+AQ113-AU113-AT113</f>
        <v/>
      </c>
      <c r="AY113" s="34">
        <f>AP113-AO113</f>
        <v/>
      </c>
      <c r="AZ113" s="37">
        <f>(AW113-AX113-AY113)/MAX(1,ABS(AW113),ABS(AX113),ABS(AY113))</f>
        <v/>
      </c>
      <c r="BA113" s="37">
        <f>IF(OR(K113&gt;0,K114&gt;0),0,(AC114-(AC113+AF113-AQ113-AP113+AR113-AI113-AJ113-AM113))/MAX(1,ABS(AC113),ABS(AC114)))</f>
        <v/>
      </c>
      <c r="BB113" s="35">
        <f>(1+INDEX(DiscRateAnn,INT(A113/12)+1))^(1/12)-1</f>
        <v/>
      </c>
      <c r="BC113" s="31">
        <f>(1+BB113)^-A113</f>
        <v/>
      </c>
      <c r="BD113" s="34">
        <f>AW113*BC113</f>
        <v/>
      </c>
    </row>
    <row r="114">
      <c r="A114" s="27">
        <f>A113+1</f>
        <v/>
      </c>
      <c r="B114" s="28">
        <f>Duration0+A114</f>
        <v/>
      </c>
      <c r="C114" s="27">
        <f>INT(B114/12)</f>
        <v/>
      </c>
      <c r="D114" s="28">
        <f>AgeAtEntry+C114</f>
        <v/>
      </c>
      <c r="E114" s="29">
        <f>IF(PremiumType="SINGLE",IF(B114=0,PremiumPPInput,0),IF(B114&lt;12*PolicyTerm,PremiumPPInput,0))</f>
        <v/>
      </c>
      <c r="F114" s="30">
        <f>INDEX(MortRates,MATCH(MIN(D114,120),MortAges,0),MAX(MIN(C114,5),0)+1)</f>
        <v/>
      </c>
      <c r="G114" s="31">
        <f>1-(1-F114)^(1/12)</f>
        <v/>
      </c>
      <c r="H114" s="32">
        <f>MAX(LapseBase-LapseStep*C114,LapseFloor)</f>
        <v/>
      </c>
      <c r="I114" s="32">
        <f>IF(HasSurrCharge,INDEX(SurrRates,MIN(C114,SurrDurMax)+1,MATCH(SurrChargeID,SurrTypes,0)),0)</f>
        <v/>
      </c>
      <c r="J114" s="33">
        <f>N113-P113-O113</f>
        <v/>
      </c>
      <c r="K114" s="30">
        <f>IF(B114=12*PolicyTerm,J114,0)</f>
        <v/>
      </c>
      <c r="L114" s="33">
        <f>J114-K114</f>
        <v/>
      </c>
      <c r="M114" s="30">
        <f>IF(B114=0,PolicyCount,0)</f>
        <v/>
      </c>
      <c r="N114" s="33">
        <f>L114+M114</f>
        <v/>
      </c>
      <c r="O114" s="31">
        <f>N114*G114</f>
        <v/>
      </c>
      <c r="P114" s="33">
        <f>(N114-O114)*(1-(1-H114)^(1/12))</f>
        <v/>
      </c>
      <c r="Q114" s="34">
        <f>X113+Z113</f>
        <v/>
      </c>
      <c r="R114" s="29">
        <f>(1-LoadPremRate)*E114</f>
        <v/>
      </c>
      <c r="S114" s="34">
        <f>Q114+R114</f>
        <v/>
      </c>
      <c r="T114" s="29">
        <f>MaintFeeRateAnn/12*S114</f>
        <v/>
      </c>
      <c r="U114" s="29">
        <f>MAX(SumAssured-S114,0)</f>
        <v/>
      </c>
      <c r="V114" s="35">
        <f>CoiMultiple*G114</f>
        <v/>
      </c>
      <c r="W114" s="34">
        <f>V114*U114</f>
        <v/>
      </c>
      <c r="X114" s="34">
        <f>S114-T114-W114</f>
        <v/>
      </c>
      <c r="Y114" s="36">
        <f>EXP((Mu-0.5*Sigma^2)/12+Sigma*SQRT(1/12)*INDEX(NormRand,ScenID,A114+1))-1</f>
        <v/>
      </c>
      <c r="Z114" s="34">
        <f>Y114*X114</f>
        <v/>
      </c>
      <c r="AA114" s="34">
        <f>X114+0.5*Z114</f>
        <v/>
      </c>
      <c r="AB114" s="34">
        <f>Q114*J114</f>
        <v/>
      </c>
      <c r="AC114" s="34">
        <f>Q114*L114</f>
        <v/>
      </c>
      <c r="AD114" s="34">
        <f>S114*N114</f>
        <v/>
      </c>
      <c r="AE114" s="34">
        <f>E114*N114</f>
        <v/>
      </c>
      <c r="AF114" s="34">
        <f>R114*N114</f>
        <v/>
      </c>
      <c r="AG114" s="29">
        <f>MAX(SumAssured,AA114)</f>
        <v/>
      </c>
      <c r="AH114" s="34">
        <f>AG114*O114</f>
        <v/>
      </c>
      <c r="AI114" s="34">
        <f>AA114*O114</f>
        <v/>
      </c>
      <c r="AJ114" s="34">
        <f>AA114*P114</f>
        <v/>
      </c>
      <c r="AK114" s="34">
        <f>I114*AA114*P114</f>
        <v/>
      </c>
      <c r="AL114" s="34">
        <f>AJ114-AK114</f>
        <v/>
      </c>
      <c r="AM114" s="34">
        <f>Q114*K114</f>
        <v/>
      </c>
      <c r="AN114" s="34">
        <f>AH114+AL114+AM114</f>
        <v/>
      </c>
      <c r="AO114" s="34">
        <f>(AG114-AA114)*O114</f>
        <v/>
      </c>
      <c r="AP114" s="34">
        <f>W114*N114</f>
        <v/>
      </c>
      <c r="AQ114" s="34">
        <f>T114*N114</f>
        <v/>
      </c>
      <c r="AR114" s="34">
        <f>Z114*J115+0.5*Z114*(O114+P114)</f>
        <v/>
      </c>
      <c r="AS114" s="30">
        <f>(1+InflationRate)^(A114/12)</f>
        <v/>
      </c>
      <c r="AT114" s="29">
        <f>ExpenseAcq*M114+N114*ExpenseMaint/12*AS114</f>
        <v/>
      </c>
      <c r="AU114" s="29">
        <f>CommissionRate*AE114</f>
        <v/>
      </c>
      <c r="AV114" s="34">
        <f>AB115-AB114</f>
        <v/>
      </c>
      <c r="AW114" s="34">
        <f>AE114+AR114-AN114-AT114-AU114-AV114</f>
        <v/>
      </c>
      <c r="AX114" s="29">
        <f>LoadPremRate*E114*N114+AK114+AQ114-AU114-AT114</f>
        <v/>
      </c>
      <c r="AY114" s="34">
        <f>AP114-AO114</f>
        <v/>
      </c>
      <c r="AZ114" s="37">
        <f>(AW114-AX114-AY114)/MAX(1,ABS(AW114),ABS(AX114),ABS(AY114))</f>
        <v/>
      </c>
      <c r="BA114" s="37">
        <f>IF(OR(K114&gt;0,K115&gt;0),0,(AC115-(AC114+AF114-AQ114-AP114+AR114-AI114-AJ114-AM114))/MAX(1,ABS(AC114),ABS(AC115)))</f>
        <v/>
      </c>
      <c r="BB114" s="35">
        <f>(1+INDEX(DiscRateAnn,INT(A114/12)+1))^(1/12)-1</f>
        <v/>
      </c>
      <c r="BC114" s="31">
        <f>(1+BB114)^-A114</f>
        <v/>
      </c>
      <c r="BD114" s="34">
        <f>AW114*BC114</f>
        <v/>
      </c>
    </row>
    <row r="115">
      <c r="A115" s="27">
        <f>A114+1</f>
        <v/>
      </c>
      <c r="B115" s="28">
        <f>Duration0+A115</f>
        <v/>
      </c>
      <c r="C115" s="27">
        <f>INT(B115/12)</f>
        <v/>
      </c>
      <c r="D115" s="28">
        <f>AgeAtEntry+C115</f>
        <v/>
      </c>
      <c r="E115" s="29">
        <f>IF(PremiumType="SINGLE",IF(B115=0,PremiumPPInput,0),IF(B115&lt;12*PolicyTerm,PremiumPPInput,0))</f>
        <v/>
      </c>
      <c r="F115" s="30">
        <f>INDEX(MortRates,MATCH(MIN(D115,120),MortAges,0),MAX(MIN(C115,5),0)+1)</f>
        <v/>
      </c>
      <c r="G115" s="31">
        <f>1-(1-F115)^(1/12)</f>
        <v/>
      </c>
      <c r="H115" s="32">
        <f>MAX(LapseBase-LapseStep*C115,LapseFloor)</f>
        <v/>
      </c>
      <c r="I115" s="32">
        <f>IF(HasSurrCharge,INDEX(SurrRates,MIN(C115,SurrDurMax)+1,MATCH(SurrChargeID,SurrTypes,0)),0)</f>
        <v/>
      </c>
      <c r="J115" s="33">
        <f>N114-P114-O114</f>
        <v/>
      </c>
      <c r="K115" s="30">
        <f>IF(B115=12*PolicyTerm,J115,0)</f>
        <v/>
      </c>
      <c r="L115" s="33">
        <f>J115-K115</f>
        <v/>
      </c>
      <c r="M115" s="30">
        <f>IF(B115=0,PolicyCount,0)</f>
        <v/>
      </c>
      <c r="N115" s="33">
        <f>L115+M115</f>
        <v/>
      </c>
      <c r="O115" s="31">
        <f>N115*G115</f>
        <v/>
      </c>
      <c r="P115" s="33">
        <f>(N115-O115)*(1-(1-H115)^(1/12))</f>
        <v/>
      </c>
      <c r="Q115" s="34">
        <f>X114+Z114</f>
        <v/>
      </c>
      <c r="R115" s="29">
        <f>(1-LoadPremRate)*E115</f>
        <v/>
      </c>
      <c r="S115" s="34">
        <f>Q115+R115</f>
        <v/>
      </c>
      <c r="T115" s="29">
        <f>MaintFeeRateAnn/12*S115</f>
        <v/>
      </c>
      <c r="U115" s="29">
        <f>MAX(SumAssured-S115,0)</f>
        <v/>
      </c>
      <c r="V115" s="35">
        <f>CoiMultiple*G115</f>
        <v/>
      </c>
      <c r="W115" s="34">
        <f>V115*U115</f>
        <v/>
      </c>
      <c r="X115" s="34">
        <f>S115-T115-W115</f>
        <v/>
      </c>
      <c r="Y115" s="36">
        <f>EXP((Mu-0.5*Sigma^2)/12+Sigma*SQRT(1/12)*INDEX(NormRand,ScenID,A115+1))-1</f>
        <v/>
      </c>
      <c r="Z115" s="34">
        <f>Y115*X115</f>
        <v/>
      </c>
      <c r="AA115" s="34">
        <f>X115+0.5*Z115</f>
        <v/>
      </c>
      <c r="AB115" s="34">
        <f>Q115*J115</f>
        <v/>
      </c>
      <c r="AC115" s="34">
        <f>Q115*L115</f>
        <v/>
      </c>
      <c r="AD115" s="34">
        <f>S115*N115</f>
        <v/>
      </c>
      <c r="AE115" s="34">
        <f>E115*N115</f>
        <v/>
      </c>
      <c r="AF115" s="34">
        <f>R115*N115</f>
        <v/>
      </c>
      <c r="AG115" s="29">
        <f>MAX(SumAssured,AA115)</f>
        <v/>
      </c>
      <c r="AH115" s="34">
        <f>AG115*O115</f>
        <v/>
      </c>
      <c r="AI115" s="34">
        <f>AA115*O115</f>
        <v/>
      </c>
      <c r="AJ115" s="34">
        <f>AA115*P115</f>
        <v/>
      </c>
      <c r="AK115" s="34">
        <f>I115*AA115*P115</f>
        <v/>
      </c>
      <c r="AL115" s="34">
        <f>AJ115-AK115</f>
        <v/>
      </c>
      <c r="AM115" s="34">
        <f>Q115*K115</f>
        <v/>
      </c>
      <c r="AN115" s="34">
        <f>AH115+AL115+AM115</f>
        <v/>
      </c>
      <c r="AO115" s="34">
        <f>(AG115-AA115)*O115</f>
        <v/>
      </c>
      <c r="AP115" s="34">
        <f>W115*N115</f>
        <v/>
      </c>
      <c r="AQ115" s="34">
        <f>T115*N115</f>
        <v/>
      </c>
      <c r="AR115" s="34">
        <f>Z115*J116+0.5*Z115*(O115+P115)</f>
        <v/>
      </c>
      <c r="AS115" s="30">
        <f>(1+InflationRate)^(A115/12)</f>
        <v/>
      </c>
      <c r="AT115" s="29">
        <f>ExpenseAcq*M115+N115*ExpenseMaint/12*AS115</f>
        <v/>
      </c>
      <c r="AU115" s="29">
        <f>CommissionRate*AE115</f>
        <v/>
      </c>
      <c r="AV115" s="34">
        <f>AB116-AB115</f>
        <v/>
      </c>
      <c r="AW115" s="34">
        <f>AE115+AR115-AN115-AT115-AU115-AV115</f>
        <v/>
      </c>
      <c r="AX115" s="29">
        <f>LoadPremRate*E115*N115+AK115+AQ115-AU115-AT115</f>
        <v/>
      </c>
      <c r="AY115" s="34">
        <f>AP115-AO115</f>
        <v/>
      </c>
      <c r="AZ115" s="37">
        <f>(AW115-AX115-AY115)/MAX(1,ABS(AW115),ABS(AX115),ABS(AY115))</f>
        <v/>
      </c>
      <c r="BA115" s="37">
        <f>IF(OR(K115&gt;0,K116&gt;0),0,(AC116-(AC115+AF115-AQ115-AP115+AR115-AI115-AJ115-AM115))/MAX(1,ABS(AC115),ABS(AC116)))</f>
        <v/>
      </c>
      <c r="BB115" s="35">
        <f>(1+INDEX(DiscRateAnn,INT(A115/12)+1))^(1/12)-1</f>
        <v/>
      </c>
      <c r="BC115" s="31">
        <f>(1+BB115)^-A115</f>
        <v/>
      </c>
      <c r="BD115" s="34">
        <f>AW115*BC115</f>
        <v/>
      </c>
    </row>
    <row r="116">
      <c r="A116" s="27">
        <f>A115+1</f>
        <v/>
      </c>
      <c r="B116" s="28">
        <f>Duration0+A116</f>
        <v/>
      </c>
      <c r="C116" s="27">
        <f>INT(B116/12)</f>
        <v/>
      </c>
      <c r="D116" s="28">
        <f>AgeAtEntry+C116</f>
        <v/>
      </c>
      <c r="E116" s="29">
        <f>IF(PremiumType="SINGLE",IF(B116=0,PremiumPPInput,0),IF(B116&lt;12*PolicyTerm,PremiumPPInput,0))</f>
        <v/>
      </c>
      <c r="F116" s="30">
        <f>INDEX(MortRates,MATCH(MIN(D116,120),MortAges,0),MAX(MIN(C116,5),0)+1)</f>
        <v/>
      </c>
      <c r="G116" s="31">
        <f>1-(1-F116)^(1/12)</f>
        <v/>
      </c>
      <c r="H116" s="32">
        <f>MAX(LapseBase-LapseStep*C116,LapseFloor)</f>
        <v/>
      </c>
      <c r="I116" s="32">
        <f>IF(HasSurrCharge,INDEX(SurrRates,MIN(C116,SurrDurMax)+1,MATCH(SurrChargeID,SurrTypes,0)),0)</f>
        <v/>
      </c>
      <c r="J116" s="33">
        <f>N115-P115-O115</f>
        <v/>
      </c>
      <c r="K116" s="30">
        <f>IF(B116=12*PolicyTerm,J116,0)</f>
        <v/>
      </c>
      <c r="L116" s="33">
        <f>J116-K116</f>
        <v/>
      </c>
      <c r="M116" s="30">
        <f>IF(B116=0,PolicyCount,0)</f>
        <v/>
      </c>
      <c r="N116" s="33">
        <f>L116+M116</f>
        <v/>
      </c>
      <c r="O116" s="31">
        <f>N116*G116</f>
        <v/>
      </c>
      <c r="P116" s="33">
        <f>(N116-O116)*(1-(1-H116)^(1/12))</f>
        <v/>
      </c>
      <c r="Q116" s="34">
        <f>X115+Z115</f>
        <v/>
      </c>
      <c r="R116" s="29">
        <f>(1-LoadPremRate)*E116</f>
        <v/>
      </c>
      <c r="S116" s="34">
        <f>Q116+R116</f>
        <v/>
      </c>
      <c r="T116" s="29">
        <f>MaintFeeRateAnn/12*S116</f>
        <v/>
      </c>
      <c r="U116" s="29">
        <f>MAX(SumAssured-S116,0)</f>
        <v/>
      </c>
      <c r="V116" s="35">
        <f>CoiMultiple*G116</f>
        <v/>
      </c>
      <c r="W116" s="34">
        <f>V116*U116</f>
        <v/>
      </c>
      <c r="X116" s="34">
        <f>S116-T116-W116</f>
        <v/>
      </c>
      <c r="Y116" s="36">
        <f>EXP((Mu-0.5*Sigma^2)/12+Sigma*SQRT(1/12)*INDEX(NormRand,ScenID,A116+1))-1</f>
        <v/>
      </c>
      <c r="Z116" s="34">
        <f>Y116*X116</f>
        <v/>
      </c>
      <c r="AA116" s="34">
        <f>X116+0.5*Z116</f>
        <v/>
      </c>
      <c r="AB116" s="34">
        <f>Q116*J116</f>
        <v/>
      </c>
      <c r="AC116" s="34">
        <f>Q116*L116</f>
        <v/>
      </c>
      <c r="AD116" s="34">
        <f>S116*N116</f>
        <v/>
      </c>
      <c r="AE116" s="34">
        <f>E116*N116</f>
        <v/>
      </c>
      <c r="AF116" s="34">
        <f>R116*N116</f>
        <v/>
      </c>
      <c r="AG116" s="29">
        <f>MAX(SumAssured,AA116)</f>
        <v/>
      </c>
      <c r="AH116" s="34">
        <f>AG116*O116</f>
        <v/>
      </c>
      <c r="AI116" s="34">
        <f>AA116*O116</f>
        <v/>
      </c>
      <c r="AJ116" s="34">
        <f>AA116*P116</f>
        <v/>
      </c>
      <c r="AK116" s="34">
        <f>I116*AA116*P116</f>
        <v/>
      </c>
      <c r="AL116" s="34">
        <f>AJ116-AK116</f>
        <v/>
      </c>
      <c r="AM116" s="34">
        <f>Q116*K116</f>
        <v/>
      </c>
      <c r="AN116" s="34">
        <f>AH116+AL116+AM116</f>
        <v/>
      </c>
      <c r="AO116" s="34">
        <f>(AG116-AA116)*O116</f>
        <v/>
      </c>
      <c r="AP116" s="34">
        <f>W116*N116</f>
        <v/>
      </c>
      <c r="AQ116" s="34">
        <f>T116*N116</f>
        <v/>
      </c>
      <c r="AR116" s="34">
        <f>Z116*J117+0.5*Z116*(O116+P116)</f>
        <v/>
      </c>
      <c r="AS116" s="30">
        <f>(1+InflationRate)^(A116/12)</f>
        <v/>
      </c>
      <c r="AT116" s="29">
        <f>ExpenseAcq*M116+N116*ExpenseMaint/12*AS116</f>
        <v/>
      </c>
      <c r="AU116" s="29">
        <f>CommissionRate*AE116</f>
        <v/>
      </c>
      <c r="AV116" s="34">
        <f>AB117-AB116</f>
        <v/>
      </c>
      <c r="AW116" s="34">
        <f>AE116+AR116-AN116-AT116-AU116-AV116</f>
        <v/>
      </c>
      <c r="AX116" s="29">
        <f>LoadPremRate*E116*N116+AK116+AQ116-AU116-AT116</f>
        <v/>
      </c>
      <c r="AY116" s="34">
        <f>AP116-AO116</f>
        <v/>
      </c>
      <c r="AZ116" s="37">
        <f>(AW116-AX116-AY116)/MAX(1,ABS(AW116),ABS(AX116),ABS(AY116))</f>
        <v/>
      </c>
      <c r="BA116" s="37">
        <f>IF(OR(K116&gt;0,K117&gt;0),0,(AC117-(AC116+AF116-AQ116-AP116+AR116-AI116-AJ116-AM116))/MAX(1,ABS(AC116),ABS(AC117)))</f>
        <v/>
      </c>
      <c r="BB116" s="35">
        <f>(1+INDEX(DiscRateAnn,INT(A116/12)+1))^(1/12)-1</f>
        <v/>
      </c>
      <c r="BC116" s="31">
        <f>(1+BB116)^-A116</f>
        <v/>
      </c>
      <c r="BD116" s="34">
        <f>AW116*BC116</f>
        <v/>
      </c>
    </row>
    <row r="117">
      <c r="A117" s="27">
        <f>A116+1</f>
        <v/>
      </c>
      <c r="B117" s="28">
        <f>Duration0+A117</f>
        <v/>
      </c>
      <c r="C117" s="27">
        <f>INT(B117/12)</f>
        <v/>
      </c>
      <c r="D117" s="28">
        <f>AgeAtEntry+C117</f>
        <v/>
      </c>
      <c r="E117" s="29">
        <f>IF(PremiumType="SINGLE",IF(B117=0,PremiumPPInput,0),IF(B117&lt;12*PolicyTerm,PremiumPPInput,0))</f>
        <v/>
      </c>
      <c r="F117" s="30">
        <f>INDEX(MortRates,MATCH(MIN(D117,120),MortAges,0),MAX(MIN(C117,5),0)+1)</f>
        <v/>
      </c>
      <c r="G117" s="31">
        <f>1-(1-F117)^(1/12)</f>
        <v/>
      </c>
      <c r="H117" s="32">
        <f>MAX(LapseBase-LapseStep*C117,LapseFloor)</f>
        <v/>
      </c>
      <c r="I117" s="32">
        <f>IF(HasSurrCharge,INDEX(SurrRates,MIN(C117,SurrDurMax)+1,MATCH(SurrChargeID,SurrTypes,0)),0)</f>
        <v/>
      </c>
      <c r="J117" s="33">
        <f>N116-P116-O116</f>
        <v/>
      </c>
      <c r="K117" s="30">
        <f>IF(B117=12*PolicyTerm,J117,0)</f>
        <v/>
      </c>
      <c r="L117" s="33">
        <f>J117-K117</f>
        <v/>
      </c>
      <c r="M117" s="30">
        <f>IF(B117=0,PolicyCount,0)</f>
        <v/>
      </c>
      <c r="N117" s="33">
        <f>L117+M117</f>
        <v/>
      </c>
      <c r="O117" s="31">
        <f>N117*G117</f>
        <v/>
      </c>
      <c r="P117" s="33">
        <f>(N117-O117)*(1-(1-H117)^(1/12))</f>
        <v/>
      </c>
      <c r="Q117" s="34">
        <f>X116+Z116</f>
        <v/>
      </c>
      <c r="R117" s="29">
        <f>(1-LoadPremRate)*E117</f>
        <v/>
      </c>
      <c r="S117" s="34">
        <f>Q117+R117</f>
        <v/>
      </c>
      <c r="T117" s="29">
        <f>MaintFeeRateAnn/12*S117</f>
        <v/>
      </c>
      <c r="U117" s="29">
        <f>MAX(SumAssured-S117,0)</f>
        <v/>
      </c>
      <c r="V117" s="35">
        <f>CoiMultiple*G117</f>
        <v/>
      </c>
      <c r="W117" s="34">
        <f>V117*U117</f>
        <v/>
      </c>
      <c r="X117" s="34">
        <f>S117-T117-W117</f>
        <v/>
      </c>
      <c r="Y117" s="36">
        <f>EXP((Mu-0.5*Sigma^2)/12+Sigma*SQRT(1/12)*INDEX(NormRand,ScenID,A117+1))-1</f>
        <v/>
      </c>
      <c r="Z117" s="34">
        <f>Y117*X117</f>
        <v/>
      </c>
      <c r="AA117" s="34">
        <f>X117+0.5*Z117</f>
        <v/>
      </c>
      <c r="AB117" s="34">
        <f>Q117*J117</f>
        <v/>
      </c>
      <c r="AC117" s="34">
        <f>Q117*L117</f>
        <v/>
      </c>
      <c r="AD117" s="34">
        <f>S117*N117</f>
        <v/>
      </c>
      <c r="AE117" s="34">
        <f>E117*N117</f>
        <v/>
      </c>
      <c r="AF117" s="34">
        <f>R117*N117</f>
        <v/>
      </c>
      <c r="AG117" s="29">
        <f>MAX(SumAssured,AA117)</f>
        <v/>
      </c>
      <c r="AH117" s="34">
        <f>AG117*O117</f>
        <v/>
      </c>
      <c r="AI117" s="34">
        <f>AA117*O117</f>
        <v/>
      </c>
      <c r="AJ117" s="34">
        <f>AA117*P117</f>
        <v/>
      </c>
      <c r="AK117" s="34">
        <f>I117*AA117*P117</f>
        <v/>
      </c>
      <c r="AL117" s="34">
        <f>AJ117-AK117</f>
        <v/>
      </c>
      <c r="AM117" s="34">
        <f>Q117*K117</f>
        <v/>
      </c>
      <c r="AN117" s="34">
        <f>AH117+AL117+AM117</f>
        <v/>
      </c>
      <c r="AO117" s="34">
        <f>(AG117-AA117)*O117</f>
        <v/>
      </c>
      <c r="AP117" s="34">
        <f>W117*N117</f>
        <v/>
      </c>
      <c r="AQ117" s="34">
        <f>T117*N117</f>
        <v/>
      </c>
      <c r="AR117" s="34">
        <f>Z117*J118+0.5*Z117*(O117+P117)</f>
        <v/>
      </c>
      <c r="AS117" s="30">
        <f>(1+InflationRate)^(A117/12)</f>
        <v/>
      </c>
      <c r="AT117" s="29">
        <f>ExpenseAcq*M117+N117*ExpenseMaint/12*AS117</f>
        <v/>
      </c>
      <c r="AU117" s="29">
        <f>CommissionRate*AE117</f>
        <v/>
      </c>
      <c r="AV117" s="34">
        <f>AB118-AB117</f>
        <v/>
      </c>
      <c r="AW117" s="34">
        <f>AE117+AR117-AN117-AT117-AU117-AV117</f>
        <v/>
      </c>
      <c r="AX117" s="29">
        <f>LoadPremRate*E117*N117+AK117+AQ117-AU117-AT117</f>
        <v/>
      </c>
      <c r="AY117" s="34">
        <f>AP117-AO117</f>
        <v/>
      </c>
      <c r="AZ117" s="37">
        <f>(AW117-AX117-AY117)/MAX(1,ABS(AW117),ABS(AX117),ABS(AY117))</f>
        <v/>
      </c>
      <c r="BA117" s="37">
        <f>IF(OR(K117&gt;0,K118&gt;0),0,(AC118-(AC117+AF117-AQ117-AP117+AR117-AI117-AJ117-AM117))/MAX(1,ABS(AC117),ABS(AC118)))</f>
        <v/>
      </c>
      <c r="BB117" s="35">
        <f>(1+INDEX(DiscRateAnn,INT(A117/12)+1))^(1/12)-1</f>
        <v/>
      </c>
      <c r="BC117" s="31">
        <f>(1+BB117)^-A117</f>
        <v/>
      </c>
      <c r="BD117" s="34">
        <f>AW117*BC117</f>
        <v/>
      </c>
    </row>
    <row r="118">
      <c r="A118" s="27">
        <f>A117+1</f>
        <v/>
      </c>
      <c r="B118" s="28">
        <f>Duration0+A118</f>
        <v/>
      </c>
      <c r="C118" s="27">
        <f>INT(B118/12)</f>
        <v/>
      </c>
      <c r="D118" s="28">
        <f>AgeAtEntry+C118</f>
        <v/>
      </c>
      <c r="E118" s="29">
        <f>IF(PremiumType="SINGLE",IF(B118=0,PremiumPPInput,0),IF(B118&lt;12*PolicyTerm,PremiumPPInput,0))</f>
        <v/>
      </c>
      <c r="F118" s="30">
        <f>INDEX(MortRates,MATCH(MIN(D118,120),MortAges,0),MAX(MIN(C118,5),0)+1)</f>
        <v/>
      </c>
      <c r="G118" s="31">
        <f>1-(1-F118)^(1/12)</f>
        <v/>
      </c>
      <c r="H118" s="32">
        <f>MAX(LapseBase-LapseStep*C118,LapseFloor)</f>
        <v/>
      </c>
      <c r="I118" s="32">
        <f>IF(HasSurrCharge,INDEX(SurrRates,MIN(C118,SurrDurMax)+1,MATCH(SurrChargeID,SurrTypes,0)),0)</f>
        <v/>
      </c>
      <c r="J118" s="33">
        <f>N117-P117-O117</f>
        <v/>
      </c>
      <c r="K118" s="30">
        <f>IF(B118=12*PolicyTerm,J118,0)</f>
        <v/>
      </c>
      <c r="L118" s="33">
        <f>J118-K118</f>
        <v/>
      </c>
      <c r="M118" s="30">
        <f>IF(B118=0,PolicyCount,0)</f>
        <v/>
      </c>
      <c r="N118" s="33">
        <f>L118+M118</f>
        <v/>
      </c>
      <c r="O118" s="31">
        <f>N118*G118</f>
        <v/>
      </c>
      <c r="P118" s="33">
        <f>(N118-O118)*(1-(1-H118)^(1/12))</f>
        <v/>
      </c>
      <c r="Q118" s="34">
        <f>X117+Z117</f>
        <v/>
      </c>
      <c r="R118" s="29">
        <f>(1-LoadPremRate)*E118</f>
        <v/>
      </c>
      <c r="S118" s="34">
        <f>Q118+R118</f>
        <v/>
      </c>
      <c r="T118" s="29">
        <f>MaintFeeRateAnn/12*S118</f>
        <v/>
      </c>
      <c r="U118" s="29">
        <f>MAX(SumAssured-S118,0)</f>
        <v/>
      </c>
      <c r="V118" s="35">
        <f>CoiMultiple*G118</f>
        <v/>
      </c>
      <c r="W118" s="34">
        <f>V118*U118</f>
        <v/>
      </c>
      <c r="X118" s="34">
        <f>S118-T118-W118</f>
        <v/>
      </c>
      <c r="Y118" s="36">
        <f>EXP((Mu-0.5*Sigma^2)/12+Sigma*SQRT(1/12)*INDEX(NormRand,ScenID,A118+1))-1</f>
        <v/>
      </c>
      <c r="Z118" s="34">
        <f>Y118*X118</f>
        <v/>
      </c>
      <c r="AA118" s="34">
        <f>X118+0.5*Z118</f>
        <v/>
      </c>
      <c r="AB118" s="34">
        <f>Q118*J118</f>
        <v/>
      </c>
      <c r="AC118" s="34">
        <f>Q118*L118</f>
        <v/>
      </c>
      <c r="AD118" s="34">
        <f>S118*N118</f>
        <v/>
      </c>
      <c r="AE118" s="34">
        <f>E118*N118</f>
        <v/>
      </c>
      <c r="AF118" s="34">
        <f>R118*N118</f>
        <v/>
      </c>
      <c r="AG118" s="29">
        <f>MAX(SumAssured,AA118)</f>
        <v/>
      </c>
      <c r="AH118" s="34">
        <f>AG118*O118</f>
        <v/>
      </c>
      <c r="AI118" s="34">
        <f>AA118*O118</f>
        <v/>
      </c>
      <c r="AJ118" s="34">
        <f>AA118*P118</f>
        <v/>
      </c>
      <c r="AK118" s="34">
        <f>I118*AA118*P118</f>
        <v/>
      </c>
      <c r="AL118" s="34">
        <f>AJ118-AK118</f>
        <v/>
      </c>
      <c r="AM118" s="34">
        <f>Q118*K118</f>
        <v/>
      </c>
      <c r="AN118" s="34">
        <f>AH118+AL118+AM118</f>
        <v/>
      </c>
      <c r="AO118" s="34">
        <f>(AG118-AA118)*O118</f>
        <v/>
      </c>
      <c r="AP118" s="34">
        <f>W118*N118</f>
        <v/>
      </c>
      <c r="AQ118" s="34">
        <f>T118*N118</f>
        <v/>
      </c>
      <c r="AR118" s="34">
        <f>Z118*J119+0.5*Z118*(O118+P118)</f>
        <v/>
      </c>
      <c r="AS118" s="30">
        <f>(1+InflationRate)^(A118/12)</f>
        <v/>
      </c>
      <c r="AT118" s="29">
        <f>ExpenseAcq*M118+N118*ExpenseMaint/12*AS118</f>
        <v/>
      </c>
      <c r="AU118" s="29">
        <f>CommissionRate*AE118</f>
        <v/>
      </c>
      <c r="AV118" s="34">
        <f>AB119-AB118</f>
        <v/>
      </c>
      <c r="AW118" s="34">
        <f>AE118+AR118-AN118-AT118-AU118-AV118</f>
        <v/>
      </c>
      <c r="AX118" s="29">
        <f>LoadPremRate*E118*N118+AK118+AQ118-AU118-AT118</f>
        <v/>
      </c>
      <c r="AY118" s="34">
        <f>AP118-AO118</f>
        <v/>
      </c>
      <c r="AZ118" s="37">
        <f>(AW118-AX118-AY118)/MAX(1,ABS(AW118),ABS(AX118),ABS(AY118))</f>
        <v/>
      </c>
      <c r="BA118" s="37">
        <f>IF(OR(K118&gt;0,K119&gt;0),0,(AC119-(AC118+AF118-AQ118-AP118+AR118-AI118-AJ118-AM118))/MAX(1,ABS(AC118),ABS(AC119)))</f>
        <v/>
      </c>
      <c r="BB118" s="35">
        <f>(1+INDEX(DiscRateAnn,INT(A118/12)+1))^(1/12)-1</f>
        <v/>
      </c>
      <c r="BC118" s="31">
        <f>(1+BB118)^-A118</f>
        <v/>
      </c>
      <c r="BD118" s="34">
        <f>AW118*BC118</f>
        <v/>
      </c>
    </row>
    <row r="119">
      <c r="A119" s="27">
        <f>A118+1</f>
        <v/>
      </c>
      <c r="B119" s="28">
        <f>Duration0+A119</f>
        <v/>
      </c>
      <c r="C119" s="27">
        <f>INT(B119/12)</f>
        <v/>
      </c>
      <c r="D119" s="28">
        <f>AgeAtEntry+C119</f>
        <v/>
      </c>
      <c r="E119" s="29">
        <f>IF(PremiumType="SINGLE",IF(B119=0,PremiumPPInput,0),IF(B119&lt;12*PolicyTerm,PremiumPPInput,0))</f>
        <v/>
      </c>
      <c r="F119" s="30">
        <f>INDEX(MortRates,MATCH(MIN(D119,120),MortAges,0),MAX(MIN(C119,5),0)+1)</f>
        <v/>
      </c>
      <c r="G119" s="31">
        <f>1-(1-F119)^(1/12)</f>
        <v/>
      </c>
      <c r="H119" s="32">
        <f>MAX(LapseBase-LapseStep*C119,LapseFloor)</f>
        <v/>
      </c>
      <c r="I119" s="32">
        <f>IF(HasSurrCharge,INDEX(SurrRates,MIN(C119,SurrDurMax)+1,MATCH(SurrChargeID,SurrTypes,0)),0)</f>
        <v/>
      </c>
      <c r="J119" s="33">
        <f>N118-P118-O118</f>
        <v/>
      </c>
      <c r="K119" s="30">
        <f>IF(B119=12*PolicyTerm,J119,0)</f>
        <v/>
      </c>
      <c r="L119" s="33">
        <f>J119-K119</f>
        <v/>
      </c>
      <c r="M119" s="30">
        <f>IF(B119=0,PolicyCount,0)</f>
        <v/>
      </c>
      <c r="N119" s="33">
        <f>L119+M119</f>
        <v/>
      </c>
      <c r="O119" s="31">
        <f>N119*G119</f>
        <v/>
      </c>
      <c r="P119" s="33">
        <f>(N119-O119)*(1-(1-H119)^(1/12))</f>
        <v/>
      </c>
      <c r="Q119" s="34">
        <f>X118+Z118</f>
        <v/>
      </c>
      <c r="R119" s="29">
        <f>(1-LoadPremRate)*E119</f>
        <v/>
      </c>
      <c r="S119" s="34">
        <f>Q119+R119</f>
        <v/>
      </c>
      <c r="T119" s="29">
        <f>MaintFeeRateAnn/12*S119</f>
        <v/>
      </c>
      <c r="U119" s="29">
        <f>MAX(SumAssured-S119,0)</f>
        <v/>
      </c>
      <c r="V119" s="35">
        <f>CoiMultiple*G119</f>
        <v/>
      </c>
      <c r="W119" s="34">
        <f>V119*U119</f>
        <v/>
      </c>
      <c r="X119" s="34">
        <f>S119-T119-W119</f>
        <v/>
      </c>
      <c r="Y119" s="36">
        <f>EXP((Mu-0.5*Sigma^2)/12+Sigma*SQRT(1/12)*INDEX(NormRand,ScenID,A119+1))-1</f>
        <v/>
      </c>
      <c r="Z119" s="34">
        <f>Y119*X119</f>
        <v/>
      </c>
      <c r="AA119" s="34">
        <f>X119+0.5*Z119</f>
        <v/>
      </c>
      <c r="AB119" s="34">
        <f>Q119*J119</f>
        <v/>
      </c>
      <c r="AC119" s="34">
        <f>Q119*L119</f>
        <v/>
      </c>
      <c r="AD119" s="34">
        <f>S119*N119</f>
        <v/>
      </c>
      <c r="AE119" s="34">
        <f>E119*N119</f>
        <v/>
      </c>
      <c r="AF119" s="34">
        <f>R119*N119</f>
        <v/>
      </c>
      <c r="AG119" s="29">
        <f>MAX(SumAssured,AA119)</f>
        <v/>
      </c>
      <c r="AH119" s="34">
        <f>AG119*O119</f>
        <v/>
      </c>
      <c r="AI119" s="34">
        <f>AA119*O119</f>
        <v/>
      </c>
      <c r="AJ119" s="34">
        <f>AA119*P119</f>
        <v/>
      </c>
      <c r="AK119" s="34">
        <f>I119*AA119*P119</f>
        <v/>
      </c>
      <c r="AL119" s="34">
        <f>AJ119-AK119</f>
        <v/>
      </c>
      <c r="AM119" s="34">
        <f>Q119*K119</f>
        <v/>
      </c>
      <c r="AN119" s="34">
        <f>AH119+AL119+AM119</f>
        <v/>
      </c>
      <c r="AO119" s="34">
        <f>(AG119-AA119)*O119</f>
        <v/>
      </c>
      <c r="AP119" s="34">
        <f>W119*N119</f>
        <v/>
      </c>
      <c r="AQ119" s="34">
        <f>T119*N119</f>
        <v/>
      </c>
      <c r="AR119" s="34">
        <f>Z119*J120+0.5*Z119*(O119+P119)</f>
        <v/>
      </c>
      <c r="AS119" s="30">
        <f>(1+InflationRate)^(A119/12)</f>
        <v/>
      </c>
      <c r="AT119" s="29">
        <f>ExpenseAcq*M119+N119*ExpenseMaint/12*AS119</f>
        <v/>
      </c>
      <c r="AU119" s="29">
        <f>CommissionRate*AE119</f>
        <v/>
      </c>
      <c r="AV119" s="34">
        <f>AB120-AB119</f>
        <v/>
      </c>
      <c r="AW119" s="34">
        <f>AE119+AR119-AN119-AT119-AU119-AV119</f>
        <v/>
      </c>
      <c r="AX119" s="29">
        <f>LoadPremRate*E119*N119+AK119+AQ119-AU119-AT119</f>
        <v/>
      </c>
      <c r="AY119" s="34">
        <f>AP119-AO119</f>
        <v/>
      </c>
      <c r="AZ119" s="37">
        <f>(AW119-AX119-AY119)/MAX(1,ABS(AW119),ABS(AX119),ABS(AY119))</f>
        <v/>
      </c>
      <c r="BA119" s="37">
        <f>IF(OR(K119&gt;0,K120&gt;0),0,(AC120-(AC119+AF119-AQ119-AP119+AR119-AI119-AJ119-AM119))/MAX(1,ABS(AC119),ABS(AC120)))</f>
        <v/>
      </c>
      <c r="BB119" s="35">
        <f>(1+INDEX(DiscRateAnn,INT(A119/12)+1))^(1/12)-1</f>
        <v/>
      </c>
      <c r="BC119" s="31">
        <f>(1+BB119)^-A119</f>
        <v/>
      </c>
      <c r="BD119" s="34">
        <f>AW119*BC119</f>
        <v/>
      </c>
    </row>
    <row r="120">
      <c r="A120" s="27">
        <f>A119+1</f>
        <v/>
      </c>
      <c r="B120" s="28">
        <f>Duration0+A120</f>
        <v/>
      </c>
      <c r="C120" s="27">
        <f>INT(B120/12)</f>
        <v/>
      </c>
      <c r="D120" s="28">
        <f>AgeAtEntry+C120</f>
        <v/>
      </c>
      <c r="E120" s="29">
        <f>IF(PremiumType="SINGLE",IF(B120=0,PremiumPPInput,0),IF(B120&lt;12*PolicyTerm,PremiumPPInput,0))</f>
        <v/>
      </c>
      <c r="F120" s="30">
        <f>INDEX(MortRates,MATCH(MIN(D120,120),MortAges,0),MAX(MIN(C120,5),0)+1)</f>
        <v/>
      </c>
      <c r="G120" s="31">
        <f>1-(1-F120)^(1/12)</f>
        <v/>
      </c>
      <c r="H120" s="32">
        <f>MAX(LapseBase-LapseStep*C120,LapseFloor)</f>
        <v/>
      </c>
      <c r="I120" s="32">
        <f>IF(HasSurrCharge,INDEX(SurrRates,MIN(C120,SurrDurMax)+1,MATCH(SurrChargeID,SurrTypes,0)),0)</f>
        <v/>
      </c>
      <c r="J120" s="33">
        <f>N119-P119-O119</f>
        <v/>
      </c>
      <c r="K120" s="30">
        <f>IF(B120=12*PolicyTerm,J120,0)</f>
        <v/>
      </c>
      <c r="L120" s="33">
        <f>J120-K120</f>
        <v/>
      </c>
      <c r="M120" s="30">
        <f>IF(B120=0,PolicyCount,0)</f>
        <v/>
      </c>
      <c r="N120" s="33">
        <f>L120+M120</f>
        <v/>
      </c>
      <c r="O120" s="31">
        <f>N120*G120</f>
        <v/>
      </c>
      <c r="P120" s="33">
        <f>(N120-O120)*(1-(1-H120)^(1/12))</f>
        <v/>
      </c>
      <c r="Q120" s="34">
        <f>X119+Z119</f>
        <v/>
      </c>
      <c r="R120" s="29">
        <f>(1-LoadPremRate)*E120</f>
        <v/>
      </c>
      <c r="S120" s="34">
        <f>Q120+R120</f>
        <v/>
      </c>
      <c r="T120" s="29">
        <f>MaintFeeRateAnn/12*S120</f>
        <v/>
      </c>
      <c r="U120" s="29">
        <f>MAX(SumAssured-S120,0)</f>
        <v/>
      </c>
      <c r="V120" s="35">
        <f>CoiMultiple*G120</f>
        <v/>
      </c>
      <c r="W120" s="34">
        <f>V120*U120</f>
        <v/>
      </c>
      <c r="X120" s="34">
        <f>S120-T120-W120</f>
        <v/>
      </c>
      <c r="Y120" s="36">
        <f>EXP((Mu-0.5*Sigma^2)/12+Sigma*SQRT(1/12)*INDEX(NormRand,ScenID,A120+1))-1</f>
        <v/>
      </c>
      <c r="Z120" s="34">
        <f>Y120*X120</f>
        <v/>
      </c>
      <c r="AA120" s="34">
        <f>X120+0.5*Z120</f>
        <v/>
      </c>
      <c r="AB120" s="34">
        <f>Q120*J120</f>
        <v/>
      </c>
      <c r="AC120" s="34">
        <f>Q120*L120</f>
        <v/>
      </c>
      <c r="AD120" s="34">
        <f>S120*N120</f>
        <v/>
      </c>
      <c r="AE120" s="34">
        <f>E120*N120</f>
        <v/>
      </c>
      <c r="AF120" s="34">
        <f>R120*N120</f>
        <v/>
      </c>
      <c r="AG120" s="29">
        <f>MAX(SumAssured,AA120)</f>
        <v/>
      </c>
      <c r="AH120" s="34">
        <f>AG120*O120</f>
        <v/>
      </c>
      <c r="AI120" s="34">
        <f>AA120*O120</f>
        <v/>
      </c>
      <c r="AJ120" s="34">
        <f>AA120*P120</f>
        <v/>
      </c>
      <c r="AK120" s="34">
        <f>I120*AA120*P120</f>
        <v/>
      </c>
      <c r="AL120" s="34">
        <f>AJ120-AK120</f>
        <v/>
      </c>
      <c r="AM120" s="34">
        <f>Q120*K120</f>
        <v/>
      </c>
      <c r="AN120" s="34">
        <f>AH120+AL120+AM120</f>
        <v/>
      </c>
      <c r="AO120" s="34">
        <f>(AG120-AA120)*O120</f>
        <v/>
      </c>
      <c r="AP120" s="34">
        <f>W120*N120</f>
        <v/>
      </c>
      <c r="AQ120" s="34">
        <f>T120*N120</f>
        <v/>
      </c>
      <c r="AR120" s="34">
        <f>Z120*J121+0.5*Z120*(O120+P120)</f>
        <v/>
      </c>
      <c r="AS120" s="30">
        <f>(1+InflationRate)^(A120/12)</f>
        <v/>
      </c>
      <c r="AT120" s="29">
        <f>ExpenseAcq*M120+N120*ExpenseMaint/12*AS120</f>
        <v/>
      </c>
      <c r="AU120" s="29">
        <f>CommissionRate*AE120</f>
        <v/>
      </c>
      <c r="AV120" s="34">
        <f>AB121-AB120</f>
        <v/>
      </c>
      <c r="AW120" s="34">
        <f>AE120+AR120-AN120-AT120-AU120-AV120</f>
        <v/>
      </c>
      <c r="AX120" s="29">
        <f>LoadPremRate*E120*N120+AK120+AQ120-AU120-AT120</f>
        <v/>
      </c>
      <c r="AY120" s="34">
        <f>AP120-AO120</f>
        <v/>
      </c>
      <c r="AZ120" s="37">
        <f>(AW120-AX120-AY120)/MAX(1,ABS(AW120),ABS(AX120),ABS(AY120))</f>
        <v/>
      </c>
      <c r="BA120" s="37">
        <f>IF(OR(K120&gt;0,K121&gt;0),0,(AC121-(AC120+AF120-AQ120-AP120+AR120-AI120-AJ120-AM120))/MAX(1,ABS(AC120),ABS(AC121)))</f>
        <v/>
      </c>
      <c r="BB120" s="35">
        <f>(1+INDEX(DiscRateAnn,INT(A120/12)+1))^(1/12)-1</f>
        <v/>
      </c>
      <c r="BC120" s="31">
        <f>(1+BB120)^-A120</f>
        <v/>
      </c>
      <c r="BD120" s="34">
        <f>AW120*BC120</f>
        <v/>
      </c>
    </row>
    <row r="121">
      <c r="A121" s="27">
        <f>A120+1</f>
        <v/>
      </c>
      <c r="B121" s="28">
        <f>Duration0+A121</f>
        <v/>
      </c>
      <c r="C121" s="27">
        <f>INT(B121/12)</f>
        <v/>
      </c>
      <c r="D121" s="28">
        <f>AgeAtEntry+C121</f>
        <v/>
      </c>
      <c r="E121" s="29">
        <f>IF(PremiumType="SINGLE",IF(B121=0,PremiumPPInput,0),IF(B121&lt;12*PolicyTerm,PremiumPPInput,0))</f>
        <v/>
      </c>
      <c r="F121" s="30">
        <f>INDEX(MortRates,MATCH(MIN(D121,120),MortAges,0),MAX(MIN(C121,5),0)+1)</f>
        <v/>
      </c>
      <c r="G121" s="31">
        <f>1-(1-F121)^(1/12)</f>
        <v/>
      </c>
      <c r="H121" s="32">
        <f>MAX(LapseBase-LapseStep*C121,LapseFloor)</f>
        <v/>
      </c>
      <c r="I121" s="32">
        <f>IF(HasSurrCharge,INDEX(SurrRates,MIN(C121,SurrDurMax)+1,MATCH(SurrChargeID,SurrTypes,0)),0)</f>
        <v/>
      </c>
      <c r="J121" s="33">
        <f>N120-P120-O120</f>
        <v/>
      </c>
      <c r="K121" s="30">
        <f>IF(B121=12*PolicyTerm,J121,0)</f>
        <v/>
      </c>
      <c r="L121" s="33">
        <f>J121-K121</f>
        <v/>
      </c>
      <c r="M121" s="30">
        <f>IF(B121=0,PolicyCount,0)</f>
        <v/>
      </c>
      <c r="N121" s="33">
        <f>L121+M121</f>
        <v/>
      </c>
      <c r="O121" s="31">
        <f>N121*G121</f>
        <v/>
      </c>
      <c r="P121" s="33">
        <f>(N121-O121)*(1-(1-H121)^(1/12))</f>
        <v/>
      </c>
      <c r="Q121" s="34">
        <f>X120+Z120</f>
        <v/>
      </c>
      <c r="R121" s="29">
        <f>(1-LoadPremRate)*E121</f>
        <v/>
      </c>
      <c r="S121" s="34">
        <f>Q121+R121</f>
        <v/>
      </c>
      <c r="T121" s="29">
        <f>MaintFeeRateAnn/12*S121</f>
        <v/>
      </c>
      <c r="U121" s="29">
        <f>MAX(SumAssured-S121,0)</f>
        <v/>
      </c>
      <c r="V121" s="35">
        <f>CoiMultiple*G121</f>
        <v/>
      </c>
      <c r="W121" s="34">
        <f>V121*U121</f>
        <v/>
      </c>
      <c r="X121" s="34">
        <f>S121-T121-W121</f>
        <v/>
      </c>
      <c r="Y121" s="36">
        <f>EXP((Mu-0.5*Sigma^2)/12+Sigma*SQRT(1/12)*INDEX(NormRand,ScenID,A121+1))-1</f>
        <v/>
      </c>
      <c r="Z121" s="34">
        <f>Y121*X121</f>
        <v/>
      </c>
      <c r="AA121" s="34">
        <f>X121+0.5*Z121</f>
        <v/>
      </c>
      <c r="AB121" s="34">
        <f>Q121*J121</f>
        <v/>
      </c>
      <c r="AC121" s="34">
        <f>Q121*L121</f>
        <v/>
      </c>
      <c r="AD121" s="34">
        <f>S121*N121</f>
        <v/>
      </c>
      <c r="AE121" s="34">
        <f>E121*N121</f>
        <v/>
      </c>
      <c r="AF121" s="34">
        <f>R121*N121</f>
        <v/>
      </c>
      <c r="AG121" s="29">
        <f>MAX(SumAssured,AA121)</f>
        <v/>
      </c>
      <c r="AH121" s="34">
        <f>AG121*O121</f>
        <v/>
      </c>
      <c r="AI121" s="34">
        <f>AA121*O121</f>
        <v/>
      </c>
      <c r="AJ121" s="34">
        <f>AA121*P121</f>
        <v/>
      </c>
      <c r="AK121" s="34">
        <f>I121*AA121*P121</f>
        <v/>
      </c>
      <c r="AL121" s="34">
        <f>AJ121-AK121</f>
        <v/>
      </c>
      <c r="AM121" s="34">
        <f>Q121*K121</f>
        <v/>
      </c>
      <c r="AN121" s="34">
        <f>AH121+AL121+AM121</f>
        <v/>
      </c>
      <c r="AO121" s="34">
        <f>(AG121-AA121)*O121</f>
        <v/>
      </c>
      <c r="AP121" s="34">
        <f>W121*N121</f>
        <v/>
      </c>
      <c r="AQ121" s="34">
        <f>T121*N121</f>
        <v/>
      </c>
      <c r="AR121" s="34">
        <f>Z121*J122+0.5*Z121*(O121+P121)</f>
        <v/>
      </c>
      <c r="AS121" s="30">
        <f>(1+InflationRate)^(A121/12)</f>
        <v/>
      </c>
      <c r="AT121" s="29">
        <f>ExpenseAcq*M121+N121*ExpenseMaint/12*AS121</f>
        <v/>
      </c>
      <c r="AU121" s="29">
        <f>CommissionRate*AE121</f>
        <v/>
      </c>
      <c r="AV121" s="34">
        <f>AB122-AB121</f>
        <v/>
      </c>
      <c r="AW121" s="34">
        <f>AE121+AR121-AN121-AT121-AU121-AV121</f>
        <v/>
      </c>
      <c r="AX121" s="29">
        <f>LoadPremRate*E121*N121+AK121+AQ121-AU121-AT121</f>
        <v/>
      </c>
      <c r="AY121" s="34">
        <f>AP121-AO121</f>
        <v/>
      </c>
      <c r="AZ121" s="37">
        <f>(AW121-AX121-AY121)/MAX(1,ABS(AW121),ABS(AX121),ABS(AY121))</f>
        <v/>
      </c>
      <c r="BA121" s="37">
        <f>IF(OR(K121&gt;0,K122&gt;0),0,(AC122-(AC121+AF121-AQ121-AP121+AR121-AI121-AJ121-AM121))/MAX(1,ABS(AC121),ABS(AC122)))</f>
        <v/>
      </c>
      <c r="BB121" s="35">
        <f>(1+INDEX(DiscRateAnn,INT(A121/12)+1))^(1/12)-1</f>
        <v/>
      </c>
      <c r="BC121" s="31">
        <f>(1+BB121)^-A121</f>
        <v/>
      </c>
      <c r="BD121" s="34">
        <f>AW121*BC121</f>
        <v/>
      </c>
    </row>
    <row r="122">
      <c r="A122" s="27">
        <f>A121+1</f>
        <v/>
      </c>
      <c r="B122" s="28">
        <f>Duration0+A122</f>
        <v/>
      </c>
      <c r="C122" s="27">
        <f>INT(B122/12)</f>
        <v/>
      </c>
      <c r="D122" s="28">
        <f>AgeAtEntry+C122</f>
        <v/>
      </c>
      <c r="E122" s="29">
        <f>IF(PremiumType="SINGLE",IF(B122=0,PremiumPPInput,0),IF(B122&lt;12*PolicyTerm,PremiumPPInput,0))</f>
        <v/>
      </c>
      <c r="F122" s="30">
        <f>INDEX(MortRates,MATCH(MIN(D122,120),MortAges,0),MAX(MIN(C122,5),0)+1)</f>
        <v/>
      </c>
      <c r="G122" s="31">
        <f>1-(1-F122)^(1/12)</f>
        <v/>
      </c>
      <c r="H122" s="32">
        <f>MAX(LapseBase-LapseStep*C122,LapseFloor)</f>
        <v/>
      </c>
      <c r="I122" s="32">
        <f>IF(HasSurrCharge,INDEX(SurrRates,MIN(C122,SurrDurMax)+1,MATCH(SurrChargeID,SurrTypes,0)),0)</f>
        <v/>
      </c>
      <c r="J122" s="33">
        <f>N121-P121-O121</f>
        <v/>
      </c>
      <c r="K122" s="30">
        <f>IF(B122=12*PolicyTerm,J122,0)</f>
        <v/>
      </c>
      <c r="L122" s="33">
        <f>J122-K122</f>
        <v/>
      </c>
      <c r="M122" s="30">
        <f>IF(B122=0,PolicyCount,0)</f>
        <v/>
      </c>
      <c r="N122" s="33">
        <f>L122+M122</f>
        <v/>
      </c>
      <c r="O122" s="31">
        <f>N122*G122</f>
        <v/>
      </c>
      <c r="P122" s="33">
        <f>(N122-O122)*(1-(1-H122)^(1/12))</f>
        <v/>
      </c>
      <c r="Q122" s="34">
        <f>X121+Z121</f>
        <v/>
      </c>
      <c r="R122" s="29">
        <f>(1-LoadPremRate)*E122</f>
        <v/>
      </c>
      <c r="S122" s="34">
        <f>Q122+R122</f>
        <v/>
      </c>
      <c r="T122" s="29">
        <f>MaintFeeRateAnn/12*S122</f>
        <v/>
      </c>
      <c r="U122" s="29">
        <f>MAX(SumAssured-S122,0)</f>
        <v/>
      </c>
      <c r="V122" s="35">
        <f>CoiMultiple*G122</f>
        <v/>
      </c>
      <c r="W122" s="34">
        <f>V122*U122</f>
        <v/>
      </c>
      <c r="X122" s="34">
        <f>S122-T122-W122</f>
        <v/>
      </c>
      <c r="Y122" s="36">
        <f>EXP((Mu-0.5*Sigma^2)/12+Sigma*SQRT(1/12)*INDEX(NormRand,ScenID,A122+1))-1</f>
        <v/>
      </c>
      <c r="Z122" s="34">
        <f>Y122*X122</f>
        <v/>
      </c>
      <c r="AA122" s="34">
        <f>X122+0.5*Z122</f>
        <v/>
      </c>
      <c r="AB122" s="34">
        <f>Q122*J122</f>
        <v/>
      </c>
      <c r="AC122" s="34">
        <f>Q122*L122</f>
        <v/>
      </c>
      <c r="AD122" s="34">
        <f>S122*N122</f>
        <v/>
      </c>
      <c r="AE122" s="34">
        <f>E122*N122</f>
        <v/>
      </c>
      <c r="AF122" s="34">
        <f>R122*N122</f>
        <v/>
      </c>
      <c r="AG122" s="29">
        <f>MAX(SumAssured,AA122)</f>
        <v/>
      </c>
      <c r="AH122" s="34">
        <f>AG122*O122</f>
        <v/>
      </c>
      <c r="AI122" s="34">
        <f>AA122*O122</f>
        <v/>
      </c>
      <c r="AJ122" s="34">
        <f>AA122*P122</f>
        <v/>
      </c>
      <c r="AK122" s="34">
        <f>I122*AA122*P122</f>
        <v/>
      </c>
      <c r="AL122" s="34">
        <f>AJ122-AK122</f>
        <v/>
      </c>
      <c r="AM122" s="34">
        <f>Q122*K122</f>
        <v/>
      </c>
      <c r="AN122" s="34">
        <f>AH122+AL122+AM122</f>
        <v/>
      </c>
      <c r="AO122" s="34">
        <f>(AG122-AA122)*O122</f>
        <v/>
      </c>
      <c r="AP122" s="34">
        <f>W122*N122</f>
        <v/>
      </c>
      <c r="AQ122" s="34">
        <f>T122*N122</f>
        <v/>
      </c>
      <c r="AR122" s="34">
        <f>Z122*J123+0.5*Z122*(O122+P122)</f>
        <v/>
      </c>
      <c r="AS122" s="30">
        <f>(1+InflationRate)^(A122/12)</f>
        <v/>
      </c>
      <c r="AT122" s="29">
        <f>ExpenseAcq*M122+N122*ExpenseMaint/12*AS122</f>
        <v/>
      </c>
      <c r="AU122" s="29">
        <f>CommissionRate*AE122</f>
        <v/>
      </c>
      <c r="AV122" s="34">
        <f>AB123-AB122</f>
        <v/>
      </c>
      <c r="AW122" s="34">
        <f>AE122+AR122-AN122-AT122-AU122-AV122</f>
        <v/>
      </c>
      <c r="AX122" s="29">
        <f>LoadPremRate*E122*N122+AK122+AQ122-AU122-AT122</f>
        <v/>
      </c>
      <c r="AY122" s="34">
        <f>AP122-AO122</f>
        <v/>
      </c>
      <c r="AZ122" s="37">
        <f>(AW122-AX122-AY122)/MAX(1,ABS(AW122),ABS(AX122),ABS(AY122))</f>
        <v/>
      </c>
      <c r="BA122" s="37">
        <f>IF(OR(K122&gt;0,K123&gt;0),0,(AC123-(AC122+AF122-AQ122-AP122+AR122-AI122-AJ122-AM122))/MAX(1,ABS(AC122),ABS(AC123)))</f>
        <v/>
      </c>
      <c r="BB122" s="35">
        <f>(1+INDEX(DiscRateAnn,INT(A122/12)+1))^(1/12)-1</f>
        <v/>
      </c>
      <c r="BC122" s="31">
        <f>(1+BB122)^-A122</f>
        <v/>
      </c>
      <c r="BD122" s="34">
        <f>AW122*BC122</f>
        <v/>
      </c>
    </row>
    <row r="123">
      <c r="A123" s="27">
        <f>A122+1</f>
        <v/>
      </c>
      <c r="B123" s="28">
        <f>Duration0+A123</f>
        <v/>
      </c>
      <c r="C123" s="27">
        <f>INT(B123/12)</f>
        <v/>
      </c>
      <c r="D123" s="28">
        <f>AgeAtEntry+C123</f>
        <v/>
      </c>
      <c r="E123" s="29">
        <f>IF(PremiumType="SINGLE",IF(B123=0,PremiumPPInput,0),IF(B123&lt;12*PolicyTerm,PremiumPPInput,0))</f>
        <v/>
      </c>
      <c r="F123" s="30">
        <f>INDEX(MortRates,MATCH(MIN(D123,120),MortAges,0),MAX(MIN(C123,5),0)+1)</f>
        <v/>
      </c>
      <c r="G123" s="31">
        <f>1-(1-F123)^(1/12)</f>
        <v/>
      </c>
      <c r="H123" s="32">
        <f>MAX(LapseBase-LapseStep*C123,LapseFloor)</f>
        <v/>
      </c>
      <c r="I123" s="32">
        <f>IF(HasSurrCharge,INDEX(SurrRates,MIN(C123,SurrDurMax)+1,MATCH(SurrChargeID,SurrTypes,0)),0)</f>
        <v/>
      </c>
      <c r="J123" s="33">
        <f>N122-P122-O122</f>
        <v/>
      </c>
      <c r="K123" s="30">
        <f>IF(B123=12*PolicyTerm,J123,0)</f>
        <v/>
      </c>
      <c r="L123" s="33">
        <f>J123-K123</f>
        <v/>
      </c>
      <c r="M123" s="30">
        <f>IF(B123=0,PolicyCount,0)</f>
        <v/>
      </c>
      <c r="N123" s="33">
        <f>L123+M123</f>
        <v/>
      </c>
      <c r="O123" s="31">
        <f>N123*G123</f>
        <v/>
      </c>
      <c r="P123" s="33">
        <f>(N123-O123)*(1-(1-H123)^(1/12))</f>
        <v/>
      </c>
      <c r="Q123" s="34">
        <f>X122+Z122</f>
        <v/>
      </c>
      <c r="R123" s="29">
        <f>(1-LoadPremRate)*E123</f>
        <v/>
      </c>
      <c r="S123" s="34">
        <f>Q123+R123</f>
        <v/>
      </c>
      <c r="T123" s="29">
        <f>MaintFeeRateAnn/12*S123</f>
        <v/>
      </c>
      <c r="U123" s="29">
        <f>MAX(SumAssured-S123,0)</f>
        <v/>
      </c>
      <c r="V123" s="35">
        <f>CoiMultiple*G123</f>
        <v/>
      </c>
      <c r="W123" s="34">
        <f>V123*U123</f>
        <v/>
      </c>
      <c r="X123" s="34">
        <f>S123-T123-W123</f>
        <v/>
      </c>
      <c r="Y123" s="36">
        <f>EXP((Mu-0.5*Sigma^2)/12+Sigma*SQRT(1/12)*INDEX(NormRand,ScenID,A123+1))-1</f>
        <v/>
      </c>
      <c r="Z123" s="34">
        <f>Y123*X123</f>
        <v/>
      </c>
      <c r="AA123" s="34">
        <f>X123+0.5*Z123</f>
        <v/>
      </c>
      <c r="AB123" s="34">
        <f>Q123*J123</f>
        <v/>
      </c>
      <c r="AC123" s="34">
        <f>Q123*L123</f>
        <v/>
      </c>
      <c r="AD123" s="34">
        <f>S123*N123</f>
        <v/>
      </c>
      <c r="AE123" s="34">
        <f>E123*N123</f>
        <v/>
      </c>
      <c r="AF123" s="34">
        <f>R123*N123</f>
        <v/>
      </c>
      <c r="AG123" s="29">
        <f>MAX(SumAssured,AA123)</f>
        <v/>
      </c>
      <c r="AH123" s="34">
        <f>AG123*O123</f>
        <v/>
      </c>
      <c r="AI123" s="34">
        <f>AA123*O123</f>
        <v/>
      </c>
      <c r="AJ123" s="34">
        <f>AA123*P123</f>
        <v/>
      </c>
      <c r="AK123" s="34">
        <f>I123*AA123*P123</f>
        <v/>
      </c>
      <c r="AL123" s="34">
        <f>AJ123-AK123</f>
        <v/>
      </c>
      <c r="AM123" s="34">
        <f>Q123*K123</f>
        <v/>
      </c>
      <c r="AN123" s="34">
        <f>AH123+AL123+AM123</f>
        <v/>
      </c>
      <c r="AO123" s="34">
        <f>(AG123-AA123)*O123</f>
        <v/>
      </c>
      <c r="AP123" s="34">
        <f>W123*N123</f>
        <v/>
      </c>
      <c r="AQ123" s="34">
        <f>T123*N123</f>
        <v/>
      </c>
      <c r="AR123" s="34">
        <f>Z123*J124+0.5*Z123*(O123+P123)</f>
        <v/>
      </c>
      <c r="AS123" s="30">
        <f>(1+InflationRate)^(A123/12)</f>
        <v/>
      </c>
      <c r="AT123" s="29">
        <f>ExpenseAcq*M123+N123*ExpenseMaint/12*AS123</f>
        <v/>
      </c>
      <c r="AU123" s="29">
        <f>CommissionRate*AE123</f>
        <v/>
      </c>
      <c r="AV123" s="34">
        <f>AB124-AB123</f>
        <v/>
      </c>
      <c r="AW123" s="34">
        <f>AE123+AR123-AN123-AT123-AU123-AV123</f>
        <v/>
      </c>
      <c r="AX123" s="29">
        <f>LoadPremRate*E123*N123+AK123+AQ123-AU123-AT123</f>
        <v/>
      </c>
      <c r="AY123" s="34">
        <f>AP123-AO123</f>
        <v/>
      </c>
      <c r="AZ123" s="37">
        <f>(AW123-AX123-AY123)/MAX(1,ABS(AW123),ABS(AX123),ABS(AY123))</f>
        <v/>
      </c>
      <c r="BA123" s="37">
        <f>IF(OR(K123&gt;0,K124&gt;0),0,(AC124-(AC123+AF123-AQ123-AP123+AR123-AI123-AJ123-AM123))/MAX(1,ABS(AC123),ABS(AC124)))</f>
        <v/>
      </c>
      <c r="BB123" s="35">
        <f>(1+INDEX(DiscRateAnn,INT(A123/12)+1))^(1/12)-1</f>
        <v/>
      </c>
      <c r="BC123" s="31">
        <f>(1+BB123)^-A123</f>
        <v/>
      </c>
      <c r="BD123" s="34">
        <f>AW123*BC123</f>
        <v/>
      </c>
    </row>
    <row r="124">
      <c r="A124" s="27">
        <f>A123+1</f>
        <v/>
      </c>
      <c r="B124" s="28">
        <f>Duration0+A124</f>
        <v/>
      </c>
      <c r="C124" s="27">
        <f>INT(B124/12)</f>
        <v/>
      </c>
      <c r="D124" s="28">
        <f>AgeAtEntry+C124</f>
        <v/>
      </c>
      <c r="E124" s="29">
        <f>IF(PremiumType="SINGLE",IF(B124=0,PremiumPPInput,0),IF(B124&lt;12*PolicyTerm,PremiumPPInput,0))</f>
        <v/>
      </c>
      <c r="F124" s="30">
        <f>INDEX(MortRates,MATCH(MIN(D124,120),MortAges,0),MAX(MIN(C124,5),0)+1)</f>
        <v/>
      </c>
      <c r="G124" s="31">
        <f>1-(1-F124)^(1/12)</f>
        <v/>
      </c>
      <c r="H124" s="32">
        <f>MAX(LapseBase-LapseStep*C124,LapseFloor)</f>
        <v/>
      </c>
      <c r="I124" s="32">
        <f>IF(HasSurrCharge,INDEX(SurrRates,MIN(C124,SurrDurMax)+1,MATCH(SurrChargeID,SurrTypes,0)),0)</f>
        <v/>
      </c>
      <c r="J124" s="33">
        <f>N123-P123-O123</f>
        <v/>
      </c>
      <c r="K124" s="30">
        <f>IF(B124=12*PolicyTerm,J124,0)</f>
        <v/>
      </c>
      <c r="L124" s="33">
        <f>J124-K124</f>
        <v/>
      </c>
      <c r="M124" s="30">
        <f>IF(B124=0,PolicyCount,0)</f>
        <v/>
      </c>
      <c r="N124" s="33">
        <f>L124+M124</f>
        <v/>
      </c>
      <c r="O124" s="31">
        <f>N124*G124</f>
        <v/>
      </c>
      <c r="P124" s="33">
        <f>(N124-O124)*(1-(1-H124)^(1/12))</f>
        <v/>
      </c>
      <c r="Q124" s="34">
        <f>X123+Z123</f>
        <v/>
      </c>
      <c r="R124" s="29">
        <f>(1-LoadPremRate)*E124</f>
        <v/>
      </c>
      <c r="S124" s="34">
        <f>Q124+R124</f>
        <v/>
      </c>
      <c r="T124" s="29">
        <f>MaintFeeRateAnn/12*S124</f>
        <v/>
      </c>
      <c r="U124" s="29">
        <f>MAX(SumAssured-S124,0)</f>
        <v/>
      </c>
      <c r="V124" s="35">
        <f>CoiMultiple*G124</f>
        <v/>
      </c>
      <c r="W124" s="34">
        <f>V124*U124</f>
        <v/>
      </c>
      <c r="X124" s="34">
        <f>S124-T124-W124</f>
        <v/>
      </c>
      <c r="Y124" s="36">
        <f>EXP((Mu-0.5*Sigma^2)/12+Sigma*SQRT(1/12)*INDEX(NormRand,ScenID,A124+1))-1</f>
        <v/>
      </c>
      <c r="Z124" s="34">
        <f>Y124*X124</f>
        <v/>
      </c>
      <c r="AA124" s="34">
        <f>X124+0.5*Z124</f>
        <v/>
      </c>
      <c r="AB124" s="34">
        <f>Q124*J124</f>
        <v/>
      </c>
      <c r="AC124" s="34">
        <f>Q124*L124</f>
        <v/>
      </c>
      <c r="AD124" s="34">
        <f>S124*N124</f>
        <v/>
      </c>
      <c r="AE124" s="34">
        <f>E124*N124</f>
        <v/>
      </c>
      <c r="AF124" s="34">
        <f>R124*N124</f>
        <v/>
      </c>
      <c r="AG124" s="29">
        <f>MAX(SumAssured,AA124)</f>
        <v/>
      </c>
      <c r="AH124" s="34">
        <f>AG124*O124</f>
        <v/>
      </c>
      <c r="AI124" s="34">
        <f>AA124*O124</f>
        <v/>
      </c>
      <c r="AJ124" s="34">
        <f>AA124*P124</f>
        <v/>
      </c>
      <c r="AK124" s="34">
        <f>I124*AA124*P124</f>
        <v/>
      </c>
      <c r="AL124" s="34">
        <f>AJ124-AK124</f>
        <v/>
      </c>
      <c r="AM124" s="34">
        <f>Q124*K124</f>
        <v/>
      </c>
      <c r="AN124" s="34">
        <f>AH124+AL124+AM124</f>
        <v/>
      </c>
      <c r="AO124" s="34">
        <f>(AG124-AA124)*O124</f>
        <v/>
      </c>
      <c r="AP124" s="34">
        <f>W124*N124</f>
        <v/>
      </c>
      <c r="AQ124" s="34">
        <f>T124*N124</f>
        <v/>
      </c>
      <c r="AR124" s="34">
        <f>Z124*J125+0.5*Z124*(O124+P124)</f>
        <v/>
      </c>
      <c r="AS124" s="30">
        <f>(1+InflationRate)^(A124/12)</f>
        <v/>
      </c>
      <c r="AT124" s="29">
        <f>ExpenseAcq*M124+N124*ExpenseMaint/12*AS124</f>
        <v/>
      </c>
      <c r="AU124" s="29">
        <f>CommissionRate*AE124</f>
        <v/>
      </c>
      <c r="AV124" s="34">
        <f>AB125-AB124</f>
        <v/>
      </c>
      <c r="AW124" s="34">
        <f>AE124+AR124-AN124-AT124-AU124-AV124</f>
        <v/>
      </c>
      <c r="AX124" s="29">
        <f>LoadPremRate*E124*N124+AK124+AQ124-AU124-AT124</f>
        <v/>
      </c>
      <c r="AY124" s="34">
        <f>AP124-AO124</f>
        <v/>
      </c>
      <c r="AZ124" s="37">
        <f>(AW124-AX124-AY124)/MAX(1,ABS(AW124),ABS(AX124),ABS(AY124))</f>
        <v/>
      </c>
      <c r="BA124" s="37">
        <f>IF(OR(K124&gt;0,K125&gt;0),0,(AC125-(AC124+AF124-AQ124-AP124+AR124-AI124-AJ124-AM124))/MAX(1,ABS(AC124),ABS(AC125)))</f>
        <v/>
      </c>
      <c r="BB124" s="35">
        <f>(1+INDEX(DiscRateAnn,INT(A124/12)+1))^(1/12)-1</f>
        <v/>
      </c>
      <c r="BC124" s="31">
        <f>(1+BB124)^-A124</f>
        <v/>
      </c>
      <c r="BD124" s="34">
        <f>AW124*BC124</f>
        <v/>
      </c>
    </row>
    <row r="125">
      <c r="A125" s="27">
        <f>A124+1</f>
        <v/>
      </c>
      <c r="B125" s="28">
        <f>Duration0+A125</f>
        <v/>
      </c>
      <c r="C125" s="27">
        <f>INT(B125/12)</f>
        <v/>
      </c>
      <c r="D125" s="28">
        <f>AgeAtEntry+C125</f>
        <v/>
      </c>
      <c r="E125" s="29">
        <f>IF(PremiumType="SINGLE",IF(B125=0,PremiumPPInput,0),IF(B125&lt;12*PolicyTerm,PremiumPPInput,0))</f>
        <v/>
      </c>
      <c r="F125" s="30">
        <f>INDEX(MortRates,MATCH(MIN(D125,120),MortAges,0),MAX(MIN(C125,5),0)+1)</f>
        <v/>
      </c>
      <c r="G125" s="31">
        <f>1-(1-F125)^(1/12)</f>
        <v/>
      </c>
      <c r="H125" s="32">
        <f>MAX(LapseBase-LapseStep*C125,LapseFloor)</f>
        <v/>
      </c>
      <c r="I125" s="32">
        <f>IF(HasSurrCharge,INDEX(SurrRates,MIN(C125,SurrDurMax)+1,MATCH(SurrChargeID,SurrTypes,0)),0)</f>
        <v/>
      </c>
      <c r="J125" s="33">
        <f>N124-P124-O124</f>
        <v/>
      </c>
      <c r="K125" s="30">
        <f>IF(B125=12*PolicyTerm,J125,0)</f>
        <v/>
      </c>
      <c r="L125" s="33">
        <f>J125-K125</f>
        <v/>
      </c>
      <c r="M125" s="30">
        <f>IF(B125=0,PolicyCount,0)</f>
        <v/>
      </c>
      <c r="N125" s="33">
        <f>L125+M125</f>
        <v/>
      </c>
      <c r="O125" s="31">
        <f>N125*G125</f>
        <v/>
      </c>
      <c r="P125" s="33">
        <f>(N125-O125)*(1-(1-H125)^(1/12))</f>
        <v/>
      </c>
      <c r="Q125" s="34">
        <f>X124+Z124</f>
        <v/>
      </c>
      <c r="R125" s="29">
        <f>(1-LoadPremRate)*E125</f>
        <v/>
      </c>
      <c r="S125" s="34">
        <f>Q125+R125</f>
        <v/>
      </c>
      <c r="T125" s="29">
        <f>MaintFeeRateAnn/12*S125</f>
        <v/>
      </c>
      <c r="U125" s="29">
        <f>MAX(SumAssured-S125,0)</f>
        <v/>
      </c>
      <c r="V125" s="35">
        <f>CoiMultiple*G125</f>
        <v/>
      </c>
      <c r="W125" s="34">
        <f>V125*U125</f>
        <v/>
      </c>
      <c r="X125" s="34">
        <f>S125-T125-W125</f>
        <v/>
      </c>
      <c r="Y125" s="36">
        <f>EXP((Mu-0.5*Sigma^2)/12+Sigma*SQRT(1/12)*INDEX(NormRand,ScenID,A125+1))-1</f>
        <v/>
      </c>
      <c r="Z125" s="34">
        <f>Y125*X125</f>
        <v/>
      </c>
      <c r="AA125" s="34">
        <f>X125+0.5*Z125</f>
        <v/>
      </c>
      <c r="AB125" s="34">
        <f>Q125*J125</f>
        <v/>
      </c>
      <c r="AC125" s="34">
        <f>Q125*L125</f>
        <v/>
      </c>
      <c r="AD125" s="34">
        <f>S125*N125</f>
        <v/>
      </c>
      <c r="AE125" s="34">
        <f>E125*N125</f>
        <v/>
      </c>
      <c r="AF125" s="34">
        <f>R125*N125</f>
        <v/>
      </c>
      <c r="AG125" s="29">
        <f>MAX(SumAssured,AA125)</f>
        <v/>
      </c>
      <c r="AH125" s="34">
        <f>AG125*O125</f>
        <v/>
      </c>
      <c r="AI125" s="34">
        <f>AA125*O125</f>
        <v/>
      </c>
      <c r="AJ125" s="34">
        <f>AA125*P125</f>
        <v/>
      </c>
      <c r="AK125" s="34">
        <f>I125*AA125*P125</f>
        <v/>
      </c>
      <c r="AL125" s="34">
        <f>AJ125-AK125</f>
        <v/>
      </c>
      <c r="AM125" s="34">
        <f>Q125*K125</f>
        <v/>
      </c>
      <c r="AN125" s="34">
        <f>AH125+AL125+AM125</f>
        <v/>
      </c>
      <c r="AO125" s="34">
        <f>(AG125-AA125)*O125</f>
        <v/>
      </c>
      <c r="AP125" s="34">
        <f>W125*N125</f>
        <v/>
      </c>
      <c r="AQ125" s="34">
        <f>T125*N125</f>
        <v/>
      </c>
      <c r="AR125" s="34">
        <f>Z125*J126+0.5*Z125*(O125+P125)</f>
        <v/>
      </c>
      <c r="AS125" s="30">
        <f>(1+InflationRate)^(A125/12)</f>
        <v/>
      </c>
      <c r="AT125" s="29">
        <f>ExpenseAcq*M125+N125*ExpenseMaint/12*AS125</f>
        <v/>
      </c>
      <c r="AU125" s="29">
        <f>CommissionRate*AE125</f>
        <v/>
      </c>
      <c r="AV125" s="34">
        <f>AB126-AB125</f>
        <v/>
      </c>
      <c r="AW125" s="34">
        <f>AE125+AR125-AN125-AT125-AU125-AV125</f>
        <v/>
      </c>
      <c r="AX125" s="29">
        <f>LoadPremRate*E125*N125+AK125+AQ125-AU125-AT125</f>
        <v/>
      </c>
      <c r="AY125" s="34">
        <f>AP125-AO125</f>
        <v/>
      </c>
      <c r="AZ125" s="37">
        <f>(AW125-AX125-AY125)/MAX(1,ABS(AW125),ABS(AX125),ABS(AY125))</f>
        <v/>
      </c>
      <c r="BA125" s="37">
        <f>IF(OR(K125&gt;0,K126&gt;0),0,(AC126-(AC125+AF125-AQ125-AP125+AR125-AI125-AJ125-AM125))/MAX(1,ABS(AC125),ABS(AC126)))</f>
        <v/>
      </c>
      <c r="BB125" s="35">
        <f>(1+INDEX(DiscRateAnn,INT(A125/12)+1))^(1/12)-1</f>
        <v/>
      </c>
      <c r="BC125" s="31">
        <f>(1+BB125)^-A125</f>
        <v/>
      </c>
      <c r="BD125" s="34">
        <f>AW125*BC125</f>
        <v/>
      </c>
    </row>
    <row r="126">
      <c r="A126" s="27">
        <f>A125+1</f>
        <v/>
      </c>
      <c r="B126" s="28">
        <f>Duration0+A126</f>
        <v/>
      </c>
      <c r="C126" s="27">
        <f>INT(B126/12)</f>
        <v/>
      </c>
      <c r="D126" s="28">
        <f>AgeAtEntry+C126</f>
        <v/>
      </c>
      <c r="E126" s="29">
        <f>IF(PremiumType="SINGLE",IF(B126=0,PremiumPPInput,0),IF(B126&lt;12*PolicyTerm,PremiumPPInput,0))</f>
        <v/>
      </c>
      <c r="F126" s="30">
        <f>INDEX(MortRates,MATCH(MIN(D126,120),MortAges,0),MAX(MIN(C126,5),0)+1)</f>
        <v/>
      </c>
      <c r="G126" s="31">
        <f>1-(1-F126)^(1/12)</f>
        <v/>
      </c>
      <c r="H126" s="32">
        <f>MAX(LapseBase-LapseStep*C126,LapseFloor)</f>
        <v/>
      </c>
      <c r="I126" s="32">
        <f>IF(HasSurrCharge,INDEX(SurrRates,MIN(C126,SurrDurMax)+1,MATCH(SurrChargeID,SurrTypes,0)),0)</f>
        <v/>
      </c>
      <c r="J126" s="33">
        <f>N125-P125-O125</f>
        <v/>
      </c>
      <c r="K126" s="30">
        <f>IF(B126=12*PolicyTerm,J126,0)</f>
        <v/>
      </c>
      <c r="L126" s="33">
        <f>J126-K126</f>
        <v/>
      </c>
      <c r="M126" s="30">
        <f>IF(B126=0,PolicyCount,0)</f>
        <v/>
      </c>
      <c r="N126" s="33">
        <f>L126+M126</f>
        <v/>
      </c>
      <c r="O126" s="31">
        <f>N126*G126</f>
        <v/>
      </c>
      <c r="P126" s="33">
        <f>(N126-O126)*(1-(1-H126)^(1/12))</f>
        <v/>
      </c>
      <c r="Q126" s="34">
        <f>X125+Z125</f>
        <v/>
      </c>
      <c r="R126" s="29">
        <f>(1-LoadPremRate)*E126</f>
        <v/>
      </c>
      <c r="S126" s="34">
        <f>Q126+R126</f>
        <v/>
      </c>
      <c r="T126" s="29">
        <f>MaintFeeRateAnn/12*S126</f>
        <v/>
      </c>
      <c r="U126" s="29">
        <f>MAX(SumAssured-S126,0)</f>
        <v/>
      </c>
      <c r="V126" s="35">
        <f>CoiMultiple*G126</f>
        <v/>
      </c>
      <c r="W126" s="34">
        <f>V126*U126</f>
        <v/>
      </c>
      <c r="X126" s="34">
        <f>S126-T126-W126</f>
        <v/>
      </c>
      <c r="Y126" s="36">
        <f>EXP((Mu-0.5*Sigma^2)/12+Sigma*SQRT(1/12)*INDEX(NormRand,ScenID,A126+1))-1</f>
        <v/>
      </c>
      <c r="Z126" s="34">
        <f>Y126*X126</f>
        <v/>
      </c>
      <c r="AA126" s="34">
        <f>X126+0.5*Z126</f>
        <v/>
      </c>
      <c r="AB126" s="34">
        <f>Q126*J126</f>
        <v/>
      </c>
      <c r="AC126" s="34">
        <f>Q126*L126</f>
        <v/>
      </c>
      <c r="AD126" s="34">
        <f>S126*N126</f>
        <v/>
      </c>
      <c r="AE126" s="34">
        <f>E126*N126</f>
        <v/>
      </c>
      <c r="AF126" s="34">
        <f>R126*N126</f>
        <v/>
      </c>
      <c r="AG126" s="29">
        <f>MAX(SumAssured,AA126)</f>
        <v/>
      </c>
      <c r="AH126" s="34">
        <f>AG126*O126</f>
        <v/>
      </c>
      <c r="AI126" s="34">
        <f>AA126*O126</f>
        <v/>
      </c>
      <c r="AJ126" s="34">
        <f>AA126*P126</f>
        <v/>
      </c>
      <c r="AK126" s="34">
        <f>I126*AA126*P126</f>
        <v/>
      </c>
      <c r="AL126" s="34">
        <f>AJ126-AK126</f>
        <v/>
      </c>
      <c r="AM126" s="34">
        <f>Q126*K126</f>
        <v/>
      </c>
      <c r="AN126" s="34">
        <f>AH126+AL126+AM126</f>
        <v/>
      </c>
      <c r="AO126" s="34">
        <f>(AG126-AA126)*O126</f>
        <v/>
      </c>
      <c r="AP126" s="34">
        <f>W126*N126</f>
        <v/>
      </c>
      <c r="AQ126" s="34">
        <f>T126*N126</f>
        <v/>
      </c>
      <c r="AR126" s="34">
        <f>Z126*J127+0.5*Z126*(O126+P126)</f>
        <v/>
      </c>
      <c r="AS126" s="30">
        <f>(1+InflationRate)^(A126/12)</f>
        <v/>
      </c>
      <c r="AT126" s="29">
        <f>ExpenseAcq*M126+N126*ExpenseMaint/12*AS126</f>
        <v/>
      </c>
      <c r="AU126" s="29">
        <f>CommissionRate*AE126</f>
        <v/>
      </c>
      <c r="AV126" s="34">
        <f>AB127-AB126</f>
        <v/>
      </c>
      <c r="AW126" s="34">
        <f>AE126+AR126-AN126-AT126-AU126-AV126</f>
        <v/>
      </c>
      <c r="AX126" s="29">
        <f>LoadPremRate*E126*N126+AK126+AQ126-AU126-AT126</f>
        <v/>
      </c>
      <c r="AY126" s="34">
        <f>AP126-AO126</f>
        <v/>
      </c>
      <c r="AZ126" s="37">
        <f>(AW126-AX126-AY126)/MAX(1,ABS(AW126),ABS(AX126),ABS(AY126))</f>
        <v/>
      </c>
      <c r="BA126" s="37">
        <f>IF(OR(K126&gt;0,K127&gt;0),0,(AC127-(AC126+AF126-AQ126-AP126+AR126-AI126-AJ126-AM126))/MAX(1,ABS(AC126),ABS(AC127)))</f>
        <v/>
      </c>
      <c r="BB126" s="35">
        <f>(1+INDEX(DiscRateAnn,INT(A126/12)+1))^(1/12)-1</f>
        <v/>
      </c>
      <c r="BC126" s="31">
        <f>(1+BB126)^-A126</f>
        <v/>
      </c>
      <c r="BD126" s="34">
        <f>AW126*BC126</f>
        <v/>
      </c>
    </row>
    <row r="127">
      <c r="A127" s="27">
        <f>A126+1</f>
        <v/>
      </c>
      <c r="B127" s="28">
        <f>Duration0+A127</f>
        <v/>
      </c>
      <c r="C127" s="27">
        <f>INT(B127/12)</f>
        <v/>
      </c>
      <c r="D127" s="28">
        <f>AgeAtEntry+C127</f>
        <v/>
      </c>
      <c r="E127" s="29">
        <f>IF(PremiumType="SINGLE",IF(B127=0,PremiumPPInput,0),IF(B127&lt;12*PolicyTerm,PremiumPPInput,0))</f>
        <v/>
      </c>
      <c r="F127" s="30">
        <f>INDEX(MortRates,MATCH(MIN(D127,120),MortAges,0),MAX(MIN(C127,5),0)+1)</f>
        <v/>
      </c>
      <c r="G127" s="31">
        <f>1-(1-F127)^(1/12)</f>
        <v/>
      </c>
      <c r="H127" s="32">
        <f>MAX(LapseBase-LapseStep*C127,LapseFloor)</f>
        <v/>
      </c>
      <c r="I127" s="32">
        <f>IF(HasSurrCharge,INDEX(SurrRates,MIN(C127,SurrDurMax)+1,MATCH(SurrChargeID,SurrTypes,0)),0)</f>
        <v/>
      </c>
      <c r="J127" s="33">
        <f>N126-P126-O126</f>
        <v/>
      </c>
      <c r="K127" s="30">
        <f>IF(B127=12*PolicyTerm,J127,0)</f>
        <v/>
      </c>
      <c r="L127" s="33">
        <f>J127-K127</f>
        <v/>
      </c>
      <c r="M127" s="30">
        <f>IF(B127=0,PolicyCount,0)</f>
        <v/>
      </c>
      <c r="N127" s="33">
        <f>L127+M127</f>
        <v/>
      </c>
      <c r="O127" s="31">
        <f>N127*G127</f>
        <v/>
      </c>
      <c r="P127" s="33">
        <f>(N127-O127)*(1-(1-H127)^(1/12))</f>
        <v/>
      </c>
      <c r="Q127" s="34">
        <f>X126+Z126</f>
        <v/>
      </c>
      <c r="R127" s="29">
        <f>(1-LoadPremRate)*E127</f>
        <v/>
      </c>
      <c r="S127" s="34">
        <f>Q127+R127</f>
        <v/>
      </c>
      <c r="T127" s="29">
        <f>MaintFeeRateAnn/12*S127</f>
        <v/>
      </c>
      <c r="U127" s="29">
        <f>MAX(SumAssured-S127,0)</f>
        <v/>
      </c>
      <c r="V127" s="35">
        <f>CoiMultiple*G127</f>
        <v/>
      </c>
      <c r="W127" s="34">
        <f>V127*U127</f>
        <v/>
      </c>
      <c r="X127" s="34">
        <f>S127-T127-W127</f>
        <v/>
      </c>
      <c r="Y127" s="36">
        <f>EXP((Mu-0.5*Sigma^2)/12+Sigma*SQRT(1/12)*INDEX(NormRand,ScenID,A127+1))-1</f>
        <v/>
      </c>
      <c r="Z127" s="34">
        <f>Y127*X127</f>
        <v/>
      </c>
      <c r="AA127" s="34">
        <f>X127+0.5*Z127</f>
        <v/>
      </c>
      <c r="AB127" s="34">
        <f>Q127*J127</f>
        <v/>
      </c>
      <c r="AC127" s="34">
        <f>Q127*L127</f>
        <v/>
      </c>
      <c r="AD127" s="34">
        <f>S127*N127</f>
        <v/>
      </c>
      <c r="AE127" s="34">
        <f>E127*N127</f>
        <v/>
      </c>
      <c r="AF127" s="34">
        <f>R127*N127</f>
        <v/>
      </c>
      <c r="AG127" s="29">
        <f>MAX(SumAssured,AA127)</f>
        <v/>
      </c>
      <c r="AH127" s="34">
        <f>AG127*O127</f>
        <v/>
      </c>
      <c r="AI127" s="34">
        <f>AA127*O127</f>
        <v/>
      </c>
      <c r="AJ127" s="34">
        <f>AA127*P127</f>
        <v/>
      </c>
      <c r="AK127" s="34">
        <f>I127*AA127*P127</f>
        <v/>
      </c>
      <c r="AL127" s="34">
        <f>AJ127-AK127</f>
        <v/>
      </c>
      <c r="AM127" s="34">
        <f>Q127*K127</f>
        <v/>
      </c>
      <c r="AN127" s="34">
        <f>AH127+AL127+AM127</f>
        <v/>
      </c>
      <c r="AO127" s="34">
        <f>(AG127-AA127)*O127</f>
        <v/>
      </c>
      <c r="AP127" s="34">
        <f>W127*N127</f>
        <v/>
      </c>
      <c r="AQ127" s="34">
        <f>T127*N127</f>
        <v/>
      </c>
      <c r="AR127" s="34">
        <f>Z127*J128+0.5*Z127*(O127+P127)</f>
        <v/>
      </c>
      <c r="AS127" s="30">
        <f>(1+InflationRate)^(A127/12)</f>
        <v/>
      </c>
      <c r="AT127" s="29">
        <f>ExpenseAcq*M127+N127*ExpenseMaint/12*AS127</f>
        <v/>
      </c>
      <c r="AU127" s="29">
        <f>CommissionRate*AE127</f>
        <v/>
      </c>
      <c r="AV127" s="34">
        <f>AB128-AB127</f>
        <v/>
      </c>
      <c r="AW127" s="34">
        <f>AE127+AR127-AN127-AT127-AU127-AV127</f>
        <v/>
      </c>
      <c r="AX127" s="29">
        <f>LoadPremRate*E127*N127+AK127+AQ127-AU127-AT127</f>
        <v/>
      </c>
      <c r="AY127" s="34">
        <f>AP127-AO127</f>
        <v/>
      </c>
      <c r="AZ127" s="37">
        <f>(AW127-AX127-AY127)/MAX(1,ABS(AW127),ABS(AX127),ABS(AY127))</f>
        <v/>
      </c>
      <c r="BA127" s="37">
        <f>IF(OR(K127&gt;0,K128&gt;0),0,(AC128-(AC127+AF127-AQ127-AP127+AR127-AI127-AJ127-AM127))/MAX(1,ABS(AC127),ABS(AC128)))</f>
        <v/>
      </c>
      <c r="BB127" s="35">
        <f>(1+INDEX(DiscRateAnn,INT(A127/12)+1))^(1/12)-1</f>
        <v/>
      </c>
      <c r="BC127" s="31">
        <f>(1+BB127)^-A127</f>
        <v/>
      </c>
      <c r="BD127" s="34">
        <f>AW127*BC127</f>
        <v/>
      </c>
    </row>
    <row r="128">
      <c r="A128" s="27">
        <f>A127+1</f>
        <v/>
      </c>
      <c r="B128" s="28">
        <f>Duration0+A128</f>
        <v/>
      </c>
      <c r="C128" s="27">
        <f>INT(B128/12)</f>
        <v/>
      </c>
      <c r="D128" s="28">
        <f>AgeAtEntry+C128</f>
        <v/>
      </c>
      <c r="E128" s="29">
        <f>IF(PremiumType="SINGLE",IF(B128=0,PremiumPPInput,0),IF(B128&lt;12*PolicyTerm,PremiumPPInput,0))</f>
        <v/>
      </c>
      <c r="F128" s="30">
        <f>INDEX(MortRates,MATCH(MIN(D128,120),MortAges,0),MAX(MIN(C128,5),0)+1)</f>
        <v/>
      </c>
      <c r="G128" s="31">
        <f>1-(1-F128)^(1/12)</f>
        <v/>
      </c>
      <c r="H128" s="32">
        <f>MAX(LapseBase-LapseStep*C128,LapseFloor)</f>
        <v/>
      </c>
      <c r="I128" s="32">
        <f>IF(HasSurrCharge,INDEX(SurrRates,MIN(C128,SurrDurMax)+1,MATCH(SurrChargeID,SurrTypes,0)),0)</f>
        <v/>
      </c>
      <c r="J128" s="33">
        <f>N127-P127-O127</f>
        <v/>
      </c>
      <c r="K128" s="30">
        <f>IF(B128=12*PolicyTerm,J128,0)</f>
        <v/>
      </c>
      <c r="L128" s="33">
        <f>J128-K128</f>
        <v/>
      </c>
      <c r="M128" s="30">
        <f>IF(B128=0,PolicyCount,0)</f>
        <v/>
      </c>
      <c r="N128" s="33">
        <f>L128+M128</f>
        <v/>
      </c>
      <c r="O128" s="31">
        <f>N128*G128</f>
        <v/>
      </c>
      <c r="P128" s="33">
        <f>(N128-O128)*(1-(1-H128)^(1/12))</f>
        <v/>
      </c>
      <c r="Q128" s="34">
        <f>X127+Z127</f>
        <v/>
      </c>
      <c r="R128" s="29">
        <f>(1-LoadPremRate)*E128</f>
        <v/>
      </c>
      <c r="S128" s="34">
        <f>Q128+R128</f>
        <v/>
      </c>
      <c r="T128" s="29">
        <f>MaintFeeRateAnn/12*S128</f>
        <v/>
      </c>
      <c r="U128" s="29">
        <f>MAX(SumAssured-S128,0)</f>
        <v/>
      </c>
      <c r="V128" s="35">
        <f>CoiMultiple*G128</f>
        <v/>
      </c>
      <c r="W128" s="34">
        <f>V128*U128</f>
        <v/>
      </c>
      <c r="X128" s="34">
        <f>S128-T128-W128</f>
        <v/>
      </c>
      <c r="Y128" s="36">
        <f>EXP((Mu-0.5*Sigma^2)/12+Sigma*SQRT(1/12)*INDEX(NormRand,ScenID,A128+1))-1</f>
        <v/>
      </c>
      <c r="Z128" s="34">
        <f>Y128*X128</f>
        <v/>
      </c>
      <c r="AA128" s="34">
        <f>X128+0.5*Z128</f>
        <v/>
      </c>
      <c r="AB128" s="34">
        <f>Q128*J128</f>
        <v/>
      </c>
      <c r="AC128" s="34">
        <f>Q128*L128</f>
        <v/>
      </c>
      <c r="AD128" s="34">
        <f>S128*N128</f>
        <v/>
      </c>
      <c r="AE128" s="34">
        <f>E128*N128</f>
        <v/>
      </c>
      <c r="AF128" s="34">
        <f>R128*N128</f>
        <v/>
      </c>
      <c r="AG128" s="29">
        <f>MAX(SumAssured,AA128)</f>
        <v/>
      </c>
      <c r="AH128" s="34">
        <f>AG128*O128</f>
        <v/>
      </c>
      <c r="AI128" s="34">
        <f>AA128*O128</f>
        <v/>
      </c>
      <c r="AJ128" s="34">
        <f>AA128*P128</f>
        <v/>
      </c>
      <c r="AK128" s="34">
        <f>I128*AA128*P128</f>
        <v/>
      </c>
      <c r="AL128" s="34">
        <f>AJ128-AK128</f>
        <v/>
      </c>
      <c r="AM128" s="34">
        <f>Q128*K128</f>
        <v/>
      </c>
      <c r="AN128" s="34">
        <f>AH128+AL128+AM128</f>
        <v/>
      </c>
      <c r="AO128" s="34">
        <f>(AG128-AA128)*O128</f>
        <v/>
      </c>
      <c r="AP128" s="34">
        <f>W128*N128</f>
        <v/>
      </c>
      <c r="AQ128" s="34">
        <f>T128*N128</f>
        <v/>
      </c>
      <c r="AR128" s="34">
        <f>Z128*J129+0.5*Z128*(O128+P128)</f>
        <v/>
      </c>
      <c r="AS128" s="30">
        <f>(1+InflationRate)^(A128/12)</f>
        <v/>
      </c>
      <c r="AT128" s="29">
        <f>ExpenseAcq*M128+N128*ExpenseMaint/12*AS128</f>
        <v/>
      </c>
      <c r="AU128" s="29">
        <f>CommissionRate*AE128</f>
        <v/>
      </c>
      <c r="AV128" s="34">
        <f>AB129-AB128</f>
        <v/>
      </c>
      <c r="AW128" s="34">
        <f>AE128+AR128-AN128-AT128-AU128-AV128</f>
        <v/>
      </c>
      <c r="AX128" s="29">
        <f>LoadPremRate*E128*N128+AK128+AQ128-AU128-AT128</f>
        <v/>
      </c>
      <c r="AY128" s="34">
        <f>AP128-AO128</f>
        <v/>
      </c>
      <c r="AZ128" s="37">
        <f>(AW128-AX128-AY128)/MAX(1,ABS(AW128),ABS(AX128),ABS(AY128))</f>
        <v/>
      </c>
      <c r="BA128" s="37">
        <f>IF(OR(K128&gt;0,K129&gt;0),0,(AC129-(AC128+AF128-AQ128-AP128+AR128-AI128-AJ128-AM128))/MAX(1,ABS(AC128),ABS(AC129)))</f>
        <v/>
      </c>
      <c r="BB128" s="35">
        <f>(1+INDEX(DiscRateAnn,INT(A128/12)+1))^(1/12)-1</f>
        <v/>
      </c>
      <c r="BC128" s="31">
        <f>(1+BB128)^-A128</f>
        <v/>
      </c>
      <c r="BD128" s="34">
        <f>AW128*BC128</f>
        <v/>
      </c>
    </row>
    <row r="129">
      <c r="A129" s="27">
        <f>A128+1</f>
        <v/>
      </c>
      <c r="B129" s="28">
        <f>Duration0+A129</f>
        <v/>
      </c>
      <c r="C129" s="27">
        <f>INT(B129/12)</f>
        <v/>
      </c>
      <c r="D129" s="28">
        <f>AgeAtEntry+C129</f>
        <v/>
      </c>
      <c r="E129" s="29">
        <f>IF(PremiumType="SINGLE",IF(B129=0,PremiumPPInput,0),IF(B129&lt;12*PolicyTerm,PremiumPPInput,0))</f>
        <v/>
      </c>
      <c r="F129" s="30">
        <f>INDEX(MortRates,MATCH(MIN(D129,120),MortAges,0),MAX(MIN(C129,5),0)+1)</f>
        <v/>
      </c>
      <c r="G129" s="31">
        <f>1-(1-F129)^(1/12)</f>
        <v/>
      </c>
      <c r="H129" s="32">
        <f>MAX(LapseBase-LapseStep*C129,LapseFloor)</f>
        <v/>
      </c>
      <c r="I129" s="32">
        <f>IF(HasSurrCharge,INDEX(SurrRates,MIN(C129,SurrDurMax)+1,MATCH(SurrChargeID,SurrTypes,0)),0)</f>
        <v/>
      </c>
      <c r="J129" s="33">
        <f>N128-P128-O128</f>
        <v/>
      </c>
      <c r="K129" s="30">
        <f>IF(B129=12*PolicyTerm,J129,0)</f>
        <v/>
      </c>
      <c r="L129" s="33">
        <f>J129-K129</f>
        <v/>
      </c>
      <c r="M129" s="30">
        <f>IF(B129=0,PolicyCount,0)</f>
        <v/>
      </c>
      <c r="N129" s="33">
        <f>L129+M129</f>
        <v/>
      </c>
      <c r="O129" s="31">
        <f>N129*G129</f>
        <v/>
      </c>
      <c r="P129" s="33">
        <f>(N129-O129)*(1-(1-H129)^(1/12))</f>
        <v/>
      </c>
      <c r="Q129" s="34">
        <f>X128+Z128</f>
        <v/>
      </c>
      <c r="R129" s="29">
        <f>(1-LoadPremRate)*E129</f>
        <v/>
      </c>
      <c r="S129" s="34">
        <f>Q129+R129</f>
        <v/>
      </c>
      <c r="T129" s="29">
        <f>MaintFeeRateAnn/12*S129</f>
        <v/>
      </c>
      <c r="U129" s="29">
        <f>MAX(SumAssured-S129,0)</f>
        <v/>
      </c>
      <c r="V129" s="35">
        <f>CoiMultiple*G129</f>
        <v/>
      </c>
      <c r="W129" s="34">
        <f>V129*U129</f>
        <v/>
      </c>
      <c r="X129" s="34">
        <f>S129-T129-W129</f>
        <v/>
      </c>
      <c r="Y129" s="36">
        <f>EXP((Mu-0.5*Sigma^2)/12+Sigma*SQRT(1/12)*INDEX(NormRand,ScenID,A129+1))-1</f>
        <v/>
      </c>
      <c r="Z129" s="34">
        <f>Y129*X129</f>
        <v/>
      </c>
      <c r="AA129" s="34">
        <f>X129+0.5*Z129</f>
        <v/>
      </c>
      <c r="AB129" s="34">
        <f>Q129*J129</f>
        <v/>
      </c>
      <c r="AC129" s="34">
        <f>Q129*L129</f>
        <v/>
      </c>
      <c r="AD129" s="34">
        <f>S129*N129</f>
        <v/>
      </c>
      <c r="AE129" s="34">
        <f>E129*N129</f>
        <v/>
      </c>
      <c r="AF129" s="34">
        <f>R129*N129</f>
        <v/>
      </c>
      <c r="AG129" s="29">
        <f>MAX(SumAssured,AA129)</f>
        <v/>
      </c>
      <c r="AH129" s="34">
        <f>AG129*O129</f>
        <v/>
      </c>
      <c r="AI129" s="34">
        <f>AA129*O129</f>
        <v/>
      </c>
      <c r="AJ129" s="34">
        <f>AA129*P129</f>
        <v/>
      </c>
      <c r="AK129" s="34">
        <f>I129*AA129*P129</f>
        <v/>
      </c>
      <c r="AL129" s="34">
        <f>AJ129-AK129</f>
        <v/>
      </c>
      <c r="AM129" s="34">
        <f>Q129*K129</f>
        <v/>
      </c>
      <c r="AN129" s="34">
        <f>AH129+AL129+AM129</f>
        <v/>
      </c>
      <c r="AO129" s="34">
        <f>(AG129-AA129)*O129</f>
        <v/>
      </c>
      <c r="AP129" s="34">
        <f>W129*N129</f>
        <v/>
      </c>
      <c r="AQ129" s="34">
        <f>T129*N129</f>
        <v/>
      </c>
      <c r="AR129" s="34">
        <f>Z129*J130+0.5*Z129*(O129+P129)</f>
        <v/>
      </c>
      <c r="AS129" s="30">
        <f>(1+InflationRate)^(A129/12)</f>
        <v/>
      </c>
      <c r="AT129" s="29">
        <f>ExpenseAcq*M129+N129*ExpenseMaint/12*AS129</f>
        <v/>
      </c>
      <c r="AU129" s="29">
        <f>CommissionRate*AE129</f>
        <v/>
      </c>
      <c r="AV129" s="34">
        <f>AB130-AB129</f>
        <v/>
      </c>
      <c r="AW129" s="34">
        <f>AE129+AR129-AN129-AT129-AU129-AV129</f>
        <v/>
      </c>
      <c r="AX129" s="29">
        <f>LoadPremRate*E129*N129+AK129+AQ129-AU129-AT129</f>
        <v/>
      </c>
      <c r="AY129" s="34">
        <f>AP129-AO129</f>
        <v/>
      </c>
      <c r="AZ129" s="37">
        <f>(AW129-AX129-AY129)/MAX(1,ABS(AW129),ABS(AX129),ABS(AY129))</f>
        <v/>
      </c>
      <c r="BA129" s="37">
        <f>IF(OR(K129&gt;0,K130&gt;0),0,(AC130-(AC129+AF129-AQ129-AP129+AR129-AI129-AJ129-AM129))/MAX(1,ABS(AC129),ABS(AC130)))</f>
        <v/>
      </c>
      <c r="BB129" s="35">
        <f>(1+INDEX(DiscRateAnn,INT(A129/12)+1))^(1/12)-1</f>
        <v/>
      </c>
      <c r="BC129" s="31">
        <f>(1+BB129)^-A129</f>
        <v/>
      </c>
      <c r="BD129" s="34">
        <f>AW129*BC129</f>
        <v/>
      </c>
    </row>
    <row r="130">
      <c r="A130" s="27">
        <f>A129+1</f>
        <v/>
      </c>
      <c r="B130" s="28">
        <f>Duration0+A130</f>
        <v/>
      </c>
      <c r="C130" s="27">
        <f>INT(B130/12)</f>
        <v/>
      </c>
      <c r="D130" s="28">
        <f>AgeAtEntry+C130</f>
        <v/>
      </c>
      <c r="E130" s="29">
        <f>IF(PremiumType="SINGLE",IF(B130=0,PremiumPPInput,0),IF(B130&lt;12*PolicyTerm,PremiumPPInput,0))</f>
        <v/>
      </c>
      <c r="F130" s="30">
        <f>INDEX(MortRates,MATCH(MIN(D130,120),MortAges,0),MAX(MIN(C130,5),0)+1)</f>
        <v/>
      </c>
      <c r="G130" s="31">
        <f>1-(1-F130)^(1/12)</f>
        <v/>
      </c>
      <c r="H130" s="32">
        <f>MAX(LapseBase-LapseStep*C130,LapseFloor)</f>
        <v/>
      </c>
      <c r="I130" s="32">
        <f>IF(HasSurrCharge,INDEX(SurrRates,MIN(C130,SurrDurMax)+1,MATCH(SurrChargeID,SurrTypes,0)),0)</f>
        <v/>
      </c>
      <c r="J130" s="33">
        <f>N129-P129-O129</f>
        <v/>
      </c>
      <c r="K130" s="30">
        <f>IF(B130=12*PolicyTerm,J130,0)</f>
        <v/>
      </c>
      <c r="L130" s="33">
        <f>J130-K130</f>
        <v/>
      </c>
      <c r="M130" s="30">
        <f>IF(B130=0,PolicyCount,0)</f>
        <v/>
      </c>
      <c r="N130" s="33">
        <f>L130+M130</f>
        <v/>
      </c>
      <c r="O130" s="31">
        <f>N130*G130</f>
        <v/>
      </c>
      <c r="P130" s="33">
        <f>(N130-O130)*(1-(1-H130)^(1/12))</f>
        <v/>
      </c>
      <c r="Q130" s="34">
        <f>X129+Z129</f>
        <v/>
      </c>
      <c r="R130" s="29">
        <f>(1-LoadPremRate)*E130</f>
        <v/>
      </c>
      <c r="S130" s="34">
        <f>Q130+R130</f>
        <v/>
      </c>
      <c r="T130" s="29">
        <f>MaintFeeRateAnn/12*S130</f>
        <v/>
      </c>
      <c r="U130" s="29">
        <f>MAX(SumAssured-S130,0)</f>
        <v/>
      </c>
      <c r="V130" s="35">
        <f>CoiMultiple*G130</f>
        <v/>
      </c>
      <c r="W130" s="34">
        <f>V130*U130</f>
        <v/>
      </c>
      <c r="X130" s="34">
        <f>S130-T130-W130</f>
        <v/>
      </c>
      <c r="Y130" s="36">
        <f>EXP((Mu-0.5*Sigma^2)/12+Sigma*SQRT(1/12)*INDEX(NormRand,ScenID,A130+1))-1</f>
        <v/>
      </c>
      <c r="Z130" s="34">
        <f>Y130*X130</f>
        <v/>
      </c>
      <c r="AA130" s="34">
        <f>X130+0.5*Z130</f>
        <v/>
      </c>
      <c r="AB130" s="34">
        <f>Q130*J130</f>
        <v/>
      </c>
      <c r="AC130" s="34">
        <f>Q130*L130</f>
        <v/>
      </c>
      <c r="AD130" s="34">
        <f>S130*N130</f>
        <v/>
      </c>
      <c r="AE130" s="34">
        <f>E130*N130</f>
        <v/>
      </c>
      <c r="AF130" s="34">
        <f>R130*N130</f>
        <v/>
      </c>
      <c r="AG130" s="29">
        <f>MAX(SumAssured,AA130)</f>
        <v/>
      </c>
      <c r="AH130" s="34">
        <f>AG130*O130</f>
        <v/>
      </c>
      <c r="AI130" s="34">
        <f>AA130*O130</f>
        <v/>
      </c>
      <c r="AJ130" s="34">
        <f>AA130*P130</f>
        <v/>
      </c>
      <c r="AK130" s="34">
        <f>I130*AA130*P130</f>
        <v/>
      </c>
      <c r="AL130" s="34">
        <f>AJ130-AK130</f>
        <v/>
      </c>
      <c r="AM130" s="34">
        <f>Q130*K130</f>
        <v/>
      </c>
      <c r="AN130" s="34">
        <f>AH130+AL130+AM130</f>
        <v/>
      </c>
      <c r="AO130" s="34">
        <f>(AG130-AA130)*O130</f>
        <v/>
      </c>
      <c r="AP130" s="34">
        <f>W130*N130</f>
        <v/>
      </c>
      <c r="AQ130" s="34">
        <f>T130*N130</f>
        <v/>
      </c>
      <c r="AR130" s="34">
        <f>Z130*J131+0.5*Z130*(O130+P130)</f>
        <v/>
      </c>
      <c r="AS130" s="30">
        <f>(1+InflationRate)^(A130/12)</f>
        <v/>
      </c>
      <c r="AT130" s="29">
        <f>ExpenseAcq*M130+N130*ExpenseMaint/12*AS130</f>
        <v/>
      </c>
      <c r="AU130" s="29">
        <f>CommissionRate*AE130</f>
        <v/>
      </c>
      <c r="AV130" s="34">
        <f>AB131-AB130</f>
        <v/>
      </c>
      <c r="AW130" s="34">
        <f>AE130+AR130-AN130-AT130-AU130-AV130</f>
        <v/>
      </c>
      <c r="AX130" s="29">
        <f>LoadPremRate*E130*N130+AK130+AQ130-AU130-AT130</f>
        <v/>
      </c>
      <c r="AY130" s="34">
        <f>AP130-AO130</f>
        <v/>
      </c>
      <c r="AZ130" s="37">
        <f>(AW130-AX130-AY130)/MAX(1,ABS(AW130),ABS(AX130),ABS(AY130))</f>
        <v/>
      </c>
      <c r="BA130" s="37">
        <f>IF(OR(K130&gt;0,K131&gt;0),0,(AC131-(AC130+AF130-AQ130-AP130+AR130-AI130-AJ130-AM130))/MAX(1,ABS(AC130),ABS(AC131)))</f>
        <v/>
      </c>
      <c r="BB130" s="35">
        <f>(1+INDEX(DiscRateAnn,INT(A130/12)+1))^(1/12)-1</f>
        <v/>
      </c>
      <c r="BC130" s="31">
        <f>(1+BB130)^-A130</f>
        <v/>
      </c>
      <c r="BD130" s="34">
        <f>AW130*BC130</f>
        <v/>
      </c>
    </row>
    <row r="131">
      <c r="A131" s="27">
        <f>A130+1</f>
        <v/>
      </c>
      <c r="B131" s="28">
        <f>Duration0+A131</f>
        <v/>
      </c>
      <c r="C131" s="27">
        <f>INT(B131/12)</f>
        <v/>
      </c>
      <c r="D131" s="28">
        <f>AgeAtEntry+C131</f>
        <v/>
      </c>
      <c r="E131" s="29">
        <f>IF(PremiumType="SINGLE",IF(B131=0,PremiumPPInput,0),IF(B131&lt;12*PolicyTerm,PremiumPPInput,0))</f>
        <v/>
      </c>
      <c r="F131" s="30">
        <f>INDEX(MortRates,MATCH(MIN(D131,120),MortAges,0),MAX(MIN(C131,5),0)+1)</f>
        <v/>
      </c>
      <c r="G131" s="31">
        <f>1-(1-F131)^(1/12)</f>
        <v/>
      </c>
      <c r="H131" s="32">
        <f>MAX(LapseBase-LapseStep*C131,LapseFloor)</f>
        <v/>
      </c>
      <c r="I131" s="32">
        <f>IF(HasSurrCharge,INDEX(SurrRates,MIN(C131,SurrDurMax)+1,MATCH(SurrChargeID,SurrTypes,0)),0)</f>
        <v/>
      </c>
      <c r="J131" s="33">
        <f>N130-P130-O130</f>
        <v/>
      </c>
      <c r="K131" s="30">
        <f>IF(B131=12*PolicyTerm,J131,0)</f>
        <v/>
      </c>
      <c r="L131" s="33">
        <f>J131-K131</f>
        <v/>
      </c>
      <c r="M131" s="30">
        <f>IF(B131=0,PolicyCount,0)</f>
        <v/>
      </c>
      <c r="N131" s="33">
        <f>L131+M131</f>
        <v/>
      </c>
      <c r="O131" s="31">
        <f>N131*G131</f>
        <v/>
      </c>
      <c r="P131" s="33">
        <f>(N131-O131)*(1-(1-H131)^(1/12))</f>
        <v/>
      </c>
      <c r="Q131" s="34">
        <f>X130+Z130</f>
        <v/>
      </c>
      <c r="R131" s="29">
        <f>(1-LoadPremRate)*E131</f>
        <v/>
      </c>
      <c r="S131" s="34">
        <f>Q131+R131</f>
        <v/>
      </c>
      <c r="T131" s="29">
        <f>MaintFeeRateAnn/12*S131</f>
        <v/>
      </c>
      <c r="U131" s="29">
        <f>MAX(SumAssured-S131,0)</f>
        <v/>
      </c>
      <c r="V131" s="35">
        <f>CoiMultiple*G131</f>
        <v/>
      </c>
      <c r="W131" s="34">
        <f>V131*U131</f>
        <v/>
      </c>
      <c r="X131" s="34">
        <f>S131-T131-W131</f>
        <v/>
      </c>
      <c r="Y131" s="36">
        <f>EXP((Mu-0.5*Sigma^2)/12+Sigma*SQRT(1/12)*INDEX(NormRand,ScenID,A131+1))-1</f>
        <v/>
      </c>
      <c r="Z131" s="34">
        <f>Y131*X131</f>
        <v/>
      </c>
      <c r="AA131" s="34">
        <f>X131+0.5*Z131</f>
        <v/>
      </c>
      <c r="AB131" s="34">
        <f>Q131*J131</f>
        <v/>
      </c>
      <c r="AC131" s="34">
        <f>Q131*L131</f>
        <v/>
      </c>
      <c r="AD131" s="34">
        <f>S131*N131</f>
        <v/>
      </c>
      <c r="AE131" s="34">
        <f>E131*N131</f>
        <v/>
      </c>
      <c r="AF131" s="34">
        <f>R131*N131</f>
        <v/>
      </c>
      <c r="AG131" s="29">
        <f>MAX(SumAssured,AA131)</f>
        <v/>
      </c>
      <c r="AH131" s="34">
        <f>AG131*O131</f>
        <v/>
      </c>
      <c r="AI131" s="34">
        <f>AA131*O131</f>
        <v/>
      </c>
      <c r="AJ131" s="34">
        <f>AA131*P131</f>
        <v/>
      </c>
      <c r="AK131" s="34">
        <f>I131*AA131*P131</f>
        <v/>
      </c>
      <c r="AL131" s="34">
        <f>AJ131-AK131</f>
        <v/>
      </c>
      <c r="AM131" s="34">
        <f>Q131*K131</f>
        <v/>
      </c>
      <c r="AN131" s="34">
        <f>AH131+AL131+AM131</f>
        <v/>
      </c>
      <c r="AO131" s="34">
        <f>(AG131-AA131)*O131</f>
        <v/>
      </c>
      <c r="AP131" s="34">
        <f>W131*N131</f>
        <v/>
      </c>
      <c r="AQ131" s="34">
        <f>T131*N131</f>
        <v/>
      </c>
      <c r="AR131" s="34">
        <f>Z131*J132+0.5*Z131*(O131+P131)</f>
        <v/>
      </c>
      <c r="AS131" s="30">
        <f>(1+InflationRate)^(A131/12)</f>
        <v/>
      </c>
      <c r="AT131" s="29">
        <f>ExpenseAcq*M131+N131*ExpenseMaint/12*AS131</f>
        <v/>
      </c>
      <c r="AU131" s="29">
        <f>CommissionRate*AE131</f>
        <v/>
      </c>
      <c r="AV131" s="34">
        <f>AB132-AB131</f>
        <v/>
      </c>
      <c r="AW131" s="34">
        <f>AE131+AR131-AN131-AT131-AU131-AV131</f>
        <v/>
      </c>
      <c r="AX131" s="29">
        <f>LoadPremRate*E131*N131+AK131+AQ131-AU131-AT131</f>
        <v/>
      </c>
      <c r="AY131" s="34">
        <f>AP131-AO131</f>
        <v/>
      </c>
      <c r="AZ131" s="37">
        <f>(AW131-AX131-AY131)/MAX(1,ABS(AW131),ABS(AX131),ABS(AY131))</f>
        <v/>
      </c>
      <c r="BA131" s="37">
        <f>IF(OR(K131&gt;0,K132&gt;0),0,(AC132-(AC131+AF131-AQ131-AP131+AR131-AI131-AJ131-AM131))/MAX(1,ABS(AC131),ABS(AC132)))</f>
        <v/>
      </c>
      <c r="BB131" s="35">
        <f>(1+INDEX(DiscRateAnn,INT(A131/12)+1))^(1/12)-1</f>
        <v/>
      </c>
      <c r="BC131" s="31">
        <f>(1+BB131)^-A131</f>
        <v/>
      </c>
      <c r="BD131" s="34">
        <f>AW131*BC131</f>
        <v/>
      </c>
    </row>
    <row r="132">
      <c r="A132" s="27">
        <f>A131+1</f>
        <v/>
      </c>
      <c r="B132" s="28">
        <f>Duration0+A132</f>
        <v/>
      </c>
      <c r="C132" s="27">
        <f>INT(B132/12)</f>
        <v/>
      </c>
      <c r="D132" s="28">
        <f>AgeAtEntry+C132</f>
        <v/>
      </c>
      <c r="E132" s="29">
        <f>IF(PremiumType="SINGLE",IF(B132=0,PremiumPPInput,0),IF(B132&lt;12*PolicyTerm,PremiumPPInput,0))</f>
        <v/>
      </c>
      <c r="F132" s="30">
        <f>INDEX(MortRates,MATCH(MIN(D132,120),MortAges,0),MAX(MIN(C132,5),0)+1)</f>
        <v/>
      </c>
      <c r="G132" s="31">
        <f>1-(1-F132)^(1/12)</f>
        <v/>
      </c>
      <c r="H132" s="32">
        <f>MAX(LapseBase-LapseStep*C132,LapseFloor)</f>
        <v/>
      </c>
      <c r="I132" s="32">
        <f>IF(HasSurrCharge,INDEX(SurrRates,MIN(C132,SurrDurMax)+1,MATCH(SurrChargeID,SurrTypes,0)),0)</f>
        <v/>
      </c>
      <c r="J132" s="33">
        <f>N131-P131-O131</f>
        <v/>
      </c>
      <c r="K132" s="30">
        <f>IF(B132=12*PolicyTerm,J132,0)</f>
        <v/>
      </c>
      <c r="L132" s="33">
        <f>J132-K132</f>
        <v/>
      </c>
      <c r="M132" s="30">
        <f>IF(B132=0,PolicyCount,0)</f>
        <v/>
      </c>
      <c r="N132" s="33">
        <f>L132+M132</f>
        <v/>
      </c>
      <c r="O132" s="31">
        <f>N132*G132</f>
        <v/>
      </c>
      <c r="P132" s="33">
        <f>(N132-O132)*(1-(1-H132)^(1/12))</f>
        <v/>
      </c>
      <c r="Q132" s="34">
        <f>X131+Z131</f>
        <v/>
      </c>
      <c r="R132" s="29">
        <f>(1-LoadPremRate)*E132</f>
        <v/>
      </c>
      <c r="S132" s="34">
        <f>Q132+R132</f>
        <v/>
      </c>
      <c r="T132" s="29">
        <f>MaintFeeRateAnn/12*S132</f>
        <v/>
      </c>
      <c r="U132" s="29">
        <f>MAX(SumAssured-S132,0)</f>
        <v/>
      </c>
      <c r="V132" s="35">
        <f>CoiMultiple*G132</f>
        <v/>
      </c>
      <c r="W132" s="34">
        <f>V132*U132</f>
        <v/>
      </c>
      <c r="X132" s="34">
        <f>S132-T132-W132</f>
        <v/>
      </c>
      <c r="Y132" s="36">
        <f>EXP((Mu-0.5*Sigma^2)/12+Sigma*SQRT(1/12)*INDEX(NormRand,ScenID,A132+1))-1</f>
        <v/>
      </c>
      <c r="Z132" s="34">
        <f>Y132*X132</f>
        <v/>
      </c>
      <c r="AA132" s="34">
        <f>X132+0.5*Z132</f>
        <v/>
      </c>
      <c r="AB132" s="34">
        <f>Q132*J132</f>
        <v/>
      </c>
      <c r="AC132" s="34">
        <f>Q132*L132</f>
        <v/>
      </c>
      <c r="AD132" s="34">
        <f>S132*N132</f>
        <v/>
      </c>
      <c r="AE132" s="34">
        <f>E132*N132</f>
        <v/>
      </c>
      <c r="AF132" s="34">
        <f>R132*N132</f>
        <v/>
      </c>
      <c r="AG132" s="29">
        <f>MAX(SumAssured,AA132)</f>
        <v/>
      </c>
      <c r="AH132" s="34">
        <f>AG132*O132</f>
        <v/>
      </c>
      <c r="AI132" s="34">
        <f>AA132*O132</f>
        <v/>
      </c>
      <c r="AJ132" s="34">
        <f>AA132*P132</f>
        <v/>
      </c>
      <c r="AK132" s="34">
        <f>I132*AA132*P132</f>
        <v/>
      </c>
      <c r="AL132" s="34">
        <f>AJ132-AK132</f>
        <v/>
      </c>
      <c r="AM132" s="34">
        <f>Q132*K132</f>
        <v/>
      </c>
      <c r="AN132" s="34">
        <f>AH132+AL132+AM132</f>
        <v/>
      </c>
      <c r="AO132" s="34">
        <f>(AG132-AA132)*O132</f>
        <v/>
      </c>
      <c r="AP132" s="34">
        <f>W132*N132</f>
        <v/>
      </c>
      <c r="AQ132" s="34">
        <f>T132*N132</f>
        <v/>
      </c>
      <c r="AR132" s="34">
        <f>Z132*J133+0.5*Z132*(O132+P132)</f>
        <v/>
      </c>
      <c r="AS132" s="30">
        <f>(1+InflationRate)^(A132/12)</f>
        <v/>
      </c>
      <c r="AT132" s="29">
        <f>ExpenseAcq*M132+N132*ExpenseMaint/12*AS132</f>
        <v/>
      </c>
      <c r="AU132" s="29">
        <f>CommissionRate*AE132</f>
        <v/>
      </c>
      <c r="AV132" s="34">
        <f>AB133-AB132</f>
        <v/>
      </c>
      <c r="AW132" s="34">
        <f>AE132+AR132-AN132-AT132-AU132-AV132</f>
        <v/>
      </c>
      <c r="AX132" s="29">
        <f>LoadPremRate*E132*N132+AK132+AQ132-AU132-AT132</f>
        <v/>
      </c>
      <c r="AY132" s="34">
        <f>AP132-AO132</f>
        <v/>
      </c>
      <c r="AZ132" s="37">
        <f>(AW132-AX132-AY132)/MAX(1,ABS(AW132),ABS(AX132),ABS(AY132))</f>
        <v/>
      </c>
      <c r="BA132" s="37">
        <f>IF(OR(K132&gt;0,K133&gt;0),0,(AC133-(AC132+AF132-AQ132-AP132+AR132-AI132-AJ132-AM132))/MAX(1,ABS(AC132),ABS(AC133)))</f>
        <v/>
      </c>
      <c r="BB132" s="35">
        <f>(1+INDEX(DiscRateAnn,INT(A132/12)+1))^(1/12)-1</f>
        <v/>
      </c>
      <c r="BC132" s="31">
        <f>(1+BB132)^-A132</f>
        <v/>
      </c>
      <c r="BD132" s="34">
        <f>AW132*BC132</f>
        <v/>
      </c>
    </row>
    <row r="133">
      <c r="A133" s="27">
        <f>A132+1</f>
        <v/>
      </c>
      <c r="B133" s="28">
        <f>Duration0+A133</f>
        <v/>
      </c>
      <c r="C133" s="27">
        <f>INT(B133/12)</f>
        <v/>
      </c>
      <c r="D133" s="28">
        <f>AgeAtEntry+C133</f>
        <v/>
      </c>
      <c r="E133" s="29">
        <f>IF(PremiumType="SINGLE",IF(B133=0,PremiumPPInput,0),IF(B133&lt;12*PolicyTerm,PremiumPPInput,0))</f>
        <v/>
      </c>
      <c r="F133" s="30">
        <f>INDEX(MortRates,MATCH(MIN(D133,120),MortAges,0),MAX(MIN(C133,5),0)+1)</f>
        <v/>
      </c>
      <c r="G133" s="31">
        <f>1-(1-F133)^(1/12)</f>
        <v/>
      </c>
      <c r="H133" s="32">
        <f>MAX(LapseBase-LapseStep*C133,LapseFloor)</f>
        <v/>
      </c>
      <c r="I133" s="32">
        <f>IF(HasSurrCharge,INDEX(SurrRates,MIN(C133,SurrDurMax)+1,MATCH(SurrChargeID,SurrTypes,0)),0)</f>
        <v/>
      </c>
      <c r="J133" s="33">
        <f>N132-P132-O132</f>
        <v/>
      </c>
      <c r="K133" s="30">
        <f>IF(B133=12*PolicyTerm,J133,0)</f>
        <v/>
      </c>
      <c r="L133" s="33">
        <f>J133-K133</f>
        <v/>
      </c>
      <c r="M133" s="30">
        <f>IF(B133=0,PolicyCount,0)</f>
        <v/>
      </c>
      <c r="N133" s="33">
        <f>L133+M133</f>
        <v/>
      </c>
      <c r="O133" s="31">
        <f>N133*G133</f>
        <v/>
      </c>
      <c r="P133" s="33">
        <f>(N133-O133)*(1-(1-H133)^(1/12))</f>
        <v/>
      </c>
      <c r="Q133" s="34">
        <f>X132+Z132</f>
        <v/>
      </c>
      <c r="R133" s="29">
        <f>(1-LoadPremRate)*E133</f>
        <v/>
      </c>
      <c r="S133" s="34">
        <f>Q133+R133</f>
        <v/>
      </c>
      <c r="T133" s="29">
        <f>MaintFeeRateAnn/12*S133</f>
        <v/>
      </c>
      <c r="U133" s="29">
        <f>MAX(SumAssured-S133,0)</f>
        <v/>
      </c>
      <c r="V133" s="35">
        <f>CoiMultiple*G133</f>
        <v/>
      </c>
      <c r="W133" s="34">
        <f>V133*U133</f>
        <v/>
      </c>
      <c r="X133" s="34">
        <f>S133-T133-W133</f>
        <v/>
      </c>
      <c r="Y133" s="36">
        <f>EXP((Mu-0.5*Sigma^2)/12+Sigma*SQRT(1/12)*INDEX(NormRand,ScenID,A133+1))-1</f>
        <v/>
      </c>
      <c r="Z133" s="34">
        <f>Y133*X133</f>
        <v/>
      </c>
      <c r="AA133" s="34">
        <f>X133+0.5*Z133</f>
        <v/>
      </c>
      <c r="AB133" s="34">
        <f>Q133*J133</f>
        <v/>
      </c>
      <c r="AC133" s="34">
        <f>Q133*L133</f>
        <v/>
      </c>
      <c r="AD133" s="34">
        <f>S133*N133</f>
        <v/>
      </c>
      <c r="AE133" s="34">
        <f>E133*N133</f>
        <v/>
      </c>
      <c r="AF133" s="34">
        <f>R133*N133</f>
        <v/>
      </c>
      <c r="AG133" s="29">
        <f>MAX(SumAssured,AA133)</f>
        <v/>
      </c>
      <c r="AH133" s="34">
        <f>AG133*O133</f>
        <v/>
      </c>
      <c r="AI133" s="34">
        <f>AA133*O133</f>
        <v/>
      </c>
      <c r="AJ133" s="34">
        <f>AA133*P133</f>
        <v/>
      </c>
      <c r="AK133" s="34">
        <f>I133*AA133*P133</f>
        <v/>
      </c>
      <c r="AL133" s="34">
        <f>AJ133-AK133</f>
        <v/>
      </c>
      <c r="AM133" s="34">
        <f>Q133*K133</f>
        <v/>
      </c>
      <c r="AN133" s="34">
        <f>AH133+AL133+AM133</f>
        <v/>
      </c>
      <c r="AO133" s="34">
        <f>(AG133-AA133)*O133</f>
        <v/>
      </c>
      <c r="AP133" s="34">
        <f>W133*N133</f>
        <v/>
      </c>
      <c r="AQ133" s="34">
        <f>T133*N133</f>
        <v/>
      </c>
      <c r="AR133" s="34">
        <f>Z133*J134+0.5*Z133*(O133+P133)</f>
        <v/>
      </c>
      <c r="AS133" s="30">
        <f>(1+InflationRate)^(A133/12)</f>
        <v/>
      </c>
      <c r="AT133" s="29">
        <f>ExpenseAcq*M133+N133*ExpenseMaint/12*AS133</f>
        <v/>
      </c>
      <c r="AU133" s="29">
        <f>CommissionRate*AE133</f>
        <v/>
      </c>
      <c r="AV133" s="34">
        <f>AB134-AB133</f>
        <v/>
      </c>
      <c r="AW133" s="34">
        <f>AE133+AR133-AN133-AT133-AU133-AV133</f>
        <v/>
      </c>
      <c r="AX133" s="29">
        <f>LoadPremRate*E133*N133+AK133+AQ133-AU133-AT133</f>
        <v/>
      </c>
      <c r="AY133" s="34">
        <f>AP133-AO133</f>
        <v/>
      </c>
      <c r="AZ133" s="37">
        <f>(AW133-AX133-AY133)/MAX(1,ABS(AW133),ABS(AX133),ABS(AY133))</f>
        <v/>
      </c>
      <c r="BA133" s="37">
        <f>IF(OR(K133&gt;0,K134&gt;0),0,(AC134-(AC133+AF133-AQ133-AP133+AR133-AI133-AJ133-AM133))/MAX(1,ABS(AC133),ABS(AC134)))</f>
        <v/>
      </c>
      <c r="BB133" s="35">
        <f>(1+INDEX(DiscRateAnn,INT(A133/12)+1))^(1/12)-1</f>
        <v/>
      </c>
      <c r="BC133" s="31">
        <f>(1+BB133)^-A133</f>
        <v/>
      </c>
      <c r="BD133" s="34">
        <f>AW133*BC133</f>
        <v/>
      </c>
    </row>
    <row r="134">
      <c r="A134" s="27">
        <f>A133+1</f>
        <v/>
      </c>
      <c r="B134" s="28">
        <f>Duration0+A134</f>
        <v/>
      </c>
      <c r="C134" s="27">
        <f>INT(B134/12)</f>
        <v/>
      </c>
      <c r="D134" s="28">
        <f>AgeAtEntry+C134</f>
        <v/>
      </c>
      <c r="E134" s="29">
        <f>IF(PremiumType="SINGLE",IF(B134=0,PremiumPPInput,0),IF(B134&lt;12*PolicyTerm,PremiumPPInput,0))</f>
        <v/>
      </c>
      <c r="F134" s="30">
        <f>INDEX(MortRates,MATCH(MIN(D134,120),MortAges,0),MAX(MIN(C134,5),0)+1)</f>
        <v/>
      </c>
      <c r="G134" s="31">
        <f>1-(1-F134)^(1/12)</f>
        <v/>
      </c>
      <c r="H134" s="32">
        <f>MAX(LapseBase-LapseStep*C134,LapseFloor)</f>
        <v/>
      </c>
      <c r="I134" s="32">
        <f>IF(HasSurrCharge,INDEX(SurrRates,MIN(C134,SurrDurMax)+1,MATCH(SurrChargeID,SurrTypes,0)),0)</f>
        <v/>
      </c>
      <c r="J134" s="33">
        <f>N133-P133-O133</f>
        <v/>
      </c>
      <c r="K134" s="30">
        <f>IF(B134=12*PolicyTerm,J134,0)</f>
        <v/>
      </c>
      <c r="L134" s="33">
        <f>J134-K134</f>
        <v/>
      </c>
      <c r="M134" s="30">
        <f>IF(B134=0,PolicyCount,0)</f>
        <v/>
      </c>
      <c r="N134" s="33">
        <f>L134+M134</f>
        <v/>
      </c>
      <c r="O134" s="31">
        <f>N134*G134</f>
        <v/>
      </c>
      <c r="P134" s="33">
        <f>(N134-O134)*(1-(1-H134)^(1/12))</f>
        <v/>
      </c>
      <c r="Q134" s="34">
        <f>X133+Z133</f>
        <v/>
      </c>
      <c r="R134" s="29">
        <f>(1-LoadPremRate)*E134</f>
        <v/>
      </c>
      <c r="S134" s="34">
        <f>Q134+R134</f>
        <v/>
      </c>
      <c r="T134" s="29">
        <f>MaintFeeRateAnn/12*S134</f>
        <v/>
      </c>
      <c r="U134" s="29">
        <f>MAX(SumAssured-S134,0)</f>
        <v/>
      </c>
      <c r="V134" s="35">
        <f>CoiMultiple*G134</f>
        <v/>
      </c>
      <c r="W134" s="34">
        <f>V134*U134</f>
        <v/>
      </c>
      <c r="X134" s="34">
        <f>S134-T134-W134</f>
        <v/>
      </c>
      <c r="Y134" s="36">
        <f>EXP((Mu-0.5*Sigma^2)/12+Sigma*SQRT(1/12)*INDEX(NormRand,ScenID,A134+1))-1</f>
        <v/>
      </c>
      <c r="Z134" s="34">
        <f>Y134*X134</f>
        <v/>
      </c>
      <c r="AA134" s="34">
        <f>X134+0.5*Z134</f>
        <v/>
      </c>
      <c r="AB134" s="34">
        <f>Q134*J134</f>
        <v/>
      </c>
      <c r="AC134" s="34">
        <f>Q134*L134</f>
        <v/>
      </c>
      <c r="AD134" s="34">
        <f>S134*N134</f>
        <v/>
      </c>
      <c r="AE134" s="34">
        <f>E134*N134</f>
        <v/>
      </c>
      <c r="AF134" s="34">
        <f>R134*N134</f>
        <v/>
      </c>
      <c r="AG134" s="29">
        <f>MAX(SumAssured,AA134)</f>
        <v/>
      </c>
      <c r="AH134" s="34">
        <f>AG134*O134</f>
        <v/>
      </c>
      <c r="AI134" s="34">
        <f>AA134*O134</f>
        <v/>
      </c>
      <c r="AJ134" s="34">
        <f>AA134*P134</f>
        <v/>
      </c>
      <c r="AK134" s="34">
        <f>I134*AA134*P134</f>
        <v/>
      </c>
      <c r="AL134" s="34">
        <f>AJ134-AK134</f>
        <v/>
      </c>
      <c r="AM134" s="34">
        <f>Q134*K134</f>
        <v/>
      </c>
      <c r="AN134" s="34">
        <f>AH134+AL134+AM134</f>
        <v/>
      </c>
      <c r="AO134" s="34">
        <f>(AG134-AA134)*O134</f>
        <v/>
      </c>
      <c r="AP134" s="34">
        <f>W134*N134</f>
        <v/>
      </c>
      <c r="AQ134" s="34">
        <f>T134*N134</f>
        <v/>
      </c>
      <c r="AR134" s="34">
        <f>Z134*J135+0.5*Z134*(O134+P134)</f>
        <v/>
      </c>
      <c r="AS134" s="30">
        <f>(1+InflationRate)^(A134/12)</f>
        <v/>
      </c>
      <c r="AT134" s="29">
        <f>ExpenseAcq*M134+N134*ExpenseMaint/12*AS134</f>
        <v/>
      </c>
      <c r="AU134" s="29">
        <f>CommissionRate*AE134</f>
        <v/>
      </c>
      <c r="AV134" s="34">
        <f>AB135-AB134</f>
        <v/>
      </c>
      <c r="AW134" s="34">
        <f>AE134+AR134-AN134-AT134-AU134-AV134</f>
        <v/>
      </c>
      <c r="AX134" s="29">
        <f>LoadPremRate*E134*N134+AK134+AQ134-AU134-AT134</f>
        <v/>
      </c>
      <c r="AY134" s="34">
        <f>AP134-AO134</f>
        <v/>
      </c>
      <c r="AZ134" s="37">
        <f>(AW134-AX134-AY134)/MAX(1,ABS(AW134),ABS(AX134),ABS(AY134))</f>
        <v/>
      </c>
      <c r="BA134" s="37">
        <f>IF(OR(K134&gt;0,K135&gt;0),0,(AC135-(AC134+AF134-AQ134-AP134+AR134-AI134-AJ134-AM134))/MAX(1,ABS(AC134),ABS(AC135)))</f>
        <v/>
      </c>
      <c r="BB134" s="35">
        <f>(1+INDEX(DiscRateAnn,INT(A134/12)+1))^(1/12)-1</f>
        <v/>
      </c>
      <c r="BC134" s="31">
        <f>(1+BB134)^-A134</f>
        <v/>
      </c>
      <c r="BD134" s="34">
        <f>AW134*BC134</f>
        <v/>
      </c>
    </row>
    <row r="135">
      <c r="A135" s="27">
        <f>A134+1</f>
        <v/>
      </c>
      <c r="B135" s="28">
        <f>Duration0+A135</f>
        <v/>
      </c>
      <c r="C135" s="27">
        <f>INT(B135/12)</f>
        <v/>
      </c>
      <c r="D135" s="28">
        <f>AgeAtEntry+C135</f>
        <v/>
      </c>
      <c r="E135" s="29">
        <f>IF(PremiumType="SINGLE",IF(B135=0,PremiumPPInput,0),IF(B135&lt;12*PolicyTerm,PremiumPPInput,0))</f>
        <v/>
      </c>
      <c r="F135" s="30">
        <f>INDEX(MortRates,MATCH(MIN(D135,120),MortAges,0),MAX(MIN(C135,5),0)+1)</f>
        <v/>
      </c>
      <c r="G135" s="31">
        <f>1-(1-F135)^(1/12)</f>
        <v/>
      </c>
      <c r="H135" s="32">
        <f>MAX(LapseBase-LapseStep*C135,LapseFloor)</f>
        <v/>
      </c>
      <c r="I135" s="32">
        <f>IF(HasSurrCharge,INDEX(SurrRates,MIN(C135,SurrDurMax)+1,MATCH(SurrChargeID,SurrTypes,0)),0)</f>
        <v/>
      </c>
      <c r="J135" s="33">
        <f>N134-P134-O134</f>
        <v/>
      </c>
      <c r="K135" s="30">
        <f>IF(B135=12*PolicyTerm,J135,0)</f>
        <v/>
      </c>
      <c r="L135" s="33">
        <f>J135-K135</f>
        <v/>
      </c>
      <c r="M135" s="30">
        <f>IF(B135=0,PolicyCount,0)</f>
        <v/>
      </c>
      <c r="N135" s="33">
        <f>L135+M135</f>
        <v/>
      </c>
      <c r="O135" s="31">
        <f>N135*G135</f>
        <v/>
      </c>
      <c r="P135" s="33">
        <f>(N135-O135)*(1-(1-H135)^(1/12))</f>
        <v/>
      </c>
      <c r="Q135" s="34">
        <f>X134+Z134</f>
        <v/>
      </c>
      <c r="R135" s="29">
        <f>(1-LoadPremRate)*E135</f>
        <v/>
      </c>
      <c r="S135" s="34">
        <f>Q135+R135</f>
        <v/>
      </c>
      <c r="T135" s="29">
        <f>MaintFeeRateAnn/12*S135</f>
        <v/>
      </c>
      <c r="U135" s="29">
        <f>MAX(SumAssured-S135,0)</f>
        <v/>
      </c>
      <c r="V135" s="35">
        <f>CoiMultiple*G135</f>
        <v/>
      </c>
      <c r="W135" s="34">
        <f>V135*U135</f>
        <v/>
      </c>
      <c r="X135" s="34">
        <f>S135-T135-W135</f>
        <v/>
      </c>
      <c r="Y135" s="36">
        <f>EXP((Mu-0.5*Sigma^2)/12+Sigma*SQRT(1/12)*INDEX(NormRand,ScenID,A135+1))-1</f>
        <v/>
      </c>
      <c r="Z135" s="34">
        <f>Y135*X135</f>
        <v/>
      </c>
      <c r="AA135" s="34">
        <f>X135+0.5*Z135</f>
        <v/>
      </c>
      <c r="AB135" s="34">
        <f>Q135*J135</f>
        <v/>
      </c>
      <c r="AC135" s="34">
        <f>Q135*L135</f>
        <v/>
      </c>
      <c r="AD135" s="34">
        <f>S135*N135</f>
        <v/>
      </c>
      <c r="AE135" s="34">
        <f>E135*N135</f>
        <v/>
      </c>
      <c r="AF135" s="34">
        <f>R135*N135</f>
        <v/>
      </c>
      <c r="AG135" s="29">
        <f>MAX(SumAssured,AA135)</f>
        <v/>
      </c>
      <c r="AH135" s="34">
        <f>AG135*O135</f>
        <v/>
      </c>
      <c r="AI135" s="34">
        <f>AA135*O135</f>
        <v/>
      </c>
      <c r="AJ135" s="34">
        <f>AA135*P135</f>
        <v/>
      </c>
      <c r="AK135" s="34">
        <f>I135*AA135*P135</f>
        <v/>
      </c>
      <c r="AL135" s="34">
        <f>AJ135-AK135</f>
        <v/>
      </c>
      <c r="AM135" s="34">
        <f>Q135*K135</f>
        <v/>
      </c>
      <c r="AN135" s="34">
        <f>AH135+AL135+AM135</f>
        <v/>
      </c>
      <c r="AO135" s="34">
        <f>(AG135-AA135)*O135</f>
        <v/>
      </c>
      <c r="AP135" s="34">
        <f>W135*N135</f>
        <v/>
      </c>
      <c r="AQ135" s="34">
        <f>T135*N135</f>
        <v/>
      </c>
      <c r="AR135" s="34">
        <f>Z135*J136+0.5*Z135*(O135+P135)</f>
        <v/>
      </c>
      <c r="AS135" s="30">
        <f>(1+InflationRate)^(A135/12)</f>
        <v/>
      </c>
      <c r="AT135" s="29">
        <f>ExpenseAcq*M135+N135*ExpenseMaint/12*AS135</f>
        <v/>
      </c>
      <c r="AU135" s="29">
        <f>CommissionRate*AE135</f>
        <v/>
      </c>
      <c r="AV135" s="34">
        <f>AB136-AB135</f>
        <v/>
      </c>
      <c r="AW135" s="34">
        <f>AE135+AR135-AN135-AT135-AU135-AV135</f>
        <v/>
      </c>
      <c r="AX135" s="29">
        <f>LoadPremRate*E135*N135+AK135+AQ135-AU135-AT135</f>
        <v/>
      </c>
      <c r="AY135" s="34">
        <f>AP135-AO135</f>
        <v/>
      </c>
      <c r="AZ135" s="37">
        <f>(AW135-AX135-AY135)/MAX(1,ABS(AW135),ABS(AX135),ABS(AY135))</f>
        <v/>
      </c>
      <c r="BA135" s="37">
        <f>IF(OR(K135&gt;0,K136&gt;0),0,(AC136-(AC135+AF135-AQ135-AP135+AR135-AI135-AJ135-AM135))/MAX(1,ABS(AC135),ABS(AC136)))</f>
        <v/>
      </c>
      <c r="BB135" s="35">
        <f>(1+INDEX(DiscRateAnn,INT(A135/12)+1))^(1/12)-1</f>
        <v/>
      </c>
      <c r="BC135" s="31">
        <f>(1+BB135)^-A135</f>
        <v/>
      </c>
      <c r="BD135" s="34">
        <f>AW135*BC135</f>
        <v/>
      </c>
    </row>
    <row r="136">
      <c r="A136" s="27">
        <f>A135+1</f>
        <v/>
      </c>
      <c r="B136" s="28">
        <f>Duration0+A136</f>
        <v/>
      </c>
      <c r="C136" s="27">
        <f>INT(B136/12)</f>
        <v/>
      </c>
      <c r="D136" s="28">
        <f>AgeAtEntry+C136</f>
        <v/>
      </c>
      <c r="E136" s="29">
        <f>IF(PremiumType="SINGLE",IF(B136=0,PremiumPPInput,0),IF(B136&lt;12*PolicyTerm,PremiumPPInput,0))</f>
        <v/>
      </c>
      <c r="F136" s="30">
        <f>INDEX(MortRates,MATCH(MIN(D136,120),MortAges,0),MAX(MIN(C136,5),0)+1)</f>
        <v/>
      </c>
      <c r="G136" s="31">
        <f>1-(1-F136)^(1/12)</f>
        <v/>
      </c>
      <c r="H136" s="32">
        <f>MAX(LapseBase-LapseStep*C136,LapseFloor)</f>
        <v/>
      </c>
      <c r="I136" s="32">
        <f>IF(HasSurrCharge,INDEX(SurrRates,MIN(C136,SurrDurMax)+1,MATCH(SurrChargeID,SurrTypes,0)),0)</f>
        <v/>
      </c>
      <c r="J136" s="33">
        <f>N135-P135-O135</f>
        <v/>
      </c>
      <c r="K136" s="30">
        <f>IF(B136=12*PolicyTerm,J136,0)</f>
        <v/>
      </c>
      <c r="L136" s="33">
        <f>J136-K136</f>
        <v/>
      </c>
      <c r="M136" s="30">
        <f>IF(B136=0,PolicyCount,0)</f>
        <v/>
      </c>
      <c r="N136" s="33">
        <f>L136+M136</f>
        <v/>
      </c>
      <c r="O136" s="31">
        <f>N136*G136</f>
        <v/>
      </c>
      <c r="P136" s="33">
        <f>(N136-O136)*(1-(1-H136)^(1/12))</f>
        <v/>
      </c>
      <c r="Q136" s="34">
        <f>X135+Z135</f>
        <v/>
      </c>
      <c r="R136" s="29">
        <f>(1-LoadPremRate)*E136</f>
        <v/>
      </c>
      <c r="S136" s="34">
        <f>Q136+R136</f>
        <v/>
      </c>
      <c r="T136" s="29">
        <f>MaintFeeRateAnn/12*S136</f>
        <v/>
      </c>
      <c r="U136" s="29">
        <f>MAX(SumAssured-S136,0)</f>
        <v/>
      </c>
      <c r="V136" s="35">
        <f>CoiMultiple*G136</f>
        <v/>
      </c>
      <c r="W136" s="34">
        <f>V136*U136</f>
        <v/>
      </c>
      <c r="X136" s="34">
        <f>S136-T136-W136</f>
        <v/>
      </c>
      <c r="Y136" s="36">
        <f>EXP((Mu-0.5*Sigma^2)/12+Sigma*SQRT(1/12)*INDEX(NormRand,ScenID,A136+1))-1</f>
        <v/>
      </c>
      <c r="Z136" s="34">
        <f>Y136*X136</f>
        <v/>
      </c>
      <c r="AA136" s="34">
        <f>X136+0.5*Z136</f>
        <v/>
      </c>
      <c r="AB136" s="34">
        <f>Q136*J136</f>
        <v/>
      </c>
      <c r="AC136" s="34">
        <f>Q136*L136</f>
        <v/>
      </c>
      <c r="AD136" s="34">
        <f>S136*N136</f>
        <v/>
      </c>
      <c r="AE136" s="34">
        <f>E136*N136</f>
        <v/>
      </c>
      <c r="AF136" s="34">
        <f>R136*N136</f>
        <v/>
      </c>
      <c r="AG136" s="29">
        <f>MAX(SumAssured,AA136)</f>
        <v/>
      </c>
      <c r="AH136" s="34">
        <f>AG136*O136</f>
        <v/>
      </c>
      <c r="AI136" s="34">
        <f>AA136*O136</f>
        <v/>
      </c>
      <c r="AJ136" s="34">
        <f>AA136*P136</f>
        <v/>
      </c>
      <c r="AK136" s="34">
        <f>I136*AA136*P136</f>
        <v/>
      </c>
      <c r="AL136" s="34">
        <f>AJ136-AK136</f>
        <v/>
      </c>
      <c r="AM136" s="34">
        <f>Q136*K136</f>
        <v/>
      </c>
      <c r="AN136" s="34">
        <f>AH136+AL136+AM136</f>
        <v/>
      </c>
      <c r="AO136" s="34">
        <f>(AG136-AA136)*O136</f>
        <v/>
      </c>
      <c r="AP136" s="34">
        <f>W136*N136</f>
        <v/>
      </c>
      <c r="AQ136" s="34">
        <f>T136*N136</f>
        <v/>
      </c>
      <c r="AR136" s="34">
        <f>Z136*J137+0.5*Z136*(O136+P136)</f>
        <v/>
      </c>
      <c r="AS136" s="30">
        <f>(1+InflationRate)^(A136/12)</f>
        <v/>
      </c>
      <c r="AT136" s="29">
        <f>ExpenseAcq*M136+N136*ExpenseMaint/12*AS136</f>
        <v/>
      </c>
      <c r="AU136" s="29">
        <f>CommissionRate*AE136</f>
        <v/>
      </c>
      <c r="AV136" s="34">
        <f>AB137-AB136</f>
        <v/>
      </c>
      <c r="AW136" s="34">
        <f>AE136+AR136-AN136-AT136-AU136-AV136</f>
        <v/>
      </c>
      <c r="AX136" s="29">
        <f>LoadPremRate*E136*N136+AK136+AQ136-AU136-AT136</f>
        <v/>
      </c>
      <c r="AY136" s="34">
        <f>AP136-AO136</f>
        <v/>
      </c>
      <c r="AZ136" s="37">
        <f>(AW136-AX136-AY136)/MAX(1,ABS(AW136),ABS(AX136),ABS(AY136))</f>
        <v/>
      </c>
      <c r="BA136" s="37">
        <f>IF(OR(K136&gt;0,K137&gt;0),0,(AC137-(AC136+AF136-AQ136-AP136+AR136-AI136-AJ136-AM136))/MAX(1,ABS(AC136),ABS(AC137)))</f>
        <v/>
      </c>
      <c r="BB136" s="35">
        <f>(1+INDEX(DiscRateAnn,INT(A136/12)+1))^(1/12)-1</f>
        <v/>
      </c>
      <c r="BC136" s="31">
        <f>(1+BB136)^-A136</f>
        <v/>
      </c>
      <c r="BD136" s="34">
        <f>AW136*BC136</f>
        <v/>
      </c>
    </row>
    <row r="137">
      <c r="A137" s="27">
        <f>A136+1</f>
        <v/>
      </c>
      <c r="B137" s="28">
        <f>Duration0+A137</f>
        <v/>
      </c>
      <c r="C137" s="27">
        <f>INT(B137/12)</f>
        <v/>
      </c>
      <c r="D137" s="28">
        <f>AgeAtEntry+C137</f>
        <v/>
      </c>
      <c r="E137" s="29">
        <f>IF(PremiumType="SINGLE",IF(B137=0,PremiumPPInput,0),IF(B137&lt;12*PolicyTerm,PremiumPPInput,0))</f>
        <v/>
      </c>
      <c r="F137" s="30">
        <f>INDEX(MortRates,MATCH(MIN(D137,120),MortAges,0),MAX(MIN(C137,5),0)+1)</f>
        <v/>
      </c>
      <c r="G137" s="31">
        <f>1-(1-F137)^(1/12)</f>
        <v/>
      </c>
      <c r="H137" s="32">
        <f>MAX(LapseBase-LapseStep*C137,LapseFloor)</f>
        <v/>
      </c>
      <c r="I137" s="32">
        <f>IF(HasSurrCharge,INDEX(SurrRates,MIN(C137,SurrDurMax)+1,MATCH(SurrChargeID,SurrTypes,0)),0)</f>
        <v/>
      </c>
      <c r="J137" s="33">
        <f>N136-P136-O136</f>
        <v/>
      </c>
      <c r="K137" s="30">
        <f>IF(B137=12*PolicyTerm,J137,0)</f>
        <v/>
      </c>
      <c r="L137" s="33">
        <f>J137-K137</f>
        <v/>
      </c>
      <c r="M137" s="30">
        <f>IF(B137=0,PolicyCount,0)</f>
        <v/>
      </c>
      <c r="N137" s="33">
        <f>L137+M137</f>
        <v/>
      </c>
      <c r="O137" s="31">
        <f>N137*G137</f>
        <v/>
      </c>
      <c r="P137" s="33">
        <f>(N137-O137)*(1-(1-H137)^(1/12))</f>
        <v/>
      </c>
      <c r="Q137" s="34">
        <f>X136+Z136</f>
        <v/>
      </c>
      <c r="R137" s="29">
        <f>(1-LoadPremRate)*E137</f>
        <v/>
      </c>
      <c r="S137" s="34">
        <f>Q137+R137</f>
        <v/>
      </c>
      <c r="T137" s="29">
        <f>MaintFeeRateAnn/12*S137</f>
        <v/>
      </c>
      <c r="U137" s="29">
        <f>MAX(SumAssured-S137,0)</f>
        <v/>
      </c>
      <c r="V137" s="35">
        <f>CoiMultiple*G137</f>
        <v/>
      </c>
      <c r="W137" s="34">
        <f>V137*U137</f>
        <v/>
      </c>
      <c r="X137" s="34">
        <f>S137-T137-W137</f>
        <v/>
      </c>
      <c r="Y137" s="36">
        <f>EXP((Mu-0.5*Sigma^2)/12+Sigma*SQRT(1/12)*INDEX(NormRand,ScenID,A137+1))-1</f>
        <v/>
      </c>
      <c r="Z137" s="34">
        <f>Y137*X137</f>
        <v/>
      </c>
      <c r="AA137" s="34">
        <f>X137+0.5*Z137</f>
        <v/>
      </c>
      <c r="AB137" s="34">
        <f>Q137*J137</f>
        <v/>
      </c>
      <c r="AC137" s="34">
        <f>Q137*L137</f>
        <v/>
      </c>
      <c r="AD137" s="34">
        <f>S137*N137</f>
        <v/>
      </c>
      <c r="AE137" s="34">
        <f>E137*N137</f>
        <v/>
      </c>
      <c r="AF137" s="34">
        <f>R137*N137</f>
        <v/>
      </c>
      <c r="AG137" s="29">
        <f>MAX(SumAssured,AA137)</f>
        <v/>
      </c>
      <c r="AH137" s="34">
        <f>AG137*O137</f>
        <v/>
      </c>
      <c r="AI137" s="34">
        <f>AA137*O137</f>
        <v/>
      </c>
      <c r="AJ137" s="34">
        <f>AA137*P137</f>
        <v/>
      </c>
      <c r="AK137" s="34">
        <f>I137*AA137*P137</f>
        <v/>
      </c>
      <c r="AL137" s="34">
        <f>AJ137-AK137</f>
        <v/>
      </c>
      <c r="AM137" s="34">
        <f>Q137*K137</f>
        <v/>
      </c>
      <c r="AN137" s="34">
        <f>AH137+AL137+AM137</f>
        <v/>
      </c>
      <c r="AO137" s="34">
        <f>(AG137-AA137)*O137</f>
        <v/>
      </c>
      <c r="AP137" s="34">
        <f>W137*N137</f>
        <v/>
      </c>
      <c r="AQ137" s="34">
        <f>T137*N137</f>
        <v/>
      </c>
      <c r="AR137" s="34">
        <f>Z137*J138+0.5*Z137*(O137+P137)</f>
        <v/>
      </c>
      <c r="AS137" s="30">
        <f>(1+InflationRate)^(A137/12)</f>
        <v/>
      </c>
      <c r="AT137" s="29">
        <f>ExpenseAcq*M137+N137*ExpenseMaint/12*AS137</f>
        <v/>
      </c>
      <c r="AU137" s="29">
        <f>CommissionRate*AE137</f>
        <v/>
      </c>
      <c r="AV137" s="34">
        <f>AB138-AB137</f>
        <v/>
      </c>
      <c r="AW137" s="34">
        <f>AE137+AR137-AN137-AT137-AU137-AV137</f>
        <v/>
      </c>
      <c r="AX137" s="29">
        <f>LoadPremRate*E137*N137+AK137+AQ137-AU137-AT137</f>
        <v/>
      </c>
      <c r="AY137" s="34">
        <f>AP137-AO137</f>
        <v/>
      </c>
      <c r="AZ137" s="37">
        <f>(AW137-AX137-AY137)/MAX(1,ABS(AW137),ABS(AX137),ABS(AY137))</f>
        <v/>
      </c>
      <c r="BA137" s="37">
        <f>IF(OR(K137&gt;0,K138&gt;0),0,(AC138-(AC137+AF137-AQ137-AP137+AR137-AI137-AJ137-AM137))/MAX(1,ABS(AC137),ABS(AC138)))</f>
        <v/>
      </c>
      <c r="BB137" s="35">
        <f>(1+INDEX(DiscRateAnn,INT(A137/12)+1))^(1/12)-1</f>
        <v/>
      </c>
      <c r="BC137" s="31">
        <f>(1+BB137)^-A137</f>
        <v/>
      </c>
      <c r="BD137" s="34">
        <f>AW137*BC137</f>
        <v/>
      </c>
    </row>
    <row r="138">
      <c r="A138" s="27">
        <f>A137+1</f>
        <v/>
      </c>
      <c r="B138" s="28">
        <f>Duration0+A138</f>
        <v/>
      </c>
      <c r="C138" s="27">
        <f>INT(B138/12)</f>
        <v/>
      </c>
      <c r="D138" s="28">
        <f>AgeAtEntry+C138</f>
        <v/>
      </c>
      <c r="E138" s="29">
        <f>IF(PremiumType="SINGLE",IF(B138=0,PremiumPPInput,0),IF(B138&lt;12*PolicyTerm,PremiumPPInput,0))</f>
        <v/>
      </c>
      <c r="F138" s="30">
        <f>INDEX(MortRates,MATCH(MIN(D138,120),MortAges,0),MAX(MIN(C138,5),0)+1)</f>
        <v/>
      </c>
      <c r="G138" s="31">
        <f>1-(1-F138)^(1/12)</f>
        <v/>
      </c>
      <c r="H138" s="32">
        <f>MAX(LapseBase-LapseStep*C138,LapseFloor)</f>
        <v/>
      </c>
      <c r="I138" s="32">
        <f>IF(HasSurrCharge,INDEX(SurrRates,MIN(C138,SurrDurMax)+1,MATCH(SurrChargeID,SurrTypes,0)),0)</f>
        <v/>
      </c>
      <c r="J138" s="33">
        <f>N137-P137-O137</f>
        <v/>
      </c>
      <c r="K138" s="30">
        <f>IF(B138=12*PolicyTerm,J138,0)</f>
        <v/>
      </c>
      <c r="L138" s="33">
        <f>J138-K138</f>
        <v/>
      </c>
      <c r="M138" s="30">
        <f>IF(B138=0,PolicyCount,0)</f>
        <v/>
      </c>
      <c r="N138" s="33">
        <f>L138+M138</f>
        <v/>
      </c>
      <c r="O138" s="31">
        <f>N138*G138</f>
        <v/>
      </c>
      <c r="P138" s="33">
        <f>(N138-O138)*(1-(1-H138)^(1/12))</f>
        <v/>
      </c>
      <c r="Q138" s="34">
        <f>X137+Z137</f>
        <v/>
      </c>
      <c r="R138" s="29">
        <f>(1-LoadPremRate)*E138</f>
        <v/>
      </c>
      <c r="S138" s="34">
        <f>Q138+R138</f>
        <v/>
      </c>
      <c r="T138" s="29">
        <f>MaintFeeRateAnn/12*S138</f>
        <v/>
      </c>
      <c r="U138" s="29">
        <f>MAX(SumAssured-S138,0)</f>
        <v/>
      </c>
      <c r="V138" s="35">
        <f>CoiMultiple*G138</f>
        <v/>
      </c>
      <c r="W138" s="34">
        <f>V138*U138</f>
        <v/>
      </c>
      <c r="X138" s="34">
        <f>S138-T138-W138</f>
        <v/>
      </c>
      <c r="Y138" s="36">
        <f>EXP((Mu-0.5*Sigma^2)/12+Sigma*SQRT(1/12)*INDEX(NormRand,ScenID,A138+1))-1</f>
        <v/>
      </c>
      <c r="Z138" s="34">
        <f>Y138*X138</f>
        <v/>
      </c>
      <c r="AA138" s="34">
        <f>X138+0.5*Z138</f>
        <v/>
      </c>
      <c r="AB138" s="34">
        <f>Q138*J138</f>
        <v/>
      </c>
      <c r="AC138" s="34">
        <f>Q138*L138</f>
        <v/>
      </c>
      <c r="AD138" s="34">
        <f>S138*N138</f>
        <v/>
      </c>
      <c r="AE138" s="34">
        <f>E138*N138</f>
        <v/>
      </c>
      <c r="AF138" s="34">
        <f>R138*N138</f>
        <v/>
      </c>
      <c r="AG138" s="29">
        <f>MAX(SumAssured,AA138)</f>
        <v/>
      </c>
      <c r="AH138" s="34">
        <f>AG138*O138</f>
        <v/>
      </c>
      <c r="AI138" s="34">
        <f>AA138*O138</f>
        <v/>
      </c>
      <c r="AJ138" s="34">
        <f>AA138*P138</f>
        <v/>
      </c>
      <c r="AK138" s="34">
        <f>I138*AA138*P138</f>
        <v/>
      </c>
      <c r="AL138" s="34">
        <f>AJ138-AK138</f>
        <v/>
      </c>
      <c r="AM138" s="34">
        <f>Q138*K138</f>
        <v/>
      </c>
      <c r="AN138" s="34">
        <f>AH138+AL138+AM138</f>
        <v/>
      </c>
      <c r="AO138" s="34">
        <f>(AG138-AA138)*O138</f>
        <v/>
      </c>
      <c r="AP138" s="34">
        <f>W138*N138</f>
        <v/>
      </c>
      <c r="AQ138" s="34">
        <f>T138*N138</f>
        <v/>
      </c>
      <c r="AR138" s="34">
        <f>Z138*J139+0.5*Z138*(O138+P138)</f>
        <v/>
      </c>
      <c r="AS138" s="30">
        <f>(1+InflationRate)^(A138/12)</f>
        <v/>
      </c>
      <c r="AT138" s="29">
        <f>ExpenseAcq*M138+N138*ExpenseMaint/12*AS138</f>
        <v/>
      </c>
      <c r="AU138" s="29">
        <f>CommissionRate*AE138</f>
        <v/>
      </c>
      <c r="AV138" s="34">
        <f>AB139-AB138</f>
        <v/>
      </c>
      <c r="AW138" s="34">
        <f>AE138+AR138-AN138-AT138-AU138-AV138</f>
        <v/>
      </c>
      <c r="AX138" s="29">
        <f>LoadPremRate*E138*N138+AK138+AQ138-AU138-AT138</f>
        <v/>
      </c>
      <c r="AY138" s="34">
        <f>AP138-AO138</f>
        <v/>
      </c>
      <c r="AZ138" s="37">
        <f>(AW138-AX138-AY138)/MAX(1,ABS(AW138),ABS(AX138),ABS(AY138))</f>
        <v/>
      </c>
      <c r="BA138" s="37">
        <f>IF(OR(K138&gt;0,K139&gt;0),0,(AC139-(AC138+AF138-AQ138-AP138+AR138-AI138-AJ138-AM138))/MAX(1,ABS(AC138),ABS(AC139)))</f>
        <v/>
      </c>
      <c r="BB138" s="35">
        <f>(1+INDEX(DiscRateAnn,INT(A138/12)+1))^(1/12)-1</f>
        <v/>
      </c>
      <c r="BC138" s="31">
        <f>(1+BB138)^-A138</f>
        <v/>
      </c>
      <c r="BD138" s="34">
        <f>AW138*BC138</f>
        <v/>
      </c>
    </row>
    <row r="139">
      <c r="A139" s="27">
        <f>A138+1</f>
        <v/>
      </c>
      <c r="B139" s="28">
        <f>Duration0+A139</f>
        <v/>
      </c>
      <c r="C139" s="27">
        <f>INT(B139/12)</f>
        <v/>
      </c>
      <c r="D139" s="28">
        <f>AgeAtEntry+C139</f>
        <v/>
      </c>
      <c r="E139" s="29">
        <f>IF(PremiumType="SINGLE",IF(B139=0,PremiumPPInput,0),IF(B139&lt;12*PolicyTerm,PremiumPPInput,0))</f>
        <v/>
      </c>
      <c r="F139" s="30">
        <f>INDEX(MortRates,MATCH(MIN(D139,120),MortAges,0),MAX(MIN(C139,5),0)+1)</f>
        <v/>
      </c>
      <c r="G139" s="31">
        <f>1-(1-F139)^(1/12)</f>
        <v/>
      </c>
      <c r="H139" s="32">
        <f>MAX(LapseBase-LapseStep*C139,LapseFloor)</f>
        <v/>
      </c>
      <c r="I139" s="32">
        <f>IF(HasSurrCharge,INDEX(SurrRates,MIN(C139,SurrDurMax)+1,MATCH(SurrChargeID,SurrTypes,0)),0)</f>
        <v/>
      </c>
      <c r="J139" s="33">
        <f>N138-P138-O138</f>
        <v/>
      </c>
      <c r="K139" s="30">
        <f>IF(B139=12*PolicyTerm,J139,0)</f>
        <v/>
      </c>
      <c r="L139" s="33">
        <f>J139-K139</f>
        <v/>
      </c>
      <c r="M139" s="30">
        <f>IF(B139=0,PolicyCount,0)</f>
        <v/>
      </c>
      <c r="N139" s="33">
        <f>L139+M139</f>
        <v/>
      </c>
      <c r="O139" s="31">
        <f>N139*G139</f>
        <v/>
      </c>
      <c r="P139" s="33">
        <f>(N139-O139)*(1-(1-H139)^(1/12))</f>
        <v/>
      </c>
      <c r="Q139" s="34">
        <f>X138+Z138</f>
        <v/>
      </c>
      <c r="R139" s="29">
        <f>(1-LoadPremRate)*E139</f>
        <v/>
      </c>
      <c r="S139" s="34">
        <f>Q139+R139</f>
        <v/>
      </c>
      <c r="T139" s="29">
        <f>MaintFeeRateAnn/12*S139</f>
        <v/>
      </c>
      <c r="U139" s="29">
        <f>MAX(SumAssured-S139,0)</f>
        <v/>
      </c>
      <c r="V139" s="35">
        <f>CoiMultiple*G139</f>
        <v/>
      </c>
      <c r="W139" s="34">
        <f>V139*U139</f>
        <v/>
      </c>
      <c r="X139" s="34">
        <f>S139-T139-W139</f>
        <v/>
      </c>
      <c r="Y139" s="36">
        <f>EXP((Mu-0.5*Sigma^2)/12+Sigma*SQRT(1/12)*INDEX(NormRand,ScenID,A139+1))-1</f>
        <v/>
      </c>
      <c r="Z139" s="34">
        <f>Y139*X139</f>
        <v/>
      </c>
      <c r="AA139" s="34">
        <f>X139+0.5*Z139</f>
        <v/>
      </c>
      <c r="AB139" s="34">
        <f>Q139*J139</f>
        <v/>
      </c>
      <c r="AC139" s="34">
        <f>Q139*L139</f>
        <v/>
      </c>
      <c r="AD139" s="34">
        <f>S139*N139</f>
        <v/>
      </c>
      <c r="AE139" s="34">
        <f>E139*N139</f>
        <v/>
      </c>
      <c r="AF139" s="34">
        <f>R139*N139</f>
        <v/>
      </c>
      <c r="AG139" s="29">
        <f>MAX(SumAssured,AA139)</f>
        <v/>
      </c>
      <c r="AH139" s="34">
        <f>AG139*O139</f>
        <v/>
      </c>
      <c r="AI139" s="34">
        <f>AA139*O139</f>
        <v/>
      </c>
      <c r="AJ139" s="34">
        <f>AA139*P139</f>
        <v/>
      </c>
      <c r="AK139" s="34">
        <f>I139*AA139*P139</f>
        <v/>
      </c>
      <c r="AL139" s="34">
        <f>AJ139-AK139</f>
        <v/>
      </c>
      <c r="AM139" s="34">
        <f>Q139*K139</f>
        <v/>
      </c>
      <c r="AN139" s="34">
        <f>AH139+AL139+AM139</f>
        <v/>
      </c>
      <c r="AO139" s="34">
        <f>(AG139-AA139)*O139</f>
        <v/>
      </c>
      <c r="AP139" s="34">
        <f>W139*N139</f>
        <v/>
      </c>
      <c r="AQ139" s="34">
        <f>T139*N139</f>
        <v/>
      </c>
      <c r="AR139" s="34">
        <f>Z139*J140+0.5*Z139*(O139+P139)</f>
        <v/>
      </c>
      <c r="AS139" s="30">
        <f>(1+InflationRate)^(A139/12)</f>
        <v/>
      </c>
      <c r="AT139" s="29">
        <f>ExpenseAcq*M139+N139*ExpenseMaint/12*AS139</f>
        <v/>
      </c>
      <c r="AU139" s="29">
        <f>CommissionRate*AE139</f>
        <v/>
      </c>
      <c r="AV139" s="34">
        <f>AB140-AB139</f>
        <v/>
      </c>
      <c r="AW139" s="34">
        <f>AE139+AR139-AN139-AT139-AU139-AV139</f>
        <v/>
      </c>
      <c r="AX139" s="29">
        <f>LoadPremRate*E139*N139+AK139+AQ139-AU139-AT139</f>
        <v/>
      </c>
      <c r="AY139" s="34">
        <f>AP139-AO139</f>
        <v/>
      </c>
      <c r="AZ139" s="37">
        <f>(AW139-AX139-AY139)/MAX(1,ABS(AW139),ABS(AX139),ABS(AY139))</f>
        <v/>
      </c>
      <c r="BA139" s="37">
        <f>IF(OR(K139&gt;0,K140&gt;0),0,(AC140-(AC139+AF139-AQ139-AP139+AR139-AI139-AJ139-AM139))/MAX(1,ABS(AC139),ABS(AC140)))</f>
        <v/>
      </c>
      <c r="BB139" s="35">
        <f>(1+INDEX(DiscRateAnn,INT(A139/12)+1))^(1/12)-1</f>
        <v/>
      </c>
      <c r="BC139" s="31">
        <f>(1+BB139)^-A139</f>
        <v/>
      </c>
      <c r="BD139" s="34">
        <f>AW139*BC139</f>
        <v/>
      </c>
    </row>
    <row r="140">
      <c r="A140" s="27">
        <f>A139+1</f>
        <v/>
      </c>
      <c r="B140" s="28">
        <f>Duration0+A140</f>
        <v/>
      </c>
      <c r="C140" s="27">
        <f>INT(B140/12)</f>
        <v/>
      </c>
      <c r="D140" s="28">
        <f>AgeAtEntry+C140</f>
        <v/>
      </c>
      <c r="E140" s="29">
        <f>IF(PremiumType="SINGLE",IF(B140=0,PremiumPPInput,0),IF(B140&lt;12*PolicyTerm,PremiumPPInput,0))</f>
        <v/>
      </c>
      <c r="F140" s="30">
        <f>INDEX(MortRates,MATCH(MIN(D140,120),MortAges,0),MAX(MIN(C140,5),0)+1)</f>
        <v/>
      </c>
      <c r="G140" s="31">
        <f>1-(1-F140)^(1/12)</f>
        <v/>
      </c>
      <c r="H140" s="32">
        <f>MAX(LapseBase-LapseStep*C140,LapseFloor)</f>
        <v/>
      </c>
      <c r="I140" s="32">
        <f>IF(HasSurrCharge,INDEX(SurrRates,MIN(C140,SurrDurMax)+1,MATCH(SurrChargeID,SurrTypes,0)),0)</f>
        <v/>
      </c>
      <c r="J140" s="33">
        <f>N139-P139-O139</f>
        <v/>
      </c>
      <c r="K140" s="30">
        <f>IF(B140=12*PolicyTerm,J140,0)</f>
        <v/>
      </c>
      <c r="L140" s="33">
        <f>J140-K140</f>
        <v/>
      </c>
      <c r="M140" s="30">
        <f>IF(B140=0,PolicyCount,0)</f>
        <v/>
      </c>
      <c r="N140" s="33">
        <f>L140+M140</f>
        <v/>
      </c>
      <c r="O140" s="31">
        <f>N140*G140</f>
        <v/>
      </c>
      <c r="P140" s="33">
        <f>(N140-O140)*(1-(1-H140)^(1/12))</f>
        <v/>
      </c>
      <c r="Q140" s="34">
        <f>X139+Z139</f>
        <v/>
      </c>
      <c r="R140" s="29">
        <f>(1-LoadPremRate)*E140</f>
        <v/>
      </c>
      <c r="S140" s="34">
        <f>Q140+R140</f>
        <v/>
      </c>
      <c r="T140" s="29">
        <f>MaintFeeRateAnn/12*S140</f>
        <v/>
      </c>
      <c r="U140" s="29">
        <f>MAX(SumAssured-S140,0)</f>
        <v/>
      </c>
      <c r="V140" s="35">
        <f>CoiMultiple*G140</f>
        <v/>
      </c>
      <c r="W140" s="34">
        <f>V140*U140</f>
        <v/>
      </c>
      <c r="X140" s="34">
        <f>S140-T140-W140</f>
        <v/>
      </c>
      <c r="Y140" s="36">
        <f>EXP((Mu-0.5*Sigma^2)/12+Sigma*SQRT(1/12)*INDEX(NormRand,ScenID,A140+1))-1</f>
        <v/>
      </c>
      <c r="Z140" s="34">
        <f>Y140*X140</f>
        <v/>
      </c>
      <c r="AA140" s="34">
        <f>X140+0.5*Z140</f>
        <v/>
      </c>
      <c r="AB140" s="34">
        <f>Q140*J140</f>
        <v/>
      </c>
      <c r="AC140" s="34">
        <f>Q140*L140</f>
        <v/>
      </c>
      <c r="AD140" s="34">
        <f>S140*N140</f>
        <v/>
      </c>
      <c r="AE140" s="34">
        <f>E140*N140</f>
        <v/>
      </c>
      <c r="AF140" s="34">
        <f>R140*N140</f>
        <v/>
      </c>
      <c r="AG140" s="29">
        <f>MAX(SumAssured,AA140)</f>
        <v/>
      </c>
      <c r="AH140" s="34">
        <f>AG140*O140</f>
        <v/>
      </c>
      <c r="AI140" s="34">
        <f>AA140*O140</f>
        <v/>
      </c>
      <c r="AJ140" s="34">
        <f>AA140*P140</f>
        <v/>
      </c>
      <c r="AK140" s="34">
        <f>I140*AA140*P140</f>
        <v/>
      </c>
      <c r="AL140" s="34">
        <f>AJ140-AK140</f>
        <v/>
      </c>
      <c r="AM140" s="34">
        <f>Q140*K140</f>
        <v/>
      </c>
      <c r="AN140" s="34">
        <f>AH140+AL140+AM140</f>
        <v/>
      </c>
      <c r="AO140" s="34">
        <f>(AG140-AA140)*O140</f>
        <v/>
      </c>
      <c r="AP140" s="34">
        <f>W140*N140</f>
        <v/>
      </c>
      <c r="AQ140" s="34">
        <f>T140*N140</f>
        <v/>
      </c>
      <c r="AR140" s="34">
        <f>Z140*J141+0.5*Z140*(O140+P140)</f>
        <v/>
      </c>
      <c r="AS140" s="30">
        <f>(1+InflationRate)^(A140/12)</f>
        <v/>
      </c>
      <c r="AT140" s="29">
        <f>ExpenseAcq*M140+N140*ExpenseMaint/12*AS140</f>
        <v/>
      </c>
      <c r="AU140" s="29">
        <f>CommissionRate*AE140</f>
        <v/>
      </c>
      <c r="AV140" s="34">
        <f>AB141-AB140</f>
        <v/>
      </c>
      <c r="AW140" s="34">
        <f>AE140+AR140-AN140-AT140-AU140-AV140</f>
        <v/>
      </c>
      <c r="AX140" s="29">
        <f>LoadPremRate*E140*N140+AK140+AQ140-AU140-AT140</f>
        <v/>
      </c>
      <c r="AY140" s="34">
        <f>AP140-AO140</f>
        <v/>
      </c>
      <c r="AZ140" s="37">
        <f>(AW140-AX140-AY140)/MAX(1,ABS(AW140),ABS(AX140),ABS(AY140))</f>
        <v/>
      </c>
      <c r="BA140" s="37">
        <f>IF(OR(K140&gt;0,K141&gt;0),0,(AC141-(AC140+AF140-AQ140-AP140+AR140-AI140-AJ140-AM140))/MAX(1,ABS(AC140),ABS(AC141)))</f>
        <v/>
      </c>
      <c r="BB140" s="35">
        <f>(1+INDEX(DiscRateAnn,INT(A140/12)+1))^(1/12)-1</f>
        <v/>
      </c>
      <c r="BC140" s="31">
        <f>(1+BB140)^-A140</f>
        <v/>
      </c>
      <c r="BD140" s="34">
        <f>AW140*BC140</f>
        <v/>
      </c>
    </row>
    <row r="141">
      <c r="A141" s="27">
        <f>A140+1</f>
        <v/>
      </c>
      <c r="B141" s="28">
        <f>Duration0+A141</f>
        <v/>
      </c>
      <c r="C141" s="27">
        <f>INT(B141/12)</f>
        <v/>
      </c>
      <c r="D141" s="28">
        <f>AgeAtEntry+C141</f>
        <v/>
      </c>
      <c r="E141" s="29">
        <f>IF(PremiumType="SINGLE",IF(B141=0,PremiumPPInput,0),IF(B141&lt;12*PolicyTerm,PremiumPPInput,0))</f>
        <v/>
      </c>
      <c r="F141" s="30">
        <f>INDEX(MortRates,MATCH(MIN(D141,120),MortAges,0),MAX(MIN(C141,5),0)+1)</f>
        <v/>
      </c>
      <c r="G141" s="31">
        <f>1-(1-F141)^(1/12)</f>
        <v/>
      </c>
      <c r="H141" s="32">
        <f>MAX(LapseBase-LapseStep*C141,LapseFloor)</f>
        <v/>
      </c>
      <c r="I141" s="32">
        <f>IF(HasSurrCharge,INDEX(SurrRates,MIN(C141,SurrDurMax)+1,MATCH(SurrChargeID,SurrTypes,0)),0)</f>
        <v/>
      </c>
      <c r="J141" s="33">
        <f>N140-P140-O140</f>
        <v/>
      </c>
      <c r="K141" s="30">
        <f>IF(B141=12*PolicyTerm,J141,0)</f>
        <v/>
      </c>
      <c r="L141" s="33">
        <f>J141-K141</f>
        <v/>
      </c>
      <c r="M141" s="30">
        <f>IF(B141=0,PolicyCount,0)</f>
        <v/>
      </c>
      <c r="N141" s="33">
        <f>L141+M141</f>
        <v/>
      </c>
      <c r="O141" s="31">
        <f>N141*G141</f>
        <v/>
      </c>
      <c r="P141" s="33">
        <f>(N141-O141)*(1-(1-H141)^(1/12))</f>
        <v/>
      </c>
      <c r="Q141" s="34">
        <f>X140+Z140</f>
        <v/>
      </c>
      <c r="R141" s="29">
        <f>(1-LoadPremRate)*E141</f>
        <v/>
      </c>
      <c r="S141" s="34">
        <f>Q141+R141</f>
        <v/>
      </c>
      <c r="T141" s="29">
        <f>MaintFeeRateAnn/12*S141</f>
        <v/>
      </c>
      <c r="U141" s="29">
        <f>MAX(SumAssured-S141,0)</f>
        <v/>
      </c>
      <c r="V141" s="35">
        <f>CoiMultiple*G141</f>
        <v/>
      </c>
      <c r="W141" s="34">
        <f>V141*U141</f>
        <v/>
      </c>
      <c r="X141" s="34">
        <f>S141-T141-W141</f>
        <v/>
      </c>
      <c r="Y141" s="36">
        <f>EXP((Mu-0.5*Sigma^2)/12+Sigma*SQRT(1/12)*INDEX(NormRand,ScenID,A141+1))-1</f>
        <v/>
      </c>
      <c r="Z141" s="34">
        <f>Y141*X141</f>
        <v/>
      </c>
      <c r="AA141" s="34">
        <f>X141+0.5*Z141</f>
        <v/>
      </c>
      <c r="AB141" s="34">
        <f>Q141*J141</f>
        <v/>
      </c>
      <c r="AC141" s="34">
        <f>Q141*L141</f>
        <v/>
      </c>
      <c r="AD141" s="34">
        <f>S141*N141</f>
        <v/>
      </c>
      <c r="AE141" s="34">
        <f>E141*N141</f>
        <v/>
      </c>
      <c r="AF141" s="34">
        <f>R141*N141</f>
        <v/>
      </c>
      <c r="AG141" s="29">
        <f>MAX(SumAssured,AA141)</f>
        <v/>
      </c>
      <c r="AH141" s="34">
        <f>AG141*O141</f>
        <v/>
      </c>
      <c r="AI141" s="34">
        <f>AA141*O141</f>
        <v/>
      </c>
      <c r="AJ141" s="34">
        <f>AA141*P141</f>
        <v/>
      </c>
      <c r="AK141" s="34">
        <f>I141*AA141*P141</f>
        <v/>
      </c>
      <c r="AL141" s="34">
        <f>AJ141-AK141</f>
        <v/>
      </c>
      <c r="AM141" s="34">
        <f>Q141*K141</f>
        <v/>
      </c>
      <c r="AN141" s="34">
        <f>AH141+AL141+AM141</f>
        <v/>
      </c>
      <c r="AO141" s="34">
        <f>(AG141-AA141)*O141</f>
        <v/>
      </c>
      <c r="AP141" s="34">
        <f>W141*N141</f>
        <v/>
      </c>
      <c r="AQ141" s="34">
        <f>T141*N141</f>
        <v/>
      </c>
      <c r="AR141" s="34">
        <f>Z141*J142+0.5*Z141*(O141+P141)</f>
        <v/>
      </c>
      <c r="AS141" s="30">
        <f>(1+InflationRate)^(A141/12)</f>
        <v/>
      </c>
      <c r="AT141" s="29">
        <f>ExpenseAcq*M141+N141*ExpenseMaint/12*AS141</f>
        <v/>
      </c>
      <c r="AU141" s="29">
        <f>CommissionRate*AE141</f>
        <v/>
      </c>
      <c r="AV141" s="34">
        <f>AB142-AB141</f>
        <v/>
      </c>
      <c r="AW141" s="34">
        <f>AE141+AR141-AN141-AT141-AU141-AV141</f>
        <v/>
      </c>
      <c r="AX141" s="29">
        <f>LoadPremRate*E141*N141+AK141+AQ141-AU141-AT141</f>
        <v/>
      </c>
      <c r="AY141" s="34">
        <f>AP141-AO141</f>
        <v/>
      </c>
      <c r="AZ141" s="37">
        <f>(AW141-AX141-AY141)/MAX(1,ABS(AW141),ABS(AX141),ABS(AY141))</f>
        <v/>
      </c>
      <c r="BA141" s="37">
        <f>IF(OR(K141&gt;0,K142&gt;0),0,(AC142-(AC141+AF141-AQ141-AP141+AR141-AI141-AJ141-AM141))/MAX(1,ABS(AC141),ABS(AC142)))</f>
        <v/>
      </c>
      <c r="BB141" s="35">
        <f>(1+INDEX(DiscRateAnn,INT(A141/12)+1))^(1/12)-1</f>
        <v/>
      </c>
      <c r="BC141" s="31">
        <f>(1+BB141)^-A141</f>
        <v/>
      </c>
      <c r="BD141" s="34">
        <f>AW141*BC141</f>
        <v/>
      </c>
    </row>
    <row r="142">
      <c r="A142" s="27">
        <f>A141+1</f>
        <v/>
      </c>
      <c r="B142" s="28">
        <f>Duration0+A142</f>
        <v/>
      </c>
      <c r="C142" s="27">
        <f>INT(B142/12)</f>
        <v/>
      </c>
      <c r="D142" s="28">
        <f>AgeAtEntry+C142</f>
        <v/>
      </c>
      <c r="E142" s="29">
        <f>IF(PremiumType="SINGLE",IF(B142=0,PremiumPPInput,0),IF(B142&lt;12*PolicyTerm,PremiumPPInput,0))</f>
        <v/>
      </c>
      <c r="F142" s="30">
        <f>INDEX(MortRates,MATCH(MIN(D142,120),MortAges,0),MAX(MIN(C142,5),0)+1)</f>
        <v/>
      </c>
      <c r="G142" s="31">
        <f>1-(1-F142)^(1/12)</f>
        <v/>
      </c>
      <c r="H142" s="32">
        <f>MAX(LapseBase-LapseStep*C142,LapseFloor)</f>
        <v/>
      </c>
      <c r="I142" s="32">
        <f>IF(HasSurrCharge,INDEX(SurrRates,MIN(C142,SurrDurMax)+1,MATCH(SurrChargeID,SurrTypes,0)),0)</f>
        <v/>
      </c>
      <c r="J142" s="33">
        <f>N141-P141-O141</f>
        <v/>
      </c>
      <c r="K142" s="30">
        <f>IF(B142=12*PolicyTerm,J142,0)</f>
        <v/>
      </c>
      <c r="L142" s="33">
        <f>J142-K142</f>
        <v/>
      </c>
      <c r="M142" s="30">
        <f>IF(B142=0,PolicyCount,0)</f>
        <v/>
      </c>
      <c r="N142" s="33">
        <f>L142+M142</f>
        <v/>
      </c>
      <c r="O142" s="31">
        <f>N142*G142</f>
        <v/>
      </c>
      <c r="P142" s="33">
        <f>(N142-O142)*(1-(1-H142)^(1/12))</f>
        <v/>
      </c>
      <c r="Q142" s="34">
        <f>X141+Z141</f>
        <v/>
      </c>
      <c r="R142" s="29">
        <f>(1-LoadPremRate)*E142</f>
        <v/>
      </c>
      <c r="S142" s="34">
        <f>Q142+R142</f>
        <v/>
      </c>
      <c r="T142" s="29">
        <f>MaintFeeRateAnn/12*S142</f>
        <v/>
      </c>
      <c r="U142" s="29">
        <f>MAX(SumAssured-S142,0)</f>
        <v/>
      </c>
      <c r="V142" s="35">
        <f>CoiMultiple*G142</f>
        <v/>
      </c>
      <c r="W142" s="34">
        <f>V142*U142</f>
        <v/>
      </c>
      <c r="X142" s="34">
        <f>S142-T142-W142</f>
        <v/>
      </c>
      <c r="Y142" s="36">
        <f>EXP((Mu-0.5*Sigma^2)/12+Sigma*SQRT(1/12)*INDEX(NormRand,ScenID,A142+1))-1</f>
        <v/>
      </c>
      <c r="Z142" s="34">
        <f>Y142*X142</f>
        <v/>
      </c>
      <c r="AA142" s="34">
        <f>X142+0.5*Z142</f>
        <v/>
      </c>
      <c r="AB142" s="34">
        <f>Q142*J142</f>
        <v/>
      </c>
      <c r="AC142" s="34">
        <f>Q142*L142</f>
        <v/>
      </c>
      <c r="AD142" s="34">
        <f>S142*N142</f>
        <v/>
      </c>
      <c r="AE142" s="34">
        <f>E142*N142</f>
        <v/>
      </c>
      <c r="AF142" s="34">
        <f>R142*N142</f>
        <v/>
      </c>
      <c r="AG142" s="29">
        <f>MAX(SumAssured,AA142)</f>
        <v/>
      </c>
      <c r="AH142" s="34">
        <f>AG142*O142</f>
        <v/>
      </c>
      <c r="AI142" s="34">
        <f>AA142*O142</f>
        <v/>
      </c>
      <c r="AJ142" s="34">
        <f>AA142*P142</f>
        <v/>
      </c>
      <c r="AK142" s="34">
        <f>I142*AA142*P142</f>
        <v/>
      </c>
      <c r="AL142" s="34">
        <f>AJ142-AK142</f>
        <v/>
      </c>
      <c r="AM142" s="34">
        <f>Q142*K142</f>
        <v/>
      </c>
      <c r="AN142" s="34">
        <f>AH142+AL142+AM142</f>
        <v/>
      </c>
      <c r="AO142" s="34">
        <f>(AG142-AA142)*O142</f>
        <v/>
      </c>
      <c r="AP142" s="34">
        <f>W142*N142</f>
        <v/>
      </c>
      <c r="AQ142" s="34">
        <f>T142*N142</f>
        <v/>
      </c>
      <c r="AR142" s="34">
        <f>Z142*J143+0.5*Z142*(O142+P142)</f>
        <v/>
      </c>
      <c r="AS142" s="30">
        <f>(1+InflationRate)^(A142/12)</f>
        <v/>
      </c>
      <c r="AT142" s="29">
        <f>ExpenseAcq*M142+N142*ExpenseMaint/12*AS142</f>
        <v/>
      </c>
      <c r="AU142" s="29">
        <f>CommissionRate*AE142</f>
        <v/>
      </c>
      <c r="AV142" s="34">
        <f>AB143-AB142</f>
        <v/>
      </c>
      <c r="AW142" s="34">
        <f>AE142+AR142-AN142-AT142-AU142-AV142</f>
        <v/>
      </c>
      <c r="AX142" s="29">
        <f>LoadPremRate*E142*N142+AK142+AQ142-AU142-AT142</f>
        <v/>
      </c>
      <c r="AY142" s="34">
        <f>AP142-AO142</f>
        <v/>
      </c>
      <c r="AZ142" s="37">
        <f>(AW142-AX142-AY142)/MAX(1,ABS(AW142),ABS(AX142),ABS(AY142))</f>
        <v/>
      </c>
      <c r="BA142" s="37">
        <f>IF(OR(K142&gt;0,K143&gt;0),0,(AC143-(AC142+AF142-AQ142-AP142+AR142-AI142-AJ142-AM142))/MAX(1,ABS(AC142),ABS(AC143)))</f>
        <v/>
      </c>
      <c r="BB142" s="35">
        <f>(1+INDEX(DiscRateAnn,INT(A142/12)+1))^(1/12)-1</f>
        <v/>
      </c>
      <c r="BC142" s="31">
        <f>(1+BB142)^-A142</f>
        <v/>
      </c>
      <c r="BD142" s="34">
        <f>AW142*BC142</f>
        <v/>
      </c>
    </row>
    <row r="143">
      <c r="A143" s="27">
        <f>A142+1</f>
        <v/>
      </c>
      <c r="B143" s="28">
        <f>Duration0+A143</f>
        <v/>
      </c>
      <c r="C143" s="27">
        <f>INT(B143/12)</f>
        <v/>
      </c>
      <c r="D143" s="28">
        <f>AgeAtEntry+C143</f>
        <v/>
      </c>
      <c r="E143" s="29">
        <f>IF(PremiumType="SINGLE",IF(B143=0,PremiumPPInput,0),IF(B143&lt;12*PolicyTerm,PremiumPPInput,0))</f>
        <v/>
      </c>
      <c r="F143" s="30">
        <f>INDEX(MortRates,MATCH(MIN(D143,120),MortAges,0),MAX(MIN(C143,5),0)+1)</f>
        <v/>
      </c>
      <c r="G143" s="31">
        <f>1-(1-F143)^(1/12)</f>
        <v/>
      </c>
      <c r="H143" s="32">
        <f>MAX(LapseBase-LapseStep*C143,LapseFloor)</f>
        <v/>
      </c>
      <c r="I143" s="32">
        <f>IF(HasSurrCharge,INDEX(SurrRates,MIN(C143,SurrDurMax)+1,MATCH(SurrChargeID,SurrTypes,0)),0)</f>
        <v/>
      </c>
      <c r="J143" s="33">
        <f>N142-P142-O142</f>
        <v/>
      </c>
      <c r="K143" s="30">
        <f>IF(B143=12*PolicyTerm,J143,0)</f>
        <v/>
      </c>
      <c r="L143" s="33">
        <f>J143-K143</f>
        <v/>
      </c>
      <c r="M143" s="30">
        <f>IF(B143=0,PolicyCount,0)</f>
        <v/>
      </c>
      <c r="N143" s="33">
        <f>L143+M143</f>
        <v/>
      </c>
      <c r="O143" s="31">
        <f>N143*G143</f>
        <v/>
      </c>
      <c r="P143" s="33">
        <f>(N143-O143)*(1-(1-H143)^(1/12))</f>
        <v/>
      </c>
      <c r="Q143" s="34">
        <f>X142+Z142</f>
        <v/>
      </c>
      <c r="R143" s="29">
        <f>(1-LoadPremRate)*E143</f>
        <v/>
      </c>
      <c r="S143" s="34">
        <f>Q143+R143</f>
        <v/>
      </c>
      <c r="T143" s="29">
        <f>MaintFeeRateAnn/12*S143</f>
        <v/>
      </c>
      <c r="U143" s="29">
        <f>MAX(SumAssured-S143,0)</f>
        <v/>
      </c>
      <c r="V143" s="35">
        <f>CoiMultiple*G143</f>
        <v/>
      </c>
      <c r="W143" s="34">
        <f>V143*U143</f>
        <v/>
      </c>
      <c r="X143" s="34">
        <f>S143-T143-W143</f>
        <v/>
      </c>
      <c r="Y143" s="36">
        <f>EXP((Mu-0.5*Sigma^2)/12+Sigma*SQRT(1/12)*INDEX(NormRand,ScenID,A143+1))-1</f>
        <v/>
      </c>
      <c r="Z143" s="34">
        <f>Y143*X143</f>
        <v/>
      </c>
      <c r="AA143" s="34">
        <f>X143+0.5*Z143</f>
        <v/>
      </c>
      <c r="AB143" s="34">
        <f>Q143*J143</f>
        <v/>
      </c>
      <c r="AC143" s="34">
        <f>Q143*L143</f>
        <v/>
      </c>
      <c r="AD143" s="34">
        <f>S143*N143</f>
        <v/>
      </c>
      <c r="AE143" s="34">
        <f>E143*N143</f>
        <v/>
      </c>
      <c r="AF143" s="34">
        <f>R143*N143</f>
        <v/>
      </c>
      <c r="AG143" s="29">
        <f>MAX(SumAssured,AA143)</f>
        <v/>
      </c>
      <c r="AH143" s="34">
        <f>AG143*O143</f>
        <v/>
      </c>
      <c r="AI143" s="34">
        <f>AA143*O143</f>
        <v/>
      </c>
      <c r="AJ143" s="34">
        <f>AA143*P143</f>
        <v/>
      </c>
      <c r="AK143" s="34">
        <f>I143*AA143*P143</f>
        <v/>
      </c>
      <c r="AL143" s="34">
        <f>AJ143-AK143</f>
        <v/>
      </c>
      <c r="AM143" s="34">
        <f>Q143*K143</f>
        <v/>
      </c>
      <c r="AN143" s="34">
        <f>AH143+AL143+AM143</f>
        <v/>
      </c>
      <c r="AO143" s="34">
        <f>(AG143-AA143)*O143</f>
        <v/>
      </c>
      <c r="AP143" s="34">
        <f>W143*N143</f>
        <v/>
      </c>
      <c r="AQ143" s="34">
        <f>T143*N143</f>
        <v/>
      </c>
      <c r="AR143" s="34">
        <f>Z143*J144+0.5*Z143*(O143+P143)</f>
        <v/>
      </c>
      <c r="AS143" s="30">
        <f>(1+InflationRate)^(A143/12)</f>
        <v/>
      </c>
      <c r="AT143" s="29">
        <f>ExpenseAcq*M143+N143*ExpenseMaint/12*AS143</f>
        <v/>
      </c>
      <c r="AU143" s="29">
        <f>CommissionRate*AE143</f>
        <v/>
      </c>
      <c r="AV143" s="34">
        <f>AB144-AB143</f>
        <v/>
      </c>
      <c r="AW143" s="34">
        <f>AE143+AR143-AN143-AT143-AU143-AV143</f>
        <v/>
      </c>
      <c r="AX143" s="29">
        <f>LoadPremRate*E143*N143+AK143+AQ143-AU143-AT143</f>
        <v/>
      </c>
      <c r="AY143" s="34">
        <f>AP143-AO143</f>
        <v/>
      </c>
      <c r="AZ143" s="37">
        <f>(AW143-AX143-AY143)/MAX(1,ABS(AW143),ABS(AX143),ABS(AY143))</f>
        <v/>
      </c>
      <c r="BA143" s="37">
        <f>IF(OR(K143&gt;0,K144&gt;0),0,(AC144-(AC143+AF143-AQ143-AP143+AR143-AI143-AJ143-AM143))/MAX(1,ABS(AC143),ABS(AC144)))</f>
        <v/>
      </c>
      <c r="BB143" s="35">
        <f>(1+INDEX(DiscRateAnn,INT(A143/12)+1))^(1/12)-1</f>
        <v/>
      </c>
      <c r="BC143" s="31">
        <f>(1+BB143)^-A143</f>
        <v/>
      </c>
      <c r="BD143" s="34">
        <f>AW143*BC143</f>
        <v/>
      </c>
    </row>
    <row r="144">
      <c r="A144" s="27">
        <f>A143+1</f>
        <v/>
      </c>
      <c r="B144" s="28">
        <f>Duration0+A144</f>
        <v/>
      </c>
      <c r="C144" s="27">
        <f>INT(B144/12)</f>
        <v/>
      </c>
      <c r="D144" s="28">
        <f>AgeAtEntry+C144</f>
        <v/>
      </c>
      <c r="E144" s="29">
        <f>IF(PremiumType="SINGLE",IF(B144=0,PremiumPPInput,0),IF(B144&lt;12*PolicyTerm,PremiumPPInput,0))</f>
        <v/>
      </c>
      <c r="F144" s="30">
        <f>INDEX(MortRates,MATCH(MIN(D144,120),MortAges,0),MAX(MIN(C144,5),0)+1)</f>
        <v/>
      </c>
      <c r="G144" s="31">
        <f>1-(1-F144)^(1/12)</f>
        <v/>
      </c>
      <c r="H144" s="32">
        <f>MAX(LapseBase-LapseStep*C144,LapseFloor)</f>
        <v/>
      </c>
      <c r="I144" s="32">
        <f>IF(HasSurrCharge,INDEX(SurrRates,MIN(C144,SurrDurMax)+1,MATCH(SurrChargeID,SurrTypes,0)),0)</f>
        <v/>
      </c>
      <c r="J144" s="33">
        <f>N143-P143-O143</f>
        <v/>
      </c>
      <c r="K144" s="30">
        <f>IF(B144=12*PolicyTerm,J144,0)</f>
        <v/>
      </c>
      <c r="L144" s="33">
        <f>J144-K144</f>
        <v/>
      </c>
      <c r="M144" s="30">
        <f>IF(B144=0,PolicyCount,0)</f>
        <v/>
      </c>
      <c r="N144" s="33">
        <f>L144+M144</f>
        <v/>
      </c>
      <c r="O144" s="31">
        <f>N144*G144</f>
        <v/>
      </c>
      <c r="P144" s="33">
        <f>(N144-O144)*(1-(1-H144)^(1/12))</f>
        <v/>
      </c>
      <c r="Q144" s="34">
        <f>X143+Z143</f>
        <v/>
      </c>
      <c r="R144" s="29">
        <f>(1-LoadPremRate)*E144</f>
        <v/>
      </c>
      <c r="S144" s="34">
        <f>Q144+R144</f>
        <v/>
      </c>
      <c r="T144" s="29">
        <f>MaintFeeRateAnn/12*S144</f>
        <v/>
      </c>
      <c r="U144" s="29">
        <f>MAX(SumAssured-S144,0)</f>
        <v/>
      </c>
      <c r="V144" s="35">
        <f>CoiMultiple*G144</f>
        <v/>
      </c>
      <c r="W144" s="34">
        <f>V144*U144</f>
        <v/>
      </c>
      <c r="X144" s="34">
        <f>S144-T144-W144</f>
        <v/>
      </c>
      <c r="Y144" s="36">
        <f>EXP((Mu-0.5*Sigma^2)/12+Sigma*SQRT(1/12)*INDEX(NormRand,ScenID,A144+1))-1</f>
        <v/>
      </c>
      <c r="Z144" s="34">
        <f>Y144*X144</f>
        <v/>
      </c>
      <c r="AA144" s="34">
        <f>X144+0.5*Z144</f>
        <v/>
      </c>
      <c r="AB144" s="34">
        <f>Q144*J144</f>
        <v/>
      </c>
      <c r="AC144" s="34">
        <f>Q144*L144</f>
        <v/>
      </c>
      <c r="AD144" s="34">
        <f>S144*N144</f>
        <v/>
      </c>
      <c r="AE144" s="34">
        <f>E144*N144</f>
        <v/>
      </c>
      <c r="AF144" s="34">
        <f>R144*N144</f>
        <v/>
      </c>
      <c r="AG144" s="29">
        <f>MAX(SumAssured,AA144)</f>
        <v/>
      </c>
      <c r="AH144" s="34">
        <f>AG144*O144</f>
        <v/>
      </c>
      <c r="AI144" s="34">
        <f>AA144*O144</f>
        <v/>
      </c>
      <c r="AJ144" s="34">
        <f>AA144*P144</f>
        <v/>
      </c>
      <c r="AK144" s="34">
        <f>I144*AA144*P144</f>
        <v/>
      </c>
      <c r="AL144" s="34">
        <f>AJ144-AK144</f>
        <v/>
      </c>
      <c r="AM144" s="34">
        <f>Q144*K144</f>
        <v/>
      </c>
      <c r="AN144" s="34">
        <f>AH144+AL144+AM144</f>
        <v/>
      </c>
      <c r="AO144" s="34">
        <f>(AG144-AA144)*O144</f>
        <v/>
      </c>
      <c r="AP144" s="34">
        <f>W144*N144</f>
        <v/>
      </c>
      <c r="AQ144" s="34">
        <f>T144*N144</f>
        <v/>
      </c>
      <c r="AR144" s="34">
        <f>Z144*J145+0.5*Z144*(O144+P144)</f>
        <v/>
      </c>
      <c r="AS144" s="30">
        <f>(1+InflationRate)^(A144/12)</f>
        <v/>
      </c>
      <c r="AT144" s="29">
        <f>ExpenseAcq*M144+N144*ExpenseMaint/12*AS144</f>
        <v/>
      </c>
      <c r="AU144" s="29">
        <f>CommissionRate*AE144</f>
        <v/>
      </c>
      <c r="AV144" s="34">
        <f>AB145-AB144</f>
        <v/>
      </c>
      <c r="AW144" s="34">
        <f>AE144+AR144-AN144-AT144-AU144-AV144</f>
        <v/>
      </c>
      <c r="AX144" s="29">
        <f>LoadPremRate*E144*N144+AK144+AQ144-AU144-AT144</f>
        <v/>
      </c>
      <c r="AY144" s="34">
        <f>AP144-AO144</f>
        <v/>
      </c>
      <c r="AZ144" s="37">
        <f>(AW144-AX144-AY144)/MAX(1,ABS(AW144),ABS(AX144),ABS(AY144))</f>
        <v/>
      </c>
      <c r="BA144" s="37">
        <f>IF(OR(K144&gt;0,K145&gt;0),0,(AC145-(AC144+AF144-AQ144-AP144+AR144-AI144-AJ144-AM144))/MAX(1,ABS(AC144),ABS(AC145)))</f>
        <v/>
      </c>
      <c r="BB144" s="35">
        <f>(1+INDEX(DiscRateAnn,INT(A144/12)+1))^(1/12)-1</f>
        <v/>
      </c>
      <c r="BC144" s="31">
        <f>(1+BB144)^-A144</f>
        <v/>
      </c>
      <c r="BD144" s="34">
        <f>AW144*BC144</f>
        <v/>
      </c>
    </row>
    <row r="145">
      <c r="A145" s="27">
        <f>A144+1</f>
        <v/>
      </c>
      <c r="B145" s="28">
        <f>Duration0+A145</f>
        <v/>
      </c>
      <c r="C145" s="27">
        <f>INT(B145/12)</f>
        <v/>
      </c>
      <c r="D145" s="28">
        <f>AgeAtEntry+C145</f>
        <v/>
      </c>
      <c r="E145" s="29">
        <f>IF(PremiumType="SINGLE",IF(B145=0,PremiumPPInput,0),IF(B145&lt;12*PolicyTerm,PremiumPPInput,0))</f>
        <v/>
      </c>
      <c r="F145" s="30">
        <f>INDEX(MortRates,MATCH(MIN(D145,120),MortAges,0),MAX(MIN(C145,5),0)+1)</f>
        <v/>
      </c>
      <c r="G145" s="31">
        <f>1-(1-F145)^(1/12)</f>
        <v/>
      </c>
      <c r="H145" s="32">
        <f>MAX(LapseBase-LapseStep*C145,LapseFloor)</f>
        <v/>
      </c>
      <c r="I145" s="32">
        <f>IF(HasSurrCharge,INDEX(SurrRates,MIN(C145,SurrDurMax)+1,MATCH(SurrChargeID,SurrTypes,0)),0)</f>
        <v/>
      </c>
      <c r="J145" s="33">
        <f>N144-P144-O144</f>
        <v/>
      </c>
      <c r="K145" s="30">
        <f>IF(B145=12*PolicyTerm,J145,0)</f>
        <v/>
      </c>
      <c r="L145" s="33">
        <f>J145-K145</f>
        <v/>
      </c>
      <c r="M145" s="30">
        <f>IF(B145=0,PolicyCount,0)</f>
        <v/>
      </c>
      <c r="N145" s="33">
        <f>L145+M145</f>
        <v/>
      </c>
      <c r="O145" s="31">
        <f>N145*G145</f>
        <v/>
      </c>
      <c r="P145" s="33">
        <f>(N145-O145)*(1-(1-H145)^(1/12))</f>
        <v/>
      </c>
      <c r="Q145" s="34">
        <f>X144+Z144</f>
        <v/>
      </c>
      <c r="R145" s="29">
        <f>(1-LoadPremRate)*E145</f>
        <v/>
      </c>
      <c r="S145" s="34">
        <f>Q145+R145</f>
        <v/>
      </c>
      <c r="T145" s="29">
        <f>MaintFeeRateAnn/12*S145</f>
        <v/>
      </c>
      <c r="U145" s="29">
        <f>MAX(SumAssured-S145,0)</f>
        <v/>
      </c>
      <c r="V145" s="35">
        <f>CoiMultiple*G145</f>
        <v/>
      </c>
      <c r="W145" s="34">
        <f>V145*U145</f>
        <v/>
      </c>
      <c r="X145" s="34">
        <f>S145-T145-W145</f>
        <v/>
      </c>
      <c r="Y145" s="36">
        <f>EXP((Mu-0.5*Sigma^2)/12+Sigma*SQRT(1/12)*INDEX(NormRand,ScenID,A145+1))-1</f>
        <v/>
      </c>
      <c r="Z145" s="34">
        <f>Y145*X145</f>
        <v/>
      </c>
      <c r="AA145" s="34">
        <f>X145+0.5*Z145</f>
        <v/>
      </c>
      <c r="AB145" s="34">
        <f>Q145*J145</f>
        <v/>
      </c>
      <c r="AC145" s="34">
        <f>Q145*L145</f>
        <v/>
      </c>
      <c r="AD145" s="34">
        <f>S145*N145</f>
        <v/>
      </c>
      <c r="AE145" s="34">
        <f>E145*N145</f>
        <v/>
      </c>
      <c r="AF145" s="34">
        <f>R145*N145</f>
        <v/>
      </c>
      <c r="AG145" s="29">
        <f>MAX(SumAssured,AA145)</f>
        <v/>
      </c>
      <c r="AH145" s="34">
        <f>AG145*O145</f>
        <v/>
      </c>
      <c r="AI145" s="34">
        <f>AA145*O145</f>
        <v/>
      </c>
      <c r="AJ145" s="34">
        <f>AA145*P145</f>
        <v/>
      </c>
      <c r="AK145" s="34">
        <f>I145*AA145*P145</f>
        <v/>
      </c>
      <c r="AL145" s="34">
        <f>AJ145-AK145</f>
        <v/>
      </c>
      <c r="AM145" s="34">
        <f>Q145*K145</f>
        <v/>
      </c>
      <c r="AN145" s="34">
        <f>AH145+AL145+AM145</f>
        <v/>
      </c>
      <c r="AO145" s="34">
        <f>(AG145-AA145)*O145</f>
        <v/>
      </c>
      <c r="AP145" s="34">
        <f>W145*N145</f>
        <v/>
      </c>
      <c r="AQ145" s="34">
        <f>T145*N145</f>
        <v/>
      </c>
      <c r="AR145" s="34">
        <f>Z145*J146+0.5*Z145*(O145+P145)</f>
        <v/>
      </c>
      <c r="AS145" s="30">
        <f>(1+InflationRate)^(A145/12)</f>
        <v/>
      </c>
      <c r="AT145" s="29">
        <f>ExpenseAcq*M145+N145*ExpenseMaint/12*AS145</f>
        <v/>
      </c>
      <c r="AU145" s="29">
        <f>CommissionRate*AE145</f>
        <v/>
      </c>
      <c r="AV145" s="34">
        <f>AB146-AB145</f>
        <v/>
      </c>
      <c r="AW145" s="34">
        <f>AE145+AR145-AN145-AT145-AU145-AV145</f>
        <v/>
      </c>
      <c r="AX145" s="29">
        <f>LoadPremRate*E145*N145+AK145+AQ145-AU145-AT145</f>
        <v/>
      </c>
      <c r="AY145" s="34">
        <f>AP145-AO145</f>
        <v/>
      </c>
      <c r="AZ145" s="37">
        <f>(AW145-AX145-AY145)/MAX(1,ABS(AW145),ABS(AX145),ABS(AY145))</f>
        <v/>
      </c>
      <c r="BA145" s="37">
        <f>IF(OR(K145&gt;0,K146&gt;0),0,(AC146-(AC145+AF145-AQ145-AP145+AR145-AI145-AJ145-AM145))/MAX(1,ABS(AC145),ABS(AC146)))</f>
        <v/>
      </c>
      <c r="BB145" s="35">
        <f>(1+INDEX(DiscRateAnn,INT(A145/12)+1))^(1/12)-1</f>
        <v/>
      </c>
      <c r="BC145" s="31">
        <f>(1+BB145)^-A145</f>
        <v/>
      </c>
      <c r="BD145" s="34">
        <f>AW145*BC145</f>
        <v/>
      </c>
    </row>
    <row r="146">
      <c r="A146" s="27">
        <f>A145+1</f>
        <v/>
      </c>
      <c r="B146" s="28">
        <f>Duration0+A146</f>
        <v/>
      </c>
      <c r="C146" s="27">
        <f>INT(B146/12)</f>
        <v/>
      </c>
      <c r="D146" s="28">
        <f>AgeAtEntry+C146</f>
        <v/>
      </c>
      <c r="E146" s="29">
        <f>IF(PremiumType="SINGLE",IF(B146=0,PremiumPPInput,0),IF(B146&lt;12*PolicyTerm,PremiumPPInput,0))</f>
        <v/>
      </c>
      <c r="F146" s="30">
        <f>INDEX(MortRates,MATCH(MIN(D146,120),MortAges,0),MAX(MIN(C146,5),0)+1)</f>
        <v/>
      </c>
      <c r="G146" s="31">
        <f>1-(1-F146)^(1/12)</f>
        <v/>
      </c>
      <c r="H146" s="32">
        <f>MAX(LapseBase-LapseStep*C146,LapseFloor)</f>
        <v/>
      </c>
      <c r="I146" s="32">
        <f>IF(HasSurrCharge,INDEX(SurrRates,MIN(C146,SurrDurMax)+1,MATCH(SurrChargeID,SurrTypes,0)),0)</f>
        <v/>
      </c>
      <c r="J146" s="33">
        <f>N145-P145-O145</f>
        <v/>
      </c>
      <c r="K146" s="30">
        <f>IF(B146=12*PolicyTerm,J146,0)</f>
        <v/>
      </c>
      <c r="L146" s="33">
        <f>J146-K146</f>
        <v/>
      </c>
      <c r="M146" s="30">
        <f>IF(B146=0,PolicyCount,0)</f>
        <v/>
      </c>
      <c r="N146" s="33">
        <f>L146+M146</f>
        <v/>
      </c>
      <c r="O146" s="31">
        <f>N146*G146</f>
        <v/>
      </c>
      <c r="P146" s="33">
        <f>(N146-O146)*(1-(1-H146)^(1/12))</f>
        <v/>
      </c>
      <c r="Q146" s="34">
        <f>X145+Z145</f>
        <v/>
      </c>
      <c r="R146" s="29">
        <f>(1-LoadPremRate)*E146</f>
        <v/>
      </c>
      <c r="S146" s="34">
        <f>Q146+R146</f>
        <v/>
      </c>
      <c r="T146" s="29">
        <f>MaintFeeRateAnn/12*S146</f>
        <v/>
      </c>
      <c r="U146" s="29">
        <f>MAX(SumAssured-S146,0)</f>
        <v/>
      </c>
      <c r="V146" s="35">
        <f>CoiMultiple*G146</f>
        <v/>
      </c>
      <c r="W146" s="34">
        <f>V146*U146</f>
        <v/>
      </c>
      <c r="X146" s="34">
        <f>S146-T146-W146</f>
        <v/>
      </c>
      <c r="Y146" s="36">
        <f>EXP((Mu-0.5*Sigma^2)/12+Sigma*SQRT(1/12)*INDEX(NormRand,ScenID,A146+1))-1</f>
        <v/>
      </c>
      <c r="Z146" s="34">
        <f>Y146*X146</f>
        <v/>
      </c>
      <c r="AA146" s="34">
        <f>X146+0.5*Z146</f>
        <v/>
      </c>
      <c r="AB146" s="34">
        <f>Q146*J146</f>
        <v/>
      </c>
      <c r="AC146" s="34">
        <f>Q146*L146</f>
        <v/>
      </c>
      <c r="AD146" s="34">
        <f>S146*N146</f>
        <v/>
      </c>
      <c r="AE146" s="34">
        <f>E146*N146</f>
        <v/>
      </c>
      <c r="AF146" s="34">
        <f>R146*N146</f>
        <v/>
      </c>
      <c r="AG146" s="29">
        <f>MAX(SumAssured,AA146)</f>
        <v/>
      </c>
      <c r="AH146" s="34">
        <f>AG146*O146</f>
        <v/>
      </c>
      <c r="AI146" s="34">
        <f>AA146*O146</f>
        <v/>
      </c>
      <c r="AJ146" s="34">
        <f>AA146*P146</f>
        <v/>
      </c>
      <c r="AK146" s="34">
        <f>I146*AA146*P146</f>
        <v/>
      </c>
      <c r="AL146" s="34">
        <f>AJ146-AK146</f>
        <v/>
      </c>
      <c r="AM146" s="34">
        <f>Q146*K146</f>
        <v/>
      </c>
      <c r="AN146" s="34">
        <f>AH146+AL146+AM146</f>
        <v/>
      </c>
      <c r="AO146" s="34">
        <f>(AG146-AA146)*O146</f>
        <v/>
      </c>
      <c r="AP146" s="34">
        <f>W146*N146</f>
        <v/>
      </c>
      <c r="AQ146" s="34">
        <f>T146*N146</f>
        <v/>
      </c>
      <c r="AR146" s="34">
        <f>Z146*J147+0.5*Z146*(O146+P146)</f>
        <v/>
      </c>
      <c r="AS146" s="30">
        <f>(1+InflationRate)^(A146/12)</f>
        <v/>
      </c>
      <c r="AT146" s="29">
        <f>ExpenseAcq*M146+N146*ExpenseMaint/12*AS146</f>
        <v/>
      </c>
      <c r="AU146" s="29">
        <f>CommissionRate*AE146</f>
        <v/>
      </c>
      <c r="AV146" s="34">
        <f>AB147-AB146</f>
        <v/>
      </c>
      <c r="AW146" s="34">
        <f>AE146+AR146-AN146-AT146-AU146-AV146</f>
        <v/>
      </c>
      <c r="AX146" s="29">
        <f>LoadPremRate*E146*N146+AK146+AQ146-AU146-AT146</f>
        <v/>
      </c>
      <c r="AY146" s="34">
        <f>AP146-AO146</f>
        <v/>
      </c>
      <c r="AZ146" s="37">
        <f>(AW146-AX146-AY146)/MAX(1,ABS(AW146),ABS(AX146),ABS(AY146))</f>
        <v/>
      </c>
      <c r="BA146" s="37">
        <f>IF(OR(K146&gt;0,K147&gt;0),0,(AC147-(AC146+AF146-AQ146-AP146+AR146-AI146-AJ146-AM146))/MAX(1,ABS(AC146),ABS(AC147)))</f>
        <v/>
      </c>
      <c r="BB146" s="35">
        <f>(1+INDEX(DiscRateAnn,INT(A146/12)+1))^(1/12)-1</f>
        <v/>
      </c>
      <c r="BC146" s="31">
        <f>(1+BB146)^-A146</f>
        <v/>
      </c>
      <c r="BD146" s="34">
        <f>AW146*BC146</f>
        <v/>
      </c>
    </row>
    <row r="147">
      <c r="A147" s="27">
        <f>A146+1</f>
        <v/>
      </c>
      <c r="B147" s="28">
        <f>Duration0+A147</f>
        <v/>
      </c>
      <c r="C147" s="27">
        <f>INT(B147/12)</f>
        <v/>
      </c>
      <c r="D147" s="28">
        <f>AgeAtEntry+C147</f>
        <v/>
      </c>
      <c r="E147" s="29">
        <f>IF(PremiumType="SINGLE",IF(B147=0,PremiumPPInput,0),IF(B147&lt;12*PolicyTerm,PremiumPPInput,0))</f>
        <v/>
      </c>
      <c r="F147" s="30">
        <f>INDEX(MortRates,MATCH(MIN(D147,120),MortAges,0),MAX(MIN(C147,5),0)+1)</f>
        <v/>
      </c>
      <c r="G147" s="31">
        <f>1-(1-F147)^(1/12)</f>
        <v/>
      </c>
      <c r="H147" s="32">
        <f>MAX(LapseBase-LapseStep*C147,LapseFloor)</f>
        <v/>
      </c>
      <c r="I147" s="32">
        <f>IF(HasSurrCharge,INDEX(SurrRates,MIN(C147,SurrDurMax)+1,MATCH(SurrChargeID,SurrTypes,0)),0)</f>
        <v/>
      </c>
      <c r="J147" s="33">
        <f>N146-P146-O146</f>
        <v/>
      </c>
      <c r="K147" s="30">
        <f>IF(B147=12*PolicyTerm,J147,0)</f>
        <v/>
      </c>
      <c r="L147" s="33">
        <f>J147-K147</f>
        <v/>
      </c>
      <c r="M147" s="30">
        <f>IF(B147=0,PolicyCount,0)</f>
        <v/>
      </c>
      <c r="N147" s="33">
        <f>L147+M147</f>
        <v/>
      </c>
      <c r="O147" s="31">
        <f>N147*G147</f>
        <v/>
      </c>
      <c r="P147" s="33">
        <f>(N147-O147)*(1-(1-H147)^(1/12))</f>
        <v/>
      </c>
      <c r="Q147" s="34">
        <f>X146+Z146</f>
        <v/>
      </c>
      <c r="R147" s="29">
        <f>(1-LoadPremRate)*E147</f>
        <v/>
      </c>
      <c r="S147" s="34">
        <f>Q147+R147</f>
        <v/>
      </c>
      <c r="T147" s="29">
        <f>MaintFeeRateAnn/12*S147</f>
        <v/>
      </c>
      <c r="U147" s="29">
        <f>MAX(SumAssured-S147,0)</f>
        <v/>
      </c>
      <c r="V147" s="35">
        <f>CoiMultiple*G147</f>
        <v/>
      </c>
      <c r="W147" s="34">
        <f>V147*U147</f>
        <v/>
      </c>
      <c r="X147" s="34">
        <f>S147-T147-W147</f>
        <v/>
      </c>
      <c r="Y147" s="36">
        <f>EXP((Mu-0.5*Sigma^2)/12+Sigma*SQRT(1/12)*INDEX(NormRand,ScenID,A147+1))-1</f>
        <v/>
      </c>
      <c r="Z147" s="34">
        <f>Y147*X147</f>
        <v/>
      </c>
      <c r="AA147" s="34">
        <f>X147+0.5*Z147</f>
        <v/>
      </c>
      <c r="AB147" s="34">
        <f>Q147*J147</f>
        <v/>
      </c>
      <c r="AC147" s="34">
        <f>Q147*L147</f>
        <v/>
      </c>
      <c r="AD147" s="34">
        <f>S147*N147</f>
        <v/>
      </c>
      <c r="AE147" s="34">
        <f>E147*N147</f>
        <v/>
      </c>
      <c r="AF147" s="34">
        <f>R147*N147</f>
        <v/>
      </c>
      <c r="AG147" s="29">
        <f>MAX(SumAssured,AA147)</f>
        <v/>
      </c>
      <c r="AH147" s="34">
        <f>AG147*O147</f>
        <v/>
      </c>
      <c r="AI147" s="34">
        <f>AA147*O147</f>
        <v/>
      </c>
      <c r="AJ147" s="34">
        <f>AA147*P147</f>
        <v/>
      </c>
      <c r="AK147" s="34">
        <f>I147*AA147*P147</f>
        <v/>
      </c>
      <c r="AL147" s="34">
        <f>AJ147-AK147</f>
        <v/>
      </c>
      <c r="AM147" s="34">
        <f>Q147*K147</f>
        <v/>
      </c>
      <c r="AN147" s="34">
        <f>AH147+AL147+AM147</f>
        <v/>
      </c>
      <c r="AO147" s="34">
        <f>(AG147-AA147)*O147</f>
        <v/>
      </c>
      <c r="AP147" s="34">
        <f>W147*N147</f>
        <v/>
      </c>
      <c r="AQ147" s="34">
        <f>T147*N147</f>
        <v/>
      </c>
      <c r="AR147" s="34">
        <f>Z147*J148+0.5*Z147*(O147+P147)</f>
        <v/>
      </c>
      <c r="AS147" s="30">
        <f>(1+InflationRate)^(A147/12)</f>
        <v/>
      </c>
      <c r="AT147" s="29">
        <f>ExpenseAcq*M147+N147*ExpenseMaint/12*AS147</f>
        <v/>
      </c>
      <c r="AU147" s="29">
        <f>CommissionRate*AE147</f>
        <v/>
      </c>
      <c r="AV147" s="34">
        <f>AB148-AB147</f>
        <v/>
      </c>
      <c r="AW147" s="34">
        <f>AE147+AR147-AN147-AT147-AU147-AV147</f>
        <v/>
      </c>
      <c r="AX147" s="29">
        <f>LoadPremRate*E147*N147+AK147+AQ147-AU147-AT147</f>
        <v/>
      </c>
      <c r="AY147" s="34">
        <f>AP147-AO147</f>
        <v/>
      </c>
      <c r="AZ147" s="37">
        <f>(AW147-AX147-AY147)/MAX(1,ABS(AW147),ABS(AX147),ABS(AY147))</f>
        <v/>
      </c>
      <c r="BA147" s="37">
        <f>IF(OR(K147&gt;0,K148&gt;0),0,(AC148-(AC147+AF147-AQ147-AP147+AR147-AI147-AJ147-AM147))/MAX(1,ABS(AC147),ABS(AC148)))</f>
        <v/>
      </c>
      <c r="BB147" s="35">
        <f>(1+INDEX(DiscRateAnn,INT(A147/12)+1))^(1/12)-1</f>
        <v/>
      </c>
      <c r="BC147" s="31">
        <f>(1+BB147)^-A147</f>
        <v/>
      </c>
      <c r="BD147" s="34">
        <f>AW147*BC147</f>
        <v/>
      </c>
    </row>
    <row r="148">
      <c r="A148" s="27">
        <f>A147+1</f>
        <v/>
      </c>
      <c r="B148" s="28">
        <f>Duration0+A148</f>
        <v/>
      </c>
      <c r="C148" s="27">
        <f>INT(B148/12)</f>
        <v/>
      </c>
      <c r="D148" s="28">
        <f>AgeAtEntry+C148</f>
        <v/>
      </c>
      <c r="E148" s="29">
        <f>IF(PremiumType="SINGLE",IF(B148=0,PremiumPPInput,0),IF(B148&lt;12*PolicyTerm,PremiumPPInput,0))</f>
        <v/>
      </c>
      <c r="F148" s="30">
        <f>INDEX(MortRates,MATCH(MIN(D148,120),MortAges,0),MAX(MIN(C148,5),0)+1)</f>
        <v/>
      </c>
      <c r="G148" s="31">
        <f>1-(1-F148)^(1/12)</f>
        <v/>
      </c>
      <c r="H148" s="32">
        <f>MAX(LapseBase-LapseStep*C148,LapseFloor)</f>
        <v/>
      </c>
      <c r="I148" s="32">
        <f>IF(HasSurrCharge,INDEX(SurrRates,MIN(C148,SurrDurMax)+1,MATCH(SurrChargeID,SurrTypes,0)),0)</f>
        <v/>
      </c>
      <c r="J148" s="33">
        <f>N147-P147-O147</f>
        <v/>
      </c>
      <c r="K148" s="30">
        <f>IF(B148=12*PolicyTerm,J148,0)</f>
        <v/>
      </c>
      <c r="L148" s="33">
        <f>J148-K148</f>
        <v/>
      </c>
      <c r="M148" s="30">
        <f>IF(B148=0,PolicyCount,0)</f>
        <v/>
      </c>
      <c r="N148" s="33">
        <f>L148+M148</f>
        <v/>
      </c>
      <c r="O148" s="31">
        <f>N148*G148</f>
        <v/>
      </c>
      <c r="P148" s="33">
        <f>(N148-O148)*(1-(1-H148)^(1/12))</f>
        <v/>
      </c>
      <c r="Q148" s="34">
        <f>X147+Z147</f>
        <v/>
      </c>
      <c r="R148" s="29">
        <f>(1-LoadPremRate)*E148</f>
        <v/>
      </c>
      <c r="S148" s="34">
        <f>Q148+R148</f>
        <v/>
      </c>
      <c r="T148" s="29">
        <f>MaintFeeRateAnn/12*S148</f>
        <v/>
      </c>
      <c r="U148" s="29">
        <f>MAX(SumAssured-S148,0)</f>
        <v/>
      </c>
      <c r="V148" s="35">
        <f>CoiMultiple*G148</f>
        <v/>
      </c>
      <c r="W148" s="34">
        <f>V148*U148</f>
        <v/>
      </c>
      <c r="X148" s="34">
        <f>S148-T148-W148</f>
        <v/>
      </c>
      <c r="Y148" s="36">
        <f>EXP((Mu-0.5*Sigma^2)/12+Sigma*SQRT(1/12)*INDEX(NormRand,ScenID,A148+1))-1</f>
        <v/>
      </c>
      <c r="Z148" s="34">
        <f>Y148*X148</f>
        <v/>
      </c>
      <c r="AA148" s="34">
        <f>X148+0.5*Z148</f>
        <v/>
      </c>
      <c r="AB148" s="34">
        <f>Q148*J148</f>
        <v/>
      </c>
      <c r="AC148" s="34">
        <f>Q148*L148</f>
        <v/>
      </c>
      <c r="AD148" s="34">
        <f>S148*N148</f>
        <v/>
      </c>
      <c r="AE148" s="34">
        <f>E148*N148</f>
        <v/>
      </c>
      <c r="AF148" s="34">
        <f>R148*N148</f>
        <v/>
      </c>
      <c r="AG148" s="29">
        <f>MAX(SumAssured,AA148)</f>
        <v/>
      </c>
      <c r="AH148" s="34">
        <f>AG148*O148</f>
        <v/>
      </c>
      <c r="AI148" s="34">
        <f>AA148*O148</f>
        <v/>
      </c>
      <c r="AJ148" s="34">
        <f>AA148*P148</f>
        <v/>
      </c>
      <c r="AK148" s="34">
        <f>I148*AA148*P148</f>
        <v/>
      </c>
      <c r="AL148" s="34">
        <f>AJ148-AK148</f>
        <v/>
      </c>
      <c r="AM148" s="34">
        <f>Q148*K148</f>
        <v/>
      </c>
      <c r="AN148" s="34">
        <f>AH148+AL148+AM148</f>
        <v/>
      </c>
      <c r="AO148" s="34">
        <f>(AG148-AA148)*O148</f>
        <v/>
      </c>
      <c r="AP148" s="34">
        <f>W148*N148</f>
        <v/>
      </c>
      <c r="AQ148" s="34">
        <f>T148*N148</f>
        <v/>
      </c>
      <c r="AR148" s="34">
        <f>Z148*J149+0.5*Z148*(O148+P148)</f>
        <v/>
      </c>
      <c r="AS148" s="30">
        <f>(1+InflationRate)^(A148/12)</f>
        <v/>
      </c>
      <c r="AT148" s="29">
        <f>ExpenseAcq*M148+N148*ExpenseMaint/12*AS148</f>
        <v/>
      </c>
      <c r="AU148" s="29">
        <f>CommissionRate*AE148</f>
        <v/>
      </c>
      <c r="AV148" s="34">
        <f>AB149-AB148</f>
        <v/>
      </c>
      <c r="AW148" s="34">
        <f>AE148+AR148-AN148-AT148-AU148-AV148</f>
        <v/>
      </c>
      <c r="AX148" s="29">
        <f>LoadPremRate*E148*N148+AK148+AQ148-AU148-AT148</f>
        <v/>
      </c>
      <c r="AY148" s="34">
        <f>AP148-AO148</f>
        <v/>
      </c>
      <c r="AZ148" s="37">
        <f>(AW148-AX148-AY148)/MAX(1,ABS(AW148),ABS(AX148),ABS(AY148))</f>
        <v/>
      </c>
      <c r="BA148" s="37">
        <f>IF(OR(K148&gt;0,K149&gt;0),0,(AC149-(AC148+AF148-AQ148-AP148+AR148-AI148-AJ148-AM148))/MAX(1,ABS(AC148),ABS(AC149)))</f>
        <v/>
      </c>
      <c r="BB148" s="35">
        <f>(1+INDEX(DiscRateAnn,INT(A148/12)+1))^(1/12)-1</f>
        <v/>
      </c>
      <c r="BC148" s="31">
        <f>(1+BB148)^-A148</f>
        <v/>
      </c>
      <c r="BD148" s="34">
        <f>AW148*BC148</f>
        <v/>
      </c>
    </row>
    <row r="149">
      <c r="A149" s="27">
        <f>A148+1</f>
        <v/>
      </c>
      <c r="B149" s="28">
        <f>Duration0+A149</f>
        <v/>
      </c>
      <c r="C149" s="27">
        <f>INT(B149/12)</f>
        <v/>
      </c>
      <c r="D149" s="28">
        <f>AgeAtEntry+C149</f>
        <v/>
      </c>
      <c r="E149" s="29">
        <f>IF(PremiumType="SINGLE",IF(B149=0,PremiumPPInput,0),IF(B149&lt;12*PolicyTerm,PremiumPPInput,0))</f>
        <v/>
      </c>
      <c r="F149" s="30">
        <f>INDEX(MortRates,MATCH(MIN(D149,120),MortAges,0),MAX(MIN(C149,5),0)+1)</f>
        <v/>
      </c>
      <c r="G149" s="31">
        <f>1-(1-F149)^(1/12)</f>
        <v/>
      </c>
      <c r="H149" s="32">
        <f>MAX(LapseBase-LapseStep*C149,LapseFloor)</f>
        <v/>
      </c>
      <c r="I149" s="32">
        <f>IF(HasSurrCharge,INDEX(SurrRates,MIN(C149,SurrDurMax)+1,MATCH(SurrChargeID,SurrTypes,0)),0)</f>
        <v/>
      </c>
      <c r="J149" s="33">
        <f>N148-P148-O148</f>
        <v/>
      </c>
      <c r="K149" s="30">
        <f>IF(B149=12*PolicyTerm,J149,0)</f>
        <v/>
      </c>
      <c r="L149" s="33">
        <f>J149-K149</f>
        <v/>
      </c>
      <c r="M149" s="30">
        <f>IF(B149=0,PolicyCount,0)</f>
        <v/>
      </c>
      <c r="N149" s="33">
        <f>L149+M149</f>
        <v/>
      </c>
      <c r="O149" s="31">
        <f>N149*G149</f>
        <v/>
      </c>
      <c r="P149" s="33">
        <f>(N149-O149)*(1-(1-H149)^(1/12))</f>
        <v/>
      </c>
      <c r="Q149" s="34">
        <f>X148+Z148</f>
        <v/>
      </c>
      <c r="R149" s="29">
        <f>(1-LoadPremRate)*E149</f>
        <v/>
      </c>
      <c r="S149" s="34">
        <f>Q149+R149</f>
        <v/>
      </c>
      <c r="T149" s="29">
        <f>MaintFeeRateAnn/12*S149</f>
        <v/>
      </c>
      <c r="U149" s="29">
        <f>MAX(SumAssured-S149,0)</f>
        <v/>
      </c>
      <c r="V149" s="35">
        <f>CoiMultiple*G149</f>
        <v/>
      </c>
      <c r="W149" s="34">
        <f>V149*U149</f>
        <v/>
      </c>
      <c r="X149" s="34">
        <f>S149-T149-W149</f>
        <v/>
      </c>
      <c r="Y149" s="36">
        <f>EXP((Mu-0.5*Sigma^2)/12+Sigma*SQRT(1/12)*INDEX(NormRand,ScenID,A149+1))-1</f>
        <v/>
      </c>
      <c r="Z149" s="34">
        <f>Y149*X149</f>
        <v/>
      </c>
      <c r="AA149" s="34">
        <f>X149+0.5*Z149</f>
        <v/>
      </c>
      <c r="AB149" s="34">
        <f>Q149*J149</f>
        <v/>
      </c>
      <c r="AC149" s="34">
        <f>Q149*L149</f>
        <v/>
      </c>
      <c r="AD149" s="34">
        <f>S149*N149</f>
        <v/>
      </c>
      <c r="AE149" s="34">
        <f>E149*N149</f>
        <v/>
      </c>
      <c r="AF149" s="34">
        <f>R149*N149</f>
        <v/>
      </c>
      <c r="AG149" s="29">
        <f>MAX(SumAssured,AA149)</f>
        <v/>
      </c>
      <c r="AH149" s="34">
        <f>AG149*O149</f>
        <v/>
      </c>
      <c r="AI149" s="34">
        <f>AA149*O149</f>
        <v/>
      </c>
      <c r="AJ149" s="34">
        <f>AA149*P149</f>
        <v/>
      </c>
      <c r="AK149" s="34">
        <f>I149*AA149*P149</f>
        <v/>
      </c>
      <c r="AL149" s="34">
        <f>AJ149-AK149</f>
        <v/>
      </c>
      <c r="AM149" s="34">
        <f>Q149*K149</f>
        <v/>
      </c>
      <c r="AN149" s="34">
        <f>AH149+AL149+AM149</f>
        <v/>
      </c>
      <c r="AO149" s="34">
        <f>(AG149-AA149)*O149</f>
        <v/>
      </c>
      <c r="AP149" s="34">
        <f>W149*N149</f>
        <v/>
      </c>
      <c r="AQ149" s="34">
        <f>T149*N149</f>
        <v/>
      </c>
      <c r="AR149" s="34">
        <f>Z149*J150+0.5*Z149*(O149+P149)</f>
        <v/>
      </c>
      <c r="AS149" s="30">
        <f>(1+InflationRate)^(A149/12)</f>
        <v/>
      </c>
      <c r="AT149" s="29">
        <f>ExpenseAcq*M149+N149*ExpenseMaint/12*AS149</f>
        <v/>
      </c>
      <c r="AU149" s="29">
        <f>CommissionRate*AE149</f>
        <v/>
      </c>
      <c r="AV149" s="34">
        <f>AB150-AB149</f>
        <v/>
      </c>
      <c r="AW149" s="34">
        <f>AE149+AR149-AN149-AT149-AU149-AV149</f>
        <v/>
      </c>
      <c r="AX149" s="29">
        <f>LoadPremRate*E149*N149+AK149+AQ149-AU149-AT149</f>
        <v/>
      </c>
      <c r="AY149" s="34">
        <f>AP149-AO149</f>
        <v/>
      </c>
      <c r="AZ149" s="37">
        <f>(AW149-AX149-AY149)/MAX(1,ABS(AW149),ABS(AX149),ABS(AY149))</f>
        <v/>
      </c>
      <c r="BA149" s="37">
        <f>IF(OR(K149&gt;0,K150&gt;0),0,(AC150-(AC149+AF149-AQ149-AP149+AR149-AI149-AJ149-AM149))/MAX(1,ABS(AC149),ABS(AC150)))</f>
        <v/>
      </c>
      <c r="BB149" s="35">
        <f>(1+INDEX(DiscRateAnn,INT(A149/12)+1))^(1/12)-1</f>
        <v/>
      </c>
      <c r="BC149" s="31">
        <f>(1+BB149)^-A149</f>
        <v/>
      </c>
      <c r="BD149" s="34">
        <f>AW149*BC149</f>
        <v/>
      </c>
    </row>
    <row r="150">
      <c r="A150" s="27">
        <f>A149+1</f>
        <v/>
      </c>
      <c r="B150" s="28">
        <f>Duration0+A150</f>
        <v/>
      </c>
      <c r="C150" s="27">
        <f>INT(B150/12)</f>
        <v/>
      </c>
      <c r="D150" s="28">
        <f>AgeAtEntry+C150</f>
        <v/>
      </c>
      <c r="E150" s="29">
        <f>IF(PremiumType="SINGLE",IF(B150=0,PremiumPPInput,0),IF(B150&lt;12*PolicyTerm,PremiumPPInput,0))</f>
        <v/>
      </c>
      <c r="F150" s="30">
        <f>INDEX(MortRates,MATCH(MIN(D150,120),MortAges,0),MAX(MIN(C150,5),0)+1)</f>
        <v/>
      </c>
      <c r="G150" s="31">
        <f>1-(1-F150)^(1/12)</f>
        <v/>
      </c>
      <c r="H150" s="32">
        <f>MAX(LapseBase-LapseStep*C150,LapseFloor)</f>
        <v/>
      </c>
      <c r="I150" s="32">
        <f>IF(HasSurrCharge,INDEX(SurrRates,MIN(C150,SurrDurMax)+1,MATCH(SurrChargeID,SurrTypes,0)),0)</f>
        <v/>
      </c>
      <c r="J150" s="33">
        <f>N149-P149-O149</f>
        <v/>
      </c>
      <c r="K150" s="30">
        <f>IF(B150=12*PolicyTerm,J150,0)</f>
        <v/>
      </c>
      <c r="L150" s="33">
        <f>J150-K150</f>
        <v/>
      </c>
      <c r="M150" s="30">
        <f>IF(B150=0,PolicyCount,0)</f>
        <v/>
      </c>
      <c r="N150" s="33">
        <f>L150+M150</f>
        <v/>
      </c>
      <c r="O150" s="31">
        <f>N150*G150</f>
        <v/>
      </c>
      <c r="P150" s="33">
        <f>(N150-O150)*(1-(1-H150)^(1/12))</f>
        <v/>
      </c>
      <c r="Q150" s="34">
        <f>X149+Z149</f>
        <v/>
      </c>
      <c r="R150" s="29">
        <f>(1-LoadPremRate)*E150</f>
        <v/>
      </c>
      <c r="S150" s="34">
        <f>Q150+R150</f>
        <v/>
      </c>
      <c r="T150" s="29">
        <f>MaintFeeRateAnn/12*S150</f>
        <v/>
      </c>
      <c r="U150" s="29">
        <f>MAX(SumAssured-S150,0)</f>
        <v/>
      </c>
      <c r="V150" s="35">
        <f>CoiMultiple*G150</f>
        <v/>
      </c>
      <c r="W150" s="34">
        <f>V150*U150</f>
        <v/>
      </c>
      <c r="X150" s="34">
        <f>S150-T150-W150</f>
        <v/>
      </c>
      <c r="Y150" s="36">
        <f>EXP((Mu-0.5*Sigma^2)/12+Sigma*SQRT(1/12)*INDEX(NormRand,ScenID,A150+1))-1</f>
        <v/>
      </c>
      <c r="Z150" s="34">
        <f>Y150*X150</f>
        <v/>
      </c>
      <c r="AA150" s="34">
        <f>X150+0.5*Z150</f>
        <v/>
      </c>
      <c r="AB150" s="34">
        <f>Q150*J150</f>
        <v/>
      </c>
      <c r="AC150" s="34">
        <f>Q150*L150</f>
        <v/>
      </c>
      <c r="AD150" s="34">
        <f>S150*N150</f>
        <v/>
      </c>
      <c r="AE150" s="34">
        <f>E150*N150</f>
        <v/>
      </c>
      <c r="AF150" s="34">
        <f>R150*N150</f>
        <v/>
      </c>
      <c r="AG150" s="29">
        <f>MAX(SumAssured,AA150)</f>
        <v/>
      </c>
      <c r="AH150" s="34">
        <f>AG150*O150</f>
        <v/>
      </c>
      <c r="AI150" s="34">
        <f>AA150*O150</f>
        <v/>
      </c>
      <c r="AJ150" s="34">
        <f>AA150*P150</f>
        <v/>
      </c>
      <c r="AK150" s="34">
        <f>I150*AA150*P150</f>
        <v/>
      </c>
      <c r="AL150" s="34">
        <f>AJ150-AK150</f>
        <v/>
      </c>
      <c r="AM150" s="34">
        <f>Q150*K150</f>
        <v/>
      </c>
      <c r="AN150" s="34">
        <f>AH150+AL150+AM150</f>
        <v/>
      </c>
      <c r="AO150" s="34">
        <f>(AG150-AA150)*O150</f>
        <v/>
      </c>
      <c r="AP150" s="34">
        <f>W150*N150</f>
        <v/>
      </c>
      <c r="AQ150" s="34">
        <f>T150*N150</f>
        <v/>
      </c>
      <c r="AR150" s="34">
        <f>Z150*J151+0.5*Z150*(O150+P150)</f>
        <v/>
      </c>
      <c r="AS150" s="30">
        <f>(1+InflationRate)^(A150/12)</f>
        <v/>
      </c>
      <c r="AT150" s="29">
        <f>ExpenseAcq*M150+N150*ExpenseMaint/12*AS150</f>
        <v/>
      </c>
      <c r="AU150" s="29">
        <f>CommissionRate*AE150</f>
        <v/>
      </c>
      <c r="AV150" s="34">
        <f>AB151-AB150</f>
        <v/>
      </c>
      <c r="AW150" s="34">
        <f>AE150+AR150-AN150-AT150-AU150-AV150</f>
        <v/>
      </c>
      <c r="AX150" s="29">
        <f>LoadPremRate*E150*N150+AK150+AQ150-AU150-AT150</f>
        <v/>
      </c>
      <c r="AY150" s="34">
        <f>AP150-AO150</f>
        <v/>
      </c>
      <c r="AZ150" s="37">
        <f>(AW150-AX150-AY150)/MAX(1,ABS(AW150),ABS(AX150),ABS(AY150))</f>
        <v/>
      </c>
      <c r="BA150" s="37">
        <f>IF(OR(K150&gt;0,K151&gt;0),0,(AC151-(AC150+AF150-AQ150-AP150+AR150-AI150-AJ150-AM150))/MAX(1,ABS(AC150),ABS(AC151)))</f>
        <v/>
      </c>
      <c r="BB150" s="35">
        <f>(1+INDEX(DiscRateAnn,INT(A150/12)+1))^(1/12)-1</f>
        <v/>
      </c>
      <c r="BC150" s="31">
        <f>(1+BB150)^-A150</f>
        <v/>
      </c>
      <c r="BD150" s="34">
        <f>AW150*BC150</f>
        <v/>
      </c>
    </row>
    <row r="151">
      <c r="A151" s="27">
        <f>A150+1</f>
        <v/>
      </c>
      <c r="B151" s="28">
        <f>Duration0+A151</f>
        <v/>
      </c>
      <c r="C151" s="27">
        <f>INT(B151/12)</f>
        <v/>
      </c>
      <c r="D151" s="28">
        <f>AgeAtEntry+C151</f>
        <v/>
      </c>
      <c r="E151" s="29">
        <f>IF(PremiumType="SINGLE",IF(B151=0,PremiumPPInput,0),IF(B151&lt;12*PolicyTerm,PremiumPPInput,0))</f>
        <v/>
      </c>
      <c r="F151" s="30">
        <f>INDEX(MortRates,MATCH(MIN(D151,120),MortAges,0),MAX(MIN(C151,5),0)+1)</f>
        <v/>
      </c>
      <c r="G151" s="31">
        <f>1-(1-F151)^(1/12)</f>
        <v/>
      </c>
      <c r="H151" s="32">
        <f>MAX(LapseBase-LapseStep*C151,LapseFloor)</f>
        <v/>
      </c>
      <c r="I151" s="32">
        <f>IF(HasSurrCharge,INDEX(SurrRates,MIN(C151,SurrDurMax)+1,MATCH(SurrChargeID,SurrTypes,0)),0)</f>
        <v/>
      </c>
      <c r="J151" s="33">
        <f>N150-P150-O150</f>
        <v/>
      </c>
      <c r="K151" s="30">
        <f>IF(B151=12*PolicyTerm,J151,0)</f>
        <v/>
      </c>
      <c r="L151" s="33">
        <f>J151-K151</f>
        <v/>
      </c>
      <c r="M151" s="30">
        <f>IF(B151=0,PolicyCount,0)</f>
        <v/>
      </c>
      <c r="N151" s="33">
        <f>L151+M151</f>
        <v/>
      </c>
      <c r="O151" s="31">
        <f>N151*G151</f>
        <v/>
      </c>
      <c r="P151" s="33">
        <f>(N151-O151)*(1-(1-H151)^(1/12))</f>
        <v/>
      </c>
      <c r="Q151" s="34">
        <f>X150+Z150</f>
        <v/>
      </c>
      <c r="R151" s="29">
        <f>(1-LoadPremRate)*E151</f>
        <v/>
      </c>
      <c r="S151" s="34">
        <f>Q151+R151</f>
        <v/>
      </c>
      <c r="T151" s="29">
        <f>MaintFeeRateAnn/12*S151</f>
        <v/>
      </c>
      <c r="U151" s="29">
        <f>MAX(SumAssured-S151,0)</f>
        <v/>
      </c>
      <c r="V151" s="35">
        <f>CoiMultiple*G151</f>
        <v/>
      </c>
      <c r="W151" s="34">
        <f>V151*U151</f>
        <v/>
      </c>
      <c r="X151" s="34">
        <f>S151-T151-W151</f>
        <v/>
      </c>
      <c r="Y151" s="36">
        <f>EXP((Mu-0.5*Sigma^2)/12+Sigma*SQRT(1/12)*INDEX(NormRand,ScenID,A151+1))-1</f>
        <v/>
      </c>
      <c r="Z151" s="34">
        <f>Y151*X151</f>
        <v/>
      </c>
      <c r="AA151" s="34">
        <f>X151+0.5*Z151</f>
        <v/>
      </c>
      <c r="AB151" s="34">
        <f>Q151*J151</f>
        <v/>
      </c>
      <c r="AC151" s="34">
        <f>Q151*L151</f>
        <v/>
      </c>
      <c r="AD151" s="34">
        <f>S151*N151</f>
        <v/>
      </c>
      <c r="AE151" s="34">
        <f>E151*N151</f>
        <v/>
      </c>
      <c r="AF151" s="34">
        <f>R151*N151</f>
        <v/>
      </c>
      <c r="AG151" s="29">
        <f>MAX(SumAssured,AA151)</f>
        <v/>
      </c>
      <c r="AH151" s="34">
        <f>AG151*O151</f>
        <v/>
      </c>
      <c r="AI151" s="34">
        <f>AA151*O151</f>
        <v/>
      </c>
      <c r="AJ151" s="34">
        <f>AA151*P151</f>
        <v/>
      </c>
      <c r="AK151" s="34">
        <f>I151*AA151*P151</f>
        <v/>
      </c>
      <c r="AL151" s="34">
        <f>AJ151-AK151</f>
        <v/>
      </c>
      <c r="AM151" s="34">
        <f>Q151*K151</f>
        <v/>
      </c>
      <c r="AN151" s="34">
        <f>AH151+AL151+AM151</f>
        <v/>
      </c>
      <c r="AO151" s="34">
        <f>(AG151-AA151)*O151</f>
        <v/>
      </c>
      <c r="AP151" s="34">
        <f>W151*N151</f>
        <v/>
      </c>
      <c r="AQ151" s="34">
        <f>T151*N151</f>
        <v/>
      </c>
      <c r="AR151" s="34">
        <f>Z151*J152+0.5*Z151*(O151+P151)</f>
        <v/>
      </c>
      <c r="AS151" s="30">
        <f>(1+InflationRate)^(A151/12)</f>
        <v/>
      </c>
      <c r="AT151" s="29">
        <f>ExpenseAcq*M151+N151*ExpenseMaint/12*AS151</f>
        <v/>
      </c>
      <c r="AU151" s="29">
        <f>CommissionRate*AE151</f>
        <v/>
      </c>
      <c r="AV151" s="34">
        <f>AB152-AB151</f>
        <v/>
      </c>
      <c r="AW151" s="34">
        <f>AE151+AR151-AN151-AT151-AU151-AV151</f>
        <v/>
      </c>
      <c r="AX151" s="29">
        <f>LoadPremRate*E151*N151+AK151+AQ151-AU151-AT151</f>
        <v/>
      </c>
      <c r="AY151" s="34">
        <f>AP151-AO151</f>
        <v/>
      </c>
      <c r="AZ151" s="37">
        <f>(AW151-AX151-AY151)/MAX(1,ABS(AW151),ABS(AX151),ABS(AY151))</f>
        <v/>
      </c>
      <c r="BA151" s="37">
        <f>IF(OR(K151&gt;0,K152&gt;0),0,(AC152-(AC151+AF151-AQ151-AP151+AR151-AI151-AJ151-AM151))/MAX(1,ABS(AC151),ABS(AC152)))</f>
        <v/>
      </c>
      <c r="BB151" s="35">
        <f>(1+INDEX(DiscRateAnn,INT(A151/12)+1))^(1/12)-1</f>
        <v/>
      </c>
      <c r="BC151" s="31">
        <f>(1+BB151)^-A151</f>
        <v/>
      </c>
      <c r="BD151" s="34">
        <f>AW151*BC151</f>
        <v/>
      </c>
    </row>
    <row r="152">
      <c r="A152" s="27">
        <f>A151+1</f>
        <v/>
      </c>
      <c r="B152" s="28">
        <f>Duration0+A152</f>
        <v/>
      </c>
      <c r="C152" s="27">
        <f>INT(B152/12)</f>
        <v/>
      </c>
      <c r="D152" s="28">
        <f>AgeAtEntry+C152</f>
        <v/>
      </c>
      <c r="E152" s="29">
        <f>IF(PremiumType="SINGLE",IF(B152=0,PremiumPPInput,0),IF(B152&lt;12*PolicyTerm,PremiumPPInput,0))</f>
        <v/>
      </c>
      <c r="F152" s="30">
        <f>INDEX(MortRates,MATCH(MIN(D152,120),MortAges,0),MAX(MIN(C152,5),0)+1)</f>
        <v/>
      </c>
      <c r="G152" s="31">
        <f>1-(1-F152)^(1/12)</f>
        <v/>
      </c>
      <c r="H152" s="32">
        <f>MAX(LapseBase-LapseStep*C152,LapseFloor)</f>
        <v/>
      </c>
      <c r="I152" s="32">
        <f>IF(HasSurrCharge,INDEX(SurrRates,MIN(C152,SurrDurMax)+1,MATCH(SurrChargeID,SurrTypes,0)),0)</f>
        <v/>
      </c>
      <c r="J152" s="33">
        <f>N151-P151-O151</f>
        <v/>
      </c>
      <c r="K152" s="30">
        <f>IF(B152=12*PolicyTerm,J152,0)</f>
        <v/>
      </c>
      <c r="L152" s="33">
        <f>J152-K152</f>
        <v/>
      </c>
      <c r="M152" s="30">
        <f>IF(B152=0,PolicyCount,0)</f>
        <v/>
      </c>
      <c r="N152" s="33">
        <f>L152+M152</f>
        <v/>
      </c>
      <c r="O152" s="31">
        <f>N152*G152</f>
        <v/>
      </c>
      <c r="P152" s="33">
        <f>(N152-O152)*(1-(1-H152)^(1/12))</f>
        <v/>
      </c>
      <c r="Q152" s="34">
        <f>X151+Z151</f>
        <v/>
      </c>
      <c r="R152" s="29">
        <f>(1-LoadPremRate)*E152</f>
        <v/>
      </c>
      <c r="S152" s="34">
        <f>Q152+R152</f>
        <v/>
      </c>
      <c r="T152" s="29">
        <f>MaintFeeRateAnn/12*S152</f>
        <v/>
      </c>
      <c r="U152" s="29">
        <f>MAX(SumAssured-S152,0)</f>
        <v/>
      </c>
      <c r="V152" s="35">
        <f>CoiMultiple*G152</f>
        <v/>
      </c>
      <c r="W152" s="34">
        <f>V152*U152</f>
        <v/>
      </c>
      <c r="X152" s="34">
        <f>S152-T152-W152</f>
        <v/>
      </c>
      <c r="Y152" s="36">
        <f>EXP((Mu-0.5*Sigma^2)/12+Sigma*SQRT(1/12)*INDEX(NormRand,ScenID,A152+1))-1</f>
        <v/>
      </c>
      <c r="Z152" s="34">
        <f>Y152*X152</f>
        <v/>
      </c>
      <c r="AA152" s="34">
        <f>X152+0.5*Z152</f>
        <v/>
      </c>
      <c r="AB152" s="34">
        <f>Q152*J152</f>
        <v/>
      </c>
      <c r="AC152" s="34">
        <f>Q152*L152</f>
        <v/>
      </c>
      <c r="AD152" s="34">
        <f>S152*N152</f>
        <v/>
      </c>
      <c r="AE152" s="34">
        <f>E152*N152</f>
        <v/>
      </c>
      <c r="AF152" s="34">
        <f>R152*N152</f>
        <v/>
      </c>
      <c r="AG152" s="29">
        <f>MAX(SumAssured,AA152)</f>
        <v/>
      </c>
      <c r="AH152" s="34">
        <f>AG152*O152</f>
        <v/>
      </c>
      <c r="AI152" s="34">
        <f>AA152*O152</f>
        <v/>
      </c>
      <c r="AJ152" s="34">
        <f>AA152*P152</f>
        <v/>
      </c>
      <c r="AK152" s="34">
        <f>I152*AA152*P152</f>
        <v/>
      </c>
      <c r="AL152" s="34">
        <f>AJ152-AK152</f>
        <v/>
      </c>
      <c r="AM152" s="34">
        <f>Q152*K152</f>
        <v/>
      </c>
      <c r="AN152" s="34">
        <f>AH152+AL152+AM152</f>
        <v/>
      </c>
      <c r="AO152" s="34">
        <f>(AG152-AA152)*O152</f>
        <v/>
      </c>
      <c r="AP152" s="34">
        <f>W152*N152</f>
        <v/>
      </c>
      <c r="AQ152" s="34">
        <f>T152*N152</f>
        <v/>
      </c>
      <c r="AR152" s="34">
        <f>Z152*J153+0.5*Z152*(O152+P152)</f>
        <v/>
      </c>
      <c r="AS152" s="30">
        <f>(1+InflationRate)^(A152/12)</f>
        <v/>
      </c>
      <c r="AT152" s="29">
        <f>ExpenseAcq*M152+N152*ExpenseMaint/12*AS152</f>
        <v/>
      </c>
      <c r="AU152" s="29">
        <f>CommissionRate*AE152</f>
        <v/>
      </c>
      <c r="AV152" s="34">
        <f>AB153-AB152</f>
        <v/>
      </c>
      <c r="AW152" s="34">
        <f>AE152+AR152-AN152-AT152-AU152-AV152</f>
        <v/>
      </c>
      <c r="AX152" s="29">
        <f>LoadPremRate*E152*N152+AK152+AQ152-AU152-AT152</f>
        <v/>
      </c>
      <c r="AY152" s="34">
        <f>AP152-AO152</f>
        <v/>
      </c>
      <c r="AZ152" s="37">
        <f>(AW152-AX152-AY152)/MAX(1,ABS(AW152),ABS(AX152),ABS(AY152))</f>
        <v/>
      </c>
      <c r="BA152" s="37">
        <f>IF(OR(K152&gt;0,K153&gt;0),0,(AC153-(AC152+AF152-AQ152-AP152+AR152-AI152-AJ152-AM152))/MAX(1,ABS(AC152),ABS(AC153)))</f>
        <v/>
      </c>
      <c r="BB152" s="35">
        <f>(1+INDEX(DiscRateAnn,INT(A152/12)+1))^(1/12)-1</f>
        <v/>
      </c>
      <c r="BC152" s="31">
        <f>(1+BB152)^-A152</f>
        <v/>
      </c>
      <c r="BD152" s="34">
        <f>AW152*BC152</f>
        <v/>
      </c>
    </row>
    <row r="153">
      <c r="A153" s="27">
        <f>A152+1</f>
        <v/>
      </c>
      <c r="B153" s="28">
        <f>Duration0+A153</f>
        <v/>
      </c>
      <c r="C153" s="27">
        <f>INT(B153/12)</f>
        <v/>
      </c>
      <c r="D153" s="28">
        <f>AgeAtEntry+C153</f>
        <v/>
      </c>
      <c r="E153" s="29">
        <f>IF(PremiumType="SINGLE",IF(B153=0,PremiumPPInput,0),IF(B153&lt;12*PolicyTerm,PremiumPPInput,0))</f>
        <v/>
      </c>
      <c r="F153" s="30">
        <f>INDEX(MortRates,MATCH(MIN(D153,120),MortAges,0),MAX(MIN(C153,5),0)+1)</f>
        <v/>
      </c>
      <c r="G153" s="31">
        <f>1-(1-F153)^(1/12)</f>
        <v/>
      </c>
      <c r="H153" s="32">
        <f>MAX(LapseBase-LapseStep*C153,LapseFloor)</f>
        <v/>
      </c>
      <c r="I153" s="32">
        <f>IF(HasSurrCharge,INDEX(SurrRates,MIN(C153,SurrDurMax)+1,MATCH(SurrChargeID,SurrTypes,0)),0)</f>
        <v/>
      </c>
      <c r="J153" s="33">
        <f>N152-P152-O152</f>
        <v/>
      </c>
      <c r="K153" s="30">
        <f>IF(B153=12*PolicyTerm,J153,0)</f>
        <v/>
      </c>
      <c r="L153" s="33">
        <f>J153-K153</f>
        <v/>
      </c>
      <c r="M153" s="30">
        <f>IF(B153=0,PolicyCount,0)</f>
        <v/>
      </c>
      <c r="N153" s="33">
        <f>L153+M153</f>
        <v/>
      </c>
      <c r="O153" s="31">
        <f>N153*G153</f>
        <v/>
      </c>
      <c r="P153" s="33">
        <f>(N153-O153)*(1-(1-H153)^(1/12))</f>
        <v/>
      </c>
      <c r="Q153" s="34">
        <f>X152+Z152</f>
        <v/>
      </c>
      <c r="R153" s="29">
        <f>(1-LoadPremRate)*E153</f>
        <v/>
      </c>
      <c r="S153" s="34">
        <f>Q153+R153</f>
        <v/>
      </c>
      <c r="T153" s="29">
        <f>MaintFeeRateAnn/12*S153</f>
        <v/>
      </c>
      <c r="U153" s="29">
        <f>MAX(SumAssured-S153,0)</f>
        <v/>
      </c>
      <c r="V153" s="35">
        <f>CoiMultiple*G153</f>
        <v/>
      </c>
      <c r="W153" s="34">
        <f>V153*U153</f>
        <v/>
      </c>
      <c r="X153" s="34">
        <f>S153-T153-W153</f>
        <v/>
      </c>
      <c r="Y153" s="36">
        <f>EXP((Mu-0.5*Sigma^2)/12+Sigma*SQRT(1/12)*INDEX(NormRand,ScenID,A153+1))-1</f>
        <v/>
      </c>
      <c r="Z153" s="34">
        <f>Y153*X153</f>
        <v/>
      </c>
      <c r="AA153" s="34">
        <f>X153+0.5*Z153</f>
        <v/>
      </c>
      <c r="AB153" s="34">
        <f>Q153*J153</f>
        <v/>
      </c>
      <c r="AC153" s="34">
        <f>Q153*L153</f>
        <v/>
      </c>
      <c r="AD153" s="34">
        <f>S153*N153</f>
        <v/>
      </c>
      <c r="AE153" s="34">
        <f>E153*N153</f>
        <v/>
      </c>
      <c r="AF153" s="34">
        <f>R153*N153</f>
        <v/>
      </c>
      <c r="AG153" s="29">
        <f>MAX(SumAssured,AA153)</f>
        <v/>
      </c>
      <c r="AH153" s="34">
        <f>AG153*O153</f>
        <v/>
      </c>
      <c r="AI153" s="34">
        <f>AA153*O153</f>
        <v/>
      </c>
      <c r="AJ153" s="34">
        <f>AA153*P153</f>
        <v/>
      </c>
      <c r="AK153" s="34">
        <f>I153*AA153*P153</f>
        <v/>
      </c>
      <c r="AL153" s="34">
        <f>AJ153-AK153</f>
        <v/>
      </c>
      <c r="AM153" s="34">
        <f>Q153*K153</f>
        <v/>
      </c>
      <c r="AN153" s="34">
        <f>AH153+AL153+AM153</f>
        <v/>
      </c>
      <c r="AO153" s="34">
        <f>(AG153-AA153)*O153</f>
        <v/>
      </c>
      <c r="AP153" s="34">
        <f>W153*N153</f>
        <v/>
      </c>
      <c r="AQ153" s="34">
        <f>T153*N153</f>
        <v/>
      </c>
      <c r="AR153" s="34">
        <f>Z153*J154+0.5*Z153*(O153+P153)</f>
        <v/>
      </c>
      <c r="AS153" s="30">
        <f>(1+InflationRate)^(A153/12)</f>
        <v/>
      </c>
      <c r="AT153" s="29">
        <f>ExpenseAcq*M153+N153*ExpenseMaint/12*AS153</f>
        <v/>
      </c>
      <c r="AU153" s="29">
        <f>CommissionRate*AE153</f>
        <v/>
      </c>
      <c r="AV153" s="34">
        <f>AB154-AB153</f>
        <v/>
      </c>
      <c r="AW153" s="34">
        <f>AE153+AR153-AN153-AT153-AU153-AV153</f>
        <v/>
      </c>
      <c r="AX153" s="29">
        <f>LoadPremRate*E153*N153+AK153+AQ153-AU153-AT153</f>
        <v/>
      </c>
      <c r="AY153" s="34">
        <f>AP153-AO153</f>
        <v/>
      </c>
      <c r="AZ153" s="37">
        <f>(AW153-AX153-AY153)/MAX(1,ABS(AW153),ABS(AX153),ABS(AY153))</f>
        <v/>
      </c>
      <c r="BA153" s="37">
        <f>IF(OR(K153&gt;0,K154&gt;0),0,(AC154-(AC153+AF153-AQ153-AP153+AR153-AI153-AJ153-AM153))/MAX(1,ABS(AC153),ABS(AC154)))</f>
        <v/>
      </c>
      <c r="BB153" s="35">
        <f>(1+INDEX(DiscRateAnn,INT(A153/12)+1))^(1/12)-1</f>
        <v/>
      </c>
      <c r="BC153" s="31">
        <f>(1+BB153)^-A153</f>
        <v/>
      </c>
      <c r="BD153" s="34">
        <f>AW153*BC153</f>
        <v/>
      </c>
    </row>
    <row r="154">
      <c r="A154" s="27">
        <f>A153+1</f>
        <v/>
      </c>
      <c r="B154" s="28">
        <f>Duration0+A154</f>
        <v/>
      </c>
      <c r="C154" s="27">
        <f>INT(B154/12)</f>
        <v/>
      </c>
      <c r="D154" s="28">
        <f>AgeAtEntry+C154</f>
        <v/>
      </c>
      <c r="E154" s="29">
        <f>IF(PremiumType="SINGLE",IF(B154=0,PremiumPPInput,0),IF(B154&lt;12*PolicyTerm,PremiumPPInput,0))</f>
        <v/>
      </c>
      <c r="F154" s="30">
        <f>INDEX(MortRates,MATCH(MIN(D154,120),MortAges,0),MAX(MIN(C154,5),0)+1)</f>
        <v/>
      </c>
      <c r="G154" s="31">
        <f>1-(1-F154)^(1/12)</f>
        <v/>
      </c>
      <c r="H154" s="32">
        <f>MAX(LapseBase-LapseStep*C154,LapseFloor)</f>
        <v/>
      </c>
      <c r="I154" s="32">
        <f>IF(HasSurrCharge,INDEX(SurrRates,MIN(C154,SurrDurMax)+1,MATCH(SurrChargeID,SurrTypes,0)),0)</f>
        <v/>
      </c>
      <c r="J154" s="33">
        <f>N153-P153-O153</f>
        <v/>
      </c>
      <c r="K154" s="30">
        <f>IF(B154=12*PolicyTerm,J154,0)</f>
        <v/>
      </c>
      <c r="L154" s="33">
        <f>J154-K154</f>
        <v/>
      </c>
      <c r="M154" s="30">
        <f>IF(B154=0,PolicyCount,0)</f>
        <v/>
      </c>
      <c r="N154" s="33">
        <f>L154+M154</f>
        <v/>
      </c>
      <c r="O154" s="31">
        <f>N154*G154</f>
        <v/>
      </c>
      <c r="P154" s="33">
        <f>(N154-O154)*(1-(1-H154)^(1/12))</f>
        <v/>
      </c>
      <c r="Q154" s="34">
        <f>X153+Z153</f>
        <v/>
      </c>
      <c r="R154" s="29">
        <f>(1-LoadPremRate)*E154</f>
        <v/>
      </c>
      <c r="S154" s="34">
        <f>Q154+R154</f>
        <v/>
      </c>
      <c r="T154" s="29">
        <f>MaintFeeRateAnn/12*S154</f>
        <v/>
      </c>
      <c r="U154" s="29">
        <f>MAX(SumAssured-S154,0)</f>
        <v/>
      </c>
      <c r="V154" s="35">
        <f>CoiMultiple*G154</f>
        <v/>
      </c>
      <c r="W154" s="34">
        <f>V154*U154</f>
        <v/>
      </c>
      <c r="X154" s="34">
        <f>S154-T154-W154</f>
        <v/>
      </c>
      <c r="Y154" s="36">
        <f>EXP((Mu-0.5*Sigma^2)/12+Sigma*SQRT(1/12)*INDEX(NormRand,ScenID,A154+1))-1</f>
        <v/>
      </c>
      <c r="Z154" s="34">
        <f>Y154*X154</f>
        <v/>
      </c>
      <c r="AA154" s="34">
        <f>X154+0.5*Z154</f>
        <v/>
      </c>
      <c r="AB154" s="34">
        <f>Q154*J154</f>
        <v/>
      </c>
      <c r="AC154" s="34">
        <f>Q154*L154</f>
        <v/>
      </c>
      <c r="AD154" s="34">
        <f>S154*N154</f>
        <v/>
      </c>
      <c r="AE154" s="34">
        <f>E154*N154</f>
        <v/>
      </c>
      <c r="AF154" s="34">
        <f>R154*N154</f>
        <v/>
      </c>
      <c r="AG154" s="29">
        <f>MAX(SumAssured,AA154)</f>
        <v/>
      </c>
      <c r="AH154" s="34">
        <f>AG154*O154</f>
        <v/>
      </c>
      <c r="AI154" s="34">
        <f>AA154*O154</f>
        <v/>
      </c>
      <c r="AJ154" s="34">
        <f>AA154*P154</f>
        <v/>
      </c>
      <c r="AK154" s="34">
        <f>I154*AA154*P154</f>
        <v/>
      </c>
      <c r="AL154" s="34">
        <f>AJ154-AK154</f>
        <v/>
      </c>
      <c r="AM154" s="34">
        <f>Q154*K154</f>
        <v/>
      </c>
      <c r="AN154" s="34">
        <f>AH154+AL154+AM154</f>
        <v/>
      </c>
      <c r="AO154" s="34">
        <f>(AG154-AA154)*O154</f>
        <v/>
      </c>
      <c r="AP154" s="34">
        <f>W154*N154</f>
        <v/>
      </c>
      <c r="AQ154" s="34">
        <f>T154*N154</f>
        <v/>
      </c>
      <c r="AR154" s="34">
        <f>Z154*J155+0.5*Z154*(O154+P154)</f>
        <v/>
      </c>
      <c r="AS154" s="30">
        <f>(1+InflationRate)^(A154/12)</f>
        <v/>
      </c>
      <c r="AT154" s="29">
        <f>ExpenseAcq*M154+N154*ExpenseMaint/12*AS154</f>
        <v/>
      </c>
      <c r="AU154" s="29">
        <f>CommissionRate*AE154</f>
        <v/>
      </c>
      <c r="AV154" s="34">
        <f>AB155-AB154</f>
        <v/>
      </c>
      <c r="AW154" s="34">
        <f>AE154+AR154-AN154-AT154-AU154-AV154</f>
        <v/>
      </c>
      <c r="AX154" s="29">
        <f>LoadPremRate*E154*N154+AK154+AQ154-AU154-AT154</f>
        <v/>
      </c>
      <c r="AY154" s="34">
        <f>AP154-AO154</f>
        <v/>
      </c>
      <c r="AZ154" s="37">
        <f>(AW154-AX154-AY154)/MAX(1,ABS(AW154),ABS(AX154),ABS(AY154))</f>
        <v/>
      </c>
      <c r="BA154" s="37">
        <f>IF(OR(K154&gt;0,K155&gt;0),0,(AC155-(AC154+AF154-AQ154-AP154+AR154-AI154-AJ154-AM154))/MAX(1,ABS(AC154),ABS(AC155)))</f>
        <v/>
      </c>
      <c r="BB154" s="35">
        <f>(1+INDEX(DiscRateAnn,INT(A154/12)+1))^(1/12)-1</f>
        <v/>
      </c>
      <c r="BC154" s="31">
        <f>(1+BB154)^-A154</f>
        <v/>
      </c>
      <c r="BD154" s="34">
        <f>AW154*BC154</f>
        <v/>
      </c>
    </row>
    <row r="155">
      <c r="A155" s="27">
        <f>A154+1</f>
        <v/>
      </c>
      <c r="B155" s="28">
        <f>Duration0+A155</f>
        <v/>
      </c>
      <c r="C155" s="27">
        <f>INT(B155/12)</f>
        <v/>
      </c>
      <c r="D155" s="28">
        <f>AgeAtEntry+C155</f>
        <v/>
      </c>
      <c r="E155" s="29">
        <f>IF(PremiumType="SINGLE",IF(B155=0,PremiumPPInput,0),IF(B155&lt;12*PolicyTerm,PremiumPPInput,0))</f>
        <v/>
      </c>
      <c r="F155" s="30">
        <f>INDEX(MortRates,MATCH(MIN(D155,120),MortAges,0),MAX(MIN(C155,5),0)+1)</f>
        <v/>
      </c>
      <c r="G155" s="31">
        <f>1-(1-F155)^(1/12)</f>
        <v/>
      </c>
      <c r="H155" s="32">
        <f>MAX(LapseBase-LapseStep*C155,LapseFloor)</f>
        <v/>
      </c>
      <c r="I155" s="32">
        <f>IF(HasSurrCharge,INDEX(SurrRates,MIN(C155,SurrDurMax)+1,MATCH(SurrChargeID,SurrTypes,0)),0)</f>
        <v/>
      </c>
      <c r="J155" s="33">
        <f>N154-P154-O154</f>
        <v/>
      </c>
      <c r="K155" s="30">
        <f>IF(B155=12*PolicyTerm,J155,0)</f>
        <v/>
      </c>
      <c r="L155" s="33">
        <f>J155-K155</f>
        <v/>
      </c>
      <c r="M155" s="30">
        <f>IF(B155=0,PolicyCount,0)</f>
        <v/>
      </c>
      <c r="N155" s="33">
        <f>L155+M155</f>
        <v/>
      </c>
      <c r="O155" s="31">
        <f>N155*G155</f>
        <v/>
      </c>
      <c r="P155" s="33">
        <f>(N155-O155)*(1-(1-H155)^(1/12))</f>
        <v/>
      </c>
      <c r="Q155" s="34">
        <f>X154+Z154</f>
        <v/>
      </c>
      <c r="R155" s="29">
        <f>(1-LoadPremRate)*E155</f>
        <v/>
      </c>
      <c r="S155" s="34">
        <f>Q155+R155</f>
        <v/>
      </c>
      <c r="T155" s="29">
        <f>MaintFeeRateAnn/12*S155</f>
        <v/>
      </c>
      <c r="U155" s="29">
        <f>MAX(SumAssured-S155,0)</f>
        <v/>
      </c>
      <c r="V155" s="35">
        <f>CoiMultiple*G155</f>
        <v/>
      </c>
      <c r="W155" s="34">
        <f>V155*U155</f>
        <v/>
      </c>
      <c r="X155" s="34">
        <f>S155-T155-W155</f>
        <v/>
      </c>
      <c r="Y155" s="36">
        <f>EXP((Mu-0.5*Sigma^2)/12+Sigma*SQRT(1/12)*INDEX(NormRand,ScenID,A155+1))-1</f>
        <v/>
      </c>
      <c r="Z155" s="34">
        <f>Y155*X155</f>
        <v/>
      </c>
      <c r="AA155" s="34">
        <f>X155+0.5*Z155</f>
        <v/>
      </c>
      <c r="AB155" s="34">
        <f>Q155*J155</f>
        <v/>
      </c>
      <c r="AC155" s="34">
        <f>Q155*L155</f>
        <v/>
      </c>
      <c r="AD155" s="34">
        <f>S155*N155</f>
        <v/>
      </c>
      <c r="AE155" s="34">
        <f>E155*N155</f>
        <v/>
      </c>
      <c r="AF155" s="34">
        <f>R155*N155</f>
        <v/>
      </c>
      <c r="AG155" s="29">
        <f>MAX(SumAssured,AA155)</f>
        <v/>
      </c>
      <c r="AH155" s="34">
        <f>AG155*O155</f>
        <v/>
      </c>
      <c r="AI155" s="34">
        <f>AA155*O155</f>
        <v/>
      </c>
      <c r="AJ155" s="34">
        <f>AA155*P155</f>
        <v/>
      </c>
      <c r="AK155" s="34">
        <f>I155*AA155*P155</f>
        <v/>
      </c>
      <c r="AL155" s="34">
        <f>AJ155-AK155</f>
        <v/>
      </c>
      <c r="AM155" s="34">
        <f>Q155*K155</f>
        <v/>
      </c>
      <c r="AN155" s="34">
        <f>AH155+AL155+AM155</f>
        <v/>
      </c>
      <c r="AO155" s="34">
        <f>(AG155-AA155)*O155</f>
        <v/>
      </c>
      <c r="AP155" s="34">
        <f>W155*N155</f>
        <v/>
      </c>
      <c r="AQ155" s="34">
        <f>T155*N155</f>
        <v/>
      </c>
      <c r="AR155" s="34">
        <f>Z155*J156+0.5*Z155*(O155+P155)</f>
        <v/>
      </c>
      <c r="AS155" s="30">
        <f>(1+InflationRate)^(A155/12)</f>
        <v/>
      </c>
      <c r="AT155" s="29">
        <f>ExpenseAcq*M155+N155*ExpenseMaint/12*AS155</f>
        <v/>
      </c>
      <c r="AU155" s="29">
        <f>CommissionRate*AE155</f>
        <v/>
      </c>
      <c r="AV155" s="34">
        <f>AB156-AB155</f>
        <v/>
      </c>
      <c r="AW155" s="34">
        <f>AE155+AR155-AN155-AT155-AU155-AV155</f>
        <v/>
      </c>
      <c r="AX155" s="29">
        <f>LoadPremRate*E155*N155+AK155+AQ155-AU155-AT155</f>
        <v/>
      </c>
      <c r="AY155" s="34">
        <f>AP155-AO155</f>
        <v/>
      </c>
      <c r="AZ155" s="37">
        <f>(AW155-AX155-AY155)/MAX(1,ABS(AW155),ABS(AX155),ABS(AY155))</f>
        <v/>
      </c>
      <c r="BA155" s="37">
        <f>IF(OR(K155&gt;0,K156&gt;0),0,(AC156-(AC155+AF155-AQ155-AP155+AR155-AI155-AJ155-AM155))/MAX(1,ABS(AC155),ABS(AC156)))</f>
        <v/>
      </c>
      <c r="BB155" s="35">
        <f>(1+INDEX(DiscRateAnn,INT(A155/12)+1))^(1/12)-1</f>
        <v/>
      </c>
      <c r="BC155" s="31">
        <f>(1+BB155)^-A155</f>
        <v/>
      </c>
      <c r="BD155" s="34">
        <f>AW155*BC155</f>
        <v/>
      </c>
    </row>
    <row r="156">
      <c r="A156" s="27">
        <f>A155+1</f>
        <v/>
      </c>
      <c r="B156" s="28">
        <f>Duration0+A156</f>
        <v/>
      </c>
      <c r="C156" s="27">
        <f>INT(B156/12)</f>
        <v/>
      </c>
      <c r="D156" s="28">
        <f>AgeAtEntry+C156</f>
        <v/>
      </c>
      <c r="E156" s="29">
        <f>IF(PremiumType="SINGLE",IF(B156=0,PremiumPPInput,0),IF(B156&lt;12*PolicyTerm,PremiumPPInput,0))</f>
        <v/>
      </c>
      <c r="F156" s="30">
        <f>INDEX(MortRates,MATCH(MIN(D156,120),MortAges,0),MAX(MIN(C156,5),0)+1)</f>
        <v/>
      </c>
      <c r="G156" s="31">
        <f>1-(1-F156)^(1/12)</f>
        <v/>
      </c>
      <c r="H156" s="32">
        <f>MAX(LapseBase-LapseStep*C156,LapseFloor)</f>
        <v/>
      </c>
      <c r="I156" s="32">
        <f>IF(HasSurrCharge,INDEX(SurrRates,MIN(C156,SurrDurMax)+1,MATCH(SurrChargeID,SurrTypes,0)),0)</f>
        <v/>
      </c>
      <c r="J156" s="33">
        <f>N155-P155-O155</f>
        <v/>
      </c>
      <c r="K156" s="30">
        <f>IF(B156=12*PolicyTerm,J156,0)</f>
        <v/>
      </c>
      <c r="L156" s="33">
        <f>J156-K156</f>
        <v/>
      </c>
      <c r="M156" s="30">
        <f>IF(B156=0,PolicyCount,0)</f>
        <v/>
      </c>
      <c r="N156" s="33">
        <f>L156+M156</f>
        <v/>
      </c>
      <c r="O156" s="31">
        <f>N156*G156</f>
        <v/>
      </c>
      <c r="P156" s="33">
        <f>(N156-O156)*(1-(1-H156)^(1/12))</f>
        <v/>
      </c>
      <c r="Q156" s="34">
        <f>X155+Z155</f>
        <v/>
      </c>
      <c r="R156" s="29">
        <f>(1-LoadPremRate)*E156</f>
        <v/>
      </c>
      <c r="S156" s="34">
        <f>Q156+R156</f>
        <v/>
      </c>
      <c r="T156" s="29">
        <f>MaintFeeRateAnn/12*S156</f>
        <v/>
      </c>
      <c r="U156" s="29">
        <f>MAX(SumAssured-S156,0)</f>
        <v/>
      </c>
      <c r="V156" s="35">
        <f>CoiMultiple*G156</f>
        <v/>
      </c>
      <c r="W156" s="34">
        <f>V156*U156</f>
        <v/>
      </c>
      <c r="X156" s="34">
        <f>S156-T156-W156</f>
        <v/>
      </c>
      <c r="Y156" s="36">
        <f>EXP((Mu-0.5*Sigma^2)/12+Sigma*SQRT(1/12)*INDEX(NormRand,ScenID,A156+1))-1</f>
        <v/>
      </c>
      <c r="Z156" s="34">
        <f>Y156*X156</f>
        <v/>
      </c>
      <c r="AA156" s="34">
        <f>X156+0.5*Z156</f>
        <v/>
      </c>
      <c r="AB156" s="34">
        <f>Q156*J156</f>
        <v/>
      </c>
      <c r="AC156" s="34">
        <f>Q156*L156</f>
        <v/>
      </c>
      <c r="AD156" s="34">
        <f>S156*N156</f>
        <v/>
      </c>
      <c r="AE156" s="34">
        <f>E156*N156</f>
        <v/>
      </c>
      <c r="AF156" s="34">
        <f>R156*N156</f>
        <v/>
      </c>
      <c r="AG156" s="29">
        <f>MAX(SumAssured,AA156)</f>
        <v/>
      </c>
      <c r="AH156" s="34">
        <f>AG156*O156</f>
        <v/>
      </c>
      <c r="AI156" s="34">
        <f>AA156*O156</f>
        <v/>
      </c>
      <c r="AJ156" s="34">
        <f>AA156*P156</f>
        <v/>
      </c>
      <c r="AK156" s="34">
        <f>I156*AA156*P156</f>
        <v/>
      </c>
      <c r="AL156" s="34">
        <f>AJ156-AK156</f>
        <v/>
      </c>
      <c r="AM156" s="34">
        <f>Q156*K156</f>
        <v/>
      </c>
      <c r="AN156" s="34">
        <f>AH156+AL156+AM156</f>
        <v/>
      </c>
      <c r="AO156" s="34">
        <f>(AG156-AA156)*O156</f>
        <v/>
      </c>
      <c r="AP156" s="34">
        <f>W156*N156</f>
        <v/>
      </c>
      <c r="AQ156" s="34">
        <f>T156*N156</f>
        <v/>
      </c>
      <c r="AR156" s="34">
        <f>Z156*J157+0.5*Z156*(O156+P156)</f>
        <v/>
      </c>
      <c r="AS156" s="30">
        <f>(1+InflationRate)^(A156/12)</f>
        <v/>
      </c>
      <c r="AT156" s="29">
        <f>ExpenseAcq*M156+N156*ExpenseMaint/12*AS156</f>
        <v/>
      </c>
      <c r="AU156" s="29">
        <f>CommissionRate*AE156</f>
        <v/>
      </c>
      <c r="AV156" s="34">
        <f>AB157-AB156</f>
        <v/>
      </c>
      <c r="AW156" s="34">
        <f>AE156+AR156-AN156-AT156-AU156-AV156</f>
        <v/>
      </c>
      <c r="AX156" s="29">
        <f>LoadPremRate*E156*N156+AK156+AQ156-AU156-AT156</f>
        <v/>
      </c>
      <c r="AY156" s="34">
        <f>AP156-AO156</f>
        <v/>
      </c>
      <c r="AZ156" s="37">
        <f>(AW156-AX156-AY156)/MAX(1,ABS(AW156),ABS(AX156),ABS(AY156))</f>
        <v/>
      </c>
      <c r="BA156" s="37">
        <f>IF(OR(K156&gt;0,K157&gt;0),0,(AC157-(AC156+AF156-AQ156-AP156+AR156-AI156-AJ156-AM156))/MAX(1,ABS(AC156),ABS(AC157)))</f>
        <v/>
      </c>
      <c r="BB156" s="35">
        <f>(1+INDEX(DiscRateAnn,INT(A156/12)+1))^(1/12)-1</f>
        <v/>
      </c>
      <c r="BC156" s="31">
        <f>(1+BB156)^-A156</f>
        <v/>
      </c>
      <c r="BD156" s="34">
        <f>AW156*BC156</f>
        <v/>
      </c>
    </row>
    <row r="157">
      <c r="A157" s="27">
        <f>A156+1</f>
        <v/>
      </c>
      <c r="B157" s="28">
        <f>Duration0+A157</f>
        <v/>
      </c>
      <c r="C157" s="27">
        <f>INT(B157/12)</f>
        <v/>
      </c>
      <c r="D157" s="28">
        <f>AgeAtEntry+C157</f>
        <v/>
      </c>
      <c r="E157" s="29">
        <f>IF(PremiumType="SINGLE",IF(B157=0,PremiumPPInput,0),IF(B157&lt;12*PolicyTerm,PremiumPPInput,0))</f>
        <v/>
      </c>
      <c r="F157" s="30">
        <f>INDEX(MortRates,MATCH(MIN(D157,120),MortAges,0),MAX(MIN(C157,5),0)+1)</f>
        <v/>
      </c>
      <c r="G157" s="31">
        <f>1-(1-F157)^(1/12)</f>
        <v/>
      </c>
      <c r="H157" s="32">
        <f>MAX(LapseBase-LapseStep*C157,LapseFloor)</f>
        <v/>
      </c>
      <c r="I157" s="32">
        <f>IF(HasSurrCharge,INDEX(SurrRates,MIN(C157,SurrDurMax)+1,MATCH(SurrChargeID,SurrTypes,0)),0)</f>
        <v/>
      </c>
      <c r="J157" s="33">
        <f>N156-P156-O156</f>
        <v/>
      </c>
      <c r="K157" s="30">
        <f>IF(B157=12*PolicyTerm,J157,0)</f>
        <v/>
      </c>
      <c r="L157" s="33">
        <f>J157-K157</f>
        <v/>
      </c>
      <c r="M157" s="30">
        <f>IF(B157=0,PolicyCount,0)</f>
        <v/>
      </c>
      <c r="N157" s="33">
        <f>L157+M157</f>
        <v/>
      </c>
      <c r="O157" s="31">
        <f>N157*G157</f>
        <v/>
      </c>
      <c r="P157" s="33">
        <f>(N157-O157)*(1-(1-H157)^(1/12))</f>
        <v/>
      </c>
      <c r="Q157" s="34">
        <f>X156+Z156</f>
        <v/>
      </c>
      <c r="R157" s="29">
        <f>(1-LoadPremRate)*E157</f>
        <v/>
      </c>
      <c r="S157" s="34">
        <f>Q157+R157</f>
        <v/>
      </c>
      <c r="T157" s="29">
        <f>MaintFeeRateAnn/12*S157</f>
        <v/>
      </c>
      <c r="U157" s="29">
        <f>MAX(SumAssured-S157,0)</f>
        <v/>
      </c>
      <c r="V157" s="35">
        <f>CoiMultiple*G157</f>
        <v/>
      </c>
      <c r="W157" s="34">
        <f>V157*U157</f>
        <v/>
      </c>
      <c r="X157" s="34">
        <f>S157-T157-W157</f>
        <v/>
      </c>
      <c r="Y157" s="36">
        <f>EXP((Mu-0.5*Sigma^2)/12+Sigma*SQRT(1/12)*INDEX(NormRand,ScenID,A157+1))-1</f>
        <v/>
      </c>
      <c r="Z157" s="34">
        <f>Y157*X157</f>
        <v/>
      </c>
      <c r="AA157" s="34">
        <f>X157+0.5*Z157</f>
        <v/>
      </c>
      <c r="AB157" s="34">
        <f>Q157*J157</f>
        <v/>
      </c>
      <c r="AC157" s="34">
        <f>Q157*L157</f>
        <v/>
      </c>
      <c r="AD157" s="34">
        <f>S157*N157</f>
        <v/>
      </c>
      <c r="AE157" s="34">
        <f>E157*N157</f>
        <v/>
      </c>
      <c r="AF157" s="34">
        <f>R157*N157</f>
        <v/>
      </c>
      <c r="AG157" s="29">
        <f>MAX(SumAssured,AA157)</f>
        <v/>
      </c>
      <c r="AH157" s="34">
        <f>AG157*O157</f>
        <v/>
      </c>
      <c r="AI157" s="34">
        <f>AA157*O157</f>
        <v/>
      </c>
      <c r="AJ157" s="34">
        <f>AA157*P157</f>
        <v/>
      </c>
      <c r="AK157" s="34">
        <f>I157*AA157*P157</f>
        <v/>
      </c>
      <c r="AL157" s="34">
        <f>AJ157-AK157</f>
        <v/>
      </c>
      <c r="AM157" s="34">
        <f>Q157*K157</f>
        <v/>
      </c>
      <c r="AN157" s="34">
        <f>AH157+AL157+AM157</f>
        <v/>
      </c>
      <c r="AO157" s="34">
        <f>(AG157-AA157)*O157</f>
        <v/>
      </c>
      <c r="AP157" s="34">
        <f>W157*N157</f>
        <v/>
      </c>
      <c r="AQ157" s="34">
        <f>T157*N157</f>
        <v/>
      </c>
      <c r="AR157" s="34">
        <f>Z157*J158+0.5*Z157*(O157+P157)</f>
        <v/>
      </c>
      <c r="AS157" s="30">
        <f>(1+InflationRate)^(A157/12)</f>
        <v/>
      </c>
      <c r="AT157" s="29">
        <f>ExpenseAcq*M157+N157*ExpenseMaint/12*AS157</f>
        <v/>
      </c>
      <c r="AU157" s="29">
        <f>CommissionRate*AE157</f>
        <v/>
      </c>
      <c r="AV157" s="34">
        <f>AB158-AB157</f>
        <v/>
      </c>
      <c r="AW157" s="34">
        <f>AE157+AR157-AN157-AT157-AU157-AV157</f>
        <v/>
      </c>
      <c r="AX157" s="29">
        <f>LoadPremRate*E157*N157+AK157+AQ157-AU157-AT157</f>
        <v/>
      </c>
      <c r="AY157" s="34">
        <f>AP157-AO157</f>
        <v/>
      </c>
      <c r="AZ157" s="37">
        <f>(AW157-AX157-AY157)/MAX(1,ABS(AW157),ABS(AX157),ABS(AY157))</f>
        <v/>
      </c>
      <c r="BA157" s="37">
        <f>IF(OR(K157&gt;0,K158&gt;0),0,(AC158-(AC157+AF157-AQ157-AP157+AR157-AI157-AJ157-AM157))/MAX(1,ABS(AC157),ABS(AC158)))</f>
        <v/>
      </c>
      <c r="BB157" s="35">
        <f>(1+INDEX(DiscRateAnn,INT(A157/12)+1))^(1/12)-1</f>
        <v/>
      </c>
      <c r="BC157" s="31">
        <f>(1+BB157)^-A157</f>
        <v/>
      </c>
      <c r="BD157" s="34">
        <f>AW157*BC157</f>
        <v/>
      </c>
    </row>
    <row r="158">
      <c r="A158" s="27">
        <f>A157+1</f>
        <v/>
      </c>
      <c r="B158" s="28">
        <f>Duration0+A158</f>
        <v/>
      </c>
      <c r="C158" s="27">
        <f>INT(B158/12)</f>
        <v/>
      </c>
      <c r="D158" s="28">
        <f>AgeAtEntry+C158</f>
        <v/>
      </c>
      <c r="E158" s="29">
        <f>IF(PremiumType="SINGLE",IF(B158=0,PremiumPPInput,0),IF(B158&lt;12*PolicyTerm,PremiumPPInput,0))</f>
        <v/>
      </c>
      <c r="F158" s="30">
        <f>INDEX(MortRates,MATCH(MIN(D158,120),MortAges,0),MAX(MIN(C158,5),0)+1)</f>
        <v/>
      </c>
      <c r="G158" s="31">
        <f>1-(1-F158)^(1/12)</f>
        <v/>
      </c>
      <c r="H158" s="32">
        <f>MAX(LapseBase-LapseStep*C158,LapseFloor)</f>
        <v/>
      </c>
      <c r="I158" s="32">
        <f>IF(HasSurrCharge,INDEX(SurrRates,MIN(C158,SurrDurMax)+1,MATCH(SurrChargeID,SurrTypes,0)),0)</f>
        <v/>
      </c>
      <c r="J158" s="33">
        <f>N157-P157-O157</f>
        <v/>
      </c>
      <c r="K158" s="30">
        <f>IF(B158=12*PolicyTerm,J158,0)</f>
        <v/>
      </c>
      <c r="L158" s="33">
        <f>J158-K158</f>
        <v/>
      </c>
      <c r="M158" s="30">
        <f>IF(B158=0,PolicyCount,0)</f>
        <v/>
      </c>
      <c r="N158" s="33">
        <f>L158+M158</f>
        <v/>
      </c>
      <c r="O158" s="31">
        <f>N158*G158</f>
        <v/>
      </c>
      <c r="P158" s="33">
        <f>(N158-O158)*(1-(1-H158)^(1/12))</f>
        <v/>
      </c>
      <c r="Q158" s="34">
        <f>X157+Z157</f>
        <v/>
      </c>
      <c r="R158" s="29">
        <f>(1-LoadPremRate)*E158</f>
        <v/>
      </c>
      <c r="S158" s="34">
        <f>Q158+R158</f>
        <v/>
      </c>
      <c r="T158" s="29">
        <f>MaintFeeRateAnn/12*S158</f>
        <v/>
      </c>
      <c r="U158" s="29">
        <f>MAX(SumAssured-S158,0)</f>
        <v/>
      </c>
      <c r="V158" s="35">
        <f>CoiMultiple*G158</f>
        <v/>
      </c>
      <c r="W158" s="34">
        <f>V158*U158</f>
        <v/>
      </c>
      <c r="X158" s="34">
        <f>S158-T158-W158</f>
        <v/>
      </c>
      <c r="Y158" s="36">
        <f>EXP((Mu-0.5*Sigma^2)/12+Sigma*SQRT(1/12)*INDEX(NormRand,ScenID,A158+1))-1</f>
        <v/>
      </c>
      <c r="Z158" s="34">
        <f>Y158*X158</f>
        <v/>
      </c>
      <c r="AA158" s="34">
        <f>X158+0.5*Z158</f>
        <v/>
      </c>
      <c r="AB158" s="34">
        <f>Q158*J158</f>
        <v/>
      </c>
      <c r="AC158" s="34">
        <f>Q158*L158</f>
        <v/>
      </c>
      <c r="AD158" s="34">
        <f>S158*N158</f>
        <v/>
      </c>
      <c r="AE158" s="34">
        <f>E158*N158</f>
        <v/>
      </c>
      <c r="AF158" s="34">
        <f>R158*N158</f>
        <v/>
      </c>
      <c r="AG158" s="29">
        <f>MAX(SumAssured,AA158)</f>
        <v/>
      </c>
      <c r="AH158" s="34">
        <f>AG158*O158</f>
        <v/>
      </c>
      <c r="AI158" s="34">
        <f>AA158*O158</f>
        <v/>
      </c>
      <c r="AJ158" s="34">
        <f>AA158*P158</f>
        <v/>
      </c>
      <c r="AK158" s="34">
        <f>I158*AA158*P158</f>
        <v/>
      </c>
      <c r="AL158" s="34">
        <f>AJ158-AK158</f>
        <v/>
      </c>
      <c r="AM158" s="34">
        <f>Q158*K158</f>
        <v/>
      </c>
      <c r="AN158" s="34">
        <f>AH158+AL158+AM158</f>
        <v/>
      </c>
      <c r="AO158" s="34">
        <f>(AG158-AA158)*O158</f>
        <v/>
      </c>
      <c r="AP158" s="34">
        <f>W158*N158</f>
        <v/>
      </c>
      <c r="AQ158" s="34">
        <f>T158*N158</f>
        <v/>
      </c>
      <c r="AR158" s="34">
        <f>Z158*J159+0.5*Z158*(O158+P158)</f>
        <v/>
      </c>
      <c r="AS158" s="30">
        <f>(1+InflationRate)^(A158/12)</f>
        <v/>
      </c>
      <c r="AT158" s="29">
        <f>ExpenseAcq*M158+N158*ExpenseMaint/12*AS158</f>
        <v/>
      </c>
      <c r="AU158" s="29">
        <f>CommissionRate*AE158</f>
        <v/>
      </c>
      <c r="AV158" s="34">
        <f>AB159-AB158</f>
        <v/>
      </c>
      <c r="AW158" s="34">
        <f>AE158+AR158-AN158-AT158-AU158-AV158</f>
        <v/>
      </c>
      <c r="AX158" s="29">
        <f>LoadPremRate*E158*N158+AK158+AQ158-AU158-AT158</f>
        <v/>
      </c>
      <c r="AY158" s="34">
        <f>AP158-AO158</f>
        <v/>
      </c>
      <c r="AZ158" s="37">
        <f>(AW158-AX158-AY158)/MAX(1,ABS(AW158),ABS(AX158),ABS(AY158))</f>
        <v/>
      </c>
      <c r="BA158" s="37">
        <f>IF(OR(K158&gt;0,K159&gt;0),0,(AC159-(AC158+AF158-AQ158-AP158+AR158-AI158-AJ158-AM158))/MAX(1,ABS(AC158),ABS(AC159)))</f>
        <v/>
      </c>
      <c r="BB158" s="35">
        <f>(1+INDEX(DiscRateAnn,INT(A158/12)+1))^(1/12)-1</f>
        <v/>
      </c>
      <c r="BC158" s="31">
        <f>(1+BB158)^-A158</f>
        <v/>
      </c>
      <c r="BD158" s="34">
        <f>AW158*BC158</f>
        <v/>
      </c>
    </row>
    <row r="159">
      <c r="A159" s="27">
        <f>A158+1</f>
        <v/>
      </c>
      <c r="B159" s="28">
        <f>Duration0+A159</f>
        <v/>
      </c>
      <c r="C159" s="27">
        <f>INT(B159/12)</f>
        <v/>
      </c>
      <c r="D159" s="28">
        <f>AgeAtEntry+C159</f>
        <v/>
      </c>
      <c r="E159" s="29">
        <f>IF(PremiumType="SINGLE",IF(B159=0,PremiumPPInput,0),IF(B159&lt;12*PolicyTerm,PremiumPPInput,0))</f>
        <v/>
      </c>
      <c r="F159" s="30">
        <f>INDEX(MortRates,MATCH(MIN(D159,120),MortAges,0),MAX(MIN(C159,5),0)+1)</f>
        <v/>
      </c>
      <c r="G159" s="31">
        <f>1-(1-F159)^(1/12)</f>
        <v/>
      </c>
      <c r="H159" s="32">
        <f>MAX(LapseBase-LapseStep*C159,LapseFloor)</f>
        <v/>
      </c>
      <c r="I159" s="32">
        <f>IF(HasSurrCharge,INDEX(SurrRates,MIN(C159,SurrDurMax)+1,MATCH(SurrChargeID,SurrTypes,0)),0)</f>
        <v/>
      </c>
      <c r="J159" s="33">
        <f>N158-P158-O158</f>
        <v/>
      </c>
      <c r="K159" s="30">
        <f>IF(B159=12*PolicyTerm,J159,0)</f>
        <v/>
      </c>
      <c r="L159" s="33">
        <f>J159-K159</f>
        <v/>
      </c>
      <c r="M159" s="30">
        <f>IF(B159=0,PolicyCount,0)</f>
        <v/>
      </c>
      <c r="N159" s="33">
        <f>L159+M159</f>
        <v/>
      </c>
      <c r="O159" s="31">
        <f>N159*G159</f>
        <v/>
      </c>
      <c r="P159" s="33">
        <f>(N159-O159)*(1-(1-H159)^(1/12))</f>
        <v/>
      </c>
      <c r="Q159" s="34">
        <f>X158+Z158</f>
        <v/>
      </c>
      <c r="R159" s="29">
        <f>(1-LoadPremRate)*E159</f>
        <v/>
      </c>
      <c r="S159" s="34">
        <f>Q159+R159</f>
        <v/>
      </c>
      <c r="T159" s="29">
        <f>MaintFeeRateAnn/12*S159</f>
        <v/>
      </c>
      <c r="U159" s="29">
        <f>MAX(SumAssured-S159,0)</f>
        <v/>
      </c>
      <c r="V159" s="35">
        <f>CoiMultiple*G159</f>
        <v/>
      </c>
      <c r="W159" s="34">
        <f>V159*U159</f>
        <v/>
      </c>
      <c r="X159" s="34">
        <f>S159-T159-W159</f>
        <v/>
      </c>
      <c r="Y159" s="36">
        <f>EXP((Mu-0.5*Sigma^2)/12+Sigma*SQRT(1/12)*INDEX(NormRand,ScenID,A159+1))-1</f>
        <v/>
      </c>
      <c r="Z159" s="34">
        <f>Y159*X159</f>
        <v/>
      </c>
      <c r="AA159" s="34">
        <f>X159+0.5*Z159</f>
        <v/>
      </c>
      <c r="AB159" s="34">
        <f>Q159*J159</f>
        <v/>
      </c>
      <c r="AC159" s="34">
        <f>Q159*L159</f>
        <v/>
      </c>
      <c r="AD159" s="34">
        <f>S159*N159</f>
        <v/>
      </c>
      <c r="AE159" s="34">
        <f>E159*N159</f>
        <v/>
      </c>
      <c r="AF159" s="34">
        <f>R159*N159</f>
        <v/>
      </c>
      <c r="AG159" s="29">
        <f>MAX(SumAssured,AA159)</f>
        <v/>
      </c>
      <c r="AH159" s="34">
        <f>AG159*O159</f>
        <v/>
      </c>
      <c r="AI159" s="34">
        <f>AA159*O159</f>
        <v/>
      </c>
      <c r="AJ159" s="34">
        <f>AA159*P159</f>
        <v/>
      </c>
      <c r="AK159" s="34">
        <f>I159*AA159*P159</f>
        <v/>
      </c>
      <c r="AL159" s="34">
        <f>AJ159-AK159</f>
        <v/>
      </c>
      <c r="AM159" s="34">
        <f>Q159*K159</f>
        <v/>
      </c>
      <c r="AN159" s="34">
        <f>AH159+AL159+AM159</f>
        <v/>
      </c>
      <c r="AO159" s="34">
        <f>(AG159-AA159)*O159</f>
        <v/>
      </c>
      <c r="AP159" s="34">
        <f>W159*N159</f>
        <v/>
      </c>
      <c r="AQ159" s="34">
        <f>T159*N159</f>
        <v/>
      </c>
      <c r="AR159" s="34">
        <f>Z159*J160+0.5*Z159*(O159+P159)</f>
        <v/>
      </c>
      <c r="AS159" s="30">
        <f>(1+InflationRate)^(A159/12)</f>
        <v/>
      </c>
      <c r="AT159" s="29">
        <f>ExpenseAcq*M159+N159*ExpenseMaint/12*AS159</f>
        <v/>
      </c>
      <c r="AU159" s="29">
        <f>CommissionRate*AE159</f>
        <v/>
      </c>
      <c r="AV159" s="34">
        <f>AB160-AB159</f>
        <v/>
      </c>
      <c r="AW159" s="34">
        <f>AE159+AR159-AN159-AT159-AU159-AV159</f>
        <v/>
      </c>
      <c r="AX159" s="29">
        <f>LoadPremRate*E159*N159+AK159+AQ159-AU159-AT159</f>
        <v/>
      </c>
      <c r="AY159" s="34">
        <f>AP159-AO159</f>
        <v/>
      </c>
      <c r="AZ159" s="37">
        <f>(AW159-AX159-AY159)/MAX(1,ABS(AW159),ABS(AX159),ABS(AY159))</f>
        <v/>
      </c>
      <c r="BA159" s="37">
        <f>IF(OR(K159&gt;0,K160&gt;0),0,(AC160-(AC159+AF159-AQ159-AP159+AR159-AI159-AJ159-AM159))/MAX(1,ABS(AC159),ABS(AC160)))</f>
        <v/>
      </c>
      <c r="BB159" s="35">
        <f>(1+INDEX(DiscRateAnn,INT(A159/12)+1))^(1/12)-1</f>
        <v/>
      </c>
      <c r="BC159" s="31">
        <f>(1+BB159)^-A159</f>
        <v/>
      </c>
      <c r="BD159" s="34">
        <f>AW159*BC159</f>
        <v/>
      </c>
    </row>
    <row r="160">
      <c r="A160" s="27">
        <f>A159+1</f>
        <v/>
      </c>
      <c r="B160" s="28">
        <f>Duration0+A160</f>
        <v/>
      </c>
      <c r="C160" s="27">
        <f>INT(B160/12)</f>
        <v/>
      </c>
      <c r="D160" s="28">
        <f>AgeAtEntry+C160</f>
        <v/>
      </c>
      <c r="E160" s="29">
        <f>IF(PremiumType="SINGLE",IF(B160=0,PremiumPPInput,0),IF(B160&lt;12*PolicyTerm,PremiumPPInput,0))</f>
        <v/>
      </c>
      <c r="F160" s="30">
        <f>INDEX(MortRates,MATCH(MIN(D160,120),MortAges,0),MAX(MIN(C160,5),0)+1)</f>
        <v/>
      </c>
      <c r="G160" s="31">
        <f>1-(1-F160)^(1/12)</f>
        <v/>
      </c>
      <c r="H160" s="32">
        <f>MAX(LapseBase-LapseStep*C160,LapseFloor)</f>
        <v/>
      </c>
      <c r="I160" s="32">
        <f>IF(HasSurrCharge,INDEX(SurrRates,MIN(C160,SurrDurMax)+1,MATCH(SurrChargeID,SurrTypes,0)),0)</f>
        <v/>
      </c>
      <c r="J160" s="33">
        <f>N159-P159-O159</f>
        <v/>
      </c>
      <c r="K160" s="30">
        <f>IF(B160=12*PolicyTerm,J160,0)</f>
        <v/>
      </c>
      <c r="L160" s="33">
        <f>J160-K160</f>
        <v/>
      </c>
      <c r="M160" s="30">
        <f>IF(B160=0,PolicyCount,0)</f>
        <v/>
      </c>
      <c r="N160" s="33">
        <f>L160+M160</f>
        <v/>
      </c>
      <c r="O160" s="31">
        <f>N160*G160</f>
        <v/>
      </c>
      <c r="P160" s="33">
        <f>(N160-O160)*(1-(1-H160)^(1/12))</f>
        <v/>
      </c>
      <c r="Q160" s="34">
        <f>X159+Z159</f>
        <v/>
      </c>
      <c r="R160" s="29">
        <f>(1-LoadPremRate)*E160</f>
        <v/>
      </c>
      <c r="S160" s="34">
        <f>Q160+R160</f>
        <v/>
      </c>
      <c r="T160" s="29">
        <f>MaintFeeRateAnn/12*S160</f>
        <v/>
      </c>
      <c r="U160" s="29">
        <f>MAX(SumAssured-S160,0)</f>
        <v/>
      </c>
      <c r="V160" s="35">
        <f>CoiMultiple*G160</f>
        <v/>
      </c>
      <c r="W160" s="34">
        <f>V160*U160</f>
        <v/>
      </c>
      <c r="X160" s="34">
        <f>S160-T160-W160</f>
        <v/>
      </c>
      <c r="Y160" s="36">
        <f>EXP((Mu-0.5*Sigma^2)/12+Sigma*SQRT(1/12)*INDEX(NormRand,ScenID,A160+1))-1</f>
        <v/>
      </c>
      <c r="Z160" s="34">
        <f>Y160*X160</f>
        <v/>
      </c>
      <c r="AA160" s="34">
        <f>X160+0.5*Z160</f>
        <v/>
      </c>
      <c r="AB160" s="34">
        <f>Q160*J160</f>
        <v/>
      </c>
      <c r="AC160" s="34">
        <f>Q160*L160</f>
        <v/>
      </c>
      <c r="AD160" s="34">
        <f>S160*N160</f>
        <v/>
      </c>
      <c r="AE160" s="34">
        <f>E160*N160</f>
        <v/>
      </c>
      <c r="AF160" s="34">
        <f>R160*N160</f>
        <v/>
      </c>
      <c r="AG160" s="29">
        <f>MAX(SumAssured,AA160)</f>
        <v/>
      </c>
      <c r="AH160" s="34">
        <f>AG160*O160</f>
        <v/>
      </c>
      <c r="AI160" s="34">
        <f>AA160*O160</f>
        <v/>
      </c>
      <c r="AJ160" s="34">
        <f>AA160*P160</f>
        <v/>
      </c>
      <c r="AK160" s="34">
        <f>I160*AA160*P160</f>
        <v/>
      </c>
      <c r="AL160" s="34">
        <f>AJ160-AK160</f>
        <v/>
      </c>
      <c r="AM160" s="34">
        <f>Q160*K160</f>
        <v/>
      </c>
      <c r="AN160" s="34">
        <f>AH160+AL160+AM160</f>
        <v/>
      </c>
      <c r="AO160" s="34">
        <f>(AG160-AA160)*O160</f>
        <v/>
      </c>
      <c r="AP160" s="34">
        <f>W160*N160</f>
        <v/>
      </c>
      <c r="AQ160" s="34">
        <f>T160*N160</f>
        <v/>
      </c>
      <c r="AR160" s="34">
        <f>Z160*J161+0.5*Z160*(O160+P160)</f>
        <v/>
      </c>
      <c r="AS160" s="30">
        <f>(1+InflationRate)^(A160/12)</f>
        <v/>
      </c>
      <c r="AT160" s="29">
        <f>ExpenseAcq*M160+N160*ExpenseMaint/12*AS160</f>
        <v/>
      </c>
      <c r="AU160" s="29">
        <f>CommissionRate*AE160</f>
        <v/>
      </c>
      <c r="AV160" s="34">
        <f>AB161-AB160</f>
        <v/>
      </c>
      <c r="AW160" s="34">
        <f>AE160+AR160-AN160-AT160-AU160-AV160</f>
        <v/>
      </c>
      <c r="AX160" s="29">
        <f>LoadPremRate*E160*N160+AK160+AQ160-AU160-AT160</f>
        <v/>
      </c>
      <c r="AY160" s="34">
        <f>AP160-AO160</f>
        <v/>
      </c>
      <c r="AZ160" s="37">
        <f>(AW160-AX160-AY160)/MAX(1,ABS(AW160),ABS(AX160),ABS(AY160))</f>
        <v/>
      </c>
      <c r="BA160" s="37">
        <f>IF(OR(K160&gt;0,K161&gt;0),0,(AC161-(AC160+AF160-AQ160-AP160+AR160-AI160-AJ160-AM160))/MAX(1,ABS(AC160),ABS(AC161)))</f>
        <v/>
      </c>
      <c r="BB160" s="35">
        <f>(1+INDEX(DiscRateAnn,INT(A160/12)+1))^(1/12)-1</f>
        <v/>
      </c>
      <c r="BC160" s="31">
        <f>(1+BB160)^-A160</f>
        <v/>
      </c>
      <c r="BD160" s="34">
        <f>AW160*BC160</f>
        <v/>
      </c>
    </row>
    <row r="161">
      <c r="A161" s="27">
        <f>A160+1</f>
        <v/>
      </c>
      <c r="B161" s="28">
        <f>Duration0+A161</f>
        <v/>
      </c>
      <c r="C161" s="27">
        <f>INT(B161/12)</f>
        <v/>
      </c>
      <c r="D161" s="28">
        <f>AgeAtEntry+C161</f>
        <v/>
      </c>
      <c r="E161" s="29">
        <f>IF(PremiumType="SINGLE",IF(B161=0,PremiumPPInput,0),IF(B161&lt;12*PolicyTerm,PremiumPPInput,0))</f>
        <v/>
      </c>
      <c r="F161" s="30">
        <f>INDEX(MortRates,MATCH(MIN(D161,120),MortAges,0),MAX(MIN(C161,5),0)+1)</f>
        <v/>
      </c>
      <c r="G161" s="31">
        <f>1-(1-F161)^(1/12)</f>
        <v/>
      </c>
      <c r="H161" s="32">
        <f>MAX(LapseBase-LapseStep*C161,LapseFloor)</f>
        <v/>
      </c>
      <c r="I161" s="32">
        <f>IF(HasSurrCharge,INDEX(SurrRates,MIN(C161,SurrDurMax)+1,MATCH(SurrChargeID,SurrTypes,0)),0)</f>
        <v/>
      </c>
      <c r="J161" s="33">
        <f>N160-P160-O160</f>
        <v/>
      </c>
      <c r="K161" s="30">
        <f>IF(B161=12*PolicyTerm,J161,0)</f>
        <v/>
      </c>
      <c r="L161" s="33">
        <f>J161-K161</f>
        <v/>
      </c>
      <c r="M161" s="30">
        <f>IF(B161=0,PolicyCount,0)</f>
        <v/>
      </c>
      <c r="N161" s="33">
        <f>L161+M161</f>
        <v/>
      </c>
      <c r="O161" s="31">
        <f>N161*G161</f>
        <v/>
      </c>
      <c r="P161" s="33">
        <f>(N161-O161)*(1-(1-H161)^(1/12))</f>
        <v/>
      </c>
      <c r="Q161" s="34">
        <f>X160+Z160</f>
        <v/>
      </c>
      <c r="R161" s="29">
        <f>(1-LoadPremRate)*E161</f>
        <v/>
      </c>
      <c r="S161" s="34">
        <f>Q161+R161</f>
        <v/>
      </c>
      <c r="T161" s="29">
        <f>MaintFeeRateAnn/12*S161</f>
        <v/>
      </c>
      <c r="U161" s="29">
        <f>MAX(SumAssured-S161,0)</f>
        <v/>
      </c>
      <c r="V161" s="35">
        <f>CoiMultiple*G161</f>
        <v/>
      </c>
      <c r="W161" s="34">
        <f>V161*U161</f>
        <v/>
      </c>
      <c r="X161" s="34">
        <f>S161-T161-W161</f>
        <v/>
      </c>
      <c r="Y161" s="36">
        <f>EXP((Mu-0.5*Sigma^2)/12+Sigma*SQRT(1/12)*INDEX(NormRand,ScenID,A161+1))-1</f>
        <v/>
      </c>
      <c r="Z161" s="34">
        <f>Y161*X161</f>
        <v/>
      </c>
      <c r="AA161" s="34">
        <f>X161+0.5*Z161</f>
        <v/>
      </c>
      <c r="AB161" s="34">
        <f>Q161*J161</f>
        <v/>
      </c>
      <c r="AC161" s="34">
        <f>Q161*L161</f>
        <v/>
      </c>
      <c r="AD161" s="34">
        <f>S161*N161</f>
        <v/>
      </c>
      <c r="AE161" s="34">
        <f>E161*N161</f>
        <v/>
      </c>
      <c r="AF161" s="34">
        <f>R161*N161</f>
        <v/>
      </c>
      <c r="AG161" s="29">
        <f>MAX(SumAssured,AA161)</f>
        <v/>
      </c>
      <c r="AH161" s="34">
        <f>AG161*O161</f>
        <v/>
      </c>
      <c r="AI161" s="34">
        <f>AA161*O161</f>
        <v/>
      </c>
      <c r="AJ161" s="34">
        <f>AA161*P161</f>
        <v/>
      </c>
      <c r="AK161" s="34">
        <f>I161*AA161*P161</f>
        <v/>
      </c>
      <c r="AL161" s="34">
        <f>AJ161-AK161</f>
        <v/>
      </c>
      <c r="AM161" s="34">
        <f>Q161*K161</f>
        <v/>
      </c>
      <c r="AN161" s="34">
        <f>AH161+AL161+AM161</f>
        <v/>
      </c>
      <c r="AO161" s="34">
        <f>(AG161-AA161)*O161</f>
        <v/>
      </c>
      <c r="AP161" s="34">
        <f>W161*N161</f>
        <v/>
      </c>
      <c r="AQ161" s="34">
        <f>T161*N161</f>
        <v/>
      </c>
      <c r="AR161" s="34">
        <f>Z161*J162+0.5*Z161*(O161+P161)</f>
        <v/>
      </c>
      <c r="AS161" s="30">
        <f>(1+InflationRate)^(A161/12)</f>
        <v/>
      </c>
      <c r="AT161" s="29">
        <f>ExpenseAcq*M161+N161*ExpenseMaint/12*AS161</f>
        <v/>
      </c>
      <c r="AU161" s="29">
        <f>CommissionRate*AE161</f>
        <v/>
      </c>
      <c r="AV161" s="34">
        <f>AB162-AB161</f>
        <v/>
      </c>
      <c r="AW161" s="34">
        <f>AE161+AR161-AN161-AT161-AU161-AV161</f>
        <v/>
      </c>
      <c r="AX161" s="29">
        <f>LoadPremRate*E161*N161+AK161+AQ161-AU161-AT161</f>
        <v/>
      </c>
      <c r="AY161" s="34">
        <f>AP161-AO161</f>
        <v/>
      </c>
      <c r="AZ161" s="37">
        <f>(AW161-AX161-AY161)/MAX(1,ABS(AW161),ABS(AX161),ABS(AY161))</f>
        <v/>
      </c>
      <c r="BA161" s="37">
        <f>IF(OR(K161&gt;0,K162&gt;0),0,(AC162-(AC161+AF161-AQ161-AP161+AR161-AI161-AJ161-AM161))/MAX(1,ABS(AC161),ABS(AC162)))</f>
        <v/>
      </c>
      <c r="BB161" s="35">
        <f>(1+INDEX(DiscRateAnn,INT(A161/12)+1))^(1/12)-1</f>
        <v/>
      </c>
      <c r="BC161" s="31">
        <f>(1+BB161)^-A161</f>
        <v/>
      </c>
      <c r="BD161" s="34">
        <f>AW161*BC161</f>
        <v/>
      </c>
    </row>
    <row r="162">
      <c r="A162" s="27">
        <f>A161+1</f>
        <v/>
      </c>
      <c r="B162" s="28">
        <f>Duration0+A162</f>
        <v/>
      </c>
      <c r="C162" s="27">
        <f>INT(B162/12)</f>
        <v/>
      </c>
      <c r="D162" s="28">
        <f>AgeAtEntry+C162</f>
        <v/>
      </c>
      <c r="E162" s="29">
        <f>IF(PremiumType="SINGLE",IF(B162=0,PremiumPPInput,0),IF(B162&lt;12*PolicyTerm,PremiumPPInput,0))</f>
        <v/>
      </c>
      <c r="F162" s="30">
        <f>INDEX(MortRates,MATCH(MIN(D162,120),MortAges,0),MAX(MIN(C162,5),0)+1)</f>
        <v/>
      </c>
      <c r="G162" s="31">
        <f>1-(1-F162)^(1/12)</f>
        <v/>
      </c>
      <c r="H162" s="32">
        <f>MAX(LapseBase-LapseStep*C162,LapseFloor)</f>
        <v/>
      </c>
      <c r="I162" s="32">
        <f>IF(HasSurrCharge,INDEX(SurrRates,MIN(C162,SurrDurMax)+1,MATCH(SurrChargeID,SurrTypes,0)),0)</f>
        <v/>
      </c>
      <c r="J162" s="33">
        <f>N161-P161-O161</f>
        <v/>
      </c>
      <c r="K162" s="30">
        <f>IF(B162=12*PolicyTerm,J162,0)</f>
        <v/>
      </c>
      <c r="L162" s="33">
        <f>J162-K162</f>
        <v/>
      </c>
      <c r="M162" s="30">
        <f>IF(B162=0,PolicyCount,0)</f>
        <v/>
      </c>
      <c r="N162" s="33">
        <f>L162+M162</f>
        <v/>
      </c>
      <c r="O162" s="31">
        <f>N162*G162</f>
        <v/>
      </c>
      <c r="P162" s="33">
        <f>(N162-O162)*(1-(1-H162)^(1/12))</f>
        <v/>
      </c>
      <c r="Q162" s="34">
        <f>X161+Z161</f>
        <v/>
      </c>
      <c r="R162" s="29">
        <f>(1-LoadPremRate)*E162</f>
        <v/>
      </c>
      <c r="S162" s="34">
        <f>Q162+R162</f>
        <v/>
      </c>
      <c r="T162" s="29">
        <f>MaintFeeRateAnn/12*S162</f>
        <v/>
      </c>
      <c r="U162" s="29">
        <f>MAX(SumAssured-S162,0)</f>
        <v/>
      </c>
      <c r="V162" s="35">
        <f>CoiMultiple*G162</f>
        <v/>
      </c>
      <c r="W162" s="34">
        <f>V162*U162</f>
        <v/>
      </c>
      <c r="X162" s="34">
        <f>S162-T162-W162</f>
        <v/>
      </c>
      <c r="Y162" s="36">
        <f>EXP((Mu-0.5*Sigma^2)/12+Sigma*SQRT(1/12)*INDEX(NormRand,ScenID,A162+1))-1</f>
        <v/>
      </c>
      <c r="Z162" s="34">
        <f>Y162*X162</f>
        <v/>
      </c>
      <c r="AA162" s="34">
        <f>X162+0.5*Z162</f>
        <v/>
      </c>
      <c r="AB162" s="34">
        <f>Q162*J162</f>
        <v/>
      </c>
      <c r="AC162" s="34">
        <f>Q162*L162</f>
        <v/>
      </c>
      <c r="AD162" s="34">
        <f>S162*N162</f>
        <v/>
      </c>
      <c r="AE162" s="34">
        <f>E162*N162</f>
        <v/>
      </c>
      <c r="AF162" s="34">
        <f>R162*N162</f>
        <v/>
      </c>
      <c r="AG162" s="29">
        <f>MAX(SumAssured,AA162)</f>
        <v/>
      </c>
      <c r="AH162" s="34">
        <f>AG162*O162</f>
        <v/>
      </c>
      <c r="AI162" s="34">
        <f>AA162*O162</f>
        <v/>
      </c>
      <c r="AJ162" s="34">
        <f>AA162*P162</f>
        <v/>
      </c>
      <c r="AK162" s="34">
        <f>I162*AA162*P162</f>
        <v/>
      </c>
      <c r="AL162" s="34">
        <f>AJ162-AK162</f>
        <v/>
      </c>
      <c r="AM162" s="34">
        <f>Q162*K162</f>
        <v/>
      </c>
      <c r="AN162" s="34">
        <f>AH162+AL162+AM162</f>
        <v/>
      </c>
      <c r="AO162" s="34">
        <f>(AG162-AA162)*O162</f>
        <v/>
      </c>
      <c r="AP162" s="34">
        <f>W162*N162</f>
        <v/>
      </c>
      <c r="AQ162" s="34">
        <f>T162*N162</f>
        <v/>
      </c>
      <c r="AR162" s="34">
        <f>Z162*J163+0.5*Z162*(O162+P162)</f>
        <v/>
      </c>
      <c r="AS162" s="30">
        <f>(1+InflationRate)^(A162/12)</f>
        <v/>
      </c>
      <c r="AT162" s="29">
        <f>ExpenseAcq*M162+N162*ExpenseMaint/12*AS162</f>
        <v/>
      </c>
      <c r="AU162" s="29">
        <f>CommissionRate*AE162</f>
        <v/>
      </c>
      <c r="AV162" s="34">
        <f>AB163-AB162</f>
        <v/>
      </c>
      <c r="AW162" s="34">
        <f>AE162+AR162-AN162-AT162-AU162-AV162</f>
        <v/>
      </c>
      <c r="AX162" s="29">
        <f>LoadPremRate*E162*N162+AK162+AQ162-AU162-AT162</f>
        <v/>
      </c>
      <c r="AY162" s="34">
        <f>AP162-AO162</f>
        <v/>
      </c>
      <c r="AZ162" s="37">
        <f>(AW162-AX162-AY162)/MAX(1,ABS(AW162),ABS(AX162),ABS(AY162))</f>
        <v/>
      </c>
      <c r="BA162" s="37">
        <f>IF(OR(K162&gt;0,K163&gt;0),0,(AC163-(AC162+AF162-AQ162-AP162+AR162-AI162-AJ162-AM162))/MAX(1,ABS(AC162),ABS(AC163)))</f>
        <v/>
      </c>
      <c r="BB162" s="35">
        <f>(1+INDEX(DiscRateAnn,INT(A162/12)+1))^(1/12)-1</f>
        <v/>
      </c>
      <c r="BC162" s="31">
        <f>(1+BB162)^-A162</f>
        <v/>
      </c>
      <c r="BD162" s="34">
        <f>AW162*BC162</f>
        <v/>
      </c>
    </row>
    <row r="163">
      <c r="A163" s="27">
        <f>A162+1</f>
        <v/>
      </c>
      <c r="B163" s="28">
        <f>Duration0+A163</f>
        <v/>
      </c>
      <c r="C163" s="27">
        <f>INT(B163/12)</f>
        <v/>
      </c>
      <c r="D163" s="28">
        <f>AgeAtEntry+C163</f>
        <v/>
      </c>
      <c r="E163" s="29">
        <f>IF(PremiumType="SINGLE",IF(B163=0,PremiumPPInput,0),IF(B163&lt;12*PolicyTerm,PremiumPPInput,0))</f>
        <v/>
      </c>
      <c r="F163" s="30">
        <f>INDEX(MortRates,MATCH(MIN(D163,120),MortAges,0),MAX(MIN(C163,5),0)+1)</f>
        <v/>
      </c>
      <c r="G163" s="31">
        <f>1-(1-F163)^(1/12)</f>
        <v/>
      </c>
      <c r="H163" s="32">
        <f>MAX(LapseBase-LapseStep*C163,LapseFloor)</f>
        <v/>
      </c>
      <c r="I163" s="32">
        <f>IF(HasSurrCharge,INDEX(SurrRates,MIN(C163,SurrDurMax)+1,MATCH(SurrChargeID,SurrTypes,0)),0)</f>
        <v/>
      </c>
      <c r="J163" s="33">
        <f>N162-P162-O162</f>
        <v/>
      </c>
      <c r="K163" s="30">
        <f>IF(B163=12*PolicyTerm,J163,0)</f>
        <v/>
      </c>
      <c r="L163" s="33">
        <f>J163-K163</f>
        <v/>
      </c>
      <c r="M163" s="30">
        <f>IF(B163=0,PolicyCount,0)</f>
        <v/>
      </c>
      <c r="N163" s="33">
        <f>L163+M163</f>
        <v/>
      </c>
      <c r="O163" s="31">
        <f>N163*G163</f>
        <v/>
      </c>
      <c r="P163" s="33">
        <f>(N163-O163)*(1-(1-H163)^(1/12))</f>
        <v/>
      </c>
      <c r="Q163" s="34">
        <f>X162+Z162</f>
        <v/>
      </c>
      <c r="R163" s="29">
        <f>(1-LoadPremRate)*E163</f>
        <v/>
      </c>
      <c r="S163" s="34">
        <f>Q163+R163</f>
        <v/>
      </c>
      <c r="T163" s="29">
        <f>MaintFeeRateAnn/12*S163</f>
        <v/>
      </c>
      <c r="U163" s="29">
        <f>MAX(SumAssured-S163,0)</f>
        <v/>
      </c>
      <c r="V163" s="35">
        <f>CoiMultiple*G163</f>
        <v/>
      </c>
      <c r="W163" s="34">
        <f>V163*U163</f>
        <v/>
      </c>
      <c r="X163" s="34">
        <f>S163-T163-W163</f>
        <v/>
      </c>
      <c r="Y163" s="36">
        <f>EXP((Mu-0.5*Sigma^2)/12+Sigma*SQRT(1/12)*INDEX(NormRand,ScenID,A163+1))-1</f>
        <v/>
      </c>
      <c r="Z163" s="34">
        <f>Y163*X163</f>
        <v/>
      </c>
      <c r="AA163" s="34">
        <f>X163+0.5*Z163</f>
        <v/>
      </c>
      <c r="AB163" s="34">
        <f>Q163*J163</f>
        <v/>
      </c>
      <c r="AC163" s="34">
        <f>Q163*L163</f>
        <v/>
      </c>
      <c r="AD163" s="34">
        <f>S163*N163</f>
        <v/>
      </c>
      <c r="AE163" s="34">
        <f>E163*N163</f>
        <v/>
      </c>
      <c r="AF163" s="34">
        <f>R163*N163</f>
        <v/>
      </c>
      <c r="AG163" s="29">
        <f>MAX(SumAssured,AA163)</f>
        <v/>
      </c>
      <c r="AH163" s="34">
        <f>AG163*O163</f>
        <v/>
      </c>
      <c r="AI163" s="34">
        <f>AA163*O163</f>
        <v/>
      </c>
      <c r="AJ163" s="34">
        <f>AA163*P163</f>
        <v/>
      </c>
      <c r="AK163" s="34">
        <f>I163*AA163*P163</f>
        <v/>
      </c>
      <c r="AL163" s="34">
        <f>AJ163-AK163</f>
        <v/>
      </c>
      <c r="AM163" s="34">
        <f>Q163*K163</f>
        <v/>
      </c>
      <c r="AN163" s="34">
        <f>AH163+AL163+AM163</f>
        <v/>
      </c>
      <c r="AO163" s="34">
        <f>(AG163-AA163)*O163</f>
        <v/>
      </c>
      <c r="AP163" s="34">
        <f>W163*N163</f>
        <v/>
      </c>
      <c r="AQ163" s="34">
        <f>T163*N163</f>
        <v/>
      </c>
      <c r="AR163" s="34">
        <f>Z163*J164+0.5*Z163*(O163+P163)</f>
        <v/>
      </c>
      <c r="AS163" s="30">
        <f>(1+InflationRate)^(A163/12)</f>
        <v/>
      </c>
      <c r="AT163" s="29">
        <f>ExpenseAcq*M163+N163*ExpenseMaint/12*AS163</f>
        <v/>
      </c>
      <c r="AU163" s="29">
        <f>CommissionRate*AE163</f>
        <v/>
      </c>
      <c r="AV163" s="34">
        <f>AB164-AB163</f>
        <v/>
      </c>
      <c r="AW163" s="34">
        <f>AE163+AR163-AN163-AT163-AU163-AV163</f>
        <v/>
      </c>
      <c r="AX163" s="29">
        <f>LoadPremRate*E163*N163+AK163+AQ163-AU163-AT163</f>
        <v/>
      </c>
      <c r="AY163" s="34">
        <f>AP163-AO163</f>
        <v/>
      </c>
      <c r="AZ163" s="37">
        <f>(AW163-AX163-AY163)/MAX(1,ABS(AW163),ABS(AX163),ABS(AY163))</f>
        <v/>
      </c>
      <c r="BA163" s="37">
        <f>IF(OR(K163&gt;0,K164&gt;0),0,(AC164-(AC163+AF163-AQ163-AP163+AR163-AI163-AJ163-AM163))/MAX(1,ABS(AC163),ABS(AC164)))</f>
        <v/>
      </c>
      <c r="BB163" s="35">
        <f>(1+INDEX(DiscRateAnn,INT(A163/12)+1))^(1/12)-1</f>
        <v/>
      </c>
      <c r="BC163" s="31">
        <f>(1+BB163)^-A163</f>
        <v/>
      </c>
      <c r="BD163" s="34">
        <f>AW163*BC163</f>
        <v/>
      </c>
    </row>
    <row r="164">
      <c r="A164" s="27">
        <f>A163+1</f>
        <v/>
      </c>
      <c r="B164" s="28">
        <f>Duration0+A164</f>
        <v/>
      </c>
      <c r="C164" s="27">
        <f>INT(B164/12)</f>
        <v/>
      </c>
      <c r="D164" s="28">
        <f>AgeAtEntry+C164</f>
        <v/>
      </c>
      <c r="E164" s="29">
        <f>IF(PremiumType="SINGLE",IF(B164=0,PremiumPPInput,0),IF(B164&lt;12*PolicyTerm,PremiumPPInput,0))</f>
        <v/>
      </c>
      <c r="F164" s="30">
        <f>INDEX(MortRates,MATCH(MIN(D164,120),MortAges,0),MAX(MIN(C164,5),0)+1)</f>
        <v/>
      </c>
      <c r="G164" s="31">
        <f>1-(1-F164)^(1/12)</f>
        <v/>
      </c>
      <c r="H164" s="32">
        <f>MAX(LapseBase-LapseStep*C164,LapseFloor)</f>
        <v/>
      </c>
      <c r="I164" s="32">
        <f>IF(HasSurrCharge,INDEX(SurrRates,MIN(C164,SurrDurMax)+1,MATCH(SurrChargeID,SurrTypes,0)),0)</f>
        <v/>
      </c>
      <c r="J164" s="33">
        <f>N163-P163-O163</f>
        <v/>
      </c>
      <c r="K164" s="30">
        <f>IF(B164=12*PolicyTerm,J164,0)</f>
        <v/>
      </c>
      <c r="L164" s="33">
        <f>J164-K164</f>
        <v/>
      </c>
      <c r="M164" s="30">
        <f>IF(B164=0,PolicyCount,0)</f>
        <v/>
      </c>
      <c r="N164" s="33">
        <f>L164+M164</f>
        <v/>
      </c>
      <c r="O164" s="31">
        <f>N164*G164</f>
        <v/>
      </c>
      <c r="P164" s="33">
        <f>(N164-O164)*(1-(1-H164)^(1/12))</f>
        <v/>
      </c>
      <c r="Q164" s="34">
        <f>X163+Z163</f>
        <v/>
      </c>
      <c r="R164" s="29">
        <f>(1-LoadPremRate)*E164</f>
        <v/>
      </c>
      <c r="S164" s="34">
        <f>Q164+R164</f>
        <v/>
      </c>
      <c r="T164" s="29">
        <f>MaintFeeRateAnn/12*S164</f>
        <v/>
      </c>
      <c r="U164" s="29">
        <f>MAX(SumAssured-S164,0)</f>
        <v/>
      </c>
      <c r="V164" s="35">
        <f>CoiMultiple*G164</f>
        <v/>
      </c>
      <c r="W164" s="34">
        <f>V164*U164</f>
        <v/>
      </c>
      <c r="X164" s="34">
        <f>S164-T164-W164</f>
        <v/>
      </c>
      <c r="Y164" s="36">
        <f>EXP((Mu-0.5*Sigma^2)/12+Sigma*SQRT(1/12)*INDEX(NormRand,ScenID,A164+1))-1</f>
        <v/>
      </c>
      <c r="Z164" s="34">
        <f>Y164*X164</f>
        <v/>
      </c>
      <c r="AA164" s="34">
        <f>X164+0.5*Z164</f>
        <v/>
      </c>
      <c r="AB164" s="34">
        <f>Q164*J164</f>
        <v/>
      </c>
      <c r="AC164" s="34">
        <f>Q164*L164</f>
        <v/>
      </c>
      <c r="AD164" s="34">
        <f>S164*N164</f>
        <v/>
      </c>
      <c r="AE164" s="34">
        <f>E164*N164</f>
        <v/>
      </c>
      <c r="AF164" s="34">
        <f>R164*N164</f>
        <v/>
      </c>
      <c r="AG164" s="29">
        <f>MAX(SumAssured,AA164)</f>
        <v/>
      </c>
      <c r="AH164" s="34">
        <f>AG164*O164</f>
        <v/>
      </c>
      <c r="AI164" s="34">
        <f>AA164*O164</f>
        <v/>
      </c>
      <c r="AJ164" s="34">
        <f>AA164*P164</f>
        <v/>
      </c>
      <c r="AK164" s="34">
        <f>I164*AA164*P164</f>
        <v/>
      </c>
      <c r="AL164" s="34">
        <f>AJ164-AK164</f>
        <v/>
      </c>
      <c r="AM164" s="34">
        <f>Q164*K164</f>
        <v/>
      </c>
      <c r="AN164" s="34">
        <f>AH164+AL164+AM164</f>
        <v/>
      </c>
      <c r="AO164" s="34">
        <f>(AG164-AA164)*O164</f>
        <v/>
      </c>
      <c r="AP164" s="34">
        <f>W164*N164</f>
        <v/>
      </c>
      <c r="AQ164" s="34">
        <f>T164*N164</f>
        <v/>
      </c>
      <c r="AR164" s="34">
        <f>Z164*J165+0.5*Z164*(O164+P164)</f>
        <v/>
      </c>
      <c r="AS164" s="30">
        <f>(1+InflationRate)^(A164/12)</f>
        <v/>
      </c>
      <c r="AT164" s="29">
        <f>ExpenseAcq*M164+N164*ExpenseMaint/12*AS164</f>
        <v/>
      </c>
      <c r="AU164" s="29">
        <f>CommissionRate*AE164</f>
        <v/>
      </c>
      <c r="AV164" s="34">
        <f>AB165-AB164</f>
        <v/>
      </c>
      <c r="AW164" s="34">
        <f>AE164+AR164-AN164-AT164-AU164-AV164</f>
        <v/>
      </c>
      <c r="AX164" s="29">
        <f>LoadPremRate*E164*N164+AK164+AQ164-AU164-AT164</f>
        <v/>
      </c>
      <c r="AY164" s="34">
        <f>AP164-AO164</f>
        <v/>
      </c>
      <c r="AZ164" s="37">
        <f>(AW164-AX164-AY164)/MAX(1,ABS(AW164),ABS(AX164),ABS(AY164))</f>
        <v/>
      </c>
      <c r="BA164" s="37">
        <f>IF(OR(K164&gt;0,K165&gt;0),0,(AC165-(AC164+AF164-AQ164-AP164+AR164-AI164-AJ164-AM164))/MAX(1,ABS(AC164),ABS(AC165)))</f>
        <v/>
      </c>
      <c r="BB164" s="35">
        <f>(1+INDEX(DiscRateAnn,INT(A164/12)+1))^(1/12)-1</f>
        <v/>
      </c>
      <c r="BC164" s="31">
        <f>(1+BB164)^-A164</f>
        <v/>
      </c>
      <c r="BD164" s="34">
        <f>AW164*BC164</f>
        <v/>
      </c>
    </row>
    <row r="165">
      <c r="A165" s="27">
        <f>A164+1</f>
        <v/>
      </c>
      <c r="B165" s="28">
        <f>Duration0+A165</f>
        <v/>
      </c>
      <c r="C165" s="27">
        <f>INT(B165/12)</f>
        <v/>
      </c>
      <c r="D165" s="28">
        <f>AgeAtEntry+C165</f>
        <v/>
      </c>
      <c r="E165" s="29">
        <f>IF(PremiumType="SINGLE",IF(B165=0,PremiumPPInput,0),IF(B165&lt;12*PolicyTerm,PremiumPPInput,0))</f>
        <v/>
      </c>
      <c r="F165" s="30">
        <f>INDEX(MortRates,MATCH(MIN(D165,120),MortAges,0),MAX(MIN(C165,5),0)+1)</f>
        <v/>
      </c>
      <c r="G165" s="31">
        <f>1-(1-F165)^(1/12)</f>
        <v/>
      </c>
      <c r="H165" s="32">
        <f>MAX(LapseBase-LapseStep*C165,LapseFloor)</f>
        <v/>
      </c>
      <c r="I165" s="32">
        <f>IF(HasSurrCharge,INDEX(SurrRates,MIN(C165,SurrDurMax)+1,MATCH(SurrChargeID,SurrTypes,0)),0)</f>
        <v/>
      </c>
      <c r="J165" s="33">
        <f>N164-P164-O164</f>
        <v/>
      </c>
      <c r="K165" s="30">
        <f>IF(B165=12*PolicyTerm,J165,0)</f>
        <v/>
      </c>
      <c r="L165" s="33">
        <f>J165-K165</f>
        <v/>
      </c>
      <c r="M165" s="30">
        <f>IF(B165=0,PolicyCount,0)</f>
        <v/>
      </c>
      <c r="N165" s="33">
        <f>L165+M165</f>
        <v/>
      </c>
      <c r="O165" s="31">
        <f>N165*G165</f>
        <v/>
      </c>
      <c r="P165" s="33">
        <f>(N165-O165)*(1-(1-H165)^(1/12))</f>
        <v/>
      </c>
      <c r="Q165" s="34">
        <f>X164+Z164</f>
        <v/>
      </c>
      <c r="R165" s="29">
        <f>(1-LoadPremRate)*E165</f>
        <v/>
      </c>
      <c r="S165" s="34">
        <f>Q165+R165</f>
        <v/>
      </c>
      <c r="T165" s="29">
        <f>MaintFeeRateAnn/12*S165</f>
        <v/>
      </c>
      <c r="U165" s="29">
        <f>MAX(SumAssured-S165,0)</f>
        <v/>
      </c>
      <c r="V165" s="35">
        <f>CoiMultiple*G165</f>
        <v/>
      </c>
      <c r="W165" s="34">
        <f>V165*U165</f>
        <v/>
      </c>
      <c r="X165" s="34">
        <f>S165-T165-W165</f>
        <v/>
      </c>
      <c r="Y165" s="36">
        <f>EXP((Mu-0.5*Sigma^2)/12+Sigma*SQRT(1/12)*INDEX(NormRand,ScenID,A165+1))-1</f>
        <v/>
      </c>
      <c r="Z165" s="34">
        <f>Y165*X165</f>
        <v/>
      </c>
      <c r="AA165" s="34">
        <f>X165+0.5*Z165</f>
        <v/>
      </c>
      <c r="AB165" s="34">
        <f>Q165*J165</f>
        <v/>
      </c>
      <c r="AC165" s="34">
        <f>Q165*L165</f>
        <v/>
      </c>
      <c r="AD165" s="34">
        <f>S165*N165</f>
        <v/>
      </c>
      <c r="AE165" s="34">
        <f>E165*N165</f>
        <v/>
      </c>
      <c r="AF165" s="34">
        <f>R165*N165</f>
        <v/>
      </c>
      <c r="AG165" s="29">
        <f>MAX(SumAssured,AA165)</f>
        <v/>
      </c>
      <c r="AH165" s="34">
        <f>AG165*O165</f>
        <v/>
      </c>
      <c r="AI165" s="34">
        <f>AA165*O165</f>
        <v/>
      </c>
      <c r="AJ165" s="34">
        <f>AA165*P165</f>
        <v/>
      </c>
      <c r="AK165" s="34">
        <f>I165*AA165*P165</f>
        <v/>
      </c>
      <c r="AL165" s="34">
        <f>AJ165-AK165</f>
        <v/>
      </c>
      <c r="AM165" s="34">
        <f>Q165*K165</f>
        <v/>
      </c>
      <c r="AN165" s="34">
        <f>AH165+AL165+AM165</f>
        <v/>
      </c>
      <c r="AO165" s="34">
        <f>(AG165-AA165)*O165</f>
        <v/>
      </c>
      <c r="AP165" s="34">
        <f>W165*N165</f>
        <v/>
      </c>
      <c r="AQ165" s="34">
        <f>T165*N165</f>
        <v/>
      </c>
      <c r="AR165" s="34">
        <f>Z165*J166+0.5*Z165*(O165+P165)</f>
        <v/>
      </c>
      <c r="AS165" s="30">
        <f>(1+InflationRate)^(A165/12)</f>
        <v/>
      </c>
      <c r="AT165" s="29">
        <f>ExpenseAcq*M165+N165*ExpenseMaint/12*AS165</f>
        <v/>
      </c>
      <c r="AU165" s="29">
        <f>CommissionRate*AE165</f>
        <v/>
      </c>
      <c r="AV165" s="34">
        <f>AB166-AB165</f>
        <v/>
      </c>
      <c r="AW165" s="34">
        <f>AE165+AR165-AN165-AT165-AU165-AV165</f>
        <v/>
      </c>
      <c r="AX165" s="29">
        <f>LoadPremRate*E165*N165+AK165+AQ165-AU165-AT165</f>
        <v/>
      </c>
      <c r="AY165" s="34">
        <f>AP165-AO165</f>
        <v/>
      </c>
      <c r="AZ165" s="37">
        <f>(AW165-AX165-AY165)/MAX(1,ABS(AW165),ABS(AX165),ABS(AY165))</f>
        <v/>
      </c>
      <c r="BA165" s="37">
        <f>IF(OR(K165&gt;0,K166&gt;0),0,(AC166-(AC165+AF165-AQ165-AP165+AR165-AI165-AJ165-AM165))/MAX(1,ABS(AC165),ABS(AC166)))</f>
        <v/>
      </c>
      <c r="BB165" s="35">
        <f>(1+INDEX(DiscRateAnn,INT(A165/12)+1))^(1/12)-1</f>
        <v/>
      </c>
      <c r="BC165" s="31">
        <f>(1+BB165)^-A165</f>
        <v/>
      </c>
      <c r="BD165" s="34">
        <f>AW165*BC165</f>
        <v/>
      </c>
    </row>
    <row r="166">
      <c r="A166" s="27">
        <f>A165+1</f>
        <v/>
      </c>
      <c r="B166" s="28">
        <f>Duration0+A166</f>
        <v/>
      </c>
      <c r="C166" s="27">
        <f>INT(B166/12)</f>
        <v/>
      </c>
      <c r="D166" s="28">
        <f>AgeAtEntry+C166</f>
        <v/>
      </c>
      <c r="E166" s="29">
        <f>IF(PremiumType="SINGLE",IF(B166=0,PremiumPPInput,0),IF(B166&lt;12*PolicyTerm,PremiumPPInput,0))</f>
        <v/>
      </c>
      <c r="F166" s="30">
        <f>INDEX(MortRates,MATCH(MIN(D166,120),MortAges,0),MAX(MIN(C166,5),0)+1)</f>
        <v/>
      </c>
      <c r="G166" s="31">
        <f>1-(1-F166)^(1/12)</f>
        <v/>
      </c>
      <c r="H166" s="32">
        <f>MAX(LapseBase-LapseStep*C166,LapseFloor)</f>
        <v/>
      </c>
      <c r="I166" s="32">
        <f>IF(HasSurrCharge,INDEX(SurrRates,MIN(C166,SurrDurMax)+1,MATCH(SurrChargeID,SurrTypes,0)),0)</f>
        <v/>
      </c>
      <c r="J166" s="33">
        <f>N165-P165-O165</f>
        <v/>
      </c>
      <c r="K166" s="30">
        <f>IF(B166=12*PolicyTerm,J166,0)</f>
        <v/>
      </c>
      <c r="L166" s="33">
        <f>J166-K166</f>
        <v/>
      </c>
      <c r="M166" s="30">
        <f>IF(B166=0,PolicyCount,0)</f>
        <v/>
      </c>
      <c r="N166" s="33">
        <f>L166+M166</f>
        <v/>
      </c>
      <c r="O166" s="31">
        <f>N166*G166</f>
        <v/>
      </c>
      <c r="P166" s="33">
        <f>(N166-O166)*(1-(1-H166)^(1/12))</f>
        <v/>
      </c>
      <c r="Q166" s="34">
        <f>X165+Z165</f>
        <v/>
      </c>
      <c r="R166" s="29">
        <f>(1-LoadPremRate)*E166</f>
        <v/>
      </c>
      <c r="S166" s="34">
        <f>Q166+R166</f>
        <v/>
      </c>
      <c r="T166" s="29">
        <f>MaintFeeRateAnn/12*S166</f>
        <v/>
      </c>
      <c r="U166" s="29">
        <f>MAX(SumAssured-S166,0)</f>
        <v/>
      </c>
      <c r="V166" s="35">
        <f>CoiMultiple*G166</f>
        <v/>
      </c>
      <c r="W166" s="34">
        <f>V166*U166</f>
        <v/>
      </c>
      <c r="X166" s="34">
        <f>S166-T166-W166</f>
        <v/>
      </c>
      <c r="Y166" s="36">
        <f>EXP((Mu-0.5*Sigma^2)/12+Sigma*SQRT(1/12)*INDEX(NormRand,ScenID,A166+1))-1</f>
        <v/>
      </c>
      <c r="Z166" s="34">
        <f>Y166*X166</f>
        <v/>
      </c>
      <c r="AA166" s="34">
        <f>X166+0.5*Z166</f>
        <v/>
      </c>
      <c r="AB166" s="34">
        <f>Q166*J166</f>
        <v/>
      </c>
      <c r="AC166" s="34">
        <f>Q166*L166</f>
        <v/>
      </c>
      <c r="AD166" s="34">
        <f>S166*N166</f>
        <v/>
      </c>
      <c r="AE166" s="34">
        <f>E166*N166</f>
        <v/>
      </c>
      <c r="AF166" s="34">
        <f>R166*N166</f>
        <v/>
      </c>
      <c r="AG166" s="29">
        <f>MAX(SumAssured,AA166)</f>
        <v/>
      </c>
      <c r="AH166" s="34">
        <f>AG166*O166</f>
        <v/>
      </c>
      <c r="AI166" s="34">
        <f>AA166*O166</f>
        <v/>
      </c>
      <c r="AJ166" s="34">
        <f>AA166*P166</f>
        <v/>
      </c>
      <c r="AK166" s="34">
        <f>I166*AA166*P166</f>
        <v/>
      </c>
      <c r="AL166" s="34">
        <f>AJ166-AK166</f>
        <v/>
      </c>
      <c r="AM166" s="34">
        <f>Q166*K166</f>
        <v/>
      </c>
      <c r="AN166" s="34">
        <f>AH166+AL166+AM166</f>
        <v/>
      </c>
      <c r="AO166" s="34">
        <f>(AG166-AA166)*O166</f>
        <v/>
      </c>
      <c r="AP166" s="34">
        <f>W166*N166</f>
        <v/>
      </c>
      <c r="AQ166" s="34">
        <f>T166*N166</f>
        <v/>
      </c>
      <c r="AR166" s="34">
        <f>Z166*J167+0.5*Z166*(O166+P166)</f>
        <v/>
      </c>
      <c r="AS166" s="30">
        <f>(1+InflationRate)^(A166/12)</f>
        <v/>
      </c>
      <c r="AT166" s="29">
        <f>ExpenseAcq*M166+N166*ExpenseMaint/12*AS166</f>
        <v/>
      </c>
      <c r="AU166" s="29">
        <f>CommissionRate*AE166</f>
        <v/>
      </c>
      <c r="AV166" s="34">
        <f>AB167-AB166</f>
        <v/>
      </c>
      <c r="AW166" s="34">
        <f>AE166+AR166-AN166-AT166-AU166-AV166</f>
        <v/>
      </c>
      <c r="AX166" s="29">
        <f>LoadPremRate*E166*N166+AK166+AQ166-AU166-AT166</f>
        <v/>
      </c>
      <c r="AY166" s="34">
        <f>AP166-AO166</f>
        <v/>
      </c>
      <c r="AZ166" s="37">
        <f>(AW166-AX166-AY166)/MAX(1,ABS(AW166),ABS(AX166),ABS(AY166))</f>
        <v/>
      </c>
      <c r="BA166" s="37">
        <f>IF(OR(K166&gt;0,K167&gt;0),0,(AC167-(AC166+AF166-AQ166-AP166+AR166-AI166-AJ166-AM166))/MAX(1,ABS(AC166),ABS(AC167)))</f>
        <v/>
      </c>
      <c r="BB166" s="35">
        <f>(1+INDEX(DiscRateAnn,INT(A166/12)+1))^(1/12)-1</f>
        <v/>
      </c>
      <c r="BC166" s="31">
        <f>(1+BB166)^-A166</f>
        <v/>
      </c>
      <c r="BD166" s="34">
        <f>AW166*BC166</f>
        <v/>
      </c>
    </row>
    <row r="167">
      <c r="A167" s="27">
        <f>A166+1</f>
        <v/>
      </c>
      <c r="B167" s="28">
        <f>Duration0+A167</f>
        <v/>
      </c>
      <c r="C167" s="27">
        <f>INT(B167/12)</f>
        <v/>
      </c>
      <c r="D167" s="28">
        <f>AgeAtEntry+C167</f>
        <v/>
      </c>
      <c r="E167" s="29">
        <f>IF(PremiumType="SINGLE",IF(B167=0,PremiumPPInput,0),IF(B167&lt;12*PolicyTerm,PremiumPPInput,0))</f>
        <v/>
      </c>
      <c r="F167" s="30">
        <f>INDEX(MortRates,MATCH(MIN(D167,120),MortAges,0),MAX(MIN(C167,5),0)+1)</f>
        <v/>
      </c>
      <c r="G167" s="31">
        <f>1-(1-F167)^(1/12)</f>
        <v/>
      </c>
      <c r="H167" s="32">
        <f>MAX(LapseBase-LapseStep*C167,LapseFloor)</f>
        <v/>
      </c>
      <c r="I167" s="32">
        <f>IF(HasSurrCharge,INDEX(SurrRates,MIN(C167,SurrDurMax)+1,MATCH(SurrChargeID,SurrTypes,0)),0)</f>
        <v/>
      </c>
      <c r="J167" s="33">
        <f>N166-P166-O166</f>
        <v/>
      </c>
      <c r="K167" s="30">
        <f>IF(B167=12*PolicyTerm,J167,0)</f>
        <v/>
      </c>
      <c r="L167" s="33">
        <f>J167-K167</f>
        <v/>
      </c>
      <c r="M167" s="30">
        <f>IF(B167=0,PolicyCount,0)</f>
        <v/>
      </c>
      <c r="N167" s="33">
        <f>L167+M167</f>
        <v/>
      </c>
      <c r="O167" s="31">
        <f>N167*G167</f>
        <v/>
      </c>
      <c r="P167" s="33">
        <f>(N167-O167)*(1-(1-H167)^(1/12))</f>
        <v/>
      </c>
      <c r="Q167" s="34">
        <f>X166+Z166</f>
        <v/>
      </c>
      <c r="R167" s="29">
        <f>(1-LoadPremRate)*E167</f>
        <v/>
      </c>
      <c r="S167" s="34">
        <f>Q167+R167</f>
        <v/>
      </c>
      <c r="T167" s="29">
        <f>MaintFeeRateAnn/12*S167</f>
        <v/>
      </c>
      <c r="U167" s="29">
        <f>MAX(SumAssured-S167,0)</f>
        <v/>
      </c>
      <c r="V167" s="35">
        <f>CoiMultiple*G167</f>
        <v/>
      </c>
      <c r="W167" s="34">
        <f>V167*U167</f>
        <v/>
      </c>
      <c r="X167" s="34">
        <f>S167-T167-W167</f>
        <v/>
      </c>
      <c r="Y167" s="36">
        <f>EXP((Mu-0.5*Sigma^2)/12+Sigma*SQRT(1/12)*INDEX(NormRand,ScenID,A167+1))-1</f>
        <v/>
      </c>
      <c r="Z167" s="34">
        <f>Y167*X167</f>
        <v/>
      </c>
      <c r="AA167" s="34">
        <f>X167+0.5*Z167</f>
        <v/>
      </c>
      <c r="AB167" s="34">
        <f>Q167*J167</f>
        <v/>
      </c>
      <c r="AC167" s="34">
        <f>Q167*L167</f>
        <v/>
      </c>
      <c r="AD167" s="34">
        <f>S167*N167</f>
        <v/>
      </c>
      <c r="AE167" s="34">
        <f>E167*N167</f>
        <v/>
      </c>
      <c r="AF167" s="34">
        <f>R167*N167</f>
        <v/>
      </c>
      <c r="AG167" s="29">
        <f>MAX(SumAssured,AA167)</f>
        <v/>
      </c>
      <c r="AH167" s="34">
        <f>AG167*O167</f>
        <v/>
      </c>
      <c r="AI167" s="34">
        <f>AA167*O167</f>
        <v/>
      </c>
      <c r="AJ167" s="34">
        <f>AA167*P167</f>
        <v/>
      </c>
      <c r="AK167" s="34">
        <f>I167*AA167*P167</f>
        <v/>
      </c>
      <c r="AL167" s="34">
        <f>AJ167-AK167</f>
        <v/>
      </c>
      <c r="AM167" s="34">
        <f>Q167*K167</f>
        <v/>
      </c>
      <c r="AN167" s="34">
        <f>AH167+AL167+AM167</f>
        <v/>
      </c>
      <c r="AO167" s="34">
        <f>(AG167-AA167)*O167</f>
        <v/>
      </c>
      <c r="AP167" s="34">
        <f>W167*N167</f>
        <v/>
      </c>
      <c r="AQ167" s="34">
        <f>T167*N167</f>
        <v/>
      </c>
      <c r="AR167" s="34">
        <f>Z167*J168+0.5*Z167*(O167+P167)</f>
        <v/>
      </c>
      <c r="AS167" s="30">
        <f>(1+InflationRate)^(A167/12)</f>
        <v/>
      </c>
      <c r="AT167" s="29">
        <f>ExpenseAcq*M167+N167*ExpenseMaint/12*AS167</f>
        <v/>
      </c>
      <c r="AU167" s="29">
        <f>CommissionRate*AE167</f>
        <v/>
      </c>
      <c r="AV167" s="34">
        <f>AB168-AB167</f>
        <v/>
      </c>
      <c r="AW167" s="34">
        <f>AE167+AR167-AN167-AT167-AU167-AV167</f>
        <v/>
      </c>
      <c r="AX167" s="29">
        <f>LoadPremRate*E167*N167+AK167+AQ167-AU167-AT167</f>
        <v/>
      </c>
      <c r="AY167" s="34">
        <f>AP167-AO167</f>
        <v/>
      </c>
      <c r="AZ167" s="37">
        <f>(AW167-AX167-AY167)/MAX(1,ABS(AW167),ABS(AX167),ABS(AY167))</f>
        <v/>
      </c>
      <c r="BA167" s="37">
        <f>IF(OR(K167&gt;0,K168&gt;0),0,(AC168-(AC167+AF167-AQ167-AP167+AR167-AI167-AJ167-AM167))/MAX(1,ABS(AC167),ABS(AC168)))</f>
        <v/>
      </c>
      <c r="BB167" s="35">
        <f>(1+INDEX(DiscRateAnn,INT(A167/12)+1))^(1/12)-1</f>
        <v/>
      </c>
      <c r="BC167" s="31">
        <f>(1+BB167)^-A167</f>
        <v/>
      </c>
      <c r="BD167" s="34">
        <f>AW167*BC167</f>
        <v/>
      </c>
    </row>
    <row r="168">
      <c r="A168" s="27">
        <f>A167+1</f>
        <v/>
      </c>
      <c r="B168" s="28">
        <f>Duration0+A168</f>
        <v/>
      </c>
      <c r="C168" s="27">
        <f>INT(B168/12)</f>
        <v/>
      </c>
      <c r="D168" s="28">
        <f>AgeAtEntry+C168</f>
        <v/>
      </c>
      <c r="E168" s="29">
        <f>IF(PremiumType="SINGLE",IF(B168=0,PremiumPPInput,0),IF(B168&lt;12*PolicyTerm,PremiumPPInput,0))</f>
        <v/>
      </c>
      <c r="F168" s="30">
        <f>INDEX(MortRates,MATCH(MIN(D168,120),MortAges,0),MAX(MIN(C168,5),0)+1)</f>
        <v/>
      </c>
      <c r="G168" s="31">
        <f>1-(1-F168)^(1/12)</f>
        <v/>
      </c>
      <c r="H168" s="32">
        <f>MAX(LapseBase-LapseStep*C168,LapseFloor)</f>
        <v/>
      </c>
      <c r="I168" s="32">
        <f>IF(HasSurrCharge,INDEX(SurrRates,MIN(C168,SurrDurMax)+1,MATCH(SurrChargeID,SurrTypes,0)),0)</f>
        <v/>
      </c>
      <c r="J168" s="33">
        <f>N167-P167-O167</f>
        <v/>
      </c>
      <c r="K168" s="30">
        <f>IF(B168=12*PolicyTerm,J168,0)</f>
        <v/>
      </c>
      <c r="L168" s="33">
        <f>J168-K168</f>
        <v/>
      </c>
      <c r="M168" s="30">
        <f>IF(B168=0,PolicyCount,0)</f>
        <v/>
      </c>
      <c r="N168" s="33">
        <f>L168+M168</f>
        <v/>
      </c>
      <c r="O168" s="31">
        <f>N168*G168</f>
        <v/>
      </c>
      <c r="P168" s="33">
        <f>(N168-O168)*(1-(1-H168)^(1/12))</f>
        <v/>
      </c>
      <c r="Q168" s="34">
        <f>X167+Z167</f>
        <v/>
      </c>
      <c r="R168" s="29">
        <f>(1-LoadPremRate)*E168</f>
        <v/>
      </c>
      <c r="S168" s="34">
        <f>Q168+R168</f>
        <v/>
      </c>
      <c r="T168" s="29">
        <f>MaintFeeRateAnn/12*S168</f>
        <v/>
      </c>
      <c r="U168" s="29">
        <f>MAX(SumAssured-S168,0)</f>
        <v/>
      </c>
      <c r="V168" s="35">
        <f>CoiMultiple*G168</f>
        <v/>
      </c>
      <c r="W168" s="34">
        <f>V168*U168</f>
        <v/>
      </c>
      <c r="X168" s="34">
        <f>S168-T168-W168</f>
        <v/>
      </c>
      <c r="Y168" s="36">
        <f>EXP((Mu-0.5*Sigma^2)/12+Sigma*SQRT(1/12)*INDEX(NormRand,ScenID,A168+1))-1</f>
        <v/>
      </c>
      <c r="Z168" s="34">
        <f>Y168*X168</f>
        <v/>
      </c>
      <c r="AA168" s="34">
        <f>X168+0.5*Z168</f>
        <v/>
      </c>
      <c r="AB168" s="34">
        <f>Q168*J168</f>
        <v/>
      </c>
      <c r="AC168" s="34">
        <f>Q168*L168</f>
        <v/>
      </c>
      <c r="AD168" s="34">
        <f>S168*N168</f>
        <v/>
      </c>
      <c r="AE168" s="34">
        <f>E168*N168</f>
        <v/>
      </c>
      <c r="AF168" s="34">
        <f>R168*N168</f>
        <v/>
      </c>
      <c r="AG168" s="29">
        <f>MAX(SumAssured,AA168)</f>
        <v/>
      </c>
      <c r="AH168" s="34">
        <f>AG168*O168</f>
        <v/>
      </c>
      <c r="AI168" s="34">
        <f>AA168*O168</f>
        <v/>
      </c>
      <c r="AJ168" s="34">
        <f>AA168*P168</f>
        <v/>
      </c>
      <c r="AK168" s="34">
        <f>I168*AA168*P168</f>
        <v/>
      </c>
      <c r="AL168" s="34">
        <f>AJ168-AK168</f>
        <v/>
      </c>
      <c r="AM168" s="34">
        <f>Q168*K168</f>
        <v/>
      </c>
      <c r="AN168" s="34">
        <f>AH168+AL168+AM168</f>
        <v/>
      </c>
      <c r="AO168" s="34">
        <f>(AG168-AA168)*O168</f>
        <v/>
      </c>
      <c r="AP168" s="34">
        <f>W168*N168</f>
        <v/>
      </c>
      <c r="AQ168" s="34">
        <f>T168*N168</f>
        <v/>
      </c>
      <c r="AR168" s="34">
        <f>Z168*J169+0.5*Z168*(O168+P168)</f>
        <v/>
      </c>
      <c r="AS168" s="30">
        <f>(1+InflationRate)^(A168/12)</f>
        <v/>
      </c>
      <c r="AT168" s="29">
        <f>ExpenseAcq*M168+N168*ExpenseMaint/12*AS168</f>
        <v/>
      </c>
      <c r="AU168" s="29">
        <f>CommissionRate*AE168</f>
        <v/>
      </c>
      <c r="AV168" s="34">
        <f>AB169-AB168</f>
        <v/>
      </c>
      <c r="AW168" s="34">
        <f>AE168+AR168-AN168-AT168-AU168-AV168</f>
        <v/>
      </c>
      <c r="AX168" s="29">
        <f>LoadPremRate*E168*N168+AK168+AQ168-AU168-AT168</f>
        <v/>
      </c>
      <c r="AY168" s="34">
        <f>AP168-AO168</f>
        <v/>
      </c>
      <c r="AZ168" s="37">
        <f>(AW168-AX168-AY168)/MAX(1,ABS(AW168),ABS(AX168),ABS(AY168))</f>
        <v/>
      </c>
      <c r="BA168" s="37">
        <f>IF(OR(K168&gt;0,K169&gt;0),0,(AC169-(AC168+AF168-AQ168-AP168+AR168-AI168-AJ168-AM168))/MAX(1,ABS(AC168),ABS(AC169)))</f>
        <v/>
      </c>
      <c r="BB168" s="35">
        <f>(1+INDEX(DiscRateAnn,INT(A168/12)+1))^(1/12)-1</f>
        <v/>
      </c>
      <c r="BC168" s="31">
        <f>(1+BB168)^-A168</f>
        <v/>
      </c>
      <c r="BD168" s="34">
        <f>AW168*BC168</f>
        <v/>
      </c>
    </row>
    <row r="169">
      <c r="A169" s="27">
        <f>A168+1</f>
        <v/>
      </c>
      <c r="B169" s="28">
        <f>Duration0+A169</f>
        <v/>
      </c>
      <c r="C169" s="27">
        <f>INT(B169/12)</f>
        <v/>
      </c>
      <c r="D169" s="28">
        <f>AgeAtEntry+C169</f>
        <v/>
      </c>
      <c r="E169" s="29">
        <f>IF(PremiumType="SINGLE",IF(B169=0,PremiumPPInput,0),IF(B169&lt;12*PolicyTerm,PremiumPPInput,0))</f>
        <v/>
      </c>
      <c r="F169" s="30">
        <f>INDEX(MortRates,MATCH(MIN(D169,120),MortAges,0),MAX(MIN(C169,5),0)+1)</f>
        <v/>
      </c>
      <c r="G169" s="31">
        <f>1-(1-F169)^(1/12)</f>
        <v/>
      </c>
      <c r="H169" s="32">
        <f>MAX(LapseBase-LapseStep*C169,LapseFloor)</f>
        <v/>
      </c>
      <c r="I169" s="32">
        <f>IF(HasSurrCharge,INDEX(SurrRates,MIN(C169,SurrDurMax)+1,MATCH(SurrChargeID,SurrTypes,0)),0)</f>
        <v/>
      </c>
      <c r="J169" s="33">
        <f>N168-P168-O168</f>
        <v/>
      </c>
      <c r="K169" s="30">
        <f>IF(B169=12*PolicyTerm,J169,0)</f>
        <v/>
      </c>
      <c r="L169" s="33">
        <f>J169-K169</f>
        <v/>
      </c>
      <c r="M169" s="30">
        <f>IF(B169=0,PolicyCount,0)</f>
        <v/>
      </c>
      <c r="N169" s="33">
        <f>L169+M169</f>
        <v/>
      </c>
      <c r="O169" s="31">
        <f>N169*G169</f>
        <v/>
      </c>
      <c r="P169" s="33">
        <f>(N169-O169)*(1-(1-H169)^(1/12))</f>
        <v/>
      </c>
      <c r="Q169" s="34">
        <f>X168+Z168</f>
        <v/>
      </c>
      <c r="R169" s="29">
        <f>(1-LoadPremRate)*E169</f>
        <v/>
      </c>
      <c r="S169" s="34">
        <f>Q169+R169</f>
        <v/>
      </c>
      <c r="T169" s="29">
        <f>MaintFeeRateAnn/12*S169</f>
        <v/>
      </c>
      <c r="U169" s="29">
        <f>MAX(SumAssured-S169,0)</f>
        <v/>
      </c>
      <c r="V169" s="35">
        <f>CoiMultiple*G169</f>
        <v/>
      </c>
      <c r="W169" s="34">
        <f>V169*U169</f>
        <v/>
      </c>
      <c r="X169" s="34">
        <f>S169-T169-W169</f>
        <v/>
      </c>
      <c r="Y169" s="36">
        <f>EXP((Mu-0.5*Sigma^2)/12+Sigma*SQRT(1/12)*INDEX(NormRand,ScenID,A169+1))-1</f>
        <v/>
      </c>
      <c r="Z169" s="34">
        <f>Y169*X169</f>
        <v/>
      </c>
      <c r="AA169" s="34">
        <f>X169+0.5*Z169</f>
        <v/>
      </c>
      <c r="AB169" s="34">
        <f>Q169*J169</f>
        <v/>
      </c>
      <c r="AC169" s="34">
        <f>Q169*L169</f>
        <v/>
      </c>
      <c r="AD169" s="34">
        <f>S169*N169</f>
        <v/>
      </c>
      <c r="AE169" s="34">
        <f>E169*N169</f>
        <v/>
      </c>
      <c r="AF169" s="34">
        <f>R169*N169</f>
        <v/>
      </c>
      <c r="AG169" s="29">
        <f>MAX(SumAssured,AA169)</f>
        <v/>
      </c>
      <c r="AH169" s="34">
        <f>AG169*O169</f>
        <v/>
      </c>
      <c r="AI169" s="34">
        <f>AA169*O169</f>
        <v/>
      </c>
      <c r="AJ169" s="34">
        <f>AA169*P169</f>
        <v/>
      </c>
      <c r="AK169" s="34">
        <f>I169*AA169*P169</f>
        <v/>
      </c>
      <c r="AL169" s="34">
        <f>AJ169-AK169</f>
        <v/>
      </c>
      <c r="AM169" s="34">
        <f>Q169*K169</f>
        <v/>
      </c>
      <c r="AN169" s="34">
        <f>AH169+AL169+AM169</f>
        <v/>
      </c>
      <c r="AO169" s="34">
        <f>(AG169-AA169)*O169</f>
        <v/>
      </c>
      <c r="AP169" s="34">
        <f>W169*N169</f>
        <v/>
      </c>
      <c r="AQ169" s="34">
        <f>T169*N169</f>
        <v/>
      </c>
      <c r="AR169" s="34">
        <f>Z169*J170+0.5*Z169*(O169+P169)</f>
        <v/>
      </c>
      <c r="AS169" s="30">
        <f>(1+InflationRate)^(A169/12)</f>
        <v/>
      </c>
      <c r="AT169" s="29">
        <f>ExpenseAcq*M169+N169*ExpenseMaint/12*AS169</f>
        <v/>
      </c>
      <c r="AU169" s="29">
        <f>CommissionRate*AE169</f>
        <v/>
      </c>
      <c r="AV169" s="34">
        <f>AB170-AB169</f>
        <v/>
      </c>
      <c r="AW169" s="34">
        <f>AE169+AR169-AN169-AT169-AU169-AV169</f>
        <v/>
      </c>
      <c r="AX169" s="29">
        <f>LoadPremRate*E169*N169+AK169+AQ169-AU169-AT169</f>
        <v/>
      </c>
      <c r="AY169" s="34">
        <f>AP169-AO169</f>
        <v/>
      </c>
      <c r="AZ169" s="37">
        <f>(AW169-AX169-AY169)/MAX(1,ABS(AW169),ABS(AX169),ABS(AY169))</f>
        <v/>
      </c>
      <c r="BA169" s="37">
        <f>IF(OR(K169&gt;0,K170&gt;0),0,(AC170-(AC169+AF169-AQ169-AP169+AR169-AI169-AJ169-AM169))/MAX(1,ABS(AC169),ABS(AC170)))</f>
        <v/>
      </c>
      <c r="BB169" s="35">
        <f>(1+INDEX(DiscRateAnn,INT(A169/12)+1))^(1/12)-1</f>
        <v/>
      </c>
      <c r="BC169" s="31">
        <f>(1+BB169)^-A169</f>
        <v/>
      </c>
      <c r="BD169" s="34">
        <f>AW169*BC169</f>
        <v/>
      </c>
    </row>
    <row r="170">
      <c r="A170" s="27">
        <f>A169+1</f>
        <v/>
      </c>
      <c r="B170" s="28">
        <f>Duration0+A170</f>
        <v/>
      </c>
      <c r="C170" s="27">
        <f>INT(B170/12)</f>
        <v/>
      </c>
      <c r="D170" s="28">
        <f>AgeAtEntry+C170</f>
        <v/>
      </c>
      <c r="E170" s="29">
        <f>IF(PremiumType="SINGLE",IF(B170=0,PremiumPPInput,0),IF(B170&lt;12*PolicyTerm,PremiumPPInput,0))</f>
        <v/>
      </c>
      <c r="F170" s="30">
        <f>INDEX(MortRates,MATCH(MIN(D170,120),MortAges,0),MAX(MIN(C170,5),0)+1)</f>
        <v/>
      </c>
      <c r="G170" s="31">
        <f>1-(1-F170)^(1/12)</f>
        <v/>
      </c>
      <c r="H170" s="32">
        <f>MAX(LapseBase-LapseStep*C170,LapseFloor)</f>
        <v/>
      </c>
      <c r="I170" s="32">
        <f>IF(HasSurrCharge,INDEX(SurrRates,MIN(C170,SurrDurMax)+1,MATCH(SurrChargeID,SurrTypes,0)),0)</f>
        <v/>
      </c>
      <c r="J170" s="33">
        <f>N169-P169-O169</f>
        <v/>
      </c>
      <c r="K170" s="30">
        <f>IF(B170=12*PolicyTerm,J170,0)</f>
        <v/>
      </c>
      <c r="L170" s="33">
        <f>J170-K170</f>
        <v/>
      </c>
      <c r="M170" s="30">
        <f>IF(B170=0,PolicyCount,0)</f>
        <v/>
      </c>
      <c r="N170" s="33">
        <f>L170+M170</f>
        <v/>
      </c>
      <c r="O170" s="31">
        <f>N170*G170</f>
        <v/>
      </c>
      <c r="P170" s="33">
        <f>(N170-O170)*(1-(1-H170)^(1/12))</f>
        <v/>
      </c>
      <c r="Q170" s="34">
        <f>X169+Z169</f>
        <v/>
      </c>
      <c r="R170" s="29">
        <f>(1-LoadPremRate)*E170</f>
        <v/>
      </c>
      <c r="S170" s="34">
        <f>Q170+R170</f>
        <v/>
      </c>
      <c r="T170" s="29">
        <f>MaintFeeRateAnn/12*S170</f>
        <v/>
      </c>
      <c r="U170" s="29">
        <f>MAX(SumAssured-S170,0)</f>
        <v/>
      </c>
      <c r="V170" s="35">
        <f>CoiMultiple*G170</f>
        <v/>
      </c>
      <c r="W170" s="34">
        <f>V170*U170</f>
        <v/>
      </c>
      <c r="X170" s="34">
        <f>S170-T170-W170</f>
        <v/>
      </c>
      <c r="Y170" s="36">
        <f>EXP((Mu-0.5*Sigma^2)/12+Sigma*SQRT(1/12)*INDEX(NormRand,ScenID,A170+1))-1</f>
        <v/>
      </c>
      <c r="Z170" s="34">
        <f>Y170*X170</f>
        <v/>
      </c>
      <c r="AA170" s="34">
        <f>X170+0.5*Z170</f>
        <v/>
      </c>
      <c r="AB170" s="34">
        <f>Q170*J170</f>
        <v/>
      </c>
      <c r="AC170" s="34">
        <f>Q170*L170</f>
        <v/>
      </c>
      <c r="AD170" s="34">
        <f>S170*N170</f>
        <v/>
      </c>
      <c r="AE170" s="34">
        <f>E170*N170</f>
        <v/>
      </c>
      <c r="AF170" s="34">
        <f>R170*N170</f>
        <v/>
      </c>
      <c r="AG170" s="29">
        <f>MAX(SumAssured,AA170)</f>
        <v/>
      </c>
      <c r="AH170" s="34">
        <f>AG170*O170</f>
        <v/>
      </c>
      <c r="AI170" s="34">
        <f>AA170*O170</f>
        <v/>
      </c>
      <c r="AJ170" s="34">
        <f>AA170*P170</f>
        <v/>
      </c>
      <c r="AK170" s="34">
        <f>I170*AA170*P170</f>
        <v/>
      </c>
      <c r="AL170" s="34">
        <f>AJ170-AK170</f>
        <v/>
      </c>
      <c r="AM170" s="34">
        <f>Q170*K170</f>
        <v/>
      </c>
      <c r="AN170" s="34">
        <f>AH170+AL170+AM170</f>
        <v/>
      </c>
      <c r="AO170" s="34">
        <f>(AG170-AA170)*O170</f>
        <v/>
      </c>
      <c r="AP170" s="34">
        <f>W170*N170</f>
        <v/>
      </c>
      <c r="AQ170" s="34">
        <f>T170*N170</f>
        <v/>
      </c>
      <c r="AR170" s="34">
        <f>Z170*J171+0.5*Z170*(O170+P170)</f>
        <v/>
      </c>
      <c r="AS170" s="30">
        <f>(1+InflationRate)^(A170/12)</f>
        <v/>
      </c>
      <c r="AT170" s="29">
        <f>ExpenseAcq*M170+N170*ExpenseMaint/12*AS170</f>
        <v/>
      </c>
      <c r="AU170" s="29">
        <f>CommissionRate*AE170</f>
        <v/>
      </c>
      <c r="AV170" s="34">
        <f>AB171-AB170</f>
        <v/>
      </c>
      <c r="AW170" s="34">
        <f>AE170+AR170-AN170-AT170-AU170-AV170</f>
        <v/>
      </c>
      <c r="AX170" s="29">
        <f>LoadPremRate*E170*N170+AK170+AQ170-AU170-AT170</f>
        <v/>
      </c>
      <c r="AY170" s="34">
        <f>AP170-AO170</f>
        <v/>
      </c>
      <c r="AZ170" s="37">
        <f>(AW170-AX170-AY170)/MAX(1,ABS(AW170),ABS(AX170),ABS(AY170))</f>
        <v/>
      </c>
      <c r="BA170" s="37">
        <f>IF(OR(K170&gt;0,K171&gt;0),0,(AC171-(AC170+AF170-AQ170-AP170+AR170-AI170-AJ170-AM170))/MAX(1,ABS(AC170),ABS(AC171)))</f>
        <v/>
      </c>
      <c r="BB170" s="35">
        <f>(1+INDEX(DiscRateAnn,INT(A170/12)+1))^(1/12)-1</f>
        <v/>
      </c>
      <c r="BC170" s="31">
        <f>(1+BB170)^-A170</f>
        <v/>
      </c>
      <c r="BD170" s="34">
        <f>AW170*BC170</f>
        <v/>
      </c>
    </row>
    <row r="171">
      <c r="A171" s="27">
        <f>A170+1</f>
        <v/>
      </c>
      <c r="B171" s="28">
        <f>Duration0+A171</f>
        <v/>
      </c>
      <c r="C171" s="27">
        <f>INT(B171/12)</f>
        <v/>
      </c>
      <c r="D171" s="28">
        <f>AgeAtEntry+C171</f>
        <v/>
      </c>
      <c r="E171" s="29">
        <f>IF(PremiumType="SINGLE",IF(B171=0,PremiumPPInput,0),IF(B171&lt;12*PolicyTerm,PremiumPPInput,0))</f>
        <v/>
      </c>
      <c r="F171" s="30">
        <f>INDEX(MortRates,MATCH(MIN(D171,120),MortAges,0),MAX(MIN(C171,5),0)+1)</f>
        <v/>
      </c>
      <c r="G171" s="31">
        <f>1-(1-F171)^(1/12)</f>
        <v/>
      </c>
      <c r="H171" s="32">
        <f>MAX(LapseBase-LapseStep*C171,LapseFloor)</f>
        <v/>
      </c>
      <c r="I171" s="32">
        <f>IF(HasSurrCharge,INDEX(SurrRates,MIN(C171,SurrDurMax)+1,MATCH(SurrChargeID,SurrTypes,0)),0)</f>
        <v/>
      </c>
      <c r="J171" s="33">
        <f>N170-P170-O170</f>
        <v/>
      </c>
      <c r="K171" s="30">
        <f>IF(B171=12*PolicyTerm,J171,0)</f>
        <v/>
      </c>
      <c r="L171" s="33">
        <f>J171-K171</f>
        <v/>
      </c>
      <c r="M171" s="30">
        <f>IF(B171=0,PolicyCount,0)</f>
        <v/>
      </c>
      <c r="N171" s="33">
        <f>L171+M171</f>
        <v/>
      </c>
      <c r="O171" s="31">
        <f>N171*G171</f>
        <v/>
      </c>
      <c r="P171" s="33">
        <f>(N171-O171)*(1-(1-H171)^(1/12))</f>
        <v/>
      </c>
      <c r="Q171" s="34">
        <f>X170+Z170</f>
        <v/>
      </c>
      <c r="R171" s="29">
        <f>(1-LoadPremRate)*E171</f>
        <v/>
      </c>
      <c r="S171" s="34">
        <f>Q171+R171</f>
        <v/>
      </c>
      <c r="T171" s="29">
        <f>MaintFeeRateAnn/12*S171</f>
        <v/>
      </c>
      <c r="U171" s="29">
        <f>MAX(SumAssured-S171,0)</f>
        <v/>
      </c>
      <c r="V171" s="35">
        <f>CoiMultiple*G171</f>
        <v/>
      </c>
      <c r="W171" s="34">
        <f>V171*U171</f>
        <v/>
      </c>
      <c r="X171" s="34">
        <f>S171-T171-W171</f>
        <v/>
      </c>
      <c r="Y171" s="36">
        <f>EXP((Mu-0.5*Sigma^2)/12+Sigma*SQRT(1/12)*INDEX(NormRand,ScenID,A171+1))-1</f>
        <v/>
      </c>
      <c r="Z171" s="34">
        <f>Y171*X171</f>
        <v/>
      </c>
      <c r="AA171" s="34">
        <f>X171+0.5*Z171</f>
        <v/>
      </c>
      <c r="AB171" s="34">
        <f>Q171*J171</f>
        <v/>
      </c>
      <c r="AC171" s="34">
        <f>Q171*L171</f>
        <v/>
      </c>
      <c r="AD171" s="34">
        <f>S171*N171</f>
        <v/>
      </c>
      <c r="AE171" s="34">
        <f>E171*N171</f>
        <v/>
      </c>
      <c r="AF171" s="34">
        <f>R171*N171</f>
        <v/>
      </c>
      <c r="AG171" s="29">
        <f>MAX(SumAssured,AA171)</f>
        <v/>
      </c>
      <c r="AH171" s="34">
        <f>AG171*O171</f>
        <v/>
      </c>
      <c r="AI171" s="34">
        <f>AA171*O171</f>
        <v/>
      </c>
      <c r="AJ171" s="34">
        <f>AA171*P171</f>
        <v/>
      </c>
      <c r="AK171" s="34">
        <f>I171*AA171*P171</f>
        <v/>
      </c>
      <c r="AL171" s="34">
        <f>AJ171-AK171</f>
        <v/>
      </c>
      <c r="AM171" s="34">
        <f>Q171*K171</f>
        <v/>
      </c>
      <c r="AN171" s="34">
        <f>AH171+AL171+AM171</f>
        <v/>
      </c>
      <c r="AO171" s="34">
        <f>(AG171-AA171)*O171</f>
        <v/>
      </c>
      <c r="AP171" s="34">
        <f>W171*N171</f>
        <v/>
      </c>
      <c r="AQ171" s="34">
        <f>T171*N171</f>
        <v/>
      </c>
      <c r="AR171" s="34">
        <f>Z171*J172+0.5*Z171*(O171+P171)</f>
        <v/>
      </c>
      <c r="AS171" s="30">
        <f>(1+InflationRate)^(A171/12)</f>
        <v/>
      </c>
      <c r="AT171" s="29">
        <f>ExpenseAcq*M171+N171*ExpenseMaint/12*AS171</f>
        <v/>
      </c>
      <c r="AU171" s="29">
        <f>CommissionRate*AE171</f>
        <v/>
      </c>
      <c r="AV171" s="34">
        <f>AB172-AB171</f>
        <v/>
      </c>
      <c r="AW171" s="34">
        <f>AE171+AR171-AN171-AT171-AU171-AV171</f>
        <v/>
      </c>
      <c r="AX171" s="29">
        <f>LoadPremRate*E171*N171+AK171+AQ171-AU171-AT171</f>
        <v/>
      </c>
      <c r="AY171" s="34">
        <f>AP171-AO171</f>
        <v/>
      </c>
      <c r="AZ171" s="37">
        <f>(AW171-AX171-AY171)/MAX(1,ABS(AW171),ABS(AX171),ABS(AY171))</f>
        <v/>
      </c>
      <c r="BA171" s="37">
        <f>IF(OR(K171&gt;0,K172&gt;0),0,(AC172-(AC171+AF171-AQ171-AP171+AR171-AI171-AJ171-AM171))/MAX(1,ABS(AC171),ABS(AC172)))</f>
        <v/>
      </c>
      <c r="BB171" s="35">
        <f>(1+INDEX(DiscRateAnn,INT(A171/12)+1))^(1/12)-1</f>
        <v/>
      </c>
      <c r="BC171" s="31">
        <f>(1+BB171)^-A171</f>
        <v/>
      </c>
      <c r="BD171" s="34">
        <f>AW171*BC171</f>
        <v/>
      </c>
    </row>
    <row r="172">
      <c r="A172" s="27">
        <f>A171+1</f>
        <v/>
      </c>
      <c r="B172" s="28">
        <f>Duration0+A172</f>
        <v/>
      </c>
      <c r="C172" s="27">
        <f>INT(B172/12)</f>
        <v/>
      </c>
      <c r="D172" s="28">
        <f>AgeAtEntry+C172</f>
        <v/>
      </c>
      <c r="E172" s="29">
        <f>IF(PremiumType="SINGLE",IF(B172=0,PremiumPPInput,0),IF(B172&lt;12*PolicyTerm,PremiumPPInput,0))</f>
        <v/>
      </c>
      <c r="F172" s="30">
        <f>INDEX(MortRates,MATCH(MIN(D172,120),MortAges,0),MAX(MIN(C172,5),0)+1)</f>
        <v/>
      </c>
      <c r="G172" s="31">
        <f>1-(1-F172)^(1/12)</f>
        <v/>
      </c>
      <c r="H172" s="32">
        <f>MAX(LapseBase-LapseStep*C172,LapseFloor)</f>
        <v/>
      </c>
      <c r="I172" s="32">
        <f>IF(HasSurrCharge,INDEX(SurrRates,MIN(C172,SurrDurMax)+1,MATCH(SurrChargeID,SurrTypes,0)),0)</f>
        <v/>
      </c>
      <c r="J172" s="33">
        <f>N171-P171-O171</f>
        <v/>
      </c>
      <c r="K172" s="30">
        <f>IF(B172=12*PolicyTerm,J172,0)</f>
        <v/>
      </c>
      <c r="L172" s="33">
        <f>J172-K172</f>
        <v/>
      </c>
      <c r="M172" s="30">
        <f>IF(B172=0,PolicyCount,0)</f>
        <v/>
      </c>
      <c r="N172" s="33">
        <f>L172+M172</f>
        <v/>
      </c>
      <c r="O172" s="31">
        <f>N172*G172</f>
        <v/>
      </c>
      <c r="P172" s="33">
        <f>(N172-O172)*(1-(1-H172)^(1/12))</f>
        <v/>
      </c>
      <c r="Q172" s="34">
        <f>X171+Z171</f>
        <v/>
      </c>
      <c r="R172" s="29">
        <f>(1-LoadPremRate)*E172</f>
        <v/>
      </c>
      <c r="S172" s="34">
        <f>Q172+R172</f>
        <v/>
      </c>
      <c r="T172" s="29">
        <f>MaintFeeRateAnn/12*S172</f>
        <v/>
      </c>
      <c r="U172" s="29">
        <f>MAX(SumAssured-S172,0)</f>
        <v/>
      </c>
      <c r="V172" s="35">
        <f>CoiMultiple*G172</f>
        <v/>
      </c>
      <c r="W172" s="34">
        <f>V172*U172</f>
        <v/>
      </c>
      <c r="X172" s="34">
        <f>S172-T172-W172</f>
        <v/>
      </c>
      <c r="Y172" s="36">
        <f>EXP((Mu-0.5*Sigma^2)/12+Sigma*SQRT(1/12)*INDEX(NormRand,ScenID,A172+1))-1</f>
        <v/>
      </c>
      <c r="Z172" s="34">
        <f>Y172*X172</f>
        <v/>
      </c>
      <c r="AA172" s="34">
        <f>X172+0.5*Z172</f>
        <v/>
      </c>
      <c r="AB172" s="34">
        <f>Q172*J172</f>
        <v/>
      </c>
      <c r="AC172" s="34">
        <f>Q172*L172</f>
        <v/>
      </c>
      <c r="AD172" s="34">
        <f>S172*N172</f>
        <v/>
      </c>
      <c r="AE172" s="34">
        <f>E172*N172</f>
        <v/>
      </c>
      <c r="AF172" s="34">
        <f>R172*N172</f>
        <v/>
      </c>
      <c r="AG172" s="29">
        <f>MAX(SumAssured,AA172)</f>
        <v/>
      </c>
      <c r="AH172" s="34">
        <f>AG172*O172</f>
        <v/>
      </c>
      <c r="AI172" s="34">
        <f>AA172*O172</f>
        <v/>
      </c>
      <c r="AJ172" s="34">
        <f>AA172*P172</f>
        <v/>
      </c>
      <c r="AK172" s="34">
        <f>I172*AA172*P172</f>
        <v/>
      </c>
      <c r="AL172" s="34">
        <f>AJ172-AK172</f>
        <v/>
      </c>
      <c r="AM172" s="34">
        <f>Q172*K172</f>
        <v/>
      </c>
      <c r="AN172" s="34">
        <f>AH172+AL172+AM172</f>
        <v/>
      </c>
      <c r="AO172" s="34">
        <f>(AG172-AA172)*O172</f>
        <v/>
      </c>
      <c r="AP172" s="34">
        <f>W172*N172</f>
        <v/>
      </c>
      <c r="AQ172" s="34">
        <f>T172*N172</f>
        <v/>
      </c>
      <c r="AR172" s="34">
        <f>Z172*J173+0.5*Z172*(O172+P172)</f>
        <v/>
      </c>
      <c r="AS172" s="30">
        <f>(1+InflationRate)^(A172/12)</f>
        <v/>
      </c>
      <c r="AT172" s="29">
        <f>ExpenseAcq*M172+N172*ExpenseMaint/12*AS172</f>
        <v/>
      </c>
      <c r="AU172" s="29">
        <f>CommissionRate*AE172</f>
        <v/>
      </c>
      <c r="AV172" s="34">
        <f>AB173-AB172</f>
        <v/>
      </c>
      <c r="AW172" s="34">
        <f>AE172+AR172-AN172-AT172-AU172-AV172</f>
        <v/>
      </c>
      <c r="AX172" s="29">
        <f>LoadPremRate*E172*N172+AK172+AQ172-AU172-AT172</f>
        <v/>
      </c>
      <c r="AY172" s="34">
        <f>AP172-AO172</f>
        <v/>
      </c>
      <c r="AZ172" s="37">
        <f>(AW172-AX172-AY172)/MAX(1,ABS(AW172),ABS(AX172),ABS(AY172))</f>
        <v/>
      </c>
      <c r="BA172" s="37">
        <f>IF(OR(K172&gt;0,K173&gt;0),0,(AC173-(AC172+AF172-AQ172-AP172+AR172-AI172-AJ172-AM172))/MAX(1,ABS(AC172),ABS(AC173)))</f>
        <v/>
      </c>
      <c r="BB172" s="35">
        <f>(1+INDEX(DiscRateAnn,INT(A172/12)+1))^(1/12)-1</f>
        <v/>
      </c>
      <c r="BC172" s="31">
        <f>(1+BB172)^-A172</f>
        <v/>
      </c>
      <c r="BD172" s="34">
        <f>AW172*BC172</f>
        <v/>
      </c>
    </row>
    <row r="173">
      <c r="A173" s="27">
        <f>A172+1</f>
        <v/>
      </c>
      <c r="B173" s="28">
        <f>Duration0+A173</f>
        <v/>
      </c>
      <c r="C173" s="27">
        <f>INT(B173/12)</f>
        <v/>
      </c>
      <c r="D173" s="28">
        <f>AgeAtEntry+C173</f>
        <v/>
      </c>
      <c r="E173" s="29">
        <f>IF(PremiumType="SINGLE",IF(B173=0,PremiumPPInput,0),IF(B173&lt;12*PolicyTerm,PremiumPPInput,0))</f>
        <v/>
      </c>
      <c r="F173" s="30">
        <f>INDEX(MortRates,MATCH(MIN(D173,120),MortAges,0),MAX(MIN(C173,5),0)+1)</f>
        <v/>
      </c>
      <c r="G173" s="31">
        <f>1-(1-F173)^(1/12)</f>
        <v/>
      </c>
      <c r="H173" s="32">
        <f>MAX(LapseBase-LapseStep*C173,LapseFloor)</f>
        <v/>
      </c>
      <c r="I173" s="32">
        <f>IF(HasSurrCharge,INDEX(SurrRates,MIN(C173,SurrDurMax)+1,MATCH(SurrChargeID,SurrTypes,0)),0)</f>
        <v/>
      </c>
      <c r="J173" s="33">
        <f>N172-P172-O172</f>
        <v/>
      </c>
      <c r="K173" s="30">
        <f>IF(B173=12*PolicyTerm,J173,0)</f>
        <v/>
      </c>
      <c r="L173" s="33">
        <f>J173-K173</f>
        <v/>
      </c>
      <c r="M173" s="30">
        <f>IF(B173=0,PolicyCount,0)</f>
        <v/>
      </c>
      <c r="N173" s="33">
        <f>L173+M173</f>
        <v/>
      </c>
      <c r="O173" s="31">
        <f>N173*G173</f>
        <v/>
      </c>
      <c r="P173" s="33">
        <f>(N173-O173)*(1-(1-H173)^(1/12))</f>
        <v/>
      </c>
      <c r="Q173" s="34">
        <f>X172+Z172</f>
        <v/>
      </c>
      <c r="R173" s="29">
        <f>(1-LoadPremRate)*E173</f>
        <v/>
      </c>
      <c r="S173" s="34">
        <f>Q173+R173</f>
        <v/>
      </c>
      <c r="T173" s="29">
        <f>MaintFeeRateAnn/12*S173</f>
        <v/>
      </c>
      <c r="U173" s="29">
        <f>MAX(SumAssured-S173,0)</f>
        <v/>
      </c>
      <c r="V173" s="35">
        <f>CoiMultiple*G173</f>
        <v/>
      </c>
      <c r="W173" s="34">
        <f>V173*U173</f>
        <v/>
      </c>
      <c r="X173" s="34">
        <f>S173-T173-W173</f>
        <v/>
      </c>
      <c r="Y173" s="36">
        <f>EXP((Mu-0.5*Sigma^2)/12+Sigma*SQRT(1/12)*INDEX(NormRand,ScenID,A173+1))-1</f>
        <v/>
      </c>
      <c r="Z173" s="34">
        <f>Y173*X173</f>
        <v/>
      </c>
      <c r="AA173" s="34">
        <f>X173+0.5*Z173</f>
        <v/>
      </c>
      <c r="AB173" s="34">
        <f>Q173*J173</f>
        <v/>
      </c>
      <c r="AC173" s="34">
        <f>Q173*L173</f>
        <v/>
      </c>
      <c r="AD173" s="34">
        <f>S173*N173</f>
        <v/>
      </c>
      <c r="AE173" s="34">
        <f>E173*N173</f>
        <v/>
      </c>
      <c r="AF173" s="34">
        <f>R173*N173</f>
        <v/>
      </c>
      <c r="AG173" s="29">
        <f>MAX(SumAssured,AA173)</f>
        <v/>
      </c>
      <c r="AH173" s="34">
        <f>AG173*O173</f>
        <v/>
      </c>
      <c r="AI173" s="34">
        <f>AA173*O173</f>
        <v/>
      </c>
      <c r="AJ173" s="34">
        <f>AA173*P173</f>
        <v/>
      </c>
      <c r="AK173" s="34">
        <f>I173*AA173*P173</f>
        <v/>
      </c>
      <c r="AL173" s="34">
        <f>AJ173-AK173</f>
        <v/>
      </c>
      <c r="AM173" s="34">
        <f>Q173*K173</f>
        <v/>
      </c>
      <c r="AN173" s="34">
        <f>AH173+AL173+AM173</f>
        <v/>
      </c>
      <c r="AO173" s="34">
        <f>(AG173-AA173)*O173</f>
        <v/>
      </c>
      <c r="AP173" s="34">
        <f>W173*N173</f>
        <v/>
      </c>
      <c r="AQ173" s="34">
        <f>T173*N173</f>
        <v/>
      </c>
      <c r="AR173" s="34">
        <f>Z173*J174+0.5*Z173*(O173+P173)</f>
        <v/>
      </c>
      <c r="AS173" s="30">
        <f>(1+InflationRate)^(A173/12)</f>
        <v/>
      </c>
      <c r="AT173" s="29">
        <f>ExpenseAcq*M173+N173*ExpenseMaint/12*AS173</f>
        <v/>
      </c>
      <c r="AU173" s="29">
        <f>CommissionRate*AE173</f>
        <v/>
      </c>
      <c r="AV173" s="34">
        <f>AB174-AB173</f>
        <v/>
      </c>
      <c r="AW173" s="34">
        <f>AE173+AR173-AN173-AT173-AU173-AV173</f>
        <v/>
      </c>
      <c r="AX173" s="29">
        <f>LoadPremRate*E173*N173+AK173+AQ173-AU173-AT173</f>
        <v/>
      </c>
      <c r="AY173" s="34">
        <f>AP173-AO173</f>
        <v/>
      </c>
      <c r="AZ173" s="37">
        <f>(AW173-AX173-AY173)/MAX(1,ABS(AW173),ABS(AX173),ABS(AY173))</f>
        <v/>
      </c>
      <c r="BA173" s="37">
        <f>IF(OR(K173&gt;0,K174&gt;0),0,(AC174-(AC173+AF173-AQ173-AP173+AR173-AI173-AJ173-AM173))/MAX(1,ABS(AC173),ABS(AC174)))</f>
        <v/>
      </c>
      <c r="BB173" s="35">
        <f>(1+INDEX(DiscRateAnn,INT(A173/12)+1))^(1/12)-1</f>
        <v/>
      </c>
      <c r="BC173" s="31">
        <f>(1+BB173)^-A173</f>
        <v/>
      </c>
      <c r="BD173" s="34">
        <f>AW173*BC173</f>
        <v/>
      </c>
    </row>
    <row r="174">
      <c r="A174" s="27">
        <f>A173+1</f>
        <v/>
      </c>
      <c r="B174" s="28">
        <f>Duration0+A174</f>
        <v/>
      </c>
      <c r="C174" s="27">
        <f>INT(B174/12)</f>
        <v/>
      </c>
      <c r="D174" s="28">
        <f>AgeAtEntry+C174</f>
        <v/>
      </c>
      <c r="E174" s="29">
        <f>IF(PremiumType="SINGLE",IF(B174=0,PremiumPPInput,0),IF(B174&lt;12*PolicyTerm,PremiumPPInput,0))</f>
        <v/>
      </c>
      <c r="F174" s="30">
        <f>INDEX(MortRates,MATCH(MIN(D174,120),MortAges,0),MAX(MIN(C174,5),0)+1)</f>
        <v/>
      </c>
      <c r="G174" s="31">
        <f>1-(1-F174)^(1/12)</f>
        <v/>
      </c>
      <c r="H174" s="32">
        <f>MAX(LapseBase-LapseStep*C174,LapseFloor)</f>
        <v/>
      </c>
      <c r="I174" s="32">
        <f>IF(HasSurrCharge,INDEX(SurrRates,MIN(C174,SurrDurMax)+1,MATCH(SurrChargeID,SurrTypes,0)),0)</f>
        <v/>
      </c>
      <c r="J174" s="33">
        <f>N173-P173-O173</f>
        <v/>
      </c>
      <c r="K174" s="30">
        <f>IF(B174=12*PolicyTerm,J174,0)</f>
        <v/>
      </c>
      <c r="L174" s="33">
        <f>J174-K174</f>
        <v/>
      </c>
      <c r="M174" s="30">
        <f>IF(B174=0,PolicyCount,0)</f>
        <v/>
      </c>
      <c r="N174" s="33">
        <f>L174+M174</f>
        <v/>
      </c>
      <c r="O174" s="31">
        <f>N174*G174</f>
        <v/>
      </c>
      <c r="P174" s="33">
        <f>(N174-O174)*(1-(1-H174)^(1/12))</f>
        <v/>
      </c>
      <c r="Q174" s="34">
        <f>X173+Z173</f>
        <v/>
      </c>
      <c r="R174" s="29">
        <f>(1-LoadPremRate)*E174</f>
        <v/>
      </c>
      <c r="S174" s="34">
        <f>Q174+R174</f>
        <v/>
      </c>
      <c r="T174" s="29">
        <f>MaintFeeRateAnn/12*S174</f>
        <v/>
      </c>
      <c r="U174" s="29">
        <f>MAX(SumAssured-S174,0)</f>
        <v/>
      </c>
      <c r="V174" s="35">
        <f>CoiMultiple*G174</f>
        <v/>
      </c>
      <c r="W174" s="34">
        <f>V174*U174</f>
        <v/>
      </c>
      <c r="X174" s="34">
        <f>S174-T174-W174</f>
        <v/>
      </c>
      <c r="Y174" s="36">
        <f>EXP((Mu-0.5*Sigma^2)/12+Sigma*SQRT(1/12)*INDEX(NormRand,ScenID,A174+1))-1</f>
        <v/>
      </c>
      <c r="Z174" s="34">
        <f>Y174*X174</f>
        <v/>
      </c>
      <c r="AA174" s="34">
        <f>X174+0.5*Z174</f>
        <v/>
      </c>
      <c r="AB174" s="34">
        <f>Q174*J174</f>
        <v/>
      </c>
      <c r="AC174" s="34">
        <f>Q174*L174</f>
        <v/>
      </c>
      <c r="AD174" s="34">
        <f>S174*N174</f>
        <v/>
      </c>
      <c r="AE174" s="34">
        <f>E174*N174</f>
        <v/>
      </c>
      <c r="AF174" s="34">
        <f>R174*N174</f>
        <v/>
      </c>
      <c r="AG174" s="29">
        <f>MAX(SumAssured,AA174)</f>
        <v/>
      </c>
      <c r="AH174" s="34">
        <f>AG174*O174</f>
        <v/>
      </c>
      <c r="AI174" s="34">
        <f>AA174*O174</f>
        <v/>
      </c>
      <c r="AJ174" s="34">
        <f>AA174*P174</f>
        <v/>
      </c>
      <c r="AK174" s="34">
        <f>I174*AA174*P174</f>
        <v/>
      </c>
      <c r="AL174" s="34">
        <f>AJ174-AK174</f>
        <v/>
      </c>
      <c r="AM174" s="34">
        <f>Q174*K174</f>
        <v/>
      </c>
      <c r="AN174" s="34">
        <f>AH174+AL174+AM174</f>
        <v/>
      </c>
      <c r="AO174" s="34">
        <f>(AG174-AA174)*O174</f>
        <v/>
      </c>
      <c r="AP174" s="34">
        <f>W174*N174</f>
        <v/>
      </c>
      <c r="AQ174" s="34">
        <f>T174*N174</f>
        <v/>
      </c>
      <c r="AR174" s="34">
        <f>Z174*J175+0.5*Z174*(O174+P174)</f>
        <v/>
      </c>
      <c r="AS174" s="30">
        <f>(1+InflationRate)^(A174/12)</f>
        <v/>
      </c>
      <c r="AT174" s="29">
        <f>ExpenseAcq*M174+N174*ExpenseMaint/12*AS174</f>
        <v/>
      </c>
      <c r="AU174" s="29">
        <f>CommissionRate*AE174</f>
        <v/>
      </c>
      <c r="AV174" s="34">
        <f>AB175-AB174</f>
        <v/>
      </c>
      <c r="AW174" s="34">
        <f>AE174+AR174-AN174-AT174-AU174-AV174</f>
        <v/>
      </c>
      <c r="AX174" s="29">
        <f>LoadPremRate*E174*N174+AK174+AQ174-AU174-AT174</f>
        <v/>
      </c>
      <c r="AY174" s="34">
        <f>AP174-AO174</f>
        <v/>
      </c>
      <c r="AZ174" s="37">
        <f>(AW174-AX174-AY174)/MAX(1,ABS(AW174),ABS(AX174),ABS(AY174))</f>
        <v/>
      </c>
      <c r="BA174" s="37">
        <f>IF(OR(K174&gt;0,K175&gt;0),0,(AC175-(AC174+AF174-AQ174-AP174+AR174-AI174-AJ174-AM174))/MAX(1,ABS(AC174),ABS(AC175)))</f>
        <v/>
      </c>
      <c r="BB174" s="35">
        <f>(1+INDEX(DiscRateAnn,INT(A174/12)+1))^(1/12)-1</f>
        <v/>
      </c>
      <c r="BC174" s="31">
        <f>(1+BB174)^-A174</f>
        <v/>
      </c>
      <c r="BD174" s="34">
        <f>AW174*BC174</f>
        <v/>
      </c>
    </row>
    <row r="175">
      <c r="A175" s="27">
        <f>A174+1</f>
        <v/>
      </c>
      <c r="B175" s="28">
        <f>Duration0+A175</f>
        <v/>
      </c>
      <c r="C175" s="27">
        <f>INT(B175/12)</f>
        <v/>
      </c>
      <c r="D175" s="28">
        <f>AgeAtEntry+C175</f>
        <v/>
      </c>
      <c r="E175" s="29">
        <f>IF(PremiumType="SINGLE",IF(B175=0,PremiumPPInput,0),IF(B175&lt;12*PolicyTerm,PremiumPPInput,0))</f>
        <v/>
      </c>
      <c r="F175" s="30">
        <f>INDEX(MortRates,MATCH(MIN(D175,120),MortAges,0),MAX(MIN(C175,5),0)+1)</f>
        <v/>
      </c>
      <c r="G175" s="31">
        <f>1-(1-F175)^(1/12)</f>
        <v/>
      </c>
      <c r="H175" s="32">
        <f>MAX(LapseBase-LapseStep*C175,LapseFloor)</f>
        <v/>
      </c>
      <c r="I175" s="32">
        <f>IF(HasSurrCharge,INDEX(SurrRates,MIN(C175,SurrDurMax)+1,MATCH(SurrChargeID,SurrTypes,0)),0)</f>
        <v/>
      </c>
      <c r="J175" s="33">
        <f>N174-P174-O174</f>
        <v/>
      </c>
      <c r="K175" s="30">
        <f>IF(B175=12*PolicyTerm,J175,0)</f>
        <v/>
      </c>
      <c r="L175" s="33">
        <f>J175-K175</f>
        <v/>
      </c>
      <c r="M175" s="30">
        <f>IF(B175=0,PolicyCount,0)</f>
        <v/>
      </c>
      <c r="N175" s="33">
        <f>L175+M175</f>
        <v/>
      </c>
      <c r="O175" s="31">
        <f>N175*G175</f>
        <v/>
      </c>
      <c r="P175" s="33">
        <f>(N175-O175)*(1-(1-H175)^(1/12))</f>
        <v/>
      </c>
      <c r="Q175" s="34">
        <f>X174+Z174</f>
        <v/>
      </c>
      <c r="R175" s="29">
        <f>(1-LoadPremRate)*E175</f>
        <v/>
      </c>
      <c r="S175" s="34">
        <f>Q175+R175</f>
        <v/>
      </c>
      <c r="T175" s="29">
        <f>MaintFeeRateAnn/12*S175</f>
        <v/>
      </c>
      <c r="U175" s="29">
        <f>MAX(SumAssured-S175,0)</f>
        <v/>
      </c>
      <c r="V175" s="35">
        <f>CoiMultiple*G175</f>
        <v/>
      </c>
      <c r="W175" s="34">
        <f>V175*U175</f>
        <v/>
      </c>
      <c r="X175" s="34">
        <f>S175-T175-W175</f>
        <v/>
      </c>
      <c r="Y175" s="36">
        <f>EXP((Mu-0.5*Sigma^2)/12+Sigma*SQRT(1/12)*INDEX(NormRand,ScenID,A175+1))-1</f>
        <v/>
      </c>
      <c r="Z175" s="34">
        <f>Y175*X175</f>
        <v/>
      </c>
      <c r="AA175" s="34">
        <f>X175+0.5*Z175</f>
        <v/>
      </c>
      <c r="AB175" s="34">
        <f>Q175*J175</f>
        <v/>
      </c>
      <c r="AC175" s="34">
        <f>Q175*L175</f>
        <v/>
      </c>
      <c r="AD175" s="34">
        <f>S175*N175</f>
        <v/>
      </c>
      <c r="AE175" s="34">
        <f>E175*N175</f>
        <v/>
      </c>
      <c r="AF175" s="34">
        <f>R175*N175</f>
        <v/>
      </c>
      <c r="AG175" s="29">
        <f>MAX(SumAssured,AA175)</f>
        <v/>
      </c>
      <c r="AH175" s="34">
        <f>AG175*O175</f>
        <v/>
      </c>
      <c r="AI175" s="34">
        <f>AA175*O175</f>
        <v/>
      </c>
      <c r="AJ175" s="34">
        <f>AA175*P175</f>
        <v/>
      </c>
      <c r="AK175" s="34">
        <f>I175*AA175*P175</f>
        <v/>
      </c>
      <c r="AL175" s="34">
        <f>AJ175-AK175</f>
        <v/>
      </c>
      <c r="AM175" s="34">
        <f>Q175*K175</f>
        <v/>
      </c>
      <c r="AN175" s="34">
        <f>AH175+AL175+AM175</f>
        <v/>
      </c>
      <c r="AO175" s="34">
        <f>(AG175-AA175)*O175</f>
        <v/>
      </c>
      <c r="AP175" s="34">
        <f>W175*N175</f>
        <v/>
      </c>
      <c r="AQ175" s="34">
        <f>T175*N175</f>
        <v/>
      </c>
      <c r="AR175" s="34">
        <f>Z175*J176+0.5*Z175*(O175+P175)</f>
        <v/>
      </c>
      <c r="AS175" s="30">
        <f>(1+InflationRate)^(A175/12)</f>
        <v/>
      </c>
      <c r="AT175" s="29">
        <f>ExpenseAcq*M175+N175*ExpenseMaint/12*AS175</f>
        <v/>
      </c>
      <c r="AU175" s="29">
        <f>CommissionRate*AE175</f>
        <v/>
      </c>
      <c r="AV175" s="34">
        <f>AB176-AB175</f>
        <v/>
      </c>
      <c r="AW175" s="34">
        <f>AE175+AR175-AN175-AT175-AU175-AV175</f>
        <v/>
      </c>
      <c r="AX175" s="29">
        <f>LoadPremRate*E175*N175+AK175+AQ175-AU175-AT175</f>
        <v/>
      </c>
      <c r="AY175" s="34">
        <f>AP175-AO175</f>
        <v/>
      </c>
      <c r="AZ175" s="37">
        <f>(AW175-AX175-AY175)/MAX(1,ABS(AW175),ABS(AX175),ABS(AY175))</f>
        <v/>
      </c>
      <c r="BA175" s="37">
        <f>IF(OR(K175&gt;0,K176&gt;0),0,(AC176-(AC175+AF175-AQ175-AP175+AR175-AI175-AJ175-AM175))/MAX(1,ABS(AC175),ABS(AC176)))</f>
        <v/>
      </c>
      <c r="BB175" s="35">
        <f>(1+INDEX(DiscRateAnn,INT(A175/12)+1))^(1/12)-1</f>
        <v/>
      </c>
      <c r="BC175" s="31">
        <f>(1+BB175)^-A175</f>
        <v/>
      </c>
      <c r="BD175" s="34">
        <f>AW175*BC175</f>
        <v/>
      </c>
    </row>
    <row r="176">
      <c r="A176" s="27">
        <f>A175+1</f>
        <v/>
      </c>
      <c r="B176" s="28">
        <f>Duration0+A176</f>
        <v/>
      </c>
      <c r="C176" s="27">
        <f>INT(B176/12)</f>
        <v/>
      </c>
      <c r="D176" s="28">
        <f>AgeAtEntry+C176</f>
        <v/>
      </c>
      <c r="E176" s="29">
        <f>IF(PremiumType="SINGLE",IF(B176=0,PremiumPPInput,0),IF(B176&lt;12*PolicyTerm,PremiumPPInput,0))</f>
        <v/>
      </c>
      <c r="F176" s="30">
        <f>INDEX(MortRates,MATCH(MIN(D176,120),MortAges,0),MAX(MIN(C176,5),0)+1)</f>
        <v/>
      </c>
      <c r="G176" s="31">
        <f>1-(1-F176)^(1/12)</f>
        <v/>
      </c>
      <c r="H176" s="32">
        <f>MAX(LapseBase-LapseStep*C176,LapseFloor)</f>
        <v/>
      </c>
      <c r="I176" s="32">
        <f>IF(HasSurrCharge,INDEX(SurrRates,MIN(C176,SurrDurMax)+1,MATCH(SurrChargeID,SurrTypes,0)),0)</f>
        <v/>
      </c>
      <c r="J176" s="33">
        <f>N175-P175-O175</f>
        <v/>
      </c>
      <c r="K176" s="30">
        <f>IF(B176=12*PolicyTerm,J176,0)</f>
        <v/>
      </c>
      <c r="L176" s="33">
        <f>J176-K176</f>
        <v/>
      </c>
      <c r="M176" s="30">
        <f>IF(B176=0,PolicyCount,0)</f>
        <v/>
      </c>
      <c r="N176" s="33">
        <f>L176+M176</f>
        <v/>
      </c>
      <c r="O176" s="31">
        <f>N176*G176</f>
        <v/>
      </c>
      <c r="P176" s="33">
        <f>(N176-O176)*(1-(1-H176)^(1/12))</f>
        <v/>
      </c>
      <c r="Q176" s="34">
        <f>X175+Z175</f>
        <v/>
      </c>
      <c r="R176" s="29">
        <f>(1-LoadPremRate)*E176</f>
        <v/>
      </c>
      <c r="S176" s="34">
        <f>Q176+R176</f>
        <v/>
      </c>
      <c r="T176" s="29">
        <f>MaintFeeRateAnn/12*S176</f>
        <v/>
      </c>
      <c r="U176" s="29">
        <f>MAX(SumAssured-S176,0)</f>
        <v/>
      </c>
      <c r="V176" s="35">
        <f>CoiMultiple*G176</f>
        <v/>
      </c>
      <c r="W176" s="34">
        <f>V176*U176</f>
        <v/>
      </c>
      <c r="X176" s="34">
        <f>S176-T176-W176</f>
        <v/>
      </c>
      <c r="Y176" s="36">
        <f>EXP((Mu-0.5*Sigma^2)/12+Sigma*SQRT(1/12)*INDEX(NormRand,ScenID,A176+1))-1</f>
        <v/>
      </c>
      <c r="Z176" s="34">
        <f>Y176*X176</f>
        <v/>
      </c>
      <c r="AA176" s="34">
        <f>X176+0.5*Z176</f>
        <v/>
      </c>
      <c r="AB176" s="34">
        <f>Q176*J176</f>
        <v/>
      </c>
      <c r="AC176" s="34">
        <f>Q176*L176</f>
        <v/>
      </c>
      <c r="AD176" s="34">
        <f>S176*N176</f>
        <v/>
      </c>
      <c r="AE176" s="34">
        <f>E176*N176</f>
        <v/>
      </c>
      <c r="AF176" s="34">
        <f>R176*N176</f>
        <v/>
      </c>
      <c r="AG176" s="29">
        <f>MAX(SumAssured,AA176)</f>
        <v/>
      </c>
      <c r="AH176" s="34">
        <f>AG176*O176</f>
        <v/>
      </c>
      <c r="AI176" s="34">
        <f>AA176*O176</f>
        <v/>
      </c>
      <c r="AJ176" s="34">
        <f>AA176*P176</f>
        <v/>
      </c>
      <c r="AK176" s="34">
        <f>I176*AA176*P176</f>
        <v/>
      </c>
      <c r="AL176" s="34">
        <f>AJ176-AK176</f>
        <v/>
      </c>
      <c r="AM176" s="34">
        <f>Q176*K176</f>
        <v/>
      </c>
      <c r="AN176" s="34">
        <f>AH176+AL176+AM176</f>
        <v/>
      </c>
      <c r="AO176" s="34">
        <f>(AG176-AA176)*O176</f>
        <v/>
      </c>
      <c r="AP176" s="34">
        <f>W176*N176</f>
        <v/>
      </c>
      <c r="AQ176" s="34">
        <f>T176*N176</f>
        <v/>
      </c>
      <c r="AR176" s="34">
        <f>Z176*J177+0.5*Z176*(O176+P176)</f>
        <v/>
      </c>
      <c r="AS176" s="30">
        <f>(1+InflationRate)^(A176/12)</f>
        <v/>
      </c>
      <c r="AT176" s="29">
        <f>ExpenseAcq*M176+N176*ExpenseMaint/12*AS176</f>
        <v/>
      </c>
      <c r="AU176" s="29">
        <f>CommissionRate*AE176</f>
        <v/>
      </c>
      <c r="AV176" s="34">
        <f>AB177-AB176</f>
        <v/>
      </c>
      <c r="AW176" s="34">
        <f>AE176+AR176-AN176-AT176-AU176-AV176</f>
        <v/>
      </c>
      <c r="AX176" s="29">
        <f>LoadPremRate*E176*N176+AK176+AQ176-AU176-AT176</f>
        <v/>
      </c>
      <c r="AY176" s="34">
        <f>AP176-AO176</f>
        <v/>
      </c>
      <c r="AZ176" s="37">
        <f>(AW176-AX176-AY176)/MAX(1,ABS(AW176),ABS(AX176),ABS(AY176))</f>
        <v/>
      </c>
      <c r="BA176" s="37">
        <f>IF(OR(K176&gt;0,K177&gt;0),0,(AC177-(AC176+AF176-AQ176-AP176+AR176-AI176-AJ176-AM176))/MAX(1,ABS(AC176),ABS(AC177)))</f>
        <v/>
      </c>
      <c r="BB176" s="35">
        <f>(1+INDEX(DiscRateAnn,INT(A176/12)+1))^(1/12)-1</f>
        <v/>
      </c>
      <c r="BC176" s="31">
        <f>(1+BB176)^-A176</f>
        <v/>
      </c>
      <c r="BD176" s="34">
        <f>AW176*BC176</f>
        <v/>
      </c>
    </row>
    <row r="177">
      <c r="A177" s="27">
        <f>A176+1</f>
        <v/>
      </c>
      <c r="B177" s="28">
        <f>Duration0+A177</f>
        <v/>
      </c>
      <c r="C177" s="27">
        <f>INT(B177/12)</f>
        <v/>
      </c>
      <c r="D177" s="28">
        <f>AgeAtEntry+C177</f>
        <v/>
      </c>
      <c r="E177" s="29">
        <f>IF(PremiumType="SINGLE",IF(B177=0,PremiumPPInput,0),IF(B177&lt;12*PolicyTerm,PremiumPPInput,0))</f>
        <v/>
      </c>
      <c r="F177" s="30">
        <f>INDEX(MortRates,MATCH(MIN(D177,120),MortAges,0),MAX(MIN(C177,5),0)+1)</f>
        <v/>
      </c>
      <c r="G177" s="31">
        <f>1-(1-F177)^(1/12)</f>
        <v/>
      </c>
      <c r="H177" s="32">
        <f>MAX(LapseBase-LapseStep*C177,LapseFloor)</f>
        <v/>
      </c>
      <c r="I177" s="32">
        <f>IF(HasSurrCharge,INDEX(SurrRates,MIN(C177,SurrDurMax)+1,MATCH(SurrChargeID,SurrTypes,0)),0)</f>
        <v/>
      </c>
      <c r="J177" s="33">
        <f>N176-P176-O176</f>
        <v/>
      </c>
      <c r="K177" s="30">
        <f>IF(B177=12*PolicyTerm,J177,0)</f>
        <v/>
      </c>
      <c r="L177" s="33">
        <f>J177-K177</f>
        <v/>
      </c>
      <c r="M177" s="30">
        <f>IF(B177=0,PolicyCount,0)</f>
        <v/>
      </c>
      <c r="N177" s="33">
        <f>L177+M177</f>
        <v/>
      </c>
      <c r="O177" s="31">
        <f>N177*G177</f>
        <v/>
      </c>
      <c r="P177" s="33">
        <f>(N177-O177)*(1-(1-H177)^(1/12))</f>
        <v/>
      </c>
      <c r="Q177" s="34">
        <f>X176+Z176</f>
        <v/>
      </c>
      <c r="R177" s="29">
        <f>(1-LoadPremRate)*E177</f>
        <v/>
      </c>
      <c r="S177" s="34">
        <f>Q177+R177</f>
        <v/>
      </c>
      <c r="T177" s="29">
        <f>MaintFeeRateAnn/12*S177</f>
        <v/>
      </c>
      <c r="U177" s="29">
        <f>MAX(SumAssured-S177,0)</f>
        <v/>
      </c>
      <c r="V177" s="35">
        <f>CoiMultiple*G177</f>
        <v/>
      </c>
      <c r="W177" s="34">
        <f>V177*U177</f>
        <v/>
      </c>
      <c r="X177" s="34">
        <f>S177-T177-W177</f>
        <v/>
      </c>
      <c r="Y177" s="36">
        <f>EXP((Mu-0.5*Sigma^2)/12+Sigma*SQRT(1/12)*INDEX(NormRand,ScenID,A177+1))-1</f>
        <v/>
      </c>
      <c r="Z177" s="34">
        <f>Y177*X177</f>
        <v/>
      </c>
      <c r="AA177" s="34">
        <f>X177+0.5*Z177</f>
        <v/>
      </c>
      <c r="AB177" s="34">
        <f>Q177*J177</f>
        <v/>
      </c>
      <c r="AC177" s="34">
        <f>Q177*L177</f>
        <v/>
      </c>
      <c r="AD177" s="34">
        <f>S177*N177</f>
        <v/>
      </c>
      <c r="AE177" s="34">
        <f>E177*N177</f>
        <v/>
      </c>
      <c r="AF177" s="34">
        <f>R177*N177</f>
        <v/>
      </c>
      <c r="AG177" s="29">
        <f>MAX(SumAssured,AA177)</f>
        <v/>
      </c>
      <c r="AH177" s="34">
        <f>AG177*O177</f>
        <v/>
      </c>
      <c r="AI177" s="34">
        <f>AA177*O177</f>
        <v/>
      </c>
      <c r="AJ177" s="34">
        <f>AA177*P177</f>
        <v/>
      </c>
      <c r="AK177" s="34">
        <f>I177*AA177*P177</f>
        <v/>
      </c>
      <c r="AL177" s="34">
        <f>AJ177-AK177</f>
        <v/>
      </c>
      <c r="AM177" s="34">
        <f>Q177*K177</f>
        <v/>
      </c>
      <c r="AN177" s="34">
        <f>AH177+AL177+AM177</f>
        <v/>
      </c>
      <c r="AO177" s="34">
        <f>(AG177-AA177)*O177</f>
        <v/>
      </c>
      <c r="AP177" s="34">
        <f>W177*N177</f>
        <v/>
      </c>
      <c r="AQ177" s="34">
        <f>T177*N177</f>
        <v/>
      </c>
      <c r="AR177" s="34">
        <f>Z177*J178+0.5*Z177*(O177+P177)</f>
        <v/>
      </c>
      <c r="AS177" s="30">
        <f>(1+InflationRate)^(A177/12)</f>
        <v/>
      </c>
      <c r="AT177" s="29">
        <f>ExpenseAcq*M177+N177*ExpenseMaint/12*AS177</f>
        <v/>
      </c>
      <c r="AU177" s="29">
        <f>CommissionRate*AE177</f>
        <v/>
      </c>
      <c r="AV177" s="34">
        <f>AB178-AB177</f>
        <v/>
      </c>
      <c r="AW177" s="34">
        <f>AE177+AR177-AN177-AT177-AU177-AV177</f>
        <v/>
      </c>
      <c r="AX177" s="29">
        <f>LoadPremRate*E177*N177+AK177+AQ177-AU177-AT177</f>
        <v/>
      </c>
      <c r="AY177" s="34">
        <f>AP177-AO177</f>
        <v/>
      </c>
      <c r="AZ177" s="37">
        <f>(AW177-AX177-AY177)/MAX(1,ABS(AW177),ABS(AX177),ABS(AY177))</f>
        <v/>
      </c>
      <c r="BA177" s="37">
        <f>IF(OR(K177&gt;0,K178&gt;0),0,(AC178-(AC177+AF177-AQ177-AP177+AR177-AI177-AJ177-AM177))/MAX(1,ABS(AC177),ABS(AC178)))</f>
        <v/>
      </c>
      <c r="BB177" s="35">
        <f>(1+INDEX(DiscRateAnn,INT(A177/12)+1))^(1/12)-1</f>
        <v/>
      </c>
      <c r="BC177" s="31">
        <f>(1+BB177)^-A177</f>
        <v/>
      </c>
      <c r="BD177" s="34">
        <f>AW177*BC177</f>
        <v/>
      </c>
    </row>
    <row r="178">
      <c r="A178" s="27">
        <f>A177+1</f>
        <v/>
      </c>
      <c r="B178" s="28">
        <f>Duration0+A178</f>
        <v/>
      </c>
      <c r="C178" s="27">
        <f>INT(B178/12)</f>
        <v/>
      </c>
      <c r="D178" s="28">
        <f>AgeAtEntry+C178</f>
        <v/>
      </c>
      <c r="E178" s="29">
        <f>IF(PremiumType="SINGLE",IF(B178=0,PremiumPPInput,0),IF(B178&lt;12*PolicyTerm,PremiumPPInput,0))</f>
        <v/>
      </c>
      <c r="F178" s="30">
        <f>INDEX(MortRates,MATCH(MIN(D178,120),MortAges,0),MAX(MIN(C178,5),0)+1)</f>
        <v/>
      </c>
      <c r="G178" s="31">
        <f>1-(1-F178)^(1/12)</f>
        <v/>
      </c>
      <c r="H178" s="32">
        <f>MAX(LapseBase-LapseStep*C178,LapseFloor)</f>
        <v/>
      </c>
      <c r="I178" s="32">
        <f>IF(HasSurrCharge,INDEX(SurrRates,MIN(C178,SurrDurMax)+1,MATCH(SurrChargeID,SurrTypes,0)),0)</f>
        <v/>
      </c>
      <c r="J178" s="33">
        <f>N177-P177-O177</f>
        <v/>
      </c>
      <c r="K178" s="30">
        <f>IF(B178=12*PolicyTerm,J178,0)</f>
        <v/>
      </c>
      <c r="L178" s="33">
        <f>J178-K178</f>
        <v/>
      </c>
      <c r="M178" s="30">
        <f>IF(B178=0,PolicyCount,0)</f>
        <v/>
      </c>
      <c r="N178" s="33">
        <f>L178+M178</f>
        <v/>
      </c>
      <c r="O178" s="31">
        <f>N178*G178</f>
        <v/>
      </c>
      <c r="P178" s="33">
        <f>(N178-O178)*(1-(1-H178)^(1/12))</f>
        <v/>
      </c>
      <c r="Q178" s="34">
        <f>X177+Z177</f>
        <v/>
      </c>
      <c r="R178" s="29">
        <f>(1-LoadPremRate)*E178</f>
        <v/>
      </c>
      <c r="S178" s="34">
        <f>Q178+R178</f>
        <v/>
      </c>
      <c r="T178" s="29">
        <f>MaintFeeRateAnn/12*S178</f>
        <v/>
      </c>
      <c r="U178" s="29">
        <f>MAX(SumAssured-S178,0)</f>
        <v/>
      </c>
      <c r="V178" s="35">
        <f>CoiMultiple*G178</f>
        <v/>
      </c>
      <c r="W178" s="34">
        <f>V178*U178</f>
        <v/>
      </c>
      <c r="X178" s="34">
        <f>S178-T178-W178</f>
        <v/>
      </c>
      <c r="Y178" s="36">
        <f>EXP((Mu-0.5*Sigma^2)/12+Sigma*SQRT(1/12)*INDEX(NormRand,ScenID,A178+1))-1</f>
        <v/>
      </c>
      <c r="Z178" s="34">
        <f>Y178*X178</f>
        <v/>
      </c>
      <c r="AA178" s="34">
        <f>X178+0.5*Z178</f>
        <v/>
      </c>
      <c r="AB178" s="34">
        <f>Q178*J178</f>
        <v/>
      </c>
      <c r="AC178" s="34">
        <f>Q178*L178</f>
        <v/>
      </c>
      <c r="AD178" s="34">
        <f>S178*N178</f>
        <v/>
      </c>
      <c r="AE178" s="34">
        <f>E178*N178</f>
        <v/>
      </c>
      <c r="AF178" s="34">
        <f>R178*N178</f>
        <v/>
      </c>
      <c r="AG178" s="29">
        <f>MAX(SumAssured,AA178)</f>
        <v/>
      </c>
      <c r="AH178" s="34">
        <f>AG178*O178</f>
        <v/>
      </c>
      <c r="AI178" s="34">
        <f>AA178*O178</f>
        <v/>
      </c>
      <c r="AJ178" s="34">
        <f>AA178*P178</f>
        <v/>
      </c>
      <c r="AK178" s="34">
        <f>I178*AA178*P178</f>
        <v/>
      </c>
      <c r="AL178" s="34">
        <f>AJ178-AK178</f>
        <v/>
      </c>
      <c r="AM178" s="34">
        <f>Q178*K178</f>
        <v/>
      </c>
      <c r="AN178" s="34">
        <f>AH178+AL178+AM178</f>
        <v/>
      </c>
      <c r="AO178" s="34">
        <f>(AG178-AA178)*O178</f>
        <v/>
      </c>
      <c r="AP178" s="34">
        <f>W178*N178</f>
        <v/>
      </c>
      <c r="AQ178" s="34">
        <f>T178*N178</f>
        <v/>
      </c>
      <c r="AR178" s="34">
        <f>Z178*J179+0.5*Z178*(O178+P178)</f>
        <v/>
      </c>
      <c r="AS178" s="30">
        <f>(1+InflationRate)^(A178/12)</f>
        <v/>
      </c>
      <c r="AT178" s="29">
        <f>ExpenseAcq*M178+N178*ExpenseMaint/12*AS178</f>
        <v/>
      </c>
      <c r="AU178" s="29">
        <f>CommissionRate*AE178</f>
        <v/>
      </c>
      <c r="AV178" s="34">
        <f>AB179-AB178</f>
        <v/>
      </c>
      <c r="AW178" s="34">
        <f>AE178+AR178-AN178-AT178-AU178-AV178</f>
        <v/>
      </c>
      <c r="AX178" s="29">
        <f>LoadPremRate*E178*N178+AK178+AQ178-AU178-AT178</f>
        <v/>
      </c>
      <c r="AY178" s="34">
        <f>AP178-AO178</f>
        <v/>
      </c>
      <c r="AZ178" s="37">
        <f>(AW178-AX178-AY178)/MAX(1,ABS(AW178),ABS(AX178),ABS(AY178))</f>
        <v/>
      </c>
      <c r="BA178" s="37">
        <f>IF(OR(K178&gt;0,K179&gt;0),0,(AC179-(AC178+AF178-AQ178-AP178+AR178-AI178-AJ178-AM178))/MAX(1,ABS(AC178),ABS(AC179)))</f>
        <v/>
      </c>
      <c r="BB178" s="35">
        <f>(1+INDEX(DiscRateAnn,INT(A178/12)+1))^(1/12)-1</f>
        <v/>
      </c>
      <c r="BC178" s="31">
        <f>(1+BB178)^-A178</f>
        <v/>
      </c>
      <c r="BD178" s="34">
        <f>AW178*BC178</f>
        <v/>
      </c>
    </row>
    <row r="179">
      <c r="A179" s="27">
        <f>A178+1</f>
        <v/>
      </c>
      <c r="B179" s="28">
        <f>Duration0+A179</f>
        <v/>
      </c>
      <c r="C179" s="27">
        <f>INT(B179/12)</f>
        <v/>
      </c>
      <c r="D179" s="28">
        <f>AgeAtEntry+C179</f>
        <v/>
      </c>
      <c r="E179" s="29">
        <f>IF(PremiumType="SINGLE",IF(B179=0,PremiumPPInput,0),IF(B179&lt;12*PolicyTerm,PremiumPPInput,0))</f>
        <v/>
      </c>
      <c r="F179" s="30">
        <f>INDEX(MortRates,MATCH(MIN(D179,120),MortAges,0),MAX(MIN(C179,5),0)+1)</f>
        <v/>
      </c>
      <c r="G179" s="31">
        <f>1-(1-F179)^(1/12)</f>
        <v/>
      </c>
      <c r="H179" s="32">
        <f>MAX(LapseBase-LapseStep*C179,LapseFloor)</f>
        <v/>
      </c>
      <c r="I179" s="32">
        <f>IF(HasSurrCharge,INDEX(SurrRates,MIN(C179,SurrDurMax)+1,MATCH(SurrChargeID,SurrTypes,0)),0)</f>
        <v/>
      </c>
      <c r="J179" s="33">
        <f>N178-P178-O178</f>
        <v/>
      </c>
      <c r="K179" s="30">
        <f>IF(B179=12*PolicyTerm,J179,0)</f>
        <v/>
      </c>
      <c r="L179" s="33">
        <f>J179-K179</f>
        <v/>
      </c>
      <c r="M179" s="30">
        <f>IF(B179=0,PolicyCount,0)</f>
        <v/>
      </c>
      <c r="N179" s="33">
        <f>L179+M179</f>
        <v/>
      </c>
      <c r="O179" s="31">
        <f>N179*G179</f>
        <v/>
      </c>
      <c r="P179" s="33">
        <f>(N179-O179)*(1-(1-H179)^(1/12))</f>
        <v/>
      </c>
      <c r="Q179" s="34">
        <f>X178+Z178</f>
        <v/>
      </c>
      <c r="R179" s="29">
        <f>(1-LoadPremRate)*E179</f>
        <v/>
      </c>
      <c r="S179" s="34">
        <f>Q179+R179</f>
        <v/>
      </c>
      <c r="T179" s="29">
        <f>MaintFeeRateAnn/12*S179</f>
        <v/>
      </c>
      <c r="U179" s="29">
        <f>MAX(SumAssured-S179,0)</f>
        <v/>
      </c>
      <c r="V179" s="35">
        <f>CoiMultiple*G179</f>
        <v/>
      </c>
      <c r="W179" s="34">
        <f>V179*U179</f>
        <v/>
      </c>
      <c r="X179" s="34">
        <f>S179-T179-W179</f>
        <v/>
      </c>
      <c r="Y179" s="36">
        <f>EXP((Mu-0.5*Sigma^2)/12+Sigma*SQRT(1/12)*INDEX(NormRand,ScenID,A179+1))-1</f>
        <v/>
      </c>
      <c r="Z179" s="34">
        <f>Y179*X179</f>
        <v/>
      </c>
      <c r="AA179" s="34">
        <f>X179+0.5*Z179</f>
        <v/>
      </c>
      <c r="AB179" s="34">
        <f>Q179*J179</f>
        <v/>
      </c>
      <c r="AC179" s="34">
        <f>Q179*L179</f>
        <v/>
      </c>
      <c r="AD179" s="34">
        <f>S179*N179</f>
        <v/>
      </c>
      <c r="AE179" s="34">
        <f>E179*N179</f>
        <v/>
      </c>
      <c r="AF179" s="34">
        <f>R179*N179</f>
        <v/>
      </c>
      <c r="AG179" s="29">
        <f>MAX(SumAssured,AA179)</f>
        <v/>
      </c>
      <c r="AH179" s="34">
        <f>AG179*O179</f>
        <v/>
      </c>
      <c r="AI179" s="34">
        <f>AA179*O179</f>
        <v/>
      </c>
      <c r="AJ179" s="34">
        <f>AA179*P179</f>
        <v/>
      </c>
      <c r="AK179" s="34">
        <f>I179*AA179*P179</f>
        <v/>
      </c>
      <c r="AL179" s="34">
        <f>AJ179-AK179</f>
        <v/>
      </c>
      <c r="AM179" s="34">
        <f>Q179*K179</f>
        <v/>
      </c>
      <c r="AN179" s="34">
        <f>AH179+AL179+AM179</f>
        <v/>
      </c>
      <c r="AO179" s="34">
        <f>(AG179-AA179)*O179</f>
        <v/>
      </c>
      <c r="AP179" s="34">
        <f>W179*N179</f>
        <v/>
      </c>
      <c r="AQ179" s="34">
        <f>T179*N179</f>
        <v/>
      </c>
      <c r="AR179" s="34">
        <f>Z179*J180+0.5*Z179*(O179+P179)</f>
        <v/>
      </c>
      <c r="AS179" s="30">
        <f>(1+InflationRate)^(A179/12)</f>
        <v/>
      </c>
      <c r="AT179" s="29">
        <f>ExpenseAcq*M179+N179*ExpenseMaint/12*AS179</f>
        <v/>
      </c>
      <c r="AU179" s="29">
        <f>CommissionRate*AE179</f>
        <v/>
      </c>
      <c r="AV179" s="34">
        <f>AB180-AB179</f>
        <v/>
      </c>
      <c r="AW179" s="34">
        <f>AE179+AR179-AN179-AT179-AU179-AV179</f>
        <v/>
      </c>
      <c r="AX179" s="29">
        <f>LoadPremRate*E179*N179+AK179+AQ179-AU179-AT179</f>
        <v/>
      </c>
      <c r="AY179" s="34">
        <f>AP179-AO179</f>
        <v/>
      </c>
      <c r="AZ179" s="37">
        <f>(AW179-AX179-AY179)/MAX(1,ABS(AW179),ABS(AX179),ABS(AY179))</f>
        <v/>
      </c>
      <c r="BA179" s="37">
        <f>IF(OR(K179&gt;0,K180&gt;0),0,(AC180-(AC179+AF179-AQ179-AP179+AR179-AI179-AJ179-AM179))/MAX(1,ABS(AC179),ABS(AC180)))</f>
        <v/>
      </c>
      <c r="BB179" s="35">
        <f>(1+INDEX(DiscRateAnn,INT(A179/12)+1))^(1/12)-1</f>
        <v/>
      </c>
      <c r="BC179" s="31">
        <f>(1+BB179)^-A179</f>
        <v/>
      </c>
      <c r="BD179" s="34">
        <f>AW179*BC179</f>
        <v/>
      </c>
    </row>
    <row r="180">
      <c r="A180" s="27">
        <f>A179+1</f>
        <v/>
      </c>
      <c r="B180" s="28">
        <f>Duration0+A180</f>
        <v/>
      </c>
      <c r="C180" s="27">
        <f>INT(B180/12)</f>
        <v/>
      </c>
      <c r="D180" s="28">
        <f>AgeAtEntry+C180</f>
        <v/>
      </c>
      <c r="E180" s="29">
        <f>IF(PremiumType="SINGLE",IF(B180=0,PremiumPPInput,0),IF(B180&lt;12*PolicyTerm,PremiumPPInput,0))</f>
        <v/>
      </c>
      <c r="F180" s="30">
        <f>INDEX(MortRates,MATCH(MIN(D180,120),MortAges,0),MAX(MIN(C180,5),0)+1)</f>
        <v/>
      </c>
      <c r="G180" s="31">
        <f>1-(1-F180)^(1/12)</f>
        <v/>
      </c>
      <c r="H180" s="32">
        <f>MAX(LapseBase-LapseStep*C180,LapseFloor)</f>
        <v/>
      </c>
      <c r="I180" s="32">
        <f>IF(HasSurrCharge,INDEX(SurrRates,MIN(C180,SurrDurMax)+1,MATCH(SurrChargeID,SurrTypes,0)),0)</f>
        <v/>
      </c>
      <c r="J180" s="33">
        <f>N179-P179-O179</f>
        <v/>
      </c>
      <c r="K180" s="30">
        <f>IF(B180=12*PolicyTerm,J180,0)</f>
        <v/>
      </c>
      <c r="L180" s="33">
        <f>J180-K180</f>
        <v/>
      </c>
      <c r="M180" s="30">
        <f>IF(B180=0,PolicyCount,0)</f>
        <v/>
      </c>
      <c r="N180" s="33">
        <f>L180+M180</f>
        <v/>
      </c>
      <c r="O180" s="31">
        <f>N180*G180</f>
        <v/>
      </c>
      <c r="P180" s="33">
        <f>(N180-O180)*(1-(1-H180)^(1/12))</f>
        <v/>
      </c>
      <c r="Q180" s="34">
        <f>X179+Z179</f>
        <v/>
      </c>
      <c r="R180" s="29">
        <f>(1-LoadPremRate)*E180</f>
        <v/>
      </c>
      <c r="S180" s="34">
        <f>Q180+R180</f>
        <v/>
      </c>
      <c r="T180" s="29">
        <f>MaintFeeRateAnn/12*S180</f>
        <v/>
      </c>
      <c r="U180" s="29">
        <f>MAX(SumAssured-S180,0)</f>
        <v/>
      </c>
      <c r="V180" s="35">
        <f>CoiMultiple*G180</f>
        <v/>
      </c>
      <c r="W180" s="34">
        <f>V180*U180</f>
        <v/>
      </c>
      <c r="X180" s="34">
        <f>S180-T180-W180</f>
        <v/>
      </c>
      <c r="Y180" s="36">
        <f>EXP((Mu-0.5*Sigma^2)/12+Sigma*SQRT(1/12)*INDEX(NormRand,ScenID,A180+1))-1</f>
        <v/>
      </c>
      <c r="Z180" s="34">
        <f>Y180*X180</f>
        <v/>
      </c>
      <c r="AA180" s="34">
        <f>X180+0.5*Z180</f>
        <v/>
      </c>
      <c r="AB180" s="34">
        <f>Q180*J180</f>
        <v/>
      </c>
      <c r="AC180" s="34">
        <f>Q180*L180</f>
        <v/>
      </c>
      <c r="AD180" s="34">
        <f>S180*N180</f>
        <v/>
      </c>
      <c r="AE180" s="34">
        <f>E180*N180</f>
        <v/>
      </c>
      <c r="AF180" s="34">
        <f>R180*N180</f>
        <v/>
      </c>
      <c r="AG180" s="29">
        <f>MAX(SumAssured,AA180)</f>
        <v/>
      </c>
      <c r="AH180" s="34">
        <f>AG180*O180</f>
        <v/>
      </c>
      <c r="AI180" s="34">
        <f>AA180*O180</f>
        <v/>
      </c>
      <c r="AJ180" s="34">
        <f>AA180*P180</f>
        <v/>
      </c>
      <c r="AK180" s="34">
        <f>I180*AA180*P180</f>
        <v/>
      </c>
      <c r="AL180" s="34">
        <f>AJ180-AK180</f>
        <v/>
      </c>
      <c r="AM180" s="34">
        <f>Q180*K180</f>
        <v/>
      </c>
      <c r="AN180" s="34">
        <f>AH180+AL180+AM180</f>
        <v/>
      </c>
      <c r="AO180" s="34">
        <f>(AG180-AA180)*O180</f>
        <v/>
      </c>
      <c r="AP180" s="34">
        <f>W180*N180</f>
        <v/>
      </c>
      <c r="AQ180" s="34">
        <f>T180*N180</f>
        <v/>
      </c>
      <c r="AR180" s="34">
        <f>Z180*J181+0.5*Z180*(O180+P180)</f>
        <v/>
      </c>
      <c r="AS180" s="30">
        <f>(1+InflationRate)^(A180/12)</f>
        <v/>
      </c>
      <c r="AT180" s="29">
        <f>ExpenseAcq*M180+N180*ExpenseMaint/12*AS180</f>
        <v/>
      </c>
      <c r="AU180" s="29">
        <f>CommissionRate*AE180</f>
        <v/>
      </c>
      <c r="AV180" s="34">
        <f>AB181-AB180</f>
        <v/>
      </c>
      <c r="AW180" s="34">
        <f>AE180+AR180-AN180-AT180-AU180-AV180</f>
        <v/>
      </c>
      <c r="AX180" s="29">
        <f>LoadPremRate*E180*N180+AK180+AQ180-AU180-AT180</f>
        <v/>
      </c>
      <c r="AY180" s="34">
        <f>AP180-AO180</f>
        <v/>
      </c>
      <c r="AZ180" s="37">
        <f>(AW180-AX180-AY180)/MAX(1,ABS(AW180),ABS(AX180),ABS(AY180))</f>
        <v/>
      </c>
      <c r="BA180" s="37">
        <f>IF(OR(K180&gt;0,K181&gt;0),0,(AC181-(AC180+AF180-AQ180-AP180+AR180-AI180-AJ180-AM180))/MAX(1,ABS(AC180),ABS(AC181)))</f>
        <v/>
      </c>
      <c r="BB180" s="35">
        <f>(1+INDEX(DiscRateAnn,INT(A180/12)+1))^(1/12)-1</f>
        <v/>
      </c>
      <c r="BC180" s="31">
        <f>(1+BB180)^-A180</f>
        <v/>
      </c>
      <c r="BD180" s="34">
        <f>AW180*BC180</f>
        <v/>
      </c>
    </row>
    <row r="181">
      <c r="A181" s="27">
        <f>A180+1</f>
        <v/>
      </c>
      <c r="B181" s="28">
        <f>Duration0+A181</f>
        <v/>
      </c>
      <c r="C181" s="27">
        <f>INT(B181/12)</f>
        <v/>
      </c>
      <c r="D181" s="28">
        <f>AgeAtEntry+C181</f>
        <v/>
      </c>
      <c r="E181" s="29">
        <f>IF(PremiumType="SINGLE",IF(B181=0,PremiumPPInput,0),IF(B181&lt;12*PolicyTerm,PremiumPPInput,0))</f>
        <v/>
      </c>
      <c r="F181" s="30">
        <f>INDEX(MortRates,MATCH(MIN(D181,120),MortAges,0),MAX(MIN(C181,5),0)+1)</f>
        <v/>
      </c>
      <c r="G181" s="31">
        <f>1-(1-F181)^(1/12)</f>
        <v/>
      </c>
      <c r="H181" s="32">
        <f>MAX(LapseBase-LapseStep*C181,LapseFloor)</f>
        <v/>
      </c>
      <c r="I181" s="32">
        <f>IF(HasSurrCharge,INDEX(SurrRates,MIN(C181,SurrDurMax)+1,MATCH(SurrChargeID,SurrTypes,0)),0)</f>
        <v/>
      </c>
      <c r="J181" s="33">
        <f>N180-P180-O180</f>
        <v/>
      </c>
      <c r="K181" s="30">
        <f>IF(B181=12*PolicyTerm,J181,0)</f>
        <v/>
      </c>
      <c r="L181" s="33">
        <f>J181-K181</f>
        <v/>
      </c>
      <c r="M181" s="30">
        <f>IF(B181=0,PolicyCount,0)</f>
        <v/>
      </c>
      <c r="N181" s="33">
        <f>L181+M181</f>
        <v/>
      </c>
      <c r="O181" s="31">
        <f>N181*G181</f>
        <v/>
      </c>
      <c r="P181" s="33">
        <f>(N181-O181)*(1-(1-H181)^(1/12))</f>
        <v/>
      </c>
      <c r="Q181" s="34">
        <f>X180+Z180</f>
        <v/>
      </c>
      <c r="R181" s="29">
        <f>(1-LoadPremRate)*E181</f>
        <v/>
      </c>
      <c r="S181" s="34">
        <f>Q181+R181</f>
        <v/>
      </c>
      <c r="T181" s="29">
        <f>MaintFeeRateAnn/12*S181</f>
        <v/>
      </c>
      <c r="U181" s="29">
        <f>MAX(SumAssured-S181,0)</f>
        <v/>
      </c>
      <c r="V181" s="35">
        <f>CoiMultiple*G181</f>
        <v/>
      </c>
      <c r="W181" s="34">
        <f>V181*U181</f>
        <v/>
      </c>
      <c r="X181" s="34">
        <f>S181-T181-W181</f>
        <v/>
      </c>
      <c r="Y181" s="36">
        <f>EXP((Mu-0.5*Sigma^2)/12+Sigma*SQRT(1/12)*INDEX(NormRand,ScenID,A181+1))-1</f>
        <v/>
      </c>
      <c r="Z181" s="34">
        <f>Y181*X181</f>
        <v/>
      </c>
      <c r="AA181" s="34">
        <f>X181+0.5*Z181</f>
        <v/>
      </c>
      <c r="AB181" s="34">
        <f>Q181*J181</f>
        <v/>
      </c>
      <c r="AC181" s="34">
        <f>Q181*L181</f>
        <v/>
      </c>
      <c r="AD181" s="34">
        <f>S181*N181</f>
        <v/>
      </c>
      <c r="AE181" s="34">
        <f>E181*N181</f>
        <v/>
      </c>
      <c r="AF181" s="34">
        <f>R181*N181</f>
        <v/>
      </c>
      <c r="AG181" s="29">
        <f>MAX(SumAssured,AA181)</f>
        <v/>
      </c>
      <c r="AH181" s="34">
        <f>AG181*O181</f>
        <v/>
      </c>
      <c r="AI181" s="34">
        <f>AA181*O181</f>
        <v/>
      </c>
      <c r="AJ181" s="34">
        <f>AA181*P181</f>
        <v/>
      </c>
      <c r="AK181" s="34">
        <f>I181*AA181*P181</f>
        <v/>
      </c>
      <c r="AL181" s="34">
        <f>AJ181-AK181</f>
        <v/>
      </c>
      <c r="AM181" s="34">
        <f>Q181*K181</f>
        <v/>
      </c>
      <c r="AN181" s="34">
        <f>AH181+AL181+AM181</f>
        <v/>
      </c>
      <c r="AO181" s="34">
        <f>(AG181-AA181)*O181</f>
        <v/>
      </c>
      <c r="AP181" s="34">
        <f>W181*N181</f>
        <v/>
      </c>
      <c r="AQ181" s="34">
        <f>T181*N181</f>
        <v/>
      </c>
      <c r="AR181" s="34">
        <f>Z181*J182+0.5*Z181*(O181+P181)</f>
        <v/>
      </c>
      <c r="AS181" s="30">
        <f>(1+InflationRate)^(A181/12)</f>
        <v/>
      </c>
      <c r="AT181" s="29">
        <f>ExpenseAcq*M181+N181*ExpenseMaint/12*AS181</f>
        <v/>
      </c>
      <c r="AU181" s="29">
        <f>CommissionRate*AE181</f>
        <v/>
      </c>
      <c r="AV181" s="34">
        <f>AB182-AB181</f>
        <v/>
      </c>
      <c r="AW181" s="34">
        <f>AE181+AR181-AN181-AT181-AU181-AV181</f>
        <v/>
      </c>
      <c r="AX181" s="29">
        <f>LoadPremRate*E181*N181+AK181+AQ181-AU181-AT181</f>
        <v/>
      </c>
      <c r="AY181" s="34">
        <f>AP181-AO181</f>
        <v/>
      </c>
      <c r="AZ181" s="37">
        <f>(AW181-AX181-AY181)/MAX(1,ABS(AW181),ABS(AX181),ABS(AY181))</f>
        <v/>
      </c>
      <c r="BA181" s="37">
        <f>IF(OR(K181&gt;0,K182&gt;0),0,(AC182-(AC181+AF181-AQ181-AP181+AR181-AI181-AJ181-AM181))/MAX(1,ABS(AC181),ABS(AC182)))</f>
        <v/>
      </c>
      <c r="BB181" s="35">
        <f>(1+INDEX(DiscRateAnn,INT(A181/12)+1))^(1/12)-1</f>
        <v/>
      </c>
      <c r="BC181" s="31">
        <f>(1+BB181)^-A181</f>
        <v/>
      </c>
      <c r="BD181" s="34">
        <f>AW181*BC181</f>
        <v/>
      </c>
    </row>
    <row r="182">
      <c r="A182" s="27">
        <f>A181+1</f>
        <v/>
      </c>
      <c r="B182" s="28">
        <f>Duration0+A182</f>
        <v/>
      </c>
      <c r="C182" s="27">
        <f>INT(B182/12)</f>
        <v/>
      </c>
      <c r="D182" s="28">
        <f>AgeAtEntry+C182</f>
        <v/>
      </c>
      <c r="E182" s="29">
        <f>IF(PremiumType="SINGLE",IF(B182=0,PremiumPPInput,0),IF(B182&lt;12*PolicyTerm,PremiumPPInput,0))</f>
        <v/>
      </c>
      <c r="F182" s="30">
        <f>INDEX(MortRates,MATCH(MIN(D182,120),MortAges,0),MAX(MIN(C182,5),0)+1)</f>
        <v/>
      </c>
      <c r="G182" s="31">
        <f>1-(1-F182)^(1/12)</f>
        <v/>
      </c>
      <c r="H182" s="32">
        <f>MAX(LapseBase-LapseStep*C182,LapseFloor)</f>
        <v/>
      </c>
      <c r="I182" s="32">
        <f>IF(HasSurrCharge,INDEX(SurrRates,MIN(C182,SurrDurMax)+1,MATCH(SurrChargeID,SurrTypes,0)),0)</f>
        <v/>
      </c>
      <c r="J182" s="33">
        <f>N181-P181-O181</f>
        <v/>
      </c>
      <c r="K182" s="30">
        <f>IF(B182=12*PolicyTerm,J182,0)</f>
        <v/>
      </c>
      <c r="L182" s="33">
        <f>J182-K182</f>
        <v/>
      </c>
      <c r="M182" s="30">
        <f>IF(B182=0,PolicyCount,0)</f>
        <v/>
      </c>
      <c r="N182" s="33">
        <f>L182+M182</f>
        <v/>
      </c>
      <c r="O182" s="31">
        <f>N182*G182</f>
        <v/>
      </c>
      <c r="P182" s="33">
        <f>(N182-O182)*(1-(1-H182)^(1/12))</f>
        <v/>
      </c>
      <c r="Q182" s="34">
        <f>X181+Z181</f>
        <v/>
      </c>
      <c r="R182" s="29">
        <f>(1-LoadPremRate)*E182</f>
        <v/>
      </c>
      <c r="S182" s="34">
        <f>Q182+R182</f>
        <v/>
      </c>
      <c r="T182" s="29">
        <f>MaintFeeRateAnn/12*S182</f>
        <v/>
      </c>
      <c r="U182" s="29">
        <f>MAX(SumAssured-S182,0)</f>
        <v/>
      </c>
      <c r="V182" s="35">
        <f>CoiMultiple*G182</f>
        <v/>
      </c>
      <c r="W182" s="34">
        <f>V182*U182</f>
        <v/>
      </c>
      <c r="X182" s="34">
        <f>S182-T182-W182</f>
        <v/>
      </c>
      <c r="Y182" s="36">
        <f>EXP((Mu-0.5*Sigma^2)/12+Sigma*SQRT(1/12)*INDEX(NormRand,ScenID,A182+1))-1</f>
        <v/>
      </c>
      <c r="Z182" s="34">
        <f>Y182*X182</f>
        <v/>
      </c>
      <c r="AA182" s="34">
        <f>X182+0.5*Z182</f>
        <v/>
      </c>
      <c r="AB182" s="34">
        <f>Q182*J182</f>
        <v/>
      </c>
      <c r="AC182" s="34">
        <f>Q182*L182</f>
        <v/>
      </c>
      <c r="AD182" s="34">
        <f>S182*N182</f>
        <v/>
      </c>
      <c r="AE182" s="34">
        <f>E182*N182</f>
        <v/>
      </c>
      <c r="AF182" s="34">
        <f>R182*N182</f>
        <v/>
      </c>
      <c r="AG182" s="29">
        <f>MAX(SumAssured,AA182)</f>
        <v/>
      </c>
      <c r="AH182" s="34">
        <f>AG182*O182</f>
        <v/>
      </c>
      <c r="AI182" s="34">
        <f>AA182*O182</f>
        <v/>
      </c>
      <c r="AJ182" s="34">
        <f>AA182*P182</f>
        <v/>
      </c>
      <c r="AK182" s="34">
        <f>I182*AA182*P182</f>
        <v/>
      </c>
      <c r="AL182" s="34">
        <f>AJ182-AK182</f>
        <v/>
      </c>
      <c r="AM182" s="34">
        <f>Q182*K182</f>
        <v/>
      </c>
      <c r="AN182" s="34">
        <f>AH182+AL182+AM182</f>
        <v/>
      </c>
      <c r="AO182" s="34">
        <f>(AG182-AA182)*O182</f>
        <v/>
      </c>
      <c r="AP182" s="34">
        <f>W182*N182</f>
        <v/>
      </c>
      <c r="AQ182" s="34">
        <f>T182*N182</f>
        <v/>
      </c>
      <c r="AR182" s="34">
        <f>Z182*J183+0.5*Z182*(O182+P182)</f>
        <v/>
      </c>
      <c r="AS182" s="30">
        <f>(1+InflationRate)^(A182/12)</f>
        <v/>
      </c>
      <c r="AT182" s="29">
        <f>ExpenseAcq*M182+N182*ExpenseMaint/12*AS182</f>
        <v/>
      </c>
      <c r="AU182" s="29">
        <f>CommissionRate*AE182</f>
        <v/>
      </c>
      <c r="AV182" s="34">
        <f>AB183-AB182</f>
        <v/>
      </c>
      <c r="AW182" s="34">
        <f>AE182+AR182-AN182-AT182-AU182-AV182</f>
        <v/>
      </c>
      <c r="AX182" s="29">
        <f>LoadPremRate*E182*N182+AK182+AQ182-AU182-AT182</f>
        <v/>
      </c>
      <c r="AY182" s="34">
        <f>AP182-AO182</f>
        <v/>
      </c>
      <c r="AZ182" s="37">
        <f>(AW182-AX182-AY182)/MAX(1,ABS(AW182),ABS(AX182),ABS(AY182))</f>
        <v/>
      </c>
      <c r="BA182" s="37">
        <f>IF(OR(K182&gt;0,K183&gt;0),0,(AC183-(AC182+AF182-AQ182-AP182+AR182-AI182-AJ182-AM182))/MAX(1,ABS(AC182),ABS(AC183)))</f>
        <v/>
      </c>
      <c r="BB182" s="35">
        <f>(1+INDEX(DiscRateAnn,INT(A182/12)+1))^(1/12)-1</f>
        <v/>
      </c>
      <c r="BC182" s="31">
        <f>(1+BB182)^-A182</f>
        <v/>
      </c>
      <c r="BD182" s="34">
        <f>AW182*BC182</f>
        <v/>
      </c>
    </row>
    <row r="183">
      <c r="A183" s="27">
        <f>A182+1</f>
        <v/>
      </c>
      <c r="B183" s="28">
        <f>Duration0+A183</f>
        <v/>
      </c>
      <c r="C183" s="27">
        <f>INT(B183/12)</f>
        <v/>
      </c>
      <c r="D183" s="28">
        <f>AgeAtEntry+C183</f>
        <v/>
      </c>
      <c r="E183" s="29">
        <f>IF(PremiumType="SINGLE",IF(B183=0,PremiumPPInput,0),IF(B183&lt;12*PolicyTerm,PremiumPPInput,0))</f>
        <v/>
      </c>
      <c r="F183" s="30">
        <f>INDEX(MortRates,MATCH(MIN(D183,120),MortAges,0),MAX(MIN(C183,5),0)+1)</f>
        <v/>
      </c>
      <c r="G183" s="31">
        <f>1-(1-F183)^(1/12)</f>
        <v/>
      </c>
      <c r="H183" s="32">
        <f>MAX(LapseBase-LapseStep*C183,LapseFloor)</f>
        <v/>
      </c>
      <c r="I183" s="32">
        <f>IF(HasSurrCharge,INDEX(SurrRates,MIN(C183,SurrDurMax)+1,MATCH(SurrChargeID,SurrTypes,0)),0)</f>
        <v/>
      </c>
      <c r="J183" s="33">
        <f>N182-P182-O182</f>
        <v/>
      </c>
      <c r="K183" s="30">
        <f>IF(B183=12*PolicyTerm,J183,0)</f>
        <v/>
      </c>
      <c r="L183" s="33">
        <f>J183-K183</f>
        <v/>
      </c>
      <c r="M183" s="30">
        <f>IF(B183=0,PolicyCount,0)</f>
        <v/>
      </c>
      <c r="N183" s="33">
        <f>L183+M183</f>
        <v/>
      </c>
      <c r="O183" s="31">
        <f>N183*G183</f>
        <v/>
      </c>
      <c r="P183" s="33">
        <f>(N183-O183)*(1-(1-H183)^(1/12))</f>
        <v/>
      </c>
      <c r="Q183" s="34">
        <f>X182+Z182</f>
        <v/>
      </c>
      <c r="R183" s="29">
        <f>(1-LoadPremRate)*E183</f>
        <v/>
      </c>
      <c r="S183" s="34">
        <f>Q183+R183</f>
        <v/>
      </c>
      <c r="T183" s="29">
        <f>MaintFeeRateAnn/12*S183</f>
        <v/>
      </c>
      <c r="U183" s="29">
        <f>MAX(SumAssured-S183,0)</f>
        <v/>
      </c>
      <c r="V183" s="35">
        <f>CoiMultiple*G183</f>
        <v/>
      </c>
      <c r="W183" s="34">
        <f>V183*U183</f>
        <v/>
      </c>
      <c r="X183" s="34">
        <f>S183-T183-W183</f>
        <v/>
      </c>
      <c r="Y183" s="36">
        <f>EXP((Mu-0.5*Sigma^2)/12+Sigma*SQRT(1/12)*INDEX(NormRand,ScenID,A183+1))-1</f>
        <v/>
      </c>
      <c r="Z183" s="34">
        <f>Y183*X183</f>
        <v/>
      </c>
      <c r="AA183" s="34">
        <f>X183+0.5*Z183</f>
        <v/>
      </c>
      <c r="AB183" s="34">
        <f>Q183*J183</f>
        <v/>
      </c>
      <c r="AC183" s="34">
        <f>Q183*L183</f>
        <v/>
      </c>
      <c r="AD183" s="34">
        <f>S183*N183</f>
        <v/>
      </c>
      <c r="AE183" s="34">
        <f>E183*N183</f>
        <v/>
      </c>
      <c r="AF183" s="34">
        <f>R183*N183</f>
        <v/>
      </c>
      <c r="AG183" s="29">
        <f>MAX(SumAssured,AA183)</f>
        <v/>
      </c>
      <c r="AH183" s="34">
        <f>AG183*O183</f>
        <v/>
      </c>
      <c r="AI183" s="34">
        <f>AA183*O183</f>
        <v/>
      </c>
      <c r="AJ183" s="34">
        <f>AA183*P183</f>
        <v/>
      </c>
      <c r="AK183" s="34">
        <f>I183*AA183*P183</f>
        <v/>
      </c>
      <c r="AL183" s="34">
        <f>AJ183-AK183</f>
        <v/>
      </c>
      <c r="AM183" s="34">
        <f>Q183*K183</f>
        <v/>
      </c>
      <c r="AN183" s="34">
        <f>AH183+AL183+AM183</f>
        <v/>
      </c>
      <c r="AO183" s="34">
        <f>(AG183-AA183)*O183</f>
        <v/>
      </c>
      <c r="AP183" s="34">
        <f>W183*N183</f>
        <v/>
      </c>
      <c r="AQ183" s="34">
        <f>T183*N183</f>
        <v/>
      </c>
      <c r="AR183" s="34">
        <f>Z183*J184+0.5*Z183*(O183+P183)</f>
        <v/>
      </c>
      <c r="AS183" s="30">
        <f>(1+InflationRate)^(A183/12)</f>
        <v/>
      </c>
      <c r="AT183" s="29">
        <f>ExpenseAcq*M183+N183*ExpenseMaint/12*AS183</f>
        <v/>
      </c>
      <c r="AU183" s="29">
        <f>CommissionRate*AE183</f>
        <v/>
      </c>
      <c r="AV183" s="34">
        <f>AB184-AB183</f>
        <v/>
      </c>
      <c r="AW183" s="34">
        <f>AE183+AR183-AN183-AT183-AU183-AV183</f>
        <v/>
      </c>
      <c r="AX183" s="29">
        <f>LoadPremRate*E183*N183+AK183+AQ183-AU183-AT183</f>
        <v/>
      </c>
      <c r="AY183" s="34">
        <f>AP183-AO183</f>
        <v/>
      </c>
      <c r="AZ183" s="37">
        <f>(AW183-AX183-AY183)/MAX(1,ABS(AW183),ABS(AX183),ABS(AY183))</f>
        <v/>
      </c>
      <c r="BA183" s="37">
        <f>IF(OR(K183&gt;0,K184&gt;0),0,(AC184-(AC183+AF183-AQ183-AP183+AR183-AI183-AJ183-AM183))/MAX(1,ABS(AC183),ABS(AC184)))</f>
        <v/>
      </c>
      <c r="BB183" s="35">
        <f>(1+INDEX(DiscRateAnn,INT(A183/12)+1))^(1/12)-1</f>
        <v/>
      </c>
      <c r="BC183" s="31">
        <f>(1+BB183)^-A183</f>
        <v/>
      </c>
      <c r="BD183" s="34">
        <f>AW183*BC183</f>
        <v/>
      </c>
    </row>
    <row r="184">
      <c r="A184" s="27">
        <f>A183+1</f>
        <v/>
      </c>
      <c r="B184" s="28">
        <f>Duration0+A184</f>
        <v/>
      </c>
      <c r="C184" s="27">
        <f>INT(B184/12)</f>
        <v/>
      </c>
      <c r="D184" s="28">
        <f>AgeAtEntry+C184</f>
        <v/>
      </c>
      <c r="E184" s="29">
        <f>IF(PremiumType="SINGLE",IF(B184=0,PremiumPPInput,0),IF(B184&lt;12*PolicyTerm,PremiumPPInput,0))</f>
        <v/>
      </c>
      <c r="F184" s="30">
        <f>INDEX(MortRates,MATCH(MIN(D184,120),MortAges,0),MAX(MIN(C184,5),0)+1)</f>
        <v/>
      </c>
      <c r="G184" s="31">
        <f>1-(1-F184)^(1/12)</f>
        <v/>
      </c>
      <c r="H184" s="32">
        <f>MAX(LapseBase-LapseStep*C184,LapseFloor)</f>
        <v/>
      </c>
      <c r="I184" s="32">
        <f>IF(HasSurrCharge,INDEX(SurrRates,MIN(C184,SurrDurMax)+1,MATCH(SurrChargeID,SurrTypes,0)),0)</f>
        <v/>
      </c>
      <c r="J184" s="33">
        <f>N183-P183-O183</f>
        <v/>
      </c>
      <c r="K184" s="30">
        <f>IF(B184=12*PolicyTerm,J184,0)</f>
        <v/>
      </c>
      <c r="L184" s="33">
        <f>J184-K184</f>
        <v/>
      </c>
      <c r="M184" s="30">
        <f>IF(B184=0,PolicyCount,0)</f>
        <v/>
      </c>
      <c r="N184" s="33">
        <f>L184+M184</f>
        <v/>
      </c>
      <c r="O184" s="31">
        <f>N184*G184</f>
        <v/>
      </c>
      <c r="P184" s="33">
        <f>(N184-O184)*(1-(1-H184)^(1/12))</f>
        <v/>
      </c>
      <c r="Q184" s="34">
        <f>X183+Z183</f>
        <v/>
      </c>
      <c r="R184" s="29">
        <f>(1-LoadPremRate)*E184</f>
        <v/>
      </c>
      <c r="S184" s="34">
        <f>Q184+R184</f>
        <v/>
      </c>
      <c r="T184" s="29">
        <f>MaintFeeRateAnn/12*S184</f>
        <v/>
      </c>
      <c r="U184" s="29">
        <f>MAX(SumAssured-S184,0)</f>
        <v/>
      </c>
      <c r="V184" s="35">
        <f>CoiMultiple*G184</f>
        <v/>
      </c>
      <c r="W184" s="34">
        <f>V184*U184</f>
        <v/>
      </c>
      <c r="X184" s="34">
        <f>S184-T184-W184</f>
        <v/>
      </c>
      <c r="Y184" s="36">
        <f>EXP((Mu-0.5*Sigma^2)/12+Sigma*SQRT(1/12)*INDEX(NormRand,ScenID,A184+1))-1</f>
        <v/>
      </c>
      <c r="Z184" s="34">
        <f>Y184*X184</f>
        <v/>
      </c>
      <c r="AA184" s="34">
        <f>X184+0.5*Z184</f>
        <v/>
      </c>
      <c r="AB184" s="34">
        <f>Q184*J184</f>
        <v/>
      </c>
      <c r="AC184" s="34">
        <f>Q184*L184</f>
        <v/>
      </c>
      <c r="AD184" s="34">
        <f>S184*N184</f>
        <v/>
      </c>
      <c r="AE184" s="34">
        <f>E184*N184</f>
        <v/>
      </c>
      <c r="AF184" s="34">
        <f>R184*N184</f>
        <v/>
      </c>
      <c r="AG184" s="29">
        <f>MAX(SumAssured,AA184)</f>
        <v/>
      </c>
      <c r="AH184" s="34">
        <f>AG184*O184</f>
        <v/>
      </c>
      <c r="AI184" s="34">
        <f>AA184*O184</f>
        <v/>
      </c>
      <c r="AJ184" s="34">
        <f>AA184*P184</f>
        <v/>
      </c>
      <c r="AK184" s="34">
        <f>I184*AA184*P184</f>
        <v/>
      </c>
      <c r="AL184" s="34">
        <f>AJ184-AK184</f>
        <v/>
      </c>
      <c r="AM184" s="34">
        <f>Q184*K184</f>
        <v/>
      </c>
      <c r="AN184" s="34">
        <f>AH184+AL184+AM184</f>
        <v/>
      </c>
      <c r="AO184" s="34">
        <f>(AG184-AA184)*O184</f>
        <v/>
      </c>
      <c r="AP184" s="34">
        <f>W184*N184</f>
        <v/>
      </c>
      <c r="AQ184" s="34">
        <f>T184*N184</f>
        <v/>
      </c>
      <c r="AR184" s="34">
        <f>Z184*J185+0.5*Z184*(O184+P184)</f>
        <v/>
      </c>
      <c r="AS184" s="30">
        <f>(1+InflationRate)^(A184/12)</f>
        <v/>
      </c>
      <c r="AT184" s="29">
        <f>ExpenseAcq*M184+N184*ExpenseMaint/12*AS184</f>
        <v/>
      </c>
      <c r="AU184" s="29">
        <f>CommissionRate*AE184</f>
        <v/>
      </c>
      <c r="AV184" s="34">
        <f>AB185-AB184</f>
        <v/>
      </c>
      <c r="AW184" s="34">
        <f>AE184+AR184-AN184-AT184-AU184-AV184</f>
        <v/>
      </c>
      <c r="AX184" s="29">
        <f>LoadPremRate*E184*N184+AK184+AQ184-AU184-AT184</f>
        <v/>
      </c>
      <c r="AY184" s="34">
        <f>AP184-AO184</f>
        <v/>
      </c>
      <c r="AZ184" s="37">
        <f>(AW184-AX184-AY184)/MAX(1,ABS(AW184),ABS(AX184),ABS(AY184))</f>
        <v/>
      </c>
      <c r="BA184" s="37">
        <f>IF(OR(K184&gt;0,K185&gt;0),0,(AC185-(AC184+AF184-AQ184-AP184+AR184-AI184-AJ184-AM184))/MAX(1,ABS(AC184),ABS(AC185)))</f>
        <v/>
      </c>
      <c r="BB184" s="35">
        <f>(1+INDEX(DiscRateAnn,INT(A184/12)+1))^(1/12)-1</f>
        <v/>
      </c>
      <c r="BC184" s="31">
        <f>(1+BB184)^-A184</f>
        <v/>
      </c>
      <c r="BD184" s="34">
        <f>AW184*BC184</f>
        <v/>
      </c>
    </row>
    <row r="185">
      <c r="A185" s="27">
        <f>A184+1</f>
        <v/>
      </c>
      <c r="B185" s="28">
        <f>Duration0+A185</f>
        <v/>
      </c>
      <c r="C185" s="27">
        <f>INT(B185/12)</f>
        <v/>
      </c>
      <c r="D185" s="28">
        <f>AgeAtEntry+C185</f>
        <v/>
      </c>
      <c r="E185" s="29">
        <f>IF(PremiumType="SINGLE",IF(B185=0,PremiumPPInput,0),IF(B185&lt;12*PolicyTerm,PremiumPPInput,0))</f>
        <v/>
      </c>
      <c r="F185" s="30">
        <f>INDEX(MortRates,MATCH(MIN(D185,120),MortAges,0),MAX(MIN(C185,5),0)+1)</f>
        <v/>
      </c>
      <c r="G185" s="31">
        <f>1-(1-F185)^(1/12)</f>
        <v/>
      </c>
      <c r="H185" s="32">
        <f>MAX(LapseBase-LapseStep*C185,LapseFloor)</f>
        <v/>
      </c>
      <c r="I185" s="32">
        <f>IF(HasSurrCharge,INDEX(SurrRates,MIN(C185,SurrDurMax)+1,MATCH(SurrChargeID,SurrTypes,0)),0)</f>
        <v/>
      </c>
      <c r="J185" s="33">
        <f>N184-P184-O184</f>
        <v/>
      </c>
      <c r="K185" s="30">
        <f>IF(B185=12*PolicyTerm,J185,0)</f>
        <v/>
      </c>
      <c r="L185" s="33">
        <f>J185-K185</f>
        <v/>
      </c>
      <c r="M185" s="30">
        <f>IF(B185=0,PolicyCount,0)</f>
        <v/>
      </c>
      <c r="N185" s="33">
        <f>L185+M185</f>
        <v/>
      </c>
      <c r="O185" s="31">
        <f>N185*G185</f>
        <v/>
      </c>
      <c r="P185" s="33">
        <f>(N185-O185)*(1-(1-H185)^(1/12))</f>
        <v/>
      </c>
      <c r="Q185" s="34">
        <f>X184+Z184</f>
        <v/>
      </c>
      <c r="R185" s="29">
        <f>(1-LoadPremRate)*E185</f>
        <v/>
      </c>
      <c r="S185" s="34">
        <f>Q185+R185</f>
        <v/>
      </c>
      <c r="T185" s="29">
        <f>MaintFeeRateAnn/12*S185</f>
        <v/>
      </c>
      <c r="U185" s="29">
        <f>MAX(SumAssured-S185,0)</f>
        <v/>
      </c>
      <c r="V185" s="35">
        <f>CoiMultiple*G185</f>
        <v/>
      </c>
      <c r="W185" s="34">
        <f>V185*U185</f>
        <v/>
      </c>
      <c r="X185" s="34">
        <f>S185-T185-W185</f>
        <v/>
      </c>
      <c r="Y185" s="36">
        <f>EXP((Mu-0.5*Sigma^2)/12+Sigma*SQRT(1/12)*INDEX(NormRand,ScenID,A185+1))-1</f>
        <v/>
      </c>
      <c r="Z185" s="34">
        <f>Y185*X185</f>
        <v/>
      </c>
      <c r="AA185" s="34">
        <f>X185+0.5*Z185</f>
        <v/>
      </c>
      <c r="AB185" s="34">
        <f>Q185*J185</f>
        <v/>
      </c>
      <c r="AC185" s="34">
        <f>Q185*L185</f>
        <v/>
      </c>
      <c r="AD185" s="34">
        <f>S185*N185</f>
        <v/>
      </c>
      <c r="AE185" s="34">
        <f>E185*N185</f>
        <v/>
      </c>
      <c r="AF185" s="34">
        <f>R185*N185</f>
        <v/>
      </c>
      <c r="AG185" s="29">
        <f>MAX(SumAssured,AA185)</f>
        <v/>
      </c>
      <c r="AH185" s="34">
        <f>AG185*O185</f>
        <v/>
      </c>
      <c r="AI185" s="34">
        <f>AA185*O185</f>
        <v/>
      </c>
      <c r="AJ185" s="34">
        <f>AA185*P185</f>
        <v/>
      </c>
      <c r="AK185" s="34">
        <f>I185*AA185*P185</f>
        <v/>
      </c>
      <c r="AL185" s="34">
        <f>AJ185-AK185</f>
        <v/>
      </c>
      <c r="AM185" s="34">
        <f>Q185*K185</f>
        <v/>
      </c>
      <c r="AN185" s="34">
        <f>AH185+AL185+AM185</f>
        <v/>
      </c>
      <c r="AO185" s="34">
        <f>(AG185-AA185)*O185</f>
        <v/>
      </c>
      <c r="AP185" s="34">
        <f>W185*N185</f>
        <v/>
      </c>
      <c r="AQ185" s="34">
        <f>T185*N185</f>
        <v/>
      </c>
      <c r="AR185" s="34">
        <f>Z185*J186+0.5*Z185*(O185+P185)</f>
        <v/>
      </c>
      <c r="AS185" s="30">
        <f>(1+InflationRate)^(A185/12)</f>
        <v/>
      </c>
      <c r="AT185" s="29">
        <f>ExpenseAcq*M185+N185*ExpenseMaint/12*AS185</f>
        <v/>
      </c>
      <c r="AU185" s="29">
        <f>CommissionRate*AE185</f>
        <v/>
      </c>
      <c r="AV185" s="34">
        <f>AB186-AB185</f>
        <v/>
      </c>
      <c r="AW185" s="34">
        <f>AE185+AR185-AN185-AT185-AU185-AV185</f>
        <v/>
      </c>
      <c r="AX185" s="29">
        <f>LoadPremRate*E185*N185+AK185+AQ185-AU185-AT185</f>
        <v/>
      </c>
      <c r="AY185" s="34">
        <f>AP185-AO185</f>
        <v/>
      </c>
      <c r="AZ185" s="37">
        <f>(AW185-AX185-AY185)/MAX(1,ABS(AW185),ABS(AX185),ABS(AY185))</f>
        <v/>
      </c>
      <c r="BA185" s="37">
        <f>IF(OR(K185&gt;0,K186&gt;0),0,(AC186-(AC185+AF185-AQ185-AP185+AR185-AI185-AJ185-AM185))/MAX(1,ABS(AC185),ABS(AC186)))</f>
        <v/>
      </c>
      <c r="BB185" s="35">
        <f>(1+INDEX(DiscRateAnn,INT(A185/12)+1))^(1/12)-1</f>
        <v/>
      </c>
      <c r="BC185" s="31">
        <f>(1+BB185)^-A185</f>
        <v/>
      </c>
      <c r="BD185" s="34">
        <f>AW185*BC185</f>
        <v/>
      </c>
    </row>
    <row r="186">
      <c r="A186" s="27">
        <f>A185+1</f>
        <v/>
      </c>
      <c r="B186" s="28">
        <f>Duration0+A186</f>
        <v/>
      </c>
      <c r="C186" s="27">
        <f>INT(B186/12)</f>
        <v/>
      </c>
      <c r="D186" s="28">
        <f>AgeAtEntry+C186</f>
        <v/>
      </c>
      <c r="E186" s="29">
        <f>IF(PremiumType="SINGLE",IF(B186=0,PremiumPPInput,0),IF(B186&lt;12*PolicyTerm,PremiumPPInput,0))</f>
        <v/>
      </c>
      <c r="F186" s="30">
        <f>INDEX(MortRates,MATCH(MIN(D186,120),MortAges,0),MAX(MIN(C186,5),0)+1)</f>
        <v/>
      </c>
      <c r="G186" s="31">
        <f>1-(1-F186)^(1/12)</f>
        <v/>
      </c>
      <c r="H186" s="32">
        <f>MAX(LapseBase-LapseStep*C186,LapseFloor)</f>
        <v/>
      </c>
      <c r="I186" s="32">
        <f>IF(HasSurrCharge,INDEX(SurrRates,MIN(C186,SurrDurMax)+1,MATCH(SurrChargeID,SurrTypes,0)),0)</f>
        <v/>
      </c>
      <c r="J186" s="33">
        <f>N185-P185-O185</f>
        <v/>
      </c>
      <c r="K186" s="30">
        <f>IF(B186=12*PolicyTerm,J186,0)</f>
        <v/>
      </c>
      <c r="L186" s="33">
        <f>J186-K186</f>
        <v/>
      </c>
      <c r="M186" s="30">
        <f>IF(B186=0,PolicyCount,0)</f>
        <v/>
      </c>
      <c r="N186" s="33">
        <f>L186+M186</f>
        <v/>
      </c>
      <c r="O186" s="31">
        <f>N186*G186</f>
        <v/>
      </c>
      <c r="P186" s="33">
        <f>(N186-O186)*(1-(1-H186)^(1/12))</f>
        <v/>
      </c>
      <c r="Q186" s="34">
        <f>X185+Z185</f>
        <v/>
      </c>
      <c r="R186" s="29">
        <f>(1-LoadPremRate)*E186</f>
        <v/>
      </c>
      <c r="S186" s="34">
        <f>Q186+R186</f>
        <v/>
      </c>
      <c r="T186" s="29">
        <f>MaintFeeRateAnn/12*S186</f>
        <v/>
      </c>
      <c r="U186" s="29">
        <f>MAX(SumAssured-S186,0)</f>
        <v/>
      </c>
      <c r="V186" s="35">
        <f>CoiMultiple*G186</f>
        <v/>
      </c>
      <c r="W186" s="34">
        <f>V186*U186</f>
        <v/>
      </c>
      <c r="X186" s="34">
        <f>S186-T186-W186</f>
        <v/>
      </c>
      <c r="Y186" s="36">
        <f>EXP((Mu-0.5*Sigma^2)/12+Sigma*SQRT(1/12)*INDEX(NormRand,ScenID,A186+1))-1</f>
        <v/>
      </c>
      <c r="Z186" s="34">
        <f>Y186*X186</f>
        <v/>
      </c>
      <c r="AA186" s="34">
        <f>X186+0.5*Z186</f>
        <v/>
      </c>
      <c r="AB186" s="34">
        <f>Q186*J186</f>
        <v/>
      </c>
      <c r="AC186" s="34">
        <f>Q186*L186</f>
        <v/>
      </c>
      <c r="AD186" s="34">
        <f>S186*N186</f>
        <v/>
      </c>
      <c r="AE186" s="34">
        <f>E186*N186</f>
        <v/>
      </c>
      <c r="AF186" s="34">
        <f>R186*N186</f>
        <v/>
      </c>
      <c r="AG186" s="29">
        <f>MAX(SumAssured,AA186)</f>
        <v/>
      </c>
      <c r="AH186" s="34">
        <f>AG186*O186</f>
        <v/>
      </c>
      <c r="AI186" s="34">
        <f>AA186*O186</f>
        <v/>
      </c>
      <c r="AJ186" s="34">
        <f>AA186*P186</f>
        <v/>
      </c>
      <c r="AK186" s="34">
        <f>I186*AA186*P186</f>
        <v/>
      </c>
      <c r="AL186" s="34">
        <f>AJ186-AK186</f>
        <v/>
      </c>
      <c r="AM186" s="34">
        <f>Q186*K186</f>
        <v/>
      </c>
      <c r="AN186" s="34">
        <f>AH186+AL186+AM186</f>
        <v/>
      </c>
      <c r="AO186" s="34">
        <f>(AG186-AA186)*O186</f>
        <v/>
      </c>
      <c r="AP186" s="34">
        <f>W186*N186</f>
        <v/>
      </c>
      <c r="AQ186" s="34">
        <f>T186*N186</f>
        <v/>
      </c>
      <c r="AR186" s="34">
        <f>Z186*J187+0.5*Z186*(O186+P186)</f>
        <v/>
      </c>
      <c r="AS186" s="30">
        <f>(1+InflationRate)^(A186/12)</f>
        <v/>
      </c>
      <c r="AT186" s="29">
        <f>ExpenseAcq*M186+N186*ExpenseMaint/12*AS186</f>
        <v/>
      </c>
      <c r="AU186" s="29">
        <f>CommissionRate*AE186</f>
        <v/>
      </c>
      <c r="AV186" s="34">
        <f>AB187-AB186</f>
        <v/>
      </c>
      <c r="AW186" s="34">
        <f>AE186+AR186-AN186-AT186-AU186-AV186</f>
        <v/>
      </c>
      <c r="AX186" s="29">
        <f>LoadPremRate*E186*N186+AK186+AQ186-AU186-AT186</f>
        <v/>
      </c>
      <c r="AY186" s="34">
        <f>AP186-AO186</f>
        <v/>
      </c>
      <c r="AZ186" s="37">
        <f>(AW186-AX186-AY186)/MAX(1,ABS(AW186),ABS(AX186),ABS(AY186))</f>
        <v/>
      </c>
      <c r="BA186" s="37">
        <f>IF(OR(K186&gt;0,K187&gt;0),0,(AC187-(AC186+AF186-AQ186-AP186+AR186-AI186-AJ186-AM186))/MAX(1,ABS(AC186),ABS(AC187)))</f>
        <v/>
      </c>
      <c r="BB186" s="35">
        <f>(1+INDEX(DiscRateAnn,INT(A186/12)+1))^(1/12)-1</f>
        <v/>
      </c>
      <c r="BC186" s="31">
        <f>(1+BB186)^-A186</f>
        <v/>
      </c>
      <c r="BD186" s="34">
        <f>AW186*BC186</f>
        <v/>
      </c>
    </row>
    <row r="187">
      <c r="A187" s="27">
        <f>A186+1</f>
        <v/>
      </c>
      <c r="B187" s="28">
        <f>Duration0+A187</f>
        <v/>
      </c>
      <c r="C187" s="27">
        <f>INT(B187/12)</f>
        <v/>
      </c>
      <c r="D187" s="28">
        <f>AgeAtEntry+C187</f>
        <v/>
      </c>
      <c r="E187" s="29">
        <f>IF(PremiumType="SINGLE",IF(B187=0,PremiumPPInput,0),IF(B187&lt;12*PolicyTerm,PremiumPPInput,0))</f>
        <v/>
      </c>
      <c r="F187" s="30">
        <f>INDEX(MortRates,MATCH(MIN(D187,120),MortAges,0),MAX(MIN(C187,5),0)+1)</f>
        <v/>
      </c>
      <c r="G187" s="31">
        <f>1-(1-F187)^(1/12)</f>
        <v/>
      </c>
      <c r="H187" s="32">
        <f>MAX(LapseBase-LapseStep*C187,LapseFloor)</f>
        <v/>
      </c>
      <c r="I187" s="32">
        <f>IF(HasSurrCharge,INDEX(SurrRates,MIN(C187,SurrDurMax)+1,MATCH(SurrChargeID,SurrTypes,0)),0)</f>
        <v/>
      </c>
      <c r="J187" s="33">
        <f>N186-P186-O186</f>
        <v/>
      </c>
      <c r="K187" s="30">
        <f>IF(B187=12*PolicyTerm,J187,0)</f>
        <v/>
      </c>
      <c r="L187" s="33">
        <f>J187-K187</f>
        <v/>
      </c>
      <c r="M187" s="30">
        <f>IF(B187=0,PolicyCount,0)</f>
        <v/>
      </c>
      <c r="N187" s="33">
        <f>L187+M187</f>
        <v/>
      </c>
      <c r="O187" s="31">
        <f>N187*G187</f>
        <v/>
      </c>
      <c r="P187" s="33">
        <f>(N187-O187)*(1-(1-H187)^(1/12))</f>
        <v/>
      </c>
      <c r="Q187" s="34">
        <f>X186+Z186</f>
        <v/>
      </c>
      <c r="R187" s="29">
        <f>(1-LoadPremRate)*E187</f>
        <v/>
      </c>
      <c r="S187" s="34">
        <f>Q187+R187</f>
        <v/>
      </c>
      <c r="T187" s="29">
        <f>MaintFeeRateAnn/12*S187</f>
        <v/>
      </c>
      <c r="U187" s="29">
        <f>MAX(SumAssured-S187,0)</f>
        <v/>
      </c>
      <c r="V187" s="35">
        <f>CoiMultiple*G187</f>
        <v/>
      </c>
      <c r="W187" s="34">
        <f>V187*U187</f>
        <v/>
      </c>
      <c r="X187" s="34">
        <f>S187-T187-W187</f>
        <v/>
      </c>
      <c r="Y187" s="36">
        <f>EXP((Mu-0.5*Sigma^2)/12+Sigma*SQRT(1/12)*INDEX(NormRand,ScenID,A187+1))-1</f>
        <v/>
      </c>
      <c r="Z187" s="34">
        <f>Y187*X187</f>
        <v/>
      </c>
      <c r="AA187" s="34">
        <f>X187+0.5*Z187</f>
        <v/>
      </c>
      <c r="AB187" s="34">
        <f>Q187*J187</f>
        <v/>
      </c>
      <c r="AC187" s="34">
        <f>Q187*L187</f>
        <v/>
      </c>
      <c r="AD187" s="34">
        <f>S187*N187</f>
        <v/>
      </c>
      <c r="AE187" s="34">
        <f>E187*N187</f>
        <v/>
      </c>
      <c r="AF187" s="34">
        <f>R187*N187</f>
        <v/>
      </c>
      <c r="AG187" s="29">
        <f>MAX(SumAssured,AA187)</f>
        <v/>
      </c>
      <c r="AH187" s="34">
        <f>AG187*O187</f>
        <v/>
      </c>
      <c r="AI187" s="34">
        <f>AA187*O187</f>
        <v/>
      </c>
      <c r="AJ187" s="34">
        <f>AA187*P187</f>
        <v/>
      </c>
      <c r="AK187" s="34">
        <f>I187*AA187*P187</f>
        <v/>
      </c>
      <c r="AL187" s="34">
        <f>AJ187-AK187</f>
        <v/>
      </c>
      <c r="AM187" s="34">
        <f>Q187*K187</f>
        <v/>
      </c>
      <c r="AN187" s="34">
        <f>AH187+AL187+AM187</f>
        <v/>
      </c>
      <c r="AO187" s="34">
        <f>(AG187-AA187)*O187</f>
        <v/>
      </c>
      <c r="AP187" s="34">
        <f>W187*N187</f>
        <v/>
      </c>
      <c r="AQ187" s="34">
        <f>T187*N187</f>
        <v/>
      </c>
      <c r="AR187" s="34">
        <f>Z187*J188+0.5*Z187*(O187+P187)</f>
        <v/>
      </c>
      <c r="AS187" s="30">
        <f>(1+InflationRate)^(A187/12)</f>
        <v/>
      </c>
      <c r="AT187" s="29">
        <f>ExpenseAcq*M187+N187*ExpenseMaint/12*AS187</f>
        <v/>
      </c>
      <c r="AU187" s="29">
        <f>CommissionRate*AE187</f>
        <v/>
      </c>
      <c r="AV187" s="34">
        <f>AB188-AB187</f>
        <v/>
      </c>
      <c r="AW187" s="34">
        <f>AE187+AR187-AN187-AT187-AU187-AV187</f>
        <v/>
      </c>
      <c r="AX187" s="29">
        <f>LoadPremRate*E187*N187+AK187+AQ187-AU187-AT187</f>
        <v/>
      </c>
      <c r="AY187" s="34">
        <f>AP187-AO187</f>
        <v/>
      </c>
      <c r="AZ187" s="37">
        <f>(AW187-AX187-AY187)/MAX(1,ABS(AW187),ABS(AX187),ABS(AY187))</f>
        <v/>
      </c>
      <c r="BA187" s="37">
        <f>IF(OR(K187&gt;0,K188&gt;0),0,(AC188-(AC187+AF187-AQ187-AP187+AR187-AI187-AJ187-AM187))/MAX(1,ABS(AC187),ABS(AC188)))</f>
        <v/>
      </c>
      <c r="BB187" s="35">
        <f>(1+INDEX(DiscRateAnn,INT(A187/12)+1))^(1/12)-1</f>
        <v/>
      </c>
      <c r="BC187" s="31">
        <f>(1+BB187)^-A187</f>
        <v/>
      </c>
      <c r="BD187" s="34">
        <f>AW187*BC187</f>
        <v/>
      </c>
    </row>
    <row r="188">
      <c r="A188" s="27">
        <f>A187+1</f>
        <v/>
      </c>
      <c r="B188" s="28">
        <f>Duration0+A188</f>
        <v/>
      </c>
      <c r="C188" s="27">
        <f>INT(B188/12)</f>
        <v/>
      </c>
      <c r="D188" s="28">
        <f>AgeAtEntry+C188</f>
        <v/>
      </c>
      <c r="E188" s="29">
        <f>IF(PremiumType="SINGLE",IF(B188=0,PremiumPPInput,0),IF(B188&lt;12*PolicyTerm,PremiumPPInput,0))</f>
        <v/>
      </c>
      <c r="F188" s="30">
        <f>INDEX(MortRates,MATCH(MIN(D188,120),MortAges,0),MAX(MIN(C188,5),0)+1)</f>
        <v/>
      </c>
      <c r="G188" s="31">
        <f>1-(1-F188)^(1/12)</f>
        <v/>
      </c>
      <c r="H188" s="32">
        <f>MAX(LapseBase-LapseStep*C188,LapseFloor)</f>
        <v/>
      </c>
      <c r="I188" s="32">
        <f>IF(HasSurrCharge,INDEX(SurrRates,MIN(C188,SurrDurMax)+1,MATCH(SurrChargeID,SurrTypes,0)),0)</f>
        <v/>
      </c>
      <c r="J188" s="33">
        <f>N187-P187-O187</f>
        <v/>
      </c>
      <c r="K188" s="30">
        <f>IF(B188=12*PolicyTerm,J188,0)</f>
        <v/>
      </c>
      <c r="L188" s="33">
        <f>J188-K188</f>
        <v/>
      </c>
      <c r="M188" s="30">
        <f>IF(B188=0,PolicyCount,0)</f>
        <v/>
      </c>
      <c r="N188" s="33">
        <f>L188+M188</f>
        <v/>
      </c>
      <c r="O188" s="31">
        <f>N188*G188</f>
        <v/>
      </c>
      <c r="P188" s="33">
        <f>(N188-O188)*(1-(1-H188)^(1/12))</f>
        <v/>
      </c>
      <c r="Q188" s="34">
        <f>X187+Z187</f>
        <v/>
      </c>
      <c r="R188" s="29">
        <f>(1-LoadPremRate)*E188</f>
        <v/>
      </c>
      <c r="S188" s="34">
        <f>Q188+R188</f>
        <v/>
      </c>
      <c r="T188" s="29">
        <f>MaintFeeRateAnn/12*S188</f>
        <v/>
      </c>
      <c r="U188" s="29">
        <f>MAX(SumAssured-S188,0)</f>
        <v/>
      </c>
      <c r="V188" s="35">
        <f>CoiMultiple*G188</f>
        <v/>
      </c>
      <c r="W188" s="34">
        <f>V188*U188</f>
        <v/>
      </c>
      <c r="X188" s="34">
        <f>S188-T188-W188</f>
        <v/>
      </c>
      <c r="Y188" s="36">
        <f>EXP((Mu-0.5*Sigma^2)/12+Sigma*SQRT(1/12)*INDEX(NormRand,ScenID,A188+1))-1</f>
        <v/>
      </c>
      <c r="Z188" s="34">
        <f>Y188*X188</f>
        <v/>
      </c>
      <c r="AA188" s="34">
        <f>X188+0.5*Z188</f>
        <v/>
      </c>
      <c r="AB188" s="34">
        <f>Q188*J188</f>
        <v/>
      </c>
      <c r="AC188" s="34">
        <f>Q188*L188</f>
        <v/>
      </c>
      <c r="AD188" s="34">
        <f>S188*N188</f>
        <v/>
      </c>
      <c r="AE188" s="34">
        <f>E188*N188</f>
        <v/>
      </c>
      <c r="AF188" s="34">
        <f>R188*N188</f>
        <v/>
      </c>
      <c r="AG188" s="29">
        <f>MAX(SumAssured,AA188)</f>
        <v/>
      </c>
      <c r="AH188" s="34">
        <f>AG188*O188</f>
        <v/>
      </c>
      <c r="AI188" s="34">
        <f>AA188*O188</f>
        <v/>
      </c>
      <c r="AJ188" s="34">
        <f>AA188*P188</f>
        <v/>
      </c>
      <c r="AK188" s="34">
        <f>I188*AA188*P188</f>
        <v/>
      </c>
      <c r="AL188" s="34">
        <f>AJ188-AK188</f>
        <v/>
      </c>
      <c r="AM188" s="34">
        <f>Q188*K188</f>
        <v/>
      </c>
      <c r="AN188" s="34">
        <f>AH188+AL188+AM188</f>
        <v/>
      </c>
      <c r="AO188" s="34">
        <f>(AG188-AA188)*O188</f>
        <v/>
      </c>
      <c r="AP188" s="34">
        <f>W188*N188</f>
        <v/>
      </c>
      <c r="AQ188" s="34">
        <f>T188*N188</f>
        <v/>
      </c>
      <c r="AR188" s="34">
        <f>Z188*J189+0.5*Z188*(O188+P188)</f>
        <v/>
      </c>
      <c r="AS188" s="30">
        <f>(1+InflationRate)^(A188/12)</f>
        <v/>
      </c>
      <c r="AT188" s="29">
        <f>ExpenseAcq*M188+N188*ExpenseMaint/12*AS188</f>
        <v/>
      </c>
      <c r="AU188" s="29">
        <f>CommissionRate*AE188</f>
        <v/>
      </c>
      <c r="AV188" s="34">
        <f>AB189-AB188</f>
        <v/>
      </c>
      <c r="AW188" s="34">
        <f>AE188+AR188-AN188-AT188-AU188-AV188</f>
        <v/>
      </c>
      <c r="AX188" s="29">
        <f>LoadPremRate*E188*N188+AK188+AQ188-AU188-AT188</f>
        <v/>
      </c>
      <c r="AY188" s="34">
        <f>AP188-AO188</f>
        <v/>
      </c>
      <c r="AZ188" s="37">
        <f>(AW188-AX188-AY188)/MAX(1,ABS(AW188),ABS(AX188),ABS(AY188))</f>
        <v/>
      </c>
      <c r="BA188" s="37">
        <f>IF(OR(K188&gt;0,K189&gt;0),0,(AC189-(AC188+AF188-AQ188-AP188+AR188-AI188-AJ188-AM188))/MAX(1,ABS(AC188),ABS(AC189)))</f>
        <v/>
      </c>
      <c r="BB188" s="35">
        <f>(1+INDEX(DiscRateAnn,INT(A188/12)+1))^(1/12)-1</f>
        <v/>
      </c>
      <c r="BC188" s="31">
        <f>(1+BB188)^-A188</f>
        <v/>
      </c>
      <c r="BD188" s="34">
        <f>AW188*BC188</f>
        <v/>
      </c>
    </row>
    <row r="189">
      <c r="A189" s="27">
        <f>A188+1</f>
        <v/>
      </c>
      <c r="B189" s="28">
        <f>Duration0+A189</f>
        <v/>
      </c>
      <c r="C189" s="27">
        <f>INT(B189/12)</f>
        <v/>
      </c>
      <c r="D189" s="28">
        <f>AgeAtEntry+C189</f>
        <v/>
      </c>
      <c r="E189" s="29">
        <f>IF(PremiumType="SINGLE",IF(B189=0,PremiumPPInput,0),IF(B189&lt;12*PolicyTerm,PremiumPPInput,0))</f>
        <v/>
      </c>
      <c r="F189" s="30">
        <f>INDEX(MortRates,MATCH(MIN(D189,120),MortAges,0),MAX(MIN(C189,5),0)+1)</f>
        <v/>
      </c>
      <c r="G189" s="31">
        <f>1-(1-F189)^(1/12)</f>
        <v/>
      </c>
      <c r="H189" s="32">
        <f>MAX(LapseBase-LapseStep*C189,LapseFloor)</f>
        <v/>
      </c>
      <c r="I189" s="32">
        <f>IF(HasSurrCharge,INDEX(SurrRates,MIN(C189,SurrDurMax)+1,MATCH(SurrChargeID,SurrTypes,0)),0)</f>
        <v/>
      </c>
      <c r="J189" s="33">
        <f>N188-P188-O188</f>
        <v/>
      </c>
      <c r="K189" s="30">
        <f>IF(B189=12*PolicyTerm,J189,0)</f>
        <v/>
      </c>
      <c r="L189" s="33">
        <f>J189-K189</f>
        <v/>
      </c>
      <c r="M189" s="30">
        <f>IF(B189=0,PolicyCount,0)</f>
        <v/>
      </c>
      <c r="N189" s="33">
        <f>L189+M189</f>
        <v/>
      </c>
      <c r="O189" s="31">
        <f>N189*G189</f>
        <v/>
      </c>
      <c r="P189" s="33">
        <f>(N189-O189)*(1-(1-H189)^(1/12))</f>
        <v/>
      </c>
      <c r="Q189" s="34">
        <f>X188+Z188</f>
        <v/>
      </c>
      <c r="R189" s="29">
        <f>(1-LoadPremRate)*E189</f>
        <v/>
      </c>
      <c r="S189" s="34">
        <f>Q189+R189</f>
        <v/>
      </c>
      <c r="T189" s="29">
        <f>MaintFeeRateAnn/12*S189</f>
        <v/>
      </c>
      <c r="U189" s="29">
        <f>MAX(SumAssured-S189,0)</f>
        <v/>
      </c>
      <c r="V189" s="35">
        <f>CoiMultiple*G189</f>
        <v/>
      </c>
      <c r="W189" s="34">
        <f>V189*U189</f>
        <v/>
      </c>
      <c r="X189" s="34">
        <f>S189-T189-W189</f>
        <v/>
      </c>
      <c r="Y189" s="36">
        <f>EXP((Mu-0.5*Sigma^2)/12+Sigma*SQRT(1/12)*INDEX(NormRand,ScenID,A189+1))-1</f>
        <v/>
      </c>
      <c r="Z189" s="34">
        <f>Y189*X189</f>
        <v/>
      </c>
      <c r="AA189" s="34">
        <f>X189+0.5*Z189</f>
        <v/>
      </c>
      <c r="AB189" s="34">
        <f>Q189*J189</f>
        <v/>
      </c>
      <c r="AC189" s="34">
        <f>Q189*L189</f>
        <v/>
      </c>
      <c r="AD189" s="34">
        <f>S189*N189</f>
        <v/>
      </c>
      <c r="AE189" s="34">
        <f>E189*N189</f>
        <v/>
      </c>
      <c r="AF189" s="34">
        <f>R189*N189</f>
        <v/>
      </c>
      <c r="AG189" s="29">
        <f>MAX(SumAssured,AA189)</f>
        <v/>
      </c>
      <c r="AH189" s="34">
        <f>AG189*O189</f>
        <v/>
      </c>
      <c r="AI189" s="34">
        <f>AA189*O189</f>
        <v/>
      </c>
      <c r="AJ189" s="34">
        <f>AA189*P189</f>
        <v/>
      </c>
      <c r="AK189" s="34">
        <f>I189*AA189*P189</f>
        <v/>
      </c>
      <c r="AL189" s="34">
        <f>AJ189-AK189</f>
        <v/>
      </c>
      <c r="AM189" s="34">
        <f>Q189*K189</f>
        <v/>
      </c>
      <c r="AN189" s="34">
        <f>AH189+AL189+AM189</f>
        <v/>
      </c>
      <c r="AO189" s="34">
        <f>(AG189-AA189)*O189</f>
        <v/>
      </c>
      <c r="AP189" s="34">
        <f>W189*N189</f>
        <v/>
      </c>
      <c r="AQ189" s="34">
        <f>T189*N189</f>
        <v/>
      </c>
      <c r="AR189" s="34">
        <f>Z189*J190+0.5*Z189*(O189+P189)</f>
        <v/>
      </c>
      <c r="AS189" s="30">
        <f>(1+InflationRate)^(A189/12)</f>
        <v/>
      </c>
      <c r="AT189" s="29">
        <f>ExpenseAcq*M189+N189*ExpenseMaint/12*AS189</f>
        <v/>
      </c>
      <c r="AU189" s="29">
        <f>CommissionRate*AE189</f>
        <v/>
      </c>
      <c r="AV189" s="34">
        <f>AB190-AB189</f>
        <v/>
      </c>
      <c r="AW189" s="34">
        <f>AE189+AR189-AN189-AT189-AU189-AV189</f>
        <v/>
      </c>
      <c r="AX189" s="29">
        <f>LoadPremRate*E189*N189+AK189+AQ189-AU189-AT189</f>
        <v/>
      </c>
      <c r="AY189" s="34">
        <f>AP189-AO189</f>
        <v/>
      </c>
      <c r="AZ189" s="37">
        <f>(AW189-AX189-AY189)/MAX(1,ABS(AW189),ABS(AX189),ABS(AY189))</f>
        <v/>
      </c>
      <c r="BA189" s="37">
        <f>IF(OR(K189&gt;0,K190&gt;0),0,(AC190-(AC189+AF189-AQ189-AP189+AR189-AI189-AJ189-AM189))/MAX(1,ABS(AC189),ABS(AC190)))</f>
        <v/>
      </c>
      <c r="BB189" s="35">
        <f>(1+INDEX(DiscRateAnn,INT(A189/12)+1))^(1/12)-1</f>
        <v/>
      </c>
      <c r="BC189" s="31">
        <f>(1+BB189)^-A189</f>
        <v/>
      </c>
      <c r="BD189" s="34">
        <f>AW189*BC189</f>
        <v/>
      </c>
    </row>
    <row r="190">
      <c r="A190" s="27">
        <f>A189+1</f>
        <v/>
      </c>
      <c r="B190" s="28">
        <f>Duration0+A190</f>
        <v/>
      </c>
      <c r="C190" s="27">
        <f>INT(B190/12)</f>
        <v/>
      </c>
      <c r="D190" s="28">
        <f>AgeAtEntry+C190</f>
        <v/>
      </c>
      <c r="E190" s="29">
        <f>IF(PremiumType="SINGLE",IF(B190=0,PremiumPPInput,0),IF(B190&lt;12*PolicyTerm,PremiumPPInput,0))</f>
        <v/>
      </c>
      <c r="F190" s="30">
        <f>INDEX(MortRates,MATCH(MIN(D190,120),MortAges,0),MAX(MIN(C190,5),0)+1)</f>
        <v/>
      </c>
      <c r="G190" s="31">
        <f>1-(1-F190)^(1/12)</f>
        <v/>
      </c>
      <c r="H190" s="32">
        <f>MAX(LapseBase-LapseStep*C190,LapseFloor)</f>
        <v/>
      </c>
      <c r="I190" s="32">
        <f>IF(HasSurrCharge,INDEX(SurrRates,MIN(C190,SurrDurMax)+1,MATCH(SurrChargeID,SurrTypes,0)),0)</f>
        <v/>
      </c>
      <c r="J190" s="33">
        <f>N189-P189-O189</f>
        <v/>
      </c>
      <c r="K190" s="30">
        <f>IF(B190=12*PolicyTerm,J190,0)</f>
        <v/>
      </c>
      <c r="L190" s="33">
        <f>J190-K190</f>
        <v/>
      </c>
      <c r="M190" s="30">
        <f>IF(B190=0,PolicyCount,0)</f>
        <v/>
      </c>
      <c r="N190" s="33">
        <f>L190+M190</f>
        <v/>
      </c>
      <c r="O190" s="31">
        <f>N190*G190</f>
        <v/>
      </c>
      <c r="P190" s="33">
        <f>(N190-O190)*(1-(1-H190)^(1/12))</f>
        <v/>
      </c>
      <c r="Q190" s="34">
        <f>X189+Z189</f>
        <v/>
      </c>
      <c r="R190" s="29">
        <f>(1-LoadPremRate)*E190</f>
        <v/>
      </c>
      <c r="S190" s="34">
        <f>Q190+R190</f>
        <v/>
      </c>
      <c r="T190" s="29">
        <f>MaintFeeRateAnn/12*S190</f>
        <v/>
      </c>
      <c r="U190" s="29">
        <f>MAX(SumAssured-S190,0)</f>
        <v/>
      </c>
      <c r="V190" s="35">
        <f>CoiMultiple*G190</f>
        <v/>
      </c>
      <c r="W190" s="34">
        <f>V190*U190</f>
        <v/>
      </c>
      <c r="X190" s="34">
        <f>S190-T190-W190</f>
        <v/>
      </c>
      <c r="Y190" s="36">
        <f>EXP((Mu-0.5*Sigma^2)/12+Sigma*SQRT(1/12)*INDEX(NormRand,ScenID,A190+1))-1</f>
        <v/>
      </c>
      <c r="Z190" s="34">
        <f>Y190*X190</f>
        <v/>
      </c>
      <c r="AA190" s="34">
        <f>X190+0.5*Z190</f>
        <v/>
      </c>
      <c r="AB190" s="34">
        <f>Q190*J190</f>
        <v/>
      </c>
      <c r="AC190" s="34">
        <f>Q190*L190</f>
        <v/>
      </c>
      <c r="AD190" s="34">
        <f>S190*N190</f>
        <v/>
      </c>
      <c r="AE190" s="34">
        <f>E190*N190</f>
        <v/>
      </c>
      <c r="AF190" s="34">
        <f>R190*N190</f>
        <v/>
      </c>
      <c r="AG190" s="29">
        <f>MAX(SumAssured,AA190)</f>
        <v/>
      </c>
      <c r="AH190" s="34">
        <f>AG190*O190</f>
        <v/>
      </c>
      <c r="AI190" s="34">
        <f>AA190*O190</f>
        <v/>
      </c>
      <c r="AJ190" s="34">
        <f>AA190*P190</f>
        <v/>
      </c>
      <c r="AK190" s="34">
        <f>I190*AA190*P190</f>
        <v/>
      </c>
      <c r="AL190" s="34">
        <f>AJ190-AK190</f>
        <v/>
      </c>
      <c r="AM190" s="34">
        <f>Q190*K190</f>
        <v/>
      </c>
      <c r="AN190" s="34">
        <f>AH190+AL190+AM190</f>
        <v/>
      </c>
      <c r="AO190" s="34">
        <f>(AG190-AA190)*O190</f>
        <v/>
      </c>
      <c r="AP190" s="34">
        <f>W190*N190</f>
        <v/>
      </c>
      <c r="AQ190" s="34">
        <f>T190*N190</f>
        <v/>
      </c>
      <c r="AR190" s="34">
        <f>Z190*J191+0.5*Z190*(O190+P190)</f>
        <v/>
      </c>
      <c r="AS190" s="30">
        <f>(1+InflationRate)^(A190/12)</f>
        <v/>
      </c>
      <c r="AT190" s="29">
        <f>ExpenseAcq*M190+N190*ExpenseMaint/12*AS190</f>
        <v/>
      </c>
      <c r="AU190" s="29">
        <f>CommissionRate*AE190</f>
        <v/>
      </c>
      <c r="AV190" s="34">
        <f>AB191-AB190</f>
        <v/>
      </c>
      <c r="AW190" s="34">
        <f>AE190+AR190-AN190-AT190-AU190-AV190</f>
        <v/>
      </c>
      <c r="AX190" s="29">
        <f>LoadPremRate*E190*N190+AK190+AQ190-AU190-AT190</f>
        <v/>
      </c>
      <c r="AY190" s="34">
        <f>AP190-AO190</f>
        <v/>
      </c>
      <c r="AZ190" s="37">
        <f>(AW190-AX190-AY190)/MAX(1,ABS(AW190),ABS(AX190),ABS(AY190))</f>
        <v/>
      </c>
      <c r="BA190" s="37">
        <f>IF(OR(K190&gt;0,K191&gt;0),0,(AC191-(AC190+AF190-AQ190-AP190+AR190-AI190-AJ190-AM190))/MAX(1,ABS(AC190),ABS(AC191)))</f>
        <v/>
      </c>
      <c r="BB190" s="35">
        <f>(1+INDEX(DiscRateAnn,INT(A190/12)+1))^(1/12)-1</f>
        <v/>
      </c>
      <c r="BC190" s="31">
        <f>(1+BB190)^-A190</f>
        <v/>
      </c>
      <c r="BD190" s="34">
        <f>AW190*BC190</f>
        <v/>
      </c>
    </row>
    <row r="191">
      <c r="A191" s="27">
        <f>A190+1</f>
        <v/>
      </c>
      <c r="B191" s="28">
        <f>Duration0+A191</f>
        <v/>
      </c>
      <c r="C191" s="27">
        <f>INT(B191/12)</f>
        <v/>
      </c>
      <c r="D191" s="28">
        <f>AgeAtEntry+C191</f>
        <v/>
      </c>
      <c r="E191" s="29">
        <f>IF(PremiumType="SINGLE",IF(B191=0,PremiumPPInput,0),IF(B191&lt;12*PolicyTerm,PremiumPPInput,0))</f>
        <v/>
      </c>
      <c r="F191" s="30">
        <f>INDEX(MortRates,MATCH(MIN(D191,120),MortAges,0),MAX(MIN(C191,5),0)+1)</f>
        <v/>
      </c>
      <c r="G191" s="31">
        <f>1-(1-F191)^(1/12)</f>
        <v/>
      </c>
      <c r="H191" s="32">
        <f>MAX(LapseBase-LapseStep*C191,LapseFloor)</f>
        <v/>
      </c>
      <c r="I191" s="32">
        <f>IF(HasSurrCharge,INDEX(SurrRates,MIN(C191,SurrDurMax)+1,MATCH(SurrChargeID,SurrTypes,0)),0)</f>
        <v/>
      </c>
      <c r="J191" s="33">
        <f>N190-P190-O190</f>
        <v/>
      </c>
      <c r="K191" s="30">
        <f>IF(B191=12*PolicyTerm,J191,0)</f>
        <v/>
      </c>
      <c r="L191" s="33">
        <f>J191-K191</f>
        <v/>
      </c>
      <c r="M191" s="30">
        <f>IF(B191=0,PolicyCount,0)</f>
        <v/>
      </c>
      <c r="N191" s="33">
        <f>L191+M191</f>
        <v/>
      </c>
      <c r="O191" s="31">
        <f>N191*G191</f>
        <v/>
      </c>
      <c r="P191" s="33">
        <f>(N191-O191)*(1-(1-H191)^(1/12))</f>
        <v/>
      </c>
      <c r="Q191" s="34">
        <f>X190+Z190</f>
        <v/>
      </c>
      <c r="R191" s="29">
        <f>(1-LoadPremRate)*E191</f>
        <v/>
      </c>
      <c r="S191" s="34">
        <f>Q191+R191</f>
        <v/>
      </c>
      <c r="T191" s="29">
        <f>MaintFeeRateAnn/12*S191</f>
        <v/>
      </c>
      <c r="U191" s="29">
        <f>MAX(SumAssured-S191,0)</f>
        <v/>
      </c>
      <c r="V191" s="35">
        <f>CoiMultiple*G191</f>
        <v/>
      </c>
      <c r="W191" s="34">
        <f>V191*U191</f>
        <v/>
      </c>
      <c r="X191" s="34">
        <f>S191-T191-W191</f>
        <v/>
      </c>
      <c r="Y191" s="36">
        <f>EXP((Mu-0.5*Sigma^2)/12+Sigma*SQRT(1/12)*INDEX(NormRand,ScenID,A191+1))-1</f>
        <v/>
      </c>
      <c r="Z191" s="34">
        <f>Y191*X191</f>
        <v/>
      </c>
      <c r="AA191" s="34">
        <f>X191+0.5*Z191</f>
        <v/>
      </c>
      <c r="AB191" s="34">
        <f>Q191*J191</f>
        <v/>
      </c>
      <c r="AC191" s="34">
        <f>Q191*L191</f>
        <v/>
      </c>
      <c r="AD191" s="34">
        <f>S191*N191</f>
        <v/>
      </c>
      <c r="AE191" s="34">
        <f>E191*N191</f>
        <v/>
      </c>
      <c r="AF191" s="34">
        <f>R191*N191</f>
        <v/>
      </c>
      <c r="AG191" s="29">
        <f>MAX(SumAssured,AA191)</f>
        <v/>
      </c>
      <c r="AH191" s="34">
        <f>AG191*O191</f>
        <v/>
      </c>
      <c r="AI191" s="34">
        <f>AA191*O191</f>
        <v/>
      </c>
      <c r="AJ191" s="34">
        <f>AA191*P191</f>
        <v/>
      </c>
      <c r="AK191" s="34">
        <f>I191*AA191*P191</f>
        <v/>
      </c>
      <c r="AL191" s="34">
        <f>AJ191-AK191</f>
        <v/>
      </c>
      <c r="AM191" s="34">
        <f>Q191*K191</f>
        <v/>
      </c>
      <c r="AN191" s="34">
        <f>AH191+AL191+AM191</f>
        <v/>
      </c>
      <c r="AO191" s="34">
        <f>(AG191-AA191)*O191</f>
        <v/>
      </c>
      <c r="AP191" s="34">
        <f>W191*N191</f>
        <v/>
      </c>
      <c r="AQ191" s="34">
        <f>T191*N191</f>
        <v/>
      </c>
      <c r="AR191" s="34">
        <f>Z191*J192+0.5*Z191*(O191+P191)</f>
        <v/>
      </c>
      <c r="AS191" s="30">
        <f>(1+InflationRate)^(A191/12)</f>
        <v/>
      </c>
      <c r="AT191" s="29">
        <f>ExpenseAcq*M191+N191*ExpenseMaint/12*AS191</f>
        <v/>
      </c>
      <c r="AU191" s="29">
        <f>CommissionRate*AE191</f>
        <v/>
      </c>
      <c r="AV191" s="34">
        <f>AB192-AB191</f>
        <v/>
      </c>
      <c r="AW191" s="34">
        <f>AE191+AR191-AN191-AT191-AU191-AV191</f>
        <v/>
      </c>
      <c r="AX191" s="29">
        <f>LoadPremRate*E191*N191+AK191+AQ191-AU191-AT191</f>
        <v/>
      </c>
      <c r="AY191" s="34">
        <f>AP191-AO191</f>
        <v/>
      </c>
      <c r="AZ191" s="37">
        <f>(AW191-AX191-AY191)/MAX(1,ABS(AW191),ABS(AX191),ABS(AY191))</f>
        <v/>
      </c>
      <c r="BA191" s="37">
        <f>IF(OR(K191&gt;0,K192&gt;0),0,(AC192-(AC191+AF191-AQ191-AP191+AR191-AI191-AJ191-AM191))/MAX(1,ABS(AC191),ABS(AC192)))</f>
        <v/>
      </c>
      <c r="BB191" s="35">
        <f>(1+INDEX(DiscRateAnn,INT(A191/12)+1))^(1/12)-1</f>
        <v/>
      </c>
      <c r="BC191" s="31">
        <f>(1+BB191)^-A191</f>
        <v/>
      </c>
      <c r="BD191" s="34">
        <f>AW191*BC191</f>
        <v/>
      </c>
    </row>
    <row r="192">
      <c r="A192" s="27">
        <f>A191+1</f>
        <v/>
      </c>
      <c r="B192" s="28">
        <f>Duration0+A192</f>
        <v/>
      </c>
      <c r="C192" s="27">
        <f>INT(B192/12)</f>
        <v/>
      </c>
      <c r="D192" s="28">
        <f>AgeAtEntry+C192</f>
        <v/>
      </c>
      <c r="E192" s="29">
        <f>IF(PremiumType="SINGLE",IF(B192=0,PremiumPPInput,0),IF(B192&lt;12*PolicyTerm,PremiumPPInput,0))</f>
        <v/>
      </c>
      <c r="F192" s="30">
        <f>INDEX(MortRates,MATCH(MIN(D192,120),MortAges,0),MAX(MIN(C192,5),0)+1)</f>
        <v/>
      </c>
      <c r="G192" s="31">
        <f>1-(1-F192)^(1/12)</f>
        <v/>
      </c>
      <c r="H192" s="32">
        <f>MAX(LapseBase-LapseStep*C192,LapseFloor)</f>
        <v/>
      </c>
      <c r="I192" s="32">
        <f>IF(HasSurrCharge,INDEX(SurrRates,MIN(C192,SurrDurMax)+1,MATCH(SurrChargeID,SurrTypes,0)),0)</f>
        <v/>
      </c>
      <c r="J192" s="33">
        <f>N191-P191-O191</f>
        <v/>
      </c>
      <c r="K192" s="30">
        <f>IF(B192=12*PolicyTerm,J192,0)</f>
        <v/>
      </c>
      <c r="L192" s="33">
        <f>J192-K192</f>
        <v/>
      </c>
      <c r="M192" s="30">
        <f>IF(B192=0,PolicyCount,0)</f>
        <v/>
      </c>
      <c r="N192" s="33">
        <f>L192+M192</f>
        <v/>
      </c>
      <c r="O192" s="31">
        <f>N192*G192</f>
        <v/>
      </c>
      <c r="P192" s="33">
        <f>(N192-O192)*(1-(1-H192)^(1/12))</f>
        <v/>
      </c>
      <c r="Q192" s="34">
        <f>X191+Z191</f>
        <v/>
      </c>
      <c r="R192" s="29">
        <f>(1-LoadPremRate)*E192</f>
        <v/>
      </c>
      <c r="S192" s="34">
        <f>Q192+R192</f>
        <v/>
      </c>
      <c r="T192" s="29">
        <f>MaintFeeRateAnn/12*S192</f>
        <v/>
      </c>
      <c r="U192" s="29">
        <f>MAX(SumAssured-S192,0)</f>
        <v/>
      </c>
      <c r="V192" s="35">
        <f>CoiMultiple*G192</f>
        <v/>
      </c>
      <c r="W192" s="34">
        <f>V192*U192</f>
        <v/>
      </c>
      <c r="X192" s="34">
        <f>S192-T192-W192</f>
        <v/>
      </c>
      <c r="Y192" s="36">
        <f>EXP((Mu-0.5*Sigma^2)/12+Sigma*SQRT(1/12)*INDEX(NormRand,ScenID,A192+1))-1</f>
        <v/>
      </c>
      <c r="Z192" s="34">
        <f>Y192*X192</f>
        <v/>
      </c>
      <c r="AA192" s="34">
        <f>X192+0.5*Z192</f>
        <v/>
      </c>
      <c r="AB192" s="34">
        <f>Q192*J192</f>
        <v/>
      </c>
      <c r="AC192" s="34">
        <f>Q192*L192</f>
        <v/>
      </c>
      <c r="AD192" s="34">
        <f>S192*N192</f>
        <v/>
      </c>
      <c r="AE192" s="34">
        <f>E192*N192</f>
        <v/>
      </c>
      <c r="AF192" s="34">
        <f>R192*N192</f>
        <v/>
      </c>
      <c r="AG192" s="29">
        <f>MAX(SumAssured,AA192)</f>
        <v/>
      </c>
      <c r="AH192" s="34">
        <f>AG192*O192</f>
        <v/>
      </c>
      <c r="AI192" s="34">
        <f>AA192*O192</f>
        <v/>
      </c>
      <c r="AJ192" s="34">
        <f>AA192*P192</f>
        <v/>
      </c>
      <c r="AK192" s="34">
        <f>I192*AA192*P192</f>
        <v/>
      </c>
      <c r="AL192" s="34">
        <f>AJ192-AK192</f>
        <v/>
      </c>
      <c r="AM192" s="34">
        <f>Q192*K192</f>
        <v/>
      </c>
      <c r="AN192" s="34">
        <f>AH192+AL192+AM192</f>
        <v/>
      </c>
      <c r="AO192" s="34">
        <f>(AG192-AA192)*O192</f>
        <v/>
      </c>
      <c r="AP192" s="34">
        <f>W192*N192</f>
        <v/>
      </c>
      <c r="AQ192" s="34">
        <f>T192*N192</f>
        <v/>
      </c>
      <c r="AR192" s="34">
        <f>Z192*J193+0.5*Z192*(O192+P192)</f>
        <v/>
      </c>
      <c r="AS192" s="30">
        <f>(1+InflationRate)^(A192/12)</f>
        <v/>
      </c>
      <c r="AT192" s="29">
        <f>ExpenseAcq*M192+N192*ExpenseMaint/12*AS192</f>
        <v/>
      </c>
      <c r="AU192" s="29">
        <f>CommissionRate*AE192</f>
        <v/>
      </c>
      <c r="AV192" s="34">
        <f>AB193-AB192</f>
        <v/>
      </c>
      <c r="AW192" s="34">
        <f>AE192+AR192-AN192-AT192-AU192-AV192</f>
        <v/>
      </c>
      <c r="AX192" s="29">
        <f>LoadPremRate*E192*N192+AK192+AQ192-AU192-AT192</f>
        <v/>
      </c>
      <c r="AY192" s="34">
        <f>AP192-AO192</f>
        <v/>
      </c>
      <c r="AZ192" s="37">
        <f>(AW192-AX192-AY192)/MAX(1,ABS(AW192),ABS(AX192),ABS(AY192))</f>
        <v/>
      </c>
      <c r="BA192" s="37">
        <f>IF(OR(K192&gt;0,K193&gt;0),0,(AC193-(AC192+AF192-AQ192-AP192+AR192-AI192-AJ192-AM192))/MAX(1,ABS(AC192),ABS(AC193)))</f>
        <v/>
      </c>
      <c r="BB192" s="35">
        <f>(1+INDEX(DiscRateAnn,INT(A192/12)+1))^(1/12)-1</f>
        <v/>
      </c>
      <c r="BC192" s="31">
        <f>(1+BB192)^-A192</f>
        <v/>
      </c>
      <c r="BD192" s="34">
        <f>AW192*BC192</f>
        <v/>
      </c>
    </row>
    <row r="193">
      <c r="A193" s="27">
        <f>A192+1</f>
        <v/>
      </c>
      <c r="B193" s="28">
        <f>Duration0+A193</f>
        <v/>
      </c>
      <c r="C193" s="27">
        <f>INT(B193/12)</f>
        <v/>
      </c>
      <c r="D193" s="28">
        <f>AgeAtEntry+C193</f>
        <v/>
      </c>
      <c r="E193" s="29">
        <f>IF(PremiumType="SINGLE",IF(B193=0,PremiumPPInput,0),IF(B193&lt;12*PolicyTerm,PremiumPPInput,0))</f>
        <v/>
      </c>
      <c r="F193" s="30">
        <f>INDEX(MortRates,MATCH(MIN(D193,120),MortAges,0),MAX(MIN(C193,5),0)+1)</f>
        <v/>
      </c>
      <c r="G193" s="31">
        <f>1-(1-F193)^(1/12)</f>
        <v/>
      </c>
      <c r="H193" s="32">
        <f>MAX(LapseBase-LapseStep*C193,LapseFloor)</f>
        <v/>
      </c>
      <c r="I193" s="32">
        <f>IF(HasSurrCharge,INDEX(SurrRates,MIN(C193,SurrDurMax)+1,MATCH(SurrChargeID,SurrTypes,0)),0)</f>
        <v/>
      </c>
      <c r="J193" s="33">
        <f>N192-P192-O192</f>
        <v/>
      </c>
      <c r="K193" s="30">
        <f>IF(B193=12*PolicyTerm,J193,0)</f>
        <v/>
      </c>
      <c r="L193" s="33">
        <f>J193-K193</f>
        <v/>
      </c>
      <c r="M193" s="30">
        <f>IF(B193=0,PolicyCount,0)</f>
        <v/>
      </c>
      <c r="N193" s="33">
        <f>L193+M193</f>
        <v/>
      </c>
      <c r="O193" s="31">
        <f>N193*G193</f>
        <v/>
      </c>
      <c r="P193" s="33">
        <f>(N193-O193)*(1-(1-H193)^(1/12))</f>
        <v/>
      </c>
      <c r="Q193" s="34">
        <f>X192+Z192</f>
        <v/>
      </c>
      <c r="R193" s="29">
        <f>(1-LoadPremRate)*E193</f>
        <v/>
      </c>
      <c r="S193" s="34">
        <f>Q193+R193</f>
        <v/>
      </c>
      <c r="T193" s="29">
        <f>MaintFeeRateAnn/12*S193</f>
        <v/>
      </c>
      <c r="U193" s="29">
        <f>MAX(SumAssured-S193,0)</f>
        <v/>
      </c>
      <c r="V193" s="35">
        <f>CoiMultiple*G193</f>
        <v/>
      </c>
      <c r="W193" s="34">
        <f>V193*U193</f>
        <v/>
      </c>
      <c r="X193" s="34">
        <f>S193-T193-W193</f>
        <v/>
      </c>
      <c r="Y193" s="36">
        <f>EXP((Mu-0.5*Sigma^2)/12+Sigma*SQRT(1/12)*INDEX(NormRand,ScenID,A193+1))-1</f>
        <v/>
      </c>
      <c r="Z193" s="34">
        <f>Y193*X193</f>
        <v/>
      </c>
      <c r="AA193" s="34">
        <f>X193+0.5*Z193</f>
        <v/>
      </c>
      <c r="AB193" s="34">
        <f>Q193*J193</f>
        <v/>
      </c>
      <c r="AC193" s="34">
        <f>Q193*L193</f>
        <v/>
      </c>
      <c r="AD193" s="34">
        <f>S193*N193</f>
        <v/>
      </c>
      <c r="AE193" s="34">
        <f>E193*N193</f>
        <v/>
      </c>
      <c r="AF193" s="34">
        <f>R193*N193</f>
        <v/>
      </c>
      <c r="AG193" s="29">
        <f>MAX(SumAssured,AA193)</f>
        <v/>
      </c>
      <c r="AH193" s="34">
        <f>AG193*O193</f>
        <v/>
      </c>
      <c r="AI193" s="34">
        <f>AA193*O193</f>
        <v/>
      </c>
      <c r="AJ193" s="34">
        <f>AA193*P193</f>
        <v/>
      </c>
      <c r="AK193" s="34">
        <f>I193*AA193*P193</f>
        <v/>
      </c>
      <c r="AL193" s="34">
        <f>AJ193-AK193</f>
        <v/>
      </c>
      <c r="AM193" s="34">
        <f>Q193*K193</f>
        <v/>
      </c>
      <c r="AN193" s="34">
        <f>AH193+AL193+AM193</f>
        <v/>
      </c>
      <c r="AO193" s="34">
        <f>(AG193-AA193)*O193</f>
        <v/>
      </c>
      <c r="AP193" s="34">
        <f>W193*N193</f>
        <v/>
      </c>
      <c r="AQ193" s="34">
        <f>T193*N193</f>
        <v/>
      </c>
      <c r="AR193" s="34">
        <f>Z193*J194+0.5*Z193*(O193+P193)</f>
        <v/>
      </c>
      <c r="AS193" s="30">
        <f>(1+InflationRate)^(A193/12)</f>
        <v/>
      </c>
      <c r="AT193" s="29">
        <f>ExpenseAcq*M193+N193*ExpenseMaint/12*AS193</f>
        <v/>
      </c>
      <c r="AU193" s="29">
        <f>CommissionRate*AE193</f>
        <v/>
      </c>
      <c r="AV193" s="34">
        <f>AB194-AB193</f>
        <v/>
      </c>
      <c r="AW193" s="34">
        <f>AE193+AR193-AN193-AT193-AU193-AV193</f>
        <v/>
      </c>
      <c r="AX193" s="29">
        <f>LoadPremRate*E193*N193+AK193+AQ193-AU193-AT193</f>
        <v/>
      </c>
      <c r="AY193" s="34">
        <f>AP193-AO193</f>
        <v/>
      </c>
      <c r="AZ193" s="37">
        <f>(AW193-AX193-AY193)/MAX(1,ABS(AW193),ABS(AX193),ABS(AY193))</f>
        <v/>
      </c>
      <c r="BA193" s="37">
        <f>IF(OR(K193&gt;0,K194&gt;0),0,(AC194-(AC193+AF193-AQ193-AP193+AR193-AI193-AJ193-AM193))/MAX(1,ABS(AC193),ABS(AC194)))</f>
        <v/>
      </c>
      <c r="BB193" s="35">
        <f>(1+INDEX(DiscRateAnn,INT(A193/12)+1))^(1/12)-1</f>
        <v/>
      </c>
      <c r="BC193" s="31">
        <f>(1+BB193)^-A193</f>
        <v/>
      </c>
      <c r="BD193" s="34">
        <f>AW193*BC193</f>
        <v/>
      </c>
    </row>
    <row r="194">
      <c r="A194" s="27">
        <f>A193+1</f>
        <v/>
      </c>
      <c r="B194" s="28">
        <f>Duration0+A194</f>
        <v/>
      </c>
      <c r="C194" s="27">
        <f>INT(B194/12)</f>
        <v/>
      </c>
      <c r="D194" s="28">
        <f>AgeAtEntry+C194</f>
        <v/>
      </c>
      <c r="E194" s="29">
        <f>IF(PremiumType="SINGLE",IF(B194=0,PremiumPPInput,0),IF(B194&lt;12*PolicyTerm,PremiumPPInput,0))</f>
        <v/>
      </c>
      <c r="F194" s="30">
        <f>INDEX(MortRates,MATCH(MIN(D194,120),MortAges,0),MAX(MIN(C194,5),0)+1)</f>
        <v/>
      </c>
      <c r="G194" s="31">
        <f>1-(1-F194)^(1/12)</f>
        <v/>
      </c>
      <c r="H194" s="32">
        <f>MAX(LapseBase-LapseStep*C194,LapseFloor)</f>
        <v/>
      </c>
      <c r="I194" s="32">
        <f>IF(HasSurrCharge,INDEX(SurrRates,MIN(C194,SurrDurMax)+1,MATCH(SurrChargeID,SurrTypes,0)),0)</f>
        <v/>
      </c>
      <c r="J194" s="33">
        <f>N193-P193-O193</f>
        <v/>
      </c>
      <c r="K194" s="30">
        <f>IF(B194=12*PolicyTerm,J194,0)</f>
        <v/>
      </c>
      <c r="L194" s="33">
        <f>J194-K194</f>
        <v/>
      </c>
      <c r="M194" s="30">
        <f>IF(B194=0,PolicyCount,0)</f>
        <v/>
      </c>
      <c r="N194" s="33">
        <f>L194+M194</f>
        <v/>
      </c>
      <c r="O194" s="31">
        <f>N194*G194</f>
        <v/>
      </c>
      <c r="P194" s="33">
        <f>(N194-O194)*(1-(1-H194)^(1/12))</f>
        <v/>
      </c>
      <c r="Q194" s="34">
        <f>X193+Z193</f>
        <v/>
      </c>
      <c r="R194" s="29">
        <f>(1-LoadPremRate)*E194</f>
        <v/>
      </c>
      <c r="S194" s="34">
        <f>Q194+R194</f>
        <v/>
      </c>
      <c r="T194" s="29">
        <f>MaintFeeRateAnn/12*S194</f>
        <v/>
      </c>
      <c r="U194" s="29">
        <f>MAX(SumAssured-S194,0)</f>
        <v/>
      </c>
      <c r="V194" s="35">
        <f>CoiMultiple*G194</f>
        <v/>
      </c>
      <c r="W194" s="34">
        <f>V194*U194</f>
        <v/>
      </c>
      <c r="X194" s="34">
        <f>S194-T194-W194</f>
        <v/>
      </c>
      <c r="Y194" s="36">
        <f>EXP((Mu-0.5*Sigma^2)/12+Sigma*SQRT(1/12)*INDEX(NormRand,ScenID,A194+1))-1</f>
        <v/>
      </c>
      <c r="Z194" s="34">
        <f>Y194*X194</f>
        <v/>
      </c>
      <c r="AA194" s="34">
        <f>X194+0.5*Z194</f>
        <v/>
      </c>
      <c r="AB194" s="34">
        <f>Q194*J194</f>
        <v/>
      </c>
      <c r="AC194" s="34">
        <f>Q194*L194</f>
        <v/>
      </c>
      <c r="AD194" s="34">
        <f>S194*N194</f>
        <v/>
      </c>
      <c r="AE194" s="34">
        <f>E194*N194</f>
        <v/>
      </c>
      <c r="AF194" s="34">
        <f>R194*N194</f>
        <v/>
      </c>
      <c r="AG194" s="29">
        <f>MAX(SumAssured,AA194)</f>
        <v/>
      </c>
      <c r="AH194" s="34">
        <f>AG194*O194</f>
        <v/>
      </c>
      <c r="AI194" s="34">
        <f>AA194*O194</f>
        <v/>
      </c>
      <c r="AJ194" s="34">
        <f>AA194*P194</f>
        <v/>
      </c>
      <c r="AK194" s="34">
        <f>I194*AA194*P194</f>
        <v/>
      </c>
      <c r="AL194" s="34">
        <f>AJ194-AK194</f>
        <v/>
      </c>
      <c r="AM194" s="34">
        <f>Q194*K194</f>
        <v/>
      </c>
      <c r="AN194" s="34">
        <f>AH194+AL194+AM194</f>
        <v/>
      </c>
      <c r="AO194" s="34">
        <f>(AG194-AA194)*O194</f>
        <v/>
      </c>
      <c r="AP194" s="34">
        <f>W194*N194</f>
        <v/>
      </c>
      <c r="AQ194" s="34">
        <f>T194*N194</f>
        <v/>
      </c>
      <c r="AR194" s="34">
        <f>Z194*J195+0.5*Z194*(O194+P194)</f>
        <v/>
      </c>
      <c r="AS194" s="30">
        <f>(1+InflationRate)^(A194/12)</f>
        <v/>
      </c>
      <c r="AT194" s="29">
        <f>ExpenseAcq*M194+N194*ExpenseMaint/12*AS194</f>
        <v/>
      </c>
      <c r="AU194" s="29">
        <f>CommissionRate*AE194</f>
        <v/>
      </c>
      <c r="AV194" s="34">
        <f>AB195-AB194</f>
        <v/>
      </c>
      <c r="AW194" s="34">
        <f>AE194+AR194-AN194-AT194-AU194-AV194</f>
        <v/>
      </c>
      <c r="AX194" s="29">
        <f>LoadPremRate*E194*N194+AK194+AQ194-AU194-AT194</f>
        <v/>
      </c>
      <c r="AY194" s="34">
        <f>AP194-AO194</f>
        <v/>
      </c>
      <c r="AZ194" s="37">
        <f>(AW194-AX194-AY194)/MAX(1,ABS(AW194),ABS(AX194),ABS(AY194))</f>
        <v/>
      </c>
      <c r="BA194" s="37">
        <f>IF(OR(K194&gt;0,K195&gt;0),0,(AC195-(AC194+AF194-AQ194-AP194+AR194-AI194-AJ194-AM194))/MAX(1,ABS(AC194),ABS(AC195)))</f>
        <v/>
      </c>
      <c r="BB194" s="35">
        <f>(1+INDEX(DiscRateAnn,INT(A194/12)+1))^(1/12)-1</f>
        <v/>
      </c>
      <c r="BC194" s="31">
        <f>(1+BB194)^-A194</f>
        <v/>
      </c>
      <c r="BD194" s="34">
        <f>AW194*BC194</f>
        <v/>
      </c>
    </row>
    <row r="195">
      <c r="A195" s="27">
        <f>A194+1</f>
        <v/>
      </c>
      <c r="B195" s="28">
        <f>Duration0+A195</f>
        <v/>
      </c>
      <c r="C195" s="27">
        <f>INT(B195/12)</f>
        <v/>
      </c>
      <c r="D195" s="28">
        <f>AgeAtEntry+C195</f>
        <v/>
      </c>
      <c r="E195" s="29">
        <f>IF(PremiumType="SINGLE",IF(B195=0,PremiumPPInput,0),IF(B195&lt;12*PolicyTerm,PremiumPPInput,0))</f>
        <v/>
      </c>
      <c r="F195" s="30">
        <f>INDEX(MortRates,MATCH(MIN(D195,120),MortAges,0),MAX(MIN(C195,5),0)+1)</f>
        <v/>
      </c>
      <c r="G195" s="31">
        <f>1-(1-F195)^(1/12)</f>
        <v/>
      </c>
      <c r="H195" s="32">
        <f>MAX(LapseBase-LapseStep*C195,LapseFloor)</f>
        <v/>
      </c>
      <c r="I195" s="32">
        <f>IF(HasSurrCharge,INDEX(SurrRates,MIN(C195,SurrDurMax)+1,MATCH(SurrChargeID,SurrTypes,0)),0)</f>
        <v/>
      </c>
      <c r="J195" s="33">
        <f>N194-P194-O194</f>
        <v/>
      </c>
      <c r="K195" s="30">
        <f>IF(B195=12*PolicyTerm,J195,0)</f>
        <v/>
      </c>
      <c r="L195" s="33">
        <f>J195-K195</f>
        <v/>
      </c>
      <c r="M195" s="30">
        <f>IF(B195=0,PolicyCount,0)</f>
        <v/>
      </c>
      <c r="N195" s="33">
        <f>L195+M195</f>
        <v/>
      </c>
      <c r="O195" s="31">
        <f>N195*G195</f>
        <v/>
      </c>
      <c r="P195" s="33">
        <f>(N195-O195)*(1-(1-H195)^(1/12))</f>
        <v/>
      </c>
      <c r="Q195" s="34">
        <f>X194+Z194</f>
        <v/>
      </c>
      <c r="R195" s="29">
        <f>(1-LoadPremRate)*E195</f>
        <v/>
      </c>
      <c r="S195" s="34">
        <f>Q195+R195</f>
        <v/>
      </c>
      <c r="T195" s="29">
        <f>MaintFeeRateAnn/12*S195</f>
        <v/>
      </c>
      <c r="U195" s="29">
        <f>MAX(SumAssured-S195,0)</f>
        <v/>
      </c>
      <c r="V195" s="35">
        <f>CoiMultiple*G195</f>
        <v/>
      </c>
      <c r="W195" s="34">
        <f>V195*U195</f>
        <v/>
      </c>
      <c r="X195" s="34">
        <f>S195-T195-W195</f>
        <v/>
      </c>
      <c r="Y195" s="36">
        <f>EXP((Mu-0.5*Sigma^2)/12+Sigma*SQRT(1/12)*INDEX(NormRand,ScenID,A195+1))-1</f>
        <v/>
      </c>
      <c r="Z195" s="34">
        <f>Y195*X195</f>
        <v/>
      </c>
      <c r="AA195" s="34">
        <f>X195+0.5*Z195</f>
        <v/>
      </c>
      <c r="AB195" s="34">
        <f>Q195*J195</f>
        <v/>
      </c>
      <c r="AC195" s="34">
        <f>Q195*L195</f>
        <v/>
      </c>
      <c r="AD195" s="34">
        <f>S195*N195</f>
        <v/>
      </c>
      <c r="AE195" s="34">
        <f>E195*N195</f>
        <v/>
      </c>
      <c r="AF195" s="34">
        <f>R195*N195</f>
        <v/>
      </c>
      <c r="AG195" s="29">
        <f>MAX(SumAssured,AA195)</f>
        <v/>
      </c>
      <c r="AH195" s="34">
        <f>AG195*O195</f>
        <v/>
      </c>
      <c r="AI195" s="34">
        <f>AA195*O195</f>
        <v/>
      </c>
      <c r="AJ195" s="34">
        <f>AA195*P195</f>
        <v/>
      </c>
      <c r="AK195" s="34">
        <f>I195*AA195*P195</f>
        <v/>
      </c>
      <c r="AL195" s="34">
        <f>AJ195-AK195</f>
        <v/>
      </c>
      <c r="AM195" s="34">
        <f>Q195*K195</f>
        <v/>
      </c>
      <c r="AN195" s="34">
        <f>AH195+AL195+AM195</f>
        <v/>
      </c>
      <c r="AO195" s="34">
        <f>(AG195-AA195)*O195</f>
        <v/>
      </c>
      <c r="AP195" s="34">
        <f>W195*N195</f>
        <v/>
      </c>
      <c r="AQ195" s="34">
        <f>T195*N195</f>
        <v/>
      </c>
      <c r="AR195" s="34">
        <f>Z195*J196+0.5*Z195*(O195+P195)</f>
        <v/>
      </c>
      <c r="AS195" s="30">
        <f>(1+InflationRate)^(A195/12)</f>
        <v/>
      </c>
      <c r="AT195" s="29">
        <f>ExpenseAcq*M195+N195*ExpenseMaint/12*AS195</f>
        <v/>
      </c>
      <c r="AU195" s="29">
        <f>CommissionRate*AE195</f>
        <v/>
      </c>
      <c r="AV195" s="34">
        <f>AB196-AB195</f>
        <v/>
      </c>
      <c r="AW195" s="34">
        <f>AE195+AR195-AN195-AT195-AU195-AV195</f>
        <v/>
      </c>
      <c r="AX195" s="29">
        <f>LoadPremRate*E195*N195+AK195+AQ195-AU195-AT195</f>
        <v/>
      </c>
      <c r="AY195" s="34">
        <f>AP195-AO195</f>
        <v/>
      </c>
      <c r="AZ195" s="37">
        <f>(AW195-AX195-AY195)/MAX(1,ABS(AW195),ABS(AX195),ABS(AY195))</f>
        <v/>
      </c>
      <c r="BA195" s="37">
        <f>IF(OR(K195&gt;0,K196&gt;0),0,(AC196-(AC195+AF195-AQ195-AP195+AR195-AI195-AJ195-AM195))/MAX(1,ABS(AC195),ABS(AC196)))</f>
        <v/>
      </c>
      <c r="BB195" s="35">
        <f>(1+INDEX(DiscRateAnn,INT(A195/12)+1))^(1/12)-1</f>
        <v/>
      </c>
      <c r="BC195" s="31">
        <f>(1+BB195)^-A195</f>
        <v/>
      </c>
      <c r="BD195" s="34">
        <f>AW195*BC195</f>
        <v/>
      </c>
    </row>
    <row r="196">
      <c r="A196" s="27">
        <f>A195+1</f>
        <v/>
      </c>
      <c r="B196" s="28">
        <f>Duration0+A196</f>
        <v/>
      </c>
      <c r="C196" s="27">
        <f>INT(B196/12)</f>
        <v/>
      </c>
      <c r="D196" s="28">
        <f>AgeAtEntry+C196</f>
        <v/>
      </c>
      <c r="E196" s="29">
        <f>IF(PremiumType="SINGLE",IF(B196=0,PremiumPPInput,0),IF(B196&lt;12*PolicyTerm,PremiumPPInput,0))</f>
        <v/>
      </c>
      <c r="F196" s="30">
        <f>INDEX(MortRates,MATCH(MIN(D196,120),MortAges,0),MAX(MIN(C196,5),0)+1)</f>
        <v/>
      </c>
      <c r="G196" s="31">
        <f>1-(1-F196)^(1/12)</f>
        <v/>
      </c>
      <c r="H196" s="32">
        <f>MAX(LapseBase-LapseStep*C196,LapseFloor)</f>
        <v/>
      </c>
      <c r="I196" s="32">
        <f>IF(HasSurrCharge,INDEX(SurrRates,MIN(C196,SurrDurMax)+1,MATCH(SurrChargeID,SurrTypes,0)),0)</f>
        <v/>
      </c>
      <c r="J196" s="33">
        <f>N195-P195-O195</f>
        <v/>
      </c>
      <c r="K196" s="30">
        <f>IF(B196=12*PolicyTerm,J196,0)</f>
        <v/>
      </c>
      <c r="L196" s="33">
        <f>J196-K196</f>
        <v/>
      </c>
      <c r="M196" s="30">
        <f>IF(B196=0,PolicyCount,0)</f>
        <v/>
      </c>
      <c r="N196" s="33">
        <f>L196+M196</f>
        <v/>
      </c>
      <c r="O196" s="31">
        <f>N196*G196</f>
        <v/>
      </c>
      <c r="P196" s="33">
        <f>(N196-O196)*(1-(1-H196)^(1/12))</f>
        <v/>
      </c>
      <c r="Q196" s="34">
        <f>X195+Z195</f>
        <v/>
      </c>
      <c r="R196" s="29">
        <f>(1-LoadPremRate)*E196</f>
        <v/>
      </c>
      <c r="S196" s="34">
        <f>Q196+R196</f>
        <v/>
      </c>
      <c r="T196" s="29">
        <f>MaintFeeRateAnn/12*S196</f>
        <v/>
      </c>
      <c r="U196" s="29">
        <f>MAX(SumAssured-S196,0)</f>
        <v/>
      </c>
      <c r="V196" s="35">
        <f>CoiMultiple*G196</f>
        <v/>
      </c>
      <c r="W196" s="34">
        <f>V196*U196</f>
        <v/>
      </c>
      <c r="X196" s="34">
        <f>S196-T196-W196</f>
        <v/>
      </c>
      <c r="Y196" s="36">
        <f>EXP((Mu-0.5*Sigma^2)/12+Sigma*SQRT(1/12)*INDEX(NormRand,ScenID,A196+1))-1</f>
        <v/>
      </c>
      <c r="Z196" s="34">
        <f>Y196*X196</f>
        <v/>
      </c>
      <c r="AA196" s="34">
        <f>X196+0.5*Z196</f>
        <v/>
      </c>
      <c r="AB196" s="34">
        <f>Q196*J196</f>
        <v/>
      </c>
      <c r="AC196" s="34">
        <f>Q196*L196</f>
        <v/>
      </c>
      <c r="AD196" s="34">
        <f>S196*N196</f>
        <v/>
      </c>
      <c r="AE196" s="34">
        <f>E196*N196</f>
        <v/>
      </c>
      <c r="AF196" s="34">
        <f>R196*N196</f>
        <v/>
      </c>
      <c r="AG196" s="29">
        <f>MAX(SumAssured,AA196)</f>
        <v/>
      </c>
      <c r="AH196" s="34">
        <f>AG196*O196</f>
        <v/>
      </c>
      <c r="AI196" s="34">
        <f>AA196*O196</f>
        <v/>
      </c>
      <c r="AJ196" s="34">
        <f>AA196*P196</f>
        <v/>
      </c>
      <c r="AK196" s="34">
        <f>I196*AA196*P196</f>
        <v/>
      </c>
      <c r="AL196" s="34">
        <f>AJ196-AK196</f>
        <v/>
      </c>
      <c r="AM196" s="34">
        <f>Q196*K196</f>
        <v/>
      </c>
      <c r="AN196" s="34">
        <f>AH196+AL196+AM196</f>
        <v/>
      </c>
      <c r="AO196" s="34">
        <f>(AG196-AA196)*O196</f>
        <v/>
      </c>
      <c r="AP196" s="34">
        <f>W196*N196</f>
        <v/>
      </c>
      <c r="AQ196" s="34">
        <f>T196*N196</f>
        <v/>
      </c>
      <c r="AR196" s="34">
        <f>Z196*J197+0.5*Z196*(O196+P196)</f>
        <v/>
      </c>
      <c r="AS196" s="30">
        <f>(1+InflationRate)^(A196/12)</f>
        <v/>
      </c>
      <c r="AT196" s="29">
        <f>ExpenseAcq*M196+N196*ExpenseMaint/12*AS196</f>
        <v/>
      </c>
      <c r="AU196" s="29">
        <f>CommissionRate*AE196</f>
        <v/>
      </c>
      <c r="AV196" s="34">
        <f>AB197-AB196</f>
        <v/>
      </c>
      <c r="AW196" s="34">
        <f>AE196+AR196-AN196-AT196-AU196-AV196</f>
        <v/>
      </c>
      <c r="AX196" s="29">
        <f>LoadPremRate*E196*N196+AK196+AQ196-AU196-AT196</f>
        <v/>
      </c>
      <c r="AY196" s="34">
        <f>AP196-AO196</f>
        <v/>
      </c>
      <c r="AZ196" s="37">
        <f>(AW196-AX196-AY196)/MAX(1,ABS(AW196),ABS(AX196),ABS(AY196))</f>
        <v/>
      </c>
      <c r="BA196" s="37">
        <f>IF(OR(K196&gt;0,K197&gt;0),0,(AC197-(AC196+AF196-AQ196-AP196+AR196-AI196-AJ196-AM196))/MAX(1,ABS(AC196),ABS(AC197)))</f>
        <v/>
      </c>
      <c r="BB196" s="35">
        <f>(1+INDEX(DiscRateAnn,INT(A196/12)+1))^(1/12)-1</f>
        <v/>
      </c>
      <c r="BC196" s="31">
        <f>(1+BB196)^-A196</f>
        <v/>
      </c>
      <c r="BD196" s="34">
        <f>AW196*BC196</f>
        <v/>
      </c>
    </row>
    <row r="197">
      <c r="A197" s="27">
        <f>A196+1</f>
        <v/>
      </c>
      <c r="B197" s="28">
        <f>Duration0+A197</f>
        <v/>
      </c>
      <c r="C197" s="27">
        <f>INT(B197/12)</f>
        <v/>
      </c>
      <c r="D197" s="28">
        <f>AgeAtEntry+C197</f>
        <v/>
      </c>
      <c r="E197" s="29">
        <f>IF(PremiumType="SINGLE",IF(B197=0,PremiumPPInput,0),IF(B197&lt;12*PolicyTerm,PremiumPPInput,0))</f>
        <v/>
      </c>
      <c r="F197" s="30">
        <f>INDEX(MortRates,MATCH(MIN(D197,120),MortAges,0),MAX(MIN(C197,5),0)+1)</f>
        <v/>
      </c>
      <c r="G197" s="31">
        <f>1-(1-F197)^(1/12)</f>
        <v/>
      </c>
      <c r="H197" s="32">
        <f>MAX(LapseBase-LapseStep*C197,LapseFloor)</f>
        <v/>
      </c>
      <c r="I197" s="32">
        <f>IF(HasSurrCharge,INDEX(SurrRates,MIN(C197,SurrDurMax)+1,MATCH(SurrChargeID,SurrTypes,0)),0)</f>
        <v/>
      </c>
      <c r="J197" s="33">
        <f>N196-P196-O196</f>
        <v/>
      </c>
      <c r="K197" s="30">
        <f>IF(B197=12*PolicyTerm,J197,0)</f>
        <v/>
      </c>
      <c r="L197" s="33">
        <f>J197-K197</f>
        <v/>
      </c>
      <c r="M197" s="30">
        <f>IF(B197=0,PolicyCount,0)</f>
        <v/>
      </c>
      <c r="N197" s="33">
        <f>L197+M197</f>
        <v/>
      </c>
      <c r="O197" s="31">
        <f>N197*G197</f>
        <v/>
      </c>
      <c r="P197" s="33">
        <f>(N197-O197)*(1-(1-H197)^(1/12))</f>
        <v/>
      </c>
      <c r="Q197" s="34">
        <f>X196+Z196</f>
        <v/>
      </c>
      <c r="R197" s="29">
        <f>(1-LoadPremRate)*E197</f>
        <v/>
      </c>
      <c r="S197" s="34">
        <f>Q197+R197</f>
        <v/>
      </c>
      <c r="T197" s="29">
        <f>MaintFeeRateAnn/12*S197</f>
        <v/>
      </c>
      <c r="U197" s="29">
        <f>MAX(SumAssured-S197,0)</f>
        <v/>
      </c>
      <c r="V197" s="35">
        <f>CoiMultiple*G197</f>
        <v/>
      </c>
      <c r="W197" s="34">
        <f>V197*U197</f>
        <v/>
      </c>
      <c r="X197" s="34">
        <f>S197-T197-W197</f>
        <v/>
      </c>
      <c r="Y197" s="36">
        <f>EXP((Mu-0.5*Sigma^2)/12+Sigma*SQRT(1/12)*INDEX(NormRand,ScenID,A197+1))-1</f>
        <v/>
      </c>
      <c r="Z197" s="34">
        <f>Y197*X197</f>
        <v/>
      </c>
      <c r="AA197" s="34">
        <f>X197+0.5*Z197</f>
        <v/>
      </c>
      <c r="AB197" s="34">
        <f>Q197*J197</f>
        <v/>
      </c>
      <c r="AC197" s="34">
        <f>Q197*L197</f>
        <v/>
      </c>
      <c r="AD197" s="34">
        <f>S197*N197</f>
        <v/>
      </c>
      <c r="AE197" s="34">
        <f>E197*N197</f>
        <v/>
      </c>
      <c r="AF197" s="34">
        <f>R197*N197</f>
        <v/>
      </c>
      <c r="AG197" s="29">
        <f>MAX(SumAssured,AA197)</f>
        <v/>
      </c>
      <c r="AH197" s="34">
        <f>AG197*O197</f>
        <v/>
      </c>
      <c r="AI197" s="34">
        <f>AA197*O197</f>
        <v/>
      </c>
      <c r="AJ197" s="34">
        <f>AA197*P197</f>
        <v/>
      </c>
      <c r="AK197" s="34">
        <f>I197*AA197*P197</f>
        <v/>
      </c>
      <c r="AL197" s="34">
        <f>AJ197-AK197</f>
        <v/>
      </c>
      <c r="AM197" s="34">
        <f>Q197*K197</f>
        <v/>
      </c>
      <c r="AN197" s="34">
        <f>AH197+AL197+AM197</f>
        <v/>
      </c>
      <c r="AO197" s="34">
        <f>(AG197-AA197)*O197</f>
        <v/>
      </c>
      <c r="AP197" s="34">
        <f>W197*N197</f>
        <v/>
      </c>
      <c r="AQ197" s="34">
        <f>T197*N197</f>
        <v/>
      </c>
      <c r="AR197" s="34">
        <f>Z197*J198+0.5*Z197*(O197+P197)</f>
        <v/>
      </c>
      <c r="AS197" s="30">
        <f>(1+InflationRate)^(A197/12)</f>
        <v/>
      </c>
      <c r="AT197" s="29">
        <f>ExpenseAcq*M197+N197*ExpenseMaint/12*AS197</f>
        <v/>
      </c>
      <c r="AU197" s="29">
        <f>CommissionRate*AE197</f>
        <v/>
      </c>
      <c r="AV197" s="34">
        <f>AB198-AB197</f>
        <v/>
      </c>
      <c r="AW197" s="34">
        <f>AE197+AR197-AN197-AT197-AU197-AV197</f>
        <v/>
      </c>
      <c r="AX197" s="29">
        <f>LoadPremRate*E197*N197+AK197+AQ197-AU197-AT197</f>
        <v/>
      </c>
      <c r="AY197" s="34">
        <f>AP197-AO197</f>
        <v/>
      </c>
      <c r="AZ197" s="37">
        <f>(AW197-AX197-AY197)/MAX(1,ABS(AW197),ABS(AX197),ABS(AY197))</f>
        <v/>
      </c>
      <c r="BA197" s="37">
        <f>IF(OR(K197&gt;0,K198&gt;0),0,(AC198-(AC197+AF197-AQ197-AP197+AR197-AI197-AJ197-AM197))/MAX(1,ABS(AC197),ABS(AC198)))</f>
        <v/>
      </c>
      <c r="BB197" s="35">
        <f>(1+INDEX(DiscRateAnn,INT(A197/12)+1))^(1/12)-1</f>
        <v/>
      </c>
      <c r="BC197" s="31">
        <f>(1+BB197)^-A197</f>
        <v/>
      </c>
      <c r="BD197" s="34">
        <f>AW197*BC197</f>
        <v/>
      </c>
    </row>
    <row r="198">
      <c r="A198" s="27">
        <f>A197+1</f>
        <v/>
      </c>
      <c r="B198" s="28">
        <f>Duration0+A198</f>
        <v/>
      </c>
      <c r="C198" s="27">
        <f>INT(B198/12)</f>
        <v/>
      </c>
      <c r="D198" s="28">
        <f>AgeAtEntry+C198</f>
        <v/>
      </c>
      <c r="E198" s="29">
        <f>IF(PremiumType="SINGLE",IF(B198=0,PremiumPPInput,0),IF(B198&lt;12*PolicyTerm,PremiumPPInput,0))</f>
        <v/>
      </c>
      <c r="F198" s="30">
        <f>INDEX(MortRates,MATCH(MIN(D198,120),MortAges,0),MAX(MIN(C198,5),0)+1)</f>
        <v/>
      </c>
      <c r="G198" s="31">
        <f>1-(1-F198)^(1/12)</f>
        <v/>
      </c>
      <c r="H198" s="32">
        <f>MAX(LapseBase-LapseStep*C198,LapseFloor)</f>
        <v/>
      </c>
      <c r="I198" s="32">
        <f>IF(HasSurrCharge,INDEX(SurrRates,MIN(C198,SurrDurMax)+1,MATCH(SurrChargeID,SurrTypes,0)),0)</f>
        <v/>
      </c>
      <c r="J198" s="33">
        <f>N197-P197-O197</f>
        <v/>
      </c>
      <c r="K198" s="30">
        <f>IF(B198=12*PolicyTerm,J198,0)</f>
        <v/>
      </c>
      <c r="L198" s="33">
        <f>J198-K198</f>
        <v/>
      </c>
      <c r="M198" s="30">
        <f>IF(B198=0,PolicyCount,0)</f>
        <v/>
      </c>
      <c r="N198" s="33">
        <f>L198+M198</f>
        <v/>
      </c>
      <c r="O198" s="31">
        <f>N198*G198</f>
        <v/>
      </c>
      <c r="P198" s="33">
        <f>(N198-O198)*(1-(1-H198)^(1/12))</f>
        <v/>
      </c>
      <c r="Q198" s="34">
        <f>X197+Z197</f>
        <v/>
      </c>
      <c r="R198" s="29">
        <f>(1-LoadPremRate)*E198</f>
        <v/>
      </c>
      <c r="S198" s="34">
        <f>Q198+R198</f>
        <v/>
      </c>
      <c r="T198" s="29">
        <f>MaintFeeRateAnn/12*S198</f>
        <v/>
      </c>
      <c r="U198" s="29">
        <f>MAX(SumAssured-S198,0)</f>
        <v/>
      </c>
      <c r="V198" s="35">
        <f>CoiMultiple*G198</f>
        <v/>
      </c>
      <c r="W198" s="34">
        <f>V198*U198</f>
        <v/>
      </c>
      <c r="X198" s="34">
        <f>S198-T198-W198</f>
        <v/>
      </c>
      <c r="Y198" s="36">
        <f>EXP((Mu-0.5*Sigma^2)/12+Sigma*SQRT(1/12)*INDEX(NormRand,ScenID,A198+1))-1</f>
        <v/>
      </c>
      <c r="Z198" s="34">
        <f>Y198*X198</f>
        <v/>
      </c>
      <c r="AA198" s="34">
        <f>X198+0.5*Z198</f>
        <v/>
      </c>
      <c r="AB198" s="34">
        <f>Q198*J198</f>
        <v/>
      </c>
      <c r="AC198" s="34">
        <f>Q198*L198</f>
        <v/>
      </c>
      <c r="AD198" s="34">
        <f>S198*N198</f>
        <v/>
      </c>
      <c r="AE198" s="34">
        <f>E198*N198</f>
        <v/>
      </c>
      <c r="AF198" s="34">
        <f>R198*N198</f>
        <v/>
      </c>
      <c r="AG198" s="29">
        <f>MAX(SumAssured,AA198)</f>
        <v/>
      </c>
      <c r="AH198" s="34">
        <f>AG198*O198</f>
        <v/>
      </c>
      <c r="AI198" s="34">
        <f>AA198*O198</f>
        <v/>
      </c>
      <c r="AJ198" s="34">
        <f>AA198*P198</f>
        <v/>
      </c>
      <c r="AK198" s="34">
        <f>I198*AA198*P198</f>
        <v/>
      </c>
      <c r="AL198" s="34">
        <f>AJ198-AK198</f>
        <v/>
      </c>
      <c r="AM198" s="34">
        <f>Q198*K198</f>
        <v/>
      </c>
      <c r="AN198" s="34">
        <f>AH198+AL198+AM198</f>
        <v/>
      </c>
      <c r="AO198" s="34">
        <f>(AG198-AA198)*O198</f>
        <v/>
      </c>
      <c r="AP198" s="34">
        <f>W198*N198</f>
        <v/>
      </c>
      <c r="AQ198" s="34">
        <f>T198*N198</f>
        <v/>
      </c>
      <c r="AR198" s="34">
        <f>Z198*J199+0.5*Z198*(O198+P198)</f>
        <v/>
      </c>
      <c r="AS198" s="30">
        <f>(1+InflationRate)^(A198/12)</f>
        <v/>
      </c>
      <c r="AT198" s="29">
        <f>ExpenseAcq*M198+N198*ExpenseMaint/12*AS198</f>
        <v/>
      </c>
      <c r="AU198" s="29">
        <f>CommissionRate*AE198</f>
        <v/>
      </c>
      <c r="AV198" s="34">
        <f>AB199-AB198</f>
        <v/>
      </c>
      <c r="AW198" s="34">
        <f>AE198+AR198-AN198-AT198-AU198-AV198</f>
        <v/>
      </c>
      <c r="AX198" s="29">
        <f>LoadPremRate*E198*N198+AK198+AQ198-AU198-AT198</f>
        <v/>
      </c>
      <c r="AY198" s="34">
        <f>AP198-AO198</f>
        <v/>
      </c>
      <c r="AZ198" s="37">
        <f>(AW198-AX198-AY198)/MAX(1,ABS(AW198),ABS(AX198),ABS(AY198))</f>
        <v/>
      </c>
      <c r="BA198" s="37">
        <f>IF(OR(K198&gt;0,K199&gt;0),0,(AC199-(AC198+AF198-AQ198-AP198+AR198-AI198-AJ198-AM198))/MAX(1,ABS(AC198),ABS(AC199)))</f>
        <v/>
      </c>
      <c r="BB198" s="35">
        <f>(1+INDEX(DiscRateAnn,INT(A198/12)+1))^(1/12)-1</f>
        <v/>
      </c>
      <c r="BC198" s="31">
        <f>(1+BB198)^-A198</f>
        <v/>
      </c>
      <c r="BD198" s="34">
        <f>AW198*BC198</f>
        <v/>
      </c>
    </row>
    <row r="199">
      <c r="A199" s="27">
        <f>A198+1</f>
        <v/>
      </c>
      <c r="B199" s="28">
        <f>Duration0+A199</f>
        <v/>
      </c>
      <c r="C199" s="27">
        <f>INT(B199/12)</f>
        <v/>
      </c>
      <c r="D199" s="28">
        <f>AgeAtEntry+C199</f>
        <v/>
      </c>
      <c r="E199" s="29">
        <f>IF(PremiumType="SINGLE",IF(B199=0,PremiumPPInput,0),IF(B199&lt;12*PolicyTerm,PremiumPPInput,0))</f>
        <v/>
      </c>
      <c r="F199" s="30">
        <f>INDEX(MortRates,MATCH(MIN(D199,120),MortAges,0),MAX(MIN(C199,5),0)+1)</f>
        <v/>
      </c>
      <c r="G199" s="31">
        <f>1-(1-F199)^(1/12)</f>
        <v/>
      </c>
      <c r="H199" s="32">
        <f>MAX(LapseBase-LapseStep*C199,LapseFloor)</f>
        <v/>
      </c>
      <c r="I199" s="32">
        <f>IF(HasSurrCharge,INDEX(SurrRates,MIN(C199,SurrDurMax)+1,MATCH(SurrChargeID,SurrTypes,0)),0)</f>
        <v/>
      </c>
      <c r="J199" s="33">
        <f>N198-P198-O198</f>
        <v/>
      </c>
      <c r="K199" s="30">
        <f>IF(B199=12*PolicyTerm,J199,0)</f>
        <v/>
      </c>
      <c r="L199" s="33">
        <f>J199-K199</f>
        <v/>
      </c>
      <c r="M199" s="30">
        <f>IF(B199=0,PolicyCount,0)</f>
        <v/>
      </c>
      <c r="N199" s="33">
        <f>L199+M199</f>
        <v/>
      </c>
      <c r="O199" s="31">
        <f>N199*G199</f>
        <v/>
      </c>
      <c r="P199" s="33">
        <f>(N199-O199)*(1-(1-H199)^(1/12))</f>
        <v/>
      </c>
      <c r="Q199" s="34">
        <f>X198+Z198</f>
        <v/>
      </c>
      <c r="R199" s="29">
        <f>(1-LoadPremRate)*E199</f>
        <v/>
      </c>
      <c r="S199" s="34">
        <f>Q199+R199</f>
        <v/>
      </c>
      <c r="T199" s="29">
        <f>MaintFeeRateAnn/12*S199</f>
        <v/>
      </c>
      <c r="U199" s="29">
        <f>MAX(SumAssured-S199,0)</f>
        <v/>
      </c>
      <c r="V199" s="35">
        <f>CoiMultiple*G199</f>
        <v/>
      </c>
      <c r="W199" s="34">
        <f>V199*U199</f>
        <v/>
      </c>
      <c r="X199" s="34">
        <f>S199-T199-W199</f>
        <v/>
      </c>
      <c r="Y199" s="36">
        <f>EXP((Mu-0.5*Sigma^2)/12+Sigma*SQRT(1/12)*INDEX(NormRand,ScenID,A199+1))-1</f>
        <v/>
      </c>
      <c r="Z199" s="34">
        <f>Y199*X199</f>
        <v/>
      </c>
      <c r="AA199" s="34">
        <f>X199+0.5*Z199</f>
        <v/>
      </c>
      <c r="AB199" s="34">
        <f>Q199*J199</f>
        <v/>
      </c>
      <c r="AC199" s="34">
        <f>Q199*L199</f>
        <v/>
      </c>
      <c r="AD199" s="34">
        <f>S199*N199</f>
        <v/>
      </c>
      <c r="AE199" s="34">
        <f>E199*N199</f>
        <v/>
      </c>
      <c r="AF199" s="34">
        <f>R199*N199</f>
        <v/>
      </c>
      <c r="AG199" s="29">
        <f>MAX(SumAssured,AA199)</f>
        <v/>
      </c>
      <c r="AH199" s="34">
        <f>AG199*O199</f>
        <v/>
      </c>
      <c r="AI199" s="34">
        <f>AA199*O199</f>
        <v/>
      </c>
      <c r="AJ199" s="34">
        <f>AA199*P199</f>
        <v/>
      </c>
      <c r="AK199" s="34">
        <f>I199*AA199*P199</f>
        <v/>
      </c>
      <c r="AL199" s="34">
        <f>AJ199-AK199</f>
        <v/>
      </c>
      <c r="AM199" s="34">
        <f>Q199*K199</f>
        <v/>
      </c>
      <c r="AN199" s="34">
        <f>AH199+AL199+AM199</f>
        <v/>
      </c>
      <c r="AO199" s="34">
        <f>(AG199-AA199)*O199</f>
        <v/>
      </c>
      <c r="AP199" s="34">
        <f>W199*N199</f>
        <v/>
      </c>
      <c r="AQ199" s="34">
        <f>T199*N199</f>
        <v/>
      </c>
      <c r="AR199" s="34">
        <f>Z199*J200+0.5*Z199*(O199+P199)</f>
        <v/>
      </c>
      <c r="AS199" s="30">
        <f>(1+InflationRate)^(A199/12)</f>
        <v/>
      </c>
      <c r="AT199" s="29">
        <f>ExpenseAcq*M199+N199*ExpenseMaint/12*AS199</f>
        <v/>
      </c>
      <c r="AU199" s="29">
        <f>CommissionRate*AE199</f>
        <v/>
      </c>
      <c r="AV199" s="34">
        <f>AB200-AB199</f>
        <v/>
      </c>
      <c r="AW199" s="34">
        <f>AE199+AR199-AN199-AT199-AU199-AV199</f>
        <v/>
      </c>
      <c r="AX199" s="29">
        <f>LoadPremRate*E199*N199+AK199+AQ199-AU199-AT199</f>
        <v/>
      </c>
      <c r="AY199" s="34">
        <f>AP199-AO199</f>
        <v/>
      </c>
      <c r="AZ199" s="37">
        <f>(AW199-AX199-AY199)/MAX(1,ABS(AW199),ABS(AX199),ABS(AY199))</f>
        <v/>
      </c>
      <c r="BA199" s="37">
        <f>IF(OR(K199&gt;0,K200&gt;0),0,(AC200-(AC199+AF199-AQ199-AP199+AR199-AI199-AJ199-AM199))/MAX(1,ABS(AC199),ABS(AC200)))</f>
        <v/>
      </c>
      <c r="BB199" s="35">
        <f>(1+INDEX(DiscRateAnn,INT(A199/12)+1))^(1/12)-1</f>
        <v/>
      </c>
      <c r="BC199" s="31">
        <f>(1+BB199)^-A199</f>
        <v/>
      </c>
      <c r="BD199" s="34">
        <f>AW199*BC199</f>
        <v/>
      </c>
    </row>
    <row r="200">
      <c r="A200" s="27">
        <f>A199+1</f>
        <v/>
      </c>
      <c r="B200" s="28">
        <f>Duration0+A200</f>
        <v/>
      </c>
      <c r="C200" s="27">
        <f>INT(B200/12)</f>
        <v/>
      </c>
      <c r="D200" s="28">
        <f>AgeAtEntry+C200</f>
        <v/>
      </c>
      <c r="E200" s="29">
        <f>IF(PremiumType="SINGLE",IF(B200=0,PremiumPPInput,0),IF(B200&lt;12*PolicyTerm,PremiumPPInput,0))</f>
        <v/>
      </c>
      <c r="F200" s="30">
        <f>INDEX(MortRates,MATCH(MIN(D200,120),MortAges,0),MAX(MIN(C200,5),0)+1)</f>
        <v/>
      </c>
      <c r="G200" s="31">
        <f>1-(1-F200)^(1/12)</f>
        <v/>
      </c>
      <c r="H200" s="32">
        <f>MAX(LapseBase-LapseStep*C200,LapseFloor)</f>
        <v/>
      </c>
      <c r="I200" s="32">
        <f>IF(HasSurrCharge,INDEX(SurrRates,MIN(C200,SurrDurMax)+1,MATCH(SurrChargeID,SurrTypes,0)),0)</f>
        <v/>
      </c>
      <c r="J200" s="33">
        <f>N199-P199-O199</f>
        <v/>
      </c>
      <c r="K200" s="30">
        <f>IF(B200=12*PolicyTerm,J200,0)</f>
        <v/>
      </c>
      <c r="L200" s="33">
        <f>J200-K200</f>
        <v/>
      </c>
      <c r="M200" s="30">
        <f>IF(B200=0,PolicyCount,0)</f>
        <v/>
      </c>
      <c r="N200" s="33">
        <f>L200+M200</f>
        <v/>
      </c>
      <c r="O200" s="31">
        <f>N200*G200</f>
        <v/>
      </c>
      <c r="P200" s="33">
        <f>(N200-O200)*(1-(1-H200)^(1/12))</f>
        <v/>
      </c>
      <c r="Q200" s="34">
        <f>X199+Z199</f>
        <v/>
      </c>
      <c r="R200" s="29">
        <f>(1-LoadPremRate)*E200</f>
        <v/>
      </c>
      <c r="S200" s="34">
        <f>Q200+R200</f>
        <v/>
      </c>
      <c r="T200" s="29">
        <f>MaintFeeRateAnn/12*S200</f>
        <v/>
      </c>
      <c r="U200" s="29">
        <f>MAX(SumAssured-S200,0)</f>
        <v/>
      </c>
      <c r="V200" s="35">
        <f>CoiMultiple*G200</f>
        <v/>
      </c>
      <c r="W200" s="34">
        <f>V200*U200</f>
        <v/>
      </c>
      <c r="X200" s="34">
        <f>S200-T200-W200</f>
        <v/>
      </c>
      <c r="Y200" s="36">
        <f>EXP((Mu-0.5*Sigma^2)/12+Sigma*SQRT(1/12)*INDEX(NormRand,ScenID,A200+1))-1</f>
        <v/>
      </c>
      <c r="Z200" s="34">
        <f>Y200*X200</f>
        <v/>
      </c>
      <c r="AA200" s="34">
        <f>X200+0.5*Z200</f>
        <v/>
      </c>
      <c r="AB200" s="34">
        <f>Q200*J200</f>
        <v/>
      </c>
      <c r="AC200" s="34">
        <f>Q200*L200</f>
        <v/>
      </c>
      <c r="AD200" s="34">
        <f>S200*N200</f>
        <v/>
      </c>
      <c r="AE200" s="34">
        <f>E200*N200</f>
        <v/>
      </c>
      <c r="AF200" s="34">
        <f>R200*N200</f>
        <v/>
      </c>
      <c r="AG200" s="29">
        <f>MAX(SumAssured,AA200)</f>
        <v/>
      </c>
      <c r="AH200" s="34">
        <f>AG200*O200</f>
        <v/>
      </c>
      <c r="AI200" s="34">
        <f>AA200*O200</f>
        <v/>
      </c>
      <c r="AJ200" s="34">
        <f>AA200*P200</f>
        <v/>
      </c>
      <c r="AK200" s="34">
        <f>I200*AA200*P200</f>
        <v/>
      </c>
      <c r="AL200" s="34">
        <f>AJ200-AK200</f>
        <v/>
      </c>
      <c r="AM200" s="34">
        <f>Q200*K200</f>
        <v/>
      </c>
      <c r="AN200" s="34">
        <f>AH200+AL200+AM200</f>
        <v/>
      </c>
      <c r="AO200" s="34">
        <f>(AG200-AA200)*O200</f>
        <v/>
      </c>
      <c r="AP200" s="34">
        <f>W200*N200</f>
        <v/>
      </c>
      <c r="AQ200" s="34">
        <f>T200*N200</f>
        <v/>
      </c>
      <c r="AR200" s="34">
        <f>Z200*J201+0.5*Z200*(O200+P200)</f>
        <v/>
      </c>
      <c r="AS200" s="30">
        <f>(1+InflationRate)^(A200/12)</f>
        <v/>
      </c>
      <c r="AT200" s="29">
        <f>ExpenseAcq*M200+N200*ExpenseMaint/12*AS200</f>
        <v/>
      </c>
      <c r="AU200" s="29">
        <f>CommissionRate*AE200</f>
        <v/>
      </c>
      <c r="AV200" s="34">
        <f>AB201-AB200</f>
        <v/>
      </c>
      <c r="AW200" s="34">
        <f>AE200+AR200-AN200-AT200-AU200-AV200</f>
        <v/>
      </c>
      <c r="AX200" s="29">
        <f>LoadPremRate*E200*N200+AK200+AQ200-AU200-AT200</f>
        <v/>
      </c>
      <c r="AY200" s="34">
        <f>AP200-AO200</f>
        <v/>
      </c>
      <c r="AZ200" s="37">
        <f>(AW200-AX200-AY200)/MAX(1,ABS(AW200),ABS(AX200),ABS(AY200))</f>
        <v/>
      </c>
      <c r="BA200" s="37">
        <f>IF(OR(K200&gt;0,K201&gt;0),0,(AC201-(AC200+AF200-AQ200-AP200+AR200-AI200-AJ200-AM200))/MAX(1,ABS(AC200),ABS(AC201)))</f>
        <v/>
      </c>
      <c r="BB200" s="35">
        <f>(1+INDEX(DiscRateAnn,INT(A200/12)+1))^(1/12)-1</f>
        <v/>
      </c>
      <c r="BC200" s="31">
        <f>(1+BB200)^-A200</f>
        <v/>
      </c>
      <c r="BD200" s="34">
        <f>AW200*BC200</f>
        <v/>
      </c>
    </row>
    <row r="201">
      <c r="A201" s="27">
        <f>A200+1</f>
        <v/>
      </c>
      <c r="B201" s="28">
        <f>Duration0+A201</f>
        <v/>
      </c>
      <c r="C201" s="27">
        <f>INT(B201/12)</f>
        <v/>
      </c>
      <c r="D201" s="28">
        <f>AgeAtEntry+C201</f>
        <v/>
      </c>
      <c r="E201" s="29">
        <f>IF(PremiumType="SINGLE",IF(B201=0,PremiumPPInput,0),IF(B201&lt;12*PolicyTerm,PremiumPPInput,0))</f>
        <v/>
      </c>
      <c r="F201" s="30">
        <f>INDEX(MortRates,MATCH(MIN(D201,120),MortAges,0),MAX(MIN(C201,5),0)+1)</f>
        <v/>
      </c>
      <c r="G201" s="31">
        <f>1-(1-F201)^(1/12)</f>
        <v/>
      </c>
      <c r="H201" s="32">
        <f>MAX(LapseBase-LapseStep*C201,LapseFloor)</f>
        <v/>
      </c>
      <c r="I201" s="32">
        <f>IF(HasSurrCharge,INDEX(SurrRates,MIN(C201,SurrDurMax)+1,MATCH(SurrChargeID,SurrTypes,0)),0)</f>
        <v/>
      </c>
      <c r="J201" s="33">
        <f>N200-P200-O200</f>
        <v/>
      </c>
      <c r="K201" s="30">
        <f>IF(B201=12*PolicyTerm,J201,0)</f>
        <v/>
      </c>
      <c r="L201" s="33">
        <f>J201-K201</f>
        <v/>
      </c>
      <c r="M201" s="30">
        <f>IF(B201=0,PolicyCount,0)</f>
        <v/>
      </c>
      <c r="N201" s="33">
        <f>L201+M201</f>
        <v/>
      </c>
      <c r="O201" s="31">
        <f>N201*G201</f>
        <v/>
      </c>
      <c r="P201" s="33">
        <f>(N201-O201)*(1-(1-H201)^(1/12))</f>
        <v/>
      </c>
      <c r="Q201" s="34">
        <f>X200+Z200</f>
        <v/>
      </c>
      <c r="R201" s="29">
        <f>(1-LoadPremRate)*E201</f>
        <v/>
      </c>
      <c r="S201" s="34">
        <f>Q201+R201</f>
        <v/>
      </c>
      <c r="T201" s="29">
        <f>MaintFeeRateAnn/12*S201</f>
        <v/>
      </c>
      <c r="U201" s="29">
        <f>MAX(SumAssured-S201,0)</f>
        <v/>
      </c>
      <c r="V201" s="35">
        <f>CoiMultiple*G201</f>
        <v/>
      </c>
      <c r="W201" s="34">
        <f>V201*U201</f>
        <v/>
      </c>
      <c r="X201" s="34">
        <f>S201-T201-W201</f>
        <v/>
      </c>
      <c r="Y201" s="36">
        <f>EXP((Mu-0.5*Sigma^2)/12+Sigma*SQRT(1/12)*INDEX(NormRand,ScenID,A201+1))-1</f>
        <v/>
      </c>
      <c r="Z201" s="34">
        <f>Y201*X201</f>
        <v/>
      </c>
      <c r="AA201" s="34">
        <f>X201+0.5*Z201</f>
        <v/>
      </c>
      <c r="AB201" s="34">
        <f>Q201*J201</f>
        <v/>
      </c>
      <c r="AC201" s="34">
        <f>Q201*L201</f>
        <v/>
      </c>
      <c r="AD201" s="34">
        <f>S201*N201</f>
        <v/>
      </c>
      <c r="AE201" s="34">
        <f>E201*N201</f>
        <v/>
      </c>
      <c r="AF201" s="34">
        <f>R201*N201</f>
        <v/>
      </c>
      <c r="AG201" s="29">
        <f>MAX(SumAssured,AA201)</f>
        <v/>
      </c>
      <c r="AH201" s="34">
        <f>AG201*O201</f>
        <v/>
      </c>
      <c r="AI201" s="34">
        <f>AA201*O201</f>
        <v/>
      </c>
      <c r="AJ201" s="34">
        <f>AA201*P201</f>
        <v/>
      </c>
      <c r="AK201" s="34">
        <f>I201*AA201*P201</f>
        <v/>
      </c>
      <c r="AL201" s="34">
        <f>AJ201-AK201</f>
        <v/>
      </c>
      <c r="AM201" s="34">
        <f>Q201*K201</f>
        <v/>
      </c>
      <c r="AN201" s="34">
        <f>AH201+AL201+AM201</f>
        <v/>
      </c>
      <c r="AO201" s="34">
        <f>(AG201-AA201)*O201</f>
        <v/>
      </c>
      <c r="AP201" s="34">
        <f>W201*N201</f>
        <v/>
      </c>
      <c r="AQ201" s="34">
        <f>T201*N201</f>
        <v/>
      </c>
      <c r="AR201" s="34">
        <f>Z201*J202+0.5*Z201*(O201+P201)</f>
        <v/>
      </c>
      <c r="AS201" s="30">
        <f>(1+InflationRate)^(A201/12)</f>
        <v/>
      </c>
      <c r="AT201" s="29">
        <f>ExpenseAcq*M201+N201*ExpenseMaint/12*AS201</f>
        <v/>
      </c>
      <c r="AU201" s="29">
        <f>CommissionRate*AE201</f>
        <v/>
      </c>
      <c r="AV201" s="34">
        <f>AB202-AB201</f>
        <v/>
      </c>
      <c r="AW201" s="34">
        <f>AE201+AR201-AN201-AT201-AU201-AV201</f>
        <v/>
      </c>
      <c r="AX201" s="29">
        <f>LoadPremRate*E201*N201+AK201+AQ201-AU201-AT201</f>
        <v/>
      </c>
      <c r="AY201" s="34">
        <f>AP201-AO201</f>
        <v/>
      </c>
      <c r="AZ201" s="37">
        <f>(AW201-AX201-AY201)/MAX(1,ABS(AW201),ABS(AX201),ABS(AY201))</f>
        <v/>
      </c>
      <c r="BA201" s="37">
        <f>IF(OR(K201&gt;0,K202&gt;0),0,(AC202-(AC201+AF201-AQ201-AP201+AR201-AI201-AJ201-AM201))/MAX(1,ABS(AC201),ABS(AC202)))</f>
        <v/>
      </c>
      <c r="BB201" s="35">
        <f>(1+INDEX(DiscRateAnn,INT(A201/12)+1))^(1/12)-1</f>
        <v/>
      </c>
      <c r="BC201" s="31">
        <f>(1+BB201)^-A201</f>
        <v/>
      </c>
      <c r="BD201" s="34">
        <f>AW201*BC201</f>
        <v/>
      </c>
    </row>
    <row r="202">
      <c r="A202" s="27">
        <f>A201+1</f>
        <v/>
      </c>
      <c r="B202" s="28">
        <f>Duration0+A202</f>
        <v/>
      </c>
      <c r="C202" s="27">
        <f>INT(B202/12)</f>
        <v/>
      </c>
      <c r="D202" s="28">
        <f>AgeAtEntry+C202</f>
        <v/>
      </c>
      <c r="E202" s="29">
        <f>IF(PremiumType="SINGLE",IF(B202=0,PremiumPPInput,0),IF(B202&lt;12*PolicyTerm,PremiumPPInput,0))</f>
        <v/>
      </c>
      <c r="F202" s="30">
        <f>INDEX(MortRates,MATCH(MIN(D202,120),MortAges,0),MAX(MIN(C202,5),0)+1)</f>
        <v/>
      </c>
      <c r="G202" s="31">
        <f>1-(1-F202)^(1/12)</f>
        <v/>
      </c>
      <c r="H202" s="32">
        <f>MAX(LapseBase-LapseStep*C202,LapseFloor)</f>
        <v/>
      </c>
      <c r="I202" s="32">
        <f>IF(HasSurrCharge,INDEX(SurrRates,MIN(C202,SurrDurMax)+1,MATCH(SurrChargeID,SurrTypes,0)),0)</f>
        <v/>
      </c>
      <c r="J202" s="33">
        <f>N201-P201-O201</f>
        <v/>
      </c>
      <c r="K202" s="30">
        <f>IF(B202=12*PolicyTerm,J202,0)</f>
        <v/>
      </c>
      <c r="L202" s="33">
        <f>J202-K202</f>
        <v/>
      </c>
      <c r="M202" s="30">
        <f>IF(B202=0,PolicyCount,0)</f>
        <v/>
      </c>
      <c r="N202" s="33">
        <f>L202+M202</f>
        <v/>
      </c>
      <c r="O202" s="31">
        <f>N202*G202</f>
        <v/>
      </c>
      <c r="P202" s="33">
        <f>(N202-O202)*(1-(1-H202)^(1/12))</f>
        <v/>
      </c>
      <c r="Q202" s="34">
        <f>X201+Z201</f>
        <v/>
      </c>
      <c r="R202" s="29">
        <f>(1-LoadPremRate)*E202</f>
        <v/>
      </c>
      <c r="S202" s="34">
        <f>Q202+R202</f>
        <v/>
      </c>
      <c r="T202" s="29">
        <f>MaintFeeRateAnn/12*S202</f>
        <v/>
      </c>
      <c r="U202" s="29">
        <f>MAX(SumAssured-S202,0)</f>
        <v/>
      </c>
      <c r="V202" s="35">
        <f>CoiMultiple*G202</f>
        <v/>
      </c>
      <c r="W202" s="34">
        <f>V202*U202</f>
        <v/>
      </c>
      <c r="X202" s="34">
        <f>S202-T202-W202</f>
        <v/>
      </c>
      <c r="Y202" s="36">
        <f>EXP((Mu-0.5*Sigma^2)/12+Sigma*SQRT(1/12)*INDEX(NormRand,ScenID,A202+1))-1</f>
        <v/>
      </c>
      <c r="Z202" s="34">
        <f>Y202*X202</f>
        <v/>
      </c>
      <c r="AA202" s="34">
        <f>X202+0.5*Z202</f>
        <v/>
      </c>
      <c r="AB202" s="34">
        <f>Q202*J202</f>
        <v/>
      </c>
      <c r="AC202" s="34">
        <f>Q202*L202</f>
        <v/>
      </c>
      <c r="AD202" s="34">
        <f>S202*N202</f>
        <v/>
      </c>
      <c r="AE202" s="34">
        <f>E202*N202</f>
        <v/>
      </c>
      <c r="AF202" s="34">
        <f>R202*N202</f>
        <v/>
      </c>
      <c r="AG202" s="29">
        <f>MAX(SumAssured,AA202)</f>
        <v/>
      </c>
      <c r="AH202" s="34">
        <f>AG202*O202</f>
        <v/>
      </c>
      <c r="AI202" s="34">
        <f>AA202*O202</f>
        <v/>
      </c>
      <c r="AJ202" s="34">
        <f>AA202*P202</f>
        <v/>
      </c>
      <c r="AK202" s="34">
        <f>I202*AA202*P202</f>
        <v/>
      </c>
      <c r="AL202" s="34">
        <f>AJ202-AK202</f>
        <v/>
      </c>
      <c r="AM202" s="34">
        <f>Q202*K202</f>
        <v/>
      </c>
      <c r="AN202" s="34">
        <f>AH202+AL202+AM202</f>
        <v/>
      </c>
      <c r="AO202" s="34">
        <f>(AG202-AA202)*O202</f>
        <v/>
      </c>
      <c r="AP202" s="34">
        <f>W202*N202</f>
        <v/>
      </c>
      <c r="AQ202" s="34">
        <f>T202*N202</f>
        <v/>
      </c>
      <c r="AR202" s="34">
        <f>Z202*J203+0.5*Z202*(O202+P202)</f>
        <v/>
      </c>
      <c r="AS202" s="30">
        <f>(1+InflationRate)^(A202/12)</f>
        <v/>
      </c>
      <c r="AT202" s="29">
        <f>ExpenseAcq*M202+N202*ExpenseMaint/12*AS202</f>
        <v/>
      </c>
      <c r="AU202" s="29">
        <f>CommissionRate*AE202</f>
        <v/>
      </c>
      <c r="AV202" s="34">
        <f>AB203-AB202</f>
        <v/>
      </c>
      <c r="AW202" s="34">
        <f>AE202+AR202-AN202-AT202-AU202-AV202</f>
        <v/>
      </c>
      <c r="AX202" s="29">
        <f>LoadPremRate*E202*N202+AK202+AQ202-AU202-AT202</f>
        <v/>
      </c>
      <c r="AY202" s="34">
        <f>AP202-AO202</f>
        <v/>
      </c>
      <c r="AZ202" s="37">
        <f>(AW202-AX202-AY202)/MAX(1,ABS(AW202),ABS(AX202),ABS(AY202))</f>
        <v/>
      </c>
      <c r="BA202" s="37">
        <f>IF(OR(K202&gt;0,K203&gt;0),0,(AC203-(AC202+AF202-AQ202-AP202+AR202-AI202-AJ202-AM202))/MAX(1,ABS(AC202),ABS(AC203)))</f>
        <v/>
      </c>
      <c r="BB202" s="35">
        <f>(1+INDEX(DiscRateAnn,INT(A202/12)+1))^(1/12)-1</f>
        <v/>
      </c>
      <c r="BC202" s="31">
        <f>(1+BB202)^-A202</f>
        <v/>
      </c>
      <c r="BD202" s="34">
        <f>AW202*BC202</f>
        <v/>
      </c>
    </row>
    <row r="203">
      <c r="A203" s="27">
        <f>A202+1</f>
        <v/>
      </c>
      <c r="B203" s="28">
        <f>Duration0+A203</f>
        <v/>
      </c>
      <c r="C203" s="27">
        <f>INT(B203/12)</f>
        <v/>
      </c>
      <c r="D203" s="28">
        <f>AgeAtEntry+C203</f>
        <v/>
      </c>
      <c r="E203" s="29">
        <f>IF(PremiumType="SINGLE",IF(B203=0,PremiumPPInput,0),IF(B203&lt;12*PolicyTerm,PremiumPPInput,0))</f>
        <v/>
      </c>
      <c r="F203" s="30">
        <f>INDEX(MortRates,MATCH(MIN(D203,120),MortAges,0),MAX(MIN(C203,5),0)+1)</f>
        <v/>
      </c>
      <c r="G203" s="31">
        <f>1-(1-F203)^(1/12)</f>
        <v/>
      </c>
      <c r="H203" s="32">
        <f>MAX(LapseBase-LapseStep*C203,LapseFloor)</f>
        <v/>
      </c>
      <c r="I203" s="32">
        <f>IF(HasSurrCharge,INDEX(SurrRates,MIN(C203,SurrDurMax)+1,MATCH(SurrChargeID,SurrTypes,0)),0)</f>
        <v/>
      </c>
      <c r="J203" s="33">
        <f>N202-P202-O202</f>
        <v/>
      </c>
      <c r="K203" s="30">
        <f>IF(B203=12*PolicyTerm,J203,0)</f>
        <v/>
      </c>
      <c r="L203" s="33">
        <f>J203-K203</f>
        <v/>
      </c>
      <c r="M203" s="30">
        <f>IF(B203=0,PolicyCount,0)</f>
        <v/>
      </c>
      <c r="N203" s="33">
        <f>L203+M203</f>
        <v/>
      </c>
      <c r="O203" s="31">
        <f>N203*G203</f>
        <v/>
      </c>
      <c r="P203" s="33">
        <f>(N203-O203)*(1-(1-H203)^(1/12))</f>
        <v/>
      </c>
      <c r="Q203" s="34">
        <f>X202+Z202</f>
        <v/>
      </c>
      <c r="R203" s="29">
        <f>(1-LoadPremRate)*E203</f>
        <v/>
      </c>
      <c r="S203" s="34">
        <f>Q203+R203</f>
        <v/>
      </c>
      <c r="T203" s="29">
        <f>MaintFeeRateAnn/12*S203</f>
        <v/>
      </c>
      <c r="U203" s="29">
        <f>MAX(SumAssured-S203,0)</f>
        <v/>
      </c>
      <c r="V203" s="35">
        <f>CoiMultiple*G203</f>
        <v/>
      </c>
      <c r="W203" s="34">
        <f>V203*U203</f>
        <v/>
      </c>
      <c r="X203" s="34">
        <f>S203-T203-W203</f>
        <v/>
      </c>
      <c r="Y203" s="36">
        <f>EXP((Mu-0.5*Sigma^2)/12+Sigma*SQRT(1/12)*INDEX(NormRand,ScenID,A203+1))-1</f>
        <v/>
      </c>
      <c r="Z203" s="34">
        <f>Y203*X203</f>
        <v/>
      </c>
      <c r="AA203" s="34">
        <f>X203+0.5*Z203</f>
        <v/>
      </c>
      <c r="AB203" s="34">
        <f>Q203*J203</f>
        <v/>
      </c>
      <c r="AC203" s="34">
        <f>Q203*L203</f>
        <v/>
      </c>
      <c r="AD203" s="34">
        <f>S203*N203</f>
        <v/>
      </c>
      <c r="AE203" s="34">
        <f>E203*N203</f>
        <v/>
      </c>
      <c r="AF203" s="34">
        <f>R203*N203</f>
        <v/>
      </c>
      <c r="AG203" s="29">
        <f>MAX(SumAssured,AA203)</f>
        <v/>
      </c>
      <c r="AH203" s="34">
        <f>AG203*O203</f>
        <v/>
      </c>
      <c r="AI203" s="34">
        <f>AA203*O203</f>
        <v/>
      </c>
      <c r="AJ203" s="34">
        <f>AA203*P203</f>
        <v/>
      </c>
      <c r="AK203" s="34">
        <f>I203*AA203*P203</f>
        <v/>
      </c>
      <c r="AL203" s="34">
        <f>AJ203-AK203</f>
        <v/>
      </c>
      <c r="AM203" s="34">
        <f>Q203*K203</f>
        <v/>
      </c>
      <c r="AN203" s="34">
        <f>AH203+AL203+AM203</f>
        <v/>
      </c>
      <c r="AO203" s="34">
        <f>(AG203-AA203)*O203</f>
        <v/>
      </c>
      <c r="AP203" s="34">
        <f>W203*N203</f>
        <v/>
      </c>
      <c r="AQ203" s="34">
        <f>T203*N203</f>
        <v/>
      </c>
      <c r="AR203" s="34">
        <f>Z203*J204+0.5*Z203*(O203+P203)</f>
        <v/>
      </c>
      <c r="AS203" s="30">
        <f>(1+InflationRate)^(A203/12)</f>
        <v/>
      </c>
      <c r="AT203" s="29">
        <f>ExpenseAcq*M203+N203*ExpenseMaint/12*AS203</f>
        <v/>
      </c>
      <c r="AU203" s="29">
        <f>CommissionRate*AE203</f>
        <v/>
      </c>
      <c r="AV203" s="34">
        <f>AB204-AB203</f>
        <v/>
      </c>
      <c r="AW203" s="34">
        <f>AE203+AR203-AN203-AT203-AU203-AV203</f>
        <v/>
      </c>
      <c r="AX203" s="29">
        <f>LoadPremRate*E203*N203+AK203+AQ203-AU203-AT203</f>
        <v/>
      </c>
      <c r="AY203" s="34">
        <f>AP203-AO203</f>
        <v/>
      </c>
      <c r="AZ203" s="37">
        <f>(AW203-AX203-AY203)/MAX(1,ABS(AW203),ABS(AX203),ABS(AY203))</f>
        <v/>
      </c>
      <c r="BA203" s="37">
        <f>IF(OR(K203&gt;0,K204&gt;0),0,(AC204-(AC203+AF203-AQ203-AP203+AR203-AI203-AJ203-AM203))/MAX(1,ABS(AC203),ABS(AC204)))</f>
        <v/>
      </c>
      <c r="BB203" s="35">
        <f>(1+INDEX(DiscRateAnn,INT(A203/12)+1))^(1/12)-1</f>
        <v/>
      </c>
      <c r="BC203" s="31">
        <f>(1+BB203)^-A203</f>
        <v/>
      </c>
      <c r="BD203" s="34">
        <f>AW203*BC203</f>
        <v/>
      </c>
    </row>
    <row r="204">
      <c r="A204" s="27">
        <f>A203+1</f>
        <v/>
      </c>
      <c r="B204" s="28">
        <f>Duration0+A204</f>
        <v/>
      </c>
      <c r="C204" s="27">
        <f>INT(B204/12)</f>
        <v/>
      </c>
      <c r="D204" s="28">
        <f>AgeAtEntry+C204</f>
        <v/>
      </c>
      <c r="E204" s="29">
        <f>IF(PremiumType="SINGLE",IF(B204=0,PremiumPPInput,0),IF(B204&lt;12*PolicyTerm,PremiumPPInput,0))</f>
        <v/>
      </c>
      <c r="F204" s="30">
        <f>INDEX(MortRates,MATCH(MIN(D204,120),MortAges,0),MAX(MIN(C204,5),0)+1)</f>
        <v/>
      </c>
      <c r="G204" s="31">
        <f>1-(1-F204)^(1/12)</f>
        <v/>
      </c>
      <c r="H204" s="32">
        <f>MAX(LapseBase-LapseStep*C204,LapseFloor)</f>
        <v/>
      </c>
      <c r="I204" s="32">
        <f>IF(HasSurrCharge,INDEX(SurrRates,MIN(C204,SurrDurMax)+1,MATCH(SurrChargeID,SurrTypes,0)),0)</f>
        <v/>
      </c>
      <c r="J204" s="33">
        <f>N203-P203-O203</f>
        <v/>
      </c>
      <c r="K204" s="30">
        <f>IF(B204=12*PolicyTerm,J204,0)</f>
        <v/>
      </c>
      <c r="L204" s="33">
        <f>J204-K204</f>
        <v/>
      </c>
      <c r="M204" s="30">
        <f>IF(B204=0,PolicyCount,0)</f>
        <v/>
      </c>
      <c r="N204" s="33">
        <f>L204+M204</f>
        <v/>
      </c>
      <c r="O204" s="31">
        <f>N204*G204</f>
        <v/>
      </c>
      <c r="P204" s="33">
        <f>(N204-O204)*(1-(1-H204)^(1/12))</f>
        <v/>
      </c>
      <c r="Q204" s="34">
        <f>X203+Z203</f>
        <v/>
      </c>
      <c r="R204" s="29">
        <f>(1-LoadPremRate)*E204</f>
        <v/>
      </c>
      <c r="S204" s="34">
        <f>Q204+R204</f>
        <v/>
      </c>
      <c r="T204" s="29">
        <f>MaintFeeRateAnn/12*S204</f>
        <v/>
      </c>
      <c r="U204" s="29">
        <f>MAX(SumAssured-S204,0)</f>
        <v/>
      </c>
      <c r="V204" s="35">
        <f>CoiMultiple*G204</f>
        <v/>
      </c>
      <c r="W204" s="34">
        <f>V204*U204</f>
        <v/>
      </c>
      <c r="X204" s="34">
        <f>S204-T204-W204</f>
        <v/>
      </c>
      <c r="Y204" s="36">
        <f>EXP((Mu-0.5*Sigma^2)/12+Sigma*SQRT(1/12)*INDEX(NormRand,ScenID,A204+1))-1</f>
        <v/>
      </c>
      <c r="Z204" s="34">
        <f>Y204*X204</f>
        <v/>
      </c>
      <c r="AA204" s="34">
        <f>X204+0.5*Z204</f>
        <v/>
      </c>
      <c r="AB204" s="34">
        <f>Q204*J204</f>
        <v/>
      </c>
      <c r="AC204" s="34">
        <f>Q204*L204</f>
        <v/>
      </c>
      <c r="AD204" s="34">
        <f>S204*N204</f>
        <v/>
      </c>
      <c r="AE204" s="34">
        <f>E204*N204</f>
        <v/>
      </c>
      <c r="AF204" s="34">
        <f>R204*N204</f>
        <v/>
      </c>
      <c r="AG204" s="29">
        <f>MAX(SumAssured,AA204)</f>
        <v/>
      </c>
      <c r="AH204" s="34">
        <f>AG204*O204</f>
        <v/>
      </c>
      <c r="AI204" s="34">
        <f>AA204*O204</f>
        <v/>
      </c>
      <c r="AJ204" s="34">
        <f>AA204*P204</f>
        <v/>
      </c>
      <c r="AK204" s="34">
        <f>I204*AA204*P204</f>
        <v/>
      </c>
      <c r="AL204" s="34">
        <f>AJ204-AK204</f>
        <v/>
      </c>
      <c r="AM204" s="34">
        <f>Q204*K204</f>
        <v/>
      </c>
      <c r="AN204" s="34">
        <f>AH204+AL204+AM204</f>
        <v/>
      </c>
      <c r="AO204" s="34">
        <f>(AG204-AA204)*O204</f>
        <v/>
      </c>
      <c r="AP204" s="34">
        <f>W204*N204</f>
        <v/>
      </c>
      <c r="AQ204" s="34">
        <f>T204*N204</f>
        <v/>
      </c>
      <c r="AR204" s="34">
        <f>Z204*J205+0.5*Z204*(O204+P204)</f>
        <v/>
      </c>
      <c r="AS204" s="30">
        <f>(1+InflationRate)^(A204/12)</f>
        <v/>
      </c>
      <c r="AT204" s="29">
        <f>ExpenseAcq*M204+N204*ExpenseMaint/12*AS204</f>
        <v/>
      </c>
      <c r="AU204" s="29">
        <f>CommissionRate*AE204</f>
        <v/>
      </c>
      <c r="AV204" s="34">
        <f>AB205-AB204</f>
        <v/>
      </c>
      <c r="AW204" s="34">
        <f>AE204+AR204-AN204-AT204-AU204-AV204</f>
        <v/>
      </c>
      <c r="AX204" s="29">
        <f>LoadPremRate*E204*N204+AK204+AQ204-AU204-AT204</f>
        <v/>
      </c>
      <c r="AY204" s="34">
        <f>AP204-AO204</f>
        <v/>
      </c>
      <c r="AZ204" s="37">
        <f>(AW204-AX204-AY204)/MAX(1,ABS(AW204),ABS(AX204),ABS(AY204))</f>
        <v/>
      </c>
      <c r="BA204" s="37">
        <f>IF(OR(K204&gt;0,K205&gt;0),0,(AC205-(AC204+AF204-AQ204-AP204+AR204-AI204-AJ204-AM204))/MAX(1,ABS(AC204),ABS(AC205)))</f>
        <v/>
      </c>
      <c r="BB204" s="35">
        <f>(1+INDEX(DiscRateAnn,INT(A204/12)+1))^(1/12)-1</f>
        <v/>
      </c>
      <c r="BC204" s="31">
        <f>(1+BB204)^-A204</f>
        <v/>
      </c>
      <c r="BD204" s="34">
        <f>AW204*BC204</f>
        <v/>
      </c>
    </row>
    <row r="205">
      <c r="A205" s="27">
        <f>A204+1</f>
        <v/>
      </c>
      <c r="B205" s="28">
        <f>Duration0+A205</f>
        <v/>
      </c>
      <c r="C205" s="27">
        <f>INT(B205/12)</f>
        <v/>
      </c>
      <c r="D205" s="28">
        <f>AgeAtEntry+C205</f>
        <v/>
      </c>
      <c r="E205" s="29">
        <f>IF(PremiumType="SINGLE",IF(B205=0,PremiumPPInput,0),IF(B205&lt;12*PolicyTerm,PremiumPPInput,0))</f>
        <v/>
      </c>
      <c r="F205" s="30">
        <f>INDEX(MortRates,MATCH(MIN(D205,120),MortAges,0),MAX(MIN(C205,5),0)+1)</f>
        <v/>
      </c>
      <c r="G205" s="31">
        <f>1-(1-F205)^(1/12)</f>
        <v/>
      </c>
      <c r="H205" s="32">
        <f>MAX(LapseBase-LapseStep*C205,LapseFloor)</f>
        <v/>
      </c>
      <c r="I205" s="32">
        <f>IF(HasSurrCharge,INDEX(SurrRates,MIN(C205,SurrDurMax)+1,MATCH(SurrChargeID,SurrTypes,0)),0)</f>
        <v/>
      </c>
      <c r="J205" s="33">
        <f>N204-P204-O204</f>
        <v/>
      </c>
      <c r="K205" s="30">
        <f>IF(B205=12*PolicyTerm,J205,0)</f>
        <v/>
      </c>
      <c r="L205" s="33">
        <f>J205-K205</f>
        <v/>
      </c>
      <c r="M205" s="30">
        <f>IF(B205=0,PolicyCount,0)</f>
        <v/>
      </c>
      <c r="N205" s="33">
        <f>L205+M205</f>
        <v/>
      </c>
      <c r="O205" s="31">
        <f>N205*G205</f>
        <v/>
      </c>
      <c r="P205" s="33">
        <f>(N205-O205)*(1-(1-H205)^(1/12))</f>
        <v/>
      </c>
      <c r="Q205" s="34">
        <f>X204+Z204</f>
        <v/>
      </c>
      <c r="R205" s="29">
        <f>(1-LoadPremRate)*E205</f>
        <v/>
      </c>
      <c r="S205" s="34">
        <f>Q205+R205</f>
        <v/>
      </c>
      <c r="T205" s="29">
        <f>MaintFeeRateAnn/12*S205</f>
        <v/>
      </c>
      <c r="U205" s="29">
        <f>MAX(SumAssured-S205,0)</f>
        <v/>
      </c>
      <c r="V205" s="35">
        <f>CoiMultiple*G205</f>
        <v/>
      </c>
      <c r="W205" s="34">
        <f>V205*U205</f>
        <v/>
      </c>
      <c r="X205" s="34">
        <f>S205-T205-W205</f>
        <v/>
      </c>
      <c r="Y205" s="36">
        <f>EXP((Mu-0.5*Sigma^2)/12+Sigma*SQRT(1/12)*INDEX(NormRand,ScenID,A205+1))-1</f>
        <v/>
      </c>
      <c r="Z205" s="34">
        <f>Y205*X205</f>
        <v/>
      </c>
      <c r="AA205" s="34">
        <f>X205+0.5*Z205</f>
        <v/>
      </c>
      <c r="AB205" s="34">
        <f>Q205*J205</f>
        <v/>
      </c>
      <c r="AC205" s="34">
        <f>Q205*L205</f>
        <v/>
      </c>
      <c r="AD205" s="34">
        <f>S205*N205</f>
        <v/>
      </c>
      <c r="AE205" s="34">
        <f>E205*N205</f>
        <v/>
      </c>
      <c r="AF205" s="34">
        <f>R205*N205</f>
        <v/>
      </c>
      <c r="AG205" s="29">
        <f>MAX(SumAssured,AA205)</f>
        <v/>
      </c>
      <c r="AH205" s="34">
        <f>AG205*O205</f>
        <v/>
      </c>
      <c r="AI205" s="34">
        <f>AA205*O205</f>
        <v/>
      </c>
      <c r="AJ205" s="34">
        <f>AA205*P205</f>
        <v/>
      </c>
      <c r="AK205" s="34">
        <f>I205*AA205*P205</f>
        <v/>
      </c>
      <c r="AL205" s="34">
        <f>AJ205-AK205</f>
        <v/>
      </c>
      <c r="AM205" s="34">
        <f>Q205*K205</f>
        <v/>
      </c>
      <c r="AN205" s="34">
        <f>AH205+AL205+AM205</f>
        <v/>
      </c>
      <c r="AO205" s="34">
        <f>(AG205-AA205)*O205</f>
        <v/>
      </c>
      <c r="AP205" s="34">
        <f>W205*N205</f>
        <v/>
      </c>
      <c r="AQ205" s="34">
        <f>T205*N205</f>
        <v/>
      </c>
      <c r="AR205" s="34">
        <f>Z205*J206+0.5*Z205*(O205+P205)</f>
        <v/>
      </c>
      <c r="AS205" s="30">
        <f>(1+InflationRate)^(A205/12)</f>
        <v/>
      </c>
      <c r="AT205" s="29">
        <f>ExpenseAcq*M205+N205*ExpenseMaint/12*AS205</f>
        <v/>
      </c>
      <c r="AU205" s="29">
        <f>CommissionRate*AE205</f>
        <v/>
      </c>
      <c r="AV205" s="34">
        <f>AB206-AB205</f>
        <v/>
      </c>
      <c r="AW205" s="34">
        <f>AE205+AR205-AN205-AT205-AU205-AV205</f>
        <v/>
      </c>
      <c r="AX205" s="29">
        <f>LoadPremRate*E205*N205+AK205+AQ205-AU205-AT205</f>
        <v/>
      </c>
      <c r="AY205" s="34">
        <f>AP205-AO205</f>
        <v/>
      </c>
      <c r="AZ205" s="37">
        <f>(AW205-AX205-AY205)/MAX(1,ABS(AW205),ABS(AX205),ABS(AY205))</f>
        <v/>
      </c>
      <c r="BA205" s="37">
        <f>IF(OR(K205&gt;0,K206&gt;0),0,(AC206-(AC205+AF205-AQ205-AP205+AR205-AI205-AJ205-AM205))/MAX(1,ABS(AC205),ABS(AC206)))</f>
        <v/>
      </c>
      <c r="BB205" s="35">
        <f>(1+INDEX(DiscRateAnn,INT(A205/12)+1))^(1/12)-1</f>
        <v/>
      </c>
      <c r="BC205" s="31">
        <f>(1+BB205)^-A205</f>
        <v/>
      </c>
      <c r="BD205" s="34">
        <f>AW205*BC205</f>
        <v/>
      </c>
    </row>
    <row r="206">
      <c r="A206" s="27">
        <f>A205+1</f>
        <v/>
      </c>
      <c r="B206" s="28">
        <f>Duration0+A206</f>
        <v/>
      </c>
      <c r="C206" s="27">
        <f>INT(B206/12)</f>
        <v/>
      </c>
      <c r="D206" s="28">
        <f>AgeAtEntry+C206</f>
        <v/>
      </c>
      <c r="E206" s="29">
        <f>IF(PremiumType="SINGLE",IF(B206=0,PremiumPPInput,0),IF(B206&lt;12*PolicyTerm,PremiumPPInput,0))</f>
        <v/>
      </c>
      <c r="F206" s="30">
        <f>INDEX(MortRates,MATCH(MIN(D206,120),MortAges,0),MAX(MIN(C206,5),0)+1)</f>
        <v/>
      </c>
      <c r="G206" s="31">
        <f>1-(1-F206)^(1/12)</f>
        <v/>
      </c>
      <c r="H206" s="32">
        <f>MAX(LapseBase-LapseStep*C206,LapseFloor)</f>
        <v/>
      </c>
      <c r="I206" s="32">
        <f>IF(HasSurrCharge,INDEX(SurrRates,MIN(C206,SurrDurMax)+1,MATCH(SurrChargeID,SurrTypes,0)),0)</f>
        <v/>
      </c>
      <c r="J206" s="33">
        <f>N205-P205-O205</f>
        <v/>
      </c>
      <c r="K206" s="30">
        <f>IF(B206=12*PolicyTerm,J206,0)</f>
        <v/>
      </c>
      <c r="L206" s="33">
        <f>J206-K206</f>
        <v/>
      </c>
      <c r="M206" s="30">
        <f>IF(B206=0,PolicyCount,0)</f>
        <v/>
      </c>
      <c r="N206" s="33">
        <f>L206+M206</f>
        <v/>
      </c>
      <c r="O206" s="31">
        <f>N206*G206</f>
        <v/>
      </c>
      <c r="P206" s="33">
        <f>(N206-O206)*(1-(1-H206)^(1/12))</f>
        <v/>
      </c>
      <c r="Q206" s="34">
        <f>X205+Z205</f>
        <v/>
      </c>
      <c r="R206" s="29">
        <f>(1-LoadPremRate)*E206</f>
        <v/>
      </c>
      <c r="S206" s="34">
        <f>Q206+R206</f>
        <v/>
      </c>
      <c r="T206" s="29">
        <f>MaintFeeRateAnn/12*S206</f>
        <v/>
      </c>
      <c r="U206" s="29">
        <f>MAX(SumAssured-S206,0)</f>
        <v/>
      </c>
      <c r="V206" s="35">
        <f>CoiMultiple*G206</f>
        <v/>
      </c>
      <c r="W206" s="34">
        <f>V206*U206</f>
        <v/>
      </c>
      <c r="X206" s="34">
        <f>S206-T206-W206</f>
        <v/>
      </c>
      <c r="Y206" s="36">
        <f>EXP((Mu-0.5*Sigma^2)/12+Sigma*SQRT(1/12)*INDEX(NormRand,ScenID,A206+1))-1</f>
        <v/>
      </c>
      <c r="Z206" s="34">
        <f>Y206*X206</f>
        <v/>
      </c>
      <c r="AA206" s="34">
        <f>X206+0.5*Z206</f>
        <v/>
      </c>
      <c r="AB206" s="34">
        <f>Q206*J206</f>
        <v/>
      </c>
      <c r="AC206" s="34">
        <f>Q206*L206</f>
        <v/>
      </c>
      <c r="AD206" s="34">
        <f>S206*N206</f>
        <v/>
      </c>
      <c r="AE206" s="34">
        <f>E206*N206</f>
        <v/>
      </c>
      <c r="AF206" s="34">
        <f>R206*N206</f>
        <v/>
      </c>
      <c r="AG206" s="29">
        <f>MAX(SumAssured,AA206)</f>
        <v/>
      </c>
      <c r="AH206" s="34">
        <f>AG206*O206</f>
        <v/>
      </c>
      <c r="AI206" s="34">
        <f>AA206*O206</f>
        <v/>
      </c>
      <c r="AJ206" s="34">
        <f>AA206*P206</f>
        <v/>
      </c>
      <c r="AK206" s="34">
        <f>I206*AA206*P206</f>
        <v/>
      </c>
      <c r="AL206" s="34">
        <f>AJ206-AK206</f>
        <v/>
      </c>
      <c r="AM206" s="34">
        <f>Q206*K206</f>
        <v/>
      </c>
      <c r="AN206" s="34">
        <f>AH206+AL206+AM206</f>
        <v/>
      </c>
      <c r="AO206" s="34">
        <f>(AG206-AA206)*O206</f>
        <v/>
      </c>
      <c r="AP206" s="34">
        <f>W206*N206</f>
        <v/>
      </c>
      <c r="AQ206" s="34">
        <f>T206*N206</f>
        <v/>
      </c>
      <c r="AR206" s="34">
        <f>Z206*J207+0.5*Z206*(O206+P206)</f>
        <v/>
      </c>
      <c r="AS206" s="30">
        <f>(1+InflationRate)^(A206/12)</f>
        <v/>
      </c>
      <c r="AT206" s="29">
        <f>ExpenseAcq*M206+N206*ExpenseMaint/12*AS206</f>
        <v/>
      </c>
      <c r="AU206" s="29">
        <f>CommissionRate*AE206</f>
        <v/>
      </c>
      <c r="AV206" s="34">
        <f>AB207-AB206</f>
        <v/>
      </c>
      <c r="AW206" s="34">
        <f>AE206+AR206-AN206-AT206-AU206-AV206</f>
        <v/>
      </c>
      <c r="AX206" s="29">
        <f>LoadPremRate*E206*N206+AK206+AQ206-AU206-AT206</f>
        <v/>
      </c>
      <c r="AY206" s="34">
        <f>AP206-AO206</f>
        <v/>
      </c>
      <c r="AZ206" s="37">
        <f>(AW206-AX206-AY206)/MAX(1,ABS(AW206),ABS(AX206),ABS(AY206))</f>
        <v/>
      </c>
      <c r="BA206" s="37">
        <f>IF(OR(K206&gt;0,K207&gt;0),0,(AC207-(AC206+AF206-AQ206-AP206+AR206-AI206-AJ206-AM206))/MAX(1,ABS(AC206),ABS(AC207)))</f>
        <v/>
      </c>
      <c r="BB206" s="35">
        <f>(1+INDEX(DiscRateAnn,INT(A206/12)+1))^(1/12)-1</f>
        <v/>
      </c>
      <c r="BC206" s="31">
        <f>(1+BB206)^-A206</f>
        <v/>
      </c>
      <c r="BD206" s="34">
        <f>AW206*BC206</f>
        <v/>
      </c>
    </row>
    <row r="207">
      <c r="A207" s="27">
        <f>A206+1</f>
        <v/>
      </c>
      <c r="B207" s="28">
        <f>Duration0+A207</f>
        <v/>
      </c>
      <c r="C207" s="27">
        <f>INT(B207/12)</f>
        <v/>
      </c>
      <c r="D207" s="28">
        <f>AgeAtEntry+C207</f>
        <v/>
      </c>
      <c r="E207" s="29">
        <f>IF(PremiumType="SINGLE",IF(B207=0,PremiumPPInput,0),IF(B207&lt;12*PolicyTerm,PremiumPPInput,0))</f>
        <v/>
      </c>
      <c r="F207" s="30">
        <f>INDEX(MortRates,MATCH(MIN(D207,120),MortAges,0),MAX(MIN(C207,5),0)+1)</f>
        <v/>
      </c>
      <c r="G207" s="31">
        <f>1-(1-F207)^(1/12)</f>
        <v/>
      </c>
      <c r="H207" s="32">
        <f>MAX(LapseBase-LapseStep*C207,LapseFloor)</f>
        <v/>
      </c>
      <c r="I207" s="32">
        <f>IF(HasSurrCharge,INDEX(SurrRates,MIN(C207,SurrDurMax)+1,MATCH(SurrChargeID,SurrTypes,0)),0)</f>
        <v/>
      </c>
      <c r="J207" s="33">
        <f>N206-P206-O206</f>
        <v/>
      </c>
      <c r="K207" s="30">
        <f>IF(B207=12*PolicyTerm,J207,0)</f>
        <v/>
      </c>
      <c r="L207" s="33">
        <f>J207-K207</f>
        <v/>
      </c>
      <c r="M207" s="30">
        <f>IF(B207=0,PolicyCount,0)</f>
        <v/>
      </c>
      <c r="N207" s="33">
        <f>L207+M207</f>
        <v/>
      </c>
      <c r="O207" s="31">
        <f>N207*G207</f>
        <v/>
      </c>
      <c r="P207" s="33">
        <f>(N207-O207)*(1-(1-H207)^(1/12))</f>
        <v/>
      </c>
      <c r="Q207" s="34">
        <f>X206+Z206</f>
        <v/>
      </c>
      <c r="R207" s="29">
        <f>(1-LoadPremRate)*E207</f>
        <v/>
      </c>
      <c r="S207" s="34">
        <f>Q207+R207</f>
        <v/>
      </c>
      <c r="T207" s="29">
        <f>MaintFeeRateAnn/12*S207</f>
        <v/>
      </c>
      <c r="U207" s="29">
        <f>MAX(SumAssured-S207,0)</f>
        <v/>
      </c>
      <c r="V207" s="35">
        <f>CoiMultiple*G207</f>
        <v/>
      </c>
      <c r="W207" s="34">
        <f>V207*U207</f>
        <v/>
      </c>
      <c r="X207" s="34">
        <f>S207-T207-W207</f>
        <v/>
      </c>
      <c r="Y207" s="36">
        <f>EXP((Mu-0.5*Sigma^2)/12+Sigma*SQRT(1/12)*INDEX(NormRand,ScenID,A207+1))-1</f>
        <v/>
      </c>
      <c r="Z207" s="34">
        <f>Y207*X207</f>
        <v/>
      </c>
      <c r="AA207" s="34">
        <f>X207+0.5*Z207</f>
        <v/>
      </c>
      <c r="AB207" s="34">
        <f>Q207*J207</f>
        <v/>
      </c>
      <c r="AC207" s="34">
        <f>Q207*L207</f>
        <v/>
      </c>
      <c r="AD207" s="34">
        <f>S207*N207</f>
        <v/>
      </c>
      <c r="AE207" s="34">
        <f>E207*N207</f>
        <v/>
      </c>
      <c r="AF207" s="34">
        <f>R207*N207</f>
        <v/>
      </c>
      <c r="AG207" s="29">
        <f>MAX(SumAssured,AA207)</f>
        <v/>
      </c>
      <c r="AH207" s="34">
        <f>AG207*O207</f>
        <v/>
      </c>
      <c r="AI207" s="34">
        <f>AA207*O207</f>
        <v/>
      </c>
      <c r="AJ207" s="34">
        <f>AA207*P207</f>
        <v/>
      </c>
      <c r="AK207" s="34">
        <f>I207*AA207*P207</f>
        <v/>
      </c>
      <c r="AL207" s="34">
        <f>AJ207-AK207</f>
        <v/>
      </c>
      <c r="AM207" s="34">
        <f>Q207*K207</f>
        <v/>
      </c>
      <c r="AN207" s="34">
        <f>AH207+AL207+AM207</f>
        <v/>
      </c>
      <c r="AO207" s="34">
        <f>(AG207-AA207)*O207</f>
        <v/>
      </c>
      <c r="AP207" s="34">
        <f>W207*N207</f>
        <v/>
      </c>
      <c r="AQ207" s="34">
        <f>T207*N207</f>
        <v/>
      </c>
      <c r="AR207" s="34">
        <f>Z207*J208+0.5*Z207*(O207+P207)</f>
        <v/>
      </c>
      <c r="AS207" s="30">
        <f>(1+InflationRate)^(A207/12)</f>
        <v/>
      </c>
      <c r="AT207" s="29">
        <f>ExpenseAcq*M207+N207*ExpenseMaint/12*AS207</f>
        <v/>
      </c>
      <c r="AU207" s="29">
        <f>CommissionRate*AE207</f>
        <v/>
      </c>
      <c r="AV207" s="34">
        <f>AB208-AB207</f>
        <v/>
      </c>
      <c r="AW207" s="34">
        <f>AE207+AR207-AN207-AT207-AU207-AV207</f>
        <v/>
      </c>
      <c r="AX207" s="29">
        <f>LoadPremRate*E207*N207+AK207+AQ207-AU207-AT207</f>
        <v/>
      </c>
      <c r="AY207" s="34">
        <f>AP207-AO207</f>
        <v/>
      </c>
      <c r="AZ207" s="37">
        <f>(AW207-AX207-AY207)/MAX(1,ABS(AW207),ABS(AX207),ABS(AY207))</f>
        <v/>
      </c>
      <c r="BA207" s="37">
        <f>IF(OR(K207&gt;0,K208&gt;0),0,(AC208-(AC207+AF207-AQ207-AP207+AR207-AI207-AJ207-AM207))/MAX(1,ABS(AC207),ABS(AC208)))</f>
        <v/>
      </c>
      <c r="BB207" s="35">
        <f>(1+INDEX(DiscRateAnn,INT(A207/12)+1))^(1/12)-1</f>
        <v/>
      </c>
      <c r="BC207" s="31">
        <f>(1+BB207)^-A207</f>
        <v/>
      </c>
      <c r="BD207" s="34">
        <f>AW207*BC207</f>
        <v/>
      </c>
    </row>
    <row r="208">
      <c r="A208" s="27">
        <f>A207+1</f>
        <v/>
      </c>
      <c r="B208" s="28">
        <f>Duration0+A208</f>
        <v/>
      </c>
      <c r="C208" s="27">
        <f>INT(B208/12)</f>
        <v/>
      </c>
      <c r="D208" s="28">
        <f>AgeAtEntry+C208</f>
        <v/>
      </c>
      <c r="E208" s="29">
        <f>IF(PremiumType="SINGLE",IF(B208=0,PremiumPPInput,0),IF(B208&lt;12*PolicyTerm,PremiumPPInput,0))</f>
        <v/>
      </c>
      <c r="F208" s="30">
        <f>INDEX(MortRates,MATCH(MIN(D208,120),MortAges,0),MAX(MIN(C208,5),0)+1)</f>
        <v/>
      </c>
      <c r="G208" s="31">
        <f>1-(1-F208)^(1/12)</f>
        <v/>
      </c>
      <c r="H208" s="32">
        <f>MAX(LapseBase-LapseStep*C208,LapseFloor)</f>
        <v/>
      </c>
      <c r="I208" s="32">
        <f>IF(HasSurrCharge,INDEX(SurrRates,MIN(C208,SurrDurMax)+1,MATCH(SurrChargeID,SurrTypes,0)),0)</f>
        <v/>
      </c>
      <c r="J208" s="33">
        <f>N207-P207-O207</f>
        <v/>
      </c>
      <c r="K208" s="30">
        <f>IF(B208=12*PolicyTerm,J208,0)</f>
        <v/>
      </c>
      <c r="L208" s="33">
        <f>J208-K208</f>
        <v/>
      </c>
      <c r="M208" s="30">
        <f>IF(B208=0,PolicyCount,0)</f>
        <v/>
      </c>
      <c r="N208" s="33">
        <f>L208+M208</f>
        <v/>
      </c>
      <c r="O208" s="31">
        <f>N208*G208</f>
        <v/>
      </c>
      <c r="P208" s="33">
        <f>(N208-O208)*(1-(1-H208)^(1/12))</f>
        <v/>
      </c>
      <c r="Q208" s="34">
        <f>X207+Z207</f>
        <v/>
      </c>
      <c r="R208" s="29">
        <f>(1-LoadPremRate)*E208</f>
        <v/>
      </c>
      <c r="S208" s="34">
        <f>Q208+R208</f>
        <v/>
      </c>
      <c r="T208" s="29">
        <f>MaintFeeRateAnn/12*S208</f>
        <v/>
      </c>
      <c r="U208" s="29">
        <f>MAX(SumAssured-S208,0)</f>
        <v/>
      </c>
      <c r="V208" s="35">
        <f>CoiMultiple*G208</f>
        <v/>
      </c>
      <c r="W208" s="34">
        <f>V208*U208</f>
        <v/>
      </c>
      <c r="X208" s="34">
        <f>S208-T208-W208</f>
        <v/>
      </c>
      <c r="Y208" s="36">
        <f>EXP((Mu-0.5*Sigma^2)/12+Sigma*SQRT(1/12)*INDEX(NormRand,ScenID,A208+1))-1</f>
        <v/>
      </c>
      <c r="Z208" s="34">
        <f>Y208*X208</f>
        <v/>
      </c>
      <c r="AA208" s="34">
        <f>X208+0.5*Z208</f>
        <v/>
      </c>
      <c r="AB208" s="34">
        <f>Q208*J208</f>
        <v/>
      </c>
      <c r="AC208" s="34">
        <f>Q208*L208</f>
        <v/>
      </c>
      <c r="AD208" s="34">
        <f>S208*N208</f>
        <v/>
      </c>
      <c r="AE208" s="34">
        <f>E208*N208</f>
        <v/>
      </c>
      <c r="AF208" s="34">
        <f>R208*N208</f>
        <v/>
      </c>
      <c r="AG208" s="29">
        <f>MAX(SumAssured,AA208)</f>
        <v/>
      </c>
      <c r="AH208" s="34">
        <f>AG208*O208</f>
        <v/>
      </c>
      <c r="AI208" s="34">
        <f>AA208*O208</f>
        <v/>
      </c>
      <c r="AJ208" s="34">
        <f>AA208*P208</f>
        <v/>
      </c>
      <c r="AK208" s="34">
        <f>I208*AA208*P208</f>
        <v/>
      </c>
      <c r="AL208" s="34">
        <f>AJ208-AK208</f>
        <v/>
      </c>
      <c r="AM208" s="34">
        <f>Q208*K208</f>
        <v/>
      </c>
      <c r="AN208" s="34">
        <f>AH208+AL208+AM208</f>
        <v/>
      </c>
      <c r="AO208" s="34">
        <f>(AG208-AA208)*O208</f>
        <v/>
      </c>
      <c r="AP208" s="34">
        <f>W208*N208</f>
        <v/>
      </c>
      <c r="AQ208" s="34">
        <f>T208*N208</f>
        <v/>
      </c>
      <c r="AR208" s="34">
        <f>Z208*J209+0.5*Z208*(O208+P208)</f>
        <v/>
      </c>
      <c r="AS208" s="30">
        <f>(1+InflationRate)^(A208/12)</f>
        <v/>
      </c>
      <c r="AT208" s="29">
        <f>ExpenseAcq*M208+N208*ExpenseMaint/12*AS208</f>
        <v/>
      </c>
      <c r="AU208" s="29">
        <f>CommissionRate*AE208</f>
        <v/>
      </c>
      <c r="AV208" s="34">
        <f>AB209-AB208</f>
        <v/>
      </c>
      <c r="AW208" s="34">
        <f>AE208+AR208-AN208-AT208-AU208-AV208</f>
        <v/>
      </c>
      <c r="AX208" s="29">
        <f>LoadPremRate*E208*N208+AK208+AQ208-AU208-AT208</f>
        <v/>
      </c>
      <c r="AY208" s="34">
        <f>AP208-AO208</f>
        <v/>
      </c>
      <c r="AZ208" s="37">
        <f>(AW208-AX208-AY208)/MAX(1,ABS(AW208),ABS(AX208),ABS(AY208))</f>
        <v/>
      </c>
      <c r="BA208" s="37">
        <f>IF(OR(K208&gt;0,K209&gt;0),0,(AC209-(AC208+AF208-AQ208-AP208+AR208-AI208-AJ208-AM208))/MAX(1,ABS(AC208),ABS(AC209)))</f>
        <v/>
      </c>
      <c r="BB208" s="35">
        <f>(1+INDEX(DiscRateAnn,INT(A208/12)+1))^(1/12)-1</f>
        <v/>
      </c>
      <c r="BC208" s="31">
        <f>(1+BB208)^-A208</f>
        <v/>
      </c>
      <c r="BD208" s="34">
        <f>AW208*BC208</f>
        <v/>
      </c>
    </row>
    <row r="209">
      <c r="A209" s="27">
        <f>A208+1</f>
        <v/>
      </c>
      <c r="B209" s="28">
        <f>Duration0+A209</f>
        <v/>
      </c>
      <c r="C209" s="27">
        <f>INT(B209/12)</f>
        <v/>
      </c>
      <c r="D209" s="28">
        <f>AgeAtEntry+C209</f>
        <v/>
      </c>
      <c r="E209" s="29">
        <f>IF(PremiumType="SINGLE",IF(B209=0,PremiumPPInput,0),IF(B209&lt;12*PolicyTerm,PremiumPPInput,0))</f>
        <v/>
      </c>
      <c r="F209" s="30">
        <f>INDEX(MortRates,MATCH(MIN(D209,120),MortAges,0),MAX(MIN(C209,5),0)+1)</f>
        <v/>
      </c>
      <c r="G209" s="31">
        <f>1-(1-F209)^(1/12)</f>
        <v/>
      </c>
      <c r="H209" s="32">
        <f>MAX(LapseBase-LapseStep*C209,LapseFloor)</f>
        <v/>
      </c>
      <c r="I209" s="32">
        <f>IF(HasSurrCharge,INDEX(SurrRates,MIN(C209,SurrDurMax)+1,MATCH(SurrChargeID,SurrTypes,0)),0)</f>
        <v/>
      </c>
      <c r="J209" s="33">
        <f>N208-P208-O208</f>
        <v/>
      </c>
      <c r="K209" s="30">
        <f>IF(B209=12*PolicyTerm,J209,0)</f>
        <v/>
      </c>
      <c r="L209" s="33">
        <f>J209-K209</f>
        <v/>
      </c>
      <c r="M209" s="30">
        <f>IF(B209=0,PolicyCount,0)</f>
        <v/>
      </c>
      <c r="N209" s="33">
        <f>L209+M209</f>
        <v/>
      </c>
      <c r="O209" s="31">
        <f>N209*G209</f>
        <v/>
      </c>
      <c r="P209" s="33">
        <f>(N209-O209)*(1-(1-H209)^(1/12))</f>
        <v/>
      </c>
      <c r="Q209" s="34">
        <f>X208+Z208</f>
        <v/>
      </c>
      <c r="R209" s="29">
        <f>(1-LoadPremRate)*E209</f>
        <v/>
      </c>
      <c r="S209" s="34">
        <f>Q209+R209</f>
        <v/>
      </c>
      <c r="T209" s="29">
        <f>MaintFeeRateAnn/12*S209</f>
        <v/>
      </c>
      <c r="U209" s="29">
        <f>MAX(SumAssured-S209,0)</f>
        <v/>
      </c>
      <c r="V209" s="35">
        <f>CoiMultiple*G209</f>
        <v/>
      </c>
      <c r="W209" s="34">
        <f>V209*U209</f>
        <v/>
      </c>
      <c r="X209" s="34">
        <f>S209-T209-W209</f>
        <v/>
      </c>
      <c r="Y209" s="36">
        <f>EXP((Mu-0.5*Sigma^2)/12+Sigma*SQRT(1/12)*INDEX(NormRand,ScenID,A209+1))-1</f>
        <v/>
      </c>
      <c r="Z209" s="34">
        <f>Y209*X209</f>
        <v/>
      </c>
      <c r="AA209" s="34">
        <f>X209+0.5*Z209</f>
        <v/>
      </c>
      <c r="AB209" s="34">
        <f>Q209*J209</f>
        <v/>
      </c>
      <c r="AC209" s="34">
        <f>Q209*L209</f>
        <v/>
      </c>
      <c r="AD209" s="34">
        <f>S209*N209</f>
        <v/>
      </c>
      <c r="AE209" s="34">
        <f>E209*N209</f>
        <v/>
      </c>
      <c r="AF209" s="34">
        <f>R209*N209</f>
        <v/>
      </c>
      <c r="AG209" s="29">
        <f>MAX(SumAssured,AA209)</f>
        <v/>
      </c>
      <c r="AH209" s="34">
        <f>AG209*O209</f>
        <v/>
      </c>
      <c r="AI209" s="34">
        <f>AA209*O209</f>
        <v/>
      </c>
      <c r="AJ209" s="34">
        <f>AA209*P209</f>
        <v/>
      </c>
      <c r="AK209" s="34">
        <f>I209*AA209*P209</f>
        <v/>
      </c>
      <c r="AL209" s="34">
        <f>AJ209-AK209</f>
        <v/>
      </c>
      <c r="AM209" s="34">
        <f>Q209*K209</f>
        <v/>
      </c>
      <c r="AN209" s="34">
        <f>AH209+AL209+AM209</f>
        <v/>
      </c>
      <c r="AO209" s="34">
        <f>(AG209-AA209)*O209</f>
        <v/>
      </c>
      <c r="AP209" s="34">
        <f>W209*N209</f>
        <v/>
      </c>
      <c r="AQ209" s="34">
        <f>T209*N209</f>
        <v/>
      </c>
      <c r="AR209" s="34">
        <f>Z209*J210+0.5*Z209*(O209+P209)</f>
        <v/>
      </c>
      <c r="AS209" s="30">
        <f>(1+InflationRate)^(A209/12)</f>
        <v/>
      </c>
      <c r="AT209" s="29">
        <f>ExpenseAcq*M209+N209*ExpenseMaint/12*AS209</f>
        <v/>
      </c>
      <c r="AU209" s="29">
        <f>CommissionRate*AE209</f>
        <v/>
      </c>
      <c r="AV209" s="34">
        <f>AB210-AB209</f>
        <v/>
      </c>
      <c r="AW209" s="34">
        <f>AE209+AR209-AN209-AT209-AU209-AV209</f>
        <v/>
      </c>
      <c r="AX209" s="29">
        <f>LoadPremRate*E209*N209+AK209+AQ209-AU209-AT209</f>
        <v/>
      </c>
      <c r="AY209" s="34">
        <f>AP209-AO209</f>
        <v/>
      </c>
      <c r="AZ209" s="37">
        <f>(AW209-AX209-AY209)/MAX(1,ABS(AW209),ABS(AX209),ABS(AY209))</f>
        <v/>
      </c>
      <c r="BA209" s="37">
        <f>IF(OR(K209&gt;0,K210&gt;0),0,(AC210-(AC209+AF209-AQ209-AP209+AR209-AI209-AJ209-AM209))/MAX(1,ABS(AC209),ABS(AC210)))</f>
        <v/>
      </c>
      <c r="BB209" s="35">
        <f>(1+INDEX(DiscRateAnn,INT(A209/12)+1))^(1/12)-1</f>
        <v/>
      </c>
      <c r="BC209" s="31">
        <f>(1+BB209)^-A209</f>
        <v/>
      </c>
      <c r="BD209" s="34">
        <f>AW209*BC209</f>
        <v/>
      </c>
    </row>
    <row r="210">
      <c r="A210" s="27">
        <f>A209+1</f>
        <v/>
      </c>
      <c r="B210" s="28">
        <f>Duration0+A210</f>
        <v/>
      </c>
      <c r="C210" s="27">
        <f>INT(B210/12)</f>
        <v/>
      </c>
      <c r="D210" s="28">
        <f>AgeAtEntry+C210</f>
        <v/>
      </c>
      <c r="E210" s="29">
        <f>IF(PremiumType="SINGLE",IF(B210=0,PremiumPPInput,0),IF(B210&lt;12*PolicyTerm,PremiumPPInput,0))</f>
        <v/>
      </c>
      <c r="F210" s="30">
        <f>INDEX(MortRates,MATCH(MIN(D210,120),MortAges,0),MAX(MIN(C210,5),0)+1)</f>
        <v/>
      </c>
      <c r="G210" s="31">
        <f>1-(1-F210)^(1/12)</f>
        <v/>
      </c>
      <c r="H210" s="32">
        <f>MAX(LapseBase-LapseStep*C210,LapseFloor)</f>
        <v/>
      </c>
      <c r="I210" s="32">
        <f>IF(HasSurrCharge,INDEX(SurrRates,MIN(C210,SurrDurMax)+1,MATCH(SurrChargeID,SurrTypes,0)),0)</f>
        <v/>
      </c>
      <c r="J210" s="33">
        <f>N209-P209-O209</f>
        <v/>
      </c>
      <c r="K210" s="30">
        <f>IF(B210=12*PolicyTerm,J210,0)</f>
        <v/>
      </c>
      <c r="L210" s="33">
        <f>J210-K210</f>
        <v/>
      </c>
      <c r="M210" s="30">
        <f>IF(B210=0,PolicyCount,0)</f>
        <v/>
      </c>
      <c r="N210" s="33">
        <f>L210+M210</f>
        <v/>
      </c>
      <c r="O210" s="31">
        <f>N210*G210</f>
        <v/>
      </c>
      <c r="P210" s="33">
        <f>(N210-O210)*(1-(1-H210)^(1/12))</f>
        <v/>
      </c>
      <c r="Q210" s="34">
        <f>X209+Z209</f>
        <v/>
      </c>
      <c r="R210" s="29">
        <f>(1-LoadPremRate)*E210</f>
        <v/>
      </c>
      <c r="S210" s="34">
        <f>Q210+R210</f>
        <v/>
      </c>
      <c r="T210" s="29">
        <f>MaintFeeRateAnn/12*S210</f>
        <v/>
      </c>
      <c r="U210" s="29">
        <f>MAX(SumAssured-S210,0)</f>
        <v/>
      </c>
      <c r="V210" s="35">
        <f>CoiMultiple*G210</f>
        <v/>
      </c>
      <c r="W210" s="34">
        <f>V210*U210</f>
        <v/>
      </c>
      <c r="X210" s="34">
        <f>S210-T210-W210</f>
        <v/>
      </c>
      <c r="Y210" s="36">
        <f>EXP((Mu-0.5*Sigma^2)/12+Sigma*SQRT(1/12)*INDEX(NormRand,ScenID,A210+1))-1</f>
        <v/>
      </c>
      <c r="Z210" s="34">
        <f>Y210*X210</f>
        <v/>
      </c>
      <c r="AA210" s="34">
        <f>X210+0.5*Z210</f>
        <v/>
      </c>
      <c r="AB210" s="34">
        <f>Q210*J210</f>
        <v/>
      </c>
      <c r="AC210" s="34">
        <f>Q210*L210</f>
        <v/>
      </c>
      <c r="AD210" s="34">
        <f>S210*N210</f>
        <v/>
      </c>
      <c r="AE210" s="34">
        <f>E210*N210</f>
        <v/>
      </c>
      <c r="AF210" s="34">
        <f>R210*N210</f>
        <v/>
      </c>
      <c r="AG210" s="29">
        <f>MAX(SumAssured,AA210)</f>
        <v/>
      </c>
      <c r="AH210" s="34">
        <f>AG210*O210</f>
        <v/>
      </c>
      <c r="AI210" s="34">
        <f>AA210*O210</f>
        <v/>
      </c>
      <c r="AJ210" s="34">
        <f>AA210*P210</f>
        <v/>
      </c>
      <c r="AK210" s="34">
        <f>I210*AA210*P210</f>
        <v/>
      </c>
      <c r="AL210" s="34">
        <f>AJ210-AK210</f>
        <v/>
      </c>
      <c r="AM210" s="34">
        <f>Q210*K210</f>
        <v/>
      </c>
      <c r="AN210" s="34">
        <f>AH210+AL210+AM210</f>
        <v/>
      </c>
      <c r="AO210" s="34">
        <f>(AG210-AA210)*O210</f>
        <v/>
      </c>
      <c r="AP210" s="34">
        <f>W210*N210</f>
        <v/>
      </c>
      <c r="AQ210" s="34">
        <f>T210*N210</f>
        <v/>
      </c>
      <c r="AR210" s="34">
        <f>Z210*J211+0.5*Z210*(O210+P210)</f>
        <v/>
      </c>
      <c r="AS210" s="30">
        <f>(1+InflationRate)^(A210/12)</f>
        <v/>
      </c>
      <c r="AT210" s="29">
        <f>ExpenseAcq*M210+N210*ExpenseMaint/12*AS210</f>
        <v/>
      </c>
      <c r="AU210" s="29">
        <f>CommissionRate*AE210</f>
        <v/>
      </c>
      <c r="AV210" s="34">
        <f>AB211-AB210</f>
        <v/>
      </c>
      <c r="AW210" s="34">
        <f>AE210+AR210-AN210-AT210-AU210-AV210</f>
        <v/>
      </c>
      <c r="AX210" s="29">
        <f>LoadPremRate*E210*N210+AK210+AQ210-AU210-AT210</f>
        <v/>
      </c>
      <c r="AY210" s="34">
        <f>AP210-AO210</f>
        <v/>
      </c>
      <c r="AZ210" s="37">
        <f>(AW210-AX210-AY210)/MAX(1,ABS(AW210),ABS(AX210),ABS(AY210))</f>
        <v/>
      </c>
      <c r="BA210" s="37">
        <f>IF(OR(K210&gt;0,K211&gt;0),0,(AC211-(AC210+AF210-AQ210-AP210+AR210-AI210-AJ210-AM210))/MAX(1,ABS(AC210),ABS(AC211)))</f>
        <v/>
      </c>
      <c r="BB210" s="35">
        <f>(1+INDEX(DiscRateAnn,INT(A210/12)+1))^(1/12)-1</f>
        <v/>
      </c>
      <c r="BC210" s="31">
        <f>(1+BB210)^-A210</f>
        <v/>
      </c>
      <c r="BD210" s="34">
        <f>AW210*BC210</f>
        <v/>
      </c>
    </row>
    <row r="211">
      <c r="A211" s="27">
        <f>A210+1</f>
        <v/>
      </c>
      <c r="B211" s="28">
        <f>Duration0+A211</f>
        <v/>
      </c>
      <c r="C211" s="27">
        <f>INT(B211/12)</f>
        <v/>
      </c>
      <c r="D211" s="28">
        <f>AgeAtEntry+C211</f>
        <v/>
      </c>
      <c r="E211" s="29">
        <f>IF(PremiumType="SINGLE",IF(B211=0,PremiumPPInput,0),IF(B211&lt;12*PolicyTerm,PremiumPPInput,0))</f>
        <v/>
      </c>
      <c r="F211" s="30">
        <f>INDEX(MortRates,MATCH(MIN(D211,120),MortAges,0),MAX(MIN(C211,5),0)+1)</f>
        <v/>
      </c>
      <c r="G211" s="31">
        <f>1-(1-F211)^(1/12)</f>
        <v/>
      </c>
      <c r="H211" s="32">
        <f>MAX(LapseBase-LapseStep*C211,LapseFloor)</f>
        <v/>
      </c>
      <c r="I211" s="32">
        <f>IF(HasSurrCharge,INDEX(SurrRates,MIN(C211,SurrDurMax)+1,MATCH(SurrChargeID,SurrTypes,0)),0)</f>
        <v/>
      </c>
      <c r="J211" s="33">
        <f>N210-P210-O210</f>
        <v/>
      </c>
      <c r="K211" s="30">
        <f>IF(B211=12*PolicyTerm,J211,0)</f>
        <v/>
      </c>
      <c r="L211" s="33">
        <f>J211-K211</f>
        <v/>
      </c>
      <c r="M211" s="30">
        <f>IF(B211=0,PolicyCount,0)</f>
        <v/>
      </c>
      <c r="N211" s="33">
        <f>L211+M211</f>
        <v/>
      </c>
      <c r="O211" s="31">
        <f>N211*G211</f>
        <v/>
      </c>
      <c r="P211" s="33">
        <f>(N211-O211)*(1-(1-H211)^(1/12))</f>
        <v/>
      </c>
      <c r="Q211" s="34">
        <f>X210+Z210</f>
        <v/>
      </c>
      <c r="R211" s="29">
        <f>(1-LoadPremRate)*E211</f>
        <v/>
      </c>
      <c r="S211" s="34">
        <f>Q211+R211</f>
        <v/>
      </c>
      <c r="T211" s="29">
        <f>MaintFeeRateAnn/12*S211</f>
        <v/>
      </c>
      <c r="U211" s="29">
        <f>MAX(SumAssured-S211,0)</f>
        <v/>
      </c>
      <c r="V211" s="35">
        <f>CoiMultiple*G211</f>
        <v/>
      </c>
      <c r="W211" s="34">
        <f>V211*U211</f>
        <v/>
      </c>
      <c r="X211" s="34">
        <f>S211-T211-W211</f>
        <v/>
      </c>
      <c r="Y211" s="36">
        <f>EXP((Mu-0.5*Sigma^2)/12+Sigma*SQRT(1/12)*INDEX(NormRand,ScenID,A211+1))-1</f>
        <v/>
      </c>
      <c r="Z211" s="34">
        <f>Y211*X211</f>
        <v/>
      </c>
      <c r="AA211" s="34">
        <f>X211+0.5*Z211</f>
        <v/>
      </c>
      <c r="AB211" s="34">
        <f>Q211*J211</f>
        <v/>
      </c>
      <c r="AC211" s="34">
        <f>Q211*L211</f>
        <v/>
      </c>
      <c r="AD211" s="34">
        <f>S211*N211</f>
        <v/>
      </c>
      <c r="AE211" s="34">
        <f>E211*N211</f>
        <v/>
      </c>
      <c r="AF211" s="34">
        <f>R211*N211</f>
        <v/>
      </c>
      <c r="AG211" s="29">
        <f>MAX(SumAssured,AA211)</f>
        <v/>
      </c>
      <c r="AH211" s="34">
        <f>AG211*O211</f>
        <v/>
      </c>
      <c r="AI211" s="34">
        <f>AA211*O211</f>
        <v/>
      </c>
      <c r="AJ211" s="34">
        <f>AA211*P211</f>
        <v/>
      </c>
      <c r="AK211" s="34">
        <f>I211*AA211*P211</f>
        <v/>
      </c>
      <c r="AL211" s="34">
        <f>AJ211-AK211</f>
        <v/>
      </c>
      <c r="AM211" s="34">
        <f>Q211*K211</f>
        <v/>
      </c>
      <c r="AN211" s="34">
        <f>AH211+AL211+AM211</f>
        <v/>
      </c>
      <c r="AO211" s="34">
        <f>(AG211-AA211)*O211</f>
        <v/>
      </c>
      <c r="AP211" s="34">
        <f>W211*N211</f>
        <v/>
      </c>
      <c r="AQ211" s="34">
        <f>T211*N211</f>
        <v/>
      </c>
      <c r="AR211" s="34">
        <f>Z211*J212+0.5*Z211*(O211+P211)</f>
        <v/>
      </c>
      <c r="AS211" s="30">
        <f>(1+InflationRate)^(A211/12)</f>
        <v/>
      </c>
      <c r="AT211" s="29">
        <f>ExpenseAcq*M211+N211*ExpenseMaint/12*AS211</f>
        <v/>
      </c>
      <c r="AU211" s="29">
        <f>CommissionRate*AE211</f>
        <v/>
      </c>
      <c r="AV211" s="34">
        <f>AB212-AB211</f>
        <v/>
      </c>
      <c r="AW211" s="34">
        <f>AE211+AR211-AN211-AT211-AU211-AV211</f>
        <v/>
      </c>
      <c r="AX211" s="29">
        <f>LoadPremRate*E211*N211+AK211+AQ211-AU211-AT211</f>
        <v/>
      </c>
      <c r="AY211" s="34">
        <f>AP211-AO211</f>
        <v/>
      </c>
      <c r="AZ211" s="37">
        <f>(AW211-AX211-AY211)/MAX(1,ABS(AW211),ABS(AX211),ABS(AY211))</f>
        <v/>
      </c>
      <c r="BA211" s="37">
        <f>IF(OR(K211&gt;0,K212&gt;0),0,(AC212-(AC211+AF211-AQ211-AP211+AR211-AI211-AJ211-AM211))/MAX(1,ABS(AC211),ABS(AC212)))</f>
        <v/>
      </c>
      <c r="BB211" s="35">
        <f>(1+INDEX(DiscRateAnn,INT(A211/12)+1))^(1/12)-1</f>
        <v/>
      </c>
      <c r="BC211" s="31">
        <f>(1+BB211)^-A211</f>
        <v/>
      </c>
      <c r="BD211" s="34">
        <f>AW211*BC211</f>
        <v/>
      </c>
    </row>
    <row r="212">
      <c r="A212" s="27">
        <f>A211+1</f>
        <v/>
      </c>
      <c r="B212" s="28">
        <f>Duration0+A212</f>
        <v/>
      </c>
      <c r="C212" s="27">
        <f>INT(B212/12)</f>
        <v/>
      </c>
      <c r="D212" s="28">
        <f>AgeAtEntry+C212</f>
        <v/>
      </c>
      <c r="E212" s="29">
        <f>IF(PremiumType="SINGLE",IF(B212=0,PremiumPPInput,0),IF(B212&lt;12*PolicyTerm,PremiumPPInput,0))</f>
        <v/>
      </c>
      <c r="F212" s="30">
        <f>INDEX(MortRates,MATCH(MIN(D212,120),MortAges,0),MAX(MIN(C212,5),0)+1)</f>
        <v/>
      </c>
      <c r="G212" s="31">
        <f>1-(1-F212)^(1/12)</f>
        <v/>
      </c>
      <c r="H212" s="32">
        <f>MAX(LapseBase-LapseStep*C212,LapseFloor)</f>
        <v/>
      </c>
      <c r="I212" s="32">
        <f>IF(HasSurrCharge,INDEX(SurrRates,MIN(C212,SurrDurMax)+1,MATCH(SurrChargeID,SurrTypes,0)),0)</f>
        <v/>
      </c>
      <c r="J212" s="33">
        <f>N211-P211-O211</f>
        <v/>
      </c>
      <c r="K212" s="30">
        <f>IF(B212=12*PolicyTerm,J212,0)</f>
        <v/>
      </c>
      <c r="L212" s="33">
        <f>J212-K212</f>
        <v/>
      </c>
      <c r="M212" s="30">
        <f>IF(B212=0,PolicyCount,0)</f>
        <v/>
      </c>
      <c r="N212" s="33">
        <f>L212+M212</f>
        <v/>
      </c>
      <c r="O212" s="31">
        <f>N212*G212</f>
        <v/>
      </c>
      <c r="P212" s="33">
        <f>(N212-O212)*(1-(1-H212)^(1/12))</f>
        <v/>
      </c>
      <c r="Q212" s="34">
        <f>X211+Z211</f>
        <v/>
      </c>
      <c r="R212" s="29">
        <f>(1-LoadPremRate)*E212</f>
        <v/>
      </c>
      <c r="S212" s="34">
        <f>Q212+R212</f>
        <v/>
      </c>
      <c r="T212" s="29">
        <f>MaintFeeRateAnn/12*S212</f>
        <v/>
      </c>
      <c r="U212" s="29">
        <f>MAX(SumAssured-S212,0)</f>
        <v/>
      </c>
      <c r="V212" s="35">
        <f>CoiMultiple*G212</f>
        <v/>
      </c>
      <c r="W212" s="34">
        <f>V212*U212</f>
        <v/>
      </c>
      <c r="X212" s="34">
        <f>S212-T212-W212</f>
        <v/>
      </c>
      <c r="Y212" s="36">
        <f>EXP((Mu-0.5*Sigma^2)/12+Sigma*SQRT(1/12)*INDEX(NormRand,ScenID,A212+1))-1</f>
        <v/>
      </c>
      <c r="Z212" s="34">
        <f>Y212*X212</f>
        <v/>
      </c>
      <c r="AA212" s="34">
        <f>X212+0.5*Z212</f>
        <v/>
      </c>
      <c r="AB212" s="34">
        <f>Q212*J212</f>
        <v/>
      </c>
      <c r="AC212" s="34">
        <f>Q212*L212</f>
        <v/>
      </c>
      <c r="AD212" s="34">
        <f>S212*N212</f>
        <v/>
      </c>
      <c r="AE212" s="34">
        <f>E212*N212</f>
        <v/>
      </c>
      <c r="AF212" s="34">
        <f>R212*N212</f>
        <v/>
      </c>
      <c r="AG212" s="29">
        <f>MAX(SumAssured,AA212)</f>
        <v/>
      </c>
      <c r="AH212" s="34">
        <f>AG212*O212</f>
        <v/>
      </c>
      <c r="AI212" s="34">
        <f>AA212*O212</f>
        <v/>
      </c>
      <c r="AJ212" s="34">
        <f>AA212*P212</f>
        <v/>
      </c>
      <c r="AK212" s="34">
        <f>I212*AA212*P212</f>
        <v/>
      </c>
      <c r="AL212" s="34">
        <f>AJ212-AK212</f>
        <v/>
      </c>
      <c r="AM212" s="34">
        <f>Q212*K212</f>
        <v/>
      </c>
      <c r="AN212" s="34">
        <f>AH212+AL212+AM212</f>
        <v/>
      </c>
      <c r="AO212" s="34">
        <f>(AG212-AA212)*O212</f>
        <v/>
      </c>
      <c r="AP212" s="34">
        <f>W212*N212</f>
        <v/>
      </c>
      <c r="AQ212" s="34">
        <f>T212*N212</f>
        <v/>
      </c>
      <c r="AR212" s="34">
        <f>Z212*J213+0.5*Z212*(O212+P212)</f>
        <v/>
      </c>
      <c r="AS212" s="30">
        <f>(1+InflationRate)^(A212/12)</f>
        <v/>
      </c>
      <c r="AT212" s="29">
        <f>ExpenseAcq*M212+N212*ExpenseMaint/12*AS212</f>
        <v/>
      </c>
      <c r="AU212" s="29">
        <f>CommissionRate*AE212</f>
        <v/>
      </c>
      <c r="AV212" s="34">
        <f>AB213-AB212</f>
        <v/>
      </c>
      <c r="AW212" s="34">
        <f>AE212+AR212-AN212-AT212-AU212-AV212</f>
        <v/>
      </c>
      <c r="AX212" s="29">
        <f>LoadPremRate*E212*N212+AK212+AQ212-AU212-AT212</f>
        <v/>
      </c>
      <c r="AY212" s="34">
        <f>AP212-AO212</f>
        <v/>
      </c>
      <c r="AZ212" s="37">
        <f>(AW212-AX212-AY212)/MAX(1,ABS(AW212),ABS(AX212),ABS(AY212))</f>
        <v/>
      </c>
      <c r="BA212" s="37">
        <f>IF(OR(K212&gt;0,K213&gt;0),0,(AC213-(AC212+AF212-AQ212-AP212+AR212-AI212-AJ212-AM212))/MAX(1,ABS(AC212),ABS(AC213)))</f>
        <v/>
      </c>
      <c r="BB212" s="35">
        <f>(1+INDEX(DiscRateAnn,INT(A212/12)+1))^(1/12)-1</f>
        <v/>
      </c>
      <c r="BC212" s="31">
        <f>(1+BB212)^-A212</f>
        <v/>
      </c>
      <c r="BD212" s="34">
        <f>AW212*BC212</f>
        <v/>
      </c>
    </row>
    <row r="213">
      <c r="A213" s="27">
        <f>A212+1</f>
        <v/>
      </c>
      <c r="B213" s="28">
        <f>Duration0+A213</f>
        <v/>
      </c>
      <c r="C213" s="27">
        <f>INT(B213/12)</f>
        <v/>
      </c>
      <c r="D213" s="28">
        <f>AgeAtEntry+C213</f>
        <v/>
      </c>
      <c r="E213" s="29">
        <f>IF(PremiumType="SINGLE",IF(B213=0,PremiumPPInput,0),IF(B213&lt;12*PolicyTerm,PremiumPPInput,0))</f>
        <v/>
      </c>
      <c r="F213" s="30">
        <f>INDEX(MortRates,MATCH(MIN(D213,120),MortAges,0),MAX(MIN(C213,5),0)+1)</f>
        <v/>
      </c>
      <c r="G213" s="31">
        <f>1-(1-F213)^(1/12)</f>
        <v/>
      </c>
      <c r="H213" s="32">
        <f>MAX(LapseBase-LapseStep*C213,LapseFloor)</f>
        <v/>
      </c>
      <c r="I213" s="32">
        <f>IF(HasSurrCharge,INDEX(SurrRates,MIN(C213,SurrDurMax)+1,MATCH(SurrChargeID,SurrTypes,0)),0)</f>
        <v/>
      </c>
      <c r="J213" s="33">
        <f>N212-P212-O212</f>
        <v/>
      </c>
      <c r="K213" s="30">
        <f>IF(B213=12*PolicyTerm,J213,0)</f>
        <v/>
      </c>
      <c r="L213" s="33">
        <f>J213-K213</f>
        <v/>
      </c>
      <c r="M213" s="30">
        <f>IF(B213=0,PolicyCount,0)</f>
        <v/>
      </c>
      <c r="N213" s="33">
        <f>L213+M213</f>
        <v/>
      </c>
      <c r="O213" s="31">
        <f>N213*G213</f>
        <v/>
      </c>
      <c r="P213" s="33">
        <f>(N213-O213)*(1-(1-H213)^(1/12))</f>
        <v/>
      </c>
      <c r="Q213" s="34">
        <f>X212+Z212</f>
        <v/>
      </c>
      <c r="R213" s="29">
        <f>(1-LoadPremRate)*E213</f>
        <v/>
      </c>
      <c r="S213" s="34">
        <f>Q213+R213</f>
        <v/>
      </c>
      <c r="T213" s="29">
        <f>MaintFeeRateAnn/12*S213</f>
        <v/>
      </c>
      <c r="U213" s="29">
        <f>MAX(SumAssured-S213,0)</f>
        <v/>
      </c>
      <c r="V213" s="35">
        <f>CoiMultiple*G213</f>
        <v/>
      </c>
      <c r="W213" s="34">
        <f>V213*U213</f>
        <v/>
      </c>
      <c r="X213" s="34">
        <f>S213-T213-W213</f>
        <v/>
      </c>
      <c r="Y213" s="36">
        <f>EXP((Mu-0.5*Sigma^2)/12+Sigma*SQRT(1/12)*INDEX(NormRand,ScenID,A213+1))-1</f>
        <v/>
      </c>
      <c r="Z213" s="34">
        <f>Y213*X213</f>
        <v/>
      </c>
      <c r="AA213" s="34">
        <f>X213+0.5*Z213</f>
        <v/>
      </c>
      <c r="AB213" s="34">
        <f>Q213*J213</f>
        <v/>
      </c>
      <c r="AC213" s="34">
        <f>Q213*L213</f>
        <v/>
      </c>
      <c r="AD213" s="34">
        <f>S213*N213</f>
        <v/>
      </c>
      <c r="AE213" s="34">
        <f>E213*N213</f>
        <v/>
      </c>
      <c r="AF213" s="34">
        <f>R213*N213</f>
        <v/>
      </c>
      <c r="AG213" s="29">
        <f>MAX(SumAssured,AA213)</f>
        <v/>
      </c>
      <c r="AH213" s="34">
        <f>AG213*O213</f>
        <v/>
      </c>
      <c r="AI213" s="34">
        <f>AA213*O213</f>
        <v/>
      </c>
      <c r="AJ213" s="34">
        <f>AA213*P213</f>
        <v/>
      </c>
      <c r="AK213" s="34">
        <f>I213*AA213*P213</f>
        <v/>
      </c>
      <c r="AL213" s="34">
        <f>AJ213-AK213</f>
        <v/>
      </c>
      <c r="AM213" s="34">
        <f>Q213*K213</f>
        <v/>
      </c>
      <c r="AN213" s="34">
        <f>AH213+AL213+AM213</f>
        <v/>
      </c>
      <c r="AO213" s="34">
        <f>(AG213-AA213)*O213</f>
        <v/>
      </c>
      <c r="AP213" s="34">
        <f>W213*N213</f>
        <v/>
      </c>
      <c r="AQ213" s="34">
        <f>T213*N213</f>
        <v/>
      </c>
      <c r="AR213" s="34">
        <f>Z213*J214+0.5*Z213*(O213+P213)</f>
        <v/>
      </c>
      <c r="AS213" s="30">
        <f>(1+InflationRate)^(A213/12)</f>
        <v/>
      </c>
      <c r="AT213" s="29">
        <f>ExpenseAcq*M213+N213*ExpenseMaint/12*AS213</f>
        <v/>
      </c>
      <c r="AU213" s="29">
        <f>CommissionRate*AE213</f>
        <v/>
      </c>
      <c r="AV213" s="34">
        <f>AB214-AB213</f>
        <v/>
      </c>
      <c r="AW213" s="34">
        <f>AE213+AR213-AN213-AT213-AU213-AV213</f>
        <v/>
      </c>
      <c r="AX213" s="29">
        <f>LoadPremRate*E213*N213+AK213+AQ213-AU213-AT213</f>
        <v/>
      </c>
      <c r="AY213" s="34">
        <f>AP213-AO213</f>
        <v/>
      </c>
      <c r="AZ213" s="37">
        <f>(AW213-AX213-AY213)/MAX(1,ABS(AW213),ABS(AX213),ABS(AY213))</f>
        <v/>
      </c>
      <c r="BA213" s="37">
        <f>IF(OR(K213&gt;0,K214&gt;0),0,(AC214-(AC213+AF213-AQ213-AP213+AR213-AI213-AJ213-AM213))/MAX(1,ABS(AC213),ABS(AC214)))</f>
        <v/>
      </c>
      <c r="BB213" s="35">
        <f>(1+INDEX(DiscRateAnn,INT(A213/12)+1))^(1/12)-1</f>
        <v/>
      </c>
      <c r="BC213" s="31">
        <f>(1+BB213)^-A213</f>
        <v/>
      </c>
      <c r="BD213" s="34">
        <f>AW213*BC213</f>
        <v/>
      </c>
    </row>
    <row r="214">
      <c r="A214" s="27">
        <f>A213+1</f>
        <v/>
      </c>
      <c r="B214" s="28">
        <f>Duration0+A214</f>
        <v/>
      </c>
      <c r="C214" s="27">
        <f>INT(B214/12)</f>
        <v/>
      </c>
      <c r="D214" s="28">
        <f>AgeAtEntry+C214</f>
        <v/>
      </c>
      <c r="E214" s="29">
        <f>IF(PremiumType="SINGLE",IF(B214=0,PremiumPPInput,0),IF(B214&lt;12*PolicyTerm,PremiumPPInput,0))</f>
        <v/>
      </c>
      <c r="F214" s="30">
        <f>INDEX(MortRates,MATCH(MIN(D214,120),MortAges,0),MAX(MIN(C214,5),0)+1)</f>
        <v/>
      </c>
      <c r="G214" s="31">
        <f>1-(1-F214)^(1/12)</f>
        <v/>
      </c>
      <c r="H214" s="32">
        <f>MAX(LapseBase-LapseStep*C214,LapseFloor)</f>
        <v/>
      </c>
      <c r="I214" s="32">
        <f>IF(HasSurrCharge,INDEX(SurrRates,MIN(C214,SurrDurMax)+1,MATCH(SurrChargeID,SurrTypes,0)),0)</f>
        <v/>
      </c>
      <c r="J214" s="33">
        <f>N213-P213-O213</f>
        <v/>
      </c>
      <c r="K214" s="30">
        <f>IF(B214=12*PolicyTerm,J214,0)</f>
        <v/>
      </c>
      <c r="L214" s="33">
        <f>J214-K214</f>
        <v/>
      </c>
      <c r="M214" s="30">
        <f>IF(B214=0,PolicyCount,0)</f>
        <v/>
      </c>
      <c r="N214" s="33">
        <f>L214+M214</f>
        <v/>
      </c>
      <c r="O214" s="31">
        <f>N214*G214</f>
        <v/>
      </c>
      <c r="P214" s="33">
        <f>(N214-O214)*(1-(1-H214)^(1/12))</f>
        <v/>
      </c>
      <c r="Q214" s="34">
        <f>X213+Z213</f>
        <v/>
      </c>
      <c r="R214" s="29">
        <f>(1-LoadPremRate)*E214</f>
        <v/>
      </c>
      <c r="S214" s="34">
        <f>Q214+R214</f>
        <v/>
      </c>
      <c r="T214" s="29">
        <f>MaintFeeRateAnn/12*S214</f>
        <v/>
      </c>
      <c r="U214" s="29">
        <f>MAX(SumAssured-S214,0)</f>
        <v/>
      </c>
      <c r="V214" s="35">
        <f>CoiMultiple*G214</f>
        <v/>
      </c>
      <c r="W214" s="34">
        <f>V214*U214</f>
        <v/>
      </c>
      <c r="X214" s="34">
        <f>S214-T214-W214</f>
        <v/>
      </c>
      <c r="Y214" s="36">
        <f>EXP((Mu-0.5*Sigma^2)/12+Sigma*SQRT(1/12)*INDEX(NormRand,ScenID,A214+1))-1</f>
        <v/>
      </c>
      <c r="Z214" s="34">
        <f>Y214*X214</f>
        <v/>
      </c>
      <c r="AA214" s="34">
        <f>X214+0.5*Z214</f>
        <v/>
      </c>
      <c r="AB214" s="34">
        <f>Q214*J214</f>
        <v/>
      </c>
      <c r="AC214" s="34">
        <f>Q214*L214</f>
        <v/>
      </c>
      <c r="AD214" s="34">
        <f>S214*N214</f>
        <v/>
      </c>
      <c r="AE214" s="34">
        <f>E214*N214</f>
        <v/>
      </c>
      <c r="AF214" s="34">
        <f>R214*N214</f>
        <v/>
      </c>
      <c r="AG214" s="29">
        <f>MAX(SumAssured,AA214)</f>
        <v/>
      </c>
      <c r="AH214" s="34">
        <f>AG214*O214</f>
        <v/>
      </c>
      <c r="AI214" s="34">
        <f>AA214*O214</f>
        <v/>
      </c>
      <c r="AJ214" s="34">
        <f>AA214*P214</f>
        <v/>
      </c>
      <c r="AK214" s="34">
        <f>I214*AA214*P214</f>
        <v/>
      </c>
      <c r="AL214" s="34">
        <f>AJ214-AK214</f>
        <v/>
      </c>
      <c r="AM214" s="34">
        <f>Q214*K214</f>
        <v/>
      </c>
      <c r="AN214" s="34">
        <f>AH214+AL214+AM214</f>
        <v/>
      </c>
      <c r="AO214" s="34">
        <f>(AG214-AA214)*O214</f>
        <v/>
      </c>
      <c r="AP214" s="34">
        <f>W214*N214</f>
        <v/>
      </c>
      <c r="AQ214" s="34">
        <f>T214*N214</f>
        <v/>
      </c>
      <c r="AR214" s="34">
        <f>Z214*J215+0.5*Z214*(O214+P214)</f>
        <v/>
      </c>
      <c r="AS214" s="30">
        <f>(1+InflationRate)^(A214/12)</f>
        <v/>
      </c>
      <c r="AT214" s="29">
        <f>ExpenseAcq*M214+N214*ExpenseMaint/12*AS214</f>
        <v/>
      </c>
      <c r="AU214" s="29">
        <f>CommissionRate*AE214</f>
        <v/>
      </c>
      <c r="AV214" s="34">
        <f>AB215-AB214</f>
        <v/>
      </c>
      <c r="AW214" s="34">
        <f>AE214+AR214-AN214-AT214-AU214-AV214</f>
        <v/>
      </c>
      <c r="AX214" s="29">
        <f>LoadPremRate*E214*N214+AK214+AQ214-AU214-AT214</f>
        <v/>
      </c>
      <c r="AY214" s="34">
        <f>AP214-AO214</f>
        <v/>
      </c>
      <c r="AZ214" s="37">
        <f>(AW214-AX214-AY214)/MAX(1,ABS(AW214),ABS(AX214),ABS(AY214))</f>
        <v/>
      </c>
      <c r="BA214" s="37">
        <f>IF(OR(K214&gt;0,K215&gt;0),0,(AC215-(AC214+AF214-AQ214-AP214+AR214-AI214-AJ214-AM214))/MAX(1,ABS(AC214),ABS(AC215)))</f>
        <v/>
      </c>
      <c r="BB214" s="35">
        <f>(1+INDEX(DiscRateAnn,INT(A214/12)+1))^(1/12)-1</f>
        <v/>
      </c>
      <c r="BC214" s="31">
        <f>(1+BB214)^-A214</f>
        <v/>
      </c>
      <c r="BD214" s="34">
        <f>AW214*BC214</f>
        <v/>
      </c>
    </row>
    <row r="215">
      <c r="A215" s="27">
        <f>A214+1</f>
        <v/>
      </c>
      <c r="B215" s="28">
        <f>Duration0+A215</f>
        <v/>
      </c>
      <c r="C215" s="27">
        <f>INT(B215/12)</f>
        <v/>
      </c>
      <c r="D215" s="28">
        <f>AgeAtEntry+C215</f>
        <v/>
      </c>
      <c r="E215" s="29">
        <f>IF(PremiumType="SINGLE",IF(B215=0,PremiumPPInput,0),IF(B215&lt;12*PolicyTerm,PremiumPPInput,0))</f>
        <v/>
      </c>
      <c r="F215" s="30">
        <f>INDEX(MortRates,MATCH(MIN(D215,120),MortAges,0),MAX(MIN(C215,5),0)+1)</f>
        <v/>
      </c>
      <c r="G215" s="31">
        <f>1-(1-F215)^(1/12)</f>
        <v/>
      </c>
      <c r="H215" s="32">
        <f>MAX(LapseBase-LapseStep*C215,LapseFloor)</f>
        <v/>
      </c>
      <c r="I215" s="32">
        <f>IF(HasSurrCharge,INDEX(SurrRates,MIN(C215,SurrDurMax)+1,MATCH(SurrChargeID,SurrTypes,0)),0)</f>
        <v/>
      </c>
      <c r="J215" s="33">
        <f>N214-P214-O214</f>
        <v/>
      </c>
      <c r="K215" s="30">
        <f>IF(B215=12*PolicyTerm,J215,0)</f>
        <v/>
      </c>
      <c r="L215" s="33">
        <f>J215-K215</f>
        <v/>
      </c>
      <c r="M215" s="30">
        <f>IF(B215=0,PolicyCount,0)</f>
        <v/>
      </c>
      <c r="N215" s="33">
        <f>L215+M215</f>
        <v/>
      </c>
      <c r="O215" s="31">
        <f>N215*G215</f>
        <v/>
      </c>
      <c r="P215" s="33">
        <f>(N215-O215)*(1-(1-H215)^(1/12))</f>
        <v/>
      </c>
      <c r="Q215" s="34">
        <f>X214+Z214</f>
        <v/>
      </c>
      <c r="R215" s="29">
        <f>(1-LoadPremRate)*E215</f>
        <v/>
      </c>
      <c r="S215" s="34">
        <f>Q215+R215</f>
        <v/>
      </c>
      <c r="T215" s="29">
        <f>MaintFeeRateAnn/12*S215</f>
        <v/>
      </c>
      <c r="U215" s="29">
        <f>MAX(SumAssured-S215,0)</f>
        <v/>
      </c>
      <c r="V215" s="35">
        <f>CoiMultiple*G215</f>
        <v/>
      </c>
      <c r="W215" s="34">
        <f>V215*U215</f>
        <v/>
      </c>
      <c r="X215" s="34">
        <f>S215-T215-W215</f>
        <v/>
      </c>
      <c r="Y215" s="36">
        <f>EXP((Mu-0.5*Sigma^2)/12+Sigma*SQRT(1/12)*INDEX(NormRand,ScenID,A215+1))-1</f>
        <v/>
      </c>
      <c r="Z215" s="34">
        <f>Y215*X215</f>
        <v/>
      </c>
      <c r="AA215" s="34">
        <f>X215+0.5*Z215</f>
        <v/>
      </c>
      <c r="AB215" s="34">
        <f>Q215*J215</f>
        <v/>
      </c>
      <c r="AC215" s="34">
        <f>Q215*L215</f>
        <v/>
      </c>
      <c r="AD215" s="34">
        <f>S215*N215</f>
        <v/>
      </c>
      <c r="AE215" s="34">
        <f>E215*N215</f>
        <v/>
      </c>
      <c r="AF215" s="34">
        <f>R215*N215</f>
        <v/>
      </c>
      <c r="AG215" s="29">
        <f>MAX(SumAssured,AA215)</f>
        <v/>
      </c>
      <c r="AH215" s="34">
        <f>AG215*O215</f>
        <v/>
      </c>
      <c r="AI215" s="34">
        <f>AA215*O215</f>
        <v/>
      </c>
      <c r="AJ215" s="34">
        <f>AA215*P215</f>
        <v/>
      </c>
      <c r="AK215" s="34">
        <f>I215*AA215*P215</f>
        <v/>
      </c>
      <c r="AL215" s="34">
        <f>AJ215-AK215</f>
        <v/>
      </c>
      <c r="AM215" s="34">
        <f>Q215*K215</f>
        <v/>
      </c>
      <c r="AN215" s="34">
        <f>AH215+AL215+AM215</f>
        <v/>
      </c>
      <c r="AO215" s="34">
        <f>(AG215-AA215)*O215</f>
        <v/>
      </c>
      <c r="AP215" s="34">
        <f>W215*N215</f>
        <v/>
      </c>
      <c r="AQ215" s="34">
        <f>T215*N215</f>
        <v/>
      </c>
      <c r="AR215" s="34">
        <f>Z215*J216+0.5*Z215*(O215+P215)</f>
        <v/>
      </c>
      <c r="AS215" s="30">
        <f>(1+InflationRate)^(A215/12)</f>
        <v/>
      </c>
      <c r="AT215" s="29">
        <f>ExpenseAcq*M215+N215*ExpenseMaint/12*AS215</f>
        <v/>
      </c>
      <c r="AU215" s="29">
        <f>CommissionRate*AE215</f>
        <v/>
      </c>
      <c r="AV215" s="34">
        <f>AB216-AB215</f>
        <v/>
      </c>
      <c r="AW215" s="34">
        <f>AE215+AR215-AN215-AT215-AU215-AV215</f>
        <v/>
      </c>
      <c r="AX215" s="29">
        <f>LoadPremRate*E215*N215+AK215+AQ215-AU215-AT215</f>
        <v/>
      </c>
      <c r="AY215" s="34">
        <f>AP215-AO215</f>
        <v/>
      </c>
      <c r="AZ215" s="37">
        <f>(AW215-AX215-AY215)/MAX(1,ABS(AW215),ABS(AX215),ABS(AY215))</f>
        <v/>
      </c>
      <c r="BA215" s="37">
        <f>IF(OR(K215&gt;0,K216&gt;0),0,(AC216-(AC215+AF215-AQ215-AP215+AR215-AI215-AJ215-AM215))/MAX(1,ABS(AC215),ABS(AC216)))</f>
        <v/>
      </c>
      <c r="BB215" s="35">
        <f>(1+INDEX(DiscRateAnn,INT(A215/12)+1))^(1/12)-1</f>
        <v/>
      </c>
      <c r="BC215" s="31">
        <f>(1+BB215)^-A215</f>
        <v/>
      </c>
      <c r="BD215" s="34">
        <f>AW215*BC215</f>
        <v/>
      </c>
    </row>
    <row r="216">
      <c r="A216" s="27">
        <f>A215+1</f>
        <v/>
      </c>
      <c r="B216" s="28">
        <f>Duration0+A216</f>
        <v/>
      </c>
      <c r="C216" s="27">
        <f>INT(B216/12)</f>
        <v/>
      </c>
      <c r="D216" s="28">
        <f>AgeAtEntry+C216</f>
        <v/>
      </c>
      <c r="E216" s="29">
        <f>IF(PremiumType="SINGLE",IF(B216=0,PremiumPPInput,0),IF(B216&lt;12*PolicyTerm,PremiumPPInput,0))</f>
        <v/>
      </c>
      <c r="F216" s="30">
        <f>INDEX(MortRates,MATCH(MIN(D216,120),MortAges,0),MAX(MIN(C216,5),0)+1)</f>
        <v/>
      </c>
      <c r="G216" s="31">
        <f>1-(1-F216)^(1/12)</f>
        <v/>
      </c>
      <c r="H216" s="32">
        <f>MAX(LapseBase-LapseStep*C216,LapseFloor)</f>
        <v/>
      </c>
      <c r="I216" s="32">
        <f>IF(HasSurrCharge,INDEX(SurrRates,MIN(C216,SurrDurMax)+1,MATCH(SurrChargeID,SurrTypes,0)),0)</f>
        <v/>
      </c>
      <c r="J216" s="33">
        <f>N215-P215-O215</f>
        <v/>
      </c>
      <c r="K216" s="30">
        <f>IF(B216=12*PolicyTerm,J216,0)</f>
        <v/>
      </c>
      <c r="L216" s="33">
        <f>J216-K216</f>
        <v/>
      </c>
      <c r="M216" s="30">
        <f>IF(B216=0,PolicyCount,0)</f>
        <v/>
      </c>
      <c r="N216" s="33">
        <f>L216+M216</f>
        <v/>
      </c>
      <c r="O216" s="31">
        <f>N216*G216</f>
        <v/>
      </c>
      <c r="P216" s="33">
        <f>(N216-O216)*(1-(1-H216)^(1/12))</f>
        <v/>
      </c>
      <c r="Q216" s="34">
        <f>X215+Z215</f>
        <v/>
      </c>
      <c r="R216" s="29">
        <f>(1-LoadPremRate)*E216</f>
        <v/>
      </c>
      <c r="S216" s="34">
        <f>Q216+R216</f>
        <v/>
      </c>
      <c r="T216" s="29">
        <f>MaintFeeRateAnn/12*S216</f>
        <v/>
      </c>
      <c r="U216" s="29">
        <f>MAX(SumAssured-S216,0)</f>
        <v/>
      </c>
      <c r="V216" s="35">
        <f>CoiMultiple*G216</f>
        <v/>
      </c>
      <c r="W216" s="34">
        <f>V216*U216</f>
        <v/>
      </c>
      <c r="X216" s="34">
        <f>S216-T216-W216</f>
        <v/>
      </c>
      <c r="Y216" s="36">
        <f>EXP((Mu-0.5*Sigma^2)/12+Sigma*SQRT(1/12)*INDEX(NormRand,ScenID,A216+1))-1</f>
        <v/>
      </c>
      <c r="Z216" s="34">
        <f>Y216*X216</f>
        <v/>
      </c>
      <c r="AA216" s="34">
        <f>X216+0.5*Z216</f>
        <v/>
      </c>
      <c r="AB216" s="34">
        <f>Q216*J216</f>
        <v/>
      </c>
      <c r="AC216" s="34">
        <f>Q216*L216</f>
        <v/>
      </c>
      <c r="AD216" s="34">
        <f>S216*N216</f>
        <v/>
      </c>
      <c r="AE216" s="34">
        <f>E216*N216</f>
        <v/>
      </c>
      <c r="AF216" s="34">
        <f>R216*N216</f>
        <v/>
      </c>
      <c r="AG216" s="29">
        <f>MAX(SumAssured,AA216)</f>
        <v/>
      </c>
      <c r="AH216" s="34">
        <f>AG216*O216</f>
        <v/>
      </c>
      <c r="AI216" s="34">
        <f>AA216*O216</f>
        <v/>
      </c>
      <c r="AJ216" s="34">
        <f>AA216*P216</f>
        <v/>
      </c>
      <c r="AK216" s="34">
        <f>I216*AA216*P216</f>
        <v/>
      </c>
      <c r="AL216" s="34">
        <f>AJ216-AK216</f>
        <v/>
      </c>
      <c r="AM216" s="34">
        <f>Q216*K216</f>
        <v/>
      </c>
      <c r="AN216" s="34">
        <f>AH216+AL216+AM216</f>
        <v/>
      </c>
      <c r="AO216" s="34">
        <f>(AG216-AA216)*O216</f>
        <v/>
      </c>
      <c r="AP216" s="34">
        <f>W216*N216</f>
        <v/>
      </c>
      <c r="AQ216" s="34">
        <f>T216*N216</f>
        <v/>
      </c>
      <c r="AR216" s="34">
        <f>Z216*J217+0.5*Z216*(O216+P216)</f>
        <v/>
      </c>
      <c r="AS216" s="30">
        <f>(1+InflationRate)^(A216/12)</f>
        <v/>
      </c>
      <c r="AT216" s="29">
        <f>ExpenseAcq*M216+N216*ExpenseMaint/12*AS216</f>
        <v/>
      </c>
      <c r="AU216" s="29">
        <f>CommissionRate*AE216</f>
        <v/>
      </c>
      <c r="AV216" s="34">
        <f>AB217-AB216</f>
        <v/>
      </c>
      <c r="AW216" s="34">
        <f>AE216+AR216-AN216-AT216-AU216-AV216</f>
        <v/>
      </c>
      <c r="AX216" s="29">
        <f>LoadPremRate*E216*N216+AK216+AQ216-AU216-AT216</f>
        <v/>
      </c>
      <c r="AY216" s="34">
        <f>AP216-AO216</f>
        <v/>
      </c>
      <c r="AZ216" s="37">
        <f>(AW216-AX216-AY216)/MAX(1,ABS(AW216),ABS(AX216),ABS(AY216))</f>
        <v/>
      </c>
      <c r="BA216" s="37">
        <f>IF(OR(K216&gt;0,K217&gt;0),0,(AC217-(AC216+AF216-AQ216-AP216+AR216-AI216-AJ216-AM216))/MAX(1,ABS(AC216),ABS(AC217)))</f>
        <v/>
      </c>
      <c r="BB216" s="35">
        <f>(1+INDEX(DiscRateAnn,INT(A216/12)+1))^(1/12)-1</f>
        <v/>
      </c>
      <c r="BC216" s="31">
        <f>(1+BB216)^-A216</f>
        <v/>
      </c>
      <c r="BD216" s="34">
        <f>AW216*BC216</f>
        <v/>
      </c>
    </row>
    <row r="217">
      <c r="A217" s="27">
        <f>A216+1</f>
        <v/>
      </c>
      <c r="B217" s="28">
        <f>Duration0+A217</f>
        <v/>
      </c>
      <c r="C217" s="27">
        <f>INT(B217/12)</f>
        <v/>
      </c>
      <c r="D217" s="28">
        <f>AgeAtEntry+C217</f>
        <v/>
      </c>
      <c r="E217" s="29">
        <f>IF(PremiumType="SINGLE",IF(B217=0,PremiumPPInput,0),IF(B217&lt;12*PolicyTerm,PremiumPPInput,0))</f>
        <v/>
      </c>
      <c r="F217" s="30">
        <f>INDEX(MortRates,MATCH(MIN(D217,120),MortAges,0),MAX(MIN(C217,5),0)+1)</f>
        <v/>
      </c>
      <c r="G217" s="31">
        <f>1-(1-F217)^(1/12)</f>
        <v/>
      </c>
      <c r="H217" s="32">
        <f>MAX(LapseBase-LapseStep*C217,LapseFloor)</f>
        <v/>
      </c>
      <c r="I217" s="32">
        <f>IF(HasSurrCharge,INDEX(SurrRates,MIN(C217,SurrDurMax)+1,MATCH(SurrChargeID,SurrTypes,0)),0)</f>
        <v/>
      </c>
      <c r="J217" s="33">
        <f>N216-P216-O216</f>
        <v/>
      </c>
      <c r="K217" s="30">
        <f>IF(B217=12*PolicyTerm,J217,0)</f>
        <v/>
      </c>
      <c r="L217" s="33">
        <f>J217-K217</f>
        <v/>
      </c>
      <c r="M217" s="30">
        <f>IF(B217=0,PolicyCount,0)</f>
        <v/>
      </c>
      <c r="N217" s="33">
        <f>L217+M217</f>
        <v/>
      </c>
      <c r="O217" s="31">
        <f>N217*G217</f>
        <v/>
      </c>
      <c r="P217" s="33">
        <f>(N217-O217)*(1-(1-H217)^(1/12))</f>
        <v/>
      </c>
      <c r="Q217" s="34">
        <f>X216+Z216</f>
        <v/>
      </c>
      <c r="R217" s="29">
        <f>(1-LoadPremRate)*E217</f>
        <v/>
      </c>
      <c r="S217" s="34">
        <f>Q217+R217</f>
        <v/>
      </c>
      <c r="T217" s="29">
        <f>MaintFeeRateAnn/12*S217</f>
        <v/>
      </c>
      <c r="U217" s="29">
        <f>MAX(SumAssured-S217,0)</f>
        <v/>
      </c>
      <c r="V217" s="35">
        <f>CoiMultiple*G217</f>
        <v/>
      </c>
      <c r="W217" s="34">
        <f>V217*U217</f>
        <v/>
      </c>
      <c r="X217" s="34">
        <f>S217-T217-W217</f>
        <v/>
      </c>
      <c r="Y217" s="36">
        <f>EXP((Mu-0.5*Sigma^2)/12+Sigma*SQRT(1/12)*INDEX(NormRand,ScenID,A217+1))-1</f>
        <v/>
      </c>
      <c r="Z217" s="34">
        <f>Y217*X217</f>
        <v/>
      </c>
      <c r="AA217" s="34">
        <f>X217+0.5*Z217</f>
        <v/>
      </c>
      <c r="AB217" s="34">
        <f>Q217*J217</f>
        <v/>
      </c>
      <c r="AC217" s="34">
        <f>Q217*L217</f>
        <v/>
      </c>
      <c r="AD217" s="34">
        <f>S217*N217</f>
        <v/>
      </c>
      <c r="AE217" s="34">
        <f>E217*N217</f>
        <v/>
      </c>
      <c r="AF217" s="34">
        <f>R217*N217</f>
        <v/>
      </c>
      <c r="AG217" s="29">
        <f>MAX(SumAssured,AA217)</f>
        <v/>
      </c>
      <c r="AH217" s="34">
        <f>AG217*O217</f>
        <v/>
      </c>
      <c r="AI217" s="34">
        <f>AA217*O217</f>
        <v/>
      </c>
      <c r="AJ217" s="34">
        <f>AA217*P217</f>
        <v/>
      </c>
      <c r="AK217" s="34">
        <f>I217*AA217*P217</f>
        <v/>
      </c>
      <c r="AL217" s="34">
        <f>AJ217-AK217</f>
        <v/>
      </c>
      <c r="AM217" s="34">
        <f>Q217*K217</f>
        <v/>
      </c>
      <c r="AN217" s="34">
        <f>AH217+AL217+AM217</f>
        <v/>
      </c>
      <c r="AO217" s="34">
        <f>(AG217-AA217)*O217</f>
        <v/>
      </c>
      <c r="AP217" s="34">
        <f>W217*N217</f>
        <v/>
      </c>
      <c r="AQ217" s="34">
        <f>T217*N217</f>
        <v/>
      </c>
      <c r="AR217" s="34">
        <f>Z217*J218+0.5*Z217*(O217+P217)</f>
        <v/>
      </c>
      <c r="AS217" s="30">
        <f>(1+InflationRate)^(A217/12)</f>
        <v/>
      </c>
      <c r="AT217" s="29">
        <f>ExpenseAcq*M217+N217*ExpenseMaint/12*AS217</f>
        <v/>
      </c>
      <c r="AU217" s="29">
        <f>CommissionRate*AE217</f>
        <v/>
      </c>
      <c r="AV217" s="34">
        <f>AB218-AB217</f>
        <v/>
      </c>
      <c r="AW217" s="34">
        <f>AE217+AR217-AN217-AT217-AU217-AV217</f>
        <v/>
      </c>
      <c r="AX217" s="29">
        <f>LoadPremRate*E217*N217+AK217+AQ217-AU217-AT217</f>
        <v/>
      </c>
      <c r="AY217" s="34">
        <f>AP217-AO217</f>
        <v/>
      </c>
      <c r="AZ217" s="37">
        <f>(AW217-AX217-AY217)/MAX(1,ABS(AW217),ABS(AX217),ABS(AY217))</f>
        <v/>
      </c>
      <c r="BA217" s="37">
        <f>IF(OR(K217&gt;0,K218&gt;0),0,(AC218-(AC217+AF217-AQ217-AP217+AR217-AI217-AJ217-AM217))/MAX(1,ABS(AC217),ABS(AC218)))</f>
        <v/>
      </c>
      <c r="BB217" s="35">
        <f>(1+INDEX(DiscRateAnn,INT(A217/12)+1))^(1/12)-1</f>
        <v/>
      </c>
      <c r="BC217" s="31">
        <f>(1+BB217)^-A217</f>
        <v/>
      </c>
      <c r="BD217" s="34">
        <f>AW217*BC217</f>
        <v/>
      </c>
    </row>
    <row r="218">
      <c r="A218" s="27">
        <f>A217+1</f>
        <v/>
      </c>
      <c r="B218" s="28">
        <f>Duration0+A218</f>
        <v/>
      </c>
      <c r="C218" s="27">
        <f>INT(B218/12)</f>
        <v/>
      </c>
      <c r="D218" s="28">
        <f>AgeAtEntry+C218</f>
        <v/>
      </c>
      <c r="E218" s="29">
        <f>IF(PremiumType="SINGLE",IF(B218=0,PremiumPPInput,0),IF(B218&lt;12*PolicyTerm,PremiumPPInput,0))</f>
        <v/>
      </c>
      <c r="F218" s="30">
        <f>INDEX(MortRates,MATCH(MIN(D218,120),MortAges,0),MAX(MIN(C218,5),0)+1)</f>
        <v/>
      </c>
      <c r="G218" s="31">
        <f>1-(1-F218)^(1/12)</f>
        <v/>
      </c>
      <c r="H218" s="32">
        <f>MAX(LapseBase-LapseStep*C218,LapseFloor)</f>
        <v/>
      </c>
      <c r="I218" s="32">
        <f>IF(HasSurrCharge,INDEX(SurrRates,MIN(C218,SurrDurMax)+1,MATCH(SurrChargeID,SurrTypes,0)),0)</f>
        <v/>
      </c>
      <c r="J218" s="33">
        <f>N217-P217-O217</f>
        <v/>
      </c>
      <c r="K218" s="30">
        <f>IF(B218=12*PolicyTerm,J218,0)</f>
        <v/>
      </c>
      <c r="L218" s="33">
        <f>J218-K218</f>
        <v/>
      </c>
      <c r="M218" s="30">
        <f>IF(B218=0,PolicyCount,0)</f>
        <v/>
      </c>
      <c r="N218" s="33">
        <f>L218+M218</f>
        <v/>
      </c>
      <c r="O218" s="31">
        <f>N218*G218</f>
        <v/>
      </c>
      <c r="P218" s="33">
        <f>(N218-O218)*(1-(1-H218)^(1/12))</f>
        <v/>
      </c>
      <c r="Q218" s="34">
        <f>X217+Z217</f>
        <v/>
      </c>
      <c r="R218" s="29">
        <f>(1-LoadPremRate)*E218</f>
        <v/>
      </c>
      <c r="S218" s="34">
        <f>Q218+R218</f>
        <v/>
      </c>
      <c r="T218" s="29">
        <f>MaintFeeRateAnn/12*S218</f>
        <v/>
      </c>
      <c r="U218" s="29">
        <f>MAX(SumAssured-S218,0)</f>
        <v/>
      </c>
      <c r="V218" s="35">
        <f>CoiMultiple*G218</f>
        <v/>
      </c>
      <c r="W218" s="34">
        <f>V218*U218</f>
        <v/>
      </c>
      <c r="X218" s="34">
        <f>S218-T218-W218</f>
        <v/>
      </c>
      <c r="Y218" s="36">
        <f>EXP((Mu-0.5*Sigma^2)/12+Sigma*SQRT(1/12)*INDEX(NormRand,ScenID,A218+1))-1</f>
        <v/>
      </c>
      <c r="Z218" s="34">
        <f>Y218*X218</f>
        <v/>
      </c>
      <c r="AA218" s="34">
        <f>X218+0.5*Z218</f>
        <v/>
      </c>
      <c r="AB218" s="34">
        <f>Q218*J218</f>
        <v/>
      </c>
      <c r="AC218" s="34">
        <f>Q218*L218</f>
        <v/>
      </c>
      <c r="AD218" s="34">
        <f>S218*N218</f>
        <v/>
      </c>
      <c r="AE218" s="34">
        <f>E218*N218</f>
        <v/>
      </c>
      <c r="AF218" s="34">
        <f>R218*N218</f>
        <v/>
      </c>
      <c r="AG218" s="29">
        <f>MAX(SumAssured,AA218)</f>
        <v/>
      </c>
      <c r="AH218" s="34">
        <f>AG218*O218</f>
        <v/>
      </c>
      <c r="AI218" s="34">
        <f>AA218*O218</f>
        <v/>
      </c>
      <c r="AJ218" s="34">
        <f>AA218*P218</f>
        <v/>
      </c>
      <c r="AK218" s="34">
        <f>I218*AA218*P218</f>
        <v/>
      </c>
      <c r="AL218" s="34">
        <f>AJ218-AK218</f>
        <v/>
      </c>
      <c r="AM218" s="34">
        <f>Q218*K218</f>
        <v/>
      </c>
      <c r="AN218" s="34">
        <f>AH218+AL218+AM218</f>
        <v/>
      </c>
      <c r="AO218" s="34">
        <f>(AG218-AA218)*O218</f>
        <v/>
      </c>
      <c r="AP218" s="34">
        <f>W218*N218</f>
        <v/>
      </c>
      <c r="AQ218" s="34">
        <f>T218*N218</f>
        <v/>
      </c>
      <c r="AR218" s="34">
        <f>Z218*J219+0.5*Z218*(O218+P218)</f>
        <v/>
      </c>
      <c r="AS218" s="30">
        <f>(1+InflationRate)^(A218/12)</f>
        <v/>
      </c>
      <c r="AT218" s="29">
        <f>ExpenseAcq*M218+N218*ExpenseMaint/12*AS218</f>
        <v/>
      </c>
      <c r="AU218" s="29">
        <f>CommissionRate*AE218</f>
        <v/>
      </c>
      <c r="AV218" s="34">
        <f>AB219-AB218</f>
        <v/>
      </c>
      <c r="AW218" s="34">
        <f>AE218+AR218-AN218-AT218-AU218-AV218</f>
        <v/>
      </c>
      <c r="AX218" s="29">
        <f>LoadPremRate*E218*N218+AK218+AQ218-AU218-AT218</f>
        <v/>
      </c>
      <c r="AY218" s="34">
        <f>AP218-AO218</f>
        <v/>
      </c>
      <c r="AZ218" s="37">
        <f>(AW218-AX218-AY218)/MAX(1,ABS(AW218),ABS(AX218),ABS(AY218))</f>
        <v/>
      </c>
      <c r="BA218" s="37">
        <f>IF(OR(K218&gt;0,K219&gt;0),0,(AC219-(AC218+AF218-AQ218-AP218+AR218-AI218-AJ218-AM218))/MAX(1,ABS(AC218),ABS(AC219)))</f>
        <v/>
      </c>
      <c r="BB218" s="35">
        <f>(1+INDEX(DiscRateAnn,INT(A218/12)+1))^(1/12)-1</f>
        <v/>
      </c>
      <c r="BC218" s="31">
        <f>(1+BB218)^-A218</f>
        <v/>
      </c>
      <c r="BD218" s="34">
        <f>AW218*BC218</f>
        <v/>
      </c>
    </row>
    <row r="219">
      <c r="A219" s="27">
        <f>A218+1</f>
        <v/>
      </c>
      <c r="B219" s="28">
        <f>Duration0+A219</f>
        <v/>
      </c>
      <c r="C219" s="27">
        <f>INT(B219/12)</f>
        <v/>
      </c>
      <c r="D219" s="28">
        <f>AgeAtEntry+C219</f>
        <v/>
      </c>
      <c r="E219" s="29">
        <f>IF(PremiumType="SINGLE",IF(B219=0,PremiumPPInput,0),IF(B219&lt;12*PolicyTerm,PremiumPPInput,0))</f>
        <v/>
      </c>
      <c r="F219" s="30">
        <f>INDEX(MortRates,MATCH(MIN(D219,120),MortAges,0),MAX(MIN(C219,5),0)+1)</f>
        <v/>
      </c>
      <c r="G219" s="31">
        <f>1-(1-F219)^(1/12)</f>
        <v/>
      </c>
      <c r="H219" s="32">
        <f>MAX(LapseBase-LapseStep*C219,LapseFloor)</f>
        <v/>
      </c>
      <c r="I219" s="32">
        <f>IF(HasSurrCharge,INDEX(SurrRates,MIN(C219,SurrDurMax)+1,MATCH(SurrChargeID,SurrTypes,0)),0)</f>
        <v/>
      </c>
      <c r="J219" s="33">
        <f>N218-P218-O218</f>
        <v/>
      </c>
      <c r="K219" s="30">
        <f>IF(B219=12*PolicyTerm,J219,0)</f>
        <v/>
      </c>
      <c r="L219" s="33">
        <f>J219-K219</f>
        <v/>
      </c>
      <c r="M219" s="30">
        <f>IF(B219=0,PolicyCount,0)</f>
        <v/>
      </c>
      <c r="N219" s="33">
        <f>L219+M219</f>
        <v/>
      </c>
      <c r="O219" s="31">
        <f>N219*G219</f>
        <v/>
      </c>
      <c r="P219" s="33">
        <f>(N219-O219)*(1-(1-H219)^(1/12))</f>
        <v/>
      </c>
      <c r="Q219" s="34">
        <f>X218+Z218</f>
        <v/>
      </c>
      <c r="R219" s="29">
        <f>(1-LoadPremRate)*E219</f>
        <v/>
      </c>
      <c r="S219" s="34">
        <f>Q219+R219</f>
        <v/>
      </c>
      <c r="T219" s="29">
        <f>MaintFeeRateAnn/12*S219</f>
        <v/>
      </c>
      <c r="U219" s="29">
        <f>MAX(SumAssured-S219,0)</f>
        <v/>
      </c>
      <c r="V219" s="35">
        <f>CoiMultiple*G219</f>
        <v/>
      </c>
      <c r="W219" s="34">
        <f>V219*U219</f>
        <v/>
      </c>
      <c r="X219" s="34">
        <f>S219-T219-W219</f>
        <v/>
      </c>
      <c r="Y219" s="36">
        <f>EXP((Mu-0.5*Sigma^2)/12+Sigma*SQRT(1/12)*INDEX(NormRand,ScenID,A219+1))-1</f>
        <v/>
      </c>
      <c r="Z219" s="34">
        <f>Y219*X219</f>
        <v/>
      </c>
      <c r="AA219" s="34">
        <f>X219+0.5*Z219</f>
        <v/>
      </c>
      <c r="AB219" s="34">
        <f>Q219*J219</f>
        <v/>
      </c>
      <c r="AC219" s="34">
        <f>Q219*L219</f>
        <v/>
      </c>
      <c r="AD219" s="34">
        <f>S219*N219</f>
        <v/>
      </c>
      <c r="AE219" s="34">
        <f>E219*N219</f>
        <v/>
      </c>
      <c r="AF219" s="34">
        <f>R219*N219</f>
        <v/>
      </c>
      <c r="AG219" s="29">
        <f>MAX(SumAssured,AA219)</f>
        <v/>
      </c>
      <c r="AH219" s="34">
        <f>AG219*O219</f>
        <v/>
      </c>
      <c r="AI219" s="34">
        <f>AA219*O219</f>
        <v/>
      </c>
      <c r="AJ219" s="34">
        <f>AA219*P219</f>
        <v/>
      </c>
      <c r="AK219" s="34">
        <f>I219*AA219*P219</f>
        <v/>
      </c>
      <c r="AL219" s="34">
        <f>AJ219-AK219</f>
        <v/>
      </c>
      <c r="AM219" s="34">
        <f>Q219*K219</f>
        <v/>
      </c>
      <c r="AN219" s="34">
        <f>AH219+AL219+AM219</f>
        <v/>
      </c>
      <c r="AO219" s="34">
        <f>(AG219-AA219)*O219</f>
        <v/>
      </c>
      <c r="AP219" s="34">
        <f>W219*N219</f>
        <v/>
      </c>
      <c r="AQ219" s="34">
        <f>T219*N219</f>
        <v/>
      </c>
      <c r="AR219" s="34">
        <f>Z219*J220+0.5*Z219*(O219+P219)</f>
        <v/>
      </c>
      <c r="AS219" s="30">
        <f>(1+InflationRate)^(A219/12)</f>
        <v/>
      </c>
      <c r="AT219" s="29">
        <f>ExpenseAcq*M219+N219*ExpenseMaint/12*AS219</f>
        <v/>
      </c>
      <c r="AU219" s="29">
        <f>CommissionRate*AE219</f>
        <v/>
      </c>
      <c r="AV219" s="34">
        <f>AB220-AB219</f>
        <v/>
      </c>
      <c r="AW219" s="34">
        <f>AE219+AR219-AN219-AT219-AU219-AV219</f>
        <v/>
      </c>
      <c r="AX219" s="29">
        <f>LoadPremRate*E219*N219+AK219+AQ219-AU219-AT219</f>
        <v/>
      </c>
      <c r="AY219" s="34">
        <f>AP219-AO219</f>
        <v/>
      </c>
      <c r="AZ219" s="37">
        <f>(AW219-AX219-AY219)/MAX(1,ABS(AW219),ABS(AX219),ABS(AY219))</f>
        <v/>
      </c>
      <c r="BA219" s="37">
        <f>IF(OR(K219&gt;0,K220&gt;0),0,(AC220-(AC219+AF219-AQ219-AP219+AR219-AI219-AJ219-AM219))/MAX(1,ABS(AC219),ABS(AC220)))</f>
        <v/>
      </c>
      <c r="BB219" s="35">
        <f>(1+INDEX(DiscRateAnn,INT(A219/12)+1))^(1/12)-1</f>
        <v/>
      </c>
      <c r="BC219" s="31">
        <f>(1+BB219)^-A219</f>
        <v/>
      </c>
      <c r="BD219" s="34">
        <f>AW219*BC219</f>
        <v/>
      </c>
    </row>
    <row r="220">
      <c r="A220" s="27">
        <f>A219+1</f>
        <v/>
      </c>
      <c r="B220" s="28">
        <f>Duration0+A220</f>
        <v/>
      </c>
      <c r="C220" s="27">
        <f>INT(B220/12)</f>
        <v/>
      </c>
      <c r="D220" s="28">
        <f>AgeAtEntry+C220</f>
        <v/>
      </c>
      <c r="E220" s="29">
        <f>IF(PremiumType="SINGLE",IF(B220=0,PremiumPPInput,0),IF(B220&lt;12*PolicyTerm,PremiumPPInput,0))</f>
        <v/>
      </c>
      <c r="F220" s="30">
        <f>INDEX(MortRates,MATCH(MIN(D220,120),MortAges,0),MAX(MIN(C220,5),0)+1)</f>
        <v/>
      </c>
      <c r="G220" s="31">
        <f>1-(1-F220)^(1/12)</f>
        <v/>
      </c>
      <c r="H220" s="32">
        <f>MAX(LapseBase-LapseStep*C220,LapseFloor)</f>
        <v/>
      </c>
      <c r="I220" s="32">
        <f>IF(HasSurrCharge,INDEX(SurrRates,MIN(C220,SurrDurMax)+1,MATCH(SurrChargeID,SurrTypes,0)),0)</f>
        <v/>
      </c>
      <c r="J220" s="33">
        <f>N219-P219-O219</f>
        <v/>
      </c>
      <c r="K220" s="30">
        <f>IF(B220=12*PolicyTerm,J220,0)</f>
        <v/>
      </c>
      <c r="L220" s="33">
        <f>J220-K220</f>
        <v/>
      </c>
      <c r="M220" s="30">
        <f>IF(B220=0,PolicyCount,0)</f>
        <v/>
      </c>
      <c r="N220" s="33">
        <f>L220+M220</f>
        <v/>
      </c>
      <c r="O220" s="31">
        <f>N220*G220</f>
        <v/>
      </c>
      <c r="P220" s="33">
        <f>(N220-O220)*(1-(1-H220)^(1/12))</f>
        <v/>
      </c>
      <c r="Q220" s="34">
        <f>X219+Z219</f>
        <v/>
      </c>
      <c r="R220" s="29">
        <f>(1-LoadPremRate)*E220</f>
        <v/>
      </c>
      <c r="S220" s="34">
        <f>Q220+R220</f>
        <v/>
      </c>
      <c r="T220" s="29">
        <f>MaintFeeRateAnn/12*S220</f>
        <v/>
      </c>
      <c r="U220" s="29">
        <f>MAX(SumAssured-S220,0)</f>
        <v/>
      </c>
      <c r="V220" s="35">
        <f>CoiMultiple*G220</f>
        <v/>
      </c>
      <c r="W220" s="34">
        <f>V220*U220</f>
        <v/>
      </c>
      <c r="X220" s="34">
        <f>S220-T220-W220</f>
        <v/>
      </c>
      <c r="Y220" s="36">
        <f>EXP((Mu-0.5*Sigma^2)/12+Sigma*SQRT(1/12)*INDEX(NormRand,ScenID,A220+1))-1</f>
        <v/>
      </c>
      <c r="Z220" s="34">
        <f>Y220*X220</f>
        <v/>
      </c>
      <c r="AA220" s="34">
        <f>X220+0.5*Z220</f>
        <v/>
      </c>
      <c r="AB220" s="34">
        <f>Q220*J220</f>
        <v/>
      </c>
      <c r="AC220" s="34">
        <f>Q220*L220</f>
        <v/>
      </c>
      <c r="AD220" s="34">
        <f>S220*N220</f>
        <v/>
      </c>
      <c r="AE220" s="34">
        <f>E220*N220</f>
        <v/>
      </c>
      <c r="AF220" s="34">
        <f>R220*N220</f>
        <v/>
      </c>
      <c r="AG220" s="29">
        <f>MAX(SumAssured,AA220)</f>
        <v/>
      </c>
      <c r="AH220" s="34">
        <f>AG220*O220</f>
        <v/>
      </c>
      <c r="AI220" s="34">
        <f>AA220*O220</f>
        <v/>
      </c>
      <c r="AJ220" s="34">
        <f>AA220*P220</f>
        <v/>
      </c>
      <c r="AK220" s="34">
        <f>I220*AA220*P220</f>
        <v/>
      </c>
      <c r="AL220" s="34">
        <f>AJ220-AK220</f>
        <v/>
      </c>
      <c r="AM220" s="34">
        <f>Q220*K220</f>
        <v/>
      </c>
      <c r="AN220" s="34">
        <f>AH220+AL220+AM220</f>
        <v/>
      </c>
      <c r="AO220" s="34">
        <f>(AG220-AA220)*O220</f>
        <v/>
      </c>
      <c r="AP220" s="34">
        <f>W220*N220</f>
        <v/>
      </c>
      <c r="AQ220" s="34">
        <f>T220*N220</f>
        <v/>
      </c>
      <c r="AR220" s="34">
        <f>Z220*J221+0.5*Z220*(O220+P220)</f>
        <v/>
      </c>
      <c r="AS220" s="30">
        <f>(1+InflationRate)^(A220/12)</f>
        <v/>
      </c>
      <c r="AT220" s="29">
        <f>ExpenseAcq*M220+N220*ExpenseMaint/12*AS220</f>
        <v/>
      </c>
      <c r="AU220" s="29">
        <f>CommissionRate*AE220</f>
        <v/>
      </c>
      <c r="AV220" s="34">
        <f>AB221-AB220</f>
        <v/>
      </c>
      <c r="AW220" s="34">
        <f>AE220+AR220-AN220-AT220-AU220-AV220</f>
        <v/>
      </c>
      <c r="AX220" s="29">
        <f>LoadPremRate*E220*N220+AK220+AQ220-AU220-AT220</f>
        <v/>
      </c>
      <c r="AY220" s="34">
        <f>AP220-AO220</f>
        <v/>
      </c>
      <c r="AZ220" s="37">
        <f>(AW220-AX220-AY220)/MAX(1,ABS(AW220),ABS(AX220),ABS(AY220))</f>
        <v/>
      </c>
      <c r="BA220" s="37">
        <f>IF(OR(K220&gt;0,K221&gt;0),0,(AC221-(AC220+AF220-AQ220-AP220+AR220-AI220-AJ220-AM220))/MAX(1,ABS(AC220),ABS(AC221)))</f>
        <v/>
      </c>
      <c r="BB220" s="35">
        <f>(1+INDEX(DiscRateAnn,INT(A220/12)+1))^(1/12)-1</f>
        <v/>
      </c>
      <c r="BC220" s="31">
        <f>(1+BB220)^-A220</f>
        <v/>
      </c>
      <c r="BD220" s="34">
        <f>AW220*BC220</f>
        <v/>
      </c>
    </row>
    <row r="221">
      <c r="A221" s="27">
        <f>A220+1</f>
        <v/>
      </c>
      <c r="B221" s="28">
        <f>Duration0+A221</f>
        <v/>
      </c>
      <c r="C221" s="27">
        <f>INT(B221/12)</f>
        <v/>
      </c>
      <c r="D221" s="28">
        <f>AgeAtEntry+C221</f>
        <v/>
      </c>
      <c r="E221" s="29">
        <f>IF(PremiumType="SINGLE",IF(B221=0,PremiumPPInput,0),IF(B221&lt;12*PolicyTerm,PremiumPPInput,0))</f>
        <v/>
      </c>
      <c r="F221" s="30">
        <f>INDEX(MortRates,MATCH(MIN(D221,120),MortAges,0),MAX(MIN(C221,5),0)+1)</f>
        <v/>
      </c>
      <c r="G221" s="31">
        <f>1-(1-F221)^(1/12)</f>
        <v/>
      </c>
      <c r="H221" s="32">
        <f>MAX(LapseBase-LapseStep*C221,LapseFloor)</f>
        <v/>
      </c>
      <c r="I221" s="32">
        <f>IF(HasSurrCharge,INDEX(SurrRates,MIN(C221,SurrDurMax)+1,MATCH(SurrChargeID,SurrTypes,0)),0)</f>
        <v/>
      </c>
      <c r="J221" s="33">
        <f>N220-P220-O220</f>
        <v/>
      </c>
      <c r="K221" s="30">
        <f>IF(B221=12*PolicyTerm,J221,0)</f>
        <v/>
      </c>
      <c r="L221" s="33">
        <f>J221-K221</f>
        <v/>
      </c>
      <c r="M221" s="30">
        <f>IF(B221=0,PolicyCount,0)</f>
        <v/>
      </c>
      <c r="N221" s="33">
        <f>L221+M221</f>
        <v/>
      </c>
      <c r="O221" s="31">
        <f>N221*G221</f>
        <v/>
      </c>
      <c r="P221" s="33">
        <f>(N221-O221)*(1-(1-H221)^(1/12))</f>
        <v/>
      </c>
      <c r="Q221" s="34">
        <f>X220+Z220</f>
        <v/>
      </c>
      <c r="R221" s="29">
        <f>(1-LoadPremRate)*E221</f>
        <v/>
      </c>
      <c r="S221" s="34">
        <f>Q221+R221</f>
        <v/>
      </c>
      <c r="T221" s="29">
        <f>MaintFeeRateAnn/12*S221</f>
        <v/>
      </c>
      <c r="U221" s="29">
        <f>MAX(SumAssured-S221,0)</f>
        <v/>
      </c>
      <c r="V221" s="35">
        <f>CoiMultiple*G221</f>
        <v/>
      </c>
      <c r="W221" s="34">
        <f>V221*U221</f>
        <v/>
      </c>
      <c r="X221" s="34">
        <f>S221-T221-W221</f>
        <v/>
      </c>
      <c r="Y221" s="36">
        <f>EXP((Mu-0.5*Sigma^2)/12+Sigma*SQRT(1/12)*INDEX(NormRand,ScenID,A221+1))-1</f>
        <v/>
      </c>
      <c r="Z221" s="34">
        <f>Y221*X221</f>
        <v/>
      </c>
      <c r="AA221" s="34">
        <f>X221+0.5*Z221</f>
        <v/>
      </c>
      <c r="AB221" s="34">
        <f>Q221*J221</f>
        <v/>
      </c>
      <c r="AC221" s="34">
        <f>Q221*L221</f>
        <v/>
      </c>
      <c r="AD221" s="34">
        <f>S221*N221</f>
        <v/>
      </c>
      <c r="AE221" s="34">
        <f>E221*N221</f>
        <v/>
      </c>
      <c r="AF221" s="34">
        <f>R221*N221</f>
        <v/>
      </c>
      <c r="AG221" s="29">
        <f>MAX(SumAssured,AA221)</f>
        <v/>
      </c>
      <c r="AH221" s="34">
        <f>AG221*O221</f>
        <v/>
      </c>
      <c r="AI221" s="34">
        <f>AA221*O221</f>
        <v/>
      </c>
      <c r="AJ221" s="34">
        <f>AA221*P221</f>
        <v/>
      </c>
      <c r="AK221" s="34">
        <f>I221*AA221*P221</f>
        <v/>
      </c>
      <c r="AL221" s="34">
        <f>AJ221-AK221</f>
        <v/>
      </c>
      <c r="AM221" s="34">
        <f>Q221*K221</f>
        <v/>
      </c>
      <c r="AN221" s="34">
        <f>AH221+AL221+AM221</f>
        <v/>
      </c>
      <c r="AO221" s="34">
        <f>(AG221-AA221)*O221</f>
        <v/>
      </c>
      <c r="AP221" s="34">
        <f>W221*N221</f>
        <v/>
      </c>
      <c r="AQ221" s="34">
        <f>T221*N221</f>
        <v/>
      </c>
      <c r="AR221" s="34">
        <f>Z221*J222+0.5*Z221*(O221+P221)</f>
        <v/>
      </c>
      <c r="AS221" s="30">
        <f>(1+InflationRate)^(A221/12)</f>
        <v/>
      </c>
      <c r="AT221" s="29">
        <f>ExpenseAcq*M221+N221*ExpenseMaint/12*AS221</f>
        <v/>
      </c>
      <c r="AU221" s="29">
        <f>CommissionRate*AE221</f>
        <v/>
      </c>
      <c r="AV221" s="34">
        <f>AB222-AB221</f>
        <v/>
      </c>
      <c r="AW221" s="34">
        <f>AE221+AR221-AN221-AT221-AU221-AV221</f>
        <v/>
      </c>
      <c r="AX221" s="29">
        <f>LoadPremRate*E221*N221+AK221+AQ221-AU221-AT221</f>
        <v/>
      </c>
      <c r="AY221" s="34">
        <f>AP221-AO221</f>
        <v/>
      </c>
      <c r="AZ221" s="37">
        <f>(AW221-AX221-AY221)/MAX(1,ABS(AW221),ABS(AX221),ABS(AY221))</f>
        <v/>
      </c>
      <c r="BA221" s="37">
        <f>IF(OR(K221&gt;0,K222&gt;0),0,(AC222-(AC221+AF221-AQ221-AP221+AR221-AI221-AJ221-AM221))/MAX(1,ABS(AC221),ABS(AC222)))</f>
        <v/>
      </c>
      <c r="BB221" s="35">
        <f>(1+INDEX(DiscRateAnn,INT(A221/12)+1))^(1/12)-1</f>
        <v/>
      </c>
      <c r="BC221" s="31">
        <f>(1+BB221)^-A221</f>
        <v/>
      </c>
      <c r="BD221" s="34">
        <f>AW221*BC221</f>
        <v/>
      </c>
    </row>
    <row r="222">
      <c r="A222" s="27">
        <f>A221+1</f>
        <v/>
      </c>
      <c r="B222" s="28">
        <f>Duration0+A222</f>
        <v/>
      </c>
      <c r="C222" s="27">
        <f>INT(B222/12)</f>
        <v/>
      </c>
      <c r="D222" s="28">
        <f>AgeAtEntry+C222</f>
        <v/>
      </c>
      <c r="E222" s="29">
        <f>IF(PremiumType="SINGLE",IF(B222=0,PremiumPPInput,0),IF(B222&lt;12*PolicyTerm,PremiumPPInput,0))</f>
        <v/>
      </c>
      <c r="F222" s="30">
        <f>INDEX(MortRates,MATCH(MIN(D222,120),MortAges,0),MAX(MIN(C222,5),0)+1)</f>
        <v/>
      </c>
      <c r="G222" s="31">
        <f>1-(1-F222)^(1/12)</f>
        <v/>
      </c>
      <c r="H222" s="32">
        <f>MAX(LapseBase-LapseStep*C222,LapseFloor)</f>
        <v/>
      </c>
      <c r="I222" s="32">
        <f>IF(HasSurrCharge,INDEX(SurrRates,MIN(C222,SurrDurMax)+1,MATCH(SurrChargeID,SurrTypes,0)),0)</f>
        <v/>
      </c>
      <c r="J222" s="33">
        <f>N221-P221-O221</f>
        <v/>
      </c>
      <c r="K222" s="30">
        <f>IF(B222=12*PolicyTerm,J222,0)</f>
        <v/>
      </c>
      <c r="L222" s="33">
        <f>J222-K222</f>
        <v/>
      </c>
      <c r="M222" s="30">
        <f>IF(B222=0,PolicyCount,0)</f>
        <v/>
      </c>
      <c r="N222" s="33">
        <f>L222+M222</f>
        <v/>
      </c>
      <c r="O222" s="31">
        <f>N222*G222</f>
        <v/>
      </c>
      <c r="P222" s="33">
        <f>(N222-O222)*(1-(1-H222)^(1/12))</f>
        <v/>
      </c>
      <c r="Q222" s="34">
        <f>X221+Z221</f>
        <v/>
      </c>
      <c r="R222" s="29">
        <f>(1-LoadPremRate)*E222</f>
        <v/>
      </c>
      <c r="S222" s="34">
        <f>Q222+R222</f>
        <v/>
      </c>
      <c r="T222" s="29">
        <f>MaintFeeRateAnn/12*S222</f>
        <v/>
      </c>
      <c r="U222" s="29">
        <f>MAX(SumAssured-S222,0)</f>
        <v/>
      </c>
      <c r="V222" s="35">
        <f>CoiMultiple*G222</f>
        <v/>
      </c>
      <c r="W222" s="34">
        <f>V222*U222</f>
        <v/>
      </c>
      <c r="X222" s="34">
        <f>S222-T222-W222</f>
        <v/>
      </c>
      <c r="Y222" s="36">
        <f>EXP((Mu-0.5*Sigma^2)/12+Sigma*SQRT(1/12)*INDEX(NormRand,ScenID,A222+1))-1</f>
        <v/>
      </c>
      <c r="Z222" s="34">
        <f>Y222*X222</f>
        <v/>
      </c>
      <c r="AA222" s="34">
        <f>X222+0.5*Z222</f>
        <v/>
      </c>
      <c r="AB222" s="34">
        <f>Q222*J222</f>
        <v/>
      </c>
      <c r="AC222" s="34">
        <f>Q222*L222</f>
        <v/>
      </c>
      <c r="AD222" s="34">
        <f>S222*N222</f>
        <v/>
      </c>
      <c r="AE222" s="34">
        <f>E222*N222</f>
        <v/>
      </c>
      <c r="AF222" s="34">
        <f>R222*N222</f>
        <v/>
      </c>
      <c r="AG222" s="29">
        <f>MAX(SumAssured,AA222)</f>
        <v/>
      </c>
      <c r="AH222" s="34">
        <f>AG222*O222</f>
        <v/>
      </c>
      <c r="AI222" s="34">
        <f>AA222*O222</f>
        <v/>
      </c>
      <c r="AJ222" s="34">
        <f>AA222*P222</f>
        <v/>
      </c>
      <c r="AK222" s="34">
        <f>I222*AA222*P222</f>
        <v/>
      </c>
      <c r="AL222" s="34">
        <f>AJ222-AK222</f>
        <v/>
      </c>
      <c r="AM222" s="34">
        <f>Q222*K222</f>
        <v/>
      </c>
      <c r="AN222" s="34">
        <f>AH222+AL222+AM222</f>
        <v/>
      </c>
      <c r="AO222" s="34">
        <f>(AG222-AA222)*O222</f>
        <v/>
      </c>
      <c r="AP222" s="34">
        <f>W222*N222</f>
        <v/>
      </c>
      <c r="AQ222" s="34">
        <f>T222*N222</f>
        <v/>
      </c>
      <c r="AR222" s="34">
        <f>Z222*J223+0.5*Z222*(O222+P222)</f>
        <v/>
      </c>
      <c r="AS222" s="30">
        <f>(1+InflationRate)^(A222/12)</f>
        <v/>
      </c>
      <c r="AT222" s="29">
        <f>ExpenseAcq*M222+N222*ExpenseMaint/12*AS222</f>
        <v/>
      </c>
      <c r="AU222" s="29">
        <f>CommissionRate*AE222</f>
        <v/>
      </c>
      <c r="AV222" s="34">
        <f>AB223-AB222</f>
        <v/>
      </c>
      <c r="AW222" s="34">
        <f>AE222+AR222-AN222-AT222-AU222-AV222</f>
        <v/>
      </c>
      <c r="AX222" s="29">
        <f>LoadPremRate*E222*N222+AK222+AQ222-AU222-AT222</f>
        <v/>
      </c>
      <c r="AY222" s="34">
        <f>AP222-AO222</f>
        <v/>
      </c>
      <c r="AZ222" s="37">
        <f>(AW222-AX222-AY222)/MAX(1,ABS(AW222),ABS(AX222),ABS(AY222))</f>
        <v/>
      </c>
      <c r="BA222" s="37">
        <f>IF(OR(K222&gt;0,K223&gt;0),0,(AC223-(AC222+AF222-AQ222-AP222+AR222-AI222-AJ222-AM222))/MAX(1,ABS(AC222),ABS(AC223)))</f>
        <v/>
      </c>
      <c r="BB222" s="35">
        <f>(1+INDEX(DiscRateAnn,INT(A222/12)+1))^(1/12)-1</f>
        <v/>
      </c>
      <c r="BC222" s="31">
        <f>(1+BB222)^-A222</f>
        <v/>
      </c>
      <c r="BD222" s="34">
        <f>AW222*BC222</f>
        <v/>
      </c>
    </row>
    <row r="223">
      <c r="A223" s="27">
        <f>A222+1</f>
        <v/>
      </c>
      <c r="B223" s="28">
        <f>Duration0+A223</f>
        <v/>
      </c>
      <c r="C223" s="27">
        <f>INT(B223/12)</f>
        <v/>
      </c>
      <c r="D223" s="28">
        <f>AgeAtEntry+C223</f>
        <v/>
      </c>
      <c r="E223" s="29">
        <f>IF(PremiumType="SINGLE",IF(B223=0,PremiumPPInput,0),IF(B223&lt;12*PolicyTerm,PremiumPPInput,0))</f>
        <v/>
      </c>
      <c r="F223" s="30">
        <f>INDEX(MortRates,MATCH(MIN(D223,120),MortAges,0),MAX(MIN(C223,5),0)+1)</f>
        <v/>
      </c>
      <c r="G223" s="31">
        <f>1-(1-F223)^(1/12)</f>
        <v/>
      </c>
      <c r="H223" s="32">
        <f>MAX(LapseBase-LapseStep*C223,LapseFloor)</f>
        <v/>
      </c>
      <c r="I223" s="32">
        <f>IF(HasSurrCharge,INDEX(SurrRates,MIN(C223,SurrDurMax)+1,MATCH(SurrChargeID,SurrTypes,0)),0)</f>
        <v/>
      </c>
      <c r="J223" s="33">
        <f>N222-P222-O222</f>
        <v/>
      </c>
      <c r="K223" s="30">
        <f>IF(B223=12*PolicyTerm,J223,0)</f>
        <v/>
      </c>
      <c r="L223" s="33">
        <f>J223-K223</f>
        <v/>
      </c>
      <c r="M223" s="30">
        <f>IF(B223=0,PolicyCount,0)</f>
        <v/>
      </c>
      <c r="N223" s="33">
        <f>L223+M223</f>
        <v/>
      </c>
      <c r="O223" s="31">
        <f>N223*G223</f>
        <v/>
      </c>
      <c r="P223" s="33">
        <f>(N223-O223)*(1-(1-H223)^(1/12))</f>
        <v/>
      </c>
      <c r="Q223" s="34">
        <f>X222+Z222</f>
        <v/>
      </c>
      <c r="R223" s="29">
        <f>(1-LoadPremRate)*E223</f>
        <v/>
      </c>
      <c r="S223" s="34">
        <f>Q223+R223</f>
        <v/>
      </c>
      <c r="T223" s="29">
        <f>MaintFeeRateAnn/12*S223</f>
        <v/>
      </c>
      <c r="U223" s="29">
        <f>MAX(SumAssured-S223,0)</f>
        <v/>
      </c>
      <c r="V223" s="35">
        <f>CoiMultiple*G223</f>
        <v/>
      </c>
      <c r="W223" s="34">
        <f>V223*U223</f>
        <v/>
      </c>
      <c r="X223" s="34">
        <f>S223-T223-W223</f>
        <v/>
      </c>
      <c r="Y223" s="36">
        <f>EXP((Mu-0.5*Sigma^2)/12+Sigma*SQRT(1/12)*INDEX(NormRand,ScenID,A223+1))-1</f>
        <v/>
      </c>
      <c r="Z223" s="34">
        <f>Y223*X223</f>
        <v/>
      </c>
      <c r="AA223" s="34">
        <f>X223+0.5*Z223</f>
        <v/>
      </c>
      <c r="AB223" s="34">
        <f>Q223*J223</f>
        <v/>
      </c>
      <c r="AC223" s="34">
        <f>Q223*L223</f>
        <v/>
      </c>
      <c r="AD223" s="34">
        <f>S223*N223</f>
        <v/>
      </c>
      <c r="AE223" s="34">
        <f>E223*N223</f>
        <v/>
      </c>
      <c r="AF223" s="34">
        <f>R223*N223</f>
        <v/>
      </c>
      <c r="AG223" s="29">
        <f>MAX(SumAssured,AA223)</f>
        <v/>
      </c>
      <c r="AH223" s="34">
        <f>AG223*O223</f>
        <v/>
      </c>
      <c r="AI223" s="34">
        <f>AA223*O223</f>
        <v/>
      </c>
      <c r="AJ223" s="34">
        <f>AA223*P223</f>
        <v/>
      </c>
      <c r="AK223" s="34">
        <f>I223*AA223*P223</f>
        <v/>
      </c>
      <c r="AL223" s="34">
        <f>AJ223-AK223</f>
        <v/>
      </c>
      <c r="AM223" s="34">
        <f>Q223*K223</f>
        <v/>
      </c>
      <c r="AN223" s="34">
        <f>AH223+AL223+AM223</f>
        <v/>
      </c>
      <c r="AO223" s="34">
        <f>(AG223-AA223)*O223</f>
        <v/>
      </c>
      <c r="AP223" s="34">
        <f>W223*N223</f>
        <v/>
      </c>
      <c r="AQ223" s="34">
        <f>T223*N223</f>
        <v/>
      </c>
      <c r="AR223" s="34">
        <f>Z223*J224+0.5*Z223*(O223+P223)</f>
        <v/>
      </c>
      <c r="AS223" s="30">
        <f>(1+InflationRate)^(A223/12)</f>
        <v/>
      </c>
      <c r="AT223" s="29">
        <f>ExpenseAcq*M223+N223*ExpenseMaint/12*AS223</f>
        <v/>
      </c>
      <c r="AU223" s="29">
        <f>CommissionRate*AE223</f>
        <v/>
      </c>
      <c r="AV223" s="34">
        <f>AB224-AB223</f>
        <v/>
      </c>
      <c r="AW223" s="34">
        <f>AE223+AR223-AN223-AT223-AU223-AV223</f>
        <v/>
      </c>
      <c r="AX223" s="29">
        <f>LoadPremRate*E223*N223+AK223+AQ223-AU223-AT223</f>
        <v/>
      </c>
      <c r="AY223" s="34">
        <f>AP223-AO223</f>
        <v/>
      </c>
      <c r="AZ223" s="37">
        <f>(AW223-AX223-AY223)/MAX(1,ABS(AW223),ABS(AX223),ABS(AY223))</f>
        <v/>
      </c>
      <c r="BA223" s="37">
        <f>IF(OR(K223&gt;0,K224&gt;0),0,(AC224-(AC223+AF223-AQ223-AP223+AR223-AI223-AJ223-AM223))/MAX(1,ABS(AC223),ABS(AC224)))</f>
        <v/>
      </c>
      <c r="BB223" s="35">
        <f>(1+INDEX(DiscRateAnn,INT(A223/12)+1))^(1/12)-1</f>
        <v/>
      </c>
      <c r="BC223" s="31">
        <f>(1+BB223)^-A223</f>
        <v/>
      </c>
      <c r="BD223" s="34">
        <f>AW223*BC223</f>
        <v/>
      </c>
    </row>
    <row r="224">
      <c r="A224" s="27">
        <f>A223+1</f>
        <v/>
      </c>
      <c r="B224" s="28">
        <f>Duration0+A224</f>
        <v/>
      </c>
      <c r="C224" s="27">
        <f>INT(B224/12)</f>
        <v/>
      </c>
      <c r="D224" s="28">
        <f>AgeAtEntry+C224</f>
        <v/>
      </c>
      <c r="E224" s="29">
        <f>IF(PremiumType="SINGLE",IF(B224=0,PremiumPPInput,0),IF(B224&lt;12*PolicyTerm,PremiumPPInput,0))</f>
        <v/>
      </c>
      <c r="F224" s="30">
        <f>INDEX(MortRates,MATCH(MIN(D224,120),MortAges,0),MAX(MIN(C224,5),0)+1)</f>
        <v/>
      </c>
      <c r="G224" s="31">
        <f>1-(1-F224)^(1/12)</f>
        <v/>
      </c>
      <c r="H224" s="32">
        <f>MAX(LapseBase-LapseStep*C224,LapseFloor)</f>
        <v/>
      </c>
      <c r="I224" s="32">
        <f>IF(HasSurrCharge,INDEX(SurrRates,MIN(C224,SurrDurMax)+1,MATCH(SurrChargeID,SurrTypes,0)),0)</f>
        <v/>
      </c>
      <c r="J224" s="33">
        <f>N223-P223-O223</f>
        <v/>
      </c>
      <c r="K224" s="30">
        <f>IF(B224=12*PolicyTerm,J224,0)</f>
        <v/>
      </c>
      <c r="L224" s="33">
        <f>J224-K224</f>
        <v/>
      </c>
      <c r="M224" s="30">
        <f>IF(B224=0,PolicyCount,0)</f>
        <v/>
      </c>
      <c r="N224" s="33">
        <f>L224+M224</f>
        <v/>
      </c>
      <c r="O224" s="31">
        <f>N224*G224</f>
        <v/>
      </c>
      <c r="P224" s="33">
        <f>(N224-O224)*(1-(1-H224)^(1/12))</f>
        <v/>
      </c>
      <c r="Q224" s="34">
        <f>X223+Z223</f>
        <v/>
      </c>
      <c r="R224" s="29">
        <f>(1-LoadPremRate)*E224</f>
        <v/>
      </c>
      <c r="S224" s="34">
        <f>Q224+R224</f>
        <v/>
      </c>
      <c r="T224" s="29">
        <f>MaintFeeRateAnn/12*S224</f>
        <v/>
      </c>
      <c r="U224" s="29">
        <f>MAX(SumAssured-S224,0)</f>
        <v/>
      </c>
      <c r="V224" s="35">
        <f>CoiMultiple*G224</f>
        <v/>
      </c>
      <c r="W224" s="34">
        <f>V224*U224</f>
        <v/>
      </c>
      <c r="X224" s="34">
        <f>S224-T224-W224</f>
        <v/>
      </c>
      <c r="Y224" s="36">
        <f>EXP((Mu-0.5*Sigma^2)/12+Sigma*SQRT(1/12)*INDEX(NormRand,ScenID,A224+1))-1</f>
        <v/>
      </c>
      <c r="Z224" s="34">
        <f>Y224*X224</f>
        <v/>
      </c>
      <c r="AA224" s="34">
        <f>X224+0.5*Z224</f>
        <v/>
      </c>
      <c r="AB224" s="34">
        <f>Q224*J224</f>
        <v/>
      </c>
      <c r="AC224" s="34">
        <f>Q224*L224</f>
        <v/>
      </c>
      <c r="AD224" s="34">
        <f>S224*N224</f>
        <v/>
      </c>
      <c r="AE224" s="34">
        <f>E224*N224</f>
        <v/>
      </c>
      <c r="AF224" s="34">
        <f>R224*N224</f>
        <v/>
      </c>
      <c r="AG224" s="29">
        <f>MAX(SumAssured,AA224)</f>
        <v/>
      </c>
      <c r="AH224" s="34">
        <f>AG224*O224</f>
        <v/>
      </c>
      <c r="AI224" s="34">
        <f>AA224*O224</f>
        <v/>
      </c>
      <c r="AJ224" s="34">
        <f>AA224*P224</f>
        <v/>
      </c>
      <c r="AK224" s="34">
        <f>I224*AA224*P224</f>
        <v/>
      </c>
      <c r="AL224" s="34">
        <f>AJ224-AK224</f>
        <v/>
      </c>
      <c r="AM224" s="34">
        <f>Q224*K224</f>
        <v/>
      </c>
      <c r="AN224" s="34">
        <f>AH224+AL224+AM224</f>
        <v/>
      </c>
      <c r="AO224" s="34">
        <f>(AG224-AA224)*O224</f>
        <v/>
      </c>
      <c r="AP224" s="34">
        <f>W224*N224</f>
        <v/>
      </c>
      <c r="AQ224" s="34">
        <f>T224*N224</f>
        <v/>
      </c>
      <c r="AR224" s="34">
        <f>Z224*J225+0.5*Z224*(O224+P224)</f>
        <v/>
      </c>
      <c r="AS224" s="30">
        <f>(1+InflationRate)^(A224/12)</f>
        <v/>
      </c>
      <c r="AT224" s="29">
        <f>ExpenseAcq*M224+N224*ExpenseMaint/12*AS224</f>
        <v/>
      </c>
      <c r="AU224" s="29">
        <f>CommissionRate*AE224</f>
        <v/>
      </c>
      <c r="AV224" s="34">
        <f>AB225-AB224</f>
        <v/>
      </c>
      <c r="AW224" s="34">
        <f>AE224+AR224-AN224-AT224-AU224-AV224</f>
        <v/>
      </c>
      <c r="AX224" s="29">
        <f>LoadPremRate*E224*N224+AK224+AQ224-AU224-AT224</f>
        <v/>
      </c>
      <c r="AY224" s="34">
        <f>AP224-AO224</f>
        <v/>
      </c>
      <c r="AZ224" s="37">
        <f>(AW224-AX224-AY224)/MAX(1,ABS(AW224),ABS(AX224),ABS(AY224))</f>
        <v/>
      </c>
      <c r="BA224" s="37">
        <f>IF(OR(K224&gt;0,K225&gt;0),0,(AC225-(AC224+AF224-AQ224-AP224+AR224-AI224-AJ224-AM224))/MAX(1,ABS(AC224),ABS(AC225)))</f>
        <v/>
      </c>
      <c r="BB224" s="35">
        <f>(1+INDEX(DiscRateAnn,INT(A224/12)+1))^(1/12)-1</f>
        <v/>
      </c>
      <c r="BC224" s="31">
        <f>(1+BB224)^-A224</f>
        <v/>
      </c>
      <c r="BD224" s="34">
        <f>AW224*BC224</f>
        <v/>
      </c>
    </row>
    <row r="225">
      <c r="A225" s="27">
        <f>A224+1</f>
        <v/>
      </c>
      <c r="B225" s="28">
        <f>Duration0+A225</f>
        <v/>
      </c>
      <c r="C225" s="27">
        <f>INT(B225/12)</f>
        <v/>
      </c>
      <c r="D225" s="28">
        <f>AgeAtEntry+C225</f>
        <v/>
      </c>
      <c r="E225" s="29">
        <f>IF(PremiumType="SINGLE",IF(B225=0,PremiumPPInput,0),IF(B225&lt;12*PolicyTerm,PremiumPPInput,0))</f>
        <v/>
      </c>
      <c r="F225" s="30">
        <f>INDEX(MortRates,MATCH(MIN(D225,120),MortAges,0),MAX(MIN(C225,5),0)+1)</f>
        <v/>
      </c>
      <c r="G225" s="31">
        <f>1-(1-F225)^(1/12)</f>
        <v/>
      </c>
      <c r="H225" s="32">
        <f>MAX(LapseBase-LapseStep*C225,LapseFloor)</f>
        <v/>
      </c>
      <c r="I225" s="32">
        <f>IF(HasSurrCharge,INDEX(SurrRates,MIN(C225,SurrDurMax)+1,MATCH(SurrChargeID,SurrTypes,0)),0)</f>
        <v/>
      </c>
      <c r="J225" s="33">
        <f>N224-P224-O224</f>
        <v/>
      </c>
      <c r="K225" s="30">
        <f>IF(B225=12*PolicyTerm,J225,0)</f>
        <v/>
      </c>
      <c r="L225" s="33">
        <f>J225-K225</f>
        <v/>
      </c>
      <c r="M225" s="30">
        <f>IF(B225=0,PolicyCount,0)</f>
        <v/>
      </c>
      <c r="N225" s="33">
        <f>L225+M225</f>
        <v/>
      </c>
      <c r="O225" s="31">
        <f>N225*G225</f>
        <v/>
      </c>
      <c r="P225" s="33">
        <f>(N225-O225)*(1-(1-H225)^(1/12))</f>
        <v/>
      </c>
      <c r="Q225" s="34">
        <f>X224+Z224</f>
        <v/>
      </c>
      <c r="R225" s="29">
        <f>(1-LoadPremRate)*E225</f>
        <v/>
      </c>
      <c r="S225" s="34">
        <f>Q225+R225</f>
        <v/>
      </c>
      <c r="T225" s="29">
        <f>MaintFeeRateAnn/12*S225</f>
        <v/>
      </c>
      <c r="U225" s="29">
        <f>MAX(SumAssured-S225,0)</f>
        <v/>
      </c>
      <c r="V225" s="35">
        <f>CoiMultiple*G225</f>
        <v/>
      </c>
      <c r="W225" s="34">
        <f>V225*U225</f>
        <v/>
      </c>
      <c r="X225" s="34">
        <f>S225-T225-W225</f>
        <v/>
      </c>
      <c r="Y225" s="36">
        <f>EXP((Mu-0.5*Sigma^2)/12+Sigma*SQRT(1/12)*INDEX(NormRand,ScenID,A225+1))-1</f>
        <v/>
      </c>
      <c r="Z225" s="34">
        <f>Y225*X225</f>
        <v/>
      </c>
      <c r="AA225" s="34">
        <f>X225+0.5*Z225</f>
        <v/>
      </c>
      <c r="AB225" s="34">
        <f>Q225*J225</f>
        <v/>
      </c>
      <c r="AC225" s="34">
        <f>Q225*L225</f>
        <v/>
      </c>
      <c r="AD225" s="34">
        <f>S225*N225</f>
        <v/>
      </c>
      <c r="AE225" s="34">
        <f>E225*N225</f>
        <v/>
      </c>
      <c r="AF225" s="34">
        <f>R225*N225</f>
        <v/>
      </c>
      <c r="AG225" s="29">
        <f>MAX(SumAssured,AA225)</f>
        <v/>
      </c>
      <c r="AH225" s="34">
        <f>AG225*O225</f>
        <v/>
      </c>
      <c r="AI225" s="34">
        <f>AA225*O225</f>
        <v/>
      </c>
      <c r="AJ225" s="34">
        <f>AA225*P225</f>
        <v/>
      </c>
      <c r="AK225" s="34">
        <f>I225*AA225*P225</f>
        <v/>
      </c>
      <c r="AL225" s="34">
        <f>AJ225-AK225</f>
        <v/>
      </c>
      <c r="AM225" s="34">
        <f>Q225*K225</f>
        <v/>
      </c>
      <c r="AN225" s="34">
        <f>AH225+AL225+AM225</f>
        <v/>
      </c>
      <c r="AO225" s="34">
        <f>(AG225-AA225)*O225</f>
        <v/>
      </c>
      <c r="AP225" s="34">
        <f>W225*N225</f>
        <v/>
      </c>
      <c r="AQ225" s="34">
        <f>T225*N225</f>
        <v/>
      </c>
      <c r="AR225" s="34">
        <f>Z225*J226+0.5*Z225*(O225+P225)</f>
        <v/>
      </c>
      <c r="AS225" s="30">
        <f>(1+InflationRate)^(A225/12)</f>
        <v/>
      </c>
      <c r="AT225" s="29">
        <f>ExpenseAcq*M225+N225*ExpenseMaint/12*AS225</f>
        <v/>
      </c>
      <c r="AU225" s="29">
        <f>CommissionRate*AE225</f>
        <v/>
      </c>
      <c r="AV225" s="34">
        <f>AB226-AB225</f>
        <v/>
      </c>
      <c r="AW225" s="34">
        <f>AE225+AR225-AN225-AT225-AU225-AV225</f>
        <v/>
      </c>
      <c r="AX225" s="29">
        <f>LoadPremRate*E225*N225+AK225+AQ225-AU225-AT225</f>
        <v/>
      </c>
      <c r="AY225" s="34">
        <f>AP225-AO225</f>
        <v/>
      </c>
      <c r="AZ225" s="37">
        <f>(AW225-AX225-AY225)/MAX(1,ABS(AW225),ABS(AX225),ABS(AY225))</f>
        <v/>
      </c>
      <c r="BA225" s="37">
        <f>IF(OR(K225&gt;0,K226&gt;0),0,(AC226-(AC225+AF225-AQ225-AP225+AR225-AI225-AJ225-AM225))/MAX(1,ABS(AC225),ABS(AC226)))</f>
        <v/>
      </c>
      <c r="BB225" s="35">
        <f>(1+INDEX(DiscRateAnn,INT(A225/12)+1))^(1/12)-1</f>
        <v/>
      </c>
      <c r="BC225" s="31">
        <f>(1+BB225)^-A225</f>
        <v/>
      </c>
      <c r="BD225" s="34">
        <f>AW225*BC225</f>
        <v/>
      </c>
    </row>
    <row r="226">
      <c r="A226" s="27">
        <f>A225+1</f>
        <v/>
      </c>
      <c r="B226" s="28">
        <f>Duration0+A226</f>
        <v/>
      </c>
      <c r="C226" s="27">
        <f>INT(B226/12)</f>
        <v/>
      </c>
      <c r="D226" s="28">
        <f>AgeAtEntry+C226</f>
        <v/>
      </c>
      <c r="E226" s="29">
        <f>IF(PremiumType="SINGLE",IF(B226=0,PremiumPPInput,0),IF(B226&lt;12*PolicyTerm,PremiumPPInput,0))</f>
        <v/>
      </c>
      <c r="F226" s="30">
        <f>INDEX(MortRates,MATCH(MIN(D226,120),MortAges,0),MAX(MIN(C226,5),0)+1)</f>
        <v/>
      </c>
      <c r="G226" s="31">
        <f>1-(1-F226)^(1/12)</f>
        <v/>
      </c>
      <c r="H226" s="32">
        <f>MAX(LapseBase-LapseStep*C226,LapseFloor)</f>
        <v/>
      </c>
      <c r="I226" s="32">
        <f>IF(HasSurrCharge,INDEX(SurrRates,MIN(C226,SurrDurMax)+1,MATCH(SurrChargeID,SurrTypes,0)),0)</f>
        <v/>
      </c>
      <c r="J226" s="33">
        <f>N225-P225-O225</f>
        <v/>
      </c>
      <c r="K226" s="30">
        <f>IF(B226=12*PolicyTerm,J226,0)</f>
        <v/>
      </c>
      <c r="L226" s="33">
        <f>J226-K226</f>
        <v/>
      </c>
      <c r="M226" s="30">
        <f>IF(B226=0,PolicyCount,0)</f>
        <v/>
      </c>
      <c r="N226" s="33">
        <f>L226+M226</f>
        <v/>
      </c>
      <c r="O226" s="31">
        <f>N226*G226</f>
        <v/>
      </c>
      <c r="P226" s="33">
        <f>(N226-O226)*(1-(1-H226)^(1/12))</f>
        <v/>
      </c>
      <c r="Q226" s="34">
        <f>X225+Z225</f>
        <v/>
      </c>
      <c r="R226" s="29">
        <f>(1-LoadPremRate)*E226</f>
        <v/>
      </c>
      <c r="S226" s="34">
        <f>Q226+R226</f>
        <v/>
      </c>
      <c r="T226" s="29">
        <f>MaintFeeRateAnn/12*S226</f>
        <v/>
      </c>
      <c r="U226" s="29">
        <f>MAX(SumAssured-S226,0)</f>
        <v/>
      </c>
      <c r="V226" s="35">
        <f>CoiMultiple*G226</f>
        <v/>
      </c>
      <c r="W226" s="34">
        <f>V226*U226</f>
        <v/>
      </c>
      <c r="X226" s="34">
        <f>S226-T226-W226</f>
        <v/>
      </c>
      <c r="Y226" s="36">
        <f>EXP((Mu-0.5*Sigma^2)/12+Sigma*SQRT(1/12)*INDEX(NormRand,ScenID,A226+1))-1</f>
        <v/>
      </c>
      <c r="Z226" s="34">
        <f>Y226*X226</f>
        <v/>
      </c>
      <c r="AA226" s="34">
        <f>X226+0.5*Z226</f>
        <v/>
      </c>
      <c r="AB226" s="34">
        <f>Q226*J226</f>
        <v/>
      </c>
      <c r="AC226" s="34">
        <f>Q226*L226</f>
        <v/>
      </c>
      <c r="AD226" s="34">
        <f>S226*N226</f>
        <v/>
      </c>
      <c r="AE226" s="34">
        <f>E226*N226</f>
        <v/>
      </c>
      <c r="AF226" s="34">
        <f>R226*N226</f>
        <v/>
      </c>
      <c r="AG226" s="29">
        <f>MAX(SumAssured,AA226)</f>
        <v/>
      </c>
      <c r="AH226" s="34">
        <f>AG226*O226</f>
        <v/>
      </c>
      <c r="AI226" s="34">
        <f>AA226*O226</f>
        <v/>
      </c>
      <c r="AJ226" s="34">
        <f>AA226*P226</f>
        <v/>
      </c>
      <c r="AK226" s="34">
        <f>I226*AA226*P226</f>
        <v/>
      </c>
      <c r="AL226" s="34">
        <f>AJ226-AK226</f>
        <v/>
      </c>
      <c r="AM226" s="34">
        <f>Q226*K226</f>
        <v/>
      </c>
      <c r="AN226" s="34">
        <f>AH226+AL226+AM226</f>
        <v/>
      </c>
      <c r="AO226" s="34">
        <f>(AG226-AA226)*O226</f>
        <v/>
      </c>
      <c r="AP226" s="34">
        <f>W226*N226</f>
        <v/>
      </c>
      <c r="AQ226" s="34">
        <f>T226*N226</f>
        <v/>
      </c>
      <c r="AR226" s="34">
        <f>Z226*J227+0.5*Z226*(O226+P226)</f>
        <v/>
      </c>
      <c r="AS226" s="30">
        <f>(1+InflationRate)^(A226/12)</f>
        <v/>
      </c>
      <c r="AT226" s="29">
        <f>ExpenseAcq*M226+N226*ExpenseMaint/12*AS226</f>
        <v/>
      </c>
      <c r="AU226" s="29">
        <f>CommissionRate*AE226</f>
        <v/>
      </c>
      <c r="AV226" s="34">
        <f>AB227-AB226</f>
        <v/>
      </c>
      <c r="AW226" s="34">
        <f>AE226+AR226-AN226-AT226-AU226-AV226</f>
        <v/>
      </c>
      <c r="AX226" s="29">
        <f>LoadPremRate*E226*N226+AK226+AQ226-AU226-AT226</f>
        <v/>
      </c>
      <c r="AY226" s="34">
        <f>AP226-AO226</f>
        <v/>
      </c>
      <c r="AZ226" s="37">
        <f>(AW226-AX226-AY226)/MAX(1,ABS(AW226),ABS(AX226),ABS(AY226))</f>
        <v/>
      </c>
      <c r="BA226" s="37">
        <f>IF(OR(K226&gt;0,K227&gt;0),0,(AC227-(AC226+AF226-AQ226-AP226+AR226-AI226-AJ226-AM226))/MAX(1,ABS(AC226),ABS(AC227)))</f>
        <v/>
      </c>
      <c r="BB226" s="35">
        <f>(1+INDEX(DiscRateAnn,INT(A226/12)+1))^(1/12)-1</f>
        <v/>
      </c>
      <c r="BC226" s="31">
        <f>(1+BB226)^-A226</f>
        <v/>
      </c>
      <c r="BD226" s="34">
        <f>AW226*BC226</f>
        <v/>
      </c>
    </row>
    <row r="227">
      <c r="A227" s="27">
        <f>A226+1</f>
        <v/>
      </c>
      <c r="B227" s="28">
        <f>Duration0+A227</f>
        <v/>
      </c>
      <c r="C227" s="27">
        <f>INT(B227/12)</f>
        <v/>
      </c>
      <c r="D227" s="28">
        <f>AgeAtEntry+C227</f>
        <v/>
      </c>
      <c r="E227" s="29">
        <f>IF(PremiumType="SINGLE",IF(B227=0,PremiumPPInput,0),IF(B227&lt;12*PolicyTerm,PremiumPPInput,0))</f>
        <v/>
      </c>
      <c r="F227" s="30">
        <f>INDEX(MortRates,MATCH(MIN(D227,120),MortAges,0),MAX(MIN(C227,5),0)+1)</f>
        <v/>
      </c>
      <c r="G227" s="31">
        <f>1-(1-F227)^(1/12)</f>
        <v/>
      </c>
      <c r="H227" s="32">
        <f>MAX(LapseBase-LapseStep*C227,LapseFloor)</f>
        <v/>
      </c>
      <c r="I227" s="32">
        <f>IF(HasSurrCharge,INDEX(SurrRates,MIN(C227,SurrDurMax)+1,MATCH(SurrChargeID,SurrTypes,0)),0)</f>
        <v/>
      </c>
      <c r="J227" s="33">
        <f>N226-P226-O226</f>
        <v/>
      </c>
      <c r="K227" s="30">
        <f>IF(B227=12*PolicyTerm,J227,0)</f>
        <v/>
      </c>
      <c r="L227" s="33">
        <f>J227-K227</f>
        <v/>
      </c>
      <c r="M227" s="30">
        <f>IF(B227=0,PolicyCount,0)</f>
        <v/>
      </c>
      <c r="N227" s="33">
        <f>L227+M227</f>
        <v/>
      </c>
      <c r="O227" s="31">
        <f>N227*G227</f>
        <v/>
      </c>
      <c r="P227" s="33">
        <f>(N227-O227)*(1-(1-H227)^(1/12))</f>
        <v/>
      </c>
      <c r="Q227" s="34">
        <f>X226+Z226</f>
        <v/>
      </c>
      <c r="R227" s="29">
        <f>(1-LoadPremRate)*E227</f>
        <v/>
      </c>
      <c r="S227" s="34">
        <f>Q227+R227</f>
        <v/>
      </c>
      <c r="T227" s="29">
        <f>MaintFeeRateAnn/12*S227</f>
        <v/>
      </c>
      <c r="U227" s="29">
        <f>MAX(SumAssured-S227,0)</f>
        <v/>
      </c>
      <c r="V227" s="35">
        <f>CoiMultiple*G227</f>
        <v/>
      </c>
      <c r="W227" s="34">
        <f>V227*U227</f>
        <v/>
      </c>
      <c r="X227" s="34">
        <f>S227-T227-W227</f>
        <v/>
      </c>
      <c r="Y227" s="36">
        <f>EXP((Mu-0.5*Sigma^2)/12+Sigma*SQRT(1/12)*INDEX(NormRand,ScenID,A227+1))-1</f>
        <v/>
      </c>
      <c r="Z227" s="34">
        <f>Y227*X227</f>
        <v/>
      </c>
      <c r="AA227" s="34">
        <f>X227+0.5*Z227</f>
        <v/>
      </c>
      <c r="AB227" s="34">
        <f>Q227*J227</f>
        <v/>
      </c>
      <c r="AC227" s="34">
        <f>Q227*L227</f>
        <v/>
      </c>
      <c r="AD227" s="34">
        <f>S227*N227</f>
        <v/>
      </c>
      <c r="AE227" s="34">
        <f>E227*N227</f>
        <v/>
      </c>
      <c r="AF227" s="34">
        <f>R227*N227</f>
        <v/>
      </c>
      <c r="AG227" s="29">
        <f>MAX(SumAssured,AA227)</f>
        <v/>
      </c>
      <c r="AH227" s="34">
        <f>AG227*O227</f>
        <v/>
      </c>
      <c r="AI227" s="34">
        <f>AA227*O227</f>
        <v/>
      </c>
      <c r="AJ227" s="34">
        <f>AA227*P227</f>
        <v/>
      </c>
      <c r="AK227" s="34">
        <f>I227*AA227*P227</f>
        <v/>
      </c>
      <c r="AL227" s="34">
        <f>AJ227-AK227</f>
        <v/>
      </c>
      <c r="AM227" s="34">
        <f>Q227*K227</f>
        <v/>
      </c>
      <c r="AN227" s="34">
        <f>AH227+AL227+AM227</f>
        <v/>
      </c>
      <c r="AO227" s="34">
        <f>(AG227-AA227)*O227</f>
        <v/>
      </c>
      <c r="AP227" s="34">
        <f>W227*N227</f>
        <v/>
      </c>
      <c r="AQ227" s="34">
        <f>T227*N227</f>
        <v/>
      </c>
      <c r="AR227" s="34">
        <f>Z227*J228+0.5*Z227*(O227+P227)</f>
        <v/>
      </c>
      <c r="AS227" s="30">
        <f>(1+InflationRate)^(A227/12)</f>
        <v/>
      </c>
      <c r="AT227" s="29">
        <f>ExpenseAcq*M227+N227*ExpenseMaint/12*AS227</f>
        <v/>
      </c>
      <c r="AU227" s="29">
        <f>CommissionRate*AE227</f>
        <v/>
      </c>
      <c r="AV227" s="34">
        <f>AB228-AB227</f>
        <v/>
      </c>
      <c r="AW227" s="34">
        <f>AE227+AR227-AN227-AT227-AU227-AV227</f>
        <v/>
      </c>
      <c r="AX227" s="29">
        <f>LoadPremRate*E227*N227+AK227+AQ227-AU227-AT227</f>
        <v/>
      </c>
      <c r="AY227" s="34">
        <f>AP227-AO227</f>
        <v/>
      </c>
      <c r="AZ227" s="37">
        <f>(AW227-AX227-AY227)/MAX(1,ABS(AW227),ABS(AX227),ABS(AY227))</f>
        <v/>
      </c>
      <c r="BA227" s="37">
        <f>IF(OR(K227&gt;0,K228&gt;0),0,(AC228-(AC227+AF227-AQ227-AP227+AR227-AI227-AJ227-AM227))/MAX(1,ABS(AC227),ABS(AC228)))</f>
        <v/>
      </c>
      <c r="BB227" s="35">
        <f>(1+INDEX(DiscRateAnn,INT(A227/12)+1))^(1/12)-1</f>
        <v/>
      </c>
      <c r="BC227" s="31">
        <f>(1+BB227)^-A227</f>
        <v/>
      </c>
      <c r="BD227" s="34">
        <f>AW227*BC227</f>
        <v/>
      </c>
    </row>
    <row r="228">
      <c r="A228" s="27">
        <f>A227+1</f>
        <v/>
      </c>
      <c r="B228" s="28">
        <f>Duration0+A228</f>
        <v/>
      </c>
      <c r="C228" s="27">
        <f>INT(B228/12)</f>
        <v/>
      </c>
      <c r="D228" s="28">
        <f>AgeAtEntry+C228</f>
        <v/>
      </c>
      <c r="E228" s="29">
        <f>IF(PremiumType="SINGLE",IF(B228=0,PremiumPPInput,0),IF(B228&lt;12*PolicyTerm,PremiumPPInput,0))</f>
        <v/>
      </c>
      <c r="F228" s="30">
        <f>INDEX(MortRates,MATCH(MIN(D228,120),MortAges,0),MAX(MIN(C228,5),0)+1)</f>
        <v/>
      </c>
      <c r="G228" s="31">
        <f>1-(1-F228)^(1/12)</f>
        <v/>
      </c>
      <c r="H228" s="32">
        <f>MAX(LapseBase-LapseStep*C228,LapseFloor)</f>
        <v/>
      </c>
      <c r="I228" s="32">
        <f>IF(HasSurrCharge,INDEX(SurrRates,MIN(C228,SurrDurMax)+1,MATCH(SurrChargeID,SurrTypes,0)),0)</f>
        <v/>
      </c>
      <c r="J228" s="33">
        <f>N227-P227-O227</f>
        <v/>
      </c>
      <c r="K228" s="30">
        <f>IF(B228=12*PolicyTerm,J228,0)</f>
        <v/>
      </c>
      <c r="L228" s="33">
        <f>J228-K228</f>
        <v/>
      </c>
      <c r="M228" s="30">
        <f>IF(B228=0,PolicyCount,0)</f>
        <v/>
      </c>
      <c r="N228" s="33">
        <f>L228+M228</f>
        <v/>
      </c>
      <c r="O228" s="31">
        <f>N228*G228</f>
        <v/>
      </c>
      <c r="P228" s="33">
        <f>(N228-O228)*(1-(1-H228)^(1/12))</f>
        <v/>
      </c>
      <c r="Q228" s="34">
        <f>X227+Z227</f>
        <v/>
      </c>
      <c r="R228" s="29">
        <f>(1-LoadPremRate)*E228</f>
        <v/>
      </c>
      <c r="S228" s="34">
        <f>Q228+R228</f>
        <v/>
      </c>
      <c r="T228" s="29">
        <f>MaintFeeRateAnn/12*S228</f>
        <v/>
      </c>
      <c r="U228" s="29">
        <f>MAX(SumAssured-S228,0)</f>
        <v/>
      </c>
      <c r="V228" s="35">
        <f>CoiMultiple*G228</f>
        <v/>
      </c>
      <c r="W228" s="34">
        <f>V228*U228</f>
        <v/>
      </c>
      <c r="X228" s="34">
        <f>S228-T228-W228</f>
        <v/>
      </c>
      <c r="Y228" s="36">
        <f>EXP((Mu-0.5*Sigma^2)/12+Sigma*SQRT(1/12)*INDEX(NormRand,ScenID,A228+1))-1</f>
        <v/>
      </c>
      <c r="Z228" s="34">
        <f>Y228*X228</f>
        <v/>
      </c>
      <c r="AA228" s="34">
        <f>X228+0.5*Z228</f>
        <v/>
      </c>
      <c r="AB228" s="34">
        <f>Q228*J228</f>
        <v/>
      </c>
      <c r="AC228" s="34">
        <f>Q228*L228</f>
        <v/>
      </c>
      <c r="AD228" s="34">
        <f>S228*N228</f>
        <v/>
      </c>
      <c r="AE228" s="34">
        <f>E228*N228</f>
        <v/>
      </c>
      <c r="AF228" s="34">
        <f>R228*N228</f>
        <v/>
      </c>
      <c r="AG228" s="29">
        <f>MAX(SumAssured,AA228)</f>
        <v/>
      </c>
      <c r="AH228" s="34">
        <f>AG228*O228</f>
        <v/>
      </c>
      <c r="AI228" s="34">
        <f>AA228*O228</f>
        <v/>
      </c>
      <c r="AJ228" s="34">
        <f>AA228*P228</f>
        <v/>
      </c>
      <c r="AK228" s="34">
        <f>I228*AA228*P228</f>
        <v/>
      </c>
      <c r="AL228" s="34">
        <f>AJ228-AK228</f>
        <v/>
      </c>
      <c r="AM228" s="34">
        <f>Q228*K228</f>
        <v/>
      </c>
      <c r="AN228" s="34">
        <f>AH228+AL228+AM228</f>
        <v/>
      </c>
      <c r="AO228" s="34">
        <f>(AG228-AA228)*O228</f>
        <v/>
      </c>
      <c r="AP228" s="34">
        <f>W228*N228</f>
        <v/>
      </c>
      <c r="AQ228" s="34">
        <f>T228*N228</f>
        <v/>
      </c>
      <c r="AR228" s="34">
        <f>Z228*J229+0.5*Z228*(O228+P228)</f>
        <v/>
      </c>
      <c r="AS228" s="30">
        <f>(1+InflationRate)^(A228/12)</f>
        <v/>
      </c>
      <c r="AT228" s="29">
        <f>ExpenseAcq*M228+N228*ExpenseMaint/12*AS228</f>
        <v/>
      </c>
      <c r="AU228" s="29">
        <f>CommissionRate*AE228</f>
        <v/>
      </c>
      <c r="AV228" s="34">
        <f>AB229-AB228</f>
        <v/>
      </c>
      <c r="AW228" s="34">
        <f>AE228+AR228-AN228-AT228-AU228-AV228</f>
        <v/>
      </c>
      <c r="AX228" s="29">
        <f>LoadPremRate*E228*N228+AK228+AQ228-AU228-AT228</f>
        <v/>
      </c>
      <c r="AY228" s="34">
        <f>AP228-AO228</f>
        <v/>
      </c>
      <c r="AZ228" s="37">
        <f>(AW228-AX228-AY228)/MAX(1,ABS(AW228),ABS(AX228),ABS(AY228))</f>
        <v/>
      </c>
      <c r="BA228" s="37">
        <f>IF(OR(K228&gt;0,K229&gt;0),0,(AC229-(AC228+AF228-AQ228-AP228+AR228-AI228-AJ228-AM228))/MAX(1,ABS(AC228),ABS(AC229)))</f>
        <v/>
      </c>
      <c r="BB228" s="35">
        <f>(1+INDEX(DiscRateAnn,INT(A228/12)+1))^(1/12)-1</f>
        <v/>
      </c>
      <c r="BC228" s="31">
        <f>(1+BB228)^-A228</f>
        <v/>
      </c>
      <c r="BD228" s="34">
        <f>AW228*BC228</f>
        <v/>
      </c>
    </row>
    <row r="229">
      <c r="A229" s="27">
        <f>A228+1</f>
        <v/>
      </c>
      <c r="B229" s="28">
        <f>Duration0+A229</f>
        <v/>
      </c>
      <c r="C229" s="27">
        <f>INT(B229/12)</f>
        <v/>
      </c>
      <c r="D229" s="28">
        <f>AgeAtEntry+C229</f>
        <v/>
      </c>
      <c r="E229" s="29">
        <f>IF(PremiumType="SINGLE",IF(B229=0,PremiumPPInput,0),IF(B229&lt;12*PolicyTerm,PremiumPPInput,0))</f>
        <v/>
      </c>
      <c r="F229" s="30">
        <f>INDEX(MortRates,MATCH(MIN(D229,120),MortAges,0),MAX(MIN(C229,5),0)+1)</f>
        <v/>
      </c>
      <c r="G229" s="31">
        <f>1-(1-F229)^(1/12)</f>
        <v/>
      </c>
      <c r="H229" s="32">
        <f>MAX(LapseBase-LapseStep*C229,LapseFloor)</f>
        <v/>
      </c>
      <c r="I229" s="32">
        <f>IF(HasSurrCharge,INDEX(SurrRates,MIN(C229,SurrDurMax)+1,MATCH(SurrChargeID,SurrTypes,0)),0)</f>
        <v/>
      </c>
      <c r="J229" s="33">
        <f>N228-P228-O228</f>
        <v/>
      </c>
      <c r="K229" s="30">
        <f>IF(B229=12*PolicyTerm,J229,0)</f>
        <v/>
      </c>
      <c r="L229" s="33">
        <f>J229-K229</f>
        <v/>
      </c>
      <c r="M229" s="30">
        <f>IF(B229=0,PolicyCount,0)</f>
        <v/>
      </c>
      <c r="N229" s="33">
        <f>L229+M229</f>
        <v/>
      </c>
      <c r="O229" s="31">
        <f>N229*G229</f>
        <v/>
      </c>
      <c r="P229" s="33">
        <f>(N229-O229)*(1-(1-H229)^(1/12))</f>
        <v/>
      </c>
      <c r="Q229" s="34">
        <f>X228+Z228</f>
        <v/>
      </c>
      <c r="R229" s="29">
        <f>(1-LoadPremRate)*E229</f>
        <v/>
      </c>
      <c r="S229" s="34">
        <f>Q229+R229</f>
        <v/>
      </c>
      <c r="T229" s="29">
        <f>MaintFeeRateAnn/12*S229</f>
        <v/>
      </c>
      <c r="U229" s="29">
        <f>MAX(SumAssured-S229,0)</f>
        <v/>
      </c>
      <c r="V229" s="35">
        <f>CoiMultiple*G229</f>
        <v/>
      </c>
      <c r="W229" s="34">
        <f>V229*U229</f>
        <v/>
      </c>
      <c r="X229" s="34">
        <f>S229-T229-W229</f>
        <v/>
      </c>
      <c r="Y229" s="36">
        <f>EXP((Mu-0.5*Sigma^2)/12+Sigma*SQRT(1/12)*INDEX(NormRand,ScenID,A229+1))-1</f>
        <v/>
      </c>
      <c r="Z229" s="34">
        <f>Y229*X229</f>
        <v/>
      </c>
      <c r="AA229" s="34">
        <f>X229+0.5*Z229</f>
        <v/>
      </c>
      <c r="AB229" s="34">
        <f>Q229*J229</f>
        <v/>
      </c>
      <c r="AC229" s="34">
        <f>Q229*L229</f>
        <v/>
      </c>
      <c r="AD229" s="34">
        <f>S229*N229</f>
        <v/>
      </c>
      <c r="AE229" s="34">
        <f>E229*N229</f>
        <v/>
      </c>
      <c r="AF229" s="34">
        <f>R229*N229</f>
        <v/>
      </c>
      <c r="AG229" s="29">
        <f>MAX(SumAssured,AA229)</f>
        <v/>
      </c>
      <c r="AH229" s="34">
        <f>AG229*O229</f>
        <v/>
      </c>
      <c r="AI229" s="34">
        <f>AA229*O229</f>
        <v/>
      </c>
      <c r="AJ229" s="34">
        <f>AA229*P229</f>
        <v/>
      </c>
      <c r="AK229" s="34">
        <f>I229*AA229*P229</f>
        <v/>
      </c>
      <c r="AL229" s="34">
        <f>AJ229-AK229</f>
        <v/>
      </c>
      <c r="AM229" s="34">
        <f>Q229*K229</f>
        <v/>
      </c>
      <c r="AN229" s="34">
        <f>AH229+AL229+AM229</f>
        <v/>
      </c>
      <c r="AO229" s="34">
        <f>(AG229-AA229)*O229</f>
        <v/>
      </c>
      <c r="AP229" s="34">
        <f>W229*N229</f>
        <v/>
      </c>
      <c r="AQ229" s="34">
        <f>T229*N229</f>
        <v/>
      </c>
      <c r="AR229" s="34">
        <f>Z229*J230+0.5*Z229*(O229+P229)</f>
        <v/>
      </c>
      <c r="AS229" s="30">
        <f>(1+InflationRate)^(A229/12)</f>
        <v/>
      </c>
      <c r="AT229" s="29">
        <f>ExpenseAcq*M229+N229*ExpenseMaint/12*AS229</f>
        <v/>
      </c>
      <c r="AU229" s="29">
        <f>CommissionRate*AE229</f>
        <v/>
      </c>
      <c r="AV229" s="34">
        <f>AB230-AB229</f>
        <v/>
      </c>
      <c r="AW229" s="34">
        <f>AE229+AR229-AN229-AT229-AU229-AV229</f>
        <v/>
      </c>
      <c r="AX229" s="29">
        <f>LoadPremRate*E229*N229+AK229+AQ229-AU229-AT229</f>
        <v/>
      </c>
      <c r="AY229" s="34">
        <f>AP229-AO229</f>
        <v/>
      </c>
      <c r="AZ229" s="37">
        <f>(AW229-AX229-AY229)/MAX(1,ABS(AW229),ABS(AX229),ABS(AY229))</f>
        <v/>
      </c>
      <c r="BA229" s="37">
        <f>IF(OR(K229&gt;0,K230&gt;0),0,(AC230-(AC229+AF229-AQ229-AP229+AR229-AI229-AJ229-AM229))/MAX(1,ABS(AC229),ABS(AC230)))</f>
        <v/>
      </c>
      <c r="BB229" s="35">
        <f>(1+INDEX(DiscRateAnn,INT(A229/12)+1))^(1/12)-1</f>
        <v/>
      </c>
      <c r="BC229" s="31">
        <f>(1+BB229)^-A229</f>
        <v/>
      </c>
      <c r="BD229" s="34">
        <f>AW229*BC229</f>
        <v/>
      </c>
    </row>
    <row r="230">
      <c r="A230" s="27">
        <f>A229+1</f>
        <v/>
      </c>
      <c r="B230" s="28">
        <f>Duration0+A230</f>
        <v/>
      </c>
      <c r="C230" s="27">
        <f>INT(B230/12)</f>
        <v/>
      </c>
      <c r="D230" s="28">
        <f>AgeAtEntry+C230</f>
        <v/>
      </c>
      <c r="E230" s="29">
        <f>IF(PremiumType="SINGLE",IF(B230=0,PremiumPPInput,0),IF(B230&lt;12*PolicyTerm,PremiumPPInput,0))</f>
        <v/>
      </c>
      <c r="F230" s="30">
        <f>INDEX(MortRates,MATCH(MIN(D230,120),MortAges,0),MAX(MIN(C230,5),0)+1)</f>
        <v/>
      </c>
      <c r="G230" s="31">
        <f>1-(1-F230)^(1/12)</f>
        <v/>
      </c>
      <c r="H230" s="32">
        <f>MAX(LapseBase-LapseStep*C230,LapseFloor)</f>
        <v/>
      </c>
      <c r="I230" s="32">
        <f>IF(HasSurrCharge,INDEX(SurrRates,MIN(C230,SurrDurMax)+1,MATCH(SurrChargeID,SurrTypes,0)),0)</f>
        <v/>
      </c>
      <c r="J230" s="33">
        <f>N229-P229-O229</f>
        <v/>
      </c>
      <c r="K230" s="30">
        <f>IF(B230=12*PolicyTerm,J230,0)</f>
        <v/>
      </c>
      <c r="L230" s="33">
        <f>J230-K230</f>
        <v/>
      </c>
      <c r="M230" s="30">
        <f>IF(B230=0,PolicyCount,0)</f>
        <v/>
      </c>
      <c r="N230" s="33">
        <f>L230+M230</f>
        <v/>
      </c>
      <c r="O230" s="31">
        <f>N230*G230</f>
        <v/>
      </c>
      <c r="P230" s="33">
        <f>(N230-O230)*(1-(1-H230)^(1/12))</f>
        <v/>
      </c>
      <c r="Q230" s="34">
        <f>X229+Z229</f>
        <v/>
      </c>
      <c r="R230" s="29">
        <f>(1-LoadPremRate)*E230</f>
        <v/>
      </c>
      <c r="S230" s="34">
        <f>Q230+R230</f>
        <v/>
      </c>
      <c r="T230" s="29">
        <f>MaintFeeRateAnn/12*S230</f>
        <v/>
      </c>
      <c r="U230" s="29">
        <f>MAX(SumAssured-S230,0)</f>
        <v/>
      </c>
      <c r="V230" s="35">
        <f>CoiMultiple*G230</f>
        <v/>
      </c>
      <c r="W230" s="34">
        <f>V230*U230</f>
        <v/>
      </c>
      <c r="X230" s="34">
        <f>S230-T230-W230</f>
        <v/>
      </c>
      <c r="Y230" s="36">
        <f>EXP((Mu-0.5*Sigma^2)/12+Sigma*SQRT(1/12)*INDEX(NormRand,ScenID,A230+1))-1</f>
        <v/>
      </c>
      <c r="Z230" s="34">
        <f>Y230*X230</f>
        <v/>
      </c>
      <c r="AA230" s="34">
        <f>X230+0.5*Z230</f>
        <v/>
      </c>
      <c r="AB230" s="34">
        <f>Q230*J230</f>
        <v/>
      </c>
      <c r="AC230" s="34">
        <f>Q230*L230</f>
        <v/>
      </c>
      <c r="AD230" s="34">
        <f>S230*N230</f>
        <v/>
      </c>
      <c r="AE230" s="34">
        <f>E230*N230</f>
        <v/>
      </c>
      <c r="AF230" s="34">
        <f>R230*N230</f>
        <v/>
      </c>
      <c r="AG230" s="29">
        <f>MAX(SumAssured,AA230)</f>
        <v/>
      </c>
      <c r="AH230" s="34">
        <f>AG230*O230</f>
        <v/>
      </c>
      <c r="AI230" s="34">
        <f>AA230*O230</f>
        <v/>
      </c>
      <c r="AJ230" s="34">
        <f>AA230*P230</f>
        <v/>
      </c>
      <c r="AK230" s="34">
        <f>I230*AA230*P230</f>
        <v/>
      </c>
      <c r="AL230" s="34">
        <f>AJ230-AK230</f>
        <v/>
      </c>
      <c r="AM230" s="34">
        <f>Q230*K230</f>
        <v/>
      </c>
      <c r="AN230" s="34">
        <f>AH230+AL230+AM230</f>
        <v/>
      </c>
      <c r="AO230" s="34">
        <f>(AG230-AA230)*O230</f>
        <v/>
      </c>
      <c r="AP230" s="34">
        <f>W230*N230</f>
        <v/>
      </c>
      <c r="AQ230" s="34">
        <f>T230*N230</f>
        <v/>
      </c>
      <c r="AR230" s="34">
        <f>Z230*J231+0.5*Z230*(O230+P230)</f>
        <v/>
      </c>
      <c r="AS230" s="30">
        <f>(1+InflationRate)^(A230/12)</f>
        <v/>
      </c>
      <c r="AT230" s="29">
        <f>ExpenseAcq*M230+N230*ExpenseMaint/12*AS230</f>
        <v/>
      </c>
      <c r="AU230" s="29">
        <f>CommissionRate*AE230</f>
        <v/>
      </c>
      <c r="AV230" s="34">
        <f>AB231-AB230</f>
        <v/>
      </c>
      <c r="AW230" s="34">
        <f>AE230+AR230-AN230-AT230-AU230-AV230</f>
        <v/>
      </c>
      <c r="AX230" s="29">
        <f>LoadPremRate*E230*N230+AK230+AQ230-AU230-AT230</f>
        <v/>
      </c>
      <c r="AY230" s="34">
        <f>AP230-AO230</f>
        <v/>
      </c>
      <c r="AZ230" s="37">
        <f>(AW230-AX230-AY230)/MAX(1,ABS(AW230),ABS(AX230),ABS(AY230))</f>
        <v/>
      </c>
      <c r="BA230" s="37">
        <f>IF(OR(K230&gt;0,K231&gt;0),0,(AC231-(AC230+AF230-AQ230-AP230+AR230-AI230-AJ230-AM230))/MAX(1,ABS(AC230),ABS(AC231)))</f>
        <v/>
      </c>
      <c r="BB230" s="35">
        <f>(1+INDEX(DiscRateAnn,INT(A230/12)+1))^(1/12)-1</f>
        <v/>
      </c>
      <c r="BC230" s="31">
        <f>(1+BB230)^-A230</f>
        <v/>
      </c>
      <c r="BD230" s="34">
        <f>AW230*BC230</f>
        <v/>
      </c>
    </row>
    <row r="231">
      <c r="A231" s="27">
        <f>A230+1</f>
        <v/>
      </c>
      <c r="B231" s="28">
        <f>Duration0+A231</f>
        <v/>
      </c>
      <c r="C231" s="27">
        <f>INT(B231/12)</f>
        <v/>
      </c>
      <c r="D231" s="28">
        <f>AgeAtEntry+C231</f>
        <v/>
      </c>
      <c r="E231" s="29">
        <f>IF(PremiumType="SINGLE",IF(B231=0,PremiumPPInput,0),IF(B231&lt;12*PolicyTerm,PremiumPPInput,0))</f>
        <v/>
      </c>
      <c r="F231" s="30">
        <f>INDEX(MortRates,MATCH(MIN(D231,120),MortAges,0),MAX(MIN(C231,5),0)+1)</f>
        <v/>
      </c>
      <c r="G231" s="31">
        <f>1-(1-F231)^(1/12)</f>
        <v/>
      </c>
      <c r="H231" s="32">
        <f>MAX(LapseBase-LapseStep*C231,LapseFloor)</f>
        <v/>
      </c>
      <c r="I231" s="32">
        <f>IF(HasSurrCharge,INDEX(SurrRates,MIN(C231,SurrDurMax)+1,MATCH(SurrChargeID,SurrTypes,0)),0)</f>
        <v/>
      </c>
      <c r="J231" s="33">
        <f>N230-P230-O230</f>
        <v/>
      </c>
      <c r="K231" s="30">
        <f>IF(B231=12*PolicyTerm,J231,0)</f>
        <v/>
      </c>
      <c r="L231" s="33">
        <f>J231-K231</f>
        <v/>
      </c>
      <c r="M231" s="30">
        <f>IF(B231=0,PolicyCount,0)</f>
        <v/>
      </c>
      <c r="N231" s="33">
        <f>L231+M231</f>
        <v/>
      </c>
      <c r="O231" s="31">
        <f>N231*G231</f>
        <v/>
      </c>
      <c r="P231" s="33">
        <f>(N231-O231)*(1-(1-H231)^(1/12))</f>
        <v/>
      </c>
      <c r="Q231" s="34">
        <f>X230+Z230</f>
        <v/>
      </c>
      <c r="R231" s="29">
        <f>(1-LoadPremRate)*E231</f>
        <v/>
      </c>
      <c r="S231" s="34">
        <f>Q231+R231</f>
        <v/>
      </c>
      <c r="T231" s="29">
        <f>MaintFeeRateAnn/12*S231</f>
        <v/>
      </c>
      <c r="U231" s="29">
        <f>MAX(SumAssured-S231,0)</f>
        <v/>
      </c>
      <c r="V231" s="35">
        <f>CoiMultiple*G231</f>
        <v/>
      </c>
      <c r="W231" s="34">
        <f>V231*U231</f>
        <v/>
      </c>
      <c r="X231" s="34">
        <f>S231-T231-W231</f>
        <v/>
      </c>
      <c r="Y231" s="36">
        <f>EXP((Mu-0.5*Sigma^2)/12+Sigma*SQRT(1/12)*INDEX(NormRand,ScenID,A231+1))-1</f>
        <v/>
      </c>
      <c r="Z231" s="34">
        <f>Y231*X231</f>
        <v/>
      </c>
      <c r="AA231" s="34">
        <f>X231+0.5*Z231</f>
        <v/>
      </c>
      <c r="AB231" s="34">
        <f>Q231*J231</f>
        <v/>
      </c>
      <c r="AC231" s="34">
        <f>Q231*L231</f>
        <v/>
      </c>
      <c r="AD231" s="34">
        <f>S231*N231</f>
        <v/>
      </c>
      <c r="AE231" s="34">
        <f>E231*N231</f>
        <v/>
      </c>
      <c r="AF231" s="34">
        <f>R231*N231</f>
        <v/>
      </c>
      <c r="AG231" s="29">
        <f>MAX(SumAssured,AA231)</f>
        <v/>
      </c>
      <c r="AH231" s="34">
        <f>AG231*O231</f>
        <v/>
      </c>
      <c r="AI231" s="34">
        <f>AA231*O231</f>
        <v/>
      </c>
      <c r="AJ231" s="34">
        <f>AA231*P231</f>
        <v/>
      </c>
      <c r="AK231" s="34">
        <f>I231*AA231*P231</f>
        <v/>
      </c>
      <c r="AL231" s="34">
        <f>AJ231-AK231</f>
        <v/>
      </c>
      <c r="AM231" s="34">
        <f>Q231*K231</f>
        <v/>
      </c>
      <c r="AN231" s="34">
        <f>AH231+AL231+AM231</f>
        <v/>
      </c>
      <c r="AO231" s="34">
        <f>(AG231-AA231)*O231</f>
        <v/>
      </c>
      <c r="AP231" s="34">
        <f>W231*N231</f>
        <v/>
      </c>
      <c r="AQ231" s="34">
        <f>T231*N231</f>
        <v/>
      </c>
      <c r="AR231" s="34">
        <f>Z231*J232+0.5*Z231*(O231+P231)</f>
        <v/>
      </c>
      <c r="AS231" s="30">
        <f>(1+InflationRate)^(A231/12)</f>
        <v/>
      </c>
      <c r="AT231" s="29">
        <f>ExpenseAcq*M231+N231*ExpenseMaint/12*AS231</f>
        <v/>
      </c>
      <c r="AU231" s="29">
        <f>CommissionRate*AE231</f>
        <v/>
      </c>
      <c r="AV231" s="34">
        <f>AB232-AB231</f>
        <v/>
      </c>
      <c r="AW231" s="34">
        <f>AE231+AR231-AN231-AT231-AU231-AV231</f>
        <v/>
      </c>
      <c r="AX231" s="29">
        <f>LoadPremRate*E231*N231+AK231+AQ231-AU231-AT231</f>
        <v/>
      </c>
      <c r="AY231" s="34">
        <f>AP231-AO231</f>
        <v/>
      </c>
      <c r="AZ231" s="37">
        <f>(AW231-AX231-AY231)/MAX(1,ABS(AW231),ABS(AX231),ABS(AY231))</f>
        <v/>
      </c>
      <c r="BA231" s="37">
        <f>IF(OR(K231&gt;0,K232&gt;0),0,(AC232-(AC231+AF231-AQ231-AP231+AR231-AI231-AJ231-AM231))/MAX(1,ABS(AC231),ABS(AC232)))</f>
        <v/>
      </c>
      <c r="BB231" s="35">
        <f>(1+INDEX(DiscRateAnn,INT(A231/12)+1))^(1/12)-1</f>
        <v/>
      </c>
      <c r="BC231" s="31">
        <f>(1+BB231)^-A231</f>
        <v/>
      </c>
      <c r="BD231" s="34">
        <f>AW231*BC231</f>
        <v/>
      </c>
    </row>
    <row r="232">
      <c r="A232" s="27">
        <f>A231+1</f>
        <v/>
      </c>
      <c r="B232" s="28">
        <f>Duration0+A232</f>
        <v/>
      </c>
      <c r="C232" s="27">
        <f>INT(B232/12)</f>
        <v/>
      </c>
      <c r="D232" s="28">
        <f>AgeAtEntry+C232</f>
        <v/>
      </c>
      <c r="E232" s="29">
        <f>IF(PremiumType="SINGLE",IF(B232=0,PremiumPPInput,0),IF(B232&lt;12*PolicyTerm,PremiumPPInput,0))</f>
        <v/>
      </c>
      <c r="F232" s="30">
        <f>INDEX(MortRates,MATCH(MIN(D232,120),MortAges,0),MAX(MIN(C232,5),0)+1)</f>
        <v/>
      </c>
      <c r="G232" s="31">
        <f>1-(1-F232)^(1/12)</f>
        <v/>
      </c>
      <c r="H232" s="32">
        <f>MAX(LapseBase-LapseStep*C232,LapseFloor)</f>
        <v/>
      </c>
      <c r="I232" s="32">
        <f>IF(HasSurrCharge,INDEX(SurrRates,MIN(C232,SurrDurMax)+1,MATCH(SurrChargeID,SurrTypes,0)),0)</f>
        <v/>
      </c>
      <c r="J232" s="33">
        <f>N231-P231-O231</f>
        <v/>
      </c>
      <c r="K232" s="30">
        <f>IF(B232=12*PolicyTerm,J232,0)</f>
        <v/>
      </c>
      <c r="L232" s="33">
        <f>J232-K232</f>
        <v/>
      </c>
      <c r="M232" s="30">
        <f>IF(B232=0,PolicyCount,0)</f>
        <v/>
      </c>
      <c r="N232" s="33">
        <f>L232+M232</f>
        <v/>
      </c>
      <c r="O232" s="31">
        <f>N232*G232</f>
        <v/>
      </c>
      <c r="P232" s="33">
        <f>(N232-O232)*(1-(1-H232)^(1/12))</f>
        <v/>
      </c>
      <c r="Q232" s="34">
        <f>X231+Z231</f>
        <v/>
      </c>
      <c r="R232" s="29">
        <f>(1-LoadPremRate)*E232</f>
        <v/>
      </c>
      <c r="S232" s="34">
        <f>Q232+R232</f>
        <v/>
      </c>
      <c r="T232" s="29">
        <f>MaintFeeRateAnn/12*S232</f>
        <v/>
      </c>
      <c r="U232" s="29">
        <f>MAX(SumAssured-S232,0)</f>
        <v/>
      </c>
      <c r="V232" s="35">
        <f>CoiMultiple*G232</f>
        <v/>
      </c>
      <c r="W232" s="34">
        <f>V232*U232</f>
        <v/>
      </c>
      <c r="X232" s="34">
        <f>S232-T232-W232</f>
        <v/>
      </c>
      <c r="Y232" s="36">
        <f>EXP((Mu-0.5*Sigma^2)/12+Sigma*SQRT(1/12)*INDEX(NormRand,ScenID,A232+1))-1</f>
        <v/>
      </c>
      <c r="Z232" s="34">
        <f>Y232*X232</f>
        <v/>
      </c>
      <c r="AA232" s="34">
        <f>X232+0.5*Z232</f>
        <v/>
      </c>
      <c r="AB232" s="34">
        <f>Q232*J232</f>
        <v/>
      </c>
      <c r="AC232" s="34">
        <f>Q232*L232</f>
        <v/>
      </c>
      <c r="AD232" s="34">
        <f>S232*N232</f>
        <v/>
      </c>
      <c r="AE232" s="34">
        <f>E232*N232</f>
        <v/>
      </c>
      <c r="AF232" s="34">
        <f>R232*N232</f>
        <v/>
      </c>
      <c r="AG232" s="29">
        <f>MAX(SumAssured,AA232)</f>
        <v/>
      </c>
      <c r="AH232" s="34">
        <f>AG232*O232</f>
        <v/>
      </c>
      <c r="AI232" s="34">
        <f>AA232*O232</f>
        <v/>
      </c>
      <c r="AJ232" s="34">
        <f>AA232*P232</f>
        <v/>
      </c>
      <c r="AK232" s="34">
        <f>I232*AA232*P232</f>
        <v/>
      </c>
      <c r="AL232" s="34">
        <f>AJ232-AK232</f>
        <v/>
      </c>
      <c r="AM232" s="34">
        <f>Q232*K232</f>
        <v/>
      </c>
      <c r="AN232" s="34">
        <f>AH232+AL232+AM232</f>
        <v/>
      </c>
      <c r="AO232" s="34">
        <f>(AG232-AA232)*O232</f>
        <v/>
      </c>
      <c r="AP232" s="34">
        <f>W232*N232</f>
        <v/>
      </c>
      <c r="AQ232" s="34">
        <f>T232*N232</f>
        <v/>
      </c>
      <c r="AR232" s="34">
        <f>Z232*J233+0.5*Z232*(O232+P232)</f>
        <v/>
      </c>
      <c r="AS232" s="30">
        <f>(1+InflationRate)^(A232/12)</f>
        <v/>
      </c>
      <c r="AT232" s="29">
        <f>ExpenseAcq*M232+N232*ExpenseMaint/12*AS232</f>
        <v/>
      </c>
      <c r="AU232" s="29">
        <f>CommissionRate*AE232</f>
        <v/>
      </c>
      <c r="AV232" s="34">
        <f>AB233-AB232</f>
        <v/>
      </c>
      <c r="AW232" s="34">
        <f>AE232+AR232-AN232-AT232-AU232-AV232</f>
        <v/>
      </c>
      <c r="AX232" s="29">
        <f>LoadPremRate*E232*N232+AK232+AQ232-AU232-AT232</f>
        <v/>
      </c>
      <c r="AY232" s="34">
        <f>AP232-AO232</f>
        <v/>
      </c>
      <c r="AZ232" s="37">
        <f>(AW232-AX232-AY232)/MAX(1,ABS(AW232),ABS(AX232),ABS(AY232))</f>
        <v/>
      </c>
      <c r="BA232" s="37">
        <f>IF(OR(K232&gt;0,K233&gt;0),0,(AC233-(AC232+AF232-AQ232-AP232+AR232-AI232-AJ232-AM232))/MAX(1,ABS(AC232),ABS(AC233)))</f>
        <v/>
      </c>
      <c r="BB232" s="35">
        <f>(1+INDEX(DiscRateAnn,INT(A232/12)+1))^(1/12)-1</f>
        <v/>
      </c>
      <c r="BC232" s="31">
        <f>(1+BB232)^-A232</f>
        <v/>
      </c>
      <c r="BD232" s="34">
        <f>AW232*BC232</f>
        <v/>
      </c>
    </row>
    <row r="233">
      <c r="A233" s="27">
        <f>A232+1</f>
        <v/>
      </c>
      <c r="B233" s="28">
        <f>Duration0+A233</f>
        <v/>
      </c>
      <c r="C233" s="27">
        <f>INT(B233/12)</f>
        <v/>
      </c>
      <c r="D233" s="28">
        <f>AgeAtEntry+C233</f>
        <v/>
      </c>
      <c r="E233" s="29">
        <f>IF(PremiumType="SINGLE",IF(B233=0,PremiumPPInput,0),IF(B233&lt;12*PolicyTerm,PremiumPPInput,0))</f>
        <v/>
      </c>
      <c r="F233" s="30">
        <f>INDEX(MortRates,MATCH(MIN(D233,120),MortAges,0),MAX(MIN(C233,5),0)+1)</f>
        <v/>
      </c>
      <c r="G233" s="31">
        <f>1-(1-F233)^(1/12)</f>
        <v/>
      </c>
      <c r="H233" s="32">
        <f>MAX(LapseBase-LapseStep*C233,LapseFloor)</f>
        <v/>
      </c>
      <c r="I233" s="32">
        <f>IF(HasSurrCharge,INDEX(SurrRates,MIN(C233,SurrDurMax)+1,MATCH(SurrChargeID,SurrTypes,0)),0)</f>
        <v/>
      </c>
      <c r="J233" s="33">
        <f>N232-P232-O232</f>
        <v/>
      </c>
      <c r="K233" s="30">
        <f>IF(B233=12*PolicyTerm,J233,0)</f>
        <v/>
      </c>
      <c r="L233" s="33">
        <f>J233-K233</f>
        <v/>
      </c>
      <c r="M233" s="30">
        <f>IF(B233=0,PolicyCount,0)</f>
        <v/>
      </c>
      <c r="N233" s="33">
        <f>L233+M233</f>
        <v/>
      </c>
      <c r="O233" s="31">
        <f>N233*G233</f>
        <v/>
      </c>
      <c r="P233" s="33">
        <f>(N233-O233)*(1-(1-H233)^(1/12))</f>
        <v/>
      </c>
      <c r="Q233" s="34">
        <f>X232+Z232</f>
        <v/>
      </c>
      <c r="R233" s="29">
        <f>(1-LoadPremRate)*E233</f>
        <v/>
      </c>
      <c r="S233" s="34">
        <f>Q233+R233</f>
        <v/>
      </c>
      <c r="T233" s="29">
        <f>MaintFeeRateAnn/12*S233</f>
        <v/>
      </c>
      <c r="U233" s="29">
        <f>MAX(SumAssured-S233,0)</f>
        <v/>
      </c>
      <c r="V233" s="35">
        <f>CoiMultiple*G233</f>
        <v/>
      </c>
      <c r="W233" s="34">
        <f>V233*U233</f>
        <v/>
      </c>
      <c r="X233" s="34">
        <f>S233-T233-W233</f>
        <v/>
      </c>
      <c r="Y233" s="36">
        <f>EXP((Mu-0.5*Sigma^2)/12+Sigma*SQRT(1/12)*INDEX(NormRand,ScenID,A233+1))-1</f>
        <v/>
      </c>
      <c r="Z233" s="34">
        <f>Y233*X233</f>
        <v/>
      </c>
      <c r="AA233" s="34">
        <f>X233+0.5*Z233</f>
        <v/>
      </c>
      <c r="AB233" s="34">
        <f>Q233*J233</f>
        <v/>
      </c>
      <c r="AC233" s="34">
        <f>Q233*L233</f>
        <v/>
      </c>
      <c r="AD233" s="34">
        <f>S233*N233</f>
        <v/>
      </c>
      <c r="AE233" s="34">
        <f>E233*N233</f>
        <v/>
      </c>
      <c r="AF233" s="34">
        <f>R233*N233</f>
        <v/>
      </c>
      <c r="AG233" s="29">
        <f>MAX(SumAssured,AA233)</f>
        <v/>
      </c>
      <c r="AH233" s="34">
        <f>AG233*O233</f>
        <v/>
      </c>
      <c r="AI233" s="34">
        <f>AA233*O233</f>
        <v/>
      </c>
      <c r="AJ233" s="34">
        <f>AA233*P233</f>
        <v/>
      </c>
      <c r="AK233" s="34">
        <f>I233*AA233*P233</f>
        <v/>
      </c>
      <c r="AL233" s="34">
        <f>AJ233-AK233</f>
        <v/>
      </c>
      <c r="AM233" s="34">
        <f>Q233*K233</f>
        <v/>
      </c>
      <c r="AN233" s="34">
        <f>AH233+AL233+AM233</f>
        <v/>
      </c>
      <c r="AO233" s="34">
        <f>(AG233-AA233)*O233</f>
        <v/>
      </c>
      <c r="AP233" s="34">
        <f>W233*N233</f>
        <v/>
      </c>
      <c r="AQ233" s="34">
        <f>T233*N233</f>
        <v/>
      </c>
      <c r="AR233" s="34">
        <f>Z233*J234+0.5*Z233*(O233+P233)</f>
        <v/>
      </c>
      <c r="AS233" s="30">
        <f>(1+InflationRate)^(A233/12)</f>
        <v/>
      </c>
      <c r="AT233" s="29">
        <f>ExpenseAcq*M233+N233*ExpenseMaint/12*AS233</f>
        <v/>
      </c>
      <c r="AU233" s="29">
        <f>CommissionRate*AE233</f>
        <v/>
      </c>
      <c r="AV233" s="34">
        <f>AB234-AB233</f>
        <v/>
      </c>
      <c r="AW233" s="34">
        <f>AE233+AR233-AN233-AT233-AU233-AV233</f>
        <v/>
      </c>
      <c r="AX233" s="29">
        <f>LoadPremRate*E233*N233+AK233+AQ233-AU233-AT233</f>
        <v/>
      </c>
      <c r="AY233" s="34">
        <f>AP233-AO233</f>
        <v/>
      </c>
      <c r="AZ233" s="37">
        <f>(AW233-AX233-AY233)/MAX(1,ABS(AW233),ABS(AX233),ABS(AY233))</f>
        <v/>
      </c>
      <c r="BA233" s="37">
        <f>IF(OR(K233&gt;0,K234&gt;0),0,(AC234-(AC233+AF233-AQ233-AP233+AR233-AI233-AJ233-AM233))/MAX(1,ABS(AC233),ABS(AC234)))</f>
        <v/>
      </c>
      <c r="BB233" s="35">
        <f>(1+INDEX(DiscRateAnn,INT(A233/12)+1))^(1/12)-1</f>
        <v/>
      </c>
      <c r="BC233" s="31">
        <f>(1+BB233)^-A233</f>
        <v/>
      </c>
      <c r="BD233" s="34">
        <f>AW233*BC233</f>
        <v/>
      </c>
    </row>
    <row r="234">
      <c r="A234" s="27">
        <f>A233+1</f>
        <v/>
      </c>
      <c r="B234" s="28">
        <f>Duration0+A234</f>
        <v/>
      </c>
      <c r="C234" s="27">
        <f>INT(B234/12)</f>
        <v/>
      </c>
      <c r="D234" s="28">
        <f>AgeAtEntry+C234</f>
        <v/>
      </c>
      <c r="E234" s="29">
        <f>IF(PremiumType="SINGLE",IF(B234=0,PremiumPPInput,0),IF(B234&lt;12*PolicyTerm,PremiumPPInput,0))</f>
        <v/>
      </c>
      <c r="F234" s="30">
        <f>INDEX(MortRates,MATCH(MIN(D234,120),MortAges,0),MAX(MIN(C234,5),0)+1)</f>
        <v/>
      </c>
      <c r="G234" s="31">
        <f>1-(1-F234)^(1/12)</f>
        <v/>
      </c>
      <c r="H234" s="32">
        <f>MAX(LapseBase-LapseStep*C234,LapseFloor)</f>
        <v/>
      </c>
      <c r="I234" s="32">
        <f>IF(HasSurrCharge,INDEX(SurrRates,MIN(C234,SurrDurMax)+1,MATCH(SurrChargeID,SurrTypes,0)),0)</f>
        <v/>
      </c>
      <c r="J234" s="33">
        <f>N233-P233-O233</f>
        <v/>
      </c>
      <c r="K234" s="30">
        <f>IF(B234=12*PolicyTerm,J234,0)</f>
        <v/>
      </c>
      <c r="L234" s="33">
        <f>J234-K234</f>
        <v/>
      </c>
      <c r="M234" s="30">
        <f>IF(B234=0,PolicyCount,0)</f>
        <v/>
      </c>
      <c r="N234" s="33">
        <f>L234+M234</f>
        <v/>
      </c>
      <c r="O234" s="31">
        <f>N234*G234</f>
        <v/>
      </c>
      <c r="P234" s="33">
        <f>(N234-O234)*(1-(1-H234)^(1/12))</f>
        <v/>
      </c>
      <c r="Q234" s="34">
        <f>X233+Z233</f>
        <v/>
      </c>
      <c r="R234" s="29">
        <f>(1-LoadPremRate)*E234</f>
        <v/>
      </c>
      <c r="S234" s="34">
        <f>Q234+R234</f>
        <v/>
      </c>
      <c r="T234" s="29">
        <f>MaintFeeRateAnn/12*S234</f>
        <v/>
      </c>
      <c r="U234" s="29">
        <f>MAX(SumAssured-S234,0)</f>
        <v/>
      </c>
      <c r="V234" s="35">
        <f>CoiMultiple*G234</f>
        <v/>
      </c>
      <c r="W234" s="34">
        <f>V234*U234</f>
        <v/>
      </c>
      <c r="X234" s="34">
        <f>S234-T234-W234</f>
        <v/>
      </c>
      <c r="Y234" s="36">
        <f>EXP((Mu-0.5*Sigma^2)/12+Sigma*SQRT(1/12)*INDEX(NormRand,ScenID,A234+1))-1</f>
        <v/>
      </c>
      <c r="Z234" s="34">
        <f>Y234*X234</f>
        <v/>
      </c>
      <c r="AA234" s="34">
        <f>X234+0.5*Z234</f>
        <v/>
      </c>
      <c r="AB234" s="34">
        <f>Q234*J234</f>
        <v/>
      </c>
      <c r="AC234" s="34">
        <f>Q234*L234</f>
        <v/>
      </c>
      <c r="AD234" s="34">
        <f>S234*N234</f>
        <v/>
      </c>
      <c r="AE234" s="34">
        <f>E234*N234</f>
        <v/>
      </c>
      <c r="AF234" s="34">
        <f>R234*N234</f>
        <v/>
      </c>
      <c r="AG234" s="29">
        <f>MAX(SumAssured,AA234)</f>
        <v/>
      </c>
      <c r="AH234" s="34">
        <f>AG234*O234</f>
        <v/>
      </c>
      <c r="AI234" s="34">
        <f>AA234*O234</f>
        <v/>
      </c>
      <c r="AJ234" s="34">
        <f>AA234*P234</f>
        <v/>
      </c>
      <c r="AK234" s="34">
        <f>I234*AA234*P234</f>
        <v/>
      </c>
      <c r="AL234" s="34">
        <f>AJ234-AK234</f>
        <v/>
      </c>
      <c r="AM234" s="34">
        <f>Q234*K234</f>
        <v/>
      </c>
      <c r="AN234" s="34">
        <f>AH234+AL234+AM234</f>
        <v/>
      </c>
      <c r="AO234" s="34">
        <f>(AG234-AA234)*O234</f>
        <v/>
      </c>
      <c r="AP234" s="34">
        <f>W234*N234</f>
        <v/>
      </c>
      <c r="AQ234" s="34">
        <f>T234*N234</f>
        <v/>
      </c>
      <c r="AR234" s="34">
        <f>Z234*J235+0.5*Z234*(O234+P234)</f>
        <v/>
      </c>
      <c r="AS234" s="30">
        <f>(1+InflationRate)^(A234/12)</f>
        <v/>
      </c>
      <c r="AT234" s="29">
        <f>ExpenseAcq*M234+N234*ExpenseMaint/12*AS234</f>
        <v/>
      </c>
      <c r="AU234" s="29">
        <f>CommissionRate*AE234</f>
        <v/>
      </c>
      <c r="AV234" s="34">
        <f>AB235-AB234</f>
        <v/>
      </c>
      <c r="AW234" s="34">
        <f>AE234+AR234-AN234-AT234-AU234-AV234</f>
        <v/>
      </c>
      <c r="AX234" s="29">
        <f>LoadPremRate*E234*N234+AK234+AQ234-AU234-AT234</f>
        <v/>
      </c>
      <c r="AY234" s="34">
        <f>AP234-AO234</f>
        <v/>
      </c>
      <c r="AZ234" s="37">
        <f>(AW234-AX234-AY234)/MAX(1,ABS(AW234),ABS(AX234),ABS(AY234))</f>
        <v/>
      </c>
      <c r="BA234" s="37">
        <f>IF(OR(K234&gt;0,K235&gt;0),0,(AC235-(AC234+AF234-AQ234-AP234+AR234-AI234-AJ234-AM234))/MAX(1,ABS(AC234),ABS(AC235)))</f>
        <v/>
      </c>
      <c r="BB234" s="35">
        <f>(1+INDEX(DiscRateAnn,INT(A234/12)+1))^(1/12)-1</f>
        <v/>
      </c>
      <c r="BC234" s="31">
        <f>(1+BB234)^-A234</f>
        <v/>
      </c>
      <c r="BD234" s="34">
        <f>AW234*BC234</f>
        <v/>
      </c>
    </row>
    <row r="235">
      <c r="A235" s="27">
        <f>A234+1</f>
        <v/>
      </c>
      <c r="B235" s="28">
        <f>Duration0+A235</f>
        <v/>
      </c>
      <c r="C235" s="27">
        <f>INT(B235/12)</f>
        <v/>
      </c>
      <c r="D235" s="28">
        <f>AgeAtEntry+C235</f>
        <v/>
      </c>
      <c r="E235" s="29">
        <f>IF(PremiumType="SINGLE",IF(B235=0,PremiumPPInput,0),IF(B235&lt;12*PolicyTerm,PremiumPPInput,0))</f>
        <v/>
      </c>
      <c r="F235" s="30">
        <f>INDEX(MortRates,MATCH(MIN(D235,120),MortAges,0),MAX(MIN(C235,5),0)+1)</f>
        <v/>
      </c>
      <c r="G235" s="31">
        <f>1-(1-F235)^(1/12)</f>
        <v/>
      </c>
      <c r="H235" s="32">
        <f>MAX(LapseBase-LapseStep*C235,LapseFloor)</f>
        <v/>
      </c>
      <c r="I235" s="32">
        <f>IF(HasSurrCharge,INDEX(SurrRates,MIN(C235,SurrDurMax)+1,MATCH(SurrChargeID,SurrTypes,0)),0)</f>
        <v/>
      </c>
      <c r="J235" s="33">
        <f>N234-P234-O234</f>
        <v/>
      </c>
      <c r="K235" s="30">
        <f>IF(B235=12*PolicyTerm,J235,0)</f>
        <v/>
      </c>
      <c r="L235" s="33">
        <f>J235-K235</f>
        <v/>
      </c>
      <c r="M235" s="30">
        <f>IF(B235=0,PolicyCount,0)</f>
        <v/>
      </c>
      <c r="N235" s="33">
        <f>L235+M235</f>
        <v/>
      </c>
      <c r="O235" s="31">
        <f>N235*G235</f>
        <v/>
      </c>
      <c r="P235" s="33">
        <f>(N235-O235)*(1-(1-H235)^(1/12))</f>
        <v/>
      </c>
      <c r="Q235" s="34">
        <f>X234+Z234</f>
        <v/>
      </c>
      <c r="R235" s="29">
        <f>(1-LoadPremRate)*E235</f>
        <v/>
      </c>
      <c r="S235" s="34">
        <f>Q235+R235</f>
        <v/>
      </c>
      <c r="T235" s="29">
        <f>MaintFeeRateAnn/12*S235</f>
        <v/>
      </c>
      <c r="U235" s="29">
        <f>MAX(SumAssured-S235,0)</f>
        <v/>
      </c>
      <c r="V235" s="35">
        <f>CoiMultiple*G235</f>
        <v/>
      </c>
      <c r="W235" s="34">
        <f>V235*U235</f>
        <v/>
      </c>
      <c r="X235" s="34">
        <f>S235-T235-W235</f>
        <v/>
      </c>
      <c r="Y235" s="36">
        <f>EXP((Mu-0.5*Sigma^2)/12+Sigma*SQRT(1/12)*INDEX(NormRand,ScenID,A235+1))-1</f>
        <v/>
      </c>
      <c r="Z235" s="34">
        <f>Y235*X235</f>
        <v/>
      </c>
      <c r="AA235" s="34">
        <f>X235+0.5*Z235</f>
        <v/>
      </c>
      <c r="AB235" s="34">
        <f>Q235*J235</f>
        <v/>
      </c>
      <c r="AC235" s="34">
        <f>Q235*L235</f>
        <v/>
      </c>
      <c r="AD235" s="34">
        <f>S235*N235</f>
        <v/>
      </c>
      <c r="AE235" s="34">
        <f>E235*N235</f>
        <v/>
      </c>
      <c r="AF235" s="34">
        <f>R235*N235</f>
        <v/>
      </c>
      <c r="AG235" s="29">
        <f>MAX(SumAssured,AA235)</f>
        <v/>
      </c>
      <c r="AH235" s="34">
        <f>AG235*O235</f>
        <v/>
      </c>
      <c r="AI235" s="34">
        <f>AA235*O235</f>
        <v/>
      </c>
      <c r="AJ235" s="34">
        <f>AA235*P235</f>
        <v/>
      </c>
      <c r="AK235" s="34">
        <f>I235*AA235*P235</f>
        <v/>
      </c>
      <c r="AL235" s="34">
        <f>AJ235-AK235</f>
        <v/>
      </c>
      <c r="AM235" s="34">
        <f>Q235*K235</f>
        <v/>
      </c>
      <c r="AN235" s="34">
        <f>AH235+AL235+AM235</f>
        <v/>
      </c>
      <c r="AO235" s="34">
        <f>(AG235-AA235)*O235</f>
        <v/>
      </c>
      <c r="AP235" s="34">
        <f>W235*N235</f>
        <v/>
      </c>
      <c r="AQ235" s="34">
        <f>T235*N235</f>
        <v/>
      </c>
      <c r="AR235" s="34">
        <f>Z235*J236+0.5*Z235*(O235+P235)</f>
        <v/>
      </c>
      <c r="AS235" s="30">
        <f>(1+InflationRate)^(A235/12)</f>
        <v/>
      </c>
      <c r="AT235" s="29">
        <f>ExpenseAcq*M235+N235*ExpenseMaint/12*AS235</f>
        <v/>
      </c>
      <c r="AU235" s="29">
        <f>CommissionRate*AE235</f>
        <v/>
      </c>
      <c r="AV235" s="34">
        <f>AB236-AB235</f>
        <v/>
      </c>
      <c r="AW235" s="34">
        <f>AE235+AR235-AN235-AT235-AU235-AV235</f>
        <v/>
      </c>
      <c r="AX235" s="29">
        <f>LoadPremRate*E235*N235+AK235+AQ235-AU235-AT235</f>
        <v/>
      </c>
      <c r="AY235" s="34">
        <f>AP235-AO235</f>
        <v/>
      </c>
      <c r="AZ235" s="37">
        <f>(AW235-AX235-AY235)/MAX(1,ABS(AW235),ABS(AX235),ABS(AY235))</f>
        <v/>
      </c>
      <c r="BA235" s="37">
        <f>IF(OR(K235&gt;0,K236&gt;0),0,(AC236-(AC235+AF235-AQ235-AP235+AR235-AI235-AJ235-AM235))/MAX(1,ABS(AC235),ABS(AC236)))</f>
        <v/>
      </c>
      <c r="BB235" s="35">
        <f>(1+INDEX(DiscRateAnn,INT(A235/12)+1))^(1/12)-1</f>
        <v/>
      </c>
      <c r="BC235" s="31">
        <f>(1+BB235)^-A235</f>
        <v/>
      </c>
      <c r="BD235" s="34">
        <f>AW235*BC235</f>
        <v/>
      </c>
    </row>
    <row r="236">
      <c r="A236" s="27">
        <f>A235+1</f>
        <v/>
      </c>
      <c r="B236" s="28">
        <f>Duration0+A236</f>
        <v/>
      </c>
      <c r="C236" s="27">
        <f>INT(B236/12)</f>
        <v/>
      </c>
      <c r="D236" s="28">
        <f>AgeAtEntry+C236</f>
        <v/>
      </c>
      <c r="E236" s="29">
        <f>IF(PremiumType="SINGLE",IF(B236=0,PremiumPPInput,0),IF(B236&lt;12*PolicyTerm,PremiumPPInput,0))</f>
        <v/>
      </c>
      <c r="F236" s="30">
        <f>INDEX(MortRates,MATCH(MIN(D236,120),MortAges,0),MAX(MIN(C236,5),0)+1)</f>
        <v/>
      </c>
      <c r="G236" s="31">
        <f>1-(1-F236)^(1/12)</f>
        <v/>
      </c>
      <c r="H236" s="32">
        <f>MAX(LapseBase-LapseStep*C236,LapseFloor)</f>
        <v/>
      </c>
      <c r="I236" s="32">
        <f>IF(HasSurrCharge,INDEX(SurrRates,MIN(C236,SurrDurMax)+1,MATCH(SurrChargeID,SurrTypes,0)),0)</f>
        <v/>
      </c>
      <c r="J236" s="33">
        <f>N235-P235-O235</f>
        <v/>
      </c>
      <c r="K236" s="30">
        <f>IF(B236=12*PolicyTerm,J236,0)</f>
        <v/>
      </c>
      <c r="L236" s="33">
        <f>J236-K236</f>
        <v/>
      </c>
      <c r="M236" s="30">
        <f>IF(B236=0,PolicyCount,0)</f>
        <v/>
      </c>
      <c r="N236" s="33">
        <f>L236+M236</f>
        <v/>
      </c>
      <c r="O236" s="31">
        <f>N236*G236</f>
        <v/>
      </c>
      <c r="P236" s="33">
        <f>(N236-O236)*(1-(1-H236)^(1/12))</f>
        <v/>
      </c>
      <c r="Q236" s="34">
        <f>X235+Z235</f>
        <v/>
      </c>
      <c r="R236" s="29">
        <f>(1-LoadPremRate)*E236</f>
        <v/>
      </c>
      <c r="S236" s="34">
        <f>Q236+R236</f>
        <v/>
      </c>
      <c r="T236" s="29">
        <f>MaintFeeRateAnn/12*S236</f>
        <v/>
      </c>
      <c r="U236" s="29">
        <f>MAX(SumAssured-S236,0)</f>
        <v/>
      </c>
      <c r="V236" s="35">
        <f>CoiMultiple*G236</f>
        <v/>
      </c>
      <c r="W236" s="34">
        <f>V236*U236</f>
        <v/>
      </c>
      <c r="X236" s="34">
        <f>S236-T236-W236</f>
        <v/>
      </c>
      <c r="Y236" s="36">
        <f>EXP((Mu-0.5*Sigma^2)/12+Sigma*SQRT(1/12)*INDEX(NormRand,ScenID,A236+1))-1</f>
        <v/>
      </c>
      <c r="Z236" s="34">
        <f>Y236*X236</f>
        <v/>
      </c>
      <c r="AA236" s="34">
        <f>X236+0.5*Z236</f>
        <v/>
      </c>
      <c r="AB236" s="34">
        <f>Q236*J236</f>
        <v/>
      </c>
      <c r="AC236" s="34">
        <f>Q236*L236</f>
        <v/>
      </c>
      <c r="AD236" s="34">
        <f>S236*N236</f>
        <v/>
      </c>
      <c r="AE236" s="34">
        <f>E236*N236</f>
        <v/>
      </c>
      <c r="AF236" s="34">
        <f>R236*N236</f>
        <v/>
      </c>
      <c r="AG236" s="29">
        <f>MAX(SumAssured,AA236)</f>
        <v/>
      </c>
      <c r="AH236" s="34">
        <f>AG236*O236</f>
        <v/>
      </c>
      <c r="AI236" s="34">
        <f>AA236*O236</f>
        <v/>
      </c>
      <c r="AJ236" s="34">
        <f>AA236*P236</f>
        <v/>
      </c>
      <c r="AK236" s="34">
        <f>I236*AA236*P236</f>
        <v/>
      </c>
      <c r="AL236" s="34">
        <f>AJ236-AK236</f>
        <v/>
      </c>
      <c r="AM236" s="34">
        <f>Q236*K236</f>
        <v/>
      </c>
      <c r="AN236" s="34">
        <f>AH236+AL236+AM236</f>
        <v/>
      </c>
      <c r="AO236" s="34">
        <f>(AG236-AA236)*O236</f>
        <v/>
      </c>
      <c r="AP236" s="34">
        <f>W236*N236</f>
        <v/>
      </c>
      <c r="AQ236" s="34">
        <f>T236*N236</f>
        <v/>
      </c>
      <c r="AR236" s="34">
        <f>Z236*J237+0.5*Z236*(O236+P236)</f>
        <v/>
      </c>
      <c r="AS236" s="30">
        <f>(1+InflationRate)^(A236/12)</f>
        <v/>
      </c>
      <c r="AT236" s="29">
        <f>ExpenseAcq*M236+N236*ExpenseMaint/12*AS236</f>
        <v/>
      </c>
      <c r="AU236" s="29">
        <f>CommissionRate*AE236</f>
        <v/>
      </c>
      <c r="AV236" s="34">
        <f>AB237-AB236</f>
        <v/>
      </c>
      <c r="AW236" s="34">
        <f>AE236+AR236-AN236-AT236-AU236-AV236</f>
        <v/>
      </c>
      <c r="AX236" s="29">
        <f>LoadPremRate*E236*N236+AK236+AQ236-AU236-AT236</f>
        <v/>
      </c>
      <c r="AY236" s="34">
        <f>AP236-AO236</f>
        <v/>
      </c>
      <c r="AZ236" s="37">
        <f>(AW236-AX236-AY236)/MAX(1,ABS(AW236),ABS(AX236),ABS(AY236))</f>
        <v/>
      </c>
      <c r="BA236" s="37">
        <f>IF(OR(K236&gt;0,K237&gt;0),0,(AC237-(AC236+AF236-AQ236-AP236+AR236-AI236-AJ236-AM236))/MAX(1,ABS(AC236),ABS(AC237)))</f>
        <v/>
      </c>
      <c r="BB236" s="35">
        <f>(1+INDEX(DiscRateAnn,INT(A236/12)+1))^(1/12)-1</f>
        <v/>
      </c>
      <c r="BC236" s="31">
        <f>(1+BB236)^-A236</f>
        <v/>
      </c>
      <c r="BD236" s="34">
        <f>AW236*BC236</f>
        <v/>
      </c>
    </row>
    <row r="237">
      <c r="A237" s="27">
        <f>A236+1</f>
        <v/>
      </c>
      <c r="B237" s="28">
        <f>Duration0+A237</f>
        <v/>
      </c>
      <c r="C237" s="27">
        <f>INT(B237/12)</f>
        <v/>
      </c>
      <c r="D237" s="28">
        <f>AgeAtEntry+C237</f>
        <v/>
      </c>
      <c r="E237" s="29">
        <f>IF(PremiumType="SINGLE",IF(B237=0,PremiumPPInput,0),IF(B237&lt;12*PolicyTerm,PremiumPPInput,0))</f>
        <v/>
      </c>
      <c r="F237" s="30">
        <f>INDEX(MortRates,MATCH(MIN(D237,120),MortAges,0),MAX(MIN(C237,5),0)+1)</f>
        <v/>
      </c>
      <c r="G237" s="31">
        <f>1-(1-F237)^(1/12)</f>
        <v/>
      </c>
      <c r="H237" s="32">
        <f>MAX(LapseBase-LapseStep*C237,LapseFloor)</f>
        <v/>
      </c>
      <c r="I237" s="32">
        <f>IF(HasSurrCharge,INDEX(SurrRates,MIN(C237,SurrDurMax)+1,MATCH(SurrChargeID,SurrTypes,0)),0)</f>
        <v/>
      </c>
      <c r="J237" s="33">
        <f>N236-P236-O236</f>
        <v/>
      </c>
      <c r="K237" s="30">
        <f>IF(B237=12*PolicyTerm,J237,0)</f>
        <v/>
      </c>
      <c r="L237" s="33">
        <f>J237-K237</f>
        <v/>
      </c>
      <c r="M237" s="30">
        <f>IF(B237=0,PolicyCount,0)</f>
        <v/>
      </c>
      <c r="N237" s="33">
        <f>L237+M237</f>
        <v/>
      </c>
      <c r="O237" s="31">
        <f>N237*G237</f>
        <v/>
      </c>
      <c r="P237" s="33">
        <f>(N237-O237)*(1-(1-H237)^(1/12))</f>
        <v/>
      </c>
      <c r="Q237" s="34">
        <f>X236+Z236</f>
        <v/>
      </c>
      <c r="R237" s="29">
        <f>(1-LoadPremRate)*E237</f>
        <v/>
      </c>
      <c r="S237" s="34">
        <f>Q237+R237</f>
        <v/>
      </c>
      <c r="T237" s="29">
        <f>MaintFeeRateAnn/12*S237</f>
        <v/>
      </c>
      <c r="U237" s="29">
        <f>MAX(SumAssured-S237,0)</f>
        <v/>
      </c>
      <c r="V237" s="35">
        <f>CoiMultiple*G237</f>
        <v/>
      </c>
      <c r="W237" s="34">
        <f>V237*U237</f>
        <v/>
      </c>
      <c r="X237" s="34">
        <f>S237-T237-W237</f>
        <v/>
      </c>
      <c r="Y237" s="36">
        <f>EXP((Mu-0.5*Sigma^2)/12+Sigma*SQRT(1/12)*INDEX(NormRand,ScenID,A237+1))-1</f>
        <v/>
      </c>
      <c r="Z237" s="34">
        <f>Y237*X237</f>
        <v/>
      </c>
      <c r="AA237" s="34">
        <f>X237+0.5*Z237</f>
        <v/>
      </c>
      <c r="AB237" s="34">
        <f>Q237*J237</f>
        <v/>
      </c>
      <c r="AC237" s="34">
        <f>Q237*L237</f>
        <v/>
      </c>
      <c r="AD237" s="34">
        <f>S237*N237</f>
        <v/>
      </c>
      <c r="AE237" s="34">
        <f>E237*N237</f>
        <v/>
      </c>
      <c r="AF237" s="34">
        <f>R237*N237</f>
        <v/>
      </c>
      <c r="AG237" s="29">
        <f>MAX(SumAssured,AA237)</f>
        <v/>
      </c>
      <c r="AH237" s="34">
        <f>AG237*O237</f>
        <v/>
      </c>
      <c r="AI237" s="34">
        <f>AA237*O237</f>
        <v/>
      </c>
      <c r="AJ237" s="34">
        <f>AA237*P237</f>
        <v/>
      </c>
      <c r="AK237" s="34">
        <f>I237*AA237*P237</f>
        <v/>
      </c>
      <c r="AL237" s="34">
        <f>AJ237-AK237</f>
        <v/>
      </c>
      <c r="AM237" s="34">
        <f>Q237*K237</f>
        <v/>
      </c>
      <c r="AN237" s="34">
        <f>AH237+AL237+AM237</f>
        <v/>
      </c>
      <c r="AO237" s="34">
        <f>(AG237-AA237)*O237</f>
        <v/>
      </c>
      <c r="AP237" s="34">
        <f>W237*N237</f>
        <v/>
      </c>
      <c r="AQ237" s="34">
        <f>T237*N237</f>
        <v/>
      </c>
      <c r="AR237" s="34">
        <f>Z237*J238+0.5*Z237*(O237+P237)</f>
        <v/>
      </c>
      <c r="AS237" s="30">
        <f>(1+InflationRate)^(A237/12)</f>
        <v/>
      </c>
      <c r="AT237" s="29">
        <f>ExpenseAcq*M237+N237*ExpenseMaint/12*AS237</f>
        <v/>
      </c>
      <c r="AU237" s="29">
        <f>CommissionRate*AE237</f>
        <v/>
      </c>
      <c r="AV237" s="34">
        <f>AB238-AB237</f>
        <v/>
      </c>
      <c r="AW237" s="34">
        <f>AE237+AR237-AN237-AT237-AU237-AV237</f>
        <v/>
      </c>
      <c r="AX237" s="29">
        <f>LoadPremRate*E237*N237+AK237+AQ237-AU237-AT237</f>
        <v/>
      </c>
      <c r="AY237" s="34">
        <f>AP237-AO237</f>
        <v/>
      </c>
      <c r="AZ237" s="37">
        <f>(AW237-AX237-AY237)/MAX(1,ABS(AW237),ABS(AX237),ABS(AY237))</f>
        <v/>
      </c>
      <c r="BA237" s="37">
        <f>IF(OR(K237&gt;0,K238&gt;0),0,(AC238-(AC237+AF237-AQ237-AP237+AR237-AI237-AJ237-AM237))/MAX(1,ABS(AC237),ABS(AC238)))</f>
        <v/>
      </c>
      <c r="BB237" s="35">
        <f>(1+INDEX(DiscRateAnn,INT(A237/12)+1))^(1/12)-1</f>
        <v/>
      </c>
      <c r="BC237" s="31">
        <f>(1+BB237)^-A237</f>
        <v/>
      </c>
      <c r="BD237" s="34">
        <f>AW237*BC237</f>
        <v/>
      </c>
    </row>
    <row r="238">
      <c r="A238" s="27">
        <f>A237+1</f>
        <v/>
      </c>
      <c r="B238" s="28">
        <f>Duration0+A238</f>
        <v/>
      </c>
      <c r="C238" s="27">
        <f>INT(B238/12)</f>
        <v/>
      </c>
      <c r="D238" s="28">
        <f>AgeAtEntry+C238</f>
        <v/>
      </c>
      <c r="E238" s="29">
        <f>IF(PremiumType="SINGLE",IF(B238=0,PremiumPPInput,0),IF(B238&lt;12*PolicyTerm,PremiumPPInput,0))</f>
        <v/>
      </c>
      <c r="F238" s="30">
        <f>INDEX(MortRates,MATCH(MIN(D238,120),MortAges,0),MAX(MIN(C238,5),0)+1)</f>
        <v/>
      </c>
      <c r="G238" s="31">
        <f>1-(1-F238)^(1/12)</f>
        <v/>
      </c>
      <c r="H238" s="32">
        <f>MAX(LapseBase-LapseStep*C238,LapseFloor)</f>
        <v/>
      </c>
      <c r="I238" s="32">
        <f>IF(HasSurrCharge,INDEX(SurrRates,MIN(C238,SurrDurMax)+1,MATCH(SurrChargeID,SurrTypes,0)),0)</f>
        <v/>
      </c>
      <c r="J238" s="33">
        <f>N237-P237-O237</f>
        <v/>
      </c>
      <c r="K238" s="30">
        <f>IF(B238=12*PolicyTerm,J238,0)</f>
        <v/>
      </c>
      <c r="L238" s="33">
        <f>J238-K238</f>
        <v/>
      </c>
      <c r="M238" s="30">
        <f>IF(B238=0,PolicyCount,0)</f>
        <v/>
      </c>
      <c r="N238" s="33">
        <f>L238+M238</f>
        <v/>
      </c>
      <c r="O238" s="31">
        <f>N238*G238</f>
        <v/>
      </c>
      <c r="P238" s="33">
        <f>(N238-O238)*(1-(1-H238)^(1/12))</f>
        <v/>
      </c>
      <c r="Q238" s="34">
        <f>X237+Z237</f>
        <v/>
      </c>
      <c r="R238" s="29">
        <f>(1-LoadPremRate)*E238</f>
        <v/>
      </c>
      <c r="S238" s="34">
        <f>Q238+R238</f>
        <v/>
      </c>
      <c r="T238" s="29">
        <f>MaintFeeRateAnn/12*S238</f>
        <v/>
      </c>
      <c r="U238" s="29">
        <f>MAX(SumAssured-S238,0)</f>
        <v/>
      </c>
      <c r="V238" s="35">
        <f>CoiMultiple*G238</f>
        <v/>
      </c>
      <c r="W238" s="34">
        <f>V238*U238</f>
        <v/>
      </c>
      <c r="X238" s="34">
        <f>S238-T238-W238</f>
        <v/>
      </c>
      <c r="Y238" s="36">
        <f>EXP((Mu-0.5*Sigma^2)/12+Sigma*SQRT(1/12)*INDEX(NormRand,ScenID,A238+1))-1</f>
        <v/>
      </c>
      <c r="Z238" s="34">
        <f>Y238*X238</f>
        <v/>
      </c>
      <c r="AA238" s="34">
        <f>X238+0.5*Z238</f>
        <v/>
      </c>
      <c r="AB238" s="34">
        <f>Q238*J238</f>
        <v/>
      </c>
      <c r="AC238" s="34">
        <f>Q238*L238</f>
        <v/>
      </c>
      <c r="AD238" s="34">
        <f>S238*N238</f>
        <v/>
      </c>
      <c r="AE238" s="34">
        <f>E238*N238</f>
        <v/>
      </c>
      <c r="AF238" s="34">
        <f>R238*N238</f>
        <v/>
      </c>
      <c r="AG238" s="29">
        <f>MAX(SumAssured,AA238)</f>
        <v/>
      </c>
      <c r="AH238" s="34">
        <f>AG238*O238</f>
        <v/>
      </c>
      <c r="AI238" s="34">
        <f>AA238*O238</f>
        <v/>
      </c>
      <c r="AJ238" s="34">
        <f>AA238*P238</f>
        <v/>
      </c>
      <c r="AK238" s="34">
        <f>I238*AA238*P238</f>
        <v/>
      </c>
      <c r="AL238" s="34">
        <f>AJ238-AK238</f>
        <v/>
      </c>
      <c r="AM238" s="34">
        <f>Q238*K238</f>
        <v/>
      </c>
      <c r="AN238" s="34">
        <f>AH238+AL238+AM238</f>
        <v/>
      </c>
      <c r="AO238" s="34">
        <f>(AG238-AA238)*O238</f>
        <v/>
      </c>
      <c r="AP238" s="34">
        <f>W238*N238</f>
        <v/>
      </c>
      <c r="AQ238" s="34">
        <f>T238*N238</f>
        <v/>
      </c>
      <c r="AR238" s="34">
        <f>Z238*J239+0.5*Z238*(O238+P238)</f>
        <v/>
      </c>
      <c r="AS238" s="30">
        <f>(1+InflationRate)^(A238/12)</f>
        <v/>
      </c>
      <c r="AT238" s="29">
        <f>ExpenseAcq*M238+N238*ExpenseMaint/12*AS238</f>
        <v/>
      </c>
      <c r="AU238" s="29">
        <f>CommissionRate*AE238</f>
        <v/>
      </c>
      <c r="AV238" s="34">
        <f>AB239-AB238</f>
        <v/>
      </c>
      <c r="AW238" s="34">
        <f>AE238+AR238-AN238-AT238-AU238-AV238</f>
        <v/>
      </c>
      <c r="AX238" s="29">
        <f>LoadPremRate*E238*N238+AK238+AQ238-AU238-AT238</f>
        <v/>
      </c>
      <c r="AY238" s="34">
        <f>AP238-AO238</f>
        <v/>
      </c>
      <c r="AZ238" s="37">
        <f>(AW238-AX238-AY238)/MAX(1,ABS(AW238),ABS(AX238),ABS(AY238))</f>
        <v/>
      </c>
      <c r="BA238" s="37">
        <f>IF(OR(K238&gt;0,K239&gt;0),0,(AC239-(AC238+AF238-AQ238-AP238+AR238-AI238-AJ238-AM238))/MAX(1,ABS(AC238),ABS(AC239)))</f>
        <v/>
      </c>
      <c r="BB238" s="35">
        <f>(1+INDEX(DiscRateAnn,INT(A238/12)+1))^(1/12)-1</f>
        <v/>
      </c>
      <c r="BC238" s="31">
        <f>(1+BB238)^-A238</f>
        <v/>
      </c>
      <c r="BD238" s="34">
        <f>AW238*BC238</f>
        <v/>
      </c>
    </row>
    <row r="239">
      <c r="A239" s="27">
        <f>A238+1</f>
        <v/>
      </c>
      <c r="B239" s="28">
        <f>Duration0+A239</f>
        <v/>
      </c>
      <c r="C239" s="27">
        <f>INT(B239/12)</f>
        <v/>
      </c>
      <c r="D239" s="28">
        <f>AgeAtEntry+C239</f>
        <v/>
      </c>
      <c r="E239" s="29">
        <f>IF(PremiumType="SINGLE",IF(B239=0,PremiumPPInput,0),IF(B239&lt;12*PolicyTerm,PremiumPPInput,0))</f>
        <v/>
      </c>
      <c r="F239" s="30">
        <f>INDEX(MortRates,MATCH(MIN(D239,120),MortAges,0),MAX(MIN(C239,5),0)+1)</f>
        <v/>
      </c>
      <c r="G239" s="31">
        <f>1-(1-F239)^(1/12)</f>
        <v/>
      </c>
      <c r="H239" s="32">
        <f>MAX(LapseBase-LapseStep*C239,LapseFloor)</f>
        <v/>
      </c>
      <c r="I239" s="32">
        <f>IF(HasSurrCharge,INDEX(SurrRates,MIN(C239,SurrDurMax)+1,MATCH(SurrChargeID,SurrTypes,0)),0)</f>
        <v/>
      </c>
      <c r="J239" s="33">
        <f>N238-P238-O238</f>
        <v/>
      </c>
      <c r="K239" s="30">
        <f>IF(B239=12*PolicyTerm,J239,0)</f>
        <v/>
      </c>
      <c r="L239" s="33">
        <f>J239-K239</f>
        <v/>
      </c>
      <c r="M239" s="30">
        <f>IF(B239=0,PolicyCount,0)</f>
        <v/>
      </c>
      <c r="N239" s="33">
        <f>L239+M239</f>
        <v/>
      </c>
      <c r="O239" s="31">
        <f>N239*G239</f>
        <v/>
      </c>
      <c r="P239" s="33">
        <f>(N239-O239)*(1-(1-H239)^(1/12))</f>
        <v/>
      </c>
      <c r="Q239" s="34">
        <f>X238+Z238</f>
        <v/>
      </c>
      <c r="R239" s="29">
        <f>(1-LoadPremRate)*E239</f>
        <v/>
      </c>
      <c r="S239" s="34">
        <f>Q239+R239</f>
        <v/>
      </c>
      <c r="T239" s="29">
        <f>MaintFeeRateAnn/12*S239</f>
        <v/>
      </c>
      <c r="U239" s="29">
        <f>MAX(SumAssured-S239,0)</f>
        <v/>
      </c>
      <c r="V239" s="35">
        <f>CoiMultiple*G239</f>
        <v/>
      </c>
      <c r="W239" s="34">
        <f>V239*U239</f>
        <v/>
      </c>
      <c r="X239" s="34">
        <f>S239-T239-W239</f>
        <v/>
      </c>
      <c r="Y239" s="36">
        <f>EXP((Mu-0.5*Sigma^2)/12+Sigma*SQRT(1/12)*INDEX(NormRand,ScenID,A239+1))-1</f>
        <v/>
      </c>
      <c r="Z239" s="34">
        <f>Y239*X239</f>
        <v/>
      </c>
      <c r="AA239" s="34">
        <f>X239+0.5*Z239</f>
        <v/>
      </c>
      <c r="AB239" s="34">
        <f>Q239*J239</f>
        <v/>
      </c>
      <c r="AC239" s="34">
        <f>Q239*L239</f>
        <v/>
      </c>
      <c r="AD239" s="34">
        <f>S239*N239</f>
        <v/>
      </c>
      <c r="AE239" s="34">
        <f>E239*N239</f>
        <v/>
      </c>
      <c r="AF239" s="34">
        <f>R239*N239</f>
        <v/>
      </c>
      <c r="AG239" s="29">
        <f>MAX(SumAssured,AA239)</f>
        <v/>
      </c>
      <c r="AH239" s="34">
        <f>AG239*O239</f>
        <v/>
      </c>
      <c r="AI239" s="34">
        <f>AA239*O239</f>
        <v/>
      </c>
      <c r="AJ239" s="34">
        <f>AA239*P239</f>
        <v/>
      </c>
      <c r="AK239" s="34">
        <f>I239*AA239*P239</f>
        <v/>
      </c>
      <c r="AL239" s="34">
        <f>AJ239-AK239</f>
        <v/>
      </c>
      <c r="AM239" s="34">
        <f>Q239*K239</f>
        <v/>
      </c>
      <c r="AN239" s="34">
        <f>AH239+AL239+AM239</f>
        <v/>
      </c>
      <c r="AO239" s="34">
        <f>(AG239-AA239)*O239</f>
        <v/>
      </c>
      <c r="AP239" s="34">
        <f>W239*N239</f>
        <v/>
      </c>
      <c r="AQ239" s="34">
        <f>T239*N239</f>
        <v/>
      </c>
      <c r="AR239" s="34">
        <f>Z239*J240+0.5*Z239*(O239+P239)</f>
        <v/>
      </c>
      <c r="AS239" s="30">
        <f>(1+InflationRate)^(A239/12)</f>
        <v/>
      </c>
      <c r="AT239" s="29">
        <f>ExpenseAcq*M239+N239*ExpenseMaint/12*AS239</f>
        <v/>
      </c>
      <c r="AU239" s="29">
        <f>CommissionRate*AE239</f>
        <v/>
      </c>
      <c r="AV239" s="34">
        <f>AB240-AB239</f>
        <v/>
      </c>
      <c r="AW239" s="34">
        <f>AE239+AR239-AN239-AT239-AU239-AV239</f>
        <v/>
      </c>
      <c r="AX239" s="29">
        <f>LoadPremRate*E239*N239+AK239+AQ239-AU239-AT239</f>
        <v/>
      </c>
      <c r="AY239" s="34">
        <f>AP239-AO239</f>
        <v/>
      </c>
      <c r="AZ239" s="37">
        <f>(AW239-AX239-AY239)/MAX(1,ABS(AW239),ABS(AX239),ABS(AY239))</f>
        <v/>
      </c>
      <c r="BA239" s="37">
        <f>IF(OR(K239&gt;0,K240&gt;0),0,(AC240-(AC239+AF239-AQ239-AP239+AR239-AI239-AJ239-AM239))/MAX(1,ABS(AC239),ABS(AC240)))</f>
        <v/>
      </c>
      <c r="BB239" s="35">
        <f>(1+INDEX(DiscRateAnn,INT(A239/12)+1))^(1/12)-1</f>
        <v/>
      </c>
      <c r="BC239" s="31">
        <f>(1+BB239)^-A239</f>
        <v/>
      </c>
      <c r="BD239" s="34">
        <f>AW239*BC239</f>
        <v/>
      </c>
    </row>
    <row r="240">
      <c r="A240" s="27">
        <f>A239+1</f>
        <v/>
      </c>
      <c r="B240" s="28">
        <f>Duration0+A240</f>
        <v/>
      </c>
      <c r="C240" s="27">
        <f>INT(B240/12)</f>
        <v/>
      </c>
      <c r="D240" s="28">
        <f>AgeAtEntry+C240</f>
        <v/>
      </c>
      <c r="E240" s="29">
        <f>IF(PremiumType="SINGLE",IF(B240=0,PremiumPPInput,0),IF(B240&lt;12*PolicyTerm,PremiumPPInput,0))</f>
        <v/>
      </c>
      <c r="F240" s="30">
        <f>INDEX(MortRates,MATCH(MIN(D240,120),MortAges,0),MAX(MIN(C240,5),0)+1)</f>
        <v/>
      </c>
      <c r="G240" s="31">
        <f>1-(1-F240)^(1/12)</f>
        <v/>
      </c>
      <c r="H240" s="32">
        <f>MAX(LapseBase-LapseStep*C240,LapseFloor)</f>
        <v/>
      </c>
      <c r="I240" s="32">
        <f>IF(HasSurrCharge,INDEX(SurrRates,MIN(C240,SurrDurMax)+1,MATCH(SurrChargeID,SurrTypes,0)),0)</f>
        <v/>
      </c>
      <c r="J240" s="33">
        <f>N239-P239-O239</f>
        <v/>
      </c>
      <c r="K240" s="30">
        <f>IF(B240=12*PolicyTerm,J240,0)</f>
        <v/>
      </c>
      <c r="L240" s="33">
        <f>J240-K240</f>
        <v/>
      </c>
      <c r="M240" s="30">
        <f>IF(B240=0,PolicyCount,0)</f>
        <v/>
      </c>
      <c r="N240" s="33">
        <f>L240+M240</f>
        <v/>
      </c>
      <c r="O240" s="31">
        <f>N240*G240</f>
        <v/>
      </c>
      <c r="P240" s="33">
        <f>(N240-O240)*(1-(1-H240)^(1/12))</f>
        <v/>
      </c>
      <c r="Q240" s="34">
        <f>X239+Z239</f>
        <v/>
      </c>
      <c r="R240" s="29">
        <f>(1-LoadPremRate)*E240</f>
        <v/>
      </c>
      <c r="S240" s="34">
        <f>Q240+R240</f>
        <v/>
      </c>
      <c r="T240" s="29">
        <f>MaintFeeRateAnn/12*S240</f>
        <v/>
      </c>
      <c r="U240" s="29">
        <f>MAX(SumAssured-S240,0)</f>
        <v/>
      </c>
      <c r="V240" s="35">
        <f>CoiMultiple*G240</f>
        <v/>
      </c>
      <c r="W240" s="34">
        <f>V240*U240</f>
        <v/>
      </c>
      <c r="X240" s="34">
        <f>S240-T240-W240</f>
        <v/>
      </c>
      <c r="Y240" s="36">
        <f>EXP((Mu-0.5*Sigma^2)/12+Sigma*SQRT(1/12)*INDEX(NormRand,ScenID,A240+1))-1</f>
        <v/>
      </c>
      <c r="Z240" s="34">
        <f>Y240*X240</f>
        <v/>
      </c>
      <c r="AA240" s="34">
        <f>X240+0.5*Z240</f>
        <v/>
      </c>
      <c r="AB240" s="34">
        <f>Q240*J240</f>
        <v/>
      </c>
      <c r="AC240" s="34">
        <f>Q240*L240</f>
        <v/>
      </c>
      <c r="AD240" s="34">
        <f>S240*N240</f>
        <v/>
      </c>
      <c r="AE240" s="34">
        <f>E240*N240</f>
        <v/>
      </c>
      <c r="AF240" s="34">
        <f>R240*N240</f>
        <v/>
      </c>
      <c r="AG240" s="29">
        <f>MAX(SumAssured,AA240)</f>
        <v/>
      </c>
      <c r="AH240" s="34">
        <f>AG240*O240</f>
        <v/>
      </c>
      <c r="AI240" s="34">
        <f>AA240*O240</f>
        <v/>
      </c>
      <c r="AJ240" s="34">
        <f>AA240*P240</f>
        <v/>
      </c>
      <c r="AK240" s="34">
        <f>I240*AA240*P240</f>
        <v/>
      </c>
      <c r="AL240" s="34">
        <f>AJ240-AK240</f>
        <v/>
      </c>
      <c r="AM240" s="34">
        <f>Q240*K240</f>
        <v/>
      </c>
      <c r="AN240" s="34">
        <f>AH240+AL240+AM240</f>
        <v/>
      </c>
      <c r="AO240" s="34">
        <f>(AG240-AA240)*O240</f>
        <v/>
      </c>
      <c r="AP240" s="34">
        <f>W240*N240</f>
        <v/>
      </c>
      <c r="AQ240" s="34">
        <f>T240*N240</f>
        <v/>
      </c>
      <c r="AR240" s="34">
        <f>Z240*J241+0.5*Z240*(O240+P240)</f>
        <v/>
      </c>
      <c r="AS240" s="30">
        <f>(1+InflationRate)^(A240/12)</f>
        <v/>
      </c>
      <c r="AT240" s="29">
        <f>ExpenseAcq*M240+N240*ExpenseMaint/12*AS240</f>
        <v/>
      </c>
      <c r="AU240" s="29">
        <f>CommissionRate*AE240</f>
        <v/>
      </c>
      <c r="AV240" s="34">
        <f>AB241-AB240</f>
        <v/>
      </c>
      <c r="AW240" s="34">
        <f>AE240+AR240-AN240-AT240-AU240-AV240</f>
        <v/>
      </c>
      <c r="AX240" s="29">
        <f>LoadPremRate*E240*N240+AK240+AQ240-AU240-AT240</f>
        <v/>
      </c>
      <c r="AY240" s="34">
        <f>AP240-AO240</f>
        <v/>
      </c>
      <c r="AZ240" s="37">
        <f>(AW240-AX240-AY240)/MAX(1,ABS(AW240),ABS(AX240),ABS(AY240))</f>
        <v/>
      </c>
      <c r="BA240" s="37">
        <f>IF(OR(K240&gt;0,K241&gt;0),0,(AC241-(AC240+AF240-AQ240-AP240+AR240-AI240-AJ240-AM240))/MAX(1,ABS(AC240),ABS(AC241)))</f>
        <v/>
      </c>
      <c r="BB240" s="35">
        <f>(1+INDEX(DiscRateAnn,INT(A240/12)+1))^(1/12)-1</f>
        <v/>
      </c>
      <c r="BC240" s="31">
        <f>(1+BB240)^-A240</f>
        <v/>
      </c>
      <c r="BD240" s="34">
        <f>AW240*BC240</f>
        <v/>
      </c>
    </row>
    <row r="241">
      <c r="A241" s="27">
        <f>A240+1</f>
        <v/>
      </c>
      <c r="B241" s="28">
        <f>Duration0+A241</f>
        <v/>
      </c>
      <c r="C241" s="27">
        <f>INT(B241/12)</f>
        <v/>
      </c>
      <c r="D241" s="28">
        <f>AgeAtEntry+C241</f>
        <v/>
      </c>
      <c r="E241" s="29">
        <f>IF(PremiumType="SINGLE",IF(B241=0,PremiumPPInput,0),IF(B241&lt;12*PolicyTerm,PremiumPPInput,0))</f>
        <v/>
      </c>
      <c r="F241" s="30">
        <f>INDEX(MortRates,MATCH(MIN(D241,120),MortAges,0),MAX(MIN(C241,5),0)+1)</f>
        <v/>
      </c>
      <c r="G241" s="31">
        <f>1-(1-F241)^(1/12)</f>
        <v/>
      </c>
      <c r="H241" s="32">
        <f>MAX(LapseBase-LapseStep*C241,LapseFloor)</f>
        <v/>
      </c>
      <c r="I241" s="32">
        <f>IF(HasSurrCharge,INDEX(SurrRates,MIN(C241,SurrDurMax)+1,MATCH(SurrChargeID,SurrTypes,0)),0)</f>
        <v/>
      </c>
      <c r="J241" s="33">
        <f>N240-P240-O240</f>
        <v/>
      </c>
      <c r="K241" s="30">
        <f>IF(B241=12*PolicyTerm,J241,0)</f>
        <v/>
      </c>
      <c r="L241" s="33">
        <f>J241-K241</f>
        <v/>
      </c>
      <c r="M241" s="30">
        <f>IF(B241=0,PolicyCount,0)</f>
        <v/>
      </c>
      <c r="N241" s="33">
        <f>L241+M241</f>
        <v/>
      </c>
      <c r="O241" s="31">
        <f>N241*G241</f>
        <v/>
      </c>
      <c r="P241" s="33">
        <f>(N241-O241)*(1-(1-H241)^(1/12))</f>
        <v/>
      </c>
      <c r="Q241" s="34">
        <f>X240+Z240</f>
        <v/>
      </c>
      <c r="R241" s="29">
        <f>(1-LoadPremRate)*E241</f>
        <v/>
      </c>
      <c r="S241" s="34">
        <f>Q241+R241</f>
        <v/>
      </c>
      <c r="T241" s="29">
        <f>MaintFeeRateAnn/12*S241</f>
        <v/>
      </c>
      <c r="U241" s="29">
        <f>MAX(SumAssured-S241,0)</f>
        <v/>
      </c>
      <c r="V241" s="35">
        <f>CoiMultiple*G241</f>
        <v/>
      </c>
      <c r="W241" s="34">
        <f>V241*U241</f>
        <v/>
      </c>
      <c r="X241" s="34">
        <f>S241-T241-W241</f>
        <v/>
      </c>
      <c r="Y241" s="36">
        <f>EXP((Mu-0.5*Sigma^2)/12+Sigma*SQRT(1/12)*INDEX(NormRand,ScenID,A241+1))-1</f>
        <v/>
      </c>
      <c r="Z241" s="34">
        <f>Y241*X241</f>
        <v/>
      </c>
      <c r="AA241" s="34">
        <f>X241+0.5*Z241</f>
        <v/>
      </c>
      <c r="AB241" s="34">
        <f>Q241*J241</f>
        <v/>
      </c>
      <c r="AC241" s="34">
        <f>Q241*L241</f>
        <v/>
      </c>
      <c r="AD241" s="34">
        <f>S241*N241</f>
        <v/>
      </c>
      <c r="AE241" s="34">
        <f>E241*N241</f>
        <v/>
      </c>
      <c r="AF241" s="34">
        <f>R241*N241</f>
        <v/>
      </c>
      <c r="AG241" s="29">
        <f>MAX(SumAssured,AA241)</f>
        <v/>
      </c>
      <c r="AH241" s="34">
        <f>AG241*O241</f>
        <v/>
      </c>
      <c r="AI241" s="34">
        <f>AA241*O241</f>
        <v/>
      </c>
      <c r="AJ241" s="34">
        <f>AA241*P241</f>
        <v/>
      </c>
      <c r="AK241" s="34">
        <f>I241*AA241*P241</f>
        <v/>
      </c>
      <c r="AL241" s="34">
        <f>AJ241-AK241</f>
        <v/>
      </c>
      <c r="AM241" s="34">
        <f>Q241*K241</f>
        <v/>
      </c>
      <c r="AN241" s="34">
        <f>AH241+AL241+AM241</f>
        <v/>
      </c>
      <c r="AO241" s="34">
        <f>(AG241-AA241)*O241</f>
        <v/>
      </c>
      <c r="AP241" s="34">
        <f>W241*N241</f>
        <v/>
      </c>
      <c r="AQ241" s="34">
        <f>T241*N241</f>
        <v/>
      </c>
      <c r="AR241" s="34">
        <f>Z241*J242+0.5*Z241*(O241+P241)</f>
        <v/>
      </c>
      <c r="AS241" s="30">
        <f>(1+InflationRate)^(A241/12)</f>
        <v/>
      </c>
      <c r="AT241" s="29">
        <f>ExpenseAcq*M241+N241*ExpenseMaint/12*AS241</f>
        <v/>
      </c>
      <c r="AU241" s="29">
        <f>CommissionRate*AE241</f>
        <v/>
      </c>
      <c r="AV241" s="34">
        <f>AB242-AB241</f>
        <v/>
      </c>
      <c r="AW241" s="34">
        <f>AE241+AR241-AN241-AT241-AU241-AV241</f>
        <v/>
      </c>
      <c r="AX241" s="29">
        <f>LoadPremRate*E241*N241+AK241+AQ241-AU241-AT241</f>
        <v/>
      </c>
      <c r="AY241" s="34">
        <f>AP241-AO241</f>
        <v/>
      </c>
      <c r="AZ241" s="37">
        <f>(AW241-AX241-AY241)/MAX(1,ABS(AW241),ABS(AX241),ABS(AY241))</f>
        <v/>
      </c>
      <c r="BA241" s="37">
        <f>IF(OR(K241&gt;0,K242&gt;0),0,(AC242-(AC241+AF241-AQ241-AP241+AR241-AI241-AJ241-AM241))/MAX(1,ABS(AC241),ABS(AC242)))</f>
        <v/>
      </c>
      <c r="BB241" s="35">
        <f>(1+INDEX(DiscRateAnn,INT(A241/12)+1))^(1/12)-1</f>
        <v/>
      </c>
      <c r="BC241" s="31">
        <f>(1+BB241)^-A241</f>
        <v/>
      </c>
      <c r="BD241" s="34">
        <f>AW241*BC241</f>
        <v/>
      </c>
    </row>
    <row r="242">
      <c r="A242" s="27">
        <f>A241+1</f>
        <v/>
      </c>
      <c r="B242" s="28">
        <f>Duration0+A242</f>
        <v/>
      </c>
      <c r="C242" s="27">
        <f>INT(B242/12)</f>
        <v/>
      </c>
      <c r="D242" s="28">
        <f>AgeAtEntry+C242</f>
        <v/>
      </c>
      <c r="E242" s="29">
        <f>IF(PremiumType="SINGLE",IF(B242=0,PremiumPPInput,0),IF(B242&lt;12*PolicyTerm,PremiumPPInput,0))</f>
        <v/>
      </c>
      <c r="F242" s="30">
        <f>INDEX(MortRates,MATCH(MIN(D242,120),MortAges,0),MAX(MIN(C242,5),0)+1)</f>
        <v/>
      </c>
      <c r="G242" s="31">
        <f>1-(1-F242)^(1/12)</f>
        <v/>
      </c>
      <c r="H242" s="32">
        <f>MAX(LapseBase-LapseStep*C242,LapseFloor)</f>
        <v/>
      </c>
      <c r="I242" s="32">
        <f>IF(HasSurrCharge,INDEX(SurrRates,MIN(C242,SurrDurMax)+1,MATCH(SurrChargeID,SurrTypes,0)),0)</f>
        <v/>
      </c>
      <c r="J242" s="33">
        <f>N241-P241-O241</f>
        <v/>
      </c>
      <c r="K242" s="30">
        <f>IF(B242=12*PolicyTerm,J242,0)</f>
        <v/>
      </c>
      <c r="L242" s="33">
        <f>J242-K242</f>
        <v/>
      </c>
      <c r="M242" s="30">
        <f>IF(B242=0,PolicyCount,0)</f>
        <v/>
      </c>
      <c r="N242" s="33">
        <f>L242+M242</f>
        <v/>
      </c>
      <c r="O242" s="31">
        <f>N242*G242</f>
        <v/>
      </c>
      <c r="P242" s="33">
        <f>(N242-O242)*(1-(1-H242)^(1/12))</f>
        <v/>
      </c>
      <c r="Q242" s="34">
        <f>X241+Z241</f>
        <v/>
      </c>
      <c r="R242" s="29">
        <f>(1-LoadPremRate)*E242</f>
        <v/>
      </c>
      <c r="S242" s="34">
        <f>Q242+R242</f>
        <v/>
      </c>
      <c r="T242" s="29">
        <f>MaintFeeRateAnn/12*S242</f>
        <v/>
      </c>
      <c r="U242" s="29">
        <f>MAX(SumAssured-S242,0)</f>
        <v/>
      </c>
      <c r="V242" s="35">
        <f>CoiMultiple*G242</f>
        <v/>
      </c>
      <c r="W242" s="34">
        <f>V242*U242</f>
        <v/>
      </c>
      <c r="X242" s="34">
        <f>S242-T242-W242</f>
        <v/>
      </c>
      <c r="Y242" s="36">
        <f>EXP((Mu-0.5*Sigma^2)/12+Sigma*SQRT(1/12)*INDEX(NormRand,ScenID,A242+1))-1</f>
        <v/>
      </c>
      <c r="Z242" s="34">
        <f>Y242*X242</f>
        <v/>
      </c>
      <c r="AA242" s="34">
        <f>X242+0.5*Z242</f>
        <v/>
      </c>
      <c r="AB242" s="34">
        <f>Q242*J242</f>
        <v/>
      </c>
      <c r="AC242" s="34">
        <f>Q242*L242</f>
        <v/>
      </c>
      <c r="AD242" s="34">
        <f>S242*N242</f>
        <v/>
      </c>
      <c r="AE242" s="34">
        <f>E242*N242</f>
        <v/>
      </c>
      <c r="AF242" s="34">
        <f>R242*N242</f>
        <v/>
      </c>
      <c r="AG242" s="29">
        <f>MAX(SumAssured,AA242)</f>
        <v/>
      </c>
      <c r="AH242" s="34">
        <f>AG242*O242</f>
        <v/>
      </c>
      <c r="AI242" s="34">
        <f>AA242*O242</f>
        <v/>
      </c>
      <c r="AJ242" s="34">
        <f>AA242*P242</f>
        <v/>
      </c>
      <c r="AK242" s="34">
        <f>I242*AA242*P242</f>
        <v/>
      </c>
      <c r="AL242" s="34">
        <f>AJ242-AK242</f>
        <v/>
      </c>
      <c r="AM242" s="34">
        <f>Q242*K242</f>
        <v/>
      </c>
      <c r="AN242" s="34">
        <f>AH242+AL242+AM242</f>
        <v/>
      </c>
      <c r="AO242" s="34">
        <f>(AG242-AA242)*O242</f>
        <v/>
      </c>
      <c r="AP242" s="34">
        <f>W242*N242</f>
        <v/>
      </c>
      <c r="AQ242" s="34">
        <f>T242*N242</f>
        <v/>
      </c>
      <c r="AR242" s="34">
        <f>Z242*J243+0.5*Z242*(O242+P242)</f>
        <v/>
      </c>
      <c r="AS242" s="30">
        <f>(1+InflationRate)^(A242/12)</f>
        <v/>
      </c>
      <c r="AT242" s="29">
        <f>ExpenseAcq*M242+N242*ExpenseMaint/12*AS242</f>
        <v/>
      </c>
      <c r="AU242" s="29">
        <f>CommissionRate*AE242</f>
        <v/>
      </c>
      <c r="AV242" s="34">
        <f>AB243-AB242</f>
        <v/>
      </c>
      <c r="AW242" s="34">
        <f>AE242+AR242-AN242-AT242-AU242-AV242</f>
        <v/>
      </c>
      <c r="AX242" s="29">
        <f>LoadPremRate*E242*N242+AK242+AQ242-AU242-AT242</f>
        <v/>
      </c>
      <c r="AY242" s="34">
        <f>AP242-AO242</f>
        <v/>
      </c>
      <c r="AZ242" s="37">
        <f>(AW242-AX242-AY242)/MAX(1,ABS(AW242),ABS(AX242),ABS(AY242))</f>
        <v/>
      </c>
      <c r="BA242" s="37">
        <f>IF(OR(K242&gt;0,K243&gt;0),0,(AC243-(AC242+AF242-AQ242-AP242+AR242-AI242-AJ242-AM242))/MAX(1,ABS(AC242),ABS(AC243)))</f>
        <v/>
      </c>
      <c r="BB242" s="35">
        <f>(1+INDEX(DiscRateAnn,INT(A242/12)+1))^(1/12)-1</f>
        <v/>
      </c>
      <c r="BC242" s="31">
        <f>(1+BB242)^-A242</f>
        <v/>
      </c>
      <c r="BD242" s="34">
        <f>AW242*BC242</f>
        <v/>
      </c>
    </row>
    <row r="243">
      <c r="A243" s="27">
        <f>A242+1</f>
        <v/>
      </c>
      <c r="B243" s="28">
        <f>Duration0+A243</f>
        <v/>
      </c>
      <c r="C243" s="27">
        <f>INT(B243/12)</f>
        <v/>
      </c>
      <c r="D243" s="28">
        <f>AgeAtEntry+C243</f>
        <v/>
      </c>
      <c r="E243" s="29">
        <f>IF(PremiumType="SINGLE",IF(B243=0,PremiumPPInput,0),IF(B243&lt;12*PolicyTerm,PremiumPPInput,0))</f>
        <v/>
      </c>
      <c r="F243" s="30">
        <f>INDEX(MortRates,MATCH(MIN(D243,120),MortAges,0),MAX(MIN(C243,5),0)+1)</f>
        <v/>
      </c>
      <c r="G243" s="31">
        <f>1-(1-F243)^(1/12)</f>
        <v/>
      </c>
      <c r="H243" s="32">
        <f>MAX(LapseBase-LapseStep*C243,LapseFloor)</f>
        <v/>
      </c>
      <c r="I243" s="32">
        <f>IF(HasSurrCharge,INDEX(SurrRates,MIN(C243,SurrDurMax)+1,MATCH(SurrChargeID,SurrTypes,0)),0)</f>
        <v/>
      </c>
      <c r="J243" s="33">
        <f>N242-P242-O242</f>
        <v/>
      </c>
      <c r="K243" s="30">
        <f>IF(B243=12*PolicyTerm,J243,0)</f>
        <v/>
      </c>
      <c r="L243" s="33">
        <f>J243-K243</f>
        <v/>
      </c>
      <c r="M243" s="30">
        <f>IF(B243=0,PolicyCount,0)</f>
        <v/>
      </c>
      <c r="N243" s="33">
        <f>L243+M243</f>
        <v/>
      </c>
      <c r="O243" s="31">
        <f>N243*G243</f>
        <v/>
      </c>
      <c r="P243" s="33">
        <f>(N243-O243)*(1-(1-H243)^(1/12))</f>
        <v/>
      </c>
      <c r="Q243" s="34">
        <f>X242+Z242</f>
        <v/>
      </c>
      <c r="R243" s="29">
        <f>(1-LoadPremRate)*E243</f>
        <v/>
      </c>
      <c r="S243" s="34">
        <f>Q243+R243</f>
        <v/>
      </c>
      <c r="T243" s="29">
        <f>MaintFeeRateAnn/12*S243</f>
        <v/>
      </c>
      <c r="U243" s="29">
        <f>MAX(SumAssured-S243,0)</f>
        <v/>
      </c>
      <c r="V243" s="35">
        <f>CoiMultiple*G243</f>
        <v/>
      </c>
      <c r="W243" s="34">
        <f>V243*U243</f>
        <v/>
      </c>
      <c r="X243" s="34">
        <f>S243-T243-W243</f>
        <v/>
      </c>
      <c r="Y243" s="36">
        <f>EXP((Mu-0.5*Sigma^2)/12+Sigma*SQRT(1/12)*INDEX(NormRand,ScenID,A243+1))-1</f>
        <v/>
      </c>
      <c r="Z243" s="34">
        <f>Y243*X243</f>
        <v/>
      </c>
      <c r="AA243" s="34">
        <f>X243+0.5*Z243</f>
        <v/>
      </c>
      <c r="AB243" s="34">
        <f>Q243*J243</f>
        <v/>
      </c>
      <c r="AC243" s="34">
        <f>Q243*L243</f>
        <v/>
      </c>
      <c r="AD243" s="34">
        <f>S243*N243</f>
        <v/>
      </c>
      <c r="AE243" s="34">
        <f>E243*N243</f>
        <v/>
      </c>
      <c r="AF243" s="34">
        <f>R243*N243</f>
        <v/>
      </c>
      <c r="AG243" s="29">
        <f>MAX(SumAssured,AA243)</f>
        <v/>
      </c>
      <c r="AH243" s="34">
        <f>AG243*O243</f>
        <v/>
      </c>
      <c r="AI243" s="34">
        <f>AA243*O243</f>
        <v/>
      </c>
      <c r="AJ243" s="34">
        <f>AA243*P243</f>
        <v/>
      </c>
      <c r="AK243" s="34">
        <f>I243*AA243*P243</f>
        <v/>
      </c>
      <c r="AL243" s="34">
        <f>AJ243-AK243</f>
        <v/>
      </c>
      <c r="AM243" s="34">
        <f>Q243*K243</f>
        <v/>
      </c>
      <c r="AN243" s="34">
        <f>AH243+AL243+AM243</f>
        <v/>
      </c>
      <c r="AO243" s="34">
        <f>(AG243-AA243)*O243</f>
        <v/>
      </c>
      <c r="AP243" s="34">
        <f>W243*N243</f>
        <v/>
      </c>
      <c r="AQ243" s="34">
        <f>T243*N243</f>
        <v/>
      </c>
      <c r="AR243" s="34">
        <f>Z243*J244+0.5*Z243*(O243+P243)</f>
        <v/>
      </c>
      <c r="AS243" s="30">
        <f>(1+InflationRate)^(A243/12)</f>
        <v/>
      </c>
      <c r="AT243" s="29">
        <f>ExpenseAcq*M243+N243*ExpenseMaint/12*AS243</f>
        <v/>
      </c>
      <c r="AU243" s="29">
        <f>CommissionRate*AE243</f>
        <v/>
      </c>
      <c r="AV243" s="34">
        <f>AB244-AB243</f>
        <v/>
      </c>
      <c r="AW243" s="34">
        <f>AE243+AR243-AN243-AT243-AU243-AV243</f>
        <v/>
      </c>
      <c r="AX243" s="29">
        <f>LoadPremRate*E243*N243+AK243+AQ243-AU243-AT243</f>
        <v/>
      </c>
      <c r="AY243" s="34">
        <f>AP243-AO243</f>
        <v/>
      </c>
      <c r="AZ243" s="37">
        <f>(AW243-AX243-AY243)/MAX(1,ABS(AW243),ABS(AX243),ABS(AY243))</f>
        <v/>
      </c>
      <c r="BA243" s="37">
        <f>IF(OR(K243&gt;0,K244&gt;0),0,(AC244-(AC243+AF243-AQ243-AP243+AR243-AI243-AJ243-AM243))/MAX(1,ABS(AC243),ABS(AC244)))</f>
        <v/>
      </c>
      <c r="BB243" s="35">
        <f>(1+INDEX(DiscRateAnn,INT(A243/12)+1))^(1/12)-1</f>
        <v/>
      </c>
      <c r="BC243" s="31">
        <f>(1+BB243)^-A243</f>
        <v/>
      </c>
      <c r="BD243" s="34">
        <f>AW243*BC243</f>
        <v/>
      </c>
    </row>
    <row r="244">
      <c r="A244" s="27">
        <f>A243+1</f>
        <v/>
      </c>
      <c r="B244" s="28">
        <f>Duration0+A244</f>
        <v/>
      </c>
      <c r="C244" s="27">
        <f>INT(B244/12)</f>
        <v/>
      </c>
      <c r="D244" s="28">
        <f>AgeAtEntry+C244</f>
        <v/>
      </c>
      <c r="E244" s="29">
        <f>IF(PremiumType="SINGLE",IF(B244=0,PremiumPPInput,0),IF(B244&lt;12*PolicyTerm,PremiumPPInput,0))</f>
        <v/>
      </c>
      <c r="F244" s="30">
        <f>INDEX(MortRates,MATCH(MIN(D244,120),MortAges,0),MAX(MIN(C244,5),0)+1)</f>
        <v/>
      </c>
      <c r="G244" s="31">
        <f>1-(1-F244)^(1/12)</f>
        <v/>
      </c>
      <c r="H244" s="32">
        <f>MAX(LapseBase-LapseStep*C244,LapseFloor)</f>
        <v/>
      </c>
      <c r="I244" s="32">
        <f>IF(HasSurrCharge,INDEX(SurrRates,MIN(C244,SurrDurMax)+1,MATCH(SurrChargeID,SurrTypes,0)),0)</f>
        <v/>
      </c>
      <c r="J244" s="33">
        <f>N243-P243-O243</f>
        <v/>
      </c>
      <c r="K244" s="30">
        <f>IF(B244=12*PolicyTerm,J244,0)</f>
        <v/>
      </c>
      <c r="L244" s="33">
        <f>J244-K244</f>
        <v/>
      </c>
      <c r="M244" s="30">
        <f>IF(B244=0,PolicyCount,0)</f>
        <v/>
      </c>
      <c r="N244" s="33">
        <f>L244+M244</f>
        <v/>
      </c>
      <c r="O244" s="31">
        <f>N244*G244</f>
        <v/>
      </c>
      <c r="P244" s="33">
        <f>(N244-O244)*(1-(1-H244)^(1/12))</f>
        <v/>
      </c>
      <c r="Q244" s="34">
        <f>X243+Z243</f>
        <v/>
      </c>
      <c r="R244" s="29">
        <f>(1-LoadPremRate)*E244</f>
        <v/>
      </c>
      <c r="S244" s="34">
        <f>Q244+R244</f>
        <v/>
      </c>
      <c r="T244" s="29">
        <f>MaintFeeRateAnn/12*S244</f>
        <v/>
      </c>
      <c r="U244" s="29">
        <f>MAX(SumAssured-S244,0)</f>
        <v/>
      </c>
      <c r="V244" s="35">
        <f>CoiMultiple*G244</f>
        <v/>
      </c>
      <c r="W244" s="34">
        <f>V244*U244</f>
        <v/>
      </c>
      <c r="X244" s="34">
        <f>S244-T244-W244</f>
        <v/>
      </c>
      <c r="Y244" s="36">
        <f>EXP((Mu-0.5*Sigma^2)/12+Sigma*SQRT(1/12)*INDEX(NormRand,ScenID,A244+1))-1</f>
        <v/>
      </c>
      <c r="Z244" s="34">
        <f>Y244*X244</f>
        <v/>
      </c>
      <c r="AA244" s="34">
        <f>X244+0.5*Z244</f>
        <v/>
      </c>
      <c r="AB244" s="34">
        <f>Q244*J244</f>
        <v/>
      </c>
      <c r="AC244" s="34">
        <f>Q244*L244</f>
        <v/>
      </c>
      <c r="AD244" s="34">
        <f>S244*N244</f>
        <v/>
      </c>
      <c r="AE244" s="34">
        <f>E244*N244</f>
        <v/>
      </c>
      <c r="AF244" s="34">
        <f>R244*N244</f>
        <v/>
      </c>
      <c r="AG244" s="29">
        <f>MAX(SumAssured,AA244)</f>
        <v/>
      </c>
      <c r="AH244" s="34">
        <f>AG244*O244</f>
        <v/>
      </c>
      <c r="AI244" s="34">
        <f>AA244*O244</f>
        <v/>
      </c>
      <c r="AJ244" s="34">
        <f>AA244*P244</f>
        <v/>
      </c>
      <c r="AK244" s="34">
        <f>I244*AA244*P244</f>
        <v/>
      </c>
      <c r="AL244" s="34">
        <f>AJ244-AK244</f>
        <v/>
      </c>
      <c r="AM244" s="34">
        <f>Q244*K244</f>
        <v/>
      </c>
      <c r="AN244" s="34">
        <f>AH244+AL244+AM244</f>
        <v/>
      </c>
      <c r="AO244" s="34">
        <f>(AG244-AA244)*O244</f>
        <v/>
      </c>
      <c r="AP244" s="34">
        <f>W244*N244</f>
        <v/>
      </c>
      <c r="AQ244" s="34">
        <f>T244*N244</f>
        <v/>
      </c>
      <c r="AR244" s="34">
        <f>Z244*J245+0.5*Z244*(O244+P244)</f>
        <v/>
      </c>
      <c r="AS244" s="30">
        <f>(1+InflationRate)^(A244/12)</f>
        <v/>
      </c>
      <c r="AT244" s="29">
        <f>ExpenseAcq*M244+N244*ExpenseMaint/12*AS244</f>
        <v/>
      </c>
      <c r="AU244" s="29">
        <f>CommissionRate*AE244</f>
        <v/>
      </c>
      <c r="AV244" s="34">
        <f>AB245-AB244</f>
        <v/>
      </c>
      <c r="AW244" s="34">
        <f>AE244+AR244-AN244-AT244-AU244-AV244</f>
        <v/>
      </c>
      <c r="AX244" s="29">
        <f>LoadPremRate*E244*N244+AK244+AQ244-AU244-AT244</f>
        <v/>
      </c>
      <c r="AY244" s="34">
        <f>AP244-AO244</f>
        <v/>
      </c>
      <c r="AZ244" s="37">
        <f>(AW244-AX244-AY244)/MAX(1,ABS(AW244),ABS(AX244),ABS(AY244))</f>
        <v/>
      </c>
      <c r="BA244" s="37">
        <f>IF(OR(K244&gt;0,K245&gt;0),0,(AC245-(AC244+AF244-AQ244-AP244+AR244-AI244-AJ244-AM244))/MAX(1,ABS(AC244),ABS(AC245)))</f>
        <v/>
      </c>
      <c r="BB244" s="35">
        <f>(1+INDEX(DiscRateAnn,INT(A244/12)+1))^(1/12)-1</f>
        <v/>
      </c>
      <c r="BC244" s="31">
        <f>(1+BB244)^-A244</f>
        <v/>
      </c>
      <c r="BD244" s="34">
        <f>AW244*BC244</f>
        <v/>
      </c>
    </row>
    <row r="245">
      <c r="A245" s="27">
        <f>A244+1</f>
        <v/>
      </c>
      <c r="B245" s="28">
        <f>Duration0+A245</f>
        <v/>
      </c>
      <c r="C245" s="27">
        <f>INT(B245/12)</f>
        <v/>
      </c>
      <c r="D245" s="28">
        <f>AgeAtEntry+C245</f>
        <v/>
      </c>
      <c r="E245" s="29">
        <f>IF(PremiumType="SINGLE",IF(B245=0,PremiumPPInput,0),IF(B245&lt;12*PolicyTerm,PremiumPPInput,0))</f>
        <v/>
      </c>
      <c r="F245" s="30">
        <f>INDEX(MortRates,MATCH(MIN(D245,120),MortAges,0),MAX(MIN(C245,5),0)+1)</f>
        <v/>
      </c>
      <c r="G245" s="31">
        <f>1-(1-F245)^(1/12)</f>
        <v/>
      </c>
      <c r="H245" s="32">
        <f>MAX(LapseBase-LapseStep*C245,LapseFloor)</f>
        <v/>
      </c>
      <c r="I245" s="32">
        <f>IF(HasSurrCharge,INDEX(SurrRates,MIN(C245,SurrDurMax)+1,MATCH(SurrChargeID,SurrTypes,0)),0)</f>
        <v/>
      </c>
      <c r="J245" s="33">
        <f>N244-P244-O244</f>
        <v/>
      </c>
      <c r="K245" s="30">
        <f>IF(B245=12*PolicyTerm,J245,0)</f>
        <v/>
      </c>
      <c r="L245" s="33">
        <f>J245-K245</f>
        <v/>
      </c>
      <c r="M245" s="30">
        <f>IF(B245=0,PolicyCount,0)</f>
        <v/>
      </c>
      <c r="N245" s="33">
        <f>L245+M245</f>
        <v/>
      </c>
      <c r="O245" s="31">
        <f>N245*G245</f>
        <v/>
      </c>
      <c r="P245" s="33">
        <f>(N245-O245)*(1-(1-H245)^(1/12))</f>
        <v/>
      </c>
      <c r="Q245" s="34">
        <f>X244+Z244</f>
        <v/>
      </c>
      <c r="R245" s="29">
        <f>(1-LoadPremRate)*E245</f>
        <v/>
      </c>
      <c r="S245" s="34">
        <f>Q245+R245</f>
        <v/>
      </c>
      <c r="T245" s="29">
        <f>MaintFeeRateAnn/12*S245</f>
        <v/>
      </c>
      <c r="U245" s="29">
        <f>MAX(SumAssured-S245,0)</f>
        <v/>
      </c>
      <c r="V245" s="35">
        <f>CoiMultiple*G245</f>
        <v/>
      </c>
      <c r="W245" s="34">
        <f>V245*U245</f>
        <v/>
      </c>
      <c r="X245" s="34">
        <f>S245-T245-W245</f>
        <v/>
      </c>
      <c r="Y245" s="36">
        <f>EXP((Mu-0.5*Sigma^2)/12+Sigma*SQRT(1/12)*INDEX(NormRand,ScenID,A245+1))-1</f>
        <v/>
      </c>
      <c r="Z245" s="34">
        <f>Y245*X245</f>
        <v/>
      </c>
      <c r="AA245" s="34">
        <f>X245+0.5*Z245</f>
        <v/>
      </c>
      <c r="AB245" s="34">
        <f>Q245*J245</f>
        <v/>
      </c>
      <c r="AC245" s="34">
        <f>Q245*L245</f>
        <v/>
      </c>
      <c r="AD245" s="34">
        <f>S245*N245</f>
        <v/>
      </c>
      <c r="AE245" s="34">
        <f>E245*N245</f>
        <v/>
      </c>
      <c r="AF245" s="34">
        <f>R245*N245</f>
        <v/>
      </c>
      <c r="AG245" s="29">
        <f>MAX(SumAssured,AA245)</f>
        <v/>
      </c>
      <c r="AH245" s="34">
        <f>AG245*O245</f>
        <v/>
      </c>
      <c r="AI245" s="34">
        <f>AA245*O245</f>
        <v/>
      </c>
      <c r="AJ245" s="34">
        <f>AA245*P245</f>
        <v/>
      </c>
      <c r="AK245" s="34">
        <f>I245*AA245*P245</f>
        <v/>
      </c>
      <c r="AL245" s="34">
        <f>AJ245-AK245</f>
        <v/>
      </c>
      <c r="AM245" s="34">
        <f>Q245*K245</f>
        <v/>
      </c>
      <c r="AN245" s="34">
        <f>AH245+AL245+AM245</f>
        <v/>
      </c>
      <c r="AO245" s="34">
        <f>(AG245-AA245)*O245</f>
        <v/>
      </c>
      <c r="AP245" s="34">
        <f>W245*N245</f>
        <v/>
      </c>
      <c r="AQ245" s="34">
        <f>T245*N245</f>
        <v/>
      </c>
      <c r="AR245" s="34">
        <f>Z245*J246+0.5*Z245*(O245+P245)</f>
        <v/>
      </c>
      <c r="AS245" s="30">
        <f>(1+InflationRate)^(A245/12)</f>
        <v/>
      </c>
      <c r="AT245" s="29">
        <f>ExpenseAcq*M245+N245*ExpenseMaint/12*AS245</f>
        <v/>
      </c>
      <c r="AU245" s="29">
        <f>CommissionRate*AE245</f>
        <v/>
      </c>
      <c r="AV245" s="34">
        <f>AB246-AB245</f>
        <v/>
      </c>
      <c r="AW245" s="34">
        <f>AE245+AR245-AN245-AT245-AU245-AV245</f>
        <v/>
      </c>
      <c r="AX245" s="29">
        <f>LoadPremRate*E245*N245+AK245+AQ245-AU245-AT245</f>
        <v/>
      </c>
      <c r="AY245" s="34">
        <f>AP245-AO245</f>
        <v/>
      </c>
      <c r="AZ245" s="37">
        <f>(AW245-AX245-AY245)/MAX(1,ABS(AW245),ABS(AX245),ABS(AY245))</f>
        <v/>
      </c>
      <c r="BA245" s="37">
        <f>IF(OR(K245&gt;0,K246&gt;0),0,(AC246-(AC245+AF245-AQ245-AP245+AR245-AI245-AJ245-AM245))/MAX(1,ABS(AC245),ABS(AC246)))</f>
        <v/>
      </c>
      <c r="BB245" s="35">
        <f>(1+INDEX(DiscRateAnn,INT(A245/12)+1))^(1/12)-1</f>
        <v/>
      </c>
      <c r="BC245" s="31">
        <f>(1+BB245)^-A245</f>
        <v/>
      </c>
      <c r="BD245" s="34">
        <f>AW245*BC245</f>
        <v/>
      </c>
    </row>
    <row r="246">
      <c r="A246" s="27">
        <f>A245+1</f>
        <v/>
      </c>
      <c r="B246" s="28">
        <f>Duration0+A246</f>
        <v/>
      </c>
      <c r="C246" s="27">
        <f>INT(B246/12)</f>
        <v/>
      </c>
      <c r="D246" s="28">
        <f>AgeAtEntry+C246</f>
        <v/>
      </c>
      <c r="E246" s="29">
        <f>IF(PremiumType="SINGLE",IF(B246=0,PremiumPPInput,0),IF(B246&lt;12*PolicyTerm,PremiumPPInput,0))</f>
        <v/>
      </c>
      <c r="F246" s="30">
        <f>INDEX(MortRates,MATCH(MIN(D246,120),MortAges,0),MAX(MIN(C246,5),0)+1)</f>
        <v/>
      </c>
      <c r="G246" s="31">
        <f>1-(1-F246)^(1/12)</f>
        <v/>
      </c>
      <c r="H246" s="32">
        <f>MAX(LapseBase-LapseStep*C246,LapseFloor)</f>
        <v/>
      </c>
      <c r="I246" s="32">
        <f>IF(HasSurrCharge,INDEX(SurrRates,MIN(C246,SurrDurMax)+1,MATCH(SurrChargeID,SurrTypes,0)),0)</f>
        <v/>
      </c>
      <c r="J246" s="33">
        <f>N245-P245-O245</f>
        <v/>
      </c>
      <c r="K246" s="30">
        <f>IF(B246=12*PolicyTerm,J246,0)</f>
        <v/>
      </c>
      <c r="L246" s="33">
        <f>J246-K246</f>
        <v/>
      </c>
      <c r="M246" s="30">
        <f>IF(B246=0,PolicyCount,0)</f>
        <v/>
      </c>
      <c r="N246" s="33">
        <f>L246+M246</f>
        <v/>
      </c>
      <c r="O246" s="31">
        <f>N246*G246</f>
        <v/>
      </c>
      <c r="P246" s="33">
        <f>(N246-O246)*(1-(1-H246)^(1/12))</f>
        <v/>
      </c>
      <c r="Q246" s="34">
        <f>X245+Z245</f>
        <v/>
      </c>
      <c r="R246" s="29">
        <f>(1-LoadPremRate)*E246</f>
        <v/>
      </c>
      <c r="S246" s="34">
        <f>Q246+R246</f>
        <v/>
      </c>
      <c r="T246" s="29">
        <f>MaintFeeRateAnn/12*S246</f>
        <v/>
      </c>
      <c r="U246" s="29">
        <f>MAX(SumAssured-S246,0)</f>
        <v/>
      </c>
      <c r="V246" s="35">
        <f>CoiMultiple*G246</f>
        <v/>
      </c>
      <c r="W246" s="34">
        <f>V246*U246</f>
        <v/>
      </c>
      <c r="X246" s="34">
        <f>S246-T246-W246</f>
        <v/>
      </c>
      <c r="Y246" s="36">
        <f>EXP((Mu-0.5*Sigma^2)/12+Sigma*SQRT(1/12)*INDEX(NormRand,ScenID,A246+1))-1</f>
        <v/>
      </c>
      <c r="Z246" s="34">
        <f>Y246*X246</f>
        <v/>
      </c>
      <c r="AA246" s="34">
        <f>X246+0.5*Z246</f>
        <v/>
      </c>
      <c r="AB246" s="34">
        <f>Q246*J246</f>
        <v/>
      </c>
      <c r="AC246" s="34">
        <f>Q246*L246</f>
        <v/>
      </c>
      <c r="AD246" s="34">
        <f>S246*N246</f>
        <v/>
      </c>
      <c r="AE246" s="34">
        <f>E246*N246</f>
        <v/>
      </c>
      <c r="AF246" s="34">
        <f>R246*N246</f>
        <v/>
      </c>
      <c r="AG246" s="29">
        <f>MAX(SumAssured,AA246)</f>
        <v/>
      </c>
      <c r="AH246" s="34">
        <f>AG246*O246</f>
        <v/>
      </c>
      <c r="AI246" s="34">
        <f>AA246*O246</f>
        <v/>
      </c>
      <c r="AJ246" s="34">
        <f>AA246*P246</f>
        <v/>
      </c>
      <c r="AK246" s="34">
        <f>I246*AA246*P246</f>
        <v/>
      </c>
      <c r="AL246" s="34">
        <f>AJ246-AK246</f>
        <v/>
      </c>
      <c r="AM246" s="34">
        <f>Q246*K246</f>
        <v/>
      </c>
      <c r="AN246" s="34">
        <f>AH246+AL246+AM246</f>
        <v/>
      </c>
      <c r="AO246" s="34">
        <f>(AG246-AA246)*O246</f>
        <v/>
      </c>
      <c r="AP246" s="34">
        <f>W246*N246</f>
        <v/>
      </c>
      <c r="AQ246" s="34">
        <f>T246*N246</f>
        <v/>
      </c>
      <c r="AR246" s="34">
        <f>Z246*J247+0.5*Z246*(O246+P246)</f>
        <v/>
      </c>
      <c r="AS246" s="30">
        <f>(1+InflationRate)^(A246/12)</f>
        <v/>
      </c>
      <c r="AT246" s="29">
        <f>ExpenseAcq*M246+N246*ExpenseMaint/12*AS246</f>
        <v/>
      </c>
      <c r="AU246" s="29">
        <f>CommissionRate*AE246</f>
        <v/>
      </c>
      <c r="AV246" s="34">
        <f>AB247-AB246</f>
        <v/>
      </c>
      <c r="AW246" s="34">
        <f>AE246+AR246-AN246-AT246-AU246-AV246</f>
        <v/>
      </c>
      <c r="AX246" s="29">
        <f>LoadPremRate*E246*N246+AK246+AQ246-AU246-AT246</f>
        <v/>
      </c>
      <c r="AY246" s="34">
        <f>AP246-AO246</f>
        <v/>
      </c>
      <c r="AZ246" s="37">
        <f>(AW246-AX246-AY246)/MAX(1,ABS(AW246),ABS(AX246),ABS(AY246))</f>
        <v/>
      </c>
      <c r="BA246" s="37">
        <f>IF(OR(K246&gt;0,K247&gt;0),0,(AC247-(AC246+AF246-AQ246-AP246+AR246-AI246-AJ246-AM246))/MAX(1,ABS(AC246),ABS(AC247)))</f>
        <v/>
      </c>
      <c r="BB246" s="35">
        <f>(1+INDEX(DiscRateAnn,INT(A246/12)+1))^(1/12)-1</f>
        <v/>
      </c>
      <c r="BC246" s="31">
        <f>(1+BB246)^-A246</f>
        <v/>
      </c>
      <c r="BD246" s="34">
        <f>AW246*BC246</f>
        <v/>
      </c>
    </row>
    <row r="247">
      <c r="A247" s="27">
        <f>A246+1</f>
        <v/>
      </c>
      <c r="B247" s="28">
        <f>Duration0+A247</f>
        <v/>
      </c>
      <c r="C247" s="27">
        <f>INT(B247/12)</f>
        <v/>
      </c>
      <c r="D247" s="28">
        <f>AgeAtEntry+C247</f>
        <v/>
      </c>
      <c r="E247" s="29">
        <f>IF(PremiumType="SINGLE",IF(B247=0,PremiumPPInput,0),IF(B247&lt;12*PolicyTerm,PremiumPPInput,0))</f>
        <v/>
      </c>
      <c r="F247" s="30">
        <f>INDEX(MortRates,MATCH(MIN(D247,120),MortAges,0),MAX(MIN(C247,5),0)+1)</f>
        <v/>
      </c>
      <c r="G247" s="31">
        <f>1-(1-F247)^(1/12)</f>
        <v/>
      </c>
      <c r="H247" s="32">
        <f>MAX(LapseBase-LapseStep*C247,LapseFloor)</f>
        <v/>
      </c>
      <c r="I247" s="32">
        <f>IF(HasSurrCharge,INDEX(SurrRates,MIN(C247,SurrDurMax)+1,MATCH(SurrChargeID,SurrTypes,0)),0)</f>
        <v/>
      </c>
      <c r="J247" s="33">
        <f>N246-P246-O246</f>
        <v/>
      </c>
      <c r="K247" s="30">
        <f>IF(B247=12*PolicyTerm,J247,0)</f>
        <v/>
      </c>
      <c r="L247" s="33">
        <f>J247-K247</f>
        <v/>
      </c>
      <c r="M247" s="30">
        <f>IF(B247=0,PolicyCount,0)</f>
        <v/>
      </c>
      <c r="N247" s="33">
        <f>L247+M247</f>
        <v/>
      </c>
      <c r="O247" s="31">
        <f>N247*G247</f>
        <v/>
      </c>
      <c r="P247" s="33">
        <f>(N247-O247)*(1-(1-H247)^(1/12))</f>
        <v/>
      </c>
      <c r="Q247" s="34">
        <f>X246+Z246</f>
        <v/>
      </c>
      <c r="R247" s="29">
        <f>(1-LoadPremRate)*E247</f>
        <v/>
      </c>
      <c r="S247" s="34">
        <f>Q247+R247</f>
        <v/>
      </c>
      <c r="T247" s="29">
        <f>MaintFeeRateAnn/12*S247</f>
        <v/>
      </c>
      <c r="U247" s="29">
        <f>MAX(SumAssured-S247,0)</f>
        <v/>
      </c>
      <c r="V247" s="35">
        <f>CoiMultiple*G247</f>
        <v/>
      </c>
      <c r="W247" s="34">
        <f>V247*U247</f>
        <v/>
      </c>
      <c r="X247" s="34">
        <f>S247-T247-W247</f>
        <v/>
      </c>
      <c r="Y247" s="36">
        <f>EXP((Mu-0.5*Sigma^2)/12+Sigma*SQRT(1/12)*INDEX(NormRand,ScenID,A247+1))-1</f>
        <v/>
      </c>
      <c r="Z247" s="34">
        <f>Y247*X247</f>
        <v/>
      </c>
      <c r="AA247" s="34">
        <f>X247+0.5*Z247</f>
        <v/>
      </c>
      <c r="AB247" s="34">
        <f>Q247*J247</f>
        <v/>
      </c>
      <c r="AC247" s="34">
        <f>Q247*L247</f>
        <v/>
      </c>
      <c r="AD247" s="34">
        <f>S247*N247</f>
        <v/>
      </c>
      <c r="AE247" s="34">
        <f>E247*N247</f>
        <v/>
      </c>
      <c r="AF247" s="34">
        <f>R247*N247</f>
        <v/>
      </c>
      <c r="AG247" s="29">
        <f>MAX(SumAssured,AA247)</f>
        <v/>
      </c>
      <c r="AH247" s="34">
        <f>AG247*O247</f>
        <v/>
      </c>
      <c r="AI247" s="34">
        <f>AA247*O247</f>
        <v/>
      </c>
      <c r="AJ247" s="34">
        <f>AA247*P247</f>
        <v/>
      </c>
      <c r="AK247" s="34">
        <f>I247*AA247*P247</f>
        <v/>
      </c>
      <c r="AL247" s="34">
        <f>AJ247-AK247</f>
        <v/>
      </c>
      <c r="AM247" s="34">
        <f>Q247*K247</f>
        <v/>
      </c>
      <c r="AN247" s="34">
        <f>AH247+AL247+AM247</f>
        <v/>
      </c>
      <c r="AO247" s="34">
        <f>(AG247-AA247)*O247</f>
        <v/>
      </c>
      <c r="AP247" s="34">
        <f>W247*N247</f>
        <v/>
      </c>
      <c r="AQ247" s="34">
        <f>T247*N247</f>
        <v/>
      </c>
      <c r="AR247" s="34">
        <f>Z247*J248+0.5*Z247*(O247+P247)</f>
        <v/>
      </c>
      <c r="AS247" s="30">
        <f>(1+InflationRate)^(A247/12)</f>
        <v/>
      </c>
      <c r="AT247" s="29">
        <f>ExpenseAcq*M247+N247*ExpenseMaint/12*AS247</f>
        <v/>
      </c>
      <c r="AU247" s="29">
        <f>CommissionRate*AE247</f>
        <v/>
      </c>
      <c r="AV247" s="34">
        <f>AB248-AB247</f>
        <v/>
      </c>
      <c r="AW247" s="34">
        <f>AE247+AR247-AN247-AT247-AU247-AV247</f>
        <v/>
      </c>
      <c r="AX247" s="29">
        <f>LoadPremRate*E247*N247+AK247+AQ247-AU247-AT247</f>
        <v/>
      </c>
      <c r="AY247" s="34">
        <f>AP247-AO247</f>
        <v/>
      </c>
      <c r="AZ247" s="37">
        <f>(AW247-AX247-AY247)/MAX(1,ABS(AW247),ABS(AX247),ABS(AY247))</f>
        <v/>
      </c>
      <c r="BA247" s="37">
        <f>IF(OR(K247&gt;0,K248&gt;0),0,(AC248-(AC247+AF247-AQ247-AP247+AR247-AI247-AJ247-AM247))/MAX(1,ABS(AC247),ABS(AC248)))</f>
        <v/>
      </c>
      <c r="BB247" s="35">
        <f>(1+INDEX(DiscRateAnn,INT(A247/12)+1))^(1/12)-1</f>
        <v/>
      </c>
      <c r="BC247" s="31">
        <f>(1+BB247)^-A247</f>
        <v/>
      </c>
      <c r="BD247" s="34">
        <f>AW247*BC247</f>
        <v/>
      </c>
    </row>
    <row r="248">
      <c r="A248" s="27">
        <f>A247+1</f>
        <v/>
      </c>
      <c r="B248" s="28">
        <f>Duration0+A248</f>
        <v/>
      </c>
      <c r="C248" s="27">
        <f>INT(B248/12)</f>
        <v/>
      </c>
      <c r="D248" s="28">
        <f>AgeAtEntry+C248</f>
        <v/>
      </c>
      <c r="E248" s="29">
        <f>IF(PremiumType="SINGLE",IF(B248=0,PremiumPPInput,0),IF(B248&lt;12*PolicyTerm,PremiumPPInput,0))</f>
        <v/>
      </c>
      <c r="F248" s="30">
        <f>INDEX(MortRates,MATCH(MIN(D248,120),MortAges,0),MAX(MIN(C248,5),0)+1)</f>
        <v/>
      </c>
      <c r="G248" s="31">
        <f>1-(1-F248)^(1/12)</f>
        <v/>
      </c>
      <c r="H248" s="32">
        <f>MAX(LapseBase-LapseStep*C248,LapseFloor)</f>
        <v/>
      </c>
      <c r="I248" s="32">
        <f>IF(HasSurrCharge,INDEX(SurrRates,MIN(C248,SurrDurMax)+1,MATCH(SurrChargeID,SurrTypes,0)),0)</f>
        <v/>
      </c>
      <c r="J248" s="33">
        <f>N247-P247-O247</f>
        <v/>
      </c>
      <c r="K248" s="30">
        <f>IF(B248=12*PolicyTerm,J248,0)</f>
        <v/>
      </c>
      <c r="L248" s="33">
        <f>J248-K248</f>
        <v/>
      </c>
      <c r="M248" s="30">
        <f>IF(B248=0,PolicyCount,0)</f>
        <v/>
      </c>
      <c r="N248" s="33">
        <f>L248+M248</f>
        <v/>
      </c>
      <c r="O248" s="31">
        <f>N248*G248</f>
        <v/>
      </c>
      <c r="P248" s="33">
        <f>(N248-O248)*(1-(1-H248)^(1/12))</f>
        <v/>
      </c>
      <c r="Q248" s="34">
        <f>X247+Z247</f>
        <v/>
      </c>
      <c r="R248" s="29">
        <f>(1-LoadPremRate)*E248</f>
        <v/>
      </c>
      <c r="S248" s="34">
        <f>Q248+R248</f>
        <v/>
      </c>
      <c r="T248" s="29">
        <f>MaintFeeRateAnn/12*S248</f>
        <v/>
      </c>
      <c r="U248" s="29">
        <f>MAX(SumAssured-S248,0)</f>
        <v/>
      </c>
      <c r="V248" s="35">
        <f>CoiMultiple*G248</f>
        <v/>
      </c>
      <c r="W248" s="34">
        <f>V248*U248</f>
        <v/>
      </c>
      <c r="X248" s="34">
        <f>S248-T248-W248</f>
        <v/>
      </c>
      <c r="Y248" s="36">
        <f>EXP((Mu-0.5*Sigma^2)/12+Sigma*SQRT(1/12)*INDEX(NormRand,ScenID,A248+1))-1</f>
        <v/>
      </c>
      <c r="Z248" s="34">
        <f>Y248*X248</f>
        <v/>
      </c>
      <c r="AA248" s="34">
        <f>X248+0.5*Z248</f>
        <v/>
      </c>
      <c r="AB248" s="34">
        <f>Q248*J248</f>
        <v/>
      </c>
      <c r="AC248" s="34">
        <f>Q248*L248</f>
        <v/>
      </c>
      <c r="AD248" s="34">
        <f>S248*N248</f>
        <v/>
      </c>
      <c r="AE248" s="34">
        <f>E248*N248</f>
        <v/>
      </c>
      <c r="AF248" s="34">
        <f>R248*N248</f>
        <v/>
      </c>
      <c r="AG248" s="29">
        <f>MAX(SumAssured,AA248)</f>
        <v/>
      </c>
      <c r="AH248" s="34">
        <f>AG248*O248</f>
        <v/>
      </c>
      <c r="AI248" s="34">
        <f>AA248*O248</f>
        <v/>
      </c>
      <c r="AJ248" s="34">
        <f>AA248*P248</f>
        <v/>
      </c>
      <c r="AK248" s="34">
        <f>I248*AA248*P248</f>
        <v/>
      </c>
      <c r="AL248" s="34">
        <f>AJ248-AK248</f>
        <v/>
      </c>
      <c r="AM248" s="34">
        <f>Q248*K248</f>
        <v/>
      </c>
      <c r="AN248" s="34">
        <f>AH248+AL248+AM248</f>
        <v/>
      </c>
      <c r="AO248" s="34">
        <f>(AG248-AA248)*O248</f>
        <v/>
      </c>
      <c r="AP248" s="34">
        <f>W248*N248</f>
        <v/>
      </c>
      <c r="AQ248" s="34">
        <f>T248*N248</f>
        <v/>
      </c>
      <c r="AR248" s="34">
        <f>Z248*J249+0.5*Z248*(O248+P248)</f>
        <v/>
      </c>
      <c r="AS248" s="30">
        <f>(1+InflationRate)^(A248/12)</f>
        <v/>
      </c>
      <c r="AT248" s="29">
        <f>ExpenseAcq*M248+N248*ExpenseMaint/12*AS248</f>
        <v/>
      </c>
      <c r="AU248" s="29">
        <f>CommissionRate*AE248</f>
        <v/>
      </c>
      <c r="AV248" s="34">
        <f>AB249-AB248</f>
        <v/>
      </c>
      <c r="AW248" s="34">
        <f>AE248+AR248-AN248-AT248-AU248-AV248</f>
        <v/>
      </c>
      <c r="AX248" s="29">
        <f>LoadPremRate*E248*N248+AK248+AQ248-AU248-AT248</f>
        <v/>
      </c>
      <c r="AY248" s="34">
        <f>AP248-AO248</f>
        <v/>
      </c>
      <c r="AZ248" s="37">
        <f>(AW248-AX248-AY248)/MAX(1,ABS(AW248),ABS(AX248),ABS(AY248))</f>
        <v/>
      </c>
      <c r="BA248" s="37">
        <f>IF(OR(K248&gt;0,K249&gt;0),0,(AC249-(AC248+AF248-AQ248-AP248+AR248-AI248-AJ248-AM248))/MAX(1,ABS(AC248),ABS(AC249)))</f>
        <v/>
      </c>
      <c r="BB248" s="35">
        <f>(1+INDEX(DiscRateAnn,INT(A248/12)+1))^(1/12)-1</f>
        <v/>
      </c>
      <c r="BC248" s="31">
        <f>(1+BB248)^-A248</f>
        <v/>
      </c>
      <c r="BD248" s="34">
        <f>AW248*BC248</f>
        <v/>
      </c>
    </row>
    <row r="249">
      <c r="A249" s="27">
        <f>A248+1</f>
        <v/>
      </c>
      <c r="B249" s="28">
        <f>Duration0+A249</f>
        <v/>
      </c>
      <c r="C249" s="27">
        <f>INT(B249/12)</f>
        <v/>
      </c>
      <c r="D249" s="28">
        <f>AgeAtEntry+C249</f>
        <v/>
      </c>
      <c r="E249" s="29">
        <f>IF(PremiumType="SINGLE",IF(B249=0,PremiumPPInput,0),IF(B249&lt;12*PolicyTerm,PremiumPPInput,0))</f>
        <v/>
      </c>
      <c r="F249" s="30">
        <f>INDEX(MortRates,MATCH(MIN(D249,120),MortAges,0),MAX(MIN(C249,5),0)+1)</f>
        <v/>
      </c>
      <c r="G249" s="31">
        <f>1-(1-F249)^(1/12)</f>
        <v/>
      </c>
      <c r="H249" s="32">
        <f>MAX(LapseBase-LapseStep*C249,LapseFloor)</f>
        <v/>
      </c>
      <c r="I249" s="32">
        <f>IF(HasSurrCharge,INDEX(SurrRates,MIN(C249,SurrDurMax)+1,MATCH(SurrChargeID,SurrTypes,0)),0)</f>
        <v/>
      </c>
      <c r="J249" s="33">
        <f>N248-P248-O248</f>
        <v/>
      </c>
      <c r="K249" s="30">
        <f>IF(B249=12*PolicyTerm,J249,0)</f>
        <v/>
      </c>
      <c r="L249" s="33">
        <f>J249-K249</f>
        <v/>
      </c>
      <c r="M249" s="30">
        <f>IF(B249=0,PolicyCount,0)</f>
        <v/>
      </c>
      <c r="N249" s="33">
        <f>L249+M249</f>
        <v/>
      </c>
      <c r="O249" s="31">
        <f>N249*G249</f>
        <v/>
      </c>
      <c r="P249" s="33">
        <f>(N249-O249)*(1-(1-H249)^(1/12))</f>
        <v/>
      </c>
      <c r="Q249" s="34">
        <f>X248+Z248</f>
        <v/>
      </c>
      <c r="R249" s="29">
        <f>(1-LoadPremRate)*E249</f>
        <v/>
      </c>
      <c r="S249" s="34">
        <f>Q249+R249</f>
        <v/>
      </c>
      <c r="T249" s="29">
        <f>MaintFeeRateAnn/12*S249</f>
        <v/>
      </c>
      <c r="U249" s="29">
        <f>MAX(SumAssured-S249,0)</f>
        <v/>
      </c>
      <c r="V249" s="35">
        <f>CoiMultiple*G249</f>
        <v/>
      </c>
      <c r="W249" s="34">
        <f>V249*U249</f>
        <v/>
      </c>
      <c r="X249" s="34">
        <f>S249-T249-W249</f>
        <v/>
      </c>
      <c r="Y249" s="36">
        <f>EXP((Mu-0.5*Sigma^2)/12+Sigma*SQRT(1/12)*INDEX(NormRand,ScenID,A249+1))-1</f>
        <v/>
      </c>
      <c r="Z249" s="34">
        <f>Y249*X249</f>
        <v/>
      </c>
      <c r="AA249" s="34">
        <f>X249+0.5*Z249</f>
        <v/>
      </c>
      <c r="AB249" s="34">
        <f>Q249*J249</f>
        <v/>
      </c>
      <c r="AC249" s="34">
        <f>Q249*L249</f>
        <v/>
      </c>
      <c r="AD249" s="34">
        <f>S249*N249</f>
        <v/>
      </c>
      <c r="AE249" s="34">
        <f>E249*N249</f>
        <v/>
      </c>
      <c r="AF249" s="34">
        <f>R249*N249</f>
        <v/>
      </c>
      <c r="AG249" s="29">
        <f>MAX(SumAssured,AA249)</f>
        <v/>
      </c>
      <c r="AH249" s="34">
        <f>AG249*O249</f>
        <v/>
      </c>
      <c r="AI249" s="34">
        <f>AA249*O249</f>
        <v/>
      </c>
      <c r="AJ249" s="34">
        <f>AA249*P249</f>
        <v/>
      </c>
      <c r="AK249" s="34">
        <f>I249*AA249*P249</f>
        <v/>
      </c>
      <c r="AL249" s="34">
        <f>AJ249-AK249</f>
        <v/>
      </c>
      <c r="AM249" s="34">
        <f>Q249*K249</f>
        <v/>
      </c>
      <c r="AN249" s="34">
        <f>AH249+AL249+AM249</f>
        <v/>
      </c>
      <c r="AO249" s="34">
        <f>(AG249-AA249)*O249</f>
        <v/>
      </c>
      <c r="AP249" s="34">
        <f>W249*N249</f>
        <v/>
      </c>
      <c r="AQ249" s="34">
        <f>T249*N249</f>
        <v/>
      </c>
      <c r="AR249" s="34">
        <f>Z249*J250+0.5*Z249*(O249+P249)</f>
        <v/>
      </c>
      <c r="AS249" s="30">
        <f>(1+InflationRate)^(A249/12)</f>
        <v/>
      </c>
      <c r="AT249" s="29">
        <f>ExpenseAcq*M249+N249*ExpenseMaint/12*AS249</f>
        <v/>
      </c>
      <c r="AU249" s="29">
        <f>CommissionRate*AE249</f>
        <v/>
      </c>
      <c r="AV249" s="34">
        <f>AB250-AB249</f>
        <v/>
      </c>
      <c r="AW249" s="34">
        <f>AE249+AR249-AN249-AT249-AU249-AV249</f>
        <v/>
      </c>
      <c r="AX249" s="29">
        <f>LoadPremRate*E249*N249+AK249+AQ249-AU249-AT249</f>
        <v/>
      </c>
      <c r="AY249" s="34">
        <f>AP249-AO249</f>
        <v/>
      </c>
      <c r="AZ249" s="37">
        <f>(AW249-AX249-AY249)/MAX(1,ABS(AW249),ABS(AX249),ABS(AY249))</f>
        <v/>
      </c>
      <c r="BA249" s="37">
        <f>IF(OR(K249&gt;0,K250&gt;0),0,(AC250-(AC249+AF249-AQ249-AP249+AR249-AI249-AJ249-AM249))/MAX(1,ABS(AC249),ABS(AC250)))</f>
        <v/>
      </c>
      <c r="BB249" s="35">
        <f>(1+INDEX(DiscRateAnn,INT(A249/12)+1))^(1/12)-1</f>
        <v/>
      </c>
      <c r="BC249" s="31">
        <f>(1+BB249)^-A249</f>
        <v/>
      </c>
      <c r="BD249" s="34">
        <f>AW249*BC249</f>
        <v/>
      </c>
    </row>
    <row r="250">
      <c r="A250" s="27">
        <f>A249+1</f>
        <v/>
      </c>
      <c r="B250" s="28">
        <f>Duration0+A250</f>
        <v/>
      </c>
      <c r="C250" s="27">
        <f>INT(B250/12)</f>
        <v/>
      </c>
      <c r="D250" s="28">
        <f>AgeAtEntry+C250</f>
        <v/>
      </c>
      <c r="E250" s="29">
        <f>IF(PremiumType="SINGLE",IF(B250=0,PremiumPPInput,0),IF(B250&lt;12*PolicyTerm,PremiumPPInput,0))</f>
        <v/>
      </c>
      <c r="F250" s="30">
        <f>INDEX(MortRates,MATCH(MIN(D250,120),MortAges,0),MAX(MIN(C250,5),0)+1)</f>
        <v/>
      </c>
      <c r="G250" s="31">
        <f>1-(1-F250)^(1/12)</f>
        <v/>
      </c>
      <c r="H250" s="32">
        <f>MAX(LapseBase-LapseStep*C250,LapseFloor)</f>
        <v/>
      </c>
      <c r="I250" s="32">
        <f>IF(HasSurrCharge,INDEX(SurrRates,MIN(C250,SurrDurMax)+1,MATCH(SurrChargeID,SurrTypes,0)),0)</f>
        <v/>
      </c>
      <c r="J250" s="33">
        <f>N249-P249-O249</f>
        <v/>
      </c>
      <c r="K250" s="30">
        <f>IF(B250=12*PolicyTerm,J250,0)</f>
        <v/>
      </c>
      <c r="L250" s="33">
        <f>J250-K250</f>
        <v/>
      </c>
      <c r="M250" s="30">
        <f>IF(B250=0,PolicyCount,0)</f>
        <v/>
      </c>
      <c r="N250" s="33">
        <f>L250+M250</f>
        <v/>
      </c>
      <c r="O250" s="31">
        <f>N250*G250</f>
        <v/>
      </c>
      <c r="P250" s="33">
        <f>(N250-O250)*(1-(1-H250)^(1/12))</f>
        <v/>
      </c>
      <c r="Q250" s="34">
        <f>X249+Z249</f>
        <v/>
      </c>
      <c r="R250" s="29">
        <f>(1-LoadPremRate)*E250</f>
        <v/>
      </c>
      <c r="S250" s="34">
        <f>Q250+R250</f>
        <v/>
      </c>
      <c r="T250" s="29">
        <f>MaintFeeRateAnn/12*S250</f>
        <v/>
      </c>
      <c r="U250" s="29">
        <f>MAX(SumAssured-S250,0)</f>
        <v/>
      </c>
      <c r="V250" s="35">
        <f>CoiMultiple*G250</f>
        <v/>
      </c>
      <c r="W250" s="34">
        <f>V250*U250</f>
        <v/>
      </c>
      <c r="X250" s="34">
        <f>S250-T250-W250</f>
        <v/>
      </c>
      <c r="Y250" s="36">
        <f>EXP((Mu-0.5*Sigma^2)/12+Sigma*SQRT(1/12)*INDEX(NormRand,ScenID,A250+1))-1</f>
        <v/>
      </c>
      <c r="Z250" s="34">
        <f>Y250*X250</f>
        <v/>
      </c>
      <c r="AA250" s="34">
        <f>X250+0.5*Z250</f>
        <v/>
      </c>
      <c r="AB250" s="34">
        <f>Q250*J250</f>
        <v/>
      </c>
      <c r="AC250" s="34">
        <f>Q250*L250</f>
        <v/>
      </c>
      <c r="AD250" s="34">
        <f>S250*N250</f>
        <v/>
      </c>
      <c r="AE250" s="34">
        <f>E250*N250</f>
        <v/>
      </c>
      <c r="AF250" s="34">
        <f>R250*N250</f>
        <v/>
      </c>
      <c r="AG250" s="29">
        <f>MAX(SumAssured,AA250)</f>
        <v/>
      </c>
      <c r="AH250" s="34">
        <f>AG250*O250</f>
        <v/>
      </c>
      <c r="AI250" s="34">
        <f>AA250*O250</f>
        <v/>
      </c>
      <c r="AJ250" s="34">
        <f>AA250*P250</f>
        <v/>
      </c>
      <c r="AK250" s="34">
        <f>I250*AA250*P250</f>
        <v/>
      </c>
      <c r="AL250" s="34">
        <f>AJ250-AK250</f>
        <v/>
      </c>
      <c r="AM250" s="34">
        <f>Q250*K250</f>
        <v/>
      </c>
      <c r="AN250" s="34">
        <f>AH250+AL250+AM250</f>
        <v/>
      </c>
      <c r="AO250" s="34">
        <f>(AG250-AA250)*O250</f>
        <v/>
      </c>
      <c r="AP250" s="34">
        <f>W250*N250</f>
        <v/>
      </c>
      <c r="AQ250" s="34">
        <f>T250*N250</f>
        <v/>
      </c>
      <c r="AR250" s="34">
        <f>Z250*J251+0.5*Z250*(O250+P250)</f>
        <v/>
      </c>
      <c r="AS250" s="30">
        <f>(1+InflationRate)^(A250/12)</f>
        <v/>
      </c>
      <c r="AT250" s="29">
        <f>ExpenseAcq*M250+N250*ExpenseMaint/12*AS250</f>
        <v/>
      </c>
      <c r="AU250" s="29">
        <f>CommissionRate*AE250</f>
        <v/>
      </c>
      <c r="AV250" s="34">
        <f>AB251-AB250</f>
        <v/>
      </c>
      <c r="AW250" s="34">
        <f>AE250+AR250-AN250-AT250-AU250-AV250</f>
        <v/>
      </c>
      <c r="AX250" s="29">
        <f>LoadPremRate*E250*N250+AK250+AQ250-AU250-AT250</f>
        <v/>
      </c>
      <c r="AY250" s="34">
        <f>AP250-AO250</f>
        <v/>
      </c>
      <c r="AZ250" s="37">
        <f>(AW250-AX250-AY250)/MAX(1,ABS(AW250),ABS(AX250),ABS(AY250))</f>
        <v/>
      </c>
      <c r="BA250" s="37">
        <f>IF(OR(K250&gt;0,K251&gt;0),0,(AC251-(AC250+AF250-AQ250-AP250+AR250-AI250-AJ250-AM250))/MAX(1,ABS(AC250),ABS(AC251)))</f>
        <v/>
      </c>
      <c r="BB250" s="35">
        <f>(1+INDEX(DiscRateAnn,INT(A250/12)+1))^(1/12)-1</f>
        <v/>
      </c>
      <c r="BC250" s="31">
        <f>(1+BB250)^-A250</f>
        <v/>
      </c>
      <c r="BD250" s="34">
        <f>AW250*BC250</f>
        <v/>
      </c>
    </row>
    <row r="251">
      <c r="A251" s="27">
        <f>A250+1</f>
        <v/>
      </c>
      <c r="B251" s="28">
        <f>Duration0+A251</f>
        <v/>
      </c>
      <c r="C251" s="27">
        <f>INT(B251/12)</f>
        <v/>
      </c>
      <c r="D251" s="28">
        <f>AgeAtEntry+C251</f>
        <v/>
      </c>
      <c r="E251" s="29">
        <f>IF(PremiumType="SINGLE",IF(B251=0,PremiumPPInput,0),IF(B251&lt;12*PolicyTerm,PremiumPPInput,0))</f>
        <v/>
      </c>
      <c r="F251" s="30">
        <f>INDEX(MortRates,MATCH(MIN(D251,120),MortAges,0),MAX(MIN(C251,5),0)+1)</f>
        <v/>
      </c>
      <c r="G251" s="31">
        <f>1-(1-F251)^(1/12)</f>
        <v/>
      </c>
      <c r="H251" s="32">
        <f>MAX(LapseBase-LapseStep*C251,LapseFloor)</f>
        <v/>
      </c>
      <c r="I251" s="32">
        <f>IF(HasSurrCharge,INDEX(SurrRates,MIN(C251,SurrDurMax)+1,MATCH(SurrChargeID,SurrTypes,0)),0)</f>
        <v/>
      </c>
      <c r="J251" s="33">
        <f>N250-P250-O250</f>
        <v/>
      </c>
      <c r="K251" s="30">
        <f>IF(B251=12*PolicyTerm,J251,0)</f>
        <v/>
      </c>
      <c r="L251" s="33">
        <f>J251-K251</f>
        <v/>
      </c>
      <c r="M251" s="30">
        <f>IF(B251=0,PolicyCount,0)</f>
        <v/>
      </c>
      <c r="N251" s="33">
        <f>L251+M251</f>
        <v/>
      </c>
      <c r="O251" s="31">
        <f>N251*G251</f>
        <v/>
      </c>
      <c r="P251" s="33">
        <f>(N251-O251)*(1-(1-H251)^(1/12))</f>
        <v/>
      </c>
      <c r="Q251" s="34">
        <f>X250+Z250</f>
        <v/>
      </c>
      <c r="R251" s="29">
        <f>(1-LoadPremRate)*E251</f>
        <v/>
      </c>
      <c r="S251" s="34">
        <f>Q251+R251</f>
        <v/>
      </c>
      <c r="T251" s="29">
        <f>MaintFeeRateAnn/12*S251</f>
        <v/>
      </c>
      <c r="U251" s="29">
        <f>MAX(SumAssured-S251,0)</f>
        <v/>
      </c>
      <c r="V251" s="35">
        <f>CoiMultiple*G251</f>
        <v/>
      </c>
      <c r="W251" s="34">
        <f>V251*U251</f>
        <v/>
      </c>
      <c r="X251" s="34">
        <f>S251-T251-W251</f>
        <v/>
      </c>
      <c r="Y251" s="36">
        <f>EXP((Mu-0.5*Sigma^2)/12+Sigma*SQRT(1/12)*INDEX(NormRand,ScenID,A251+1))-1</f>
        <v/>
      </c>
      <c r="Z251" s="34">
        <f>Y251*X251</f>
        <v/>
      </c>
      <c r="AA251" s="34">
        <f>X251+0.5*Z251</f>
        <v/>
      </c>
      <c r="AB251" s="34">
        <f>Q251*J251</f>
        <v/>
      </c>
      <c r="AC251" s="34">
        <f>Q251*L251</f>
        <v/>
      </c>
      <c r="AD251" s="34">
        <f>S251*N251</f>
        <v/>
      </c>
      <c r="AE251" s="34">
        <f>E251*N251</f>
        <v/>
      </c>
      <c r="AF251" s="34">
        <f>R251*N251</f>
        <v/>
      </c>
      <c r="AG251" s="29">
        <f>MAX(SumAssured,AA251)</f>
        <v/>
      </c>
      <c r="AH251" s="34">
        <f>AG251*O251</f>
        <v/>
      </c>
      <c r="AI251" s="34">
        <f>AA251*O251</f>
        <v/>
      </c>
      <c r="AJ251" s="34">
        <f>AA251*P251</f>
        <v/>
      </c>
      <c r="AK251" s="34">
        <f>I251*AA251*P251</f>
        <v/>
      </c>
      <c r="AL251" s="34">
        <f>AJ251-AK251</f>
        <v/>
      </c>
      <c r="AM251" s="34">
        <f>Q251*K251</f>
        <v/>
      </c>
      <c r="AN251" s="34">
        <f>AH251+AL251+AM251</f>
        <v/>
      </c>
      <c r="AO251" s="34">
        <f>(AG251-AA251)*O251</f>
        <v/>
      </c>
      <c r="AP251" s="34">
        <f>W251*N251</f>
        <v/>
      </c>
      <c r="AQ251" s="34">
        <f>T251*N251</f>
        <v/>
      </c>
      <c r="AR251" s="34">
        <f>Z251*J252+0.5*Z251*(O251+P251)</f>
        <v/>
      </c>
      <c r="AS251" s="30">
        <f>(1+InflationRate)^(A251/12)</f>
        <v/>
      </c>
      <c r="AT251" s="29">
        <f>ExpenseAcq*M251+N251*ExpenseMaint/12*AS251</f>
        <v/>
      </c>
      <c r="AU251" s="29">
        <f>CommissionRate*AE251</f>
        <v/>
      </c>
      <c r="AV251" s="34">
        <f>AB252-AB251</f>
        <v/>
      </c>
      <c r="AW251" s="34">
        <f>AE251+AR251-AN251-AT251-AU251-AV251</f>
        <v/>
      </c>
      <c r="AX251" s="29">
        <f>LoadPremRate*E251*N251+AK251+AQ251-AU251-AT251</f>
        <v/>
      </c>
      <c r="AY251" s="34">
        <f>AP251-AO251</f>
        <v/>
      </c>
      <c r="AZ251" s="37">
        <f>(AW251-AX251-AY251)/MAX(1,ABS(AW251),ABS(AX251),ABS(AY251))</f>
        <v/>
      </c>
      <c r="BA251" s="37">
        <f>IF(OR(K251&gt;0,K252&gt;0),0,(AC252-(AC251+AF251-AQ251-AP251+AR251-AI251-AJ251-AM251))/MAX(1,ABS(AC251),ABS(AC252)))</f>
        <v/>
      </c>
      <c r="BB251" s="35">
        <f>(1+INDEX(DiscRateAnn,INT(A251/12)+1))^(1/12)-1</f>
        <v/>
      </c>
      <c r="BC251" s="31">
        <f>(1+BB251)^-A251</f>
        <v/>
      </c>
      <c r="BD251" s="34">
        <f>AW251*BC251</f>
        <v/>
      </c>
    </row>
    <row r="252">
      <c r="A252" s="27">
        <f>A251+1</f>
        <v/>
      </c>
      <c r="B252" s="28">
        <f>Duration0+A252</f>
        <v/>
      </c>
      <c r="C252" s="27">
        <f>INT(B252/12)</f>
        <v/>
      </c>
      <c r="D252" s="28">
        <f>AgeAtEntry+C252</f>
        <v/>
      </c>
      <c r="E252" s="29">
        <f>IF(PremiumType="SINGLE",IF(B252=0,PremiumPPInput,0),IF(B252&lt;12*PolicyTerm,PremiumPPInput,0))</f>
        <v/>
      </c>
      <c r="F252" s="30">
        <f>INDEX(MortRates,MATCH(MIN(D252,120),MortAges,0),MAX(MIN(C252,5),0)+1)</f>
        <v/>
      </c>
      <c r="G252" s="31">
        <f>1-(1-F252)^(1/12)</f>
        <v/>
      </c>
      <c r="H252" s="32">
        <f>MAX(LapseBase-LapseStep*C252,LapseFloor)</f>
        <v/>
      </c>
      <c r="I252" s="32">
        <f>IF(HasSurrCharge,INDEX(SurrRates,MIN(C252,SurrDurMax)+1,MATCH(SurrChargeID,SurrTypes,0)),0)</f>
        <v/>
      </c>
      <c r="J252" s="33">
        <f>N251-P251-O251</f>
        <v/>
      </c>
      <c r="K252" s="30">
        <f>IF(B252=12*PolicyTerm,J252,0)</f>
        <v/>
      </c>
      <c r="L252" s="33">
        <f>J252-K252</f>
        <v/>
      </c>
      <c r="M252" s="30">
        <f>IF(B252=0,PolicyCount,0)</f>
        <v/>
      </c>
      <c r="N252" s="33">
        <f>L252+M252</f>
        <v/>
      </c>
      <c r="O252" s="31">
        <f>N252*G252</f>
        <v/>
      </c>
      <c r="P252" s="33">
        <f>(N252-O252)*(1-(1-H252)^(1/12))</f>
        <v/>
      </c>
      <c r="Q252" s="34">
        <f>X251+Z251</f>
        <v/>
      </c>
      <c r="R252" s="29">
        <f>(1-LoadPremRate)*E252</f>
        <v/>
      </c>
      <c r="S252" s="34">
        <f>Q252+R252</f>
        <v/>
      </c>
      <c r="T252" s="29">
        <f>MaintFeeRateAnn/12*S252</f>
        <v/>
      </c>
      <c r="U252" s="29">
        <f>MAX(SumAssured-S252,0)</f>
        <v/>
      </c>
      <c r="V252" s="35">
        <f>CoiMultiple*G252</f>
        <v/>
      </c>
      <c r="W252" s="34">
        <f>V252*U252</f>
        <v/>
      </c>
      <c r="X252" s="34">
        <f>S252-T252-W252</f>
        <v/>
      </c>
      <c r="Y252" s="36">
        <f>EXP((Mu-0.5*Sigma^2)/12+Sigma*SQRT(1/12)*INDEX(NormRand,ScenID,A252+1))-1</f>
        <v/>
      </c>
      <c r="Z252" s="34">
        <f>Y252*X252</f>
        <v/>
      </c>
      <c r="AA252" s="34">
        <f>X252+0.5*Z252</f>
        <v/>
      </c>
      <c r="AB252" s="34">
        <f>Q252*J252</f>
        <v/>
      </c>
      <c r="AC252" s="34">
        <f>Q252*L252</f>
        <v/>
      </c>
      <c r="AD252" s="34">
        <f>S252*N252</f>
        <v/>
      </c>
      <c r="AE252" s="34">
        <f>E252*N252</f>
        <v/>
      </c>
      <c r="AF252" s="34">
        <f>R252*N252</f>
        <v/>
      </c>
      <c r="AG252" s="29">
        <f>MAX(SumAssured,AA252)</f>
        <v/>
      </c>
      <c r="AH252" s="34">
        <f>AG252*O252</f>
        <v/>
      </c>
      <c r="AI252" s="34">
        <f>AA252*O252</f>
        <v/>
      </c>
      <c r="AJ252" s="34">
        <f>AA252*P252</f>
        <v/>
      </c>
      <c r="AK252" s="34">
        <f>I252*AA252*P252</f>
        <v/>
      </c>
      <c r="AL252" s="34">
        <f>AJ252-AK252</f>
        <v/>
      </c>
      <c r="AM252" s="34">
        <f>Q252*K252</f>
        <v/>
      </c>
      <c r="AN252" s="34">
        <f>AH252+AL252+AM252</f>
        <v/>
      </c>
      <c r="AO252" s="34">
        <f>(AG252-AA252)*O252</f>
        <v/>
      </c>
      <c r="AP252" s="34">
        <f>W252*N252</f>
        <v/>
      </c>
      <c r="AQ252" s="34">
        <f>T252*N252</f>
        <v/>
      </c>
      <c r="AR252" s="34">
        <f>Z252*J253+0.5*Z252*(O252+P252)</f>
        <v/>
      </c>
      <c r="AS252" s="30">
        <f>(1+InflationRate)^(A252/12)</f>
        <v/>
      </c>
      <c r="AT252" s="29">
        <f>ExpenseAcq*M252+N252*ExpenseMaint/12*AS252</f>
        <v/>
      </c>
      <c r="AU252" s="29">
        <f>CommissionRate*AE252</f>
        <v/>
      </c>
      <c r="AV252" s="34">
        <f>AB253-AB252</f>
        <v/>
      </c>
      <c r="AW252" s="34">
        <f>AE252+AR252-AN252-AT252-AU252-AV252</f>
        <v/>
      </c>
      <c r="AX252" s="29">
        <f>LoadPremRate*E252*N252+AK252+AQ252-AU252-AT252</f>
        <v/>
      </c>
      <c r="AY252" s="34">
        <f>AP252-AO252</f>
        <v/>
      </c>
      <c r="AZ252" s="37">
        <f>(AW252-AX252-AY252)/MAX(1,ABS(AW252),ABS(AX252),ABS(AY252))</f>
        <v/>
      </c>
      <c r="BA252" s="37">
        <f>IF(OR(K252&gt;0,K253&gt;0),0,(AC253-(AC252+AF252-AQ252-AP252+AR252-AI252-AJ252-AM252))/MAX(1,ABS(AC252),ABS(AC253)))</f>
        <v/>
      </c>
      <c r="BB252" s="35">
        <f>(1+INDEX(DiscRateAnn,INT(A252/12)+1))^(1/12)-1</f>
        <v/>
      </c>
      <c r="BC252" s="31">
        <f>(1+BB252)^-A252</f>
        <v/>
      </c>
      <c r="BD252" s="34">
        <f>AW252*BC252</f>
        <v/>
      </c>
    </row>
    <row r="253">
      <c r="A253" s="27">
        <f>A252+1</f>
        <v/>
      </c>
      <c r="B253" s="28">
        <f>Duration0+A253</f>
        <v/>
      </c>
      <c r="C253" s="27">
        <f>INT(B253/12)</f>
        <v/>
      </c>
      <c r="D253" s="28">
        <f>AgeAtEntry+C253</f>
        <v/>
      </c>
      <c r="E253" s="29">
        <f>IF(PremiumType="SINGLE",IF(B253=0,PremiumPPInput,0),IF(B253&lt;12*PolicyTerm,PremiumPPInput,0))</f>
        <v/>
      </c>
      <c r="F253" s="30">
        <f>INDEX(MortRates,MATCH(MIN(D253,120),MortAges,0),MAX(MIN(C253,5),0)+1)</f>
        <v/>
      </c>
      <c r="G253" s="31">
        <f>1-(1-F253)^(1/12)</f>
        <v/>
      </c>
      <c r="H253" s="32">
        <f>MAX(LapseBase-LapseStep*C253,LapseFloor)</f>
        <v/>
      </c>
      <c r="I253" s="32">
        <f>IF(HasSurrCharge,INDEX(SurrRates,MIN(C253,SurrDurMax)+1,MATCH(SurrChargeID,SurrTypes,0)),0)</f>
        <v/>
      </c>
      <c r="J253" s="33">
        <f>N252-P252-O252</f>
        <v/>
      </c>
      <c r="K253" s="30">
        <f>IF(B253=12*PolicyTerm,J253,0)</f>
        <v/>
      </c>
      <c r="L253" s="33">
        <f>J253-K253</f>
        <v/>
      </c>
      <c r="M253" s="30">
        <f>IF(B253=0,PolicyCount,0)</f>
        <v/>
      </c>
      <c r="N253" s="33">
        <f>L253+M253</f>
        <v/>
      </c>
      <c r="O253" s="31">
        <f>N253*G253</f>
        <v/>
      </c>
      <c r="P253" s="33">
        <f>(N253-O253)*(1-(1-H253)^(1/12))</f>
        <v/>
      </c>
      <c r="Q253" s="34">
        <f>X252+Z252</f>
        <v/>
      </c>
      <c r="R253" s="29">
        <f>(1-LoadPremRate)*E253</f>
        <v/>
      </c>
      <c r="S253" s="34">
        <f>Q253+R253</f>
        <v/>
      </c>
      <c r="T253" s="29">
        <f>MaintFeeRateAnn/12*S253</f>
        <v/>
      </c>
      <c r="U253" s="29">
        <f>MAX(SumAssured-S253,0)</f>
        <v/>
      </c>
      <c r="V253" s="35">
        <f>CoiMultiple*G253</f>
        <v/>
      </c>
      <c r="W253" s="34">
        <f>V253*U253</f>
        <v/>
      </c>
      <c r="X253" s="34">
        <f>S253-T253-W253</f>
        <v/>
      </c>
      <c r="Y253" s="36">
        <f>EXP((Mu-0.5*Sigma^2)/12+Sigma*SQRT(1/12)*INDEX(NormRand,ScenID,A253+1))-1</f>
        <v/>
      </c>
      <c r="Z253" s="34">
        <f>Y253*X253</f>
        <v/>
      </c>
      <c r="AA253" s="34">
        <f>X253+0.5*Z253</f>
        <v/>
      </c>
      <c r="AB253" s="34">
        <f>Q253*J253</f>
        <v/>
      </c>
      <c r="AC253" s="34">
        <f>Q253*L253</f>
        <v/>
      </c>
      <c r="AD253" s="34">
        <f>S253*N253</f>
        <v/>
      </c>
      <c r="AE253" s="34">
        <f>E253*N253</f>
        <v/>
      </c>
      <c r="AF253" s="34">
        <f>R253*N253</f>
        <v/>
      </c>
      <c r="AG253" s="29">
        <f>MAX(SumAssured,AA253)</f>
        <v/>
      </c>
      <c r="AH253" s="34">
        <f>AG253*O253</f>
        <v/>
      </c>
      <c r="AI253" s="34">
        <f>AA253*O253</f>
        <v/>
      </c>
      <c r="AJ253" s="34">
        <f>AA253*P253</f>
        <v/>
      </c>
      <c r="AK253" s="34">
        <f>I253*AA253*P253</f>
        <v/>
      </c>
      <c r="AL253" s="34">
        <f>AJ253-AK253</f>
        <v/>
      </c>
      <c r="AM253" s="34">
        <f>Q253*K253</f>
        <v/>
      </c>
      <c r="AN253" s="34">
        <f>AH253+AL253+AM253</f>
        <v/>
      </c>
      <c r="AO253" s="34">
        <f>(AG253-AA253)*O253</f>
        <v/>
      </c>
      <c r="AP253" s="34">
        <f>W253*N253</f>
        <v/>
      </c>
      <c r="AQ253" s="34">
        <f>T253*N253</f>
        <v/>
      </c>
      <c r="AR253" s="34">
        <f>Z253*J254+0.5*Z253*(O253+P253)</f>
        <v/>
      </c>
      <c r="AS253" s="30">
        <f>(1+InflationRate)^(A253/12)</f>
        <v/>
      </c>
      <c r="AT253" s="29">
        <f>ExpenseAcq*M253+N253*ExpenseMaint/12*AS253</f>
        <v/>
      </c>
      <c r="AU253" s="29">
        <f>CommissionRate*AE253</f>
        <v/>
      </c>
      <c r="AV253" s="34">
        <f>AB254-AB253</f>
        <v/>
      </c>
      <c r="AW253" s="34">
        <f>AE253+AR253-AN253-AT253-AU253-AV253</f>
        <v/>
      </c>
      <c r="AX253" s="29">
        <f>LoadPremRate*E253*N253+AK253+AQ253-AU253-AT253</f>
        <v/>
      </c>
      <c r="AY253" s="34">
        <f>AP253-AO253</f>
        <v/>
      </c>
      <c r="AZ253" s="37">
        <f>(AW253-AX253-AY253)/MAX(1,ABS(AW253),ABS(AX253),ABS(AY253))</f>
        <v/>
      </c>
      <c r="BA253" s="37">
        <f>IF(OR(K253&gt;0,K254&gt;0),0,(AC254-(AC253+AF253-AQ253-AP253+AR253-AI253-AJ253-AM253))/MAX(1,ABS(AC253),ABS(AC254)))</f>
        <v/>
      </c>
      <c r="BB253" s="35">
        <f>(1+INDEX(DiscRateAnn,INT(A253/12)+1))^(1/12)-1</f>
        <v/>
      </c>
      <c r="BC253" s="31">
        <f>(1+BB253)^-A253</f>
        <v/>
      </c>
      <c r="BD253" s="34">
        <f>AW253*BC253</f>
        <v/>
      </c>
    </row>
    <row r="254">
      <c r="A254" s="27">
        <f>A253+1</f>
        <v/>
      </c>
      <c r="B254" s="28">
        <f>Duration0+A254</f>
        <v/>
      </c>
      <c r="C254" s="27">
        <f>INT(B254/12)</f>
        <v/>
      </c>
      <c r="D254" s="28">
        <f>AgeAtEntry+C254</f>
        <v/>
      </c>
      <c r="E254" s="29">
        <f>IF(PremiumType="SINGLE",IF(B254=0,PremiumPPInput,0),IF(B254&lt;12*PolicyTerm,PremiumPPInput,0))</f>
        <v/>
      </c>
      <c r="F254" s="30">
        <f>INDEX(MortRates,MATCH(MIN(D254,120),MortAges,0),MAX(MIN(C254,5),0)+1)</f>
        <v/>
      </c>
      <c r="G254" s="31">
        <f>1-(1-F254)^(1/12)</f>
        <v/>
      </c>
      <c r="H254" s="32">
        <f>MAX(LapseBase-LapseStep*C254,LapseFloor)</f>
        <v/>
      </c>
      <c r="I254" s="32">
        <f>IF(HasSurrCharge,INDEX(SurrRates,MIN(C254,SurrDurMax)+1,MATCH(SurrChargeID,SurrTypes,0)),0)</f>
        <v/>
      </c>
      <c r="J254" s="33">
        <f>N253-P253-O253</f>
        <v/>
      </c>
      <c r="K254" s="30">
        <f>IF(B254=12*PolicyTerm,J254,0)</f>
        <v/>
      </c>
      <c r="L254" s="33">
        <f>J254-K254</f>
        <v/>
      </c>
      <c r="M254" s="30">
        <f>IF(B254=0,PolicyCount,0)</f>
        <v/>
      </c>
      <c r="N254" s="33">
        <f>L254+M254</f>
        <v/>
      </c>
      <c r="O254" s="31">
        <f>N254*G254</f>
        <v/>
      </c>
      <c r="P254" s="33">
        <f>(N254-O254)*(1-(1-H254)^(1/12))</f>
        <v/>
      </c>
      <c r="Q254" s="34">
        <f>X253+Z253</f>
        <v/>
      </c>
      <c r="R254" s="29">
        <f>(1-LoadPremRate)*E254</f>
        <v/>
      </c>
      <c r="S254" s="34">
        <f>Q254+R254</f>
        <v/>
      </c>
      <c r="T254" s="29">
        <f>MaintFeeRateAnn/12*S254</f>
        <v/>
      </c>
      <c r="U254" s="29">
        <f>MAX(SumAssured-S254,0)</f>
        <v/>
      </c>
      <c r="V254" s="35">
        <f>CoiMultiple*G254</f>
        <v/>
      </c>
      <c r="W254" s="34">
        <f>V254*U254</f>
        <v/>
      </c>
      <c r="X254" s="34">
        <f>S254-T254-W254</f>
        <v/>
      </c>
      <c r="Y254" s="36">
        <f>EXP((Mu-0.5*Sigma^2)/12+Sigma*SQRT(1/12)*INDEX(NormRand,ScenID,A254+1))-1</f>
        <v/>
      </c>
      <c r="Z254" s="34">
        <f>Y254*X254</f>
        <v/>
      </c>
      <c r="AA254" s="34">
        <f>X254+0.5*Z254</f>
        <v/>
      </c>
      <c r="AB254" s="34">
        <f>Q254*J254</f>
        <v/>
      </c>
      <c r="AC254" s="34">
        <f>Q254*L254</f>
        <v/>
      </c>
      <c r="AD254" s="34">
        <f>S254*N254</f>
        <v/>
      </c>
      <c r="AE254" s="34">
        <f>E254*N254</f>
        <v/>
      </c>
      <c r="AF254" s="34">
        <f>R254*N254</f>
        <v/>
      </c>
      <c r="AG254" s="29">
        <f>MAX(SumAssured,AA254)</f>
        <v/>
      </c>
      <c r="AH254" s="34">
        <f>AG254*O254</f>
        <v/>
      </c>
      <c r="AI254" s="34">
        <f>AA254*O254</f>
        <v/>
      </c>
      <c r="AJ254" s="34">
        <f>AA254*P254</f>
        <v/>
      </c>
      <c r="AK254" s="34">
        <f>I254*AA254*P254</f>
        <v/>
      </c>
      <c r="AL254" s="34">
        <f>AJ254-AK254</f>
        <v/>
      </c>
      <c r="AM254" s="34">
        <f>Q254*K254</f>
        <v/>
      </c>
      <c r="AN254" s="34">
        <f>AH254+AL254+AM254</f>
        <v/>
      </c>
      <c r="AO254" s="34">
        <f>(AG254-AA254)*O254</f>
        <v/>
      </c>
      <c r="AP254" s="34">
        <f>W254*N254</f>
        <v/>
      </c>
      <c r="AQ254" s="34">
        <f>T254*N254</f>
        <v/>
      </c>
      <c r="AR254" s="34">
        <f>Z254*J255+0.5*Z254*(O254+P254)</f>
        <v/>
      </c>
      <c r="AS254" s="30">
        <f>(1+InflationRate)^(A254/12)</f>
        <v/>
      </c>
      <c r="AT254" s="29">
        <f>ExpenseAcq*M254+N254*ExpenseMaint/12*AS254</f>
        <v/>
      </c>
      <c r="AU254" s="29">
        <f>CommissionRate*AE254</f>
        <v/>
      </c>
      <c r="AV254" s="34">
        <f>AB255-AB254</f>
        <v/>
      </c>
      <c r="AW254" s="34">
        <f>AE254+AR254-AN254-AT254-AU254-AV254</f>
        <v/>
      </c>
      <c r="AX254" s="29">
        <f>LoadPremRate*E254*N254+AK254+AQ254-AU254-AT254</f>
        <v/>
      </c>
      <c r="AY254" s="34">
        <f>AP254-AO254</f>
        <v/>
      </c>
      <c r="AZ254" s="37">
        <f>(AW254-AX254-AY254)/MAX(1,ABS(AW254),ABS(AX254),ABS(AY254))</f>
        <v/>
      </c>
      <c r="BA254" s="37">
        <f>IF(OR(K254&gt;0,K255&gt;0),0,(AC255-(AC254+AF254-AQ254-AP254+AR254-AI254-AJ254-AM254))/MAX(1,ABS(AC254),ABS(AC255)))</f>
        <v/>
      </c>
      <c r="BB254" s="35">
        <f>(1+INDEX(DiscRateAnn,INT(A254/12)+1))^(1/12)-1</f>
        <v/>
      </c>
      <c r="BC254" s="31">
        <f>(1+BB254)^-A254</f>
        <v/>
      </c>
      <c r="BD254" s="34">
        <f>AW254*BC254</f>
        <v/>
      </c>
    </row>
    <row r="255">
      <c r="A255" s="27">
        <f>A254+1</f>
        <v/>
      </c>
      <c r="B255" s="28">
        <f>Duration0+A255</f>
        <v/>
      </c>
      <c r="C255" s="27">
        <f>INT(B255/12)</f>
        <v/>
      </c>
      <c r="D255" s="28">
        <f>AgeAtEntry+C255</f>
        <v/>
      </c>
      <c r="E255" s="29">
        <f>IF(PremiumType="SINGLE",IF(B255=0,PremiumPPInput,0),IF(B255&lt;12*PolicyTerm,PremiumPPInput,0))</f>
        <v/>
      </c>
      <c r="F255" s="30">
        <f>INDEX(MortRates,MATCH(MIN(D255,120),MortAges,0),MAX(MIN(C255,5),0)+1)</f>
        <v/>
      </c>
      <c r="G255" s="31">
        <f>1-(1-F255)^(1/12)</f>
        <v/>
      </c>
      <c r="H255" s="32">
        <f>MAX(LapseBase-LapseStep*C255,LapseFloor)</f>
        <v/>
      </c>
      <c r="I255" s="32">
        <f>IF(HasSurrCharge,INDEX(SurrRates,MIN(C255,SurrDurMax)+1,MATCH(SurrChargeID,SurrTypes,0)),0)</f>
        <v/>
      </c>
      <c r="J255" s="33">
        <f>N254-P254-O254</f>
        <v/>
      </c>
      <c r="K255" s="30">
        <f>IF(B255=12*PolicyTerm,J255,0)</f>
        <v/>
      </c>
      <c r="L255" s="33">
        <f>J255-K255</f>
        <v/>
      </c>
      <c r="M255" s="30">
        <f>IF(B255=0,PolicyCount,0)</f>
        <v/>
      </c>
      <c r="N255" s="33">
        <f>L255+M255</f>
        <v/>
      </c>
      <c r="O255" s="31">
        <f>N255*G255</f>
        <v/>
      </c>
      <c r="P255" s="33">
        <f>(N255-O255)*(1-(1-H255)^(1/12))</f>
        <v/>
      </c>
      <c r="Q255" s="34">
        <f>X254+Z254</f>
        <v/>
      </c>
      <c r="R255" s="29">
        <f>(1-LoadPremRate)*E255</f>
        <v/>
      </c>
      <c r="S255" s="34">
        <f>Q255+R255</f>
        <v/>
      </c>
      <c r="T255" s="29">
        <f>MaintFeeRateAnn/12*S255</f>
        <v/>
      </c>
      <c r="U255" s="29">
        <f>MAX(SumAssured-S255,0)</f>
        <v/>
      </c>
      <c r="V255" s="35">
        <f>CoiMultiple*G255</f>
        <v/>
      </c>
      <c r="W255" s="34">
        <f>V255*U255</f>
        <v/>
      </c>
      <c r="X255" s="34">
        <f>S255-T255-W255</f>
        <v/>
      </c>
      <c r="Y255" s="36">
        <f>EXP((Mu-0.5*Sigma^2)/12+Sigma*SQRT(1/12)*INDEX(NormRand,ScenID,A255+1))-1</f>
        <v/>
      </c>
      <c r="Z255" s="34">
        <f>Y255*X255</f>
        <v/>
      </c>
      <c r="AA255" s="34">
        <f>X255+0.5*Z255</f>
        <v/>
      </c>
      <c r="AB255" s="34">
        <f>Q255*J255</f>
        <v/>
      </c>
      <c r="AC255" s="34">
        <f>Q255*L255</f>
        <v/>
      </c>
      <c r="AD255" s="34">
        <f>S255*N255</f>
        <v/>
      </c>
      <c r="AE255" s="34">
        <f>E255*N255</f>
        <v/>
      </c>
      <c r="AF255" s="34">
        <f>R255*N255</f>
        <v/>
      </c>
      <c r="AG255" s="29">
        <f>MAX(SumAssured,AA255)</f>
        <v/>
      </c>
      <c r="AH255" s="34">
        <f>AG255*O255</f>
        <v/>
      </c>
      <c r="AI255" s="34">
        <f>AA255*O255</f>
        <v/>
      </c>
      <c r="AJ255" s="34">
        <f>AA255*P255</f>
        <v/>
      </c>
      <c r="AK255" s="34">
        <f>I255*AA255*P255</f>
        <v/>
      </c>
      <c r="AL255" s="34">
        <f>AJ255-AK255</f>
        <v/>
      </c>
      <c r="AM255" s="34">
        <f>Q255*K255</f>
        <v/>
      </c>
      <c r="AN255" s="34">
        <f>AH255+AL255+AM255</f>
        <v/>
      </c>
      <c r="AO255" s="34">
        <f>(AG255-AA255)*O255</f>
        <v/>
      </c>
      <c r="AP255" s="34">
        <f>W255*N255</f>
        <v/>
      </c>
      <c r="AQ255" s="34">
        <f>T255*N255</f>
        <v/>
      </c>
      <c r="AR255" s="34">
        <f>Z255*J256+0.5*Z255*(O255+P255)</f>
        <v/>
      </c>
      <c r="AS255" s="30">
        <f>(1+InflationRate)^(A255/12)</f>
        <v/>
      </c>
      <c r="AT255" s="29">
        <f>ExpenseAcq*M255+N255*ExpenseMaint/12*AS255</f>
        <v/>
      </c>
      <c r="AU255" s="29">
        <f>CommissionRate*AE255</f>
        <v/>
      </c>
      <c r="AV255" s="34">
        <f>AB256-AB255</f>
        <v/>
      </c>
      <c r="AW255" s="34">
        <f>AE255+AR255-AN255-AT255-AU255-AV255</f>
        <v/>
      </c>
      <c r="AX255" s="29">
        <f>LoadPremRate*E255*N255+AK255+AQ255-AU255-AT255</f>
        <v/>
      </c>
      <c r="AY255" s="34">
        <f>AP255-AO255</f>
        <v/>
      </c>
      <c r="AZ255" s="37">
        <f>(AW255-AX255-AY255)/MAX(1,ABS(AW255),ABS(AX255),ABS(AY255))</f>
        <v/>
      </c>
      <c r="BA255" s="37">
        <f>IF(OR(K255&gt;0,K256&gt;0),0,(AC256-(AC255+AF255-AQ255-AP255+AR255-AI255-AJ255-AM255))/MAX(1,ABS(AC255),ABS(AC256)))</f>
        <v/>
      </c>
      <c r="BB255" s="35">
        <f>(1+INDEX(DiscRateAnn,INT(A255/12)+1))^(1/12)-1</f>
        <v/>
      </c>
      <c r="BC255" s="31">
        <f>(1+BB255)^-A255</f>
        <v/>
      </c>
      <c r="BD255" s="34">
        <f>AW255*BC255</f>
        <v/>
      </c>
    </row>
    <row r="256">
      <c r="A256" s="27">
        <f>A255+1</f>
        <v/>
      </c>
      <c r="B256" s="28">
        <f>Duration0+A256</f>
        <v/>
      </c>
      <c r="C256" s="27">
        <f>INT(B256/12)</f>
        <v/>
      </c>
      <c r="D256" s="28">
        <f>AgeAtEntry+C256</f>
        <v/>
      </c>
      <c r="E256" s="29">
        <f>IF(PremiumType="SINGLE",IF(B256=0,PremiumPPInput,0),IF(B256&lt;12*PolicyTerm,PremiumPPInput,0))</f>
        <v/>
      </c>
      <c r="F256" s="30">
        <f>INDEX(MortRates,MATCH(MIN(D256,120),MortAges,0),MAX(MIN(C256,5),0)+1)</f>
        <v/>
      </c>
      <c r="G256" s="31">
        <f>1-(1-F256)^(1/12)</f>
        <v/>
      </c>
      <c r="H256" s="32">
        <f>MAX(LapseBase-LapseStep*C256,LapseFloor)</f>
        <v/>
      </c>
      <c r="I256" s="32">
        <f>IF(HasSurrCharge,INDEX(SurrRates,MIN(C256,SurrDurMax)+1,MATCH(SurrChargeID,SurrTypes,0)),0)</f>
        <v/>
      </c>
      <c r="J256" s="33">
        <f>N255-P255-O255</f>
        <v/>
      </c>
      <c r="K256" s="30">
        <f>IF(B256=12*PolicyTerm,J256,0)</f>
        <v/>
      </c>
      <c r="L256" s="33">
        <f>J256-K256</f>
        <v/>
      </c>
      <c r="M256" s="30">
        <f>IF(B256=0,PolicyCount,0)</f>
        <v/>
      </c>
      <c r="N256" s="33">
        <f>L256+M256</f>
        <v/>
      </c>
      <c r="O256" s="31">
        <f>N256*G256</f>
        <v/>
      </c>
      <c r="P256" s="33">
        <f>(N256-O256)*(1-(1-H256)^(1/12))</f>
        <v/>
      </c>
      <c r="Q256" s="34">
        <f>X255+Z255</f>
        <v/>
      </c>
      <c r="R256" s="29">
        <f>(1-LoadPremRate)*E256</f>
        <v/>
      </c>
      <c r="S256" s="34">
        <f>Q256+R256</f>
        <v/>
      </c>
      <c r="T256" s="29">
        <f>MaintFeeRateAnn/12*S256</f>
        <v/>
      </c>
      <c r="U256" s="29">
        <f>MAX(SumAssured-S256,0)</f>
        <v/>
      </c>
      <c r="V256" s="35">
        <f>CoiMultiple*G256</f>
        <v/>
      </c>
      <c r="W256" s="34">
        <f>V256*U256</f>
        <v/>
      </c>
      <c r="X256" s="34">
        <f>S256-T256-W256</f>
        <v/>
      </c>
      <c r="Y256" s="36">
        <f>EXP((Mu-0.5*Sigma^2)/12+Sigma*SQRT(1/12)*INDEX(NormRand,ScenID,A256+1))-1</f>
        <v/>
      </c>
      <c r="Z256" s="34">
        <f>Y256*X256</f>
        <v/>
      </c>
      <c r="AA256" s="34">
        <f>X256+0.5*Z256</f>
        <v/>
      </c>
      <c r="AB256" s="34">
        <f>Q256*J256</f>
        <v/>
      </c>
      <c r="AC256" s="34">
        <f>Q256*L256</f>
        <v/>
      </c>
      <c r="AD256" s="34">
        <f>S256*N256</f>
        <v/>
      </c>
      <c r="AE256" s="34">
        <f>E256*N256</f>
        <v/>
      </c>
      <c r="AF256" s="34">
        <f>R256*N256</f>
        <v/>
      </c>
      <c r="AG256" s="29">
        <f>MAX(SumAssured,AA256)</f>
        <v/>
      </c>
      <c r="AH256" s="34">
        <f>AG256*O256</f>
        <v/>
      </c>
      <c r="AI256" s="34">
        <f>AA256*O256</f>
        <v/>
      </c>
      <c r="AJ256" s="34">
        <f>AA256*P256</f>
        <v/>
      </c>
      <c r="AK256" s="34">
        <f>I256*AA256*P256</f>
        <v/>
      </c>
      <c r="AL256" s="34">
        <f>AJ256-AK256</f>
        <v/>
      </c>
      <c r="AM256" s="34">
        <f>Q256*K256</f>
        <v/>
      </c>
      <c r="AN256" s="34">
        <f>AH256+AL256+AM256</f>
        <v/>
      </c>
      <c r="AO256" s="34">
        <f>(AG256-AA256)*O256</f>
        <v/>
      </c>
      <c r="AP256" s="34">
        <f>W256*N256</f>
        <v/>
      </c>
      <c r="AQ256" s="34">
        <f>T256*N256</f>
        <v/>
      </c>
      <c r="AR256" s="34">
        <f>Z256*J257+0.5*Z256*(O256+P256)</f>
        <v/>
      </c>
      <c r="AS256" s="30">
        <f>(1+InflationRate)^(A256/12)</f>
        <v/>
      </c>
      <c r="AT256" s="29">
        <f>ExpenseAcq*M256+N256*ExpenseMaint/12*AS256</f>
        <v/>
      </c>
      <c r="AU256" s="29">
        <f>CommissionRate*AE256</f>
        <v/>
      </c>
      <c r="AV256" s="34">
        <f>AB257-AB256</f>
        <v/>
      </c>
      <c r="AW256" s="34">
        <f>AE256+AR256-AN256-AT256-AU256-AV256</f>
        <v/>
      </c>
      <c r="AX256" s="29">
        <f>LoadPremRate*E256*N256+AK256+AQ256-AU256-AT256</f>
        <v/>
      </c>
      <c r="AY256" s="34">
        <f>AP256-AO256</f>
        <v/>
      </c>
      <c r="AZ256" s="37">
        <f>(AW256-AX256-AY256)/MAX(1,ABS(AW256),ABS(AX256),ABS(AY256))</f>
        <v/>
      </c>
      <c r="BA256" s="37">
        <f>IF(OR(K256&gt;0,K257&gt;0),0,(AC257-(AC256+AF256-AQ256-AP256+AR256-AI256-AJ256-AM256))/MAX(1,ABS(AC256),ABS(AC257)))</f>
        <v/>
      </c>
      <c r="BB256" s="35">
        <f>(1+INDEX(DiscRateAnn,INT(A256/12)+1))^(1/12)-1</f>
        <v/>
      </c>
      <c r="BC256" s="31">
        <f>(1+BB256)^-A256</f>
        <v/>
      </c>
      <c r="BD256" s="34">
        <f>AW256*BC256</f>
        <v/>
      </c>
    </row>
    <row r="257">
      <c r="A257" s="27">
        <f>A256+1</f>
        <v/>
      </c>
      <c r="B257" s="28">
        <f>Duration0+A257</f>
        <v/>
      </c>
      <c r="C257" s="27">
        <f>INT(B257/12)</f>
        <v/>
      </c>
      <c r="D257" s="28">
        <f>AgeAtEntry+C257</f>
        <v/>
      </c>
      <c r="E257" s="29">
        <f>IF(PremiumType="SINGLE",IF(B257=0,PremiumPPInput,0),IF(B257&lt;12*PolicyTerm,PremiumPPInput,0))</f>
        <v/>
      </c>
      <c r="F257" s="30">
        <f>INDEX(MortRates,MATCH(MIN(D257,120),MortAges,0),MAX(MIN(C257,5),0)+1)</f>
        <v/>
      </c>
      <c r="G257" s="31">
        <f>1-(1-F257)^(1/12)</f>
        <v/>
      </c>
      <c r="H257" s="32">
        <f>MAX(LapseBase-LapseStep*C257,LapseFloor)</f>
        <v/>
      </c>
      <c r="I257" s="32">
        <f>IF(HasSurrCharge,INDEX(SurrRates,MIN(C257,SurrDurMax)+1,MATCH(SurrChargeID,SurrTypes,0)),0)</f>
        <v/>
      </c>
      <c r="J257" s="33">
        <f>N256-P256-O256</f>
        <v/>
      </c>
      <c r="K257" s="30">
        <f>IF(B257=12*PolicyTerm,J257,0)</f>
        <v/>
      </c>
      <c r="L257" s="33">
        <f>J257-K257</f>
        <v/>
      </c>
      <c r="M257" s="30">
        <f>IF(B257=0,PolicyCount,0)</f>
        <v/>
      </c>
      <c r="N257" s="33">
        <f>L257+M257</f>
        <v/>
      </c>
      <c r="O257" s="31">
        <f>N257*G257</f>
        <v/>
      </c>
      <c r="P257" s="33">
        <f>(N257-O257)*(1-(1-H257)^(1/12))</f>
        <v/>
      </c>
      <c r="Q257" s="34">
        <f>X256+Z256</f>
        <v/>
      </c>
      <c r="R257" s="29">
        <f>(1-LoadPremRate)*E257</f>
        <v/>
      </c>
      <c r="S257" s="34">
        <f>Q257+R257</f>
        <v/>
      </c>
      <c r="T257" s="29">
        <f>MaintFeeRateAnn/12*S257</f>
        <v/>
      </c>
      <c r="U257" s="29">
        <f>MAX(SumAssured-S257,0)</f>
        <v/>
      </c>
      <c r="V257" s="35">
        <f>CoiMultiple*G257</f>
        <v/>
      </c>
      <c r="W257" s="34">
        <f>V257*U257</f>
        <v/>
      </c>
      <c r="X257" s="34">
        <f>S257-T257-W257</f>
        <v/>
      </c>
      <c r="Y257" s="36">
        <f>EXP((Mu-0.5*Sigma^2)/12+Sigma*SQRT(1/12)*INDEX(NormRand,ScenID,A257+1))-1</f>
        <v/>
      </c>
      <c r="Z257" s="34">
        <f>Y257*X257</f>
        <v/>
      </c>
      <c r="AA257" s="34">
        <f>X257+0.5*Z257</f>
        <v/>
      </c>
      <c r="AB257" s="34">
        <f>Q257*J257</f>
        <v/>
      </c>
      <c r="AC257" s="34">
        <f>Q257*L257</f>
        <v/>
      </c>
      <c r="AD257" s="34">
        <f>S257*N257</f>
        <v/>
      </c>
      <c r="AE257" s="34">
        <f>E257*N257</f>
        <v/>
      </c>
      <c r="AF257" s="34">
        <f>R257*N257</f>
        <v/>
      </c>
      <c r="AG257" s="29">
        <f>MAX(SumAssured,AA257)</f>
        <v/>
      </c>
      <c r="AH257" s="34">
        <f>AG257*O257</f>
        <v/>
      </c>
      <c r="AI257" s="34">
        <f>AA257*O257</f>
        <v/>
      </c>
      <c r="AJ257" s="34">
        <f>AA257*P257</f>
        <v/>
      </c>
      <c r="AK257" s="34">
        <f>I257*AA257*P257</f>
        <v/>
      </c>
      <c r="AL257" s="34">
        <f>AJ257-AK257</f>
        <v/>
      </c>
      <c r="AM257" s="34">
        <f>Q257*K257</f>
        <v/>
      </c>
      <c r="AN257" s="34">
        <f>AH257+AL257+AM257</f>
        <v/>
      </c>
      <c r="AO257" s="34">
        <f>(AG257-AA257)*O257</f>
        <v/>
      </c>
      <c r="AP257" s="34">
        <f>W257*N257</f>
        <v/>
      </c>
      <c r="AQ257" s="34">
        <f>T257*N257</f>
        <v/>
      </c>
      <c r="AR257" s="34">
        <f>Z257*J258+0.5*Z257*(O257+P257)</f>
        <v/>
      </c>
      <c r="AS257" s="30">
        <f>(1+InflationRate)^(A257/12)</f>
        <v/>
      </c>
      <c r="AT257" s="29">
        <f>ExpenseAcq*M257+N257*ExpenseMaint/12*AS257</f>
        <v/>
      </c>
      <c r="AU257" s="29">
        <f>CommissionRate*AE257</f>
        <v/>
      </c>
      <c r="AV257" s="34">
        <f>AB258-AB257</f>
        <v/>
      </c>
      <c r="AW257" s="34">
        <f>AE257+AR257-AN257-AT257-AU257-AV257</f>
        <v/>
      </c>
      <c r="AX257" s="29">
        <f>LoadPremRate*E257*N257+AK257+AQ257-AU257-AT257</f>
        <v/>
      </c>
      <c r="AY257" s="34">
        <f>AP257-AO257</f>
        <v/>
      </c>
      <c r="AZ257" s="37">
        <f>(AW257-AX257-AY257)/MAX(1,ABS(AW257),ABS(AX257),ABS(AY257))</f>
        <v/>
      </c>
      <c r="BA257" s="37">
        <f>IF(OR(K257&gt;0,K258&gt;0),0,(AC258-(AC257+AF257-AQ257-AP257+AR257-AI257-AJ257-AM257))/MAX(1,ABS(AC257),ABS(AC258)))</f>
        <v/>
      </c>
      <c r="BB257" s="35">
        <f>(1+INDEX(DiscRateAnn,INT(A257/12)+1))^(1/12)-1</f>
        <v/>
      </c>
      <c r="BC257" s="31">
        <f>(1+BB257)^-A257</f>
        <v/>
      </c>
      <c r="BD257" s="34">
        <f>AW257*BC257</f>
        <v/>
      </c>
    </row>
    <row r="258">
      <c r="A258" s="27">
        <f>A257+1</f>
        <v/>
      </c>
      <c r="B258" s="28">
        <f>Duration0+A258</f>
        <v/>
      </c>
      <c r="C258" s="27">
        <f>INT(B258/12)</f>
        <v/>
      </c>
      <c r="D258" s="28">
        <f>AgeAtEntry+C258</f>
        <v/>
      </c>
      <c r="E258" s="29">
        <f>IF(PremiumType="SINGLE",IF(B258=0,PremiumPPInput,0),IF(B258&lt;12*PolicyTerm,PremiumPPInput,0))</f>
        <v/>
      </c>
      <c r="F258" s="30">
        <f>INDEX(MortRates,MATCH(MIN(D258,120),MortAges,0),MAX(MIN(C258,5),0)+1)</f>
        <v/>
      </c>
      <c r="G258" s="31">
        <f>1-(1-F258)^(1/12)</f>
        <v/>
      </c>
      <c r="H258" s="32">
        <f>MAX(LapseBase-LapseStep*C258,LapseFloor)</f>
        <v/>
      </c>
      <c r="I258" s="32">
        <f>IF(HasSurrCharge,INDEX(SurrRates,MIN(C258,SurrDurMax)+1,MATCH(SurrChargeID,SurrTypes,0)),0)</f>
        <v/>
      </c>
      <c r="J258" s="33">
        <f>N257-P257-O257</f>
        <v/>
      </c>
      <c r="K258" s="30">
        <f>IF(B258=12*PolicyTerm,J258,0)</f>
        <v/>
      </c>
      <c r="L258" s="33">
        <f>J258-K258</f>
        <v/>
      </c>
      <c r="M258" s="30">
        <f>IF(B258=0,PolicyCount,0)</f>
        <v/>
      </c>
      <c r="N258" s="33">
        <f>L258+M258</f>
        <v/>
      </c>
      <c r="O258" s="31">
        <f>N258*G258</f>
        <v/>
      </c>
      <c r="P258" s="33">
        <f>(N258-O258)*(1-(1-H258)^(1/12))</f>
        <v/>
      </c>
      <c r="Q258" s="34">
        <f>X257+Z257</f>
        <v/>
      </c>
      <c r="R258" s="29">
        <f>(1-LoadPremRate)*E258</f>
        <v/>
      </c>
      <c r="S258" s="34">
        <f>Q258+R258</f>
        <v/>
      </c>
      <c r="T258" s="29">
        <f>MaintFeeRateAnn/12*S258</f>
        <v/>
      </c>
      <c r="U258" s="29">
        <f>MAX(SumAssured-S258,0)</f>
        <v/>
      </c>
      <c r="V258" s="35">
        <f>CoiMultiple*G258</f>
        <v/>
      </c>
      <c r="W258" s="34">
        <f>V258*U258</f>
        <v/>
      </c>
      <c r="X258" s="34">
        <f>S258-T258-W258</f>
        <v/>
      </c>
      <c r="Y258" s="36">
        <f>EXP((Mu-0.5*Sigma^2)/12+Sigma*SQRT(1/12)*INDEX(NormRand,ScenID,A258+1))-1</f>
        <v/>
      </c>
      <c r="Z258" s="34">
        <f>Y258*X258</f>
        <v/>
      </c>
      <c r="AA258" s="34">
        <f>X258+0.5*Z258</f>
        <v/>
      </c>
      <c r="AB258" s="34">
        <f>Q258*J258</f>
        <v/>
      </c>
      <c r="AC258" s="34">
        <f>Q258*L258</f>
        <v/>
      </c>
      <c r="AD258" s="34">
        <f>S258*N258</f>
        <v/>
      </c>
      <c r="AE258" s="34">
        <f>E258*N258</f>
        <v/>
      </c>
      <c r="AF258" s="34">
        <f>R258*N258</f>
        <v/>
      </c>
      <c r="AG258" s="29">
        <f>MAX(SumAssured,AA258)</f>
        <v/>
      </c>
      <c r="AH258" s="34">
        <f>AG258*O258</f>
        <v/>
      </c>
      <c r="AI258" s="34">
        <f>AA258*O258</f>
        <v/>
      </c>
      <c r="AJ258" s="34">
        <f>AA258*P258</f>
        <v/>
      </c>
      <c r="AK258" s="34">
        <f>I258*AA258*P258</f>
        <v/>
      </c>
      <c r="AL258" s="34">
        <f>AJ258-AK258</f>
        <v/>
      </c>
      <c r="AM258" s="34">
        <f>Q258*K258</f>
        <v/>
      </c>
      <c r="AN258" s="34">
        <f>AH258+AL258+AM258</f>
        <v/>
      </c>
      <c r="AO258" s="34">
        <f>(AG258-AA258)*O258</f>
        <v/>
      </c>
      <c r="AP258" s="34">
        <f>W258*N258</f>
        <v/>
      </c>
      <c r="AQ258" s="34">
        <f>T258*N258</f>
        <v/>
      </c>
      <c r="AR258" s="34">
        <f>Z258*J259+0.5*Z258*(O258+P258)</f>
        <v/>
      </c>
      <c r="AS258" s="30">
        <f>(1+InflationRate)^(A258/12)</f>
        <v/>
      </c>
      <c r="AT258" s="29">
        <f>ExpenseAcq*M258+N258*ExpenseMaint/12*AS258</f>
        <v/>
      </c>
      <c r="AU258" s="29">
        <f>CommissionRate*AE258</f>
        <v/>
      </c>
      <c r="AV258" s="34">
        <f>AB259-AB258</f>
        <v/>
      </c>
      <c r="AW258" s="34">
        <f>AE258+AR258-AN258-AT258-AU258-AV258</f>
        <v/>
      </c>
      <c r="AX258" s="29">
        <f>LoadPremRate*E258*N258+AK258+AQ258-AU258-AT258</f>
        <v/>
      </c>
      <c r="AY258" s="34">
        <f>AP258-AO258</f>
        <v/>
      </c>
      <c r="AZ258" s="37">
        <f>(AW258-AX258-AY258)/MAX(1,ABS(AW258),ABS(AX258),ABS(AY258))</f>
        <v/>
      </c>
      <c r="BA258" s="37">
        <f>IF(OR(K258&gt;0,K259&gt;0),0,(AC259-(AC258+AF258-AQ258-AP258+AR258-AI258-AJ258-AM258))/MAX(1,ABS(AC258),ABS(AC259)))</f>
        <v/>
      </c>
      <c r="BB258" s="35">
        <f>(1+INDEX(DiscRateAnn,INT(A258/12)+1))^(1/12)-1</f>
        <v/>
      </c>
      <c r="BC258" s="31">
        <f>(1+BB258)^-A258</f>
        <v/>
      </c>
      <c r="BD258" s="34">
        <f>AW258*BC258</f>
        <v/>
      </c>
    </row>
    <row r="259">
      <c r="A259" s="27">
        <f>A258+1</f>
        <v/>
      </c>
      <c r="B259" s="28">
        <f>Duration0+A259</f>
        <v/>
      </c>
      <c r="C259" s="27">
        <f>INT(B259/12)</f>
        <v/>
      </c>
      <c r="D259" s="28">
        <f>AgeAtEntry+C259</f>
        <v/>
      </c>
      <c r="E259" s="29">
        <f>IF(PremiumType="SINGLE",IF(B259=0,PremiumPPInput,0),IF(B259&lt;12*PolicyTerm,PremiumPPInput,0))</f>
        <v/>
      </c>
      <c r="F259" s="30">
        <f>INDEX(MortRates,MATCH(MIN(D259,120),MortAges,0),MAX(MIN(C259,5),0)+1)</f>
        <v/>
      </c>
      <c r="G259" s="31">
        <f>1-(1-F259)^(1/12)</f>
        <v/>
      </c>
      <c r="H259" s="32">
        <f>MAX(LapseBase-LapseStep*C259,LapseFloor)</f>
        <v/>
      </c>
      <c r="I259" s="32">
        <f>IF(HasSurrCharge,INDEX(SurrRates,MIN(C259,SurrDurMax)+1,MATCH(SurrChargeID,SurrTypes,0)),0)</f>
        <v/>
      </c>
      <c r="J259" s="33">
        <f>N258-P258-O258</f>
        <v/>
      </c>
      <c r="K259" s="30">
        <f>IF(B259=12*PolicyTerm,J259,0)</f>
        <v/>
      </c>
      <c r="L259" s="33">
        <f>J259-K259</f>
        <v/>
      </c>
      <c r="M259" s="30">
        <f>IF(B259=0,PolicyCount,0)</f>
        <v/>
      </c>
      <c r="N259" s="33">
        <f>L259+M259</f>
        <v/>
      </c>
      <c r="O259" s="31">
        <f>N259*G259</f>
        <v/>
      </c>
      <c r="P259" s="33">
        <f>(N259-O259)*(1-(1-H259)^(1/12))</f>
        <v/>
      </c>
      <c r="Q259" s="34">
        <f>X258+Z258</f>
        <v/>
      </c>
      <c r="R259" s="29">
        <f>(1-LoadPremRate)*E259</f>
        <v/>
      </c>
      <c r="S259" s="34">
        <f>Q259+R259</f>
        <v/>
      </c>
      <c r="T259" s="29">
        <f>MaintFeeRateAnn/12*S259</f>
        <v/>
      </c>
      <c r="U259" s="29">
        <f>MAX(SumAssured-S259,0)</f>
        <v/>
      </c>
      <c r="V259" s="35">
        <f>CoiMultiple*G259</f>
        <v/>
      </c>
      <c r="W259" s="34">
        <f>V259*U259</f>
        <v/>
      </c>
      <c r="X259" s="34">
        <f>S259-T259-W259</f>
        <v/>
      </c>
      <c r="Y259" s="36">
        <f>EXP((Mu-0.5*Sigma^2)/12+Sigma*SQRT(1/12)*INDEX(NormRand,ScenID,A259+1))-1</f>
        <v/>
      </c>
      <c r="Z259" s="34">
        <f>Y259*X259</f>
        <v/>
      </c>
      <c r="AA259" s="34">
        <f>X259+0.5*Z259</f>
        <v/>
      </c>
      <c r="AB259" s="34">
        <f>Q259*J259</f>
        <v/>
      </c>
      <c r="AC259" s="34">
        <f>Q259*L259</f>
        <v/>
      </c>
      <c r="AD259" s="34">
        <f>S259*N259</f>
        <v/>
      </c>
      <c r="AE259" s="34">
        <f>E259*N259</f>
        <v/>
      </c>
      <c r="AF259" s="34">
        <f>R259*N259</f>
        <v/>
      </c>
      <c r="AG259" s="29">
        <f>MAX(SumAssured,AA259)</f>
        <v/>
      </c>
      <c r="AH259" s="34">
        <f>AG259*O259</f>
        <v/>
      </c>
      <c r="AI259" s="34">
        <f>AA259*O259</f>
        <v/>
      </c>
      <c r="AJ259" s="34">
        <f>AA259*P259</f>
        <v/>
      </c>
      <c r="AK259" s="34">
        <f>I259*AA259*P259</f>
        <v/>
      </c>
      <c r="AL259" s="34">
        <f>AJ259-AK259</f>
        <v/>
      </c>
      <c r="AM259" s="34">
        <f>Q259*K259</f>
        <v/>
      </c>
      <c r="AN259" s="34">
        <f>AH259+AL259+AM259</f>
        <v/>
      </c>
      <c r="AO259" s="34">
        <f>(AG259-AA259)*O259</f>
        <v/>
      </c>
      <c r="AP259" s="34">
        <f>W259*N259</f>
        <v/>
      </c>
      <c r="AQ259" s="34">
        <f>T259*N259</f>
        <v/>
      </c>
      <c r="AR259" s="34">
        <f>Z259*J260+0.5*Z259*(O259+P259)</f>
        <v/>
      </c>
      <c r="AS259" s="30">
        <f>(1+InflationRate)^(A259/12)</f>
        <v/>
      </c>
      <c r="AT259" s="29">
        <f>ExpenseAcq*M259+N259*ExpenseMaint/12*AS259</f>
        <v/>
      </c>
      <c r="AU259" s="29">
        <f>CommissionRate*AE259</f>
        <v/>
      </c>
      <c r="AV259" s="34">
        <f>AB260-AB259</f>
        <v/>
      </c>
      <c r="AW259" s="34">
        <f>AE259+AR259-AN259-AT259-AU259-AV259</f>
        <v/>
      </c>
      <c r="AX259" s="29">
        <f>LoadPremRate*E259*N259+AK259+AQ259-AU259-AT259</f>
        <v/>
      </c>
      <c r="AY259" s="34">
        <f>AP259-AO259</f>
        <v/>
      </c>
      <c r="AZ259" s="37">
        <f>(AW259-AX259-AY259)/MAX(1,ABS(AW259),ABS(AX259),ABS(AY259))</f>
        <v/>
      </c>
      <c r="BA259" s="37">
        <f>IF(OR(K259&gt;0,K260&gt;0),0,(AC260-(AC259+AF259-AQ259-AP259+AR259-AI259-AJ259-AM259))/MAX(1,ABS(AC259),ABS(AC260)))</f>
        <v/>
      </c>
      <c r="BB259" s="35">
        <f>(1+INDEX(DiscRateAnn,INT(A259/12)+1))^(1/12)-1</f>
        <v/>
      </c>
      <c r="BC259" s="31">
        <f>(1+BB259)^-A259</f>
        <v/>
      </c>
      <c r="BD259" s="34">
        <f>AW259*BC259</f>
        <v/>
      </c>
    </row>
    <row r="260">
      <c r="A260" s="27">
        <f>A259+1</f>
        <v/>
      </c>
      <c r="B260" s="28">
        <f>Duration0+A260</f>
        <v/>
      </c>
      <c r="C260" s="27">
        <f>INT(B260/12)</f>
        <v/>
      </c>
      <c r="D260" s="28">
        <f>AgeAtEntry+C260</f>
        <v/>
      </c>
      <c r="E260" s="29">
        <f>IF(PremiumType="SINGLE",IF(B260=0,PremiumPPInput,0),IF(B260&lt;12*PolicyTerm,PremiumPPInput,0))</f>
        <v/>
      </c>
      <c r="F260" s="30">
        <f>INDEX(MortRates,MATCH(MIN(D260,120),MortAges,0),MAX(MIN(C260,5),0)+1)</f>
        <v/>
      </c>
      <c r="G260" s="31">
        <f>1-(1-F260)^(1/12)</f>
        <v/>
      </c>
      <c r="H260" s="32">
        <f>MAX(LapseBase-LapseStep*C260,LapseFloor)</f>
        <v/>
      </c>
      <c r="I260" s="32">
        <f>IF(HasSurrCharge,INDEX(SurrRates,MIN(C260,SurrDurMax)+1,MATCH(SurrChargeID,SurrTypes,0)),0)</f>
        <v/>
      </c>
      <c r="J260" s="33">
        <f>N259-P259-O259</f>
        <v/>
      </c>
      <c r="K260" s="30">
        <f>IF(B260=12*PolicyTerm,J260,0)</f>
        <v/>
      </c>
      <c r="L260" s="33">
        <f>J260-K260</f>
        <v/>
      </c>
      <c r="M260" s="30">
        <f>IF(B260=0,PolicyCount,0)</f>
        <v/>
      </c>
      <c r="N260" s="33">
        <f>L260+M260</f>
        <v/>
      </c>
      <c r="O260" s="31">
        <f>N260*G260</f>
        <v/>
      </c>
      <c r="P260" s="33">
        <f>(N260-O260)*(1-(1-H260)^(1/12))</f>
        <v/>
      </c>
      <c r="Q260" s="34">
        <f>X259+Z259</f>
        <v/>
      </c>
      <c r="R260" s="29">
        <f>(1-LoadPremRate)*E260</f>
        <v/>
      </c>
      <c r="S260" s="34">
        <f>Q260+R260</f>
        <v/>
      </c>
      <c r="T260" s="29">
        <f>MaintFeeRateAnn/12*S260</f>
        <v/>
      </c>
      <c r="U260" s="29">
        <f>MAX(SumAssured-S260,0)</f>
        <v/>
      </c>
      <c r="V260" s="35">
        <f>CoiMultiple*G260</f>
        <v/>
      </c>
      <c r="W260" s="34">
        <f>V260*U260</f>
        <v/>
      </c>
      <c r="X260" s="34">
        <f>S260-T260-W260</f>
        <v/>
      </c>
      <c r="Y260" s="36">
        <f>EXP((Mu-0.5*Sigma^2)/12+Sigma*SQRT(1/12)*INDEX(NormRand,ScenID,A260+1))-1</f>
        <v/>
      </c>
      <c r="Z260" s="34">
        <f>Y260*X260</f>
        <v/>
      </c>
      <c r="AA260" s="34">
        <f>X260+0.5*Z260</f>
        <v/>
      </c>
      <c r="AB260" s="34">
        <f>Q260*J260</f>
        <v/>
      </c>
      <c r="AC260" s="34">
        <f>Q260*L260</f>
        <v/>
      </c>
      <c r="AD260" s="34">
        <f>S260*N260</f>
        <v/>
      </c>
      <c r="AE260" s="34">
        <f>E260*N260</f>
        <v/>
      </c>
      <c r="AF260" s="34">
        <f>R260*N260</f>
        <v/>
      </c>
      <c r="AG260" s="29">
        <f>MAX(SumAssured,AA260)</f>
        <v/>
      </c>
      <c r="AH260" s="34">
        <f>AG260*O260</f>
        <v/>
      </c>
      <c r="AI260" s="34">
        <f>AA260*O260</f>
        <v/>
      </c>
      <c r="AJ260" s="34">
        <f>AA260*P260</f>
        <v/>
      </c>
      <c r="AK260" s="34">
        <f>I260*AA260*P260</f>
        <v/>
      </c>
      <c r="AL260" s="34">
        <f>AJ260-AK260</f>
        <v/>
      </c>
      <c r="AM260" s="34">
        <f>Q260*K260</f>
        <v/>
      </c>
      <c r="AN260" s="34">
        <f>AH260+AL260+AM260</f>
        <v/>
      </c>
      <c r="AO260" s="34">
        <f>(AG260-AA260)*O260</f>
        <v/>
      </c>
      <c r="AP260" s="34">
        <f>W260*N260</f>
        <v/>
      </c>
      <c r="AQ260" s="34">
        <f>T260*N260</f>
        <v/>
      </c>
      <c r="AR260" s="34">
        <f>Z260*J261+0.5*Z260*(O260+P260)</f>
        <v/>
      </c>
      <c r="AS260" s="30">
        <f>(1+InflationRate)^(A260/12)</f>
        <v/>
      </c>
      <c r="AT260" s="29">
        <f>ExpenseAcq*M260+N260*ExpenseMaint/12*AS260</f>
        <v/>
      </c>
      <c r="AU260" s="29">
        <f>CommissionRate*AE260</f>
        <v/>
      </c>
      <c r="AV260" s="34">
        <f>AB261-AB260</f>
        <v/>
      </c>
      <c r="AW260" s="34">
        <f>AE260+AR260-AN260-AT260-AU260-AV260</f>
        <v/>
      </c>
      <c r="AX260" s="29">
        <f>LoadPremRate*E260*N260+AK260+AQ260-AU260-AT260</f>
        <v/>
      </c>
      <c r="AY260" s="34">
        <f>AP260-AO260</f>
        <v/>
      </c>
      <c r="AZ260" s="37">
        <f>(AW260-AX260-AY260)/MAX(1,ABS(AW260),ABS(AX260),ABS(AY260))</f>
        <v/>
      </c>
      <c r="BA260" s="37">
        <f>IF(OR(K260&gt;0,K261&gt;0),0,(AC261-(AC260+AF260-AQ260-AP260+AR260-AI260-AJ260-AM260))/MAX(1,ABS(AC260),ABS(AC261)))</f>
        <v/>
      </c>
      <c r="BB260" s="35">
        <f>(1+INDEX(DiscRateAnn,INT(A260/12)+1))^(1/12)-1</f>
        <v/>
      </c>
      <c r="BC260" s="31">
        <f>(1+BB260)^-A260</f>
        <v/>
      </c>
      <c r="BD260" s="34">
        <f>AW260*BC260</f>
        <v/>
      </c>
    </row>
    <row r="261">
      <c r="A261" s="27">
        <f>A260+1</f>
        <v/>
      </c>
      <c r="B261" s="28">
        <f>Duration0+A261</f>
        <v/>
      </c>
      <c r="C261" s="27">
        <f>INT(B261/12)</f>
        <v/>
      </c>
      <c r="D261" s="28">
        <f>AgeAtEntry+C261</f>
        <v/>
      </c>
      <c r="E261" s="29">
        <f>IF(PremiumType="SINGLE",IF(B261=0,PremiumPPInput,0),IF(B261&lt;12*PolicyTerm,PremiumPPInput,0))</f>
        <v/>
      </c>
      <c r="F261" s="30">
        <f>INDEX(MortRates,MATCH(MIN(D261,120),MortAges,0),MAX(MIN(C261,5),0)+1)</f>
        <v/>
      </c>
      <c r="G261" s="31">
        <f>1-(1-F261)^(1/12)</f>
        <v/>
      </c>
      <c r="H261" s="32">
        <f>MAX(LapseBase-LapseStep*C261,LapseFloor)</f>
        <v/>
      </c>
      <c r="I261" s="32">
        <f>IF(HasSurrCharge,INDEX(SurrRates,MIN(C261,SurrDurMax)+1,MATCH(SurrChargeID,SurrTypes,0)),0)</f>
        <v/>
      </c>
      <c r="J261" s="33">
        <f>N260-P260-O260</f>
        <v/>
      </c>
      <c r="K261" s="30">
        <f>IF(B261=12*PolicyTerm,J261,0)</f>
        <v/>
      </c>
      <c r="L261" s="33">
        <f>J261-K261</f>
        <v/>
      </c>
      <c r="M261" s="30">
        <f>IF(B261=0,PolicyCount,0)</f>
        <v/>
      </c>
      <c r="N261" s="33">
        <f>L261+M261</f>
        <v/>
      </c>
      <c r="O261" s="31">
        <f>N261*G261</f>
        <v/>
      </c>
      <c r="P261" s="33">
        <f>(N261-O261)*(1-(1-H261)^(1/12))</f>
        <v/>
      </c>
      <c r="Q261" s="34">
        <f>X260+Z260</f>
        <v/>
      </c>
      <c r="R261" s="29">
        <f>(1-LoadPremRate)*E261</f>
        <v/>
      </c>
      <c r="S261" s="34">
        <f>Q261+R261</f>
        <v/>
      </c>
      <c r="T261" s="29">
        <f>MaintFeeRateAnn/12*S261</f>
        <v/>
      </c>
      <c r="U261" s="29">
        <f>MAX(SumAssured-S261,0)</f>
        <v/>
      </c>
      <c r="V261" s="35">
        <f>CoiMultiple*G261</f>
        <v/>
      </c>
      <c r="W261" s="34">
        <f>V261*U261</f>
        <v/>
      </c>
      <c r="X261" s="34">
        <f>S261-T261-W261</f>
        <v/>
      </c>
      <c r="Y261" s="36">
        <f>EXP((Mu-0.5*Sigma^2)/12+Sigma*SQRT(1/12)*INDEX(NormRand,ScenID,A261+1))-1</f>
        <v/>
      </c>
      <c r="Z261" s="34">
        <f>Y261*X261</f>
        <v/>
      </c>
      <c r="AA261" s="34">
        <f>X261+0.5*Z261</f>
        <v/>
      </c>
      <c r="AB261" s="34">
        <f>Q261*J261</f>
        <v/>
      </c>
      <c r="AC261" s="34">
        <f>Q261*L261</f>
        <v/>
      </c>
      <c r="AD261" s="34">
        <f>S261*N261</f>
        <v/>
      </c>
      <c r="AE261" s="34">
        <f>E261*N261</f>
        <v/>
      </c>
      <c r="AF261" s="34">
        <f>R261*N261</f>
        <v/>
      </c>
      <c r="AG261" s="29">
        <f>MAX(SumAssured,AA261)</f>
        <v/>
      </c>
      <c r="AH261" s="34">
        <f>AG261*O261</f>
        <v/>
      </c>
      <c r="AI261" s="34">
        <f>AA261*O261</f>
        <v/>
      </c>
      <c r="AJ261" s="34">
        <f>AA261*P261</f>
        <v/>
      </c>
      <c r="AK261" s="34">
        <f>I261*AA261*P261</f>
        <v/>
      </c>
      <c r="AL261" s="34">
        <f>AJ261-AK261</f>
        <v/>
      </c>
      <c r="AM261" s="34">
        <f>Q261*K261</f>
        <v/>
      </c>
      <c r="AN261" s="34">
        <f>AH261+AL261+AM261</f>
        <v/>
      </c>
      <c r="AO261" s="34">
        <f>(AG261-AA261)*O261</f>
        <v/>
      </c>
      <c r="AP261" s="34">
        <f>W261*N261</f>
        <v/>
      </c>
      <c r="AQ261" s="34">
        <f>T261*N261</f>
        <v/>
      </c>
      <c r="AR261" s="34">
        <f>Z261*J262+0.5*Z261*(O261+P261)</f>
        <v/>
      </c>
      <c r="AS261" s="30">
        <f>(1+InflationRate)^(A261/12)</f>
        <v/>
      </c>
      <c r="AT261" s="29">
        <f>ExpenseAcq*M261+N261*ExpenseMaint/12*AS261</f>
        <v/>
      </c>
      <c r="AU261" s="29">
        <f>CommissionRate*AE261</f>
        <v/>
      </c>
      <c r="AV261" s="34">
        <f>AB262-AB261</f>
        <v/>
      </c>
      <c r="AW261" s="34">
        <f>AE261+AR261-AN261-AT261-AU261-AV261</f>
        <v/>
      </c>
      <c r="AX261" s="29">
        <f>LoadPremRate*E261*N261+AK261+AQ261-AU261-AT261</f>
        <v/>
      </c>
      <c r="AY261" s="34">
        <f>AP261-AO261</f>
        <v/>
      </c>
      <c r="AZ261" s="37">
        <f>(AW261-AX261-AY261)/MAX(1,ABS(AW261),ABS(AX261),ABS(AY261))</f>
        <v/>
      </c>
      <c r="BA261" s="37">
        <f>IF(OR(K261&gt;0,K262&gt;0),0,(AC262-(AC261+AF261-AQ261-AP261+AR261-AI261-AJ261-AM261))/MAX(1,ABS(AC261),ABS(AC262)))</f>
        <v/>
      </c>
      <c r="BB261" s="35">
        <f>(1+INDEX(DiscRateAnn,INT(A261/12)+1))^(1/12)-1</f>
        <v/>
      </c>
      <c r="BC261" s="31">
        <f>(1+BB261)^-A261</f>
        <v/>
      </c>
      <c r="BD261" s="34">
        <f>AW261*BC261</f>
        <v/>
      </c>
    </row>
    <row r="262">
      <c r="A262" s="27">
        <f>A261+1</f>
        <v/>
      </c>
      <c r="B262" s="28">
        <f>Duration0+A262</f>
        <v/>
      </c>
      <c r="C262" s="27">
        <f>INT(B262/12)</f>
        <v/>
      </c>
      <c r="D262" s="28">
        <f>AgeAtEntry+C262</f>
        <v/>
      </c>
      <c r="E262" s="29">
        <f>IF(PremiumType="SINGLE",IF(B262=0,PremiumPPInput,0),IF(B262&lt;12*PolicyTerm,PremiumPPInput,0))</f>
        <v/>
      </c>
      <c r="F262" s="30">
        <f>INDEX(MortRates,MATCH(MIN(D262,120),MortAges,0),MAX(MIN(C262,5),0)+1)</f>
        <v/>
      </c>
      <c r="G262" s="31">
        <f>1-(1-F262)^(1/12)</f>
        <v/>
      </c>
      <c r="H262" s="32">
        <f>MAX(LapseBase-LapseStep*C262,LapseFloor)</f>
        <v/>
      </c>
      <c r="I262" s="32">
        <f>IF(HasSurrCharge,INDEX(SurrRates,MIN(C262,SurrDurMax)+1,MATCH(SurrChargeID,SurrTypes,0)),0)</f>
        <v/>
      </c>
      <c r="J262" s="33">
        <f>N261-P261-O261</f>
        <v/>
      </c>
      <c r="K262" s="30">
        <f>IF(B262=12*PolicyTerm,J262,0)</f>
        <v/>
      </c>
      <c r="L262" s="33">
        <f>J262-K262</f>
        <v/>
      </c>
      <c r="M262" s="30">
        <f>IF(B262=0,PolicyCount,0)</f>
        <v/>
      </c>
      <c r="N262" s="33">
        <f>L262+M262</f>
        <v/>
      </c>
      <c r="O262" s="31">
        <f>N262*G262</f>
        <v/>
      </c>
      <c r="P262" s="33">
        <f>(N262-O262)*(1-(1-H262)^(1/12))</f>
        <v/>
      </c>
      <c r="Q262" s="34">
        <f>X261+Z261</f>
        <v/>
      </c>
      <c r="R262" s="29">
        <f>(1-LoadPremRate)*E262</f>
        <v/>
      </c>
      <c r="S262" s="34">
        <f>Q262+R262</f>
        <v/>
      </c>
      <c r="T262" s="29">
        <f>MaintFeeRateAnn/12*S262</f>
        <v/>
      </c>
      <c r="U262" s="29">
        <f>MAX(SumAssured-S262,0)</f>
        <v/>
      </c>
      <c r="V262" s="35">
        <f>CoiMultiple*G262</f>
        <v/>
      </c>
      <c r="W262" s="34">
        <f>V262*U262</f>
        <v/>
      </c>
      <c r="X262" s="34">
        <f>S262-T262-W262</f>
        <v/>
      </c>
      <c r="Y262" s="36">
        <f>EXP((Mu-0.5*Sigma^2)/12+Sigma*SQRT(1/12)*INDEX(NormRand,ScenID,A262+1))-1</f>
        <v/>
      </c>
      <c r="Z262" s="34">
        <f>Y262*X262</f>
        <v/>
      </c>
      <c r="AA262" s="34">
        <f>X262+0.5*Z262</f>
        <v/>
      </c>
      <c r="AB262" s="34">
        <f>Q262*J262</f>
        <v/>
      </c>
      <c r="AC262" s="34">
        <f>Q262*L262</f>
        <v/>
      </c>
      <c r="AD262" s="34">
        <f>S262*N262</f>
        <v/>
      </c>
      <c r="AE262" s="34">
        <f>E262*N262</f>
        <v/>
      </c>
      <c r="AF262" s="34">
        <f>R262*N262</f>
        <v/>
      </c>
      <c r="AG262" s="29">
        <f>MAX(SumAssured,AA262)</f>
        <v/>
      </c>
      <c r="AH262" s="34">
        <f>AG262*O262</f>
        <v/>
      </c>
      <c r="AI262" s="34">
        <f>AA262*O262</f>
        <v/>
      </c>
      <c r="AJ262" s="34">
        <f>AA262*P262</f>
        <v/>
      </c>
      <c r="AK262" s="34">
        <f>I262*AA262*P262</f>
        <v/>
      </c>
      <c r="AL262" s="34">
        <f>AJ262-AK262</f>
        <v/>
      </c>
      <c r="AM262" s="34">
        <f>Q262*K262</f>
        <v/>
      </c>
      <c r="AN262" s="34">
        <f>AH262+AL262+AM262</f>
        <v/>
      </c>
      <c r="AO262" s="34">
        <f>(AG262-AA262)*O262</f>
        <v/>
      </c>
      <c r="AP262" s="34">
        <f>W262*N262</f>
        <v/>
      </c>
      <c r="AQ262" s="34">
        <f>T262*N262</f>
        <v/>
      </c>
      <c r="AR262" s="34">
        <f>Z262*J263+0.5*Z262*(O262+P262)</f>
        <v/>
      </c>
      <c r="AS262" s="30">
        <f>(1+InflationRate)^(A262/12)</f>
        <v/>
      </c>
      <c r="AT262" s="29">
        <f>ExpenseAcq*M262+N262*ExpenseMaint/12*AS262</f>
        <v/>
      </c>
      <c r="AU262" s="29">
        <f>CommissionRate*AE262</f>
        <v/>
      </c>
      <c r="AV262" s="34">
        <f>AB263-AB262</f>
        <v/>
      </c>
      <c r="AW262" s="34">
        <f>AE262+AR262-AN262-AT262-AU262-AV262</f>
        <v/>
      </c>
      <c r="AX262" s="29">
        <f>LoadPremRate*E262*N262+AK262+AQ262-AU262-AT262</f>
        <v/>
      </c>
      <c r="AY262" s="34">
        <f>AP262-AO262</f>
        <v/>
      </c>
      <c r="AZ262" s="37">
        <f>(AW262-AX262-AY262)/MAX(1,ABS(AW262),ABS(AX262),ABS(AY262))</f>
        <v/>
      </c>
      <c r="BA262" s="37">
        <f>IF(OR(K262&gt;0,K263&gt;0),0,(AC263-(AC262+AF262-AQ262-AP262+AR262-AI262-AJ262-AM262))/MAX(1,ABS(AC262),ABS(AC263)))</f>
        <v/>
      </c>
      <c r="BB262" s="35">
        <f>(1+INDEX(DiscRateAnn,INT(A262/12)+1))^(1/12)-1</f>
        <v/>
      </c>
      <c r="BC262" s="31">
        <f>(1+BB262)^-A262</f>
        <v/>
      </c>
      <c r="BD262" s="34">
        <f>AW262*BC262</f>
        <v/>
      </c>
    </row>
    <row r="263">
      <c r="A263" s="27">
        <f>A262+1</f>
        <v/>
      </c>
      <c r="B263" s="28">
        <f>Duration0+A263</f>
        <v/>
      </c>
      <c r="C263" s="27">
        <f>INT(B263/12)</f>
        <v/>
      </c>
      <c r="D263" s="28">
        <f>AgeAtEntry+C263</f>
        <v/>
      </c>
      <c r="E263" s="29">
        <f>IF(PremiumType="SINGLE",IF(B263=0,PremiumPPInput,0),IF(B263&lt;12*PolicyTerm,PremiumPPInput,0))</f>
        <v/>
      </c>
      <c r="F263" s="30">
        <f>INDEX(MortRates,MATCH(MIN(D263,120),MortAges,0),MAX(MIN(C263,5),0)+1)</f>
        <v/>
      </c>
      <c r="G263" s="31">
        <f>1-(1-F263)^(1/12)</f>
        <v/>
      </c>
      <c r="H263" s="32">
        <f>MAX(LapseBase-LapseStep*C263,LapseFloor)</f>
        <v/>
      </c>
      <c r="I263" s="32">
        <f>IF(HasSurrCharge,INDEX(SurrRates,MIN(C263,SurrDurMax)+1,MATCH(SurrChargeID,SurrTypes,0)),0)</f>
        <v/>
      </c>
      <c r="J263" s="33">
        <f>N262-P262-O262</f>
        <v/>
      </c>
      <c r="K263" s="30">
        <f>IF(B263=12*PolicyTerm,J263,0)</f>
        <v/>
      </c>
      <c r="L263" s="33">
        <f>J263-K263</f>
        <v/>
      </c>
      <c r="M263" s="30">
        <f>IF(B263=0,PolicyCount,0)</f>
        <v/>
      </c>
      <c r="N263" s="33">
        <f>L263+M263</f>
        <v/>
      </c>
      <c r="O263" s="31">
        <f>N263*G263</f>
        <v/>
      </c>
      <c r="P263" s="33">
        <f>(N263-O263)*(1-(1-H263)^(1/12))</f>
        <v/>
      </c>
      <c r="Q263" s="34">
        <f>X262+Z262</f>
        <v/>
      </c>
      <c r="R263" s="29">
        <f>(1-LoadPremRate)*E263</f>
        <v/>
      </c>
      <c r="S263" s="34">
        <f>Q263+R263</f>
        <v/>
      </c>
      <c r="T263" s="29">
        <f>MaintFeeRateAnn/12*S263</f>
        <v/>
      </c>
      <c r="U263" s="29">
        <f>MAX(SumAssured-S263,0)</f>
        <v/>
      </c>
      <c r="V263" s="35">
        <f>CoiMultiple*G263</f>
        <v/>
      </c>
      <c r="W263" s="34">
        <f>V263*U263</f>
        <v/>
      </c>
      <c r="X263" s="34">
        <f>S263-T263-W263</f>
        <v/>
      </c>
      <c r="Y263" s="36">
        <f>EXP((Mu-0.5*Sigma^2)/12+Sigma*SQRT(1/12)*INDEX(NormRand,ScenID,A263+1))-1</f>
        <v/>
      </c>
      <c r="Z263" s="34">
        <f>Y263*X263</f>
        <v/>
      </c>
      <c r="AA263" s="34">
        <f>X263+0.5*Z263</f>
        <v/>
      </c>
      <c r="AB263" s="34">
        <f>Q263*J263</f>
        <v/>
      </c>
      <c r="AC263" s="34">
        <f>Q263*L263</f>
        <v/>
      </c>
      <c r="AD263" s="34">
        <f>S263*N263</f>
        <v/>
      </c>
      <c r="AE263" s="34">
        <f>E263*N263</f>
        <v/>
      </c>
      <c r="AF263" s="34">
        <f>R263*N263</f>
        <v/>
      </c>
      <c r="AG263" s="29">
        <f>MAX(SumAssured,AA263)</f>
        <v/>
      </c>
      <c r="AH263" s="34">
        <f>AG263*O263</f>
        <v/>
      </c>
      <c r="AI263" s="34">
        <f>AA263*O263</f>
        <v/>
      </c>
      <c r="AJ263" s="34">
        <f>AA263*P263</f>
        <v/>
      </c>
      <c r="AK263" s="34">
        <f>I263*AA263*P263</f>
        <v/>
      </c>
      <c r="AL263" s="34">
        <f>AJ263-AK263</f>
        <v/>
      </c>
      <c r="AM263" s="34">
        <f>Q263*K263</f>
        <v/>
      </c>
      <c r="AN263" s="34">
        <f>AH263+AL263+AM263</f>
        <v/>
      </c>
      <c r="AO263" s="34">
        <f>(AG263-AA263)*O263</f>
        <v/>
      </c>
      <c r="AP263" s="34">
        <f>W263*N263</f>
        <v/>
      </c>
      <c r="AQ263" s="34">
        <f>T263*N263</f>
        <v/>
      </c>
      <c r="AR263" s="34">
        <f>Z263*J264+0.5*Z263*(O263+P263)</f>
        <v/>
      </c>
      <c r="AS263" s="30">
        <f>(1+InflationRate)^(A263/12)</f>
        <v/>
      </c>
      <c r="AT263" s="29">
        <f>ExpenseAcq*M263+N263*ExpenseMaint/12*AS263</f>
        <v/>
      </c>
      <c r="AU263" s="29">
        <f>CommissionRate*AE263</f>
        <v/>
      </c>
      <c r="AV263" s="34">
        <f>AB264-AB263</f>
        <v/>
      </c>
      <c r="AW263" s="34">
        <f>AE263+AR263-AN263-AT263-AU263-AV263</f>
        <v/>
      </c>
      <c r="AX263" s="29">
        <f>LoadPremRate*E263*N263+AK263+AQ263-AU263-AT263</f>
        <v/>
      </c>
      <c r="AY263" s="34">
        <f>AP263-AO263</f>
        <v/>
      </c>
      <c r="AZ263" s="37">
        <f>(AW263-AX263-AY263)/MAX(1,ABS(AW263),ABS(AX263),ABS(AY263))</f>
        <v/>
      </c>
      <c r="BA263" s="37">
        <f>IF(OR(K263&gt;0,K264&gt;0),0,(AC264-(AC263+AF263-AQ263-AP263+AR263-AI263-AJ263-AM263))/MAX(1,ABS(AC263),ABS(AC264)))</f>
        <v/>
      </c>
      <c r="BB263" s="35">
        <f>(1+INDEX(DiscRateAnn,INT(A263/12)+1))^(1/12)-1</f>
        <v/>
      </c>
      <c r="BC263" s="31">
        <f>(1+BB263)^-A263</f>
        <v/>
      </c>
      <c r="BD263" s="34">
        <f>AW263*BC263</f>
        <v/>
      </c>
    </row>
    <row r="264">
      <c r="A264" s="27">
        <f>A263+1</f>
        <v/>
      </c>
      <c r="B264" s="28">
        <f>Duration0+A264</f>
        <v/>
      </c>
      <c r="C264" s="27">
        <f>INT(B264/12)</f>
        <v/>
      </c>
      <c r="D264" s="28">
        <f>AgeAtEntry+C264</f>
        <v/>
      </c>
      <c r="E264" s="29">
        <f>IF(PremiumType="SINGLE",IF(B264=0,PremiumPPInput,0),IF(B264&lt;12*PolicyTerm,PremiumPPInput,0))</f>
        <v/>
      </c>
      <c r="F264" s="30">
        <f>INDEX(MortRates,MATCH(MIN(D264,120),MortAges,0),MAX(MIN(C264,5),0)+1)</f>
        <v/>
      </c>
      <c r="G264" s="31">
        <f>1-(1-F264)^(1/12)</f>
        <v/>
      </c>
      <c r="H264" s="32">
        <f>MAX(LapseBase-LapseStep*C264,LapseFloor)</f>
        <v/>
      </c>
      <c r="I264" s="32">
        <f>IF(HasSurrCharge,INDEX(SurrRates,MIN(C264,SurrDurMax)+1,MATCH(SurrChargeID,SurrTypes,0)),0)</f>
        <v/>
      </c>
      <c r="J264" s="33">
        <f>N263-P263-O263</f>
        <v/>
      </c>
      <c r="K264" s="30">
        <f>IF(B264=12*PolicyTerm,J264,0)</f>
        <v/>
      </c>
      <c r="L264" s="33">
        <f>J264-K264</f>
        <v/>
      </c>
      <c r="M264" s="30">
        <f>IF(B264=0,PolicyCount,0)</f>
        <v/>
      </c>
      <c r="N264" s="33">
        <f>L264+M264</f>
        <v/>
      </c>
      <c r="O264" s="31">
        <f>N264*G264</f>
        <v/>
      </c>
      <c r="P264" s="33">
        <f>(N264-O264)*(1-(1-H264)^(1/12))</f>
        <v/>
      </c>
      <c r="Q264" s="34">
        <f>X263+Z263</f>
        <v/>
      </c>
      <c r="R264" s="29">
        <f>(1-LoadPremRate)*E264</f>
        <v/>
      </c>
      <c r="S264" s="34">
        <f>Q264+R264</f>
        <v/>
      </c>
      <c r="T264" s="29">
        <f>MaintFeeRateAnn/12*S264</f>
        <v/>
      </c>
      <c r="U264" s="29">
        <f>MAX(SumAssured-S264,0)</f>
        <v/>
      </c>
      <c r="V264" s="35">
        <f>CoiMultiple*G264</f>
        <v/>
      </c>
      <c r="W264" s="34">
        <f>V264*U264</f>
        <v/>
      </c>
      <c r="X264" s="34">
        <f>S264-T264-W264</f>
        <v/>
      </c>
      <c r="Y264" s="36">
        <f>EXP((Mu-0.5*Sigma^2)/12+Sigma*SQRT(1/12)*INDEX(NormRand,ScenID,A264+1))-1</f>
        <v/>
      </c>
      <c r="Z264" s="34">
        <f>Y264*X264</f>
        <v/>
      </c>
      <c r="AA264" s="34">
        <f>X264+0.5*Z264</f>
        <v/>
      </c>
      <c r="AB264" s="34">
        <f>Q264*J264</f>
        <v/>
      </c>
      <c r="AC264" s="34">
        <f>Q264*L264</f>
        <v/>
      </c>
      <c r="AD264" s="34">
        <f>S264*N264</f>
        <v/>
      </c>
      <c r="AE264" s="34">
        <f>E264*N264</f>
        <v/>
      </c>
      <c r="AF264" s="34">
        <f>R264*N264</f>
        <v/>
      </c>
      <c r="AG264" s="29">
        <f>MAX(SumAssured,AA264)</f>
        <v/>
      </c>
      <c r="AH264" s="34">
        <f>AG264*O264</f>
        <v/>
      </c>
      <c r="AI264" s="34">
        <f>AA264*O264</f>
        <v/>
      </c>
      <c r="AJ264" s="34">
        <f>AA264*P264</f>
        <v/>
      </c>
      <c r="AK264" s="34">
        <f>I264*AA264*P264</f>
        <v/>
      </c>
      <c r="AL264" s="34">
        <f>AJ264-AK264</f>
        <v/>
      </c>
      <c r="AM264" s="34">
        <f>Q264*K264</f>
        <v/>
      </c>
      <c r="AN264" s="34">
        <f>AH264+AL264+AM264</f>
        <v/>
      </c>
      <c r="AO264" s="34">
        <f>(AG264-AA264)*O264</f>
        <v/>
      </c>
      <c r="AP264" s="34">
        <f>W264*N264</f>
        <v/>
      </c>
      <c r="AQ264" s="34">
        <f>T264*N264</f>
        <v/>
      </c>
      <c r="AR264" s="34">
        <f>Z264*J265+0.5*Z264*(O264+P264)</f>
        <v/>
      </c>
      <c r="AS264" s="30">
        <f>(1+InflationRate)^(A264/12)</f>
        <v/>
      </c>
      <c r="AT264" s="29">
        <f>ExpenseAcq*M264+N264*ExpenseMaint/12*AS264</f>
        <v/>
      </c>
      <c r="AU264" s="29">
        <f>CommissionRate*AE264</f>
        <v/>
      </c>
      <c r="AV264" s="34">
        <f>AB265-AB264</f>
        <v/>
      </c>
      <c r="AW264" s="34">
        <f>AE264+AR264-AN264-AT264-AU264-AV264</f>
        <v/>
      </c>
      <c r="AX264" s="29">
        <f>LoadPremRate*E264*N264+AK264+AQ264-AU264-AT264</f>
        <v/>
      </c>
      <c r="AY264" s="34">
        <f>AP264-AO264</f>
        <v/>
      </c>
      <c r="AZ264" s="37">
        <f>(AW264-AX264-AY264)/MAX(1,ABS(AW264),ABS(AX264),ABS(AY264))</f>
        <v/>
      </c>
      <c r="BA264" s="37">
        <f>IF(OR(K264&gt;0,K265&gt;0),0,(AC265-(AC264+AF264-AQ264-AP264+AR264-AI264-AJ264-AM264))/MAX(1,ABS(AC264),ABS(AC265)))</f>
        <v/>
      </c>
      <c r="BB264" s="35">
        <f>(1+INDEX(DiscRateAnn,INT(A264/12)+1))^(1/12)-1</f>
        <v/>
      </c>
      <c r="BC264" s="31">
        <f>(1+BB264)^-A264</f>
        <v/>
      </c>
      <c r="BD264" s="34">
        <f>AW264*BC264</f>
        <v/>
      </c>
    </row>
    <row r="265">
      <c r="A265" s="27">
        <f>A264+1</f>
        <v/>
      </c>
      <c r="B265" s="28">
        <f>Duration0+A265</f>
        <v/>
      </c>
      <c r="C265" s="27">
        <f>INT(B265/12)</f>
        <v/>
      </c>
      <c r="D265" s="28">
        <f>AgeAtEntry+C265</f>
        <v/>
      </c>
      <c r="E265" s="29">
        <f>IF(PremiumType="SINGLE",IF(B265=0,PremiumPPInput,0),IF(B265&lt;12*PolicyTerm,PremiumPPInput,0))</f>
        <v/>
      </c>
      <c r="F265" s="30">
        <f>INDEX(MortRates,MATCH(MIN(D265,120),MortAges,0),MAX(MIN(C265,5),0)+1)</f>
        <v/>
      </c>
      <c r="G265" s="31">
        <f>1-(1-F265)^(1/12)</f>
        <v/>
      </c>
      <c r="H265" s="32">
        <f>MAX(LapseBase-LapseStep*C265,LapseFloor)</f>
        <v/>
      </c>
      <c r="I265" s="32">
        <f>IF(HasSurrCharge,INDEX(SurrRates,MIN(C265,SurrDurMax)+1,MATCH(SurrChargeID,SurrTypes,0)),0)</f>
        <v/>
      </c>
      <c r="J265" s="33">
        <f>N264-P264-O264</f>
        <v/>
      </c>
      <c r="K265" s="30">
        <f>IF(B265=12*PolicyTerm,J265,0)</f>
        <v/>
      </c>
      <c r="L265" s="33">
        <f>J265-K265</f>
        <v/>
      </c>
      <c r="M265" s="30">
        <f>IF(B265=0,PolicyCount,0)</f>
        <v/>
      </c>
      <c r="N265" s="33">
        <f>L265+M265</f>
        <v/>
      </c>
      <c r="O265" s="31">
        <f>N265*G265</f>
        <v/>
      </c>
      <c r="P265" s="33">
        <f>(N265-O265)*(1-(1-H265)^(1/12))</f>
        <v/>
      </c>
      <c r="Q265" s="34">
        <f>X264+Z264</f>
        <v/>
      </c>
      <c r="R265" s="29">
        <f>(1-LoadPremRate)*E265</f>
        <v/>
      </c>
      <c r="S265" s="34">
        <f>Q265+R265</f>
        <v/>
      </c>
      <c r="T265" s="29">
        <f>MaintFeeRateAnn/12*S265</f>
        <v/>
      </c>
      <c r="U265" s="29">
        <f>MAX(SumAssured-S265,0)</f>
        <v/>
      </c>
      <c r="V265" s="35">
        <f>CoiMultiple*G265</f>
        <v/>
      </c>
      <c r="W265" s="34">
        <f>V265*U265</f>
        <v/>
      </c>
      <c r="X265" s="34">
        <f>S265-T265-W265</f>
        <v/>
      </c>
      <c r="Y265" s="36">
        <f>EXP((Mu-0.5*Sigma^2)/12+Sigma*SQRT(1/12)*INDEX(NormRand,ScenID,A265+1))-1</f>
        <v/>
      </c>
      <c r="Z265" s="34">
        <f>Y265*X265</f>
        <v/>
      </c>
      <c r="AA265" s="34">
        <f>X265+0.5*Z265</f>
        <v/>
      </c>
      <c r="AB265" s="34">
        <f>Q265*J265</f>
        <v/>
      </c>
      <c r="AC265" s="34">
        <f>Q265*L265</f>
        <v/>
      </c>
      <c r="AD265" s="34">
        <f>S265*N265</f>
        <v/>
      </c>
      <c r="AE265" s="34">
        <f>E265*N265</f>
        <v/>
      </c>
      <c r="AF265" s="34">
        <f>R265*N265</f>
        <v/>
      </c>
      <c r="AG265" s="29">
        <f>MAX(SumAssured,AA265)</f>
        <v/>
      </c>
      <c r="AH265" s="34">
        <f>AG265*O265</f>
        <v/>
      </c>
      <c r="AI265" s="34">
        <f>AA265*O265</f>
        <v/>
      </c>
      <c r="AJ265" s="34">
        <f>AA265*P265</f>
        <v/>
      </c>
      <c r="AK265" s="34">
        <f>I265*AA265*P265</f>
        <v/>
      </c>
      <c r="AL265" s="34">
        <f>AJ265-AK265</f>
        <v/>
      </c>
      <c r="AM265" s="34">
        <f>Q265*K265</f>
        <v/>
      </c>
      <c r="AN265" s="34">
        <f>AH265+AL265+AM265</f>
        <v/>
      </c>
      <c r="AO265" s="34">
        <f>(AG265-AA265)*O265</f>
        <v/>
      </c>
      <c r="AP265" s="34">
        <f>W265*N265</f>
        <v/>
      </c>
      <c r="AQ265" s="34">
        <f>T265*N265</f>
        <v/>
      </c>
      <c r="AR265" s="34">
        <f>Z265*J266+0.5*Z265*(O265+P265)</f>
        <v/>
      </c>
      <c r="AS265" s="30">
        <f>(1+InflationRate)^(A265/12)</f>
        <v/>
      </c>
      <c r="AT265" s="29">
        <f>ExpenseAcq*M265+N265*ExpenseMaint/12*AS265</f>
        <v/>
      </c>
      <c r="AU265" s="29">
        <f>CommissionRate*AE265</f>
        <v/>
      </c>
      <c r="AV265" s="34">
        <f>AB266-AB265</f>
        <v/>
      </c>
      <c r="AW265" s="34">
        <f>AE265+AR265-AN265-AT265-AU265-AV265</f>
        <v/>
      </c>
      <c r="AX265" s="29">
        <f>LoadPremRate*E265*N265+AK265+AQ265-AU265-AT265</f>
        <v/>
      </c>
      <c r="AY265" s="34">
        <f>AP265-AO265</f>
        <v/>
      </c>
      <c r="AZ265" s="37">
        <f>(AW265-AX265-AY265)/MAX(1,ABS(AW265),ABS(AX265),ABS(AY265))</f>
        <v/>
      </c>
      <c r="BA265" s="37">
        <f>IF(OR(K265&gt;0,K266&gt;0),0,(AC266-(AC265+AF265-AQ265-AP265+AR265-AI265-AJ265-AM265))/MAX(1,ABS(AC265),ABS(AC266)))</f>
        <v/>
      </c>
      <c r="BB265" s="35">
        <f>(1+INDEX(DiscRateAnn,INT(A265/12)+1))^(1/12)-1</f>
        <v/>
      </c>
      <c r="BC265" s="31">
        <f>(1+BB265)^-A265</f>
        <v/>
      </c>
      <c r="BD265" s="34">
        <f>AW265*BC265</f>
        <v/>
      </c>
    </row>
    <row r="266">
      <c r="A266" s="27">
        <f>A265+1</f>
        <v/>
      </c>
      <c r="B266" s="28">
        <f>Duration0+A266</f>
        <v/>
      </c>
      <c r="C266" s="27">
        <f>INT(B266/12)</f>
        <v/>
      </c>
      <c r="D266" s="28">
        <f>AgeAtEntry+C266</f>
        <v/>
      </c>
      <c r="E266" s="29">
        <f>IF(PremiumType="SINGLE",IF(B266=0,PremiumPPInput,0),IF(B266&lt;12*PolicyTerm,PremiumPPInput,0))</f>
        <v/>
      </c>
      <c r="F266" s="30">
        <f>INDEX(MortRates,MATCH(MIN(D266,120),MortAges,0),MAX(MIN(C266,5),0)+1)</f>
        <v/>
      </c>
      <c r="G266" s="31">
        <f>1-(1-F266)^(1/12)</f>
        <v/>
      </c>
      <c r="H266" s="32">
        <f>MAX(LapseBase-LapseStep*C266,LapseFloor)</f>
        <v/>
      </c>
      <c r="I266" s="32">
        <f>IF(HasSurrCharge,INDEX(SurrRates,MIN(C266,SurrDurMax)+1,MATCH(SurrChargeID,SurrTypes,0)),0)</f>
        <v/>
      </c>
      <c r="J266" s="33">
        <f>N265-P265-O265</f>
        <v/>
      </c>
      <c r="K266" s="30">
        <f>IF(B266=12*PolicyTerm,J266,0)</f>
        <v/>
      </c>
      <c r="L266" s="33">
        <f>J266-K266</f>
        <v/>
      </c>
      <c r="M266" s="30">
        <f>IF(B266=0,PolicyCount,0)</f>
        <v/>
      </c>
      <c r="N266" s="33">
        <f>L266+M266</f>
        <v/>
      </c>
      <c r="O266" s="31">
        <f>N266*G266</f>
        <v/>
      </c>
      <c r="P266" s="33">
        <f>(N266-O266)*(1-(1-H266)^(1/12))</f>
        <v/>
      </c>
      <c r="Q266" s="34">
        <f>X265+Z265</f>
        <v/>
      </c>
      <c r="R266" s="29">
        <f>(1-LoadPremRate)*E266</f>
        <v/>
      </c>
      <c r="S266" s="34">
        <f>Q266+R266</f>
        <v/>
      </c>
      <c r="T266" s="29">
        <f>MaintFeeRateAnn/12*S266</f>
        <v/>
      </c>
      <c r="U266" s="29">
        <f>MAX(SumAssured-S266,0)</f>
        <v/>
      </c>
      <c r="V266" s="35">
        <f>CoiMultiple*G266</f>
        <v/>
      </c>
      <c r="W266" s="34">
        <f>V266*U266</f>
        <v/>
      </c>
      <c r="X266" s="34">
        <f>S266-T266-W266</f>
        <v/>
      </c>
      <c r="Y266" s="36">
        <f>EXP((Mu-0.5*Sigma^2)/12+Sigma*SQRT(1/12)*INDEX(NormRand,ScenID,A266+1))-1</f>
        <v/>
      </c>
      <c r="Z266" s="34">
        <f>Y266*X266</f>
        <v/>
      </c>
      <c r="AA266" s="34">
        <f>X266+0.5*Z266</f>
        <v/>
      </c>
      <c r="AB266" s="34">
        <f>Q266*J266</f>
        <v/>
      </c>
      <c r="AC266" s="34">
        <f>Q266*L266</f>
        <v/>
      </c>
      <c r="AD266" s="34">
        <f>S266*N266</f>
        <v/>
      </c>
      <c r="AE266" s="34">
        <f>E266*N266</f>
        <v/>
      </c>
      <c r="AF266" s="34">
        <f>R266*N266</f>
        <v/>
      </c>
      <c r="AG266" s="29">
        <f>MAX(SumAssured,AA266)</f>
        <v/>
      </c>
      <c r="AH266" s="34">
        <f>AG266*O266</f>
        <v/>
      </c>
      <c r="AI266" s="34">
        <f>AA266*O266</f>
        <v/>
      </c>
      <c r="AJ266" s="34">
        <f>AA266*P266</f>
        <v/>
      </c>
      <c r="AK266" s="34">
        <f>I266*AA266*P266</f>
        <v/>
      </c>
      <c r="AL266" s="34">
        <f>AJ266-AK266</f>
        <v/>
      </c>
      <c r="AM266" s="34">
        <f>Q266*K266</f>
        <v/>
      </c>
      <c r="AN266" s="34">
        <f>AH266+AL266+AM266</f>
        <v/>
      </c>
      <c r="AO266" s="34">
        <f>(AG266-AA266)*O266</f>
        <v/>
      </c>
      <c r="AP266" s="34">
        <f>W266*N266</f>
        <v/>
      </c>
      <c r="AQ266" s="34">
        <f>T266*N266</f>
        <v/>
      </c>
      <c r="AR266" s="34">
        <f>Z266*J267+0.5*Z266*(O266+P266)</f>
        <v/>
      </c>
      <c r="AS266" s="30">
        <f>(1+InflationRate)^(A266/12)</f>
        <v/>
      </c>
      <c r="AT266" s="29">
        <f>ExpenseAcq*M266+N266*ExpenseMaint/12*AS266</f>
        <v/>
      </c>
      <c r="AU266" s="29">
        <f>CommissionRate*AE266</f>
        <v/>
      </c>
      <c r="AV266" s="34">
        <f>AB267-AB266</f>
        <v/>
      </c>
      <c r="AW266" s="34">
        <f>AE266+AR266-AN266-AT266-AU266-AV266</f>
        <v/>
      </c>
      <c r="AX266" s="29">
        <f>LoadPremRate*E266*N266+AK266+AQ266-AU266-AT266</f>
        <v/>
      </c>
      <c r="AY266" s="34">
        <f>AP266-AO266</f>
        <v/>
      </c>
      <c r="AZ266" s="37">
        <f>(AW266-AX266-AY266)/MAX(1,ABS(AW266),ABS(AX266),ABS(AY266))</f>
        <v/>
      </c>
      <c r="BA266" s="37">
        <f>IF(OR(K266&gt;0,K267&gt;0),0,(AC267-(AC266+AF266-AQ266-AP266+AR266-AI266-AJ266-AM266))/MAX(1,ABS(AC266),ABS(AC267)))</f>
        <v/>
      </c>
      <c r="BB266" s="35">
        <f>(1+INDEX(DiscRateAnn,INT(A266/12)+1))^(1/12)-1</f>
        <v/>
      </c>
      <c r="BC266" s="31">
        <f>(1+BB266)^-A266</f>
        <v/>
      </c>
      <c r="BD266" s="34">
        <f>AW266*BC266</f>
        <v/>
      </c>
    </row>
    <row r="267">
      <c r="A267" s="27">
        <f>A266+1</f>
        <v/>
      </c>
      <c r="B267" s="28">
        <f>Duration0+A267</f>
        <v/>
      </c>
      <c r="C267" s="27">
        <f>INT(B267/12)</f>
        <v/>
      </c>
      <c r="D267" s="28">
        <f>AgeAtEntry+C267</f>
        <v/>
      </c>
      <c r="E267" s="29">
        <f>IF(PremiumType="SINGLE",IF(B267=0,PremiumPPInput,0),IF(B267&lt;12*PolicyTerm,PremiumPPInput,0))</f>
        <v/>
      </c>
      <c r="F267" s="30">
        <f>INDEX(MortRates,MATCH(MIN(D267,120),MortAges,0),MAX(MIN(C267,5),0)+1)</f>
        <v/>
      </c>
      <c r="G267" s="31">
        <f>1-(1-F267)^(1/12)</f>
        <v/>
      </c>
      <c r="H267" s="32">
        <f>MAX(LapseBase-LapseStep*C267,LapseFloor)</f>
        <v/>
      </c>
      <c r="I267" s="32">
        <f>IF(HasSurrCharge,INDEX(SurrRates,MIN(C267,SurrDurMax)+1,MATCH(SurrChargeID,SurrTypes,0)),0)</f>
        <v/>
      </c>
      <c r="J267" s="33">
        <f>N266-P266-O266</f>
        <v/>
      </c>
      <c r="K267" s="30">
        <f>IF(B267=12*PolicyTerm,J267,0)</f>
        <v/>
      </c>
      <c r="L267" s="33">
        <f>J267-K267</f>
        <v/>
      </c>
      <c r="M267" s="30">
        <f>IF(B267=0,PolicyCount,0)</f>
        <v/>
      </c>
      <c r="N267" s="33">
        <f>L267+M267</f>
        <v/>
      </c>
      <c r="O267" s="31">
        <f>N267*G267</f>
        <v/>
      </c>
      <c r="P267" s="33">
        <f>(N267-O267)*(1-(1-H267)^(1/12))</f>
        <v/>
      </c>
      <c r="Q267" s="34">
        <f>X266+Z266</f>
        <v/>
      </c>
      <c r="R267" s="29">
        <f>(1-LoadPremRate)*E267</f>
        <v/>
      </c>
      <c r="S267" s="34">
        <f>Q267+R267</f>
        <v/>
      </c>
      <c r="T267" s="29">
        <f>MaintFeeRateAnn/12*S267</f>
        <v/>
      </c>
      <c r="U267" s="29">
        <f>MAX(SumAssured-S267,0)</f>
        <v/>
      </c>
      <c r="V267" s="35">
        <f>CoiMultiple*G267</f>
        <v/>
      </c>
      <c r="W267" s="34">
        <f>V267*U267</f>
        <v/>
      </c>
      <c r="X267" s="34">
        <f>S267-T267-W267</f>
        <v/>
      </c>
      <c r="Y267" s="36">
        <f>EXP((Mu-0.5*Sigma^2)/12+Sigma*SQRT(1/12)*INDEX(NormRand,ScenID,A267+1))-1</f>
        <v/>
      </c>
      <c r="Z267" s="34">
        <f>Y267*X267</f>
        <v/>
      </c>
      <c r="AA267" s="34">
        <f>X267+0.5*Z267</f>
        <v/>
      </c>
      <c r="AB267" s="34">
        <f>Q267*J267</f>
        <v/>
      </c>
      <c r="AC267" s="34">
        <f>Q267*L267</f>
        <v/>
      </c>
      <c r="AD267" s="34">
        <f>S267*N267</f>
        <v/>
      </c>
      <c r="AE267" s="34">
        <f>E267*N267</f>
        <v/>
      </c>
      <c r="AF267" s="34">
        <f>R267*N267</f>
        <v/>
      </c>
      <c r="AG267" s="29">
        <f>MAX(SumAssured,AA267)</f>
        <v/>
      </c>
      <c r="AH267" s="34">
        <f>AG267*O267</f>
        <v/>
      </c>
      <c r="AI267" s="34">
        <f>AA267*O267</f>
        <v/>
      </c>
      <c r="AJ267" s="34">
        <f>AA267*P267</f>
        <v/>
      </c>
      <c r="AK267" s="34">
        <f>I267*AA267*P267</f>
        <v/>
      </c>
      <c r="AL267" s="34">
        <f>AJ267-AK267</f>
        <v/>
      </c>
      <c r="AM267" s="34">
        <f>Q267*K267</f>
        <v/>
      </c>
      <c r="AN267" s="34">
        <f>AH267+AL267+AM267</f>
        <v/>
      </c>
      <c r="AO267" s="34">
        <f>(AG267-AA267)*O267</f>
        <v/>
      </c>
      <c r="AP267" s="34">
        <f>W267*N267</f>
        <v/>
      </c>
      <c r="AQ267" s="34">
        <f>T267*N267</f>
        <v/>
      </c>
      <c r="AR267" s="34">
        <f>Z267*J268+0.5*Z267*(O267+P267)</f>
        <v/>
      </c>
      <c r="AS267" s="30">
        <f>(1+InflationRate)^(A267/12)</f>
        <v/>
      </c>
      <c r="AT267" s="29">
        <f>ExpenseAcq*M267+N267*ExpenseMaint/12*AS267</f>
        <v/>
      </c>
      <c r="AU267" s="29">
        <f>CommissionRate*AE267</f>
        <v/>
      </c>
      <c r="AV267" s="34">
        <f>AB268-AB267</f>
        <v/>
      </c>
      <c r="AW267" s="34">
        <f>AE267+AR267-AN267-AT267-AU267-AV267</f>
        <v/>
      </c>
      <c r="AX267" s="29">
        <f>LoadPremRate*E267*N267+AK267+AQ267-AU267-AT267</f>
        <v/>
      </c>
      <c r="AY267" s="34">
        <f>AP267-AO267</f>
        <v/>
      </c>
      <c r="AZ267" s="37">
        <f>(AW267-AX267-AY267)/MAX(1,ABS(AW267),ABS(AX267),ABS(AY267))</f>
        <v/>
      </c>
      <c r="BA267" s="37">
        <f>IF(OR(K267&gt;0,K268&gt;0),0,(AC268-(AC267+AF267-AQ267-AP267+AR267-AI267-AJ267-AM267))/MAX(1,ABS(AC267),ABS(AC268)))</f>
        <v/>
      </c>
      <c r="BB267" s="35">
        <f>(1+INDEX(DiscRateAnn,INT(A267/12)+1))^(1/12)-1</f>
        <v/>
      </c>
      <c r="BC267" s="31">
        <f>(1+BB267)^-A267</f>
        <v/>
      </c>
      <c r="BD267" s="34">
        <f>AW267*BC267</f>
        <v/>
      </c>
    </row>
    <row r="268">
      <c r="A268" s="27">
        <f>A267+1</f>
        <v/>
      </c>
      <c r="B268" s="28">
        <f>Duration0+A268</f>
        <v/>
      </c>
      <c r="C268" s="27">
        <f>INT(B268/12)</f>
        <v/>
      </c>
      <c r="D268" s="28">
        <f>AgeAtEntry+C268</f>
        <v/>
      </c>
      <c r="E268" s="29">
        <f>IF(PremiumType="SINGLE",IF(B268=0,PremiumPPInput,0),IF(B268&lt;12*PolicyTerm,PremiumPPInput,0))</f>
        <v/>
      </c>
      <c r="F268" s="30">
        <f>INDEX(MortRates,MATCH(MIN(D268,120),MortAges,0),MAX(MIN(C268,5),0)+1)</f>
        <v/>
      </c>
      <c r="G268" s="31">
        <f>1-(1-F268)^(1/12)</f>
        <v/>
      </c>
      <c r="H268" s="32">
        <f>MAX(LapseBase-LapseStep*C268,LapseFloor)</f>
        <v/>
      </c>
      <c r="I268" s="32">
        <f>IF(HasSurrCharge,INDEX(SurrRates,MIN(C268,SurrDurMax)+1,MATCH(SurrChargeID,SurrTypes,0)),0)</f>
        <v/>
      </c>
      <c r="J268" s="33">
        <f>N267-P267-O267</f>
        <v/>
      </c>
      <c r="K268" s="30">
        <f>IF(B268=12*PolicyTerm,J268,0)</f>
        <v/>
      </c>
      <c r="L268" s="33">
        <f>J268-K268</f>
        <v/>
      </c>
      <c r="M268" s="30">
        <f>IF(B268=0,PolicyCount,0)</f>
        <v/>
      </c>
      <c r="N268" s="33">
        <f>L268+M268</f>
        <v/>
      </c>
      <c r="O268" s="31">
        <f>N268*G268</f>
        <v/>
      </c>
      <c r="P268" s="33">
        <f>(N268-O268)*(1-(1-H268)^(1/12))</f>
        <v/>
      </c>
      <c r="Q268" s="34">
        <f>X267+Z267</f>
        <v/>
      </c>
      <c r="R268" s="29">
        <f>(1-LoadPremRate)*E268</f>
        <v/>
      </c>
      <c r="S268" s="34">
        <f>Q268+R268</f>
        <v/>
      </c>
      <c r="T268" s="29">
        <f>MaintFeeRateAnn/12*S268</f>
        <v/>
      </c>
      <c r="U268" s="29">
        <f>MAX(SumAssured-S268,0)</f>
        <v/>
      </c>
      <c r="V268" s="35">
        <f>CoiMultiple*G268</f>
        <v/>
      </c>
      <c r="W268" s="34">
        <f>V268*U268</f>
        <v/>
      </c>
      <c r="X268" s="34">
        <f>S268-T268-W268</f>
        <v/>
      </c>
      <c r="Y268" s="36">
        <f>EXP((Mu-0.5*Sigma^2)/12+Sigma*SQRT(1/12)*INDEX(NormRand,ScenID,A268+1))-1</f>
        <v/>
      </c>
      <c r="Z268" s="34">
        <f>Y268*X268</f>
        <v/>
      </c>
      <c r="AA268" s="34">
        <f>X268+0.5*Z268</f>
        <v/>
      </c>
      <c r="AB268" s="34">
        <f>Q268*J268</f>
        <v/>
      </c>
      <c r="AC268" s="34">
        <f>Q268*L268</f>
        <v/>
      </c>
      <c r="AD268" s="34">
        <f>S268*N268</f>
        <v/>
      </c>
      <c r="AE268" s="34">
        <f>E268*N268</f>
        <v/>
      </c>
      <c r="AF268" s="34">
        <f>R268*N268</f>
        <v/>
      </c>
      <c r="AG268" s="29">
        <f>MAX(SumAssured,AA268)</f>
        <v/>
      </c>
      <c r="AH268" s="34">
        <f>AG268*O268</f>
        <v/>
      </c>
      <c r="AI268" s="34">
        <f>AA268*O268</f>
        <v/>
      </c>
      <c r="AJ268" s="34">
        <f>AA268*P268</f>
        <v/>
      </c>
      <c r="AK268" s="34">
        <f>I268*AA268*P268</f>
        <v/>
      </c>
      <c r="AL268" s="34">
        <f>AJ268-AK268</f>
        <v/>
      </c>
      <c r="AM268" s="34">
        <f>Q268*K268</f>
        <v/>
      </c>
      <c r="AN268" s="34">
        <f>AH268+AL268+AM268</f>
        <v/>
      </c>
      <c r="AO268" s="34">
        <f>(AG268-AA268)*O268</f>
        <v/>
      </c>
      <c r="AP268" s="34">
        <f>W268*N268</f>
        <v/>
      </c>
      <c r="AQ268" s="34">
        <f>T268*N268</f>
        <v/>
      </c>
      <c r="AR268" s="34">
        <f>Z268*J269+0.5*Z268*(O268+P268)</f>
        <v/>
      </c>
      <c r="AS268" s="30">
        <f>(1+InflationRate)^(A268/12)</f>
        <v/>
      </c>
      <c r="AT268" s="29">
        <f>ExpenseAcq*M268+N268*ExpenseMaint/12*AS268</f>
        <v/>
      </c>
      <c r="AU268" s="29">
        <f>CommissionRate*AE268</f>
        <v/>
      </c>
      <c r="AV268" s="34">
        <f>AB269-AB268</f>
        <v/>
      </c>
      <c r="AW268" s="34">
        <f>AE268+AR268-AN268-AT268-AU268-AV268</f>
        <v/>
      </c>
      <c r="AX268" s="29">
        <f>LoadPremRate*E268*N268+AK268+AQ268-AU268-AT268</f>
        <v/>
      </c>
      <c r="AY268" s="34">
        <f>AP268-AO268</f>
        <v/>
      </c>
      <c r="AZ268" s="37">
        <f>(AW268-AX268-AY268)/MAX(1,ABS(AW268),ABS(AX268),ABS(AY268))</f>
        <v/>
      </c>
      <c r="BA268" s="37">
        <f>IF(OR(K268&gt;0,K269&gt;0),0,(AC269-(AC268+AF268-AQ268-AP268+AR268-AI268-AJ268-AM268))/MAX(1,ABS(AC268),ABS(AC269)))</f>
        <v/>
      </c>
      <c r="BB268" s="35">
        <f>(1+INDEX(DiscRateAnn,INT(A268/12)+1))^(1/12)-1</f>
        <v/>
      </c>
      <c r="BC268" s="31">
        <f>(1+BB268)^-A268</f>
        <v/>
      </c>
      <c r="BD268" s="34">
        <f>AW268*BC268</f>
        <v/>
      </c>
    </row>
    <row r="269">
      <c r="A269" s="27">
        <f>A268+1</f>
        <v/>
      </c>
      <c r="B269" s="28">
        <f>Duration0+A269</f>
        <v/>
      </c>
      <c r="C269" s="27">
        <f>INT(B269/12)</f>
        <v/>
      </c>
      <c r="D269" s="28">
        <f>AgeAtEntry+C269</f>
        <v/>
      </c>
      <c r="E269" s="29">
        <f>IF(PremiumType="SINGLE",IF(B269=0,PremiumPPInput,0),IF(B269&lt;12*PolicyTerm,PremiumPPInput,0))</f>
        <v/>
      </c>
      <c r="F269" s="30">
        <f>INDEX(MortRates,MATCH(MIN(D269,120),MortAges,0),MAX(MIN(C269,5),0)+1)</f>
        <v/>
      </c>
      <c r="G269" s="31">
        <f>1-(1-F269)^(1/12)</f>
        <v/>
      </c>
      <c r="H269" s="32">
        <f>MAX(LapseBase-LapseStep*C269,LapseFloor)</f>
        <v/>
      </c>
      <c r="I269" s="32">
        <f>IF(HasSurrCharge,INDEX(SurrRates,MIN(C269,SurrDurMax)+1,MATCH(SurrChargeID,SurrTypes,0)),0)</f>
        <v/>
      </c>
      <c r="J269" s="33">
        <f>N268-P268-O268</f>
        <v/>
      </c>
      <c r="K269" s="30">
        <f>IF(B269=12*PolicyTerm,J269,0)</f>
        <v/>
      </c>
      <c r="L269" s="33">
        <f>J269-K269</f>
        <v/>
      </c>
      <c r="M269" s="30">
        <f>IF(B269=0,PolicyCount,0)</f>
        <v/>
      </c>
      <c r="N269" s="33">
        <f>L269+M269</f>
        <v/>
      </c>
      <c r="O269" s="31">
        <f>N269*G269</f>
        <v/>
      </c>
      <c r="P269" s="33">
        <f>(N269-O269)*(1-(1-H269)^(1/12))</f>
        <v/>
      </c>
      <c r="Q269" s="34">
        <f>X268+Z268</f>
        <v/>
      </c>
      <c r="R269" s="29">
        <f>(1-LoadPremRate)*E269</f>
        <v/>
      </c>
      <c r="S269" s="34">
        <f>Q269+R269</f>
        <v/>
      </c>
      <c r="T269" s="29">
        <f>MaintFeeRateAnn/12*S269</f>
        <v/>
      </c>
      <c r="U269" s="29">
        <f>MAX(SumAssured-S269,0)</f>
        <v/>
      </c>
      <c r="V269" s="35">
        <f>CoiMultiple*G269</f>
        <v/>
      </c>
      <c r="W269" s="34">
        <f>V269*U269</f>
        <v/>
      </c>
      <c r="X269" s="34">
        <f>S269-T269-W269</f>
        <v/>
      </c>
      <c r="Y269" s="36">
        <f>EXP((Mu-0.5*Sigma^2)/12+Sigma*SQRT(1/12)*INDEX(NormRand,ScenID,A269+1))-1</f>
        <v/>
      </c>
      <c r="Z269" s="34">
        <f>Y269*X269</f>
        <v/>
      </c>
      <c r="AA269" s="34">
        <f>X269+0.5*Z269</f>
        <v/>
      </c>
      <c r="AB269" s="34">
        <f>Q269*J269</f>
        <v/>
      </c>
      <c r="AC269" s="34">
        <f>Q269*L269</f>
        <v/>
      </c>
      <c r="AD269" s="34">
        <f>S269*N269</f>
        <v/>
      </c>
      <c r="AE269" s="34">
        <f>E269*N269</f>
        <v/>
      </c>
      <c r="AF269" s="34">
        <f>R269*N269</f>
        <v/>
      </c>
      <c r="AG269" s="29">
        <f>MAX(SumAssured,AA269)</f>
        <v/>
      </c>
      <c r="AH269" s="34">
        <f>AG269*O269</f>
        <v/>
      </c>
      <c r="AI269" s="34">
        <f>AA269*O269</f>
        <v/>
      </c>
      <c r="AJ269" s="34">
        <f>AA269*P269</f>
        <v/>
      </c>
      <c r="AK269" s="34">
        <f>I269*AA269*P269</f>
        <v/>
      </c>
      <c r="AL269" s="34">
        <f>AJ269-AK269</f>
        <v/>
      </c>
      <c r="AM269" s="34">
        <f>Q269*K269</f>
        <v/>
      </c>
      <c r="AN269" s="34">
        <f>AH269+AL269+AM269</f>
        <v/>
      </c>
      <c r="AO269" s="34">
        <f>(AG269-AA269)*O269</f>
        <v/>
      </c>
      <c r="AP269" s="34">
        <f>W269*N269</f>
        <v/>
      </c>
      <c r="AQ269" s="34">
        <f>T269*N269</f>
        <v/>
      </c>
      <c r="AR269" s="34">
        <f>Z269*J270+0.5*Z269*(O269+P269)</f>
        <v/>
      </c>
      <c r="AS269" s="30">
        <f>(1+InflationRate)^(A269/12)</f>
        <v/>
      </c>
      <c r="AT269" s="29">
        <f>ExpenseAcq*M269+N269*ExpenseMaint/12*AS269</f>
        <v/>
      </c>
      <c r="AU269" s="29">
        <f>CommissionRate*AE269</f>
        <v/>
      </c>
      <c r="AV269" s="34">
        <f>AB270-AB269</f>
        <v/>
      </c>
      <c r="AW269" s="34">
        <f>AE269+AR269-AN269-AT269-AU269-AV269</f>
        <v/>
      </c>
      <c r="AX269" s="29">
        <f>LoadPremRate*E269*N269+AK269+AQ269-AU269-AT269</f>
        <v/>
      </c>
      <c r="AY269" s="34">
        <f>AP269-AO269</f>
        <v/>
      </c>
      <c r="AZ269" s="37">
        <f>(AW269-AX269-AY269)/MAX(1,ABS(AW269),ABS(AX269),ABS(AY269))</f>
        <v/>
      </c>
      <c r="BA269" s="37">
        <f>IF(OR(K269&gt;0,K270&gt;0),0,(AC270-(AC269+AF269-AQ269-AP269+AR269-AI269-AJ269-AM269))/MAX(1,ABS(AC269),ABS(AC270)))</f>
        <v/>
      </c>
      <c r="BB269" s="35">
        <f>(1+INDEX(DiscRateAnn,INT(A269/12)+1))^(1/12)-1</f>
        <v/>
      </c>
      <c r="BC269" s="31">
        <f>(1+BB269)^-A269</f>
        <v/>
      </c>
      <c r="BD269" s="34">
        <f>AW269*BC269</f>
        <v/>
      </c>
    </row>
    <row r="270">
      <c r="A270" s="27">
        <f>A269+1</f>
        <v/>
      </c>
      <c r="B270" s="28">
        <f>Duration0+A270</f>
        <v/>
      </c>
      <c r="C270" s="27">
        <f>INT(B270/12)</f>
        <v/>
      </c>
      <c r="D270" s="28">
        <f>AgeAtEntry+C270</f>
        <v/>
      </c>
      <c r="E270" s="29">
        <f>IF(PremiumType="SINGLE",IF(B270=0,PremiumPPInput,0),IF(B270&lt;12*PolicyTerm,PremiumPPInput,0))</f>
        <v/>
      </c>
      <c r="F270" s="30">
        <f>INDEX(MortRates,MATCH(MIN(D270,120),MortAges,0),MAX(MIN(C270,5),0)+1)</f>
        <v/>
      </c>
      <c r="G270" s="31">
        <f>1-(1-F270)^(1/12)</f>
        <v/>
      </c>
      <c r="H270" s="32">
        <f>MAX(LapseBase-LapseStep*C270,LapseFloor)</f>
        <v/>
      </c>
      <c r="I270" s="32">
        <f>IF(HasSurrCharge,INDEX(SurrRates,MIN(C270,SurrDurMax)+1,MATCH(SurrChargeID,SurrTypes,0)),0)</f>
        <v/>
      </c>
      <c r="J270" s="33">
        <f>N269-P269-O269</f>
        <v/>
      </c>
      <c r="K270" s="30">
        <f>IF(B270=12*PolicyTerm,J270,0)</f>
        <v/>
      </c>
      <c r="L270" s="33">
        <f>J270-K270</f>
        <v/>
      </c>
      <c r="M270" s="30">
        <f>IF(B270=0,PolicyCount,0)</f>
        <v/>
      </c>
      <c r="N270" s="33">
        <f>L270+M270</f>
        <v/>
      </c>
      <c r="O270" s="31">
        <f>N270*G270</f>
        <v/>
      </c>
      <c r="P270" s="33">
        <f>(N270-O270)*(1-(1-H270)^(1/12))</f>
        <v/>
      </c>
      <c r="Q270" s="34">
        <f>X269+Z269</f>
        <v/>
      </c>
      <c r="R270" s="29">
        <f>(1-LoadPremRate)*E270</f>
        <v/>
      </c>
      <c r="S270" s="34">
        <f>Q270+R270</f>
        <v/>
      </c>
      <c r="T270" s="29">
        <f>MaintFeeRateAnn/12*S270</f>
        <v/>
      </c>
      <c r="U270" s="29">
        <f>MAX(SumAssured-S270,0)</f>
        <v/>
      </c>
      <c r="V270" s="35">
        <f>CoiMultiple*G270</f>
        <v/>
      </c>
      <c r="W270" s="34">
        <f>V270*U270</f>
        <v/>
      </c>
      <c r="X270" s="34">
        <f>S270-T270-W270</f>
        <v/>
      </c>
      <c r="Y270" s="36">
        <f>EXP((Mu-0.5*Sigma^2)/12+Sigma*SQRT(1/12)*INDEX(NormRand,ScenID,A270+1))-1</f>
        <v/>
      </c>
      <c r="Z270" s="34">
        <f>Y270*X270</f>
        <v/>
      </c>
      <c r="AA270" s="34">
        <f>X270+0.5*Z270</f>
        <v/>
      </c>
      <c r="AB270" s="34">
        <f>Q270*J270</f>
        <v/>
      </c>
      <c r="AC270" s="34">
        <f>Q270*L270</f>
        <v/>
      </c>
      <c r="AD270" s="34">
        <f>S270*N270</f>
        <v/>
      </c>
      <c r="AE270" s="34">
        <f>E270*N270</f>
        <v/>
      </c>
      <c r="AF270" s="34">
        <f>R270*N270</f>
        <v/>
      </c>
      <c r="AG270" s="29">
        <f>MAX(SumAssured,AA270)</f>
        <v/>
      </c>
      <c r="AH270" s="34">
        <f>AG270*O270</f>
        <v/>
      </c>
      <c r="AI270" s="34">
        <f>AA270*O270</f>
        <v/>
      </c>
      <c r="AJ270" s="34">
        <f>AA270*P270</f>
        <v/>
      </c>
      <c r="AK270" s="34">
        <f>I270*AA270*P270</f>
        <v/>
      </c>
      <c r="AL270" s="34">
        <f>AJ270-AK270</f>
        <v/>
      </c>
      <c r="AM270" s="34">
        <f>Q270*K270</f>
        <v/>
      </c>
      <c r="AN270" s="34">
        <f>AH270+AL270+AM270</f>
        <v/>
      </c>
      <c r="AO270" s="34">
        <f>(AG270-AA270)*O270</f>
        <v/>
      </c>
      <c r="AP270" s="34">
        <f>W270*N270</f>
        <v/>
      </c>
      <c r="AQ270" s="34">
        <f>T270*N270</f>
        <v/>
      </c>
      <c r="AR270" s="34">
        <f>Z270*J271+0.5*Z270*(O270+P270)</f>
        <v/>
      </c>
      <c r="AS270" s="30">
        <f>(1+InflationRate)^(A270/12)</f>
        <v/>
      </c>
      <c r="AT270" s="29">
        <f>ExpenseAcq*M270+N270*ExpenseMaint/12*AS270</f>
        <v/>
      </c>
      <c r="AU270" s="29">
        <f>CommissionRate*AE270</f>
        <v/>
      </c>
      <c r="AV270" s="34">
        <f>AB271-AB270</f>
        <v/>
      </c>
      <c r="AW270" s="34">
        <f>AE270+AR270-AN270-AT270-AU270-AV270</f>
        <v/>
      </c>
      <c r="AX270" s="29">
        <f>LoadPremRate*E270*N270+AK270+AQ270-AU270-AT270</f>
        <v/>
      </c>
      <c r="AY270" s="34">
        <f>AP270-AO270</f>
        <v/>
      </c>
      <c r="AZ270" s="37">
        <f>(AW270-AX270-AY270)/MAX(1,ABS(AW270),ABS(AX270),ABS(AY270))</f>
        <v/>
      </c>
      <c r="BA270" s="37">
        <f>IF(OR(K270&gt;0,K271&gt;0),0,(AC271-(AC270+AF270-AQ270-AP270+AR270-AI270-AJ270-AM270))/MAX(1,ABS(AC270),ABS(AC271)))</f>
        <v/>
      </c>
      <c r="BB270" s="35">
        <f>(1+INDEX(DiscRateAnn,INT(A270/12)+1))^(1/12)-1</f>
        <v/>
      </c>
      <c r="BC270" s="31">
        <f>(1+BB270)^-A270</f>
        <v/>
      </c>
      <c r="BD270" s="34">
        <f>AW270*BC270</f>
        <v/>
      </c>
    </row>
    <row r="271">
      <c r="A271" s="27">
        <f>A270+1</f>
        <v/>
      </c>
      <c r="B271" s="28">
        <f>Duration0+A271</f>
        <v/>
      </c>
      <c r="C271" s="27">
        <f>INT(B271/12)</f>
        <v/>
      </c>
      <c r="D271" s="28">
        <f>AgeAtEntry+C271</f>
        <v/>
      </c>
      <c r="E271" s="29">
        <f>IF(PremiumType="SINGLE",IF(B271=0,PremiumPPInput,0),IF(B271&lt;12*PolicyTerm,PremiumPPInput,0))</f>
        <v/>
      </c>
      <c r="F271" s="30">
        <f>INDEX(MortRates,MATCH(MIN(D271,120),MortAges,0),MAX(MIN(C271,5),0)+1)</f>
        <v/>
      </c>
      <c r="G271" s="31">
        <f>1-(1-F271)^(1/12)</f>
        <v/>
      </c>
      <c r="H271" s="32">
        <f>MAX(LapseBase-LapseStep*C271,LapseFloor)</f>
        <v/>
      </c>
      <c r="I271" s="32">
        <f>IF(HasSurrCharge,INDEX(SurrRates,MIN(C271,SurrDurMax)+1,MATCH(SurrChargeID,SurrTypes,0)),0)</f>
        <v/>
      </c>
      <c r="J271" s="33">
        <f>N270-P270-O270</f>
        <v/>
      </c>
      <c r="K271" s="30">
        <f>IF(B271=12*PolicyTerm,J271,0)</f>
        <v/>
      </c>
      <c r="L271" s="33">
        <f>J271-K271</f>
        <v/>
      </c>
      <c r="M271" s="30">
        <f>IF(B271=0,PolicyCount,0)</f>
        <v/>
      </c>
      <c r="N271" s="33">
        <f>L271+M271</f>
        <v/>
      </c>
      <c r="O271" s="31">
        <f>N271*G271</f>
        <v/>
      </c>
      <c r="P271" s="33">
        <f>(N271-O271)*(1-(1-H271)^(1/12))</f>
        <v/>
      </c>
      <c r="Q271" s="34">
        <f>X270+Z270</f>
        <v/>
      </c>
      <c r="R271" s="29">
        <f>(1-LoadPremRate)*E271</f>
        <v/>
      </c>
      <c r="S271" s="34">
        <f>Q271+R271</f>
        <v/>
      </c>
      <c r="T271" s="29">
        <f>MaintFeeRateAnn/12*S271</f>
        <v/>
      </c>
      <c r="U271" s="29">
        <f>MAX(SumAssured-S271,0)</f>
        <v/>
      </c>
      <c r="V271" s="35">
        <f>CoiMultiple*G271</f>
        <v/>
      </c>
      <c r="W271" s="34">
        <f>V271*U271</f>
        <v/>
      </c>
      <c r="X271" s="34">
        <f>S271-T271-W271</f>
        <v/>
      </c>
      <c r="Y271" s="36">
        <f>EXP((Mu-0.5*Sigma^2)/12+Sigma*SQRT(1/12)*INDEX(NormRand,ScenID,A271+1))-1</f>
        <v/>
      </c>
      <c r="Z271" s="34">
        <f>Y271*X271</f>
        <v/>
      </c>
      <c r="AA271" s="34">
        <f>X271+0.5*Z271</f>
        <v/>
      </c>
      <c r="AB271" s="34">
        <f>Q271*J271</f>
        <v/>
      </c>
      <c r="AC271" s="34">
        <f>Q271*L271</f>
        <v/>
      </c>
      <c r="AD271" s="34">
        <f>S271*N271</f>
        <v/>
      </c>
      <c r="AE271" s="34">
        <f>E271*N271</f>
        <v/>
      </c>
      <c r="AF271" s="34">
        <f>R271*N271</f>
        <v/>
      </c>
      <c r="AG271" s="29">
        <f>MAX(SumAssured,AA271)</f>
        <v/>
      </c>
      <c r="AH271" s="34">
        <f>AG271*O271</f>
        <v/>
      </c>
      <c r="AI271" s="34">
        <f>AA271*O271</f>
        <v/>
      </c>
      <c r="AJ271" s="34">
        <f>AA271*P271</f>
        <v/>
      </c>
      <c r="AK271" s="34">
        <f>I271*AA271*P271</f>
        <v/>
      </c>
      <c r="AL271" s="34">
        <f>AJ271-AK271</f>
        <v/>
      </c>
      <c r="AM271" s="34">
        <f>Q271*K271</f>
        <v/>
      </c>
      <c r="AN271" s="34">
        <f>AH271+AL271+AM271</f>
        <v/>
      </c>
      <c r="AO271" s="34">
        <f>(AG271-AA271)*O271</f>
        <v/>
      </c>
      <c r="AP271" s="34">
        <f>W271*N271</f>
        <v/>
      </c>
      <c r="AQ271" s="34">
        <f>T271*N271</f>
        <v/>
      </c>
      <c r="AR271" s="34">
        <f>Z271*J272+0.5*Z271*(O271+P271)</f>
        <v/>
      </c>
      <c r="AS271" s="30">
        <f>(1+InflationRate)^(A271/12)</f>
        <v/>
      </c>
      <c r="AT271" s="29">
        <f>ExpenseAcq*M271+N271*ExpenseMaint/12*AS271</f>
        <v/>
      </c>
      <c r="AU271" s="29">
        <f>CommissionRate*AE271</f>
        <v/>
      </c>
      <c r="AV271" s="34">
        <f>AB272-AB271</f>
        <v/>
      </c>
      <c r="AW271" s="34">
        <f>AE271+AR271-AN271-AT271-AU271-AV271</f>
        <v/>
      </c>
      <c r="AX271" s="29">
        <f>LoadPremRate*E271*N271+AK271+AQ271-AU271-AT271</f>
        <v/>
      </c>
      <c r="AY271" s="34">
        <f>AP271-AO271</f>
        <v/>
      </c>
      <c r="AZ271" s="37">
        <f>(AW271-AX271-AY271)/MAX(1,ABS(AW271),ABS(AX271),ABS(AY271))</f>
        <v/>
      </c>
      <c r="BA271" s="37">
        <f>IF(OR(K271&gt;0,K272&gt;0),0,(AC272-(AC271+AF271-AQ271-AP271+AR271-AI271-AJ271-AM271))/MAX(1,ABS(AC271),ABS(AC272)))</f>
        <v/>
      </c>
      <c r="BB271" s="35">
        <f>(1+INDEX(DiscRateAnn,INT(A271/12)+1))^(1/12)-1</f>
        <v/>
      </c>
      <c r="BC271" s="31">
        <f>(1+BB271)^-A271</f>
        <v/>
      </c>
      <c r="BD271" s="34">
        <f>AW271*BC271</f>
        <v/>
      </c>
    </row>
    <row r="272">
      <c r="A272" s="27">
        <f>A271+1</f>
        <v/>
      </c>
      <c r="B272" s="28">
        <f>Duration0+A272</f>
        <v/>
      </c>
      <c r="C272" s="27">
        <f>INT(B272/12)</f>
        <v/>
      </c>
      <c r="D272" s="28">
        <f>AgeAtEntry+C272</f>
        <v/>
      </c>
      <c r="E272" s="29">
        <f>IF(PremiumType="SINGLE",IF(B272=0,PremiumPPInput,0),IF(B272&lt;12*PolicyTerm,PremiumPPInput,0))</f>
        <v/>
      </c>
      <c r="F272" s="30">
        <f>INDEX(MortRates,MATCH(MIN(D272,120),MortAges,0),MAX(MIN(C272,5),0)+1)</f>
        <v/>
      </c>
      <c r="G272" s="31">
        <f>1-(1-F272)^(1/12)</f>
        <v/>
      </c>
      <c r="H272" s="32">
        <f>MAX(LapseBase-LapseStep*C272,LapseFloor)</f>
        <v/>
      </c>
      <c r="I272" s="32">
        <f>IF(HasSurrCharge,INDEX(SurrRates,MIN(C272,SurrDurMax)+1,MATCH(SurrChargeID,SurrTypes,0)),0)</f>
        <v/>
      </c>
      <c r="J272" s="33">
        <f>N271-P271-O271</f>
        <v/>
      </c>
      <c r="K272" s="30">
        <f>IF(B272=12*PolicyTerm,J272,0)</f>
        <v/>
      </c>
      <c r="L272" s="33">
        <f>J272-K272</f>
        <v/>
      </c>
      <c r="M272" s="30">
        <f>IF(B272=0,PolicyCount,0)</f>
        <v/>
      </c>
      <c r="N272" s="33">
        <f>L272+M272</f>
        <v/>
      </c>
      <c r="O272" s="31">
        <f>N272*G272</f>
        <v/>
      </c>
      <c r="P272" s="33">
        <f>(N272-O272)*(1-(1-H272)^(1/12))</f>
        <v/>
      </c>
      <c r="Q272" s="34">
        <f>X271+Z271</f>
        <v/>
      </c>
      <c r="R272" s="29">
        <f>(1-LoadPremRate)*E272</f>
        <v/>
      </c>
      <c r="S272" s="34">
        <f>Q272+R272</f>
        <v/>
      </c>
      <c r="T272" s="29">
        <f>MaintFeeRateAnn/12*S272</f>
        <v/>
      </c>
      <c r="U272" s="29">
        <f>MAX(SumAssured-S272,0)</f>
        <v/>
      </c>
      <c r="V272" s="35">
        <f>CoiMultiple*G272</f>
        <v/>
      </c>
      <c r="W272" s="34">
        <f>V272*U272</f>
        <v/>
      </c>
      <c r="X272" s="34">
        <f>S272-T272-W272</f>
        <v/>
      </c>
      <c r="Y272" s="36">
        <f>EXP((Mu-0.5*Sigma^2)/12+Sigma*SQRT(1/12)*INDEX(NormRand,ScenID,A272+1))-1</f>
        <v/>
      </c>
      <c r="Z272" s="34">
        <f>Y272*X272</f>
        <v/>
      </c>
      <c r="AA272" s="34">
        <f>X272+0.5*Z272</f>
        <v/>
      </c>
      <c r="AB272" s="34">
        <f>Q272*J272</f>
        <v/>
      </c>
      <c r="AC272" s="34">
        <f>Q272*L272</f>
        <v/>
      </c>
      <c r="AD272" s="34">
        <f>S272*N272</f>
        <v/>
      </c>
      <c r="AE272" s="34">
        <f>E272*N272</f>
        <v/>
      </c>
      <c r="AF272" s="34">
        <f>R272*N272</f>
        <v/>
      </c>
      <c r="AG272" s="29">
        <f>MAX(SumAssured,AA272)</f>
        <v/>
      </c>
      <c r="AH272" s="34">
        <f>AG272*O272</f>
        <v/>
      </c>
      <c r="AI272" s="34">
        <f>AA272*O272</f>
        <v/>
      </c>
      <c r="AJ272" s="34">
        <f>AA272*P272</f>
        <v/>
      </c>
      <c r="AK272" s="34">
        <f>I272*AA272*P272</f>
        <v/>
      </c>
      <c r="AL272" s="34">
        <f>AJ272-AK272</f>
        <v/>
      </c>
      <c r="AM272" s="34">
        <f>Q272*K272</f>
        <v/>
      </c>
      <c r="AN272" s="34">
        <f>AH272+AL272+AM272</f>
        <v/>
      </c>
      <c r="AO272" s="34">
        <f>(AG272-AA272)*O272</f>
        <v/>
      </c>
      <c r="AP272" s="34">
        <f>W272*N272</f>
        <v/>
      </c>
      <c r="AQ272" s="34">
        <f>T272*N272</f>
        <v/>
      </c>
      <c r="AR272" s="34">
        <f>Z272*J273+0.5*Z272*(O272+P272)</f>
        <v/>
      </c>
      <c r="AS272" s="30">
        <f>(1+InflationRate)^(A272/12)</f>
        <v/>
      </c>
      <c r="AT272" s="29">
        <f>ExpenseAcq*M272+N272*ExpenseMaint/12*AS272</f>
        <v/>
      </c>
      <c r="AU272" s="29">
        <f>CommissionRate*AE272</f>
        <v/>
      </c>
      <c r="AV272" s="34">
        <f>AB273-AB272</f>
        <v/>
      </c>
      <c r="AW272" s="34">
        <f>AE272+AR272-AN272-AT272-AU272-AV272</f>
        <v/>
      </c>
      <c r="AX272" s="29">
        <f>LoadPremRate*E272*N272+AK272+AQ272-AU272-AT272</f>
        <v/>
      </c>
      <c r="AY272" s="34">
        <f>AP272-AO272</f>
        <v/>
      </c>
      <c r="AZ272" s="37">
        <f>(AW272-AX272-AY272)/MAX(1,ABS(AW272),ABS(AX272),ABS(AY272))</f>
        <v/>
      </c>
      <c r="BA272" s="37">
        <f>IF(OR(K272&gt;0,K273&gt;0),0,(AC273-(AC272+AF272-AQ272-AP272+AR272-AI272-AJ272-AM272))/MAX(1,ABS(AC272),ABS(AC273)))</f>
        <v/>
      </c>
      <c r="BB272" s="35">
        <f>(1+INDEX(DiscRateAnn,INT(A272/12)+1))^(1/12)-1</f>
        <v/>
      </c>
      <c r="BC272" s="31">
        <f>(1+BB272)^-A272</f>
        <v/>
      </c>
      <c r="BD272" s="34">
        <f>AW272*BC272</f>
        <v/>
      </c>
    </row>
    <row r="273">
      <c r="A273" s="27">
        <f>A272+1</f>
        <v/>
      </c>
      <c r="B273" s="28">
        <f>Duration0+A273</f>
        <v/>
      </c>
      <c r="C273" s="27">
        <f>INT(B273/12)</f>
        <v/>
      </c>
      <c r="D273" s="28">
        <f>AgeAtEntry+C273</f>
        <v/>
      </c>
      <c r="E273" s="29">
        <f>IF(PremiumType="SINGLE",IF(B273=0,PremiumPPInput,0),IF(B273&lt;12*PolicyTerm,PremiumPPInput,0))</f>
        <v/>
      </c>
      <c r="F273" s="30">
        <f>INDEX(MortRates,MATCH(MIN(D273,120),MortAges,0),MAX(MIN(C273,5),0)+1)</f>
        <v/>
      </c>
      <c r="G273" s="31">
        <f>1-(1-F273)^(1/12)</f>
        <v/>
      </c>
      <c r="H273" s="32">
        <f>MAX(LapseBase-LapseStep*C273,LapseFloor)</f>
        <v/>
      </c>
      <c r="I273" s="32">
        <f>IF(HasSurrCharge,INDEX(SurrRates,MIN(C273,SurrDurMax)+1,MATCH(SurrChargeID,SurrTypes,0)),0)</f>
        <v/>
      </c>
      <c r="J273" s="33">
        <f>N272-P272-O272</f>
        <v/>
      </c>
      <c r="K273" s="30">
        <f>IF(B273=12*PolicyTerm,J273,0)</f>
        <v/>
      </c>
      <c r="L273" s="33">
        <f>J273-K273</f>
        <v/>
      </c>
      <c r="M273" s="30">
        <f>IF(B273=0,PolicyCount,0)</f>
        <v/>
      </c>
      <c r="N273" s="33">
        <f>L273+M273</f>
        <v/>
      </c>
      <c r="O273" s="31">
        <f>N273*G273</f>
        <v/>
      </c>
      <c r="P273" s="33">
        <f>(N273-O273)*(1-(1-H273)^(1/12))</f>
        <v/>
      </c>
      <c r="Q273" s="34">
        <f>X272+Z272</f>
        <v/>
      </c>
      <c r="R273" s="29">
        <f>(1-LoadPremRate)*E273</f>
        <v/>
      </c>
      <c r="S273" s="34">
        <f>Q273+R273</f>
        <v/>
      </c>
      <c r="T273" s="29">
        <f>MaintFeeRateAnn/12*S273</f>
        <v/>
      </c>
      <c r="U273" s="29">
        <f>MAX(SumAssured-S273,0)</f>
        <v/>
      </c>
      <c r="V273" s="35">
        <f>CoiMultiple*G273</f>
        <v/>
      </c>
      <c r="W273" s="34">
        <f>V273*U273</f>
        <v/>
      </c>
      <c r="X273" s="34">
        <f>S273-T273-W273</f>
        <v/>
      </c>
      <c r="Y273" s="36">
        <f>EXP((Mu-0.5*Sigma^2)/12+Sigma*SQRT(1/12)*INDEX(NormRand,ScenID,A273+1))-1</f>
        <v/>
      </c>
      <c r="Z273" s="34">
        <f>Y273*X273</f>
        <v/>
      </c>
      <c r="AA273" s="34">
        <f>X273+0.5*Z273</f>
        <v/>
      </c>
      <c r="AB273" s="34">
        <f>Q273*J273</f>
        <v/>
      </c>
      <c r="AC273" s="34">
        <f>Q273*L273</f>
        <v/>
      </c>
      <c r="AD273" s="34">
        <f>S273*N273</f>
        <v/>
      </c>
      <c r="AE273" s="34">
        <f>E273*N273</f>
        <v/>
      </c>
      <c r="AF273" s="34">
        <f>R273*N273</f>
        <v/>
      </c>
      <c r="AG273" s="29">
        <f>MAX(SumAssured,AA273)</f>
        <v/>
      </c>
      <c r="AH273" s="34">
        <f>AG273*O273</f>
        <v/>
      </c>
      <c r="AI273" s="34">
        <f>AA273*O273</f>
        <v/>
      </c>
      <c r="AJ273" s="34">
        <f>AA273*P273</f>
        <v/>
      </c>
      <c r="AK273" s="34">
        <f>I273*AA273*P273</f>
        <v/>
      </c>
      <c r="AL273" s="34">
        <f>AJ273-AK273</f>
        <v/>
      </c>
      <c r="AM273" s="34">
        <f>Q273*K273</f>
        <v/>
      </c>
      <c r="AN273" s="34">
        <f>AH273+AL273+AM273</f>
        <v/>
      </c>
      <c r="AO273" s="34">
        <f>(AG273-AA273)*O273</f>
        <v/>
      </c>
      <c r="AP273" s="34">
        <f>W273*N273</f>
        <v/>
      </c>
      <c r="AQ273" s="34">
        <f>T273*N273</f>
        <v/>
      </c>
      <c r="AR273" s="34">
        <f>Z273*J274+0.5*Z273*(O273+P273)</f>
        <v/>
      </c>
      <c r="AS273" s="30">
        <f>(1+InflationRate)^(A273/12)</f>
        <v/>
      </c>
      <c r="AT273" s="29">
        <f>ExpenseAcq*M273+N273*ExpenseMaint/12*AS273</f>
        <v/>
      </c>
      <c r="AU273" s="29">
        <f>CommissionRate*AE273</f>
        <v/>
      </c>
      <c r="AV273" s="34">
        <f>AB274-AB273</f>
        <v/>
      </c>
      <c r="AW273" s="34">
        <f>AE273+AR273-AN273-AT273-AU273-AV273</f>
        <v/>
      </c>
      <c r="AX273" s="29">
        <f>LoadPremRate*E273*N273+AK273+AQ273-AU273-AT273</f>
        <v/>
      </c>
      <c r="AY273" s="34">
        <f>AP273-AO273</f>
        <v/>
      </c>
      <c r="AZ273" s="37">
        <f>(AW273-AX273-AY273)/MAX(1,ABS(AW273),ABS(AX273),ABS(AY273))</f>
        <v/>
      </c>
      <c r="BA273" s="37">
        <f>IF(OR(K273&gt;0,K274&gt;0),0,(AC274-(AC273+AF273-AQ273-AP273+AR273-AI273-AJ273-AM273))/MAX(1,ABS(AC273),ABS(AC274)))</f>
        <v/>
      </c>
      <c r="BB273" s="35">
        <f>(1+INDEX(DiscRateAnn,INT(A273/12)+1))^(1/12)-1</f>
        <v/>
      </c>
      <c r="BC273" s="31">
        <f>(1+BB273)^-A273</f>
        <v/>
      </c>
      <c r="BD273" s="34">
        <f>AW273*BC273</f>
        <v/>
      </c>
    </row>
    <row r="274">
      <c r="A274" s="27">
        <f>A273+1</f>
        <v/>
      </c>
      <c r="B274" s="28">
        <f>Duration0+A274</f>
        <v/>
      </c>
      <c r="C274" s="27">
        <f>INT(B274/12)</f>
        <v/>
      </c>
      <c r="D274" s="28">
        <f>AgeAtEntry+C274</f>
        <v/>
      </c>
      <c r="E274" s="29">
        <f>IF(PremiumType="SINGLE",IF(B274=0,PremiumPPInput,0),IF(B274&lt;12*PolicyTerm,PremiumPPInput,0))</f>
        <v/>
      </c>
      <c r="F274" s="30">
        <f>INDEX(MortRates,MATCH(MIN(D274,120),MortAges,0),MAX(MIN(C274,5),0)+1)</f>
        <v/>
      </c>
      <c r="G274" s="31">
        <f>1-(1-F274)^(1/12)</f>
        <v/>
      </c>
      <c r="H274" s="32">
        <f>MAX(LapseBase-LapseStep*C274,LapseFloor)</f>
        <v/>
      </c>
      <c r="I274" s="32">
        <f>IF(HasSurrCharge,INDEX(SurrRates,MIN(C274,SurrDurMax)+1,MATCH(SurrChargeID,SurrTypes,0)),0)</f>
        <v/>
      </c>
      <c r="J274" s="33">
        <f>N273-P273-O273</f>
        <v/>
      </c>
      <c r="K274" s="30">
        <f>IF(B274=12*PolicyTerm,J274,0)</f>
        <v/>
      </c>
      <c r="L274" s="33">
        <f>J274-K274</f>
        <v/>
      </c>
      <c r="M274" s="30">
        <f>IF(B274=0,PolicyCount,0)</f>
        <v/>
      </c>
      <c r="N274" s="33">
        <f>L274+M274</f>
        <v/>
      </c>
      <c r="O274" s="31">
        <f>N274*G274</f>
        <v/>
      </c>
      <c r="P274" s="33">
        <f>(N274-O274)*(1-(1-H274)^(1/12))</f>
        <v/>
      </c>
      <c r="Q274" s="34">
        <f>X273+Z273</f>
        <v/>
      </c>
      <c r="R274" s="29">
        <f>(1-LoadPremRate)*E274</f>
        <v/>
      </c>
      <c r="S274" s="34">
        <f>Q274+R274</f>
        <v/>
      </c>
      <c r="T274" s="29">
        <f>MaintFeeRateAnn/12*S274</f>
        <v/>
      </c>
      <c r="U274" s="29">
        <f>MAX(SumAssured-S274,0)</f>
        <v/>
      </c>
      <c r="V274" s="35">
        <f>CoiMultiple*G274</f>
        <v/>
      </c>
      <c r="W274" s="34">
        <f>V274*U274</f>
        <v/>
      </c>
      <c r="X274" s="34">
        <f>S274-T274-W274</f>
        <v/>
      </c>
      <c r="Y274" s="36">
        <f>EXP((Mu-0.5*Sigma^2)/12+Sigma*SQRT(1/12)*INDEX(NormRand,ScenID,A274+1))-1</f>
        <v/>
      </c>
      <c r="Z274" s="34">
        <f>Y274*X274</f>
        <v/>
      </c>
      <c r="AA274" s="34">
        <f>X274+0.5*Z274</f>
        <v/>
      </c>
      <c r="AB274" s="34">
        <f>Q274*J274</f>
        <v/>
      </c>
      <c r="AC274" s="34">
        <f>Q274*L274</f>
        <v/>
      </c>
      <c r="AD274" s="34">
        <f>S274*N274</f>
        <v/>
      </c>
      <c r="AE274" s="34">
        <f>E274*N274</f>
        <v/>
      </c>
      <c r="AF274" s="34">
        <f>R274*N274</f>
        <v/>
      </c>
      <c r="AG274" s="29">
        <f>MAX(SumAssured,AA274)</f>
        <v/>
      </c>
      <c r="AH274" s="34">
        <f>AG274*O274</f>
        <v/>
      </c>
      <c r="AI274" s="34">
        <f>AA274*O274</f>
        <v/>
      </c>
      <c r="AJ274" s="34">
        <f>AA274*P274</f>
        <v/>
      </c>
      <c r="AK274" s="34">
        <f>I274*AA274*P274</f>
        <v/>
      </c>
      <c r="AL274" s="34">
        <f>AJ274-AK274</f>
        <v/>
      </c>
      <c r="AM274" s="34">
        <f>Q274*K274</f>
        <v/>
      </c>
      <c r="AN274" s="34">
        <f>AH274+AL274+AM274</f>
        <v/>
      </c>
      <c r="AO274" s="34">
        <f>(AG274-AA274)*O274</f>
        <v/>
      </c>
      <c r="AP274" s="34">
        <f>W274*N274</f>
        <v/>
      </c>
      <c r="AQ274" s="34">
        <f>T274*N274</f>
        <v/>
      </c>
      <c r="AR274" s="34">
        <f>Z274*J275+0.5*Z274*(O274+P274)</f>
        <v/>
      </c>
      <c r="AS274" s="30">
        <f>(1+InflationRate)^(A274/12)</f>
        <v/>
      </c>
      <c r="AT274" s="29">
        <f>ExpenseAcq*M274+N274*ExpenseMaint/12*AS274</f>
        <v/>
      </c>
      <c r="AU274" s="29">
        <f>CommissionRate*AE274</f>
        <v/>
      </c>
      <c r="AV274" s="34">
        <f>AB275-AB274</f>
        <v/>
      </c>
      <c r="AW274" s="34">
        <f>AE274+AR274-AN274-AT274-AU274-AV274</f>
        <v/>
      </c>
      <c r="AX274" s="29">
        <f>LoadPremRate*E274*N274+AK274+AQ274-AU274-AT274</f>
        <v/>
      </c>
      <c r="AY274" s="34">
        <f>AP274-AO274</f>
        <v/>
      </c>
      <c r="AZ274" s="37">
        <f>(AW274-AX274-AY274)/MAX(1,ABS(AW274),ABS(AX274),ABS(AY274))</f>
        <v/>
      </c>
      <c r="BA274" s="37">
        <f>IF(OR(K274&gt;0,K275&gt;0),0,(AC275-(AC274+AF274-AQ274-AP274+AR274-AI274-AJ274-AM274))/MAX(1,ABS(AC274),ABS(AC275)))</f>
        <v/>
      </c>
      <c r="BB274" s="35">
        <f>(1+INDEX(DiscRateAnn,INT(A274/12)+1))^(1/12)-1</f>
        <v/>
      </c>
      <c r="BC274" s="31">
        <f>(1+BB274)^-A274</f>
        <v/>
      </c>
      <c r="BD274" s="34">
        <f>AW274*BC274</f>
        <v/>
      </c>
    </row>
    <row r="275">
      <c r="A275" s="27">
        <f>A274+1</f>
        <v/>
      </c>
      <c r="B275" s="28">
        <f>Duration0+A275</f>
        <v/>
      </c>
      <c r="C275" s="27">
        <f>INT(B275/12)</f>
        <v/>
      </c>
      <c r="D275" s="28">
        <f>AgeAtEntry+C275</f>
        <v/>
      </c>
      <c r="E275" s="29">
        <f>IF(PremiumType="SINGLE",IF(B275=0,PremiumPPInput,0),IF(B275&lt;12*PolicyTerm,PremiumPPInput,0))</f>
        <v/>
      </c>
      <c r="F275" s="30">
        <f>INDEX(MortRates,MATCH(MIN(D275,120),MortAges,0),MAX(MIN(C275,5),0)+1)</f>
        <v/>
      </c>
      <c r="G275" s="31">
        <f>1-(1-F275)^(1/12)</f>
        <v/>
      </c>
      <c r="H275" s="32">
        <f>MAX(LapseBase-LapseStep*C275,LapseFloor)</f>
        <v/>
      </c>
      <c r="I275" s="32">
        <f>IF(HasSurrCharge,INDEX(SurrRates,MIN(C275,SurrDurMax)+1,MATCH(SurrChargeID,SurrTypes,0)),0)</f>
        <v/>
      </c>
      <c r="J275" s="33">
        <f>N274-P274-O274</f>
        <v/>
      </c>
      <c r="K275" s="30">
        <f>IF(B275=12*PolicyTerm,J275,0)</f>
        <v/>
      </c>
      <c r="L275" s="33">
        <f>J275-K275</f>
        <v/>
      </c>
      <c r="M275" s="30">
        <f>IF(B275=0,PolicyCount,0)</f>
        <v/>
      </c>
      <c r="N275" s="33">
        <f>L275+M275</f>
        <v/>
      </c>
      <c r="O275" s="31">
        <f>N275*G275</f>
        <v/>
      </c>
      <c r="P275" s="33">
        <f>(N275-O275)*(1-(1-H275)^(1/12))</f>
        <v/>
      </c>
      <c r="Q275" s="34">
        <f>X274+Z274</f>
        <v/>
      </c>
      <c r="R275" s="29">
        <f>(1-LoadPremRate)*E275</f>
        <v/>
      </c>
      <c r="S275" s="34">
        <f>Q275+R275</f>
        <v/>
      </c>
      <c r="T275" s="29">
        <f>MaintFeeRateAnn/12*S275</f>
        <v/>
      </c>
      <c r="U275" s="29">
        <f>MAX(SumAssured-S275,0)</f>
        <v/>
      </c>
      <c r="V275" s="35">
        <f>CoiMultiple*G275</f>
        <v/>
      </c>
      <c r="W275" s="34">
        <f>V275*U275</f>
        <v/>
      </c>
      <c r="X275" s="34">
        <f>S275-T275-W275</f>
        <v/>
      </c>
      <c r="Y275" s="36">
        <f>EXP((Mu-0.5*Sigma^2)/12+Sigma*SQRT(1/12)*INDEX(NormRand,ScenID,A275+1))-1</f>
        <v/>
      </c>
      <c r="Z275" s="34">
        <f>Y275*X275</f>
        <v/>
      </c>
      <c r="AA275" s="34">
        <f>X275+0.5*Z275</f>
        <v/>
      </c>
      <c r="AB275" s="34">
        <f>Q275*J275</f>
        <v/>
      </c>
      <c r="AC275" s="34">
        <f>Q275*L275</f>
        <v/>
      </c>
      <c r="AD275" s="34">
        <f>S275*N275</f>
        <v/>
      </c>
      <c r="AE275" s="34">
        <f>E275*N275</f>
        <v/>
      </c>
      <c r="AF275" s="34">
        <f>R275*N275</f>
        <v/>
      </c>
      <c r="AG275" s="29">
        <f>MAX(SumAssured,AA275)</f>
        <v/>
      </c>
      <c r="AH275" s="34">
        <f>AG275*O275</f>
        <v/>
      </c>
      <c r="AI275" s="34">
        <f>AA275*O275</f>
        <v/>
      </c>
      <c r="AJ275" s="34">
        <f>AA275*P275</f>
        <v/>
      </c>
      <c r="AK275" s="34">
        <f>I275*AA275*P275</f>
        <v/>
      </c>
      <c r="AL275" s="34">
        <f>AJ275-AK275</f>
        <v/>
      </c>
      <c r="AM275" s="34">
        <f>Q275*K275</f>
        <v/>
      </c>
      <c r="AN275" s="34">
        <f>AH275+AL275+AM275</f>
        <v/>
      </c>
      <c r="AO275" s="34">
        <f>(AG275-AA275)*O275</f>
        <v/>
      </c>
      <c r="AP275" s="34">
        <f>W275*N275</f>
        <v/>
      </c>
      <c r="AQ275" s="34">
        <f>T275*N275</f>
        <v/>
      </c>
      <c r="AR275" s="34">
        <f>Z275*J276+0.5*Z275*(O275+P275)</f>
        <v/>
      </c>
      <c r="AS275" s="30">
        <f>(1+InflationRate)^(A275/12)</f>
        <v/>
      </c>
      <c r="AT275" s="29">
        <f>ExpenseAcq*M275+N275*ExpenseMaint/12*AS275</f>
        <v/>
      </c>
      <c r="AU275" s="29">
        <f>CommissionRate*AE275</f>
        <v/>
      </c>
      <c r="AV275" s="34">
        <f>AB276-AB275</f>
        <v/>
      </c>
      <c r="AW275" s="34">
        <f>AE275+AR275-AN275-AT275-AU275-AV275</f>
        <v/>
      </c>
      <c r="AX275" s="29">
        <f>LoadPremRate*E275*N275+AK275+AQ275-AU275-AT275</f>
        <v/>
      </c>
      <c r="AY275" s="34">
        <f>AP275-AO275</f>
        <v/>
      </c>
      <c r="AZ275" s="37">
        <f>(AW275-AX275-AY275)/MAX(1,ABS(AW275),ABS(AX275),ABS(AY275))</f>
        <v/>
      </c>
      <c r="BA275" s="37">
        <f>IF(OR(K275&gt;0,K276&gt;0),0,(AC276-(AC275+AF275-AQ275-AP275+AR275-AI275-AJ275-AM275))/MAX(1,ABS(AC275),ABS(AC276)))</f>
        <v/>
      </c>
      <c r="BB275" s="35">
        <f>(1+INDEX(DiscRateAnn,INT(A275/12)+1))^(1/12)-1</f>
        <v/>
      </c>
      <c r="BC275" s="31">
        <f>(1+BB275)^-A275</f>
        <v/>
      </c>
      <c r="BD275" s="34">
        <f>AW275*BC275</f>
        <v/>
      </c>
    </row>
    <row r="276">
      <c r="A276" s="27">
        <f>A275+1</f>
        <v/>
      </c>
      <c r="B276" s="28">
        <f>Duration0+A276</f>
        <v/>
      </c>
      <c r="C276" s="27">
        <f>INT(B276/12)</f>
        <v/>
      </c>
      <c r="D276" s="28">
        <f>AgeAtEntry+C276</f>
        <v/>
      </c>
      <c r="E276" s="29">
        <f>IF(PremiumType="SINGLE",IF(B276=0,PremiumPPInput,0),IF(B276&lt;12*PolicyTerm,PremiumPPInput,0))</f>
        <v/>
      </c>
      <c r="F276" s="30">
        <f>INDEX(MortRates,MATCH(MIN(D276,120),MortAges,0),MAX(MIN(C276,5),0)+1)</f>
        <v/>
      </c>
      <c r="G276" s="31">
        <f>1-(1-F276)^(1/12)</f>
        <v/>
      </c>
      <c r="H276" s="32">
        <f>MAX(LapseBase-LapseStep*C276,LapseFloor)</f>
        <v/>
      </c>
      <c r="I276" s="32">
        <f>IF(HasSurrCharge,INDEX(SurrRates,MIN(C276,SurrDurMax)+1,MATCH(SurrChargeID,SurrTypes,0)),0)</f>
        <v/>
      </c>
      <c r="J276" s="33">
        <f>N275-P275-O275</f>
        <v/>
      </c>
      <c r="K276" s="30">
        <f>IF(B276=12*PolicyTerm,J276,0)</f>
        <v/>
      </c>
      <c r="L276" s="33">
        <f>J276-K276</f>
        <v/>
      </c>
      <c r="M276" s="30">
        <f>IF(B276=0,PolicyCount,0)</f>
        <v/>
      </c>
      <c r="N276" s="33">
        <f>L276+M276</f>
        <v/>
      </c>
      <c r="O276" s="31">
        <f>N276*G276</f>
        <v/>
      </c>
      <c r="P276" s="33">
        <f>(N276-O276)*(1-(1-H276)^(1/12))</f>
        <v/>
      </c>
      <c r="Q276" s="34">
        <f>X275+Z275</f>
        <v/>
      </c>
      <c r="R276" s="29">
        <f>(1-LoadPremRate)*E276</f>
        <v/>
      </c>
      <c r="S276" s="34">
        <f>Q276+R276</f>
        <v/>
      </c>
      <c r="T276" s="29">
        <f>MaintFeeRateAnn/12*S276</f>
        <v/>
      </c>
      <c r="U276" s="29">
        <f>MAX(SumAssured-S276,0)</f>
        <v/>
      </c>
      <c r="V276" s="35">
        <f>CoiMultiple*G276</f>
        <v/>
      </c>
      <c r="W276" s="34">
        <f>V276*U276</f>
        <v/>
      </c>
      <c r="X276" s="34">
        <f>S276-T276-W276</f>
        <v/>
      </c>
      <c r="Y276" s="36">
        <f>EXP((Mu-0.5*Sigma^2)/12+Sigma*SQRT(1/12)*INDEX(NormRand,ScenID,A276+1))-1</f>
        <v/>
      </c>
      <c r="Z276" s="34">
        <f>Y276*X276</f>
        <v/>
      </c>
      <c r="AA276" s="34">
        <f>X276+0.5*Z276</f>
        <v/>
      </c>
      <c r="AB276" s="34">
        <f>Q276*J276</f>
        <v/>
      </c>
      <c r="AC276" s="34">
        <f>Q276*L276</f>
        <v/>
      </c>
      <c r="AD276" s="34">
        <f>S276*N276</f>
        <v/>
      </c>
      <c r="AE276" s="34">
        <f>E276*N276</f>
        <v/>
      </c>
      <c r="AF276" s="34">
        <f>R276*N276</f>
        <v/>
      </c>
      <c r="AG276" s="29">
        <f>MAX(SumAssured,AA276)</f>
        <v/>
      </c>
      <c r="AH276" s="34">
        <f>AG276*O276</f>
        <v/>
      </c>
      <c r="AI276" s="34">
        <f>AA276*O276</f>
        <v/>
      </c>
      <c r="AJ276" s="34">
        <f>AA276*P276</f>
        <v/>
      </c>
      <c r="AK276" s="34">
        <f>I276*AA276*P276</f>
        <v/>
      </c>
      <c r="AL276" s="34">
        <f>AJ276-AK276</f>
        <v/>
      </c>
      <c r="AM276" s="34">
        <f>Q276*K276</f>
        <v/>
      </c>
      <c r="AN276" s="34">
        <f>AH276+AL276+AM276</f>
        <v/>
      </c>
      <c r="AO276" s="34">
        <f>(AG276-AA276)*O276</f>
        <v/>
      </c>
      <c r="AP276" s="34">
        <f>W276*N276</f>
        <v/>
      </c>
      <c r="AQ276" s="34">
        <f>T276*N276</f>
        <v/>
      </c>
      <c r="AR276" s="34">
        <f>Z276*J277+0.5*Z276*(O276+P276)</f>
        <v/>
      </c>
      <c r="AS276" s="30">
        <f>(1+InflationRate)^(A276/12)</f>
        <v/>
      </c>
      <c r="AT276" s="29">
        <f>ExpenseAcq*M276+N276*ExpenseMaint/12*AS276</f>
        <v/>
      </c>
      <c r="AU276" s="29">
        <f>CommissionRate*AE276</f>
        <v/>
      </c>
      <c r="AV276" s="34">
        <f>AB277-AB276</f>
        <v/>
      </c>
      <c r="AW276" s="34">
        <f>AE276+AR276-AN276-AT276-AU276-AV276</f>
        <v/>
      </c>
      <c r="AX276" s="29">
        <f>LoadPremRate*E276*N276+AK276+AQ276-AU276-AT276</f>
        <v/>
      </c>
      <c r="AY276" s="34">
        <f>AP276-AO276</f>
        <v/>
      </c>
      <c r="AZ276" s="37">
        <f>(AW276-AX276-AY276)/MAX(1,ABS(AW276),ABS(AX276),ABS(AY276))</f>
        <v/>
      </c>
      <c r="BA276" s="37">
        <f>IF(OR(K276&gt;0,K277&gt;0),0,(AC277-(AC276+AF276-AQ276-AP276+AR276-AI276-AJ276-AM276))/MAX(1,ABS(AC276),ABS(AC277)))</f>
        <v/>
      </c>
      <c r="BB276" s="35">
        <f>(1+INDEX(DiscRateAnn,INT(A276/12)+1))^(1/12)-1</f>
        <v/>
      </c>
      <c r="BC276" s="31">
        <f>(1+BB276)^-A276</f>
        <v/>
      </c>
      <c r="BD276" s="34">
        <f>AW276*BC276</f>
        <v/>
      </c>
    </row>
    <row r="277">
      <c r="A277" s="27">
        <f>A276+1</f>
        <v/>
      </c>
      <c r="B277" s="28">
        <f>Duration0+A277</f>
        <v/>
      </c>
      <c r="C277" s="27">
        <f>INT(B277/12)</f>
        <v/>
      </c>
      <c r="D277" s="28">
        <f>AgeAtEntry+C277</f>
        <v/>
      </c>
      <c r="E277" s="29">
        <f>IF(PremiumType="SINGLE",IF(B277=0,PremiumPPInput,0),IF(B277&lt;12*PolicyTerm,PremiumPPInput,0))</f>
        <v/>
      </c>
      <c r="F277" s="30">
        <f>INDEX(MortRates,MATCH(MIN(D277,120),MortAges,0),MAX(MIN(C277,5),0)+1)</f>
        <v/>
      </c>
      <c r="G277" s="31">
        <f>1-(1-F277)^(1/12)</f>
        <v/>
      </c>
      <c r="H277" s="32">
        <f>MAX(LapseBase-LapseStep*C277,LapseFloor)</f>
        <v/>
      </c>
      <c r="I277" s="32">
        <f>IF(HasSurrCharge,INDEX(SurrRates,MIN(C277,SurrDurMax)+1,MATCH(SurrChargeID,SurrTypes,0)),0)</f>
        <v/>
      </c>
      <c r="J277" s="33">
        <f>N276-P276-O276</f>
        <v/>
      </c>
      <c r="K277" s="30">
        <f>IF(B277=12*PolicyTerm,J277,0)</f>
        <v/>
      </c>
      <c r="L277" s="33">
        <f>J277-K277</f>
        <v/>
      </c>
      <c r="M277" s="30">
        <f>IF(B277=0,PolicyCount,0)</f>
        <v/>
      </c>
      <c r="N277" s="33">
        <f>L277+M277</f>
        <v/>
      </c>
      <c r="O277" s="31">
        <f>N277*G277</f>
        <v/>
      </c>
      <c r="P277" s="33">
        <f>(N277-O277)*(1-(1-H277)^(1/12))</f>
        <v/>
      </c>
      <c r="Q277" s="34">
        <f>X276+Z276</f>
        <v/>
      </c>
      <c r="R277" s="29">
        <f>(1-LoadPremRate)*E277</f>
        <v/>
      </c>
      <c r="S277" s="34">
        <f>Q277+R277</f>
        <v/>
      </c>
      <c r="T277" s="29">
        <f>MaintFeeRateAnn/12*S277</f>
        <v/>
      </c>
      <c r="U277" s="29">
        <f>MAX(SumAssured-S277,0)</f>
        <v/>
      </c>
      <c r="V277" s="35">
        <f>CoiMultiple*G277</f>
        <v/>
      </c>
      <c r="W277" s="34">
        <f>V277*U277</f>
        <v/>
      </c>
      <c r="X277" s="34">
        <f>S277-T277-W277</f>
        <v/>
      </c>
      <c r="Y277" s="36">
        <f>EXP((Mu-0.5*Sigma^2)/12+Sigma*SQRT(1/12)*INDEX(NormRand,ScenID,A277+1))-1</f>
        <v/>
      </c>
      <c r="Z277" s="34">
        <f>Y277*X277</f>
        <v/>
      </c>
      <c r="AA277" s="34">
        <f>X277+0.5*Z277</f>
        <v/>
      </c>
      <c r="AB277" s="34">
        <f>Q277*J277</f>
        <v/>
      </c>
      <c r="AC277" s="34">
        <f>Q277*L277</f>
        <v/>
      </c>
      <c r="AD277" s="34">
        <f>S277*N277</f>
        <v/>
      </c>
      <c r="AE277" s="34">
        <f>E277*N277</f>
        <v/>
      </c>
      <c r="AF277" s="34">
        <f>R277*N277</f>
        <v/>
      </c>
      <c r="AG277" s="29">
        <f>MAX(SumAssured,AA277)</f>
        <v/>
      </c>
      <c r="AH277" s="34">
        <f>AG277*O277</f>
        <v/>
      </c>
      <c r="AI277" s="34">
        <f>AA277*O277</f>
        <v/>
      </c>
      <c r="AJ277" s="34">
        <f>AA277*P277</f>
        <v/>
      </c>
      <c r="AK277" s="34">
        <f>I277*AA277*P277</f>
        <v/>
      </c>
      <c r="AL277" s="34">
        <f>AJ277-AK277</f>
        <v/>
      </c>
      <c r="AM277" s="34">
        <f>Q277*K277</f>
        <v/>
      </c>
      <c r="AN277" s="34">
        <f>AH277+AL277+AM277</f>
        <v/>
      </c>
      <c r="AO277" s="34">
        <f>(AG277-AA277)*O277</f>
        <v/>
      </c>
      <c r="AP277" s="34">
        <f>W277*N277</f>
        <v/>
      </c>
      <c r="AQ277" s="34">
        <f>T277*N277</f>
        <v/>
      </c>
      <c r="AR277" s="34">
        <f>Z277*J278+0.5*Z277*(O277+P277)</f>
        <v/>
      </c>
      <c r="AS277" s="30">
        <f>(1+InflationRate)^(A277/12)</f>
        <v/>
      </c>
      <c r="AT277" s="29">
        <f>ExpenseAcq*M277+N277*ExpenseMaint/12*AS277</f>
        <v/>
      </c>
      <c r="AU277" s="29">
        <f>CommissionRate*AE277</f>
        <v/>
      </c>
      <c r="AV277" s="34">
        <f>AB278-AB277</f>
        <v/>
      </c>
      <c r="AW277" s="34">
        <f>AE277+AR277-AN277-AT277-AU277-AV277</f>
        <v/>
      </c>
      <c r="AX277" s="29">
        <f>LoadPremRate*E277*N277+AK277+AQ277-AU277-AT277</f>
        <v/>
      </c>
      <c r="AY277" s="34">
        <f>AP277-AO277</f>
        <v/>
      </c>
      <c r="AZ277" s="37">
        <f>(AW277-AX277-AY277)/MAX(1,ABS(AW277),ABS(AX277),ABS(AY277))</f>
        <v/>
      </c>
      <c r="BA277" s="37">
        <f>IF(OR(K277&gt;0,K278&gt;0),0,(AC278-(AC277+AF277-AQ277-AP277+AR277-AI277-AJ277-AM277))/MAX(1,ABS(AC277),ABS(AC278)))</f>
        <v/>
      </c>
      <c r="BB277" s="35">
        <f>(1+INDEX(DiscRateAnn,INT(A277/12)+1))^(1/12)-1</f>
        <v/>
      </c>
      <c r="BC277" s="31">
        <f>(1+BB277)^-A277</f>
        <v/>
      </c>
      <c r="BD277" s="34">
        <f>AW277*BC277</f>
        <v/>
      </c>
    </row>
    <row r="278">
      <c r="A278" s="27">
        <f>A277+1</f>
        <v/>
      </c>
      <c r="B278" s="28">
        <f>Duration0+A278</f>
        <v/>
      </c>
      <c r="C278" s="27">
        <f>INT(B278/12)</f>
        <v/>
      </c>
      <c r="D278" s="28">
        <f>AgeAtEntry+C278</f>
        <v/>
      </c>
      <c r="E278" s="29">
        <f>IF(PremiumType="SINGLE",IF(B278=0,PremiumPPInput,0),IF(B278&lt;12*PolicyTerm,PremiumPPInput,0))</f>
        <v/>
      </c>
      <c r="F278" s="30">
        <f>INDEX(MortRates,MATCH(MIN(D278,120),MortAges,0),MAX(MIN(C278,5),0)+1)</f>
        <v/>
      </c>
      <c r="G278" s="31">
        <f>1-(1-F278)^(1/12)</f>
        <v/>
      </c>
      <c r="H278" s="32">
        <f>MAX(LapseBase-LapseStep*C278,LapseFloor)</f>
        <v/>
      </c>
      <c r="I278" s="32">
        <f>IF(HasSurrCharge,INDEX(SurrRates,MIN(C278,SurrDurMax)+1,MATCH(SurrChargeID,SurrTypes,0)),0)</f>
        <v/>
      </c>
      <c r="J278" s="33">
        <f>N277-P277-O277</f>
        <v/>
      </c>
      <c r="K278" s="30">
        <f>IF(B278=12*PolicyTerm,J278,0)</f>
        <v/>
      </c>
      <c r="L278" s="33">
        <f>J278-K278</f>
        <v/>
      </c>
      <c r="M278" s="30">
        <f>IF(B278=0,PolicyCount,0)</f>
        <v/>
      </c>
      <c r="N278" s="33">
        <f>L278+M278</f>
        <v/>
      </c>
      <c r="O278" s="31">
        <f>N278*G278</f>
        <v/>
      </c>
      <c r="P278" s="33">
        <f>(N278-O278)*(1-(1-H278)^(1/12))</f>
        <v/>
      </c>
      <c r="Q278" s="34">
        <f>X277+Z277</f>
        <v/>
      </c>
      <c r="R278" s="29">
        <f>(1-LoadPremRate)*E278</f>
        <v/>
      </c>
      <c r="S278" s="34">
        <f>Q278+R278</f>
        <v/>
      </c>
      <c r="T278" s="29">
        <f>MaintFeeRateAnn/12*S278</f>
        <v/>
      </c>
      <c r="U278" s="29">
        <f>MAX(SumAssured-S278,0)</f>
        <v/>
      </c>
      <c r="V278" s="35">
        <f>CoiMultiple*G278</f>
        <v/>
      </c>
      <c r="W278" s="34">
        <f>V278*U278</f>
        <v/>
      </c>
      <c r="X278" s="34">
        <f>S278-T278-W278</f>
        <v/>
      </c>
      <c r="Y278" s="36">
        <f>EXP((Mu-0.5*Sigma^2)/12+Sigma*SQRT(1/12)*INDEX(NormRand,ScenID,A278+1))-1</f>
        <v/>
      </c>
      <c r="Z278" s="34">
        <f>Y278*X278</f>
        <v/>
      </c>
      <c r="AA278" s="34">
        <f>X278+0.5*Z278</f>
        <v/>
      </c>
      <c r="AB278" s="34">
        <f>Q278*J278</f>
        <v/>
      </c>
      <c r="AC278" s="34">
        <f>Q278*L278</f>
        <v/>
      </c>
      <c r="AD278" s="34">
        <f>S278*N278</f>
        <v/>
      </c>
      <c r="AE278" s="34">
        <f>E278*N278</f>
        <v/>
      </c>
      <c r="AF278" s="34">
        <f>R278*N278</f>
        <v/>
      </c>
      <c r="AG278" s="29">
        <f>MAX(SumAssured,AA278)</f>
        <v/>
      </c>
      <c r="AH278" s="34">
        <f>AG278*O278</f>
        <v/>
      </c>
      <c r="AI278" s="34">
        <f>AA278*O278</f>
        <v/>
      </c>
      <c r="AJ278" s="34">
        <f>AA278*P278</f>
        <v/>
      </c>
      <c r="AK278" s="34">
        <f>I278*AA278*P278</f>
        <v/>
      </c>
      <c r="AL278" s="34">
        <f>AJ278-AK278</f>
        <v/>
      </c>
      <c r="AM278" s="34">
        <f>Q278*K278</f>
        <v/>
      </c>
      <c r="AN278" s="34">
        <f>AH278+AL278+AM278</f>
        <v/>
      </c>
      <c r="AO278" s="34">
        <f>(AG278-AA278)*O278</f>
        <v/>
      </c>
      <c r="AP278" s="34">
        <f>W278*N278</f>
        <v/>
      </c>
      <c r="AQ278" s="34">
        <f>T278*N278</f>
        <v/>
      </c>
      <c r="AR278" s="34">
        <f>Z278*J279+0.5*Z278*(O278+P278)</f>
        <v/>
      </c>
      <c r="AS278" s="30">
        <f>(1+InflationRate)^(A278/12)</f>
        <v/>
      </c>
      <c r="AT278" s="29">
        <f>ExpenseAcq*M278+N278*ExpenseMaint/12*AS278</f>
        <v/>
      </c>
      <c r="AU278" s="29">
        <f>CommissionRate*AE278</f>
        <v/>
      </c>
      <c r="AV278" s="34">
        <f>AB279-AB278</f>
        <v/>
      </c>
      <c r="AW278" s="34">
        <f>AE278+AR278-AN278-AT278-AU278-AV278</f>
        <v/>
      </c>
      <c r="AX278" s="29">
        <f>LoadPremRate*E278*N278+AK278+AQ278-AU278-AT278</f>
        <v/>
      </c>
      <c r="AY278" s="34">
        <f>AP278-AO278</f>
        <v/>
      </c>
      <c r="AZ278" s="37">
        <f>(AW278-AX278-AY278)/MAX(1,ABS(AW278),ABS(AX278),ABS(AY278))</f>
        <v/>
      </c>
      <c r="BA278" s="37">
        <f>IF(OR(K278&gt;0,K279&gt;0),0,(AC279-(AC278+AF278-AQ278-AP278+AR278-AI278-AJ278-AM278))/MAX(1,ABS(AC278),ABS(AC279)))</f>
        <v/>
      </c>
      <c r="BB278" s="35">
        <f>(1+INDEX(DiscRateAnn,INT(A278/12)+1))^(1/12)-1</f>
        <v/>
      </c>
      <c r="BC278" s="31">
        <f>(1+BB278)^-A278</f>
        <v/>
      </c>
      <c r="BD278" s="34">
        <f>AW278*BC278</f>
        <v/>
      </c>
    </row>
    <row r="279">
      <c r="A279" s="27">
        <f>A278+1</f>
        <v/>
      </c>
      <c r="B279" s="28">
        <f>Duration0+A279</f>
        <v/>
      </c>
      <c r="C279" s="27">
        <f>INT(B279/12)</f>
        <v/>
      </c>
      <c r="D279" s="28">
        <f>AgeAtEntry+C279</f>
        <v/>
      </c>
      <c r="E279" s="29">
        <f>IF(PremiumType="SINGLE",IF(B279=0,PremiumPPInput,0),IF(B279&lt;12*PolicyTerm,PremiumPPInput,0))</f>
        <v/>
      </c>
      <c r="F279" s="30">
        <f>INDEX(MortRates,MATCH(MIN(D279,120),MortAges,0),MAX(MIN(C279,5),0)+1)</f>
        <v/>
      </c>
      <c r="G279" s="31">
        <f>1-(1-F279)^(1/12)</f>
        <v/>
      </c>
      <c r="H279" s="32">
        <f>MAX(LapseBase-LapseStep*C279,LapseFloor)</f>
        <v/>
      </c>
      <c r="I279" s="32">
        <f>IF(HasSurrCharge,INDEX(SurrRates,MIN(C279,SurrDurMax)+1,MATCH(SurrChargeID,SurrTypes,0)),0)</f>
        <v/>
      </c>
      <c r="J279" s="33">
        <f>N278-P278-O278</f>
        <v/>
      </c>
      <c r="K279" s="30">
        <f>IF(B279=12*PolicyTerm,J279,0)</f>
        <v/>
      </c>
      <c r="L279" s="33">
        <f>J279-K279</f>
        <v/>
      </c>
      <c r="M279" s="30">
        <f>IF(B279=0,PolicyCount,0)</f>
        <v/>
      </c>
      <c r="N279" s="33">
        <f>L279+M279</f>
        <v/>
      </c>
      <c r="O279" s="31">
        <f>N279*G279</f>
        <v/>
      </c>
      <c r="P279" s="33">
        <f>(N279-O279)*(1-(1-H279)^(1/12))</f>
        <v/>
      </c>
      <c r="Q279" s="34">
        <f>X278+Z278</f>
        <v/>
      </c>
      <c r="R279" s="29">
        <f>(1-LoadPremRate)*E279</f>
        <v/>
      </c>
      <c r="S279" s="34">
        <f>Q279+R279</f>
        <v/>
      </c>
      <c r="T279" s="29">
        <f>MaintFeeRateAnn/12*S279</f>
        <v/>
      </c>
      <c r="U279" s="29">
        <f>MAX(SumAssured-S279,0)</f>
        <v/>
      </c>
      <c r="V279" s="35">
        <f>CoiMultiple*G279</f>
        <v/>
      </c>
      <c r="W279" s="34">
        <f>V279*U279</f>
        <v/>
      </c>
      <c r="X279" s="34">
        <f>S279-T279-W279</f>
        <v/>
      </c>
      <c r="Y279" s="36">
        <f>EXP((Mu-0.5*Sigma^2)/12+Sigma*SQRT(1/12)*INDEX(NormRand,ScenID,A279+1))-1</f>
        <v/>
      </c>
      <c r="Z279" s="34">
        <f>Y279*X279</f>
        <v/>
      </c>
      <c r="AA279" s="34">
        <f>X279+0.5*Z279</f>
        <v/>
      </c>
      <c r="AB279" s="34">
        <f>Q279*J279</f>
        <v/>
      </c>
      <c r="AC279" s="34">
        <f>Q279*L279</f>
        <v/>
      </c>
      <c r="AD279" s="34">
        <f>S279*N279</f>
        <v/>
      </c>
      <c r="AE279" s="34">
        <f>E279*N279</f>
        <v/>
      </c>
      <c r="AF279" s="34">
        <f>R279*N279</f>
        <v/>
      </c>
      <c r="AG279" s="29">
        <f>MAX(SumAssured,AA279)</f>
        <v/>
      </c>
      <c r="AH279" s="34">
        <f>AG279*O279</f>
        <v/>
      </c>
      <c r="AI279" s="34">
        <f>AA279*O279</f>
        <v/>
      </c>
      <c r="AJ279" s="34">
        <f>AA279*P279</f>
        <v/>
      </c>
      <c r="AK279" s="34">
        <f>I279*AA279*P279</f>
        <v/>
      </c>
      <c r="AL279" s="34">
        <f>AJ279-AK279</f>
        <v/>
      </c>
      <c r="AM279" s="34">
        <f>Q279*K279</f>
        <v/>
      </c>
      <c r="AN279" s="34">
        <f>AH279+AL279+AM279</f>
        <v/>
      </c>
      <c r="AO279" s="34">
        <f>(AG279-AA279)*O279</f>
        <v/>
      </c>
      <c r="AP279" s="34">
        <f>W279*N279</f>
        <v/>
      </c>
      <c r="AQ279" s="34">
        <f>T279*N279</f>
        <v/>
      </c>
      <c r="AR279" s="34">
        <f>Z279*J280+0.5*Z279*(O279+P279)</f>
        <v/>
      </c>
      <c r="AS279" s="30">
        <f>(1+InflationRate)^(A279/12)</f>
        <v/>
      </c>
      <c r="AT279" s="29">
        <f>ExpenseAcq*M279+N279*ExpenseMaint/12*AS279</f>
        <v/>
      </c>
      <c r="AU279" s="29">
        <f>CommissionRate*AE279</f>
        <v/>
      </c>
      <c r="AV279" s="34">
        <f>AB280-AB279</f>
        <v/>
      </c>
      <c r="AW279" s="34">
        <f>AE279+AR279-AN279-AT279-AU279-AV279</f>
        <v/>
      </c>
      <c r="AX279" s="29">
        <f>LoadPremRate*E279*N279+AK279+AQ279-AU279-AT279</f>
        <v/>
      </c>
      <c r="AY279" s="34">
        <f>AP279-AO279</f>
        <v/>
      </c>
      <c r="AZ279" s="37">
        <f>(AW279-AX279-AY279)/MAX(1,ABS(AW279),ABS(AX279),ABS(AY279))</f>
        <v/>
      </c>
      <c r="BA279" s="37">
        <f>IF(OR(K279&gt;0,K280&gt;0),0,(AC280-(AC279+AF279-AQ279-AP279+AR279-AI279-AJ279-AM279))/MAX(1,ABS(AC279),ABS(AC280)))</f>
        <v/>
      </c>
      <c r="BB279" s="35">
        <f>(1+INDEX(DiscRateAnn,INT(A279/12)+1))^(1/12)-1</f>
        <v/>
      </c>
      <c r="BC279" s="31">
        <f>(1+BB279)^-A279</f>
        <v/>
      </c>
      <c r="BD279" s="34">
        <f>AW279*BC279</f>
        <v/>
      </c>
    </row>
    <row r="280">
      <c r="A280" s="27">
        <f>A279+1</f>
        <v/>
      </c>
      <c r="B280" s="28">
        <f>Duration0+A280</f>
        <v/>
      </c>
      <c r="C280" s="27">
        <f>INT(B280/12)</f>
        <v/>
      </c>
      <c r="D280" s="28">
        <f>AgeAtEntry+C280</f>
        <v/>
      </c>
      <c r="E280" s="29">
        <f>IF(PremiumType="SINGLE",IF(B280=0,PremiumPPInput,0),IF(B280&lt;12*PolicyTerm,PremiumPPInput,0))</f>
        <v/>
      </c>
      <c r="F280" s="30">
        <f>INDEX(MortRates,MATCH(MIN(D280,120),MortAges,0),MAX(MIN(C280,5),0)+1)</f>
        <v/>
      </c>
      <c r="G280" s="31">
        <f>1-(1-F280)^(1/12)</f>
        <v/>
      </c>
      <c r="H280" s="32">
        <f>MAX(LapseBase-LapseStep*C280,LapseFloor)</f>
        <v/>
      </c>
      <c r="I280" s="32">
        <f>IF(HasSurrCharge,INDEX(SurrRates,MIN(C280,SurrDurMax)+1,MATCH(SurrChargeID,SurrTypes,0)),0)</f>
        <v/>
      </c>
      <c r="J280" s="33">
        <f>N279-P279-O279</f>
        <v/>
      </c>
      <c r="K280" s="30">
        <f>IF(B280=12*PolicyTerm,J280,0)</f>
        <v/>
      </c>
      <c r="L280" s="33">
        <f>J280-K280</f>
        <v/>
      </c>
      <c r="M280" s="30">
        <f>IF(B280=0,PolicyCount,0)</f>
        <v/>
      </c>
      <c r="N280" s="33">
        <f>L280+M280</f>
        <v/>
      </c>
      <c r="O280" s="31">
        <f>N280*G280</f>
        <v/>
      </c>
      <c r="P280" s="33">
        <f>(N280-O280)*(1-(1-H280)^(1/12))</f>
        <v/>
      </c>
      <c r="Q280" s="34">
        <f>X279+Z279</f>
        <v/>
      </c>
      <c r="R280" s="29">
        <f>(1-LoadPremRate)*E280</f>
        <v/>
      </c>
      <c r="S280" s="34">
        <f>Q280+R280</f>
        <v/>
      </c>
      <c r="T280" s="29">
        <f>MaintFeeRateAnn/12*S280</f>
        <v/>
      </c>
      <c r="U280" s="29">
        <f>MAX(SumAssured-S280,0)</f>
        <v/>
      </c>
      <c r="V280" s="35">
        <f>CoiMultiple*G280</f>
        <v/>
      </c>
      <c r="W280" s="34">
        <f>V280*U280</f>
        <v/>
      </c>
      <c r="X280" s="34">
        <f>S280-T280-W280</f>
        <v/>
      </c>
      <c r="Y280" s="36">
        <f>EXP((Mu-0.5*Sigma^2)/12+Sigma*SQRT(1/12)*INDEX(NormRand,ScenID,A280+1))-1</f>
        <v/>
      </c>
      <c r="Z280" s="34">
        <f>Y280*X280</f>
        <v/>
      </c>
      <c r="AA280" s="34">
        <f>X280+0.5*Z280</f>
        <v/>
      </c>
      <c r="AB280" s="34">
        <f>Q280*J280</f>
        <v/>
      </c>
      <c r="AC280" s="34">
        <f>Q280*L280</f>
        <v/>
      </c>
      <c r="AD280" s="34">
        <f>S280*N280</f>
        <v/>
      </c>
      <c r="AE280" s="34">
        <f>E280*N280</f>
        <v/>
      </c>
      <c r="AF280" s="34">
        <f>R280*N280</f>
        <v/>
      </c>
      <c r="AG280" s="29">
        <f>MAX(SumAssured,AA280)</f>
        <v/>
      </c>
      <c r="AH280" s="34">
        <f>AG280*O280</f>
        <v/>
      </c>
      <c r="AI280" s="34">
        <f>AA280*O280</f>
        <v/>
      </c>
      <c r="AJ280" s="34">
        <f>AA280*P280</f>
        <v/>
      </c>
      <c r="AK280" s="34">
        <f>I280*AA280*P280</f>
        <v/>
      </c>
      <c r="AL280" s="34">
        <f>AJ280-AK280</f>
        <v/>
      </c>
      <c r="AM280" s="34">
        <f>Q280*K280</f>
        <v/>
      </c>
      <c r="AN280" s="34">
        <f>AH280+AL280+AM280</f>
        <v/>
      </c>
      <c r="AO280" s="34">
        <f>(AG280-AA280)*O280</f>
        <v/>
      </c>
      <c r="AP280" s="34">
        <f>W280*N280</f>
        <v/>
      </c>
      <c r="AQ280" s="34">
        <f>T280*N280</f>
        <v/>
      </c>
      <c r="AR280" s="34">
        <f>Z280*J281+0.5*Z280*(O280+P280)</f>
        <v/>
      </c>
      <c r="AS280" s="30">
        <f>(1+InflationRate)^(A280/12)</f>
        <v/>
      </c>
      <c r="AT280" s="29">
        <f>ExpenseAcq*M280+N280*ExpenseMaint/12*AS280</f>
        <v/>
      </c>
      <c r="AU280" s="29">
        <f>CommissionRate*AE280</f>
        <v/>
      </c>
      <c r="AV280" s="34">
        <f>AB281-AB280</f>
        <v/>
      </c>
      <c r="AW280" s="34">
        <f>AE280+AR280-AN280-AT280-AU280-AV280</f>
        <v/>
      </c>
      <c r="AX280" s="29">
        <f>LoadPremRate*E280*N280+AK280+AQ280-AU280-AT280</f>
        <v/>
      </c>
      <c r="AY280" s="34">
        <f>AP280-AO280</f>
        <v/>
      </c>
      <c r="AZ280" s="37">
        <f>(AW280-AX280-AY280)/MAX(1,ABS(AW280),ABS(AX280),ABS(AY280))</f>
        <v/>
      </c>
      <c r="BA280" s="37">
        <f>IF(OR(K280&gt;0,K281&gt;0),0,(AC281-(AC280+AF280-AQ280-AP280+AR280-AI280-AJ280-AM280))/MAX(1,ABS(AC280),ABS(AC281)))</f>
        <v/>
      </c>
      <c r="BB280" s="35">
        <f>(1+INDEX(DiscRateAnn,INT(A280/12)+1))^(1/12)-1</f>
        <v/>
      </c>
      <c r="BC280" s="31">
        <f>(1+BB280)^-A280</f>
        <v/>
      </c>
      <c r="BD280" s="34">
        <f>AW280*BC280</f>
        <v/>
      </c>
    </row>
    <row r="281">
      <c r="A281" s="27">
        <f>A280+1</f>
        <v/>
      </c>
      <c r="B281" s="28">
        <f>Duration0+A281</f>
        <v/>
      </c>
      <c r="C281" s="27">
        <f>INT(B281/12)</f>
        <v/>
      </c>
      <c r="D281" s="28">
        <f>AgeAtEntry+C281</f>
        <v/>
      </c>
      <c r="E281" s="29">
        <f>IF(PremiumType="SINGLE",IF(B281=0,PremiumPPInput,0),IF(B281&lt;12*PolicyTerm,PremiumPPInput,0))</f>
        <v/>
      </c>
      <c r="F281" s="30">
        <f>INDEX(MortRates,MATCH(MIN(D281,120),MortAges,0),MAX(MIN(C281,5),0)+1)</f>
        <v/>
      </c>
      <c r="G281" s="31">
        <f>1-(1-F281)^(1/12)</f>
        <v/>
      </c>
      <c r="H281" s="32">
        <f>MAX(LapseBase-LapseStep*C281,LapseFloor)</f>
        <v/>
      </c>
      <c r="I281" s="32">
        <f>IF(HasSurrCharge,INDEX(SurrRates,MIN(C281,SurrDurMax)+1,MATCH(SurrChargeID,SurrTypes,0)),0)</f>
        <v/>
      </c>
      <c r="J281" s="33">
        <f>N280-P280-O280</f>
        <v/>
      </c>
      <c r="K281" s="30">
        <f>IF(B281=12*PolicyTerm,J281,0)</f>
        <v/>
      </c>
      <c r="L281" s="33">
        <f>J281-K281</f>
        <v/>
      </c>
      <c r="M281" s="30">
        <f>IF(B281=0,PolicyCount,0)</f>
        <v/>
      </c>
      <c r="N281" s="33">
        <f>L281+M281</f>
        <v/>
      </c>
      <c r="O281" s="31">
        <f>N281*G281</f>
        <v/>
      </c>
      <c r="P281" s="33">
        <f>(N281-O281)*(1-(1-H281)^(1/12))</f>
        <v/>
      </c>
      <c r="Q281" s="34">
        <f>X280+Z280</f>
        <v/>
      </c>
      <c r="R281" s="29">
        <f>(1-LoadPremRate)*E281</f>
        <v/>
      </c>
      <c r="S281" s="34">
        <f>Q281+R281</f>
        <v/>
      </c>
      <c r="T281" s="29">
        <f>MaintFeeRateAnn/12*S281</f>
        <v/>
      </c>
      <c r="U281" s="29">
        <f>MAX(SumAssured-S281,0)</f>
        <v/>
      </c>
      <c r="V281" s="35">
        <f>CoiMultiple*G281</f>
        <v/>
      </c>
      <c r="W281" s="34">
        <f>V281*U281</f>
        <v/>
      </c>
      <c r="X281" s="34">
        <f>S281-T281-W281</f>
        <v/>
      </c>
      <c r="Y281" s="36">
        <f>EXP((Mu-0.5*Sigma^2)/12+Sigma*SQRT(1/12)*INDEX(NormRand,ScenID,A281+1))-1</f>
        <v/>
      </c>
      <c r="Z281" s="34">
        <f>Y281*X281</f>
        <v/>
      </c>
      <c r="AA281" s="34">
        <f>X281+0.5*Z281</f>
        <v/>
      </c>
      <c r="AB281" s="34">
        <f>Q281*J281</f>
        <v/>
      </c>
      <c r="AC281" s="34">
        <f>Q281*L281</f>
        <v/>
      </c>
      <c r="AD281" s="34">
        <f>S281*N281</f>
        <v/>
      </c>
      <c r="AE281" s="34">
        <f>E281*N281</f>
        <v/>
      </c>
      <c r="AF281" s="34">
        <f>R281*N281</f>
        <v/>
      </c>
      <c r="AG281" s="29">
        <f>MAX(SumAssured,AA281)</f>
        <v/>
      </c>
      <c r="AH281" s="34">
        <f>AG281*O281</f>
        <v/>
      </c>
      <c r="AI281" s="34">
        <f>AA281*O281</f>
        <v/>
      </c>
      <c r="AJ281" s="34">
        <f>AA281*P281</f>
        <v/>
      </c>
      <c r="AK281" s="34">
        <f>I281*AA281*P281</f>
        <v/>
      </c>
      <c r="AL281" s="34">
        <f>AJ281-AK281</f>
        <v/>
      </c>
      <c r="AM281" s="34">
        <f>Q281*K281</f>
        <v/>
      </c>
      <c r="AN281" s="34">
        <f>AH281+AL281+AM281</f>
        <v/>
      </c>
      <c r="AO281" s="34">
        <f>(AG281-AA281)*O281</f>
        <v/>
      </c>
      <c r="AP281" s="34">
        <f>W281*N281</f>
        <v/>
      </c>
      <c r="AQ281" s="34">
        <f>T281*N281</f>
        <v/>
      </c>
      <c r="AR281" s="34">
        <f>Z281*J282+0.5*Z281*(O281+P281)</f>
        <v/>
      </c>
      <c r="AS281" s="30">
        <f>(1+InflationRate)^(A281/12)</f>
        <v/>
      </c>
      <c r="AT281" s="29">
        <f>ExpenseAcq*M281+N281*ExpenseMaint/12*AS281</f>
        <v/>
      </c>
      <c r="AU281" s="29">
        <f>CommissionRate*AE281</f>
        <v/>
      </c>
      <c r="AV281" s="34">
        <f>AB282-AB281</f>
        <v/>
      </c>
      <c r="AW281" s="34">
        <f>AE281+AR281-AN281-AT281-AU281-AV281</f>
        <v/>
      </c>
      <c r="AX281" s="29">
        <f>LoadPremRate*E281*N281+AK281+AQ281-AU281-AT281</f>
        <v/>
      </c>
      <c r="AY281" s="34">
        <f>AP281-AO281</f>
        <v/>
      </c>
      <c r="AZ281" s="37">
        <f>(AW281-AX281-AY281)/MAX(1,ABS(AW281),ABS(AX281),ABS(AY281))</f>
        <v/>
      </c>
      <c r="BA281" s="37">
        <f>IF(OR(K281&gt;0,K282&gt;0),0,(AC282-(AC281+AF281-AQ281-AP281+AR281-AI281-AJ281-AM281))/MAX(1,ABS(AC281),ABS(AC282)))</f>
        <v/>
      </c>
      <c r="BB281" s="35">
        <f>(1+INDEX(DiscRateAnn,INT(A281/12)+1))^(1/12)-1</f>
        <v/>
      </c>
      <c r="BC281" s="31">
        <f>(1+BB281)^-A281</f>
        <v/>
      </c>
      <c r="BD281" s="34">
        <f>AW281*BC281</f>
        <v/>
      </c>
    </row>
    <row r="282">
      <c r="A282" s="27">
        <f>A281+1</f>
        <v/>
      </c>
      <c r="B282" s="28">
        <f>Duration0+A282</f>
        <v/>
      </c>
      <c r="C282" s="27">
        <f>INT(B282/12)</f>
        <v/>
      </c>
      <c r="D282" s="28">
        <f>AgeAtEntry+C282</f>
        <v/>
      </c>
      <c r="E282" s="29">
        <f>IF(PremiumType="SINGLE",IF(B282=0,PremiumPPInput,0),IF(B282&lt;12*PolicyTerm,PremiumPPInput,0))</f>
        <v/>
      </c>
      <c r="F282" s="30">
        <f>INDEX(MortRates,MATCH(MIN(D282,120),MortAges,0),MAX(MIN(C282,5),0)+1)</f>
        <v/>
      </c>
      <c r="G282" s="31">
        <f>1-(1-F282)^(1/12)</f>
        <v/>
      </c>
      <c r="H282" s="32">
        <f>MAX(LapseBase-LapseStep*C282,LapseFloor)</f>
        <v/>
      </c>
      <c r="I282" s="32">
        <f>IF(HasSurrCharge,INDEX(SurrRates,MIN(C282,SurrDurMax)+1,MATCH(SurrChargeID,SurrTypes,0)),0)</f>
        <v/>
      </c>
      <c r="J282" s="33">
        <f>N281-P281-O281</f>
        <v/>
      </c>
      <c r="K282" s="30">
        <f>IF(B282=12*PolicyTerm,J282,0)</f>
        <v/>
      </c>
      <c r="L282" s="33">
        <f>J282-K282</f>
        <v/>
      </c>
      <c r="M282" s="30">
        <f>IF(B282=0,PolicyCount,0)</f>
        <v/>
      </c>
      <c r="N282" s="33">
        <f>L282+M282</f>
        <v/>
      </c>
      <c r="O282" s="31">
        <f>N282*G282</f>
        <v/>
      </c>
      <c r="P282" s="33">
        <f>(N282-O282)*(1-(1-H282)^(1/12))</f>
        <v/>
      </c>
      <c r="Q282" s="34">
        <f>X281+Z281</f>
        <v/>
      </c>
      <c r="R282" s="29">
        <f>(1-LoadPremRate)*E282</f>
        <v/>
      </c>
      <c r="S282" s="34">
        <f>Q282+R282</f>
        <v/>
      </c>
      <c r="T282" s="29">
        <f>MaintFeeRateAnn/12*S282</f>
        <v/>
      </c>
      <c r="U282" s="29">
        <f>MAX(SumAssured-S282,0)</f>
        <v/>
      </c>
      <c r="V282" s="35">
        <f>CoiMultiple*G282</f>
        <v/>
      </c>
      <c r="W282" s="34">
        <f>V282*U282</f>
        <v/>
      </c>
      <c r="X282" s="34">
        <f>S282-T282-W282</f>
        <v/>
      </c>
      <c r="Y282" s="36">
        <f>EXP((Mu-0.5*Sigma^2)/12+Sigma*SQRT(1/12)*INDEX(NormRand,ScenID,A282+1))-1</f>
        <v/>
      </c>
      <c r="Z282" s="34">
        <f>Y282*X282</f>
        <v/>
      </c>
      <c r="AA282" s="34">
        <f>X282+0.5*Z282</f>
        <v/>
      </c>
      <c r="AB282" s="34">
        <f>Q282*J282</f>
        <v/>
      </c>
      <c r="AC282" s="34">
        <f>Q282*L282</f>
        <v/>
      </c>
      <c r="AD282" s="34">
        <f>S282*N282</f>
        <v/>
      </c>
      <c r="AE282" s="34">
        <f>E282*N282</f>
        <v/>
      </c>
      <c r="AF282" s="34">
        <f>R282*N282</f>
        <v/>
      </c>
      <c r="AG282" s="29">
        <f>MAX(SumAssured,AA282)</f>
        <v/>
      </c>
      <c r="AH282" s="34">
        <f>AG282*O282</f>
        <v/>
      </c>
      <c r="AI282" s="34">
        <f>AA282*O282</f>
        <v/>
      </c>
      <c r="AJ282" s="34">
        <f>AA282*P282</f>
        <v/>
      </c>
      <c r="AK282" s="34">
        <f>I282*AA282*P282</f>
        <v/>
      </c>
      <c r="AL282" s="34">
        <f>AJ282-AK282</f>
        <v/>
      </c>
      <c r="AM282" s="34">
        <f>Q282*K282</f>
        <v/>
      </c>
      <c r="AN282" s="34">
        <f>AH282+AL282+AM282</f>
        <v/>
      </c>
      <c r="AO282" s="34">
        <f>(AG282-AA282)*O282</f>
        <v/>
      </c>
      <c r="AP282" s="34">
        <f>W282*N282</f>
        <v/>
      </c>
      <c r="AQ282" s="34">
        <f>T282*N282</f>
        <v/>
      </c>
      <c r="AR282" s="34">
        <f>Z282*J283+0.5*Z282*(O282+P282)</f>
        <v/>
      </c>
      <c r="AS282" s="30">
        <f>(1+InflationRate)^(A282/12)</f>
        <v/>
      </c>
      <c r="AT282" s="29">
        <f>ExpenseAcq*M282+N282*ExpenseMaint/12*AS282</f>
        <v/>
      </c>
      <c r="AU282" s="29">
        <f>CommissionRate*AE282</f>
        <v/>
      </c>
      <c r="AV282" s="34">
        <f>AB283-AB282</f>
        <v/>
      </c>
      <c r="AW282" s="34">
        <f>AE282+AR282-AN282-AT282-AU282-AV282</f>
        <v/>
      </c>
      <c r="AX282" s="29">
        <f>LoadPremRate*E282*N282+AK282+AQ282-AU282-AT282</f>
        <v/>
      </c>
      <c r="AY282" s="34">
        <f>AP282-AO282</f>
        <v/>
      </c>
      <c r="AZ282" s="37">
        <f>(AW282-AX282-AY282)/MAX(1,ABS(AW282),ABS(AX282),ABS(AY282))</f>
        <v/>
      </c>
      <c r="BA282" s="37">
        <f>IF(OR(K282&gt;0,K283&gt;0),0,(AC283-(AC282+AF282-AQ282-AP282+AR282-AI282-AJ282-AM282))/MAX(1,ABS(AC282),ABS(AC283)))</f>
        <v/>
      </c>
      <c r="BB282" s="35">
        <f>(1+INDEX(DiscRateAnn,INT(A282/12)+1))^(1/12)-1</f>
        <v/>
      </c>
      <c r="BC282" s="31">
        <f>(1+BB282)^-A282</f>
        <v/>
      </c>
      <c r="BD282" s="34">
        <f>AW282*BC282</f>
        <v/>
      </c>
    </row>
    <row r="283">
      <c r="A283" s="27">
        <f>A282+1</f>
        <v/>
      </c>
      <c r="B283" s="28">
        <f>Duration0+A283</f>
        <v/>
      </c>
      <c r="C283" s="27">
        <f>INT(B283/12)</f>
        <v/>
      </c>
      <c r="D283" s="28">
        <f>AgeAtEntry+C283</f>
        <v/>
      </c>
      <c r="E283" s="29">
        <f>IF(PremiumType="SINGLE",IF(B283=0,PremiumPPInput,0),IF(B283&lt;12*PolicyTerm,PremiumPPInput,0))</f>
        <v/>
      </c>
      <c r="F283" s="30">
        <f>INDEX(MortRates,MATCH(MIN(D283,120),MortAges,0),MAX(MIN(C283,5),0)+1)</f>
        <v/>
      </c>
      <c r="G283" s="31">
        <f>1-(1-F283)^(1/12)</f>
        <v/>
      </c>
      <c r="H283" s="32">
        <f>MAX(LapseBase-LapseStep*C283,LapseFloor)</f>
        <v/>
      </c>
      <c r="I283" s="32">
        <f>IF(HasSurrCharge,INDEX(SurrRates,MIN(C283,SurrDurMax)+1,MATCH(SurrChargeID,SurrTypes,0)),0)</f>
        <v/>
      </c>
      <c r="J283" s="33">
        <f>N282-P282-O282</f>
        <v/>
      </c>
      <c r="K283" s="30">
        <f>IF(B283=12*PolicyTerm,J283,0)</f>
        <v/>
      </c>
      <c r="L283" s="33">
        <f>J283-K283</f>
        <v/>
      </c>
      <c r="M283" s="30">
        <f>IF(B283=0,PolicyCount,0)</f>
        <v/>
      </c>
      <c r="N283" s="33">
        <f>L283+M283</f>
        <v/>
      </c>
      <c r="O283" s="31">
        <f>N283*G283</f>
        <v/>
      </c>
      <c r="P283" s="33">
        <f>(N283-O283)*(1-(1-H283)^(1/12))</f>
        <v/>
      </c>
      <c r="Q283" s="34">
        <f>X282+Z282</f>
        <v/>
      </c>
      <c r="R283" s="29">
        <f>(1-LoadPremRate)*E283</f>
        <v/>
      </c>
      <c r="S283" s="34">
        <f>Q283+R283</f>
        <v/>
      </c>
      <c r="T283" s="29">
        <f>MaintFeeRateAnn/12*S283</f>
        <v/>
      </c>
      <c r="U283" s="29">
        <f>MAX(SumAssured-S283,0)</f>
        <v/>
      </c>
      <c r="V283" s="35">
        <f>CoiMultiple*G283</f>
        <v/>
      </c>
      <c r="W283" s="34">
        <f>V283*U283</f>
        <v/>
      </c>
      <c r="X283" s="34">
        <f>S283-T283-W283</f>
        <v/>
      </c>
      <c r="Y283" s="36">
        <f>EXP((Mu-0.5*Sigma^2)/12+Sigma*SQRT(1/12)*INDEX(NormRand,ScenID,A283+1))-1</f>
        <v/>
      </c>
      <c r="Z283" s="34">
        <f>Y283*X283</f>
        <v/>
      </c>
      <c r="AA283" s="34">
        <f>X283+0.5*Z283</f>
        <v/>
      </c>
      <c r="AB283" s="34">
        <f>Q283*J283</f>
        <v/>
      </c>
      <c r="AC283" s="34">
        <f>Q283*L283</f>
        <v/>
      </c>
      <c r="AD283" s="34">
        <f>S283*N283</f>
        <v/>
      </c>
      <c r="AE283" s="34">
        <f>E283*N283</f>
        <v/>
      </c>
      <c r="AF283" s="34">
        <f>R283*N283</f>
        <v/>
      </c>
      <c r="AG283" s="29">
        <f>MAX(SumAssured,AA283)</f>
        <v/>
      </c>
      <c r="AH283" s="34">
        <f>AG283*O283</f>
        <v/>
      </c>
      <c r="AI283" s="34">
        <f>AA283*O283</f>
        <v/>
      </c>
      <c r="AJ283" s="34">
        <f>AA283*P283</f>
        <v/>
      </c>
      <c r="AK283" s="34">
        <f>I283*AA283*P283</f>
        <v/>
      </c>
      <c r="AL283" s="34">
        <f>AJ283-AK283</f>
        <v/>
      </c>
      <c r="AM283" s="34">
        <f>Q283*K283</f>
        <v/>
      </c>
      <c r="AN283" s="34">
        <f>AH283+AL283+AM283</f>
        <v/>
      </c>
      <c r="AO283" s="34">
        <f>(AG283-AA283)*O283</f>
        <v/>
      </c>
      <c r="AP283" s="34">
        <f>W283*N283</f>
        <v/>
      </c>
      <c r="AQ283" s="34">
        <f>T283*N283</f>
        <v/>
      </c>
      <c r="AR283" s="34">
        <f>Z283*J284+0.5*Z283*(O283+P283)</f>
        <v/>
      </c>
      <c r="AS283" s="30">
        <f>(1+InflationRate)^(A283/12)</f>
        <v/>
      </c>
      <c r="AT283" s="29">
        <f>ExpenseAcq*M283+N283*ExpenseMaint/12*AS283</f>
        <v/>
      </c>
      <c r="AU283" s="29">
        <f>CommissionRate*AE283</f>
        <v/>
      </c>
      <c r="AV283" s="34">
        <f>AB284-AB283</f>
        <v/>
      </c>
      <c r="AW283" s="34">
        <f>AE283+AR283-AN283-AT283-AU283-AV283</f>
        <v/>
      </c>
      <c r="AX283" s="29">
        <f>LoadPremRate*E283*N283+AK283+AQ283-AU283-AT283</f>
        <v/>
      </c>
      <c r="AY283" s="34">
        <f>AP283-AO283</f>
        <v/>
      </c>
      <c r="AZ283" s="37">
        <f>(AW283-AX283-AY283)/MAX(1,ABS(AW283),ABS(AX283),ABS(AY283))</f>
        <v/>
      </c>
      <c r="BA283" s="37">
        <f>IF(OR(K283&gt;0,K284&gt;0),0,(AC284-(AC283+AF283-AQ283-AP283+AR283-AI283-AJ283-AM283))/MAX(1,ABS(AC283),ABS(AC284)))</f>
        <v/>
      </c>
      <c r="BB283" s="35">
        <f>(1+INDEX(DiscRateAnn,INT(A283/12)+1))^(1/12)-1</f>
        <v/>
      </c>
      <c r="BC283" s="31">
        <f>(1+BB283)^-A283</f>
        <v/>
      </c>
      <c r="BD283" s="34">
        <f>AW283*BC283</f>
        <v/>
      </c>
    </row>
    <row r="284">
      <c r="A284" s="27">
        <f>A283+1</f>
        <v/>
      </c>
      <c r="B284" s="28">
        <f>Duration0+A284</f>
        <v/>
      </c>
      <c r="C284" s="27">
        <f>INT(B284/12)</f>
        <v/>
      </c>
      <c r="D284" s="28">
        <f>AgeAtEntry+C284</f>
        <v/>
      </c>
      <c r="E284" s="29">
        <f>IF(PremiumType="SINGLE",IF(B284=0,PremiumPPInput,0),IF(B284&lt;12*PolicyTerm,PremiumPPInput,0))</f>
        <v/>
      </c>
      <c r="F284" s="30">
        <f>INDEX(MortRates,MATCH(MIN(D284,120),MortAges,0),MAX(MIN(C284,5),0)+1)</f>
        <v/>
      </c>
      <c r="G284" s="31">
        <f>1-(1-F284)^(1/12)</f>
        <v/>
      </c>
      <c r="H284" s="32">
        <f>MAX(LapseBase-LapseStep*C284,LapseFloor)</f>
        <v/>
      </c>
      <c r="I284" s="32">
        <f>IF(HasSurrCharge,INDEX(SurrRates,MIN(C284,SurrDurMax)+1,MATCH(SurrChargeID,SurrTypes,0)),0)</f>
        <v/>
      </c>
      <c r="J284" s="33">
        <f>N283-P283-O283</f>
        <v/>
      </c>
      <c r="K284" s="30">
        <f>IF(B284=12*PolicyTerm,J284,0)</f>
        <v/>
      </c>
      <c r="L284" s="33">
        <f>J284-K284</f>
        <v/>
      </c>
      <c r="M284" s="30">
        <f>IF(B284=0,PolicyCount,0)</f>
        <v/>
      </c>
      <c r="N284" s="33">
        <f>L284+M284</f>
        <v/>
      </c>
      <c r="O284" s="31">
        <f>N284*G284</f>
        <v/>
      </c>
      <c r="P284" s="33">
        <f>(N284-O284)*(1-(1-H284)^(1/12))</f>
        <v/>
      </c>
      <c r="Q284" s="34">
        <f>X283+Z283</f>
        <v/>
      </c>
      <c r="R284" s="29">
        <f>(1-LoadPremRate)*E284</f>
        <v/>
      </c>
      <c r="S284" s="34">
        <f>Q284+R284</f>
        <v/>
      </c>
      <c r="T284" s="29">
        <f>MaintFeeRateAnn/12*S284</f>
        <v/>
      </c>
      <c r="U284" s="29">
        <f>MAX(SumAssured-S284,0)</f>
        <v/>
      </c>
      <c r="V284" s="35">
        <f>CoiMultiple*G284</f>
        <v/>
      </c>
      <c r="W284" s="34">
        <f>V284*U284</f>
        <v/>
      </c>
      <c r="X284" s="34">
        <f>S284-T284-W284</f>
        <v/>
      </c>
      <c r="Y284" s="36">
        <f>EXP((Mu-0.5*Sigma^2)/12+Sigma*SQRT(1/12)*INDEX(NormRand,ScenID,A284+1))-1</f>
        <v/>
      </c>
      <c r="Z284" s="34">
        <f>Y284*X284</f>
        <v/>
      </c>
      <c r="AA284" s="34">
        <f>X284+0.5*Z284</f>
        <v/>
      </c>
      <c r="AB284" s="34">
        <f>Q284*J284</f>
        <v/>
      </c>
      <c r="AC284" s="34">
        <f>Q284*L284</f>
        <v/>
      </c>
      <c r="AD284" s="34">
        <f>S284*N284</f>
        <v/>
      </c>
      <c r="AE284" s="34">
        <f>E284*N284</f>
        <v/>
      </c>
      <c r="AF284" s="34">
        <f>R284*N284</f>
        <v/>
      </c>
      <c r="AG284" s="29">
        <f>MAX(SumAssured,AA284)</f>
        <v/>
      </c>
      <c r="AH284" s="34">
        <f>AG284*O284</f>
        <v/>
      </c>
      <c r="AI284" s="34">
        <f>AA284*O284</f>
        <v/>
      </c>
      <c r="AJ284" s="34">
        <f>AA284*P284</f>
        <v/>
      </c>
      <c r="AK284" s="34">
        <f>I284*AA284*P284</f>
        <v/>
      </c>
      <c r="AL284" s="34">
        <f>AJ284-AK284</f>
        <v/>
      </c>
      <c r="AM284" s="34">
        <f>Q284*K284</f>
        <v/>
      </c>
      <c r="AN284" s="34">
        <f>AH284+AL284+AM284</f>
        <v/>
      </c>
      <c r="AO284" s="34">
        <f>(AG284-AA284)*O284</f>
        <v/>
      </c>
      <c r="AP284" s="34">
        <f>W284*N284</f>
        <v/>
      </c>
      <c r="AQ284" s="34">
        <f>T284*N284</f>
        <v/>
      </c>
      <c r="AR284" s="34">
        <f>Z284*J285+0.5*Z284*(O284+P284)</f>
        <v/>
      </c>
      <c r="AS284" s="30">
        <f>(1+InflationRate)^(A284/12)</f>
        <v/>
      </c>
      <c r="AT284" s="29">
        <f>ExpenseAcq*M284+N284*ExpenseMaint/12*AS284</f>
        <v/>
      </c>
      <c r="AU284" s="29">
        <f>CommissionRate*AE284</f>
        <v/>
      </c>
      <c r="AV284" s="34">
        <f>AB285-AB284</f>
        <v/>
      </c>
      <c r="AW284" s="34">
        <f>AE284+AR284-AN284-AT284-AU284-AV284</f>
        <v/>
      </c>
      <c r="AX284" s="29">
        <f>LoadPremRate*E284*N284+AK284+AQ284-AU284-AT284</f>
        <v/>
      </c>
      <c r="AY284" s="34">
        <f>AP284-AO284</f>
        <v/>
      </c>
      <c r="AZ284" s="37">
        <f>(AW284-AX284-AY284)/MAX(1,ABS(AW284),ABS(AX284),ABS(AY284))</f>
        <v/>
      </c>
      <c r="BA284" s="37">
        <f>IF(OR(K284&gt;0,K285&gt;0),0,(AC285-(AC284+AF284-AQ284-AP284+AR284-AI284-AJ284-AM284))/MAX(1,ABS(AC284),ABS(AC285)))</f>
        <v/>
      </c>
      <c r="BB284" s="35">
        <f>(1+INDEX(DiscRateAnn,INT(A284/12)+1))^(1/12)-1</f>
        <v/>
      </c>
      <c r="BC284" s="31">
        <f>(1+BB284)^-A284</f>
        <v/>
      </c>
      <c r="BD284" s="34">
        <f>AW284*BC284</f>
        <v/>
      </c>
    </row>
    <row r="285">
      <c r="A285" s="27">
        <f>A284+1</f>
        <v/>
      </c>
      <c r="B285" s="28">
        <f>Duration0+A285</f>
        <v/>
      </c>
      <c r="C285" s="27">
        <f>INT(B285/12)</f>
        <v/>
      </c>
      <c r="D285" s="28">
        <f>AgeAtEntry+C285</f>
        <v/>
      </c>
      <c r="E285" s="29">
        <f>IF(PremiumType="SINGLE",IF(B285=0,PremiumPPInput,0),IF(B285&lt;12*PolicyTerm,PremiumPPInput,0))</f>
        <v/>
      </c>
      <c r="F285" s="30">
        <f>INDEX(MortRates,MATCH(MIN(D285,120),MortAges,0),MAX(MIN(C285,5),0)+1)</f>
        <v/>
      </c>
      <c r="G285" s="31">
        <f>1-(1-F285)^(1/12)</f>
        <v/>
      </c>
      <c r="H285" s="32">
        <f>MAX(LapseBase-LapseStep*C285,LapseFloor)</f>
        <v/>
      </c>
      <c r="I285" s="32">
        <f>IF(HasSurrCharge,INDEX(SurrRates,MIN(C285,SurrDurMax)+1,MATCH(SurrChargeID,SurrTypes,0)),0)</f>
        <v/>
      </c>
      <c r="J285" s="33">
        <f>N284-P284-O284</f>
        <v/>
      </c>
      <c r="K285" s="30">
        <f>IF(B285=12*PolicyTerm,J285,0)</f>
        <v/>
      </c>
      <c r="L285" s="33">
        <f>J285-K285</f>
        <v/>
      </c>
      <c r="M285" s="30">
        <f>IF(B285=0,PolicyCount,0)</f>
        <v/>
      </c>
      <c r="N285" s="33">
        <f>L285+M285</f>
        <v/>
      </c>
      <c r="O285" s="31">
        <f>N285*G285</f>
        <v/>
      </c>
      <c r="P285" s="33">
        <f>(N285-O285)*(1-(1-H285)^(1/12))</f>
        <v/>
      </c>
      <c r="Q285" s="34">
        <f>X284+Z284</f>
        <v/>
      </c>
      <c r="R285" s="29">
        <f>(1-LoadPremRate)*E285</f>
        <v/>
      </c>
      <c r="S285" s="34">
        <f>Q285+R285</f>
        <v/>
      </c>
      <c r="T285" s="29">
        <f>MaintFeeRateAnn/12*S285</f>
        <v/>
      </c>
      <c r="U285" s="29">
        <f>MAX(SumAssured-S285,0)</f>
        <v/>
      </c>
      <c r="V285" s="35">
        <f>CoiMultiple*G285</f>
        <v/>
      </c>
      <c r="W285" s="34">
        <f>V285*U285</f>
        <v/>
      </c>
      <c r="X285" s="34">
        <f>S285-T285-W285</f>
        <v/>
      </c>
      <c r="Y285" s="36">
        <f>EXP((Mu-0.5*Sigma^2)/12+Sigma*SQRT(1/12)*INDEX(NormRand,ScenID,A285+1))-1</f>
        <v/>
      </c>
      <c r="Z285" s="34">
        <f>Y285*X285</f>
        <v/>
      </c>
      <c r="AA285" s="34">
        <f>X285+0.5*Z285</f>
        <v/>
      </c>
      <c r="AB285" s="34">
        <f>Q285*J285</f>
        <v/>
      </c>
      <c r="AC285" s="34">
        <f>Q285*L285</f>
        <v/>
      </c>
      <c r="AD285" s="34">
        <f>S285*N285</f>
        <v/>
      </c>
      <c r="AE285" s="34">
        <f>E285*N285</f>
        <v/>
      </c>
      <c r="AF285" s="34">
        <f>R285*N285</f>
        <v/>
      </c>
      <c r="AG285" s="29">
        <f>MAX(SumAssured,AA285)</f>
        <v/>
      </c>
      <c r="AH285" s="34">
        <f>AG285*O285</f>
        <v/>
      </c>
      <c r="AI285" s="34">
        <f>AA285*O285</f>
        <v/>
      </c>
      <c r="AJ285" s="34">
        <f>AA285*P285</f>
        <v/>
      </c>
      <c r="AK285" s="34">
        <f>I285*AA285*P285</f>
        <v/>
      </c>
      <c r="AL285" s="34">
        <f>AJ285-AK285</f>
        <v/>
      </c>
      <c r="AM285" s="34">
        <f>Q285*K285</f>
        <v/>
      </c>
      <c r="AN285" s="34">
        <f>AH285+AL285+AM285</f>
        <v/>
      </c>
      <c r="AO285" s="34">
        <f>(AG285-AA285)*O285</f>
        <v/>
      </c>
      <c r="AP285" s="34">
        <f>W285*N285</f>
        <v/>
      </c>
      <c r="AQ285" s="34">
        <f>T285*N285</f>
        <v/>
      </c>
      <c r="AR285" s="34">
        <f>Z285*J286+0.5*Z285*(O285+P285)</f>
        <v/>
      </c>
      <c r="AS285" s="30">
        <f>(1+InflationRate)^(A285/12)</f>
        <v/>
      </c>
      <c r="AT285" s="29">
        <f>ExpenseAcq*M285+N285*ExpenseMaint/12*AS285</f>
        <v/>
      </c>
      <c r="AU285" s="29">
        <f>CommissionRate*AE285</f>
        <v/>
      </c>
      <c r="AV285" s="34">
        <f>AB286-AB285</f>
        <v/>
      </c>
      <c r="AW285" s="34">
        <f>AE285+AR285-AN285-AT285-AU285-AV285</f>
        <v/>
      </c>
      <c r="AX285" s="29">
        <f>LoadPremRate*E285*N285+AK285+AQ285-AU285-AT285</f>
        <v/>
      </c>
      <c r="AY285" s="34">
        <f>AP285-AO285</f>
        <v/>
      </c>
      <c r="AZ285" s="37">
        <f>(AW285-AX285-AY285)/MAX(1,ABS(AW285),ABS(AX285),ABS(AY285))</f>
        <v/>
      </c>
      <c r="BA285" s="37">
        <f>IF(OR(K285&gt;0,K286&gt;0),0,(AC286-(AC285+AF285-AQ285-AP285+AR285-AI285-AJ285-AM285))/MAX(1,ABS(AC285),ABS(AC286)))</f>
        <v/>
      </c>
      <c r="BB285" s="35">
        <f>(1+INDEX(DiscRateAnn,INT(A285/12)+1))^(1/12)-1</f>
        <v/>
      </c>
      <c r="BC285" s="31">
        <f>(1+BB285)^-A285</f>
        <v/>
      </c>
      <c r="BD285" s="34">
        <f>AW285*BC285</f>
        <v/>
      </c>
    </row>
    <row r="286">
      <c r="A286" s="27">
        <f>A285+1</f>
        <v/>
      </c>
      <c r="B286" s="28">
        <f>Duration0+A286</f>
        <v/>
      </c>
      <c r="C286" s="27">
        <f>INT(B286/12)</f>
        <v/>
      </c>
      <c r="D286" s="28">
        <f>AgeAtEntry+C286</f>
        <v/>
      </c>
      <c r="E286" s="29">
        <f>IF(PremiumType="SINGLE",IF(B286=0,PremiumPPInput,0),IF(B286&lt;12*PolicyTerm,PremiumPPInput,0))</f>
        <v/>
      </c>
      <c r="F286" s="30">
        <f>INDEX(MortRates,MATCH(MIN(D286,120),MortAges,0),MAX(MIN(C286,5),0)+1)</f>
        <v/>
      </c>
      <c r="G286" s="31">
        <f>1-(1-F286)^(1/12)</f>
        <v/>
      </c>
      <c r="H286" s="32">
        <f>MAX(LapseBase-LapseStep*C286,LapseFloor)</f>
        <v/>
      </c>
      <c r="I286" s="32">
        <f>IF(HasSurrCharge,INDEX(SurrRates,MIN(C286,SurrDurMax)+1,MATCH(SurrChargeID,SurrTypes,0)),0)</f>
        <v/>
      </c>
      <c r="J286" s="33">
        <f>N285-P285-O285</f>
        <v/>
      </c>
      <c r="K286" s="30">
        <f>IF(B286=12*PolicyTerm,J286,0)</f>
        <v/>
      </c>
      <c r="L286" s="33">
        <f>J286-K286</f>
        <v/>
      </c>
      <c r="M286" s="30">
        <f>IF(B286=0,PolicyCount,0)</f>
        <v/>
      </c>
      <c r="N286" s="33">
        <f>L286+M286</f>
        <v/>
      </c>
      <c r="O286" s="31">
        <f>N286*G286</f>
        <v/>
      </c>
      <c r="P286" s="33">
        <f>(N286-O286)*(1-(1-H286)^(1/12))</f>
        <v/>
      </c>
      <c r="Q286" s="34">
        <f>X285+Z285</f>
        <v/>
      </c>
      <c r="R286" s="29">
        <f>(1-LoadPremRate)*E286</f>
        <v/>
      </c>
      <c r="S286" s="34">
        <f>Q286+R286</f>
        <v/>
      </c>
      <c r="T286" s="29">
        <f>MaintFeeRateAnn/12*S286</f>
        <v/>
      </c>
      <c r="U286" s="29">
        <f>MAX(SumAssured-S286,0)</f>
        <v/>
      </c>
      <c r="V286" s="35">
        <f>CoiMultiple*G286</f>
        <v/>
      </c>
      <c r="W286" s="34">
        <f>V286*U286</f>
        <v/>
      </c>
      <c r="X286" s="34">
        <f>S286-T286-W286</f>
        <v/>
      </c>
      <c r="Y286" s="36">
        <f>EXP((Mu-0.5*Sigma^2)/12+Sigma*SQRT(1/12)*INDEX(NormRand,ScenID,A286+1))-1</f>
        <v/>
      </c>
      <c r="Z286" s="34">
        <f>Y286*X286</f>
        <v/>
      </c>
      <c r="AA286" s="34">
        <f>X286+0.5*Z286</f>
        <v/>
      </c>
      <c r="AB286" s="34">
        <f>Q286*J286</f>
        <v/>
      </c>
      <c r="AC286" s="34">
        <f>Q286*L286</f>
        <v/>
      </c>
      <c r="AD286" s="34">
        <f>S286*N286</f>
        <v/>
      </c>
      <c r="AE286" s="34">
        <f>E286*N286</f>
        <v/>
      </c>
      <c r="AF286" s="34">
        <f>R286*N286</f>
        <v/>
      </c>
      <c r="AG286" s="29">
        <f>MAX(SumAssured,AA286)</f>
        <v/>
      </c>
      <c r="AH286" s="34">
        <f>AG286*O286</f>
        <v/>
      </c>
      <c r="AI286" s="34">
        <f>AA286*O286</f>
        <v/>
      </c>
      <c r="AJ286" s="34">
        <f>AA286*P286</f>
        <v/>
      </c>
      <c r="AK286" s="34">
        <f>I286*AA286*P286</f>
        <v/>
      </c>
      <c r="AL286" s="34">
        <f>AJ286-AK286</f>
        <v/>
      </c>
      <c r="AM286" s="34">
        <f>Q286*K286</f>
        <v/>
      </c>
      <c r="AN286" s="34">
        <f>AH286+AL286+AM286</f>
        <v/>
      </c>
      <c r="AO286" s="34">
        <f>(AG286-AA286)*O286</f>
        <v/>
      </c>
      <c r="AP286" s="34">
        <f>W286*N286</f>
        <v/>
      </c>
      <c r="AQ286" s="34">
        <f>T286*N286</f>
        <v/>
      </c>
      <c r="AR286" s="34">
        <f>Z286*J287+0.5*Z286*(O286+P286)</f>
        <v/>
      </c>
      <c r="AS286" s="30">
        <f>(1+InflationRate)^(A286/12)</f>
        <v/>
      </c>
      <c r="AT286" s="29">
        <f>ExpenseAcq*M286+N286*ExpenseMaint/12*AS286</f>
        <v/>
      </c>
      <c r="AU286" s="29">
        <f>CommissionRate*AE286</f>
        <v/>
      </c>
      <c r="AV286" s="34">
        <f>AB287-AB286</f>
        <v/>
      </c>
      <c r="AW286" s="34">
        <f>AE286+AR286-AN286-AT286-AU286-AV286</f>
        <v/>
      </c>
      <c r="AX286" s="29">
        <f>LoadPremRate*E286*N286+AK286+AQ286-AU286-AT286</f>
        <v/>
      </c>
      <c r="AY286" s="34">
        <f>AP286-AO286</f>
        <v/>
      </c>
      <c r="AZ286" s="37">
        <f>(AW286-AX286-AY286)/MAX(1,ABS(AW286),ABS(AX286),ABS(AY286))</f>
        <v/>
      </c>
      <c r="BA286" s="37">
        <f>IF(OR(K286&gt;0,K287&gt;0),0,(AC287-(AC286+AF286-AQ286-AP286+AR286-AI286-AJ286-AM286))/MAX(1,ABS(AC286),ABS(AC287)))</f>
        <v/>
      </c>
      <c r="BB286" s="35">
        <f>(1+INDEX(DiscRateAnn,INT(A286/12)+1))^(1/12)-1</f>
        <v/>
      </c>
      <c r="BC286" s="31">
        <f>(1+BB286)^-A286</f>
        <v/>
      </c>
      <c r="BD286" s="34">
        <f>AW286*BC286</f>
        <v/>
      </c>
    </row>
    <row r="287">
      <c r="A287" s="27">
        <f>A286+1</f>
        <v/>
      </c>
      <c r="B287" s="28">
        <f>Duration0+A287</f>
        <v/>
      </c>
      <c r="C287" s="27">
        <f>INT(B287/12)</f>
        <v/>
      </c>
      <c r="D287" s="28">
        <f>AgeAtEntry+C287</f>
        <v/>
      </c>
      <c r="E287" s="29">
        <f>IF(PremiumType="SINGLE",IF(B287=0,PremiumPPInput,0),IF(B287&lt;12*PolicyTerm,PremiumPPInput,0))</f>
        <v/>
      </c>
      <c r="F287" s="30">
        <f>INDEX(MortRates,MATCH(MIN(D287,120),MortAges,0),MAX(MIN(C287,5),0)+1)</f>
        <v/>
      </c>
      <c r="G287" s="31">
        <f>1-(1-F287)^(1/12)</f>
        <v/>
      </c>
      <c r="H287" s="32">
        <f>MAX(LapseBase-LapseStep*C287,LapseFloor)</f>
        <v/>
      </c>
      <c r="I287" s="32">
        <f>IF(HasSurrCharge,INDEX(SurrRates,MIN(C287,SurrDurMax)+1,MATCH(SurrChargeID,SurrTypes,0)),0)</f>
        <v/>
      </c>
      <c r="J287" s="33">
        <f>N286-P286-O286</f>
        <v/>
      </c>
      <c r="K287" s="30">
        <f>IF(B287=12*PolicyTerm,J287,0)</f>
        <v/>
      </c>
      <c r="L287" s="33">
        <f>J287-K287</f>
        <v/>
      </c>
      <c r="M287" s="30">
        <f>IF(B287=0,PolicyCount,0)</f>
        <v/>
      </c>
      <c r="N287" s="33">
        <f>L287+M287</f>
        <v/>
      </c>
      <c r="O287" s="31">
        <f>N287*G287</f>
        <v/>
      </c>
      <c r="P287" s="33">
        <f>(N287-O287)*(1-(1-H287)^(1/12))</f>
        <v/>
      </c>
      <c r="Q287" s="34">
        <f>X286+Z286</f>
        <v/>
      </c>
      <c r="R287" s="29">
        <f>(1-LoadPremRate)*E287</f>
        <v/>
      </c>
      <c r="S287" s="34">
        <f>Q287+R287</f>
        <v/>
      </c>
      <c r="T287" s="29">
        <f>MaintFeeRateAnn/12*S287</f>
        <v/>
      </c>
      <c r="U287" s="29">
        <f>MAX(SumAssured-S287,0)</f>
        <v/>
      </c>
      <c r="V287" s="35">
        <f>CoiMultiple*G287</f>
        <v/>
      </c>
      <c r="W287" s="34">
        <f>V287*U287</f>
        <v/>
      </c>
      <c r="X287" s="34">
        <f>S287-T287-W287</f>
        <v/>
      </c>
      <c r="Y287" s="36">
        <f>EXP((Mu-0.5*Sigma^2)/12+Sigma*SQRT(1/12)*INDEX(NormRand,ScenID,A287+1))-1</f>
        <v/>
      </c>
      <c r="Z287" s="34">
        <f>Y287*X287</f>
        <v/>
      </c>
      <c r="AA287" s="34">
        <f>X287+0.5*Z287</f>
        <v/>
      </c>
      <c r="AB287" s="34">
        <f>Q287*J287</f>
        <v/>
      </c>
      <c r="AC287" s="34">
        <f>Q287*L287</f>
        <v/>
      </c>
      <c r="AD287" s="34">
        <f>S287*N287</f>
        <v/>
      </c>
      <c r="AE287" s="34">
        <f>E287*N287</f>
        <v/>
      </c>
      <c r="AF287" s="34">
        <f>R287*N287</f>
        <v/>
      </c>
      <c r="AG287" s="29">
        <f>MAX(SumAssured,AA287)</f>
        <v/>
      </c>
      <c r="AH287" s="34">
        <f>AG287*O287</f>
        <v/>
      </c>
      <c r="AI287" s="34">
        <f>AA287*O287</f>
        <v/>
      </c>
      <c r="AJ287" s="34">
        <f>AA287*P287</f>
        <v/>
      </c>
      <c r="AK287" s="34">
        <f>I287*AA287*P287</f>
        <v/>
      </c>
      <c r="AL287" s="34">
        <f>AJ287-AK287</f>
        <v/>
      </c>
      <c r="AM287" s="34">
        <f>Q287*K287</f>
        <v/>
      </c>
      <c r="AN287" s="34">
        <f>AH287+AL287+AM287</f>
        <v/>
      </c>
      <c r="AO287" s="34">
        <f>(AG287-AA287)*O287</f>
        <v/>
      </c>
      <c r="AP287" s="34">
        <f>W287*N287</f>
        <v/>
      </c>
      <c r="AQ287" s="34">
        <f>T287*N287</f>
        <v/>
      </c>
      <c r="AR287" s="34">
        <f>Z287*J288+0.5*Z287*(O287+P287)</f>
        <v/>
      </c>
      <c r="AS287" s="30">
        <f>(1+InflationRate)^(A287/12)</f>
        <v/>
      </c>
      <c r="AT287" s="29">
        <f>ExpenseAcq*M287+N287*ExpenseMaint/12*AS287</f>
        <v/>
      </c>
      <c r="AU287" s="29">
        <f>CommissionRate*AE287</f>
        <v/>
      </c>
      <c r="AV287" s="34">
        <f>AB288-AB287</f>
        <v/>
      </c>
      <c r="AW287" s="34">
        <f>AE287+AR287-AN287-AT287-AU287-AV287</f>
        <v/>
      </c>
      <c r="AX287" s="29">
        <f>LoadPremRate*E287*N287+AK287+AQ287-AU287-AT287</f>
        <v/>
      </c>
      <c r="AY287" s="34">
        <f>AP287-AO287</f>
        <v/>
      </c>
      <c r="AZ287" s="37">
        <f>(AW287-AX287-AY287)/MAX(1,ABS(AW287),ABS(AX287),ABS(AY287))</f>
        <v/>
      </c>
      <c r="BA287" s="37">
        <f>IF(OR(K287&gt;0,K288&gt;0),0,(AC288-(AC287+AF287-AQ287-AP287+AR287-AI287-AJ287-AM287))/MAX(1,ABS(AC287),ABS(AC288)))</f>
        <v/>
      </c>
      <c r="BB287" s="35">
        <f>(1+INDEX(DiscRateAnn,INT(A287/12)+1))^(1/12)-1</f>
        <v/>
      </c>
      <c r="BC287" s="31">
        <f>(1+BB287)^-A287</f>
        <v/>
      </c>
      <c r="BD287" s="34">
        <f>AW287*BC287</f>
        <v/>
      </c>
    </row>
    <row r="288">
      <c r="A288" s="27">
        <f>A287+1</f>
        <v/>
      </c>
      <c r="B288" s="28">
        <f>Duration0+A288</f>
        <v/>
      </c>
      <c r="C288" s="27">
        <f>INT(B288/12)</f>
        <v/>
      </c>
      <c r="D288" s="28">
        <f>AgeAtEntry+C288</f>
        <v/>
      </c>
      <c r="E288" s="29">
        <f>IF(PremiumType="SINGLE",IF(B288=0,PremiumPPInput,0),IF(B288&lt;12*PolicyTerm,PremiumPPInput,0))</f>
        <v/>
      </c>
      <c r="F288" s="30">
        <f>INDEX(MortRates,MATCH(MIN(D288,120),MortAges,0),MAX(MIN(C288,5),0)+1)</f>
        <v/>
      </c>
      <c r="G288" s="31">
        <f>1-(1-F288)^(1/12)</f>
        <v/>
      </c>
      <c r="H288" s="32">
        <f>MAX(LapseBase-LapseStep*C288,LapseFloor)</f>
        <v/>
      </c>
      <c r="I288" s="32">
        <f>IF(HasSurrCharge,INDEX(SurrRates,MIN(C288,SurrDurMax)+1,MATCH(SurrChargeID,SurrTypes,0)),0)</f>
        <v/>
      </c>
      <c r="J288" s="33">
        <f>N287-P287-O287</f>
        <v/>
      </c>
      <c r="K288" s="30">
        <f>IF(B288=12*PolicyTerm,J288,0)</f>
        <v/>
      </c>
      <c r="L288" s="33">
        <f>J288-K288</f>
        <v/>
      </c>
      <c r="M288" s="30">
        <f>IF(B288=0,PolicyCount,0)</f>
        <v/>
      </c>
      <c r="N288" s="33">
        <f>L288+M288</f>
        <v/>
      </c>
      <c r="O288" s="31">
        <f>N288*G288</f>
        <v/>
      </c>
      <c r="P288" s="33">
        <f>(N288-O288)*(1-(1-H288)^(1/12))</f>
        <v/>
      </c>
      <c r="Q288" s="34">
        <f>X287+Z287</f>
        <v/>
      </c>
      <c r="R288" s="29">
        <f>(1-LoadPremRate)*E288</f>
        <v/>
      </c>
      <c r="S288" s="34">
        <f>Q288+R288</f>
        <v/>
      </c>
      <c r="T288" s="29">
        <f>MaintFeeRateAnn/12*S288</f>
        <v/>
      </c>
      <c r="U288" s="29">
        <f>MAX(SumAssured-S288,0)</f>
        <v/>
      </c>
      <c r="V288" s="35">
        <f>CoiMultiple*G288</f>
        <v/>
      </c>
      <c r="W288" s="34">
        <f>V288*U288</f>
        <v/>
      </c>
      <c r="X288" s="34">
        <f>S288-T288-W288</f>
        <v/>
      </c>
      <c r="Y288" s="36">
        <f>EXP((Mu-0.5*Sigma^2)/12+Sigma*SQRT(1/12)*INDEX(NormRand,ScenID,A288+1))-1</f>
        <v/>
      </c>
      <c r="Z288" s="34">
        <f>Y288*X288</f>
        <v/>
      </c>
      <c r="AA288" s="34">
        <f>X288+0.5*Z288</f>
        <v/>
      </c>
      <c r="AB288" s="34">
        <f>Q288*J288</f>
        <v/>
      </c>
      <c r="AC288" s="34">
        <f>Q288*L288</f>
        <v/>
      </c>
      <c r="AD288" s="34">
        <f>S288*N288</f>
        <v/>
      </c>
      <c r="AE288" s="34">
        <f>E288*N288</f>
        <v/>
      </c>
      <c r="AF288" s="34">
        <f>R288*N288</f>
        <v/>
      </c>
      <c r="AG288" s="29">
        <f>MAX(SumAssured,AA288)</f>
        <v/>
      </c>
      <c r="AH288" s="34">
        <f>AG288*O288</f>
        <v/>
      </c>
      <c r="AI288" s="34">
        <f>AA288*O288</f>
        <v/>
      </c>
      <c r="AJ288" s="34">
        <f>AA288*P288</f>
        <v/>
      </c>
      <c r="AK288" s="34">
        <f>I288*AA288*P288</f>
        <v/>
      </c>
      <c r="AL288" s="34">
        <f>AJ288-AK288</f>
        <v/>
      </c>
      <c r="AM288" s="34">
        <f>Q288*K288</f>
        <v/>
      </c>
      <c r="AN288" s="34">
        <f>AH288+AL288+AM288</f>
        <v/>
      </c>
      <c r="AO288" s="34">
        <f>(AG288-AA288)*O288</f>
        <v/>
      </c>
      <c r="AP288" s="34">
        <f>W288*N288</f>
        <v/>
      </c>
      <c r="AQ288" s="34">
        <f>T288*N288</f>
        <v/>
      </c>
      <c r="AR288" s="34">
        <f>Z288*J289+0.5*Z288*(O288+P288)</f>
        <v/>
      </c>
      <c r="AS288" s="30">
        <f>(1+InflationRate)^(A288/12)</f>
        <v/>
      </c>
      <c r="AT288" s="29">
        <f>ExpenseAcq*M288+N288*ExpenseMaint/12*AS288</f>
        <v/>
      </c>
      <c r="AU288" s="29">
        <f>CommissionRate*AE288</f>
        <v/>
      </c>
      <c r="AV288" s="34">
        <f>AB289-AB288</f>
        <v/>
      </c>
      <c r="AW288" s="34">
        <f>AE288+AR288-AN288-AT288-AU288-AV288</f>
        <v/>
      </c>
      <c r="AX288" s="29">
        <f>LoadPremRate*E288*N288+AK288+AQ288-AU288-AT288</f>
        <v/>
      </c>
      <c r="AY288" s="34">
        <f>AP288-AO288</f>
        <v/>
      </c>
      <c r="AZ288" s="37">
        <f>(AW288-AX288-AY288)/MAX(1,ABS(AW288),ABS(AX288),ABS(AY288))</f>
        <v/>
      </c>
      <c r="BA288" s="37">
        <f>IF(OR(K288&gt;0,K289&gt;0),0,(AC289-(AC288+AF288-AQ288-AP288+AR288-AI288-AJ288-AM288))/MAX(1,ABS(AC288),ABS(AC289)))</f>
        <v/>
      </c>
      <c r="BB288" s="35">
        <f>(1+INDEX(DiscRateAnn,INT(A288/12)+1))^(1/12)-1</f>
        <v/>
      </c>
      <c r="BC288" s="31">
        <f>(1+BB288)^-A288</f>
        <v/>
      </c>
      <c r="BD288" s="34">
        <f>AW288*BC288</f>
        <v/>
      </c>
    </row>
    <row r="289">
      <c r="A289" s="27">
        <f>A288+1</f>
        <v/>
      </c>
      <c r="B289" s="28">
        <f>Duration0+A289</f>
        <v/>
      </c>
      <c r="C289" s="27">
        <f>INT(B289/12)</f>
        <v/>
      </c>
      <c r="D289" s="28">
        <f>AgeAtEntry+C289</f>
        <v/>
      </c>
      <c r="E289" s="29">
        <f>IF(PremiumType="SINGLE",IF(B289=0,PremiumPPInput,0),IF(B289&lt;12*PolicyTerm,PremiumPPInput,0))</f>
        <v/>
      </c>
      <c r="F289" s="30">
        <f>INDEX(MortRates,MATCH(MIN(D289,120),MortAges,0),MAX(MIN(C289,5),0)+1)</f>
        <v/>
      </c>
      <c r="G289" s="31">
        <f>1-(1-F289)^(1/12)</f>
        <v/>
      </c>
      <c r="H289" s="32">
        <f>MAX(LapseBase-LapseStep*C289,LapseFloor)</f>
        <v/>
      </c>
      <c r="I289" s="32">
        <f>IF(HasSurrCharge,INDEX(SurrRates,MIN(C289,SurrDurMax)+1,MATCH(SurrChargeID,SurrTypes,0)),0)</f>
        <v/>
      </c>
      <c r="J289" s="33">
        <f>N288-P288-O288</f>
        <v/>
      </c>
      <c r="K289" s="30">
        <f>IF(B289=12*PolicyTerm,J289,0)</f>
        <v/>
      </c>
      <c r="L289" s="33">
        <f>J289-K289</f>
        <v/>
      </c>
      <c r="M289" s="30">
        <f>IF(B289=0,PolicyCount,0)</f>
        <v/>
      </c>
      <c r="N289" s="33">
        <f>L289+M289</f>
        <v/>
      </c>
      <c r="O289" s="31">
        <f>N289*G289</f>
        <v/>
      </c>
      <c r="P289" s="33">
        <f>(N289-O289)*(1-(1-H289)^(1/12))</f>
        <v/>
      </c>
      <c r="Q289" s="34">
        <f>X288+Z288</f>
        <v/>
      </c>
      <c r="R289" s="29">
        <f>(1-LoadPremRate)*E289</f>
        <v/>
      </c>
      <c r="S289" s="34">
        <f>Q289+R289</f>
        <v/>
      </c>
      <c r="T289" s="29">
        <f>MaintFeeRateAnn/12*S289</f>
        <v/>
      </c>
      <c r="U289" s="29">
        <f>MAX(SumAssured-S289,0)</f>
        <v/>
      </c>
      <c r="V289" s="35">
        <f>CoiMultiple*G289</f>
        <v/>
      </c>
      <c r="W289" s="34">
        <f>V289*U289</f>
        <v/>
      </c>
      <c r="X289" s="34">
        <f>S289-T289-W289</f>
        <v/>
      </c>
      <c r="Y289" s="36">
        <f>EXP((Mu-0.5*Sigma^2)/12+Sigma*SQRT(1/12)*INDEX(NormRand,ScenID,A289+1))-1</f>
        <v/>
      </c>
      <c r="Z289" s="34">
        <f>Y289*X289</f>
        <v/>
      </c>
      <c r="AA289" s="34">
        <f>X289+0.5*Z289</f>
        <v/>
      </c>
      <c r="AB289" s="34">
        <f>Q289*J289</f>
        <v/>
      </c>
      <c r="AC289" s="34">
        <f>Q289*L289</f>
        <v/>
      </c>
      <c r="AD289" s="34">
        <f>S289*N289</f>
        <v/>
      </c>
      <c r="AE289" s="34">
        <f>E289*N289</f>
        <v/>
      </c>
      <c r="AF289" s="34">
        <f>R289*N289</f>
        <v/>
      </c>
      <c r="AG289" s="29">
        <f>MAX(SumAssured,AA289)</f>
        <v/>
      </c>
      <c r="AH289" s="34">
        <f>AG289*O289</f>
        <v/>
      </c>
      <c r="AI289" s="34">
        <f>AA289*O289</f>
        <v/>
      </c>
      <c r="AJ289" s="34">
        <f>AA289*P289</f>
        <v/>
      </c>
      <c r="AK289" s="34">
        <f>I289*AA289*P289</f>
        <v/>
      </c>
      <c r="AL289" s="34">
        <f>AJ289-AK289</f>
        <v/>
      </c>
      <c r="AM289" s="34">
        <f>Q289*K289</f>
        <v/>
      </c>
      <c r="AN289" s="34">
        <f>AH289+AL289+AM289</f>
        <v/>
      </c>
      <c r="AO289" s="34">
        <f>(AG289-AA289)*O289</f>
        <v/>
      </c>
      <c r="AP289" s="34">
        <f>W289*N289</f>
        <v/>
      </c>
      <c r="AQ289" s="34">
        <f>T289*N289</f>
        <v/>
      </c>
      <c r="AR289" s="34">
        <f>Z289*J290+0.5*Z289*(O289+P289)</f>
        <v/>
      </c>
      <c r="AS289" s="30">
        <f>(1+InflationRate)^(A289/12)</f>
        <v/>
      </c>
      <c r="AT289" s="29">
        <f>ExpenseAcq*M289+N289*ExpenseMaint/12*AS289</f>
        <v/>
      </c>
      <c r="AU289" s="29">
        <f>CommissionRate*AE289</f>
        <v/>
      </c>
      <c r="AV289" s="34">
        <f>AB290-AB289</f>
        <v/>
      </c>
      <c r="AW289" s="34">
        <f>AE289+AR289-AN289-AT289-AU289-AV289</f>
        <v/>
      </c>
      <c r="AX289" s="29">
        <f>LoadPremRate*E289*N289+AK289+AQ289-AU289-AT289</f>
        <v/>
      </c>
      <c r="AY289" s="34">
        <f>AP289-AO289</f>
        <v/>
      </c>
      <c r="AZ289" s="37">
        <f>(AW289-AX289-AY289)/MAX(1,ABS(AW289),ABS(AX289),ABS(AY289))</f>
        <v/>
      </c>
      <c r="BA289" s="37">
        <f>IF(OR(K289&gt;0,K290&gt;0),0,(AC290-(AC289+AF289-AQ289-AP289+AR289-AI289-AJ289-AM289))/MAX(1,ABS(AC289),ABS(AC290)))</f>
        <v/>
      </c>
      <c r="BB289" s="35">
        <f>(1+INDEX(DiscRateAnn,INT(A289/12)+1))^(1/12)-1</f>
        <v/>
      </c>
      <c r="BC289" s="31">
        <f>(1+BB289)^-A289</f>
        <v/>
      </c>
      <c r="BD289" s="34">
        <f>AW289*BC289</f>
        <v/>
      </c>
    </row>
    <row r="290">
      <c r="A290" s="27">
        <f>A289+1</f>
        <v/>
      </c>
      <c r="B290" s="28">
        <f>Duration0+A290</f>
        <v/>
      </c>
      <c r="C290" s="27">
        <f>INT(B290/12)</f>
        <v/>
      </c>
      <c r="D290" s="28">
        <f>AgeAtEntry+C290</f>
        <v/>
      </c>
      <c r="E290" s="29">
        <f>IF(PremiumType="SINGLE",IF(B290=0,PremiumPPInput,0),IF(B290&lt;12*PolicyTerm,PremiumPPInput,0))</f>
        <v/>
      </c>
      <c r="F290" s="30">
        <f>INDEX(MortRates,MATCH(MIN(D290,120),MortAges,0),MAX(MIN(C290,5),0)+1)</f>
        <v/>
      </c>
      <c r="G290" s="31">
        <f>1-(1-F290)^(1/12)</f>
        <v/>
      </c>
      <c r="H290" s="32">
        <f>MAX(LapseBase-LapseStep*C290,LapseFloor)</f>
        <v/>
      </c>
      <c r="I290" s="32">
        <f>IF(HasSurrCharge,INDEX(SurrRates,MIN(C290,SurrDurMax)+1,MATCH(SurrChargeID,SurrTypes,0)),0)</f>
        <v/>
      </c>
      <c r="J290" s="33">
        <f>N289-P289-O289</f>
        <v/>
      </c>
      <c r="K290" s="30">
        <f>IF(B290=12*PolicyTerm,J290,0)</f>
        <v/>
      </c>
      <c r="L290" s="33">
        <f>J290-K290</f>
        <v/>
      </c>
      <c r="M290" s="30">
        <f>IF(B290=0,PolicyCount,0)</f>
        <v/>
      </c>
      <c r="N290" s="33">
        <f>L290+M290</f>
        <v/>
      </c>
      <c r="O290" s="31">
        <f>N290*G290</f>
        <v/>
      </c>
      <c r="P290" s="33">
        <f>(N290-O290)*(1-(1-H290)^(1/12))</f>
        <v/>
      </c>
      <c r="Q290" s="34">
        <f>X289+Z289</f>
        <v/>
      </c>
      <c r="R290" s="29">
        <f>(1-LoadPremRate)*E290</f>
        <v/>
      </c>
      <c r="S290" s="34">
        <f>Q290+R290</f>
        <v/>
      </c>
      <c r="T290" s="29">
        <f>MaintFeeRateAnn/12*S290</f>
        <v/>
      </c>
      <c r="U290" s="29">
        <f>MAX(SumAssured-S290,0)</f>
        <v/>
      </c>
      <c r="V290" s="35">
        <f>CoiMultiple*G290</f>
        <v/>
      </c>
      <c r="W290" s="34">
        <f>V290*U290</f>
        <v/>
      </c>
      <c r="X290" s="34">
        <f>S290-T290-W290</f>
        <v/>
      </c>
      <c r="Y290" s="36">
        <f>EXP((Mu-0.5*Sigma^2)/12+Sigma*SQRT(1/12)*INDEX(NormRand,ScenID,A290+1))-1</f>
        <v/>
      </c>
      <c r="Z290" s="34">
        <f>Y290*X290</f>
        <v/>
      </c>
      <c r="AA290" s="34">
        <f>X290+0.5*Z290</f>
        <v/>
      </c>
      <c r="AB290" s="34">
        <f>Q290*J290</f>
        <v/>
      </c>
      <c r="AC290" s="34">
        <f>Q290*L290</f>
        <v/>
      </c>
      <c r="AD290" s="34">
        <f>S290*N290</f>
        <v/>
      </c>
      <c r="AE290" s="34">
        <f>E290*N290</f>
        <v/>
      </c>
      <c r="AF290" s="34">
        <f>R290*N290</f>
        <v/>
      </c>
      <c r="AG290" s="29">
        <f>MAX(SumAssured,AA290)</f>
        <v/>
      </c>
      <c r="AH290" s="34">
        <f>AG290*O290</f>
        <v/>
      </c>
      <c r="AI290" s="34">
        <f>AA290*O290</f>
        <v/>
      </c>
      <c r="AJ290" s="34">
        <f>AA290*P290</f>
        <v/>
      </c>
      <c r="AK290" s="34">
        <f>I290*AA290*P290</f>
        <v/>
      </c>
      <c r="AL290" s="34">
        <f>AJ290-AK290</f>
        <v/>
      </c>
      <c r="AM290" s="34">
        <f>Q290*K290</f>
        <v/>
      </c>
      <c r="AN290" s="34">
        <f>AH290+AL290+AM290</f>
        <v/>
      </c>
      <c r="AO290" s="34">
        <f>(AG290-AA290)*O290</f>
        <v/>
      </c>
      <c r="AP290" s="34">
        <f>W290*N290</f>
        <v/>
      </c>
      <c r="AQ290" s="34">
        <f>T290*N290</f>
        <v/>
      </c>
      <c r="AR290" s="34">
        <f>Z290*J291+0.5*Z290*(O290+P290)</f>
        <v/>
      </c>
      <c r="AS290" s="30">
        <f>(1+InflationRate)^(A290/12)</f>
        <v/>
      </c>
      <c r="AT290" s="29">
        <f>ExpenseAcq*M290+N290*ExpenseMaint/12*AS290</f>
        <v/>
      </c>
      <c r="AU290" s="29">
        <f>CommissionRate*AE290</f>
        <v/>
      </c>
      <c r="AV290" s="34">
        <f>AB291-AB290</f>
        <v/>
      </c>
      <c r="AW290" s="34">
        <f>AE290+AR290-AN290-AT290-AU290-AV290</f>
        <v/>
      </c>
      <c r="AX290" s="29">
        <f>LoadPremRate*E290*N290+AK290+AQ290-AU290-AT290</f>
        <v/>
      </c>
      <c r="AY290" s="34">
        <f>AP290-AO290</f>
        <v/>
      </c>
      <c r="AZ290" s="37">
        <f>(AW290-AX290-AY290)/MAX(1,ABS(AW290),ABS(AX290),ABS(AY290))</f>
        <v/>
      </c>
      <c r="BA290" s="37">
        <f>IF(OR(K290&gt;0,K291&gt;0),0,(AC291-(AC290+AF290-AQ290-AP290+AR290-AI290-AJ290-AM290))/MAX(1,ABS(AC290),ABS(AC291)))</f>
        <v/>
      </c>
      <c r="BB290" s="35">
        <f>(1+INDEX(DiscRateAnn,INT(A290/12)+1))^(1/12)-1</f>
        <v/>
      </c>
      <c r="BC290" s="31">
        <f>(1+BB290)^-A290</f>
        <v/>
      </c>
      <c r="BD290" s="34">
        <f>AW290*BC290</f>
        <v/>
      </c>
    </row>
    <row r="291">
      <c r="A291" s="27">
        <f>A290+1</f>
        <v/>
      </c>
      <c r="B291" s="28">
        <f>Duration0+A291</f>
        <v/>
      </c>
      <c r="C291" s="27">
        <f>INT(B291/12)</f>
        <v/>
      </c>
      <c r="D291" s="28">
        <f>AgeAtEntry+C291</f>
        <v/>
      </c>
      <c r="E291" s="29">
        <f>IF(PremiumType="SINGLE",IF(B291=0,PremiumPPInput,0),IF(B291&lt;12*PolicyTerm,PremiumPPInput,0))</f>
        <v/>
      </c>
      <c r="F291" s="30">
        <f>INDEX(MortRates,MATCH(MIN(D291,120),MortAges,0),MAX(MIN(C291,5),0)+1)</f>
        <v/>
      </c>
      <c r="G291" s="31">
        <f>1-(1-F291)^(1/12)</f>
        <v/>
      </c>
      <c r="H291" s="32">
        <f>MAX(LapseBase-LapseStep*C291,LapseFloor)</f>
        <v/>
      </c>
      <c r="I291" s="32">
        <f>IF(HasSurrCharge,INDEX(SurrRates,MIN(C291,SurrDurMax)+1,MATCH(SurrChargeID,SurrTypes,0)),0)</f>
        <v/>
      </c>
      <c r="J291" s="33">
        <f>N290-P290-O290</f>
        <v/>
      </c>
      <c r="K291" s="30">
        <f>IF(B291=12*PolicyTerm,J291,0)</f>
        <v/>
      </c>
      <c r="L291" s="33">
        <f>J291-K291</f>
        <v/>
      </c>
      <c r="M291" s="30">
        <f>IF(B291=0,PolicyCount,0)</f>
        <v/>
      </c>
      <c r="N291" s="33">
        <f>L291+M291</f>
        <v/>
      </c>
      <c r="O291" s="31">
        <f>N291*G291</f>
        <v/>
      </c>
      <c r="P291" s="33">
        <f>(N291-O291)*(1-(1-H291)^(1/12))</f>
        <v/>
      </c>
      <c r="Q291" s="34">
        <f>X290+Z290</f>
        <v/>
      </c>
      <c r="R291" s="29">
        <f>(1-LoadPremRate)*E291</f>
        <v/>
      </c>
      <c r="S291" s="34">
        <f>Q291+R291</f>
        <v/>
      </c>
      <c r="T291" s="29">
        <f>MaintFeeRateAnn/12*S291</f>
        <v/>
      </c>
      <c r="U291" s="29">
        <f>MAX(SumAssured-S291,0)</f>
        <v/>
      </c>
      <c r="V291" s="35">
        <f>CoiMultiple*G291</f>
        <v/>
      </c>
      <c r="W291" s="34">
        <f>V291*U291</f>
        <v/>
      </c>
      <c r="X291" s="34">
        <f>S291-T291-W291</f>
        <v/>
      </c>
      <c r="Y291" s="36">
        <f>EXP((Mu-0.5*Sigma^2)/12+Sigma*SQRT(1/12)*INDEX(NormRand,ScenID,A291+1))-1</f>
        <v/>
      </c>
      <c r="Z291" s="34">
        <f>Y291*X291</f>
        <v/>
      </c>
      <c r="AA291" s="34">
        <f>X291+0.5*Z291</f>
        <v/>
      </c>
      <c r="AB291" s="34">
        <f>Q291*J291</f>
        <v/>
      </c>
      <c r="AC291" s="34">
        <f>Q291*L291</f>
        <v/>
      </c>
      <c r="AD291" s="34">
        <f>S291*N291</f>
        <v/>
      </c>
      <c r="AE291" s="34">
        <f>E291*N291</f>
        <v/>
      </c>
      <c r="AF291" s="34">
        <f>R291*N291</f>
        <v/>
      </c>
      <c r="AG291" s="29">
        <f>MAX(SumAssured,AA291)</f>
        <v/>
      </c>
      <c r="AH291" s="34">
        <f>AG291*O291</f>
        <v/>
      </c>
      <c r="AI291" s="34">
        <f>AA291*O291</f>
        <v/>
      </c>
      <c r="AJ291" s="34">
        <f>AA291*P291</f>
        <v/>
      </c>
      <c r="AK291" s="34">
        <f>I291*AA291*P291</f>
        <v/>
      </c>
      <c r="AL291" s="34">
        <f>AJ291-AK291</f>
        <v/>
      </c>
      <c r="AM291" s="34">
        <f>Q291*K291</f>
        <v/>
      </c>
      <c r="AN291" s="34">
        <f>AH291+AL291+AM291</f>
        <v/>
      </c>
      <c r="AO291" s="34">
        <f>(AG291-AA291)*O291</f>
        <v/>
      </c>
      <c r="AP291" s="34">
        <f>W291*N291</f>
        <v/>
      </c>
      <c r="AQ291" s="34">
        <f>T291*N291</f>
        <v/>
      </c>
      <c r="AR291" s="34">
        <f>Z291*J292+0.5*Z291*(O291+P291)</f>
        <v/>
      </c>
      <c r="AS291" s="30">
        <f>(1+InflationRate)^(A291/12)</f>
        <v/>
      </c>
      <c r="AT291" s="29">
        <f>ExpenseAcq*M291+N291*ExpenseMaint/12*AS291</f>
        <v/>
      </c>
      <c r="AU291" s="29">
        <f>CommissionRate*AE291</f>
        <v/>
      </c>
      <c r="AV291" s="34">
        <f>AB292-AB291</f>
        <v/>
      </c>
      <c r="AW291" s="34">
        <f>AE291+AR291-AN291-AT291-AU291-AV291</f>
        <v/>
      </c>
      <c r="AX291" s="29">
        <f>LoadPremRate*E291*N291+AK291+AQ291-AU291-AT291</f>
        <v/>
      </c>
      <c r="AY291" s="34">
        <f>AP291-AO291</f>
        <v/>
      </c>
      <c r="AZ291" s="37">
        <f>(AW291-AX291-AY291)/MAX(1,ABS(AW291),ABS(AX291),ABS(AY291))</f>
        <v/>
      </c>
      <c r="BA291" s="37">
        <f>IF(OR(K291&gt;0,K292&gt;0),0,(AC292-(AC291+AF291-AQ291-AP291+AR291-AI291-AJ291-AM291))/MAX(1,ABS(AC291),ABS(AC292)))</f>
        <v/>
      </c>
      <c r="BB291" s="35">
        <f>(1+INDEX(DiscRateAnn,INT(A291/12)+1))^(1/12)-1</f>
        <v/>
      </c>
      <c r="BC291" s="31">
        <f>(1+BB291)^-A291</f>
        <v/>
      </c>
      <c r="BD291" s="34">
        <f>AW291*BC291</f>
        <v/>
      </c>
    </row>
    <row r="292">
      <c r="A292" s="27">
        <f>A291+1</f>
        <v/>
      </c>
      <c r="B292" s="28">
        <f>Duration0+A292</f>
        <v/>
      </c>
      <c r="C292" s="27">
        <f>INT(B292/12)</f>
        <v/>
      </c>
      <c r="D292" s="28">
        <f>AgeAtEntry+C292</f>
        <v/>
      </c>
      <c r="E292" s="29">
        <f>IF(PremiumType="SINGLE",IF(B292=0,PremiumPPInput,0),IF(B292&lt;12*PolicyTerm,PremiumPPInput,0))</f>
        <v/>
      </c>
      <c r="F292" s="30">
        <f>INDEX(MortRates,MATCH(MIN(D292,120),MortAges,0),MAX(MIN(C292,5),0)+1)</f>
        <v/>
      </c>
      <c r="G292" s="31">
        <f>1-(1-F292)^(1/12)</f>
        <v/>
      </c>
      <c r="H292" s="32">
        <f>MAX(LapseBase-LapseStep*C292,LapseFloor)</f>
        <v/>
      </c>
      <c r="I292" s="32">
        <f>IF(HasSurrCharge,INDEX(SurrRates,MIN(C292,SurrDurMax)+1,MATCH(SurrChargeID,SurrTypes,0)),0)</f>
        <v/>
      </c>
      <c r="J292" s="33">
        <f>N291-P291-O291</f>
        <v/>
      </c>
      <c r="K292" s="30">
        <f>IF(B292=12*PolicyTerm,J292,0)</f>
        <v/>
      </c>
      <c r="L292" s="33">
        <f>J292-K292</f>
        <v/>
      </c>
      <c r="M292" s="30">
        <f>IF(B292=0,PolicyCount,0)</f>
        <v/>
      </c>
      <c r="N292" s="33">
        <f>L292+M292</f>
        <v/>
      </c>
      <c r="O292" s="31">
        <f>N292*G292</f>
        <v/>
      </c>
      <c r="P292" s="33">
        <f>(N292-O292)*(1-(1-H292)^(1/12))</f>
        <v/>
      </c>
      <c r="Q292" s="34">
        <f>X291+Z291</f>
        <v/>
      </c>
      <c r="R292" s="29">
        <f>(1-LoadPremRate)*E292</f>
        <v/>
      </c>
      <c r="S292" s="34">
        <f>Q292+R292</f>
        <v/>
      </c>
      <c r="T292" s="29">
        <f>MaintFeeRateAnn/12*S292</f>
        <v/>
      </c>
      <c r="U292" s="29">
        <f>MAX(SumAssured-S292,0)</f>
        <v/>
      </c>
      <c r="V292" s="35">
        <f>CoiMultiple*G292</f>
        <v/>
      </c>
      <c r="W292" s="34">
        <f>V292*U292</f>
        <v/>
      </c>
      <c r="X292" s="34">
        <f>S292-T292-W292</f>
        <v/>
      </c>
      <c r="Y292" s="36">
        <f>EXP((Mu-0.5*Sigma^2)/12+Sigma*SQRT(1/12)*INDEX(NormRand,ScenID,A292+1))-1</f>
        <v/>
      </c>
      <c r="Z292" s="34">
        <f>Y292*X292</f>
        <v/>
      </c>
      <c r="AA292" s="34">
        <f>X292+0.5*Z292</f>
        <v/>
      </c>
      <c r="AB292" s="34">
        <f>Q292*J292</f>
        <v/>
      </c>
      <c r="AC292" s="34">
        <f>Q292*L292</f>
        <v/>
      </c>
      <c r="AD292" s="34">
        <f>S292*N292</f>
        <v/>
      </c>
      <c r="AE292" s="34">
        <f>E292*N292</f>
        <v/>
      </c>
      <c r="AF292" s="34">
        <f>R292*N292</f>
        <v/>
      </c>
      <c r="AG292" s="29">
        <f>MAX(SumAssured,AA292)</f>
        <v/>
      </c>
      <c r="AH292" s="34">
        <f>AG292*O292</f>
        <v/>
      </c>
      <c r="AI292" s="34">
        <f>AA292*O292</f>
        <v/>
      </c>
      <c r="AJ292" s="34">
        <f>AA292*P292</f>
        <v/>
      </c>
      <c r="AK292" s="34">
        <f>I292*AA292*P292</f>
        <v/>
      </c>
      <c r="AL292" s="34">
        <f>AJ292-AK292</f>
        <v/>
      </c>
      <c r="AM292" s="34">
        <f>Q292*K292</f>
        <v/>
      </c>
      <c r="AN292" s="34">
        <f>AH292+AL292+AM292</f>
        <v/>
      </c>
      <c r="AO292" s="34">
        <f>(AG292-AA292)*O292</f>
        <v/>
      </c>
      <c r="AP292" s="34">
        <f>W292*N292</f>
        <v/>
      </c>
      <c r="AQ292" s="34">
        <f>T292*N292</f>
        <v/>
      </c>
      <c r="AR292" s="34">
        <f>Z292*J293+0.5*Z292*(O292+P292)</f>
        <v/>
      </c>
      <c r="AS292" s="30">
        <f>(1+InflationRate)^(A292/12)</f>
        <v/>
      </c>
      <c r="AT292" s="29">
        <f>ExpenseAcq*M292+N292*ExpenseMaint/12*AS292</f>
        <v/>
      </c>
      <c r="AU292" s="29">
        <f>CommissionRate*AE292</f>
        <v/>
      </c>
      <c r="AV292" s="34">
        <f>AB293-AB292</f>
        <v/>
      </c>
      <c r="AW292" s="34">
        <f>AE292+AR292-AN292-AT292-AU292-AV292</f>
        <v/>
      </c>
      <c r="AX292" s="29">
        <f>LoadPremRate*E292*N292+AK292+AQ292-AU292-AT292</f>
        <v/>
      </c>
      <c r="AY292" s="34">
        <f>AP292-AO292</f>
        <v/>
      </c>
      <c r="AZ292" s="37">
        <f>(AW292-AX292-AY292)/MAX(1,ABS(AW292),ABS(AX292),ABS(AY292))</f>
        <v/>
      </c>
      <c r="BA292" s="37">
        <f>IF(OR(K292&gt;0,K293&gt;0),0,(AC293-(AC292+AF292-AQ292-AP292+AR292-AI292-AJ292-AM292))/MAX(1,ABS(AC292),ABS(AC293)))</f>
        <v/>
      </c>
      <c r="BB292" s="35">
        <f>(1+INDEX(DiscRateAnn,INT(A292/12)+1))^(1/12)-1</f>
        <v/>
      </c>
      <c r="BC292" s="31">
        <f>(1+BB292)^-A292</f>
        <v/>
      </c>
      <c r="BD292" s="34">
        <f>AW292*BC292</f>
        <v/>
      </c>
    </row>
    <row r="293">
      <c r="A293" s="27">
        <f>A292+1</f>
        <v/>
      </c>
      <c r="B293" s="28">
        <f>Duration0+A293</f>
        <v/>
      </c>
      <c r="C293" s="27">
        <f>INT(B293/12)</f>
        <v/>
      </c>
      <c r="D293" s="28">
        <f>AgeAtEntry+C293</f>
        <v/>
      </c>
      <c r="E293" s="29">
        <f>IF(PremiumType="SINGLE",IF(B293=0,PremiumPPInput,0),IF(B293&lt;12*PolicyTerm,PremiumPPInput,0))</f>
        <v/>
      </c>
      <c r="F293" s="30">
        <f>INDEX(MortRates,MATCH(MIN(D293,120),MortAges,0),MAX(MIN(C293,5),0)+1)</f>
        <v/>
      </c>
      <c r="G293" s="31">
        <f>1-(1-F293)^(1/12)</f>
        <v/>
      </c>
      <c r="H293" s="32">
        <f>MAX(LapseBase-LapseStep*C293,LapseFloor)</f>
        <v/>
      </c>
      <c r="I293" s="32">
        <f>IF(HasSurrCharge,INDEX(SurrRates,MIN(C293,SurrDurMax)+1,MATCH(SurrChargeID,SurrTypes,0)),0)</f>
        <v/>
      </c>
      <c r="J293" s="33">
        <f>N292-P292-O292</f>
        <v/>
      </c>
      <c r="K293" s="30">
        <f>IF(B293=12*PolicyTerm,J293,0)</f>
        <v/>
      </c>
      <c r="L293" s="33">
        <f>J293-K293</f>
        <v/>
      </c>
      <c r="M293" s="30">
        <f>IF(B293=0,PolicyCount,0)</f>
        <v/>
      </c>
      <c r="N293" s="33">
        <f>L293+M293</f>
        <v/>
      </c>
      <c r="O293" s="31">
        <f>N293*G293</f>
        <v/>
      </c>
      <c r="P293" s="33">
        <f>(N293-O293)*(1-(1-H293)^(1/12))</f>
        <v/>
      </c>
      <c r="Q293" s="34">
        <f>X292+Z292</f>
        <v/>
      </c>
      <c r="R293" s="29">
        <f>(1-LoadPremRate)*E293</f>
        <v/>
      </c>
      <c r="S293" s="34">
        <f>Q293+R293</f>
        <v/>
      </c>
      <c r="T293" s="29">
        <f>MaintFeeRateAnn/12*S293</f>
        <v/>
      </c>
      <c r="U293" s="29">
        <f>MAX(SumAssured-S293,0)</f>
        <v/>
      </c>
      <c r="V293" s="35">
        <f>CoiMultiple*G293</f>
        <v/>
      </c>
      <c r="W293" s="34">
        <f>V293*U293</f>
        <v/>
      </c>
      <c r="X293" s="34">
        <f>S293-T293-W293</f>
        <v/>
      </c>
      <c r="Y293" s="36">
        <f>EXP((Mu-0.5*Sigma^2)/12+Sigma*SQRT(1/12)*INDEX(NormRand,ScenID,A293+1))-1</f>
        <v/>
      </c>
      <c r="Z293" s="34">
        <f>Y293*X293</f>
        <v/>
      </c>
      <c r="AA293" s="34">
        <f>X293+0.5*Z293</f>
        <v/>
      </c>
      <c r="AB293" s="34">
        <f>Q293*J293</f>
        <v/>
      </c>
      <c r="AC293" s="34">
        <f>Q293*L293</f>
        <v/>
      </c>
      <c r="AD293" s="34">
        <f>S293*N293</f>
        <v/>
      </c>
      <c r="AE293" s="34">
        <f>E293*N293</f>
        <v/>
      </c>
      <c r="AF293" s="34">
        <f>R293*N293</f>
        <v/>
      </c>
      <c r="AG293" s="29">
        <f>MAX(SumAssured,AA293)</f>
        <v/>
      </c>
      <c r="AH293" s="34">
        <f>AG293*O293</f>
        <v/>
      </c>
      <c r="AI293" s="34">
        <f>AA293*O293</f>
        <v/>
      </c>
      <c r="AJ293" s="34">
        <f>AA293*P293</f>
        <v/>
      </c>
      <c r="AK293" s="34">
        <f>I293*AA293*P293</f>
        <v/>
      </c>
      <c r="AL293" s="34">
        <f>AJ293-AK293</f>
        <v/>
      </c>
      <c r="AM293" s="34">
        <f>Q293*K293</f>
        <v/>
      </c>
      <c r="AN293" s="34">
        <f>AH293+AL293+AM293</f>
        <v/>
      </c>
      <c r="AO293" s="34">
        <f>(AG293-AA293)*O293</f>
        <v/>
      </c>
      <c r="AP293" s="34">
        <f>W293*N293</f>
        <v/>
      </c>
      <c r="AQ293" s="34">
        <f>T293*N293</f>
        <v/>
      </c>
      <c r="AR293" s="34">
        <f>Z293*J294+0.5*Z293*(O293+P293)</f>
        <v/>
      </c>
      <c r="AS293" s="30">
        <f>(1+InflationRate)^(A293/12)</f>
        <v/>
      </c>
      <c r="AT293" s="29">
        <f>ExpenseAcq*M293+N293*ExpenseMaint/12*AS293</f>
        <v/>
      </c>
      <c r="AU293" s="29">
        <f>CommissionRate*AE293</f>
        <v/>
      </c>
      <c r="AV293" s="34">
        <f>AB294-AB293</f>
        <v/>
      </c>
      <c r="AW293" s="34">
        <f>AE293+AR293-AN293-AT293-AU293-AV293</f>
        <v/>
      </c>
      <c r="AX293" s="29">
        <f>LoadPremRate*E293*N293+AK293+AQ293-AU293-AT293</f>
        <v/>
      </c>
      <c r="AY293" s="34">
        <f>AP293-AO293</f>
        <v/>
      </c>
      <c r="AZ293" s="37">
        <f>(AW293-AX293-AY293)/MAX(1,ABS(AW293),ABS(AX293),ABS(AY293))</f>
        <v/>
      </c>
      <c r="BA293" s="37">
        <f>IF(OR(K293&gt;0,K294&gt;0),0,(AC294-(AC293+AF293-AQ293-AP293+AR293-AI293-AJ293-AM293))/MAX(1,ABS(AC293),ABS(AC294)))</f>
        <v/>
      </c>
      <c r="BB293" s="35">
        <f>(1+INDEX(DiscRateAnn,INT(A293/12)+1))^(1/12)-1</f>
        <v/>
      </c>
      <c r="BC293" s="31">
        <f>(1+BB293)^-A293</f>
        <v/>
      </c>
      <c r="BD293" s="34">
        <f>AW293*BC293</f>
        <v/>
      </c>
    </row>
    <row r="294">
      <c r="A294" s="27">
        <f>A293+1</f>
        <v/>
      </c>
      <c r="B294" s="28">
        <f>Duration0+A294</f>
        <v/>
      </c>
      <c r="C294" s="27">
        <f>INT(B294/12)</f>
        <v/>
      </c>
      <c r="D294" s="28">
        <f>AgeAtEntry+C294</f>
        <v/>
      </c>
      <c r="E294" s="29">
        <f>IF(PremiumType="SINGLE",IF(B294=0,PremiumPPInput,0),IF(B294&lt;12*PolicyTerm,PremiumPPInput,0))</f>
        <v/>
      </c>
      <c r="F294" s="30">
        <f>INDEX(MortRates,MATCH(MIN(D294,120),MortAges,0),MAX(MIN(C294,5),0)+1)</f>
        <v/>
      </c>
      <c r="G294" s="31">
        <f>1-(1-F294)^(1/12)</f>
        <v/>
      </c>
      <c r="H294" s="32">
        <f>MAX(LapseBase-LapseStep*C294,LapseFloor)</f>
        <v/>
      </c>
      <c r="I294" s="32">
        <f>IF(HasSurrCharge,INDEX(SurrRates,MIN(C294,SurrDurMax)+1,MATCH(SurrChargeID,SurrTypes,0)),0)</f>
        <v/>
      </c>
      <c r="J294" s="33">
        <f>N293-P293-O293</f>
        <v/>
      </c>
      <c r="K294" s="30">
        <f>IF(B294=12*PolicyTerm,J294,0)</f>
        <v/>
      </c>
      <c r="L294" s="33">
        <f>J294-K294</f>
        <v/>
      </c>
      <c r="M294" s="30">
        <f>IF(B294=0,PolicyCount,0)</f>
        <v/>
      </c>
      <c r="N294" s="33">
        <f>L294+M294</f>
        <v/>
      </c>
      <c r="O294" s="31">
        <f>N294*G294</f>
        <v/>
      </c>
      <c r="P294" s="33">
        <f>(N294-O294)*(1-(1-H294)^(1/12))</f>
        <v/>
      </c>
      <c r="Q294" s="34">
        <f>X293+Z293</f>
        <v/>
      </c>
      <c r="R294" s="29">
        <f>(1-LoadPremRate)*E294</f>
        <v/>
      </c>
      <c r="S294" s="34">
        <f>Q294+R294</f>
        <v/>
      </c>
      <c r="T294" s="29">
        <f>MaintFeeRateAnn/12*S294</f>
        <v/>
      </c>
      <c r="U294" s="29">
        <f>MAX(SumAssured-S294,0)</f>
        <v/>
      </c>
      <c r="V294" s="35">
        <f>CoiMultiple*G294</f>
        <v/>
      </c>
      <c r="W294" s="34">
        <f>V294*U294</f>
        <v/>
      </c>
      <c r="X294" s="34">
        <f>S294-T294-W294</f>
        <v/>
      </c>
      <c r="Y294" s="36">
        <f>EXP((Mu-0.5*Sigma^2)/12+Sigma*SQRT(1/12)*INDEX(NormRand,ScenID,A294+1))-1</f>
        <v/>
      </c>
      <c r="Z294" s="34">
        <f>Y294*X294</f>
        <v/>
      </c>
      <c r="AA294" s="34">
        <f>X294+0.5*Z294</f>
        <v/>
      </c>
      <c r="AB294" s="34">
        <f>Q294*J294</f>
        <v/>
      </c>
      <c r="AC294" s="34">
        <f>Q294*L294</f>
        <v/>
      </c>
      <c r="AD294" s="34">
        <f>S294*N294</f>
        <v/>
      </c>
      <c r="AE294" s="34">
        <f>E294*N294</f>
        <v/>
      </c>
      <c r="AF294" s="34">
        <f>R294*N294</f>
        <v/>
      </c>
      <c r="AG294" s="29">
        <f>MAX(SumAssured,AA294)</f>
        <v/>
      </c>
      <c r="AH294" s="34">
        <f>AG294*O294</f>
        <v/>
      </c>
      <c r="AI294" s="34">
        <f>AA294*O294</f>
        <v/>
      </c>
      <c r="AJ294" s="34">
        <f>AA294*P294</f>
        <v/>
      </c>
      <c r="AK294" s="34">
        <f>I294*AA294*P294</f>
        <v/>
      </c>
      <c r="AL294" s="34">
        <f>AJ294-AK294</f>
        <v/>
      </c>
      <c r="AM294" s="34">
        <f>Q294*K294</f>
        <v/>
      </c>
      <c r="AN294" s="34">
        <f>AH294+AL294+AM294</f>
        <v/>
      </c>
      <c r="AO294" s="34">
        <f>(AG294-AA294)*O294</f>
        <v/>
      </c>
      <c r="AP294" s="34">
        <f>W294*N294</f>
        <v/>
      </c>
      <c r="AQ294" s="34">
        <f>T294*N294</f>
        <v/>
      </c>
      <c r="AR294" s="34">
        <f>Z294*J295+0.5*Z294*(O294+P294)</f>
        <v/>
      </c>
      <c r="AS294" s="30">
        <f>(1+InflationRate)^(A294/12)</f>
        <v/>
      </c>
      <c r="AT294" s="29">
        <f>ExpenseAcq*M294+N294*ExpenseMaint/12*AS294</f>
        <v/>
      </c>
      <c r="AU294" s="29">
        <f>CommissionRate*AE294</f>
        <v/>
      </c>
      <c r="AV294" s="34">
        <f>AB295-AB294</f>
        <v/>
      </c>
      <c r="AW294" s="34">
        <f>AE294+AR294-AN294-AT294-AU294-AV294</f>
        <v/>
      </c>
      <c r="AX294" s="29">
        <f>LoadPremRate*E294*N294+AK294+AQ294-AU294-AT294</f>
        <v/>
      </c>
      <c r="AY294" s="34">
        <f>AP294-AO294</f>
        <v/>
      </c>
      <c r="AZ294" s="37">
        <f>(AW294-AX294-AY294)/MAX(1,ABS(AW294),ABS(AX294),ABS(AY294))</f>
        <v/>
      </c>
      <c r="BA294" s="37">
        <f>IF(OR(K294&gt;0,K295&gt;0),0,(AC295-(AC294+AF294-AQ294-AP294+AR294-AI294-AJ294-AM294))/MAX(1,ABS(AC294),ABS(AC295)))</f>
        <v/>
      </c>
      <c r="BB294" s="35">
        <f>(1+INDEX(DiscRateAnn,INT(A294/12)+1))^(1/12)-1</f>
        <v/>
      </c>
      <c r="BC294" s="31">
        <f>(1+BB294)^-A294</f>
        <v/>
      </c>
      <c r="BD294" s="34">
        <f>AW294*BC294</f>
        <v/>
      </c>
    </row>
    <row r="295">
      <c r="A295" s="27">
        <f>A294+1</f>
        <v/>
      </c>
      <c r="B295" s="28">
        <f>Duration0+A295</f>
        <v/>
      </c>
      <c r="C295" s="27">
        <f>INT(B295/12)</f>
        <v/>
      </c>
      <c r="D295" s="28">
        <f>AgeAtEntry+C295</f>
        <v/>
      </c>
      <c r="E295" s="29">
        <f>IF(PremiumType="SINGLE",IF(B295=0,PremiumPPInput,0),IF(B295&lt;12*PolicyTerm,PremiumPPInput,0))</f>
        <v/>
      </c>
      <c r="F295" s="30">
        <f>INDEX(MortRates,MATCH(MIN(D295,120),MortAges,0),MAX(MIN(C295,5),0)+1)</f>
        <v/>
      </c>
      <c r="G295" s="31">
        <f>1-(1-F295)^(1/12)</f>
        <v/>
      </c>
      <c r="H295" s="32">
        <f>MAX(LapseBase-LapseStep*C295,LapseFloor)</f>
        <v/>
      </c>
      <c r="I295" s="32">
        <f>IF(HasSurrCharge,INDEX(SurrRates,MIN(C295,SurrDurMax)+1,MATCH(SurrChargeID,SurrTypes,0)),0)</f>
        <v/>
      </c>
      <c r="J295" s="33">
        <f>N294-P294-O294</f>
        <v/>
      </c>
      <c r="K295" s="30">
        <f>IF(B295=12*PolicyTerm,J295,0)</f>
        <v/>
      </c>
      <c r="L295" s="33">
        <f>J295-K295</f>
        <v/>
      </c>
      <c r="M295" s="30">
        <f>IF(B295=0,PolicyCount,0)</f>
        <v/>
      </c>
      <c r="N295" s="33">
        <f>L295+M295</f>
        <v/>
      </c>
      <c r="O295" s="31">
        <f>N295*G295</f>
        <v/>
      </c>
      <c r="P295" s="33">
        <f>(N295-O295)*(1-(1-H295)^(1/12))</f>
        <v/>
      </c>
      <c r="Q295" s="34">
        <f>X294+Z294</f>
        <v/>
      </c>
      <c r="R295" s="29">
        <f>(1-LoadPremRate)*E295</f>
        <v/>
      </c>
      <c r="S295" s="34">
        <f>Q295+R295</f>
        <v/>
      </c>
      <c r="T295" s="29">
        <f>MaintFeeRateAnn/12*S295</f>
        <v/>
      </c>
      <c r="U295" s="29">
        <f>MAX(SumAssured-S295,0)</f>
        <v/>
      </c>
      <c r="V295" s="35">
        <f>CoiMultiple*G295</f>
        <v/>
      </c>
      <c r="W295" s="34">
        <f>V295*U295</f>
        <v/>
      </c>
      <c r="X295" s="34">
        <f>S295-T295-W295</f>
        <v/>
      </c>
      <c r="Y295" s="36">
        <f>EXP((Mu-0.5*Sigma^2)/12+Sigma*SQRT(1/12)*INDEX(NormRand,ScenID,A295+1))-1</f>
        <v/>
      </c>
      <c r="Z295" s="34">
        <f>Y295*X295</f>
        <v/>
      </c>
      <c r="AA295" s="34">
        <f>X295+0.5*Z295</f>
        <v/>
      </c>
      <c r="AB295" s="34">
        <f>Q295*J295</f>
        <v/>
      </c>
      <c r="AC295" s="34">
        <f>Q295*L295</f>
        <v/>
      </c>
      <c r="AD295" s="34">
        <f>S295*N295</f>
        <v/>
      </c>
      <c r="AE295" s="34">
        <f>E295*N295</f>
        <v/>
      </c>
      <c r="AF295" s="34">
        <f>R295*N295</f>
        <v/>
      </c>
      <c r="AG295" s="29">
        <f>MAX(SumAssured,AA295)</f>
        <v/>
      </c>
      <c r="AH295" s="34">
        <f>AG295*O295</f>
        <v/>
      </c>
      <c r="AI295" s="34">
        <f>AA295*O295</f>
        <v/>
      </c>
      <c r="AJ295" s="34">
        <f>AA295*P295</f>
        <v/>
      </c>
      <c r="AK295" s="34">
        <f>I295*AA295*P295</f>
        <v/>
      </c>
      <c r="AL295" s="34">
        <f>AJ295-AK295</f>
        <v/>
      </c>
      <c r="AM295" s="34">
        <f>Q295*K295</f>
        <v/>
      </c>
      <c r="AN295" s="34">
        <f>AH295+AL295+AM295</f>
        <v/>
      </c>
      <c r="AO295" s="34">
        <f>(AG295-AA295)*O295</f>
        <v/>
      </c>
      <c r="AP295" s="34">
        <f>W295*N295</f>
        <v/>
      </c>
      <c r="AQ295" s="34">
        <f>T295*N295</f>
        <v/>
      </c>
      <c r="AR295" s="34">
        <f>Z295*J296+0.5*Z295*(O295+P295)</f>
        <v/>
      </c>
      <c r="AS295" s="30">
        <f>(1+InflationRate)^(A295/12)</f>
        <v/>
      </c>
      <c r="AT295" s="29">
        <f>ExpenseAcq*M295+N295*ExpenseMaint/12*AS295</f>
        <v/>
      </c>
      <c r="AU295" s="29">
        <f>CommissionRate*AE295</f>
        <v/>
      </c>
      <c r="AV295" s="34">
        <f>AB296-AB295</f>
        <v/>
      </c>
      <c r="AW295" s="34">
        <f>AE295+AR295-AN295-AT295-AU295-AV295</f>
        <v/>
      </c>
      <c r="AX295" s="29">
        <f>LoadPremRate*E295*N295+AK295+AQ295-AU295-AT295</f>
        <v/>
      </c>
      <c r="AY295" s="34">
        <f>AP295-AO295</f>
        <v/>
      </c>
      <c r="AZ295" s="37">
        <f>(AW295-AX295-AY295)/MAX(1,ABS(AW295),ABS(AX295),ABS(AY295))</f>
        <v/>
      </c>
      <c r="BA295" s="37">
        <f>IF(OR(K295&gt;0,K296&gt;0),0,(AC296-(AC295+AF295-AQ295-AP295+AR295-AI295-AJ295-AM295))/MAX(1,ABS(AC295),ABS(AC296)))</f>
        <v/>
      </c>
      <c r="BB295" s="35">
        <f>(1+INDEX(DiscRateAnn,INT(A295/12)+1))^(1/12)-1</f>
        <v/>
      </c>
      <c r="BC295" s="31">
        <f>(1+BB295)^-A295</f>
        <v/>
      </c>
      <c r="BD295" s="34">
        <f>AW295*BC295</f>
        <v/>
      </c>
    </row>
    <row r="296">
      <c r="A296" s="27">
        <f>A295+1</f>
        <v/>
      </c>
      <c r="B296" s="28">
        <f>Duration0+A296</f>
        <v/>
      </c>
      <c r="C296" s="27">
        <f>INT(B296/12)</f>
        <v/>
      </c>
      <c r="D296" s="28">
        <f>AgeAtEntry+C296</f>
        <v/>
      </c>
      <c r="E296" s="29">
        <f>IF(PremiumType="SINGLE",IF(B296=0,PremiumPPInput,0),IF(B296&lt;12*PolicyTerm,PremiumPPInput,0))</f>
        <v/>
      </c>
      <c r="F296" s="30">
        <f>INDEX(MortRates,MATCH(MIN(D296,120),MortAges,0),MAX(MIN(C296,5),0)+1)</f>
        <v/>
      </c>
      <c r="G296" s="31">
        <f>1-(1-F296)^(1/12)</f>
        <v/>
      </c>
      <c r="H296" s="32">
        <f>MAX(LapseBase-LapseStep*C296,LapseFloor)</f>
        <v/>
      </c>
      <c r="I296" s="32">
        <f>IF(HasSurrCharge,INDEX(SurrRates,MIN(C296,SurrDurMax)+1,MATCH(SurrChargeID,SurrTypes,0)),0)</f>
        <v/>
      </c>
      <c r="J296" s="33">
        <f>N295-P295-O295</f>
        <v/>
      </c>
      <c r="K296" s="30">
        <f>IF(B296=12*PolicyTerm,J296,0)</f>
        <v/>
      </c>
      <c r="L296" s="33">
        <f>J296-K296</f>
        <v/>
      </c>
      <c r="M296" s="30">
        <f>IF(B296=0,PolicyCount,0)</f>
        <v/>
      </c>
      <c r="N296" s="33">
        <f>L296+M296</f>
        <v/>
      </c>
      <c r="O296" s="31">
        <f>N296*G296</f>
        <v/>
      </c>
      <c r="P296" s="33">
        <f>(N296-O296)*(1-(1-H296)^(1/12))</f>
        <v/>
      </c>
      <c r="Q296" s="34">
        <f>X295+Z295</f>
        <v/>
      </c>
      <c r="R296" s="29">
        <f>(1-LoadPremRate)*E296</f>
        <v/>
      </c>
      <c r="S296" s="34">
        <f>Q296+R296</f>
        <v/>
      </c>
      <c r="T296" s="29">
        <f>MaintFeeRateAnn/12*S296</f>
        <v/>
      </c>
      <c r="U296" s="29">
        <f>MAX(SumAssured-S296,0)</f>
        <v/>
      </c>
      <c r="V296" s="35">
        <f>CoiMultiple*G296</f>
        <v/>
      </c>
      <c r="W296" s="34">
        <f>V296*U296</f>
        <v/>
      </c>
      <c r="X296" s="34">
        <f>S296-T296-W296</f>
        <v/>
      </c>
      <c r="Y296" s="36">
        <f>EXP((Mu-0.5*Sigma^2)/12+Sigma*SQRT(1/12)*INDEX(NormRand,ScenID,A296+1))-1</f>
        <v/>
      </c>
      <c r="Z296" s="34">
        <f>Y296*X296</f>
        <v/>
      </c>
      <c r="AA296" s="34">
        <f>X296+0.5*Z296</f>
        <v/>
      </c>
      <c r="AB296" s="34">
        <f>Q296*J296</f>
        <v/>
      </c>
      <c r="AC296" s="34">
        <f>Q296*L296</f>
        <v/>
      </c>
      <c r="AD296" s="34">
        <f>S296*N296</f>
        <v/>
      </c>
      <c r="AE296" s="34">
        <f>E296*N296</f>
        <v/>
      </c>
      <c r="AF296" s="34">
        <f>R296*N296</f>
        <v/>
      </c>
      <c r="AG296" s="29">
        <f>MAX(SumAssured,AA296)</f>
        <v/>
      </c>
      <c r="AH296" s="34">
        <f>AG296*O296</f>
        <v/>
      </c>
      <c r="AI296" s="34">
        <f>AA296*O296</f>
        <v/>
      </c>
      <c r="AJ296" s="34">
        <f>AA296*P296</f>
        <v/>
      </c>
      <c r="AK296" s="34">
        <f>I296*AA296*P296</f>
        <v/>
      </c>
      <c r="AL296" s="34">
        <f>AJ296-AK296</f>
        <v/>
      </c>
      <c r="AM296" s="34">
        <f>Q296*K296</f>
        <v/>
      </c>
      <c r="AN296" s="34">
        <f>AH296+AL296+AM296</f>
        <v/>
      </c>
      <c r="AO296" s="34">
        <f>(AG296-AA296)*O296</f>
        <v/>
      </c>
      <c r="AP296" s="34">
        <f>W296*N296</f>
        <v/>
      </c>
      <c r="AQ296" s="34">
        <f>T296*N296</f>
        <v/>
      </c>
      <c r="AR296" s="34">
        <f>Z296*J297+0.5*Z296*(O296+P296)</f>
        <v/>
      </c>
      <c r="AS296" s="30">
        <f>(1+InflationRate)^(A296/12)</f>
        <v/>
      </c>
      <c r="AT296" s="29">
        <f>ExpenseAcq*M296+N296*ExpenseMaint/12*AS296</f>
        <v/>
      </c>
      <c r="AU296" s="29">
        <f>CommissionRate*AE296</f>
        <v/>
      </c>
      <c r="AV296" s="34">
        <f>AB297-AB296</f>
        <v/>
      </c>
      <c r="AW296" s="34">
        <f>AE296+AR296-AN296-AT296-AU296-AV296</f>
        <v/>
      </c>
      <c r="AX296" s="29">
        <f>LoadPremRate*E296*N296+AK296+AQ296-AU296-AT296</f>
        <v/>
      </c>
      <c r="AY296" s="34">
        <f>AP296-AO296</f>
        <v/>
      </c>
      <c r="AZ296" s="37">
        <f>(AW296-AX296-AY296)/MAX(1,ABS(AW296),ABS(AX296),ABS(AY296))</f>
        <v/>
      </c>
      <c r="BA296" s="37">
        <f>IF(OR(K296&gt;0,K297&gt;0),0,(AC297-(AC296+AF296-AQ296-AP296+AR296-AI296-AJ296-AM296))/MAX(1,ABS(AC296),ABS(AC297)))</f>
        <v/>
      </c>
      <c r="BB296" s="35">
        <f>(1+INDEX(DiscRateAnn,INT(A296/12)+1))^(1/12)-1</f>
        <v/>
      </c>
      <c r="BC296" s="31">
        <f>(1+BB296)^-A296</f>
        <v/>
      </c>
      <c r="BD296" s="34">
        <f>AW296*BC296</f>
        <v/>
      </c>
    </row>
    <row r="297">
      <c r="A297" s="27">
        <f>A296+1</f>
        <v/>
      </c>
      <c r="B297" s="28">
        <f>Duration0+A297</f>
        <v/>
      </c>
      <c r="C297" s="27">
        <f>INT(B297/12)</f>
        <v/>
      </c>
      <c r="D297" s="28">
        <f>AgeAtEntry+C297</f>
        <v/>
      </c>
      <c r="E297" s="29">
        <f>IF(PremiumType="SINGLE",IF(B297=0,PremiumPPInput,0),IF(B297&lt;12*PolicyTerm,PremiumPPInput,0))</f>
        <v/>
      </c>
      <c r="F297" s="30">
        <f>INDEX(MortRates,MATCH(MIN(D297,120),MortAges,0),MAX(MIN(C297,5),0)+1)</f>
        <v/>
      </c>
      <c r="G297" s="31">
        <f>1-(1-F297)^(1/12)</f>
        <v/>
      </c>
      <c r="H297" s="32">
        <f>MAX(LapseBase-LapseStep*C297,LapseFloor)</f>
        <v/>
      </c>
      <c r="I297" s="32">
        <f>IF(HasSurrCharge,INDEX(SurrRates,MIN(C297,SurrDurMax)+1,MATCH(SurrChargeID,SurrTypes,0)),0)</f>
        <v/>
      </c>
      <c r="J297" s="33">
        <f>N296-P296-O296</f>
        <v/>
      </c>
      <c r="K297" s="30">
        <f>IF(B297=12*PolicyTerm,J297,0)</f>
        <v/>
      </c>
      <c r="L297" s="33">
        <f>J297-K297</f>
        <v/>
      </c>
      <c r="M297" s="30">
        <f>IF(B297=0,PolicyCount,0)</f>
        <v/>
      </c>
      <c r="N297" s="33">
        <f>L297+M297</f>
        <v/>
      </c>
      <c r="O297" s="31">
        <f>N297*G297</f>
        <v/>
      </c>
      <c r="P297" s="33">
        <f>(N297-O297)*(1-(1-H297)^(1/12))</f>
        <v/>
      </c>
      <c r="Q297" s="34">
        <f>X296+Z296</f>
        <v/>
      </c>
      <c r="R297" s="29">
        <f>(1-LoadPremRate)*E297</f>
        <v/>
      </c>
      <c r="S297" s="34">
        <f>Q297+R297</f>
        <v/>
      </c>
      <c r="T297" s="29">
        <f>MaintFeeRateAnn/12*S297</f>
        <v/>
      </c>
      <c r="U297" s="29">
        <f>MAX(SumAssured-S297,0)</f>
        <v/>
      </c>
      <c r="V297" s="35">
        <f>CoiMultiple*G297</f>
        <v/>
      </c>
      <c r="W297" s="34">
        <f>V297*U297</f>
        <v/>
      </c>
      <c r="X297" s="34">
        <f>S297-T297-W297</f>
        <v/>
      </c>
      <c r="Y297" s="36">
        <f>EXP((Mu-0.5*Sigma^2)/12+Sigma*SQRT(1/12)*INDEX(NormRand,ScenID,A297+1))-1</f>
        <v/>
      </c>
      <c r="Z297" s="34">
        <f>Y297*X297</f>
        <v/>
      </c>
      <c r="AA297" s="34">
        <f>X297+0.5*Z297</f>
        <v/>
      </c>
      <c r="AB297" s="34">
        <f>Q297*J297</f>
        <v/>
      </c>
      <c r="AC297" s="34">
        <f>Q297*L297</f>
        <v/>
      </c>
      <c r="AD297" s="34">
        <f>S297*N297</f>
        <v/>
      </c>
      <c r="AE297" s="34">
        <f>E297*N297</f>
        <v/>
      </c>
      <c r="AF297" s="34">
        <f>R297*N297</f>
        <v/>
      </c>
      <c r="AG297" s="29">
        <f>MAX(SumAssured,AA297)</f>
        <v/>
      </c>
      <c r="AH297" s="34">
        <f>AG297*O297</f>
        <v/>
      </c>
      <c r="AI297" s="34">
        <f>AA297*O297</f>
        <v/>
      </c>
      <c r="AJ297" s="34">
        <f>AA297*P297</f>
        <v/>
      </c>
      <c r="AK297" s="34">
        <f>I297*AA297*P297</f>
        <v/>
      </c>
      <c r="AL297" s="34">
        <f>AJ297-AK297</f>
        <v/>
      </c>
      <c r="AM297" s="34">
        <f>Q297*K297</f>
        <v/>
      </c>
      <c r="AN297" s="34">
        <f>AH297+AL297+AM297</f>
        <v/>
      </c>
      <c r="AO297" s="34">
        <f>(AG297-AA297)*O297</f>
        <v/>
      </c>
      <c r="AP297" s="34">
        <f>W297*N297</f>
        <v/>
      </c>
      <c r="AQ297" s="34">
        <f>T297*N297</f>
        <v/>
      </c>
      <c r="AR297" s="34">
        <f>Z297*J298+0.5*Z297*(O297+P297)</f>
        <v/>
      </c>
      <c r="AS297" s="30">
        <f>(1+InflationRate)^(A297/12)</f>
        <v/>
      </c>
      <c r="AT297" s="29">
        <f>ExpenseAcq*M297+N297*ExpenseMaint/12*AS297</f>
        <v/>
      </c>
      <c r="AU297" s="29">
        <f>CommissionRate*AE297</f>
        <v/>
      </c>
      <c r="AV297" s="34">
        <f>AB298-AB297</f>
        <v/>
      </c>
      <c r="AW297" s="34">
        <f>AE297+AR297-AN297-AT297-AU297-AV297</f>
        <v/>
      </c>
      <c r="AX297" s="29">
        <f>LoadPremRate*E297*N297+AK297+AQ297-AU297-AT297</f>
        <v/>
      </c>
      <c r="AY297" s="34">
        <f>AP297-AO297</f>
        <v/>
      </c>
      <c r="AZ297" s="37">
        <f>(AW297-AX297-AY297)/MAX(1,ABS(AW297),ABS(AX297),ABS(AY297))</f>
        <v/>
      </c>
      <c r="BA297" s="37">
        <f>IF(OR(K297&gt;0,K298&gt;0),0,(AC298-(AC297+AF297-AQ297-AP297+AR297-AI297-AJ297-AM297))/MAX(1,ABS(AC297),ABS(AC298)))</f>
        <v/>
      </c>
      <c r="BB297" s="35">
        <f>(1+INDEX(DiscRateAnn,INT(A297/12)+1))^(1/12)-1</f>
        <v/>
      </c>
      <c r="BC297" s="31">
        <f>(1+BB297)^-A297</f>
        <v/>
      </c>
      <c r="BD297" s="34">
        <f>AW297*BC297</f>
        <v/>
      </c>
    </row>
    <row r="298">
      <c r="A298" s="27">
        <f>A297+1</f>
        <v/>
      </c>
      <c r="B298" s="28">
        <f>Duration0+A298</f>
        <v/>
      </c>
      <c r="C298" s="27">
        <f>INT(B298/12)</f>
        <v/>
      </c>
      <c r="D298" s="28">
        <f>AgeAtEntry+C298</f>
        <v/>
      </c>
      <c r="E298" s="29">
        <f>IF(PremiumType="SINGLE",IF(B298=0,PremiumPPInput,0),IF(B298&lt;12*PolicyTerm,PremiumPPInput,0))</f>
        <v/>
      </c>
      <c r="F298" s="30">
        <f>INDEX(MortRates,MATCH(MIN(D298,120),MortAges,0),MAX(MIN(C298,5),0)+1)</f>
        <v/>
      </c>
      <c r="G298" s="31">
        <f>1-(1-F298)^(1/12)</f>
        <v/>
      </c>
      <c r="H298" s="32">
        <f>MAX(LapseBase-LapseStep*C298,LapseFloor)</f>
        <v/>
      </c>
      <c r="I298" s="32">
        <f>IF(HasSurrCharge,INDEX(SurrRates,MIN(C298,SurrDurMax)+1,MATCH(SurrChargeID,SurrTypes,0)),0)</f>
        <v/>
      </c>
      <c r="J298" s="33">
        <f>N297-P297-O297</f>
        <v/>
      </c>
      <c r="K298" s="30">
        <f>IF(B298=12*PolicyTerm,J298,0)</f>
        <v/>
      </c>
      <c r="L298" s="33">
        <f>J298-K298</f>
        <v/>
      </c>
      <c r="M298" s="30">
        <f>IF(B298=0,PolicyCount,0)</f>
        <v/>
      </c>
      <c r="N298" s="33">
        <f>L298+M298</f>
        <v/>
      </c>
      <c r="O298" s="31">
        <f>N298*G298</f>
        <v/>
      </c>
      <c r="P298" s="33">
        <f>(N298-O298)*(1-(1-H298)^(1/12))</f>
        <v/>
      </c>
      <c r="Q298" s="34">
        <f>X297+Z297</f>
        <v/>
      </c>
      <c r="R298" s="29">
        <f>(1-LoadPremRate)*E298</f>
        <v/>
      </c>
      <c r="S298" s="34">
        <f>Q298+R298</f>
        <v/>
      </c>
      <c r="T298" s="29">
        <f>MaintFeeRateAnn/12*S298</f>
        <v/>
      </c>
      <c r="U298" s="29">
        <f>MAX(SumAssured-S298,0)</f>
        <v/>
      </c>
      <c r="V298" s="35">
        <f>CoiMultiple*G298</f>
        <v/>
      </c>
      <c r="W298" s="34">
        <f>V298*U298</f>
        <v/>
      </c>
      <c r="X298" s="34">
        <f>S298-T298-W298</f>
        <v/>
      </c>
      <c r="Y298" s="36">
        <f>EXP((Mu-0.5*Sigma^2)/12+Sigma*SQRT(1/12)*INDEX(NormRand,ScenID,A298+1))-1</f>
        <v/>
      </c>
      <c r="Z298" s="34">
        <f>Y298*X298</f>
        <v/>
      </c>
      <c r="AA298" s="34">
        <f>X298+0.5*Z298</f>
        <v/>
      </c>
      <c r="AB298" s="34">
        <f>Q298*J298</f>
        <v/>
      </c>
      <c r="AC298" s="34">
        <f>Q298*L298</f>
        <v/>
      </c>
      <c r="AD298" s="34">
        <f>S298*N298</f>
        <v/>
      </c>
      <c r="AE298" s="34">
        <f>E298*N298</f>
        <v/>
      </c>
      <c r="AF298" s="34">
        <f>R298*N298</f>
        <v/>
      </c>
      <c r="AG298" s="29">
        <f>MAX(SumAssured,AA298)</f>
        <v/>
      </c>
      <c r="AH298" s="34">
        <f>AG298*O298</f>
        <v/>
      </c>
      <c r="AI298" s="34">
        <f>AA298*O298</f>
        <v/>
      </c>
      <c r="AJ298" s="34">
        <f>AA298*P298</f>
        <v/>
      </c>
      <c r="AK298" s="34">
        <f>I298*AA298*P298</f>
        <v/>
      </c>
      <c r="AL298" s="34">
        <f>AJ298-AK298</f>
        <v/>
      </c>
      <c r="AM298" s="34">
        <f>Q298*K298</f>
        <v/>
      </c>
      <c r="AN298" s="34">
        <f>AH298+AL298+AM298</f>
        <v/>
      </c>
      <c r="AO298" s="34">
        <f>(AG298-AA298)*O298</f>
        <v/>
      </c>
      <c r="AP298" s="34">
        <f>W298*N298</f>
        <v/>
      </c>
      <c r="AQ298" s="34">
        <f>T298*N298</f>
        <v/>
      </c>
      <c r="AR298" s="34">
        <f>Z298*J299+0.5*Z298*(O298+P298)</f>
        <v/>
      </c>
      <c r="AS298" s="30">
        <f>(1+InflationRate)^(A298/12)</f>
        <v/>
      </c>
      <c r="AT298" s="29">
        <f>ExpenseAcq*M298+N298*ExpenseMaint/12*AS298</f>
        <v/>
      </c>
      <c r="AU298" s="29">
        <f>CommissionRate*AE298</f>
        <v/>
      </c>
      <c r="AV298" s="34">
        <f>AB299-AB298</f>
        <v/>
      </c>
      <c r="AW298" s="34">
        <f>AE298+AR298-AN298-AT298-AU298-AV298</f>
        <v/>
      </c>
      <c r="AX298" s="29">
        <f>LoadPremRate*E298*N298+AK298+AQ298-AU298-AT298</f>
        <v/>
      </c>
      <c r="AY298" s="34">
        <f>AP298-AO298</f>
        <v/>
      </c>
      <c r="AZ298" s="37">
        <f>(AW298-AX298-AY298)/MAX(1,ABS(AW298),ABS(AX298),ABS(AY298))</f>
        <v/>
      </c>
      <c r="BA298" s="37">
        <f>IF(OR(K298&gt;0,K299&gt;0),0,(AC299-(AC298+AF298-AQ298-AP298+AR298-AI298-AJ298-AM298))/MAX(1,ABS(AC298),ABS(AC299)))</f>
        <v/>
      </c>
      <c r="BB298" s="35">
        <f>(1+INDEX(DiscRateAnn,INT(A298/12)+1))^(1/12)-1</f>
        <v/>
      </c>
      <c r="BC298" s="31">
        <f>(1+BB298)^-A298</f>
        <v/>
      </c>
      <c r="BD298" s="34">
        <f>AW298*BC298</f>
        <v/>
      </c>
    </row>
    <row r="299">
      <c r="A299" s="27">
        <f>A298+1</f>
        <v/>
      </c>
      <c r="B299" s="28">
        <f>Duration0+A299</f>
        <v/>
      </c>
      <c r="C299" s="27">
        <f>INT(B299/12)</f>
        <v/>
      </c>
      <c r="D299" s="28">
        <f>AgeAtEntry+C299</f>
        <v/>
      </c>
      <c r="E299" s="29">
        <f>IF(PremiumType="SINGLE",IF(B299=0,PremiumPPInput,0),IF(B299&lt;12*PolicyTerm,PremiumPPInput,0))</f>
        <v/>
      </c>
      <c r="F299" s="30">
        <f>INDEX(MortRates,MATCH(MIN(D299,120),MortAges,0),MAX(MIN(C299,5),0)+1)</f>
        <v/>
      </c>
      <c r="G299" s="31">
        <f>1-(1-F299)^(1/12)</f>
        <v/>
      </c>
      <c r="H299" s="32">
        <f>MAX(LapseBase-LapseStep*C299,LapseFloor)</f>
        <v/>
      </c>
      <c r="I299" s="32">
        <f>IF(HasSurrCharge,INDEX(SurrRates,MIN(C299,SurrDurMax)+1,MATCH(SurrChargeID,SurrTypes,0)),0)</f>
        <v/>
      </c>
      <c r="J299" s="33">
        <f>N298-P298-O298</f>
        <v/>
      </c>
      <c r="K299" s="30">
        <f>IF(B299=12*PolicyTerm,J299,0)</f>
        <v/>
      </c>
      <c r="L299" s="33">
        <f>J299-K299</f>
        <v/>
      </c>
      <c r="M299" s="30">
        <f>IF(B299=0,PolicyCount,0)</f>
        <v/>
      </c>
      <c r="N299" s="33">
        <f>L299+M299</f>
        <v/>
      </c>
      <c r="O299" s="31">
        <f>N299*G299</f>
        <v/>
      </c>
      <c r="P299" s="33">
        <f>(N299-O299)*(1-(1-H299)^(1/12))</f>
        <v/>
      </c>
      <c r="Q299" s="34">
        <f>X298+Z298</f>
        <v/>
      </c>
      <c r="R299" s="29">
        <f>(1-LoadPremRate)*E299</f>
        <v/>
      </c>
      <c r="S299" s="34">
        <f>Q299+R299</f>
        <v/>
      </c>
      <c r="T299" s="29">
        <f>MaintFeeRateAnn/12*S299</f>
        <v/>
      </c>
      <c r="U299" s="29">
        <f>MAX(SumAssured-S299,0)</f>
        <v/>
      </c>
      <c r="V299" s="35">
        <f>CoiMultiple*G299</f>
        <v/>
      </c>
      <c r="W299" s="34">
        <f>V299*U299</f>
        <v/>
      </c>
      <c r="X299" s="34">
        <f>S299-T299-W299</f>
        <v/>
      </c>
      <c r="Y299" s="36">
        <f>EXP((Mu-0.5*Sigma^2)/12+Sigma*SQRT(1/12)*INDEX(NormRand,ScenID,A299+1))-1</f>
        <v/>
      </c>
      <c r="Z299" s="34">
        <f>Y299*X299</f>
        <v/>
      </c>
      <c r="AA299" s="34">
        <f>X299+0.5*Z299</f>
        <v/>
      </c>
      <c r="AB299" s="34">
        <f>Q299*J299</f>
        <v/>
      </c>
      <c r="AC299" s="34">
        <f>Q299*L299</f>
        <v/>
      </c>
      <c r="AD299" s="34">
        <f>S299*N299</f>
        <v/>
      </c>
      <c r="AE299" s="34">
        <f>E299*N299</f>
        <v/>
      </c>
      <c r="AF299" s="34">
        <f>R299*N299</f>
        <v/>
      </c>
      <c r="AG299" s="29">
        <f>MAX(SumAssured,AA299)</f>
        <v/>
      </c>
      <c r="AH299" s="34">
        <f>AG299*O299</f>
        <v/>
      </c>
      <c r="AI299" s="34">
        <f>AA299*O299</f>
        <v/>
      </c>
      <c r="AJ299" s="34">
        <f>AA299*P299</f>
        <v/>
      </c>
      <c r="AK299" s="34">
        <f>I299*AA299*P299</f>
        <v/>
      </c>
      <c r="AL299" s="34">
        <f>AJ299-AK299</f>
        <v/>
      </c>
      <c r="AM299" s="34">
        <f>Q299*K299</f>
        <v/>
      </c>
      <c r="AN299" s="34">
        <f>AH299+AL299+AM299</f>
        <v/>
      </c>
      <c r="AO299" s="34">
        <f>(AG299-AA299)*O299</f>
        <v/>
      </c>
      <c r="AP299" s="34">
        <f>W299*N299</f>
        <v/>
      </c>
      <c r="AQ299" s="34">
        <f>T299*N299</f>
        <v/>
      </c>
      <c r="AR299" s="34">
        <f>Z299*J300+0.5*Z299*(O299+P299)</f>
        <v/>
      </c>
      <c r="AS299" s="30">
        <f>(1+InflationRate)^(A299/12)</f>
        <v/>
      </c>
      <c r="AT299" s="29">
        <f>ExpenseAcq*M299+N299*ExpenseMaint/12*AS299</f>
        <v/>
      </c>
      <c r="AU299" s="29">
        <f>CommissionRate*AE299</f>
        <v/>
      </c>
      <c r="AV299" s="34">
        <f>AB300-AB299</f>
        <v/>
      </c>
      <c r="AW299" s="34">
        <f>AE299+AR299-AN299-AT299-AU299-AV299</f>
        <v/>
      </c>
      <c r="AX299" s="29">
        <f>LoadPremRate*E299*N299+AK299+AQ299-AU299-AT299</f>
        <v/>
      </c>
      <c r="AY299" s="34">
        <f>AP299-AO299</f>
        <v/>
      </c>
      <c r="AZ299" s="37">
        <f>(AW299-AX299-AY299)/MAX(1,ABS(AW299),ABS(AX299),ABS(AY299))</f>
        <v/>
      </c>
      <c r="BA299" s="37">
        <f>IF(OR(K299&gt;0,K300&gt;0),0,(AC300-(AC299+AF299-AQ299-AP299+AR299-AI299-AJ299-AM299))/MAX(1,ABS(AC299),ABS(AC300)))</f>
        <v/>
      </c>
      <c r="BB299" s="35">
        <f>(1+INDEX(DiscRateAnn,INT(A299/12)+1))^(1/12)-1</f>
        <v/>
      </c>
      <c r="BC299" s="31">
        <f>(1+BB299)^-A299</f>
        <v/>
      </c>
      <c r="BD299" s="34">
        <f>AW299*BC299</f>
        <v/>
      </c>
    </row>
    <row r="300">
      <c r="A300" s="27">
        <f>A299+1</f>
        <v/>
      </c>
      <c r="B300" s="28">
        <f>Duration0+A300</f>
        <v/>
      </c>
      <c r="C300" s="27">
        <f>INT(B300/12)</f>
        <v/>
      </c>
      <c r="D300" s="28">
        <f>AgeAtEntry+C300</f>
        <v/>
      </c>
      <c r="E300" s="29">
        <f>IF(PremiumType="SINGLE",IF(B300=0,PremiumPPInput,0),IF(B300&lt;12*PolicyTerm,PremiumPPInput,0))</f>
        <v/>
      </c>
      <c r="F300" s="30">
        <f>INDEX(MortRates,MATCH(MIN(D300,120),MortAges,0),MAX(MIN(C300,5),0)+1)</f>
        <v/>
      </c>
      <c r="G300" s="31">
        <f>1-(1-F300)^(1/12)</f>
        <v/>
      </c>
      <c r="H300" s="32">
        <f>MAX(LapseBase-LapseStep*C300,LapseFloor)</f>
        <v/>
      </c>
      <c r="I300" s="32">
        <f>IF(HasSurrCharge,INDEX(SurrRates,MIN(C300,SurrDurMax)+1,MATCH(SurrChargeID,SurrTypes,0)),0)</f>
        <v/>
      </c>
      <c r="J300" s="33">
        <f>N299-P299-O299</f>
        <v/>
      </c>
      <c r="K300" s="30">
        <f>IF(B300=12*PolicyTerm,J300,0)</f>
        <v/>
      </c>
      <c r="L300" s="33">
        <f>J300-K300</f>
        <v/>
      </c>
      <c r="M300" s="30">
        <f>IF(B300=0,PolicyCount,0)</f>
        <v/>
      </c>
      <c r="N300" s="33">
        <f>L300+M300</f>
        <v/>
      </c>
      <c r="O300" s="31">
        <f>N300*G300</f>
        <v/>
      </c>
      <c r="P300" s="33">
        <f>(N300-O300)*(1-(1-H300)^(1/12))</f>
        <v/>
      </c>
      <c r="Q300" s="34">
        <f>X299+Z299</f>
        <v/>
      </c>
      <c r="R300" s="29">
        <f>(1-LoadPremRate)*E300</f>
        <v/>
      </c>
      <c r="S300" s="34">
        <f>Q300+R300</f>
        <v/>
      </c>
      <c r="T300" s="29">
        <f>MaintFeeRateAnn/12*S300</f>
        <v/>
      </c>
      <c r="U300" s="29">
        <f>MAX(SumAssured-S300,0)</f>
        <v/>
      </c>
      <c r="V300" s="35">
        <f>CoiMultiple*G300</f>
        <v/>
      </c>
      <c r="W300" s="34">
        <f>V300*U300</f>
        <v/>
      </c>
      <c r="X300" s="34">
        <f>S300-T300-W300</f>
        <v/>
      </c>
      <c r="Y300" s="36">
        <f>EXP((Mu-0.5*Sigma^2)/12+Sigma*SQRT(1/12)*INDEX(NormRand,ScenID,A300+1))-1</f>
        <v/>
      </c>
      <c r="Z300" s="34">
        <f>Y300*X300</f>
        <v/>
      </c>
      <c r="AA300" s="34">
        <f>X300+0.5*Z300</f>
        <v/>
      </c>
      <c r="AB300" s="34">
        <f>Q300*J300</f>
        <v/>
      </c>
      <c r="AC300" s="34">
        <f>Q300*L300</f>
        <v/>
      </c>
      <c r="AD300" s="34">
        <f>S300*N300</f>
        <v/>
      </c>
      <c r="AE300" s="34">
        <f>E300*N300</f>
        <v/>
      </c>
      <c r="AF300" s="34">
        <f>R300*N300</f>
        <v/>
      </c>
      <c r="AG300" s="29">
        <f>MAX(SumAssured,AA300)</f>
        <v/>
      </c>
      <c r="AH300" s="34">
        <f>AG300*O300</f>
        <v/>
      </c>
      <c r="AI300" s="34">
        <f>AA300*O300</f>
        <v/>
      </c>
      <c r="AJ300" s="34">
        <f>AA300*P300</f>
        <v/>
      </c>
      <c r="AK300" s="34">
        <f>I300*AA300*P300</f>
        <v/>
      </c>
      <c r="AL300" s="34">
        <f>AJ300-AK300</f>
        <v/>
      </c>
      <c r="AM300" s="34">
        <f>Q300*K300</f>
        <v/>
      </c>
      <c r="AN300" s="34">
        <f>AH300+AL300+AM300</f>
        <v/>
      </c>
      <c r="AO300" s="34">
        <f>(AG300-AA300)*O300</f>
        <v/>
      </c>
      <c r="AP300" s="34">
        <f>W300*N300</f>
        <v/>
      </c>
      <c r="AQ300" s="34">
        <f>T300*N300</f>
        <v/>
      </c>
      <c r="AR300" s="34">
        <f>Z300*J301+0.5*Z300*(O300+P300)</f>
        <v/>
      </c>
      <c r="AS300" s="30">
        <f>(1+InflationRate)^(A300/12)</f>
        <v/>
      </c>
      <c r="AT300" s="29">
        <f>ExpenseAcq*M300+N300*ExpenseMaint/12*AS300</f>
        <v/>
      </c>
      <c r="AU300" s="29">
        <f>CommissionRate*AE300</f>
        <v/>
      </c>
      <c r="AV300" s="34">
        <f>AB301-AB300</f>
        <v/>
      </c>
      <c r="AW300" s="34">
        <f>AE300+AR300-AN300-AT300-AU300-AV300</f>
        <v/>
      </c>
      <c r="AX300" s="29">
        <f>LoadPremRate*E300*N300+AK300+AQ300-AU300-AT300</f>
        <v/>
      </c>
      <c r="AY300" s="34">
        <f>AP300-AO300</f>
        <v/>
      </c>
      <c r="AZ300" s="37">
        <f>(AW300-AX300-AY300)/MAX(1,ABS(AW300),ABS(AX300),ABS(AY300))</f>
        <v/>
      </c>
      <c r="BA300" s="37">
        <f>IF(OR(K300&gt;0,K301&gt;0),0,(AC301-(AC300+AF300-AQ300-AP300+AR300-AI300-AJ300-AM300))/MAX(1,ABS(AC300),ABS(AC301)))</f>
        <v/>
      </c>
      <c r="BB300" s="35">
        <f>(1+INDEX(DiscRateAnn,INT(A300/12)+1))^(1/12)-1</f>
        <v/>
      </c>
      <c r="BC300" s="31">
        <f>(1+BB300)^-A300</f>
        <v/>
      </c>
      <c r="BD300" s="34">
        <f>AW300*BC300</f>
        <v/>
      </c>
    </row>
    <row r="301">
      <c r="A301" s="27">
        <f>A300+1</f>
        <v/>
      </c>
      <c r="B301" s="28">
        <f>Duration0+A301</f>
        <v/>
      </c>
      <c r="C301" s="27">
        <f>INT(B301/12)</f>
        <v/>
      </c>
      <c r="D301" s="28">
        <f>AgeAtEntry+C301</f>
        <v/>
      </c>
      <c r="E301" s="29">
        <f>IF(PremiumType="SINGLE",IF(B301=0,PremiumPPInput,0),IF(B301&lt;12*PolicyTerm,PremiumPPInput,0))</f>
        <v/>
      </c>
      <c r="F301" s="30">
        <f>INDEX(MortRates,MATCH(MIN(D301,120),MortAges,0),MAX(MIN(C301,5),0)+1)</f>
        <v/>
      </c>
      <c r="G301" s="31">
        <f>1-(1-F301)^(1/12)</f>
        <v/>
      </c>
      <c r="H301" s="32">
        <f>MAX(LapseBase-LapseStep*C301,LapseFloor)</f>
        <v/>
      </c>
      <c r="I301" s="32">
        <f>IF(HasSurrCharge,INDEX(SurrRates,MIN(C301,SurrDurMax)+1,MATCH(SurrChargeID,SurrTypes,0)),0)</f>
        <v/>
      </c>
      <c r="J301" s="33">
        <f>N300-P300-O300</f>
        <v/>
      </c>
      <c r="K301" s="30">
        <f>IF(B301=12*PolicyTerm,J301,0)</f>
        <v/>
      </c>
      <c r="L301" s="33">
        <f>J301-K301</f>
        <v/>
      </c>
      <c r="M301" s="30">
        <f>IF(B301=0,PolicyCount,0)</f>
        <v/>
      </c>
      <c r="N301" s="33">
        <f>L301+M301</f>
        <v/>
      </c>
      <c r="O301" s="31">
        <f>N301*G301</f>
        <v/>
      </c>
      <c r="P301" s="33">
        <f>(N301-O301)*(1-(1-H301)^(1/12))</f>
        <v/>
      </c>
      <c r="Q301" s="34">
        <f>X300+Z300</f>
        <v/>
      </c>
      <c r="R301" s="29">
        <f>(1-LoadPremRate)*E301</f>
        <v/>
      </c>
      <c r="S301" s="34">
        <f>Q301+R301</f>
        <v/>
      </c>
      <c r="T301" s="29">
        <f>MaintFeeRateAnn/12*S301</f>
        <v/>
      </c>
      <c r="U301" s="29">
        <f>MAX(SumAssured-S301,0)</f>
        <v/>
      </c>
      <c r="V301" s="35">
        <f>CoiMultiple*G301</f>
        <v/>
      </c>
      <c r="W301" s="34">
        <f>V301*U301</f>
        <v/>
      </c>
      <c r="X301" s="34">
        <f>S301-T301-W301</f>
        <v/>
      </c>
      <c r="Y301" s="36">
        <f>EXP((Mu-0.5*Sigma^2)/12+Sigma*SQRT(1/12)*INDEX(NormRand,ScenID,A301+1))-1</f>
        <v/>
      </c>
      <c r="Z301" s="34">
        <f>Y301*X301</f>
        <v/>
      </c>
      <c r="AA301" s="34">
        <f>X301+0.5*Z301</f>
        <v/>
      </c>
      <c r="AB301" s="34">
        <f>Q301*J301</f>
        <v/>
      </c>
      <c r="AC301" s="34">
        <f>Q301*L301</f>
        <v/>
      </c>
      <c r="AD301" s="34">
        <f>S301*N301</f>
        <v/>
      </c>
      <c r="AE301" s="34">
        <f>E301*N301</f>
        <v/>
      </c>
      <c r="AF301" s="34">
        <f>R301*N301</f>
        <v/>
      </c>
      <c r="AG301" s="29">
        <f>MAX(SumAssured,AA301)</f>
        <v/>
      </c>
      <c r="AH301" s="34">
        <f>AG301*O301</f>
        <v/>
      </c>
      <c r="AI301" s="34">
        <f>AA301*O301</f>
        <v/>
      </c>
      <c r="AJ301" s="34">
        <f>AA301*P301</f>
        <v/>
      </c>
      <c r="AK301" s="34">
        <f>I301*AA301*P301</f>
        <v/>
      </c>
      <c r="AL301" s="34">
        <f>AJ301-AK301</f>
        <v/>
      </c>
      <c r="AM301" s="34">
        <f>Q301*K301</f>
        <v/>
      </c>
      <c r="AN301" s="34">
        <f>AH301+AL301+AM301</f>
        <v/>
      </c>
      <c r="AO301" s="34">
        <f>(AG301-AA301)*O301</f>
        <v/>
      </c>
      <c r="AP301" s="34">
        <f>W301*N301</f>
        <v/>
      </c>
      <c r="AQ301" s="34">
        <f>T301*N301</f>
        <v/>
      </c>
      <c r="AR301" s="34">
        <f>Z301*J302+0.5*Z301*(O301+P301)</f>
        <v/>
      </c>
      <c r="AS301" s="30">
        <f>(1+InflationRate)^(A301/12)</f>
        <v/>
      </c>
      <c r="AT301" s="29">
        <f>ExpenseAcq*M301+N301*ExpenseMaint/12*AS301</f>
        <v/>
      </c>
      <c r="AU301" s="29">
        <f>CommissionRate*AE301</f>
        <v/>
      </c>
      <c r="AV301" s="34">
        <f>AB302-AB301</f>
        <v/>
      </c>
      <c r="AW301" s="34">
        <f>AE301+AR301-AN301-AT301-AU301-AV301</f>
        <v/>
      </c>
      <c r="AX301" s="29">
        <f>LoadPremRate*E301*N301+AK301+AQ301-AU301-AT301</f>
        <v/>
      </c>
      <c r="AY301" s="34">
        <f>AP301-AO301</f>
        <v/>
      </c>
      <c r="AZ301" s="37">
        <f>(AW301-AX301-AY301)/MAX(1,ABS(AW301),ABS(AX301),ABS(AY301))</f>
        <v/>
      </c>
      <c r="BA301" s="37">
        <f>IF(OR(K301&gt;0,K302&gt;0),0,(AC302-(AC301+AF301-AQ301-AP301+AR301-AI301-AJ301-AM301))/MAX(1,ABS(AC301),ABS(AC302)))</f>
        <v/>
      </c>
      <c r="BB301" s="35">
        <f>(1+INDEX(DiscRateAnn,INT(A301/12)+1))^(1/12)-1</f>
        <v/>
      </c>
      <c r="BC301" s="31">
        <f>(1+BB301)^-A301</f>
        <v/>
      </c>
      <c r="BD301" s="34">
        <f>AW301*BC301</f>
        <v/>
      </c>
    </row>
    <row r="302">
      <c r="A302" s="27">
        <f>A301+1</f>
        <v/>
      </c>
      <c r="B302" s="28">
        <f>Duration0+A302</f>
        <v/>
      </c>
      <c r="C302" s="27">
        <f>INT(B302/12)</f>
        <v/>
      </c>
      <c r="D302" s="28">
        <f>AgeAtEntry+C302</f>
        <v/>
      </c>
      <c r="E302" s="29">
        <f>IF(PremiumType="SINGLE",IF(B302=0,PremiumPPInput,0),IF(B302&lt;12*PolicyTerm,PremiumPPInput,0))</f>
        <v/>
      </c>
      <c r="F302" s="30">
        <f>INDEX(MortRates,MATCH(MIN(D302,120),MortAges,0),MAX(MIN(C302,5),0)+1)</f>
        <v/>
      </c>
      <c r="G302" s="31">
        <f>1-(1-F302)^(1/12)</f>
        <v/>
      </c>
      <c r="H302" s="32">
        <f>MAX(LapseBase-LapseStep*C302,LapseFloor)</f>
        <v/>
      </c>
      <c r="I302" s="32">
        <f>IF(HasSurrCharge,INDEX(SurrRates,MIN(C302,SurrDurMax)+1,MATCH(SurrChargeID,SurrTypes,0)),0)</f>
        <v/>
      </c>
      <c r="J302" s="33">
        <f>N301-P301-O301</f>
        <v/>
      </c>
      <c r="K302" s="30">
        <f>IF(B302=12*PolicyTerm,J302,0)</f>
        <v/>
      </c>
      <c r="L302" s="33">
        <f>J302-K302</f>
        <v/>
      </c>
      <c r="M302" s="30">
        <f>IF(B302=0,PolicyCount,0)</f>
        <v/>
      </c>
      <c r="N302" s="33">
        <f>L302+M302</f>
        <v/>
      </c>
      <c r="O302" s="31">
        <f>N302*G302</f>
        <v/>
      </c>
      <c r="P302" s="33">
        <f>(N302-O302)*(1-(1-H302)^(1/12))</f>
        <v/>
      </c>
      <c r="Q302" s="34">
        <f>X301+Z301</f>
        <v/>
      </c>
      <c r="R302" s="29">
        <f>(1-LoadPremRate)*E302</f>
        <v/>
      </c>
      <c r="S302" s="34">
        <f>Q302+R302</f>
        <v/>
      </c>
      <c r="T302" s="29">
        <f>MaintFeeRateAnn/12*S302</f>
        <v/>
      </c>
      <c r="U302" s="29">
        <f>MAX(SumAssured-S302,0)</f>
        <v/>
      </c>
      <c r="V302" s="35">
        <f>CoiMultiple*G302</f>
        <v/>
      </c>
      <c r="W302" s="34">
        <f>V302*U302</f>
        <v/>
      </c>
      <c r="X302" s="34">
        <f>S302-T302-W302</f>
        <v/>
      </c>
      <c r="Y302" s="36">
        <f>EXP((Mu-0.5*Sigma^2)/12+Sigma*SQRT(1/12)*INDEX(NormRand,ScenID,A302+1))-1</f>
        <v/>
      </c>
      <c r="Z302" s="34">
        <f>Y302*X302</f>
        <v/>
      </c>
      <c r="AA302" s="34">
        <f>X302+0.5*Z302</f>
        <v/>
      </c>
      <c r="AB302" s="34">
        <f>Q302*J302</f>
        <v/>
      </c>
      <c r="AC302" s="34">
        <f>Q302*L302</f>
        <v/>
      </c>
      <c r="AD302" s="34">
        <f>S302*N302</f>
        <v/>
      </c>
      <c r="AE302" s="34">
        <f>E302*N302</f>
        <v/>
      </c>
      <c r="AF302" s="34">
        <f>R302*N302</f>
        <v/>
      </c>
      <c r="AG302" s="29">
        <f>MAX(SumAssured,AA302)</f>
        <v/>
      </c>
      <c r="AH302" s="34">
        <f>AG302*O302</f>
        <v/>
      </c>
      <c r="AI302" s="34">
        <f>AA302*O302</f>
        <v/>
      </c>
      <c r="AJ302" s="34">
        <f>AA302*P302</f>
        <v/>
      </c>
      <c r="AK302" s="34">
        <f>I302*AA302*P302</f>
        <v/>
      </c>
      <c r="AL302" s="34">
        <f>AJ302-AK302</f>
        <v/>
      </c>
      <c r="AM302" s="34">
        <f>Q302*K302</f>
        <v/>
      </c>
      <c r="AN302" s="34">
        <f>AH302+AL302+AM302</f>
        <v/>
      </c>
      <c r="AO302" s="34">
        <f>(AG302-AA302)*O302</f>
        <v/>
      </c>
      <c r="AP302" s="34">
        <f>W302*N302</f>
        <v/>
      </c>
      <c r="AQ302" s="34">
        <f>T302*N302</f>
        <v/>
      </c>
      <c r="AR302" s="34">
        <f>Z302*J303+0.5*Z302*(O302+P302)</f>
        <v/>
      </c>
      <c r="AS302" s="30">
        <f>(1+InflationRate)^(A302/12)</f>
        <v/>
      </c>
      <c r="AT302" s="29">
        <f>ExpenseAcq*M302+N302*ExpenseMaint/12*AS302</f>
        <v/>
      </c>
      <c r="AU302" s="29">
        <f>CommissionRate*AE302</f>
        <v/>
      </c>
      <c r="AV302" s="34">
        <f>AB303-AB302</f>
        <v/>
      </c>
      <c r="AW302" s="34">
        <f>AE302+AR302-AN302-AT302-AU302-AV302</f>
        <v/>
      </c>
      <c r="AX302" s="29">
        <f>LoadPremRate*E302*N302+AK302+AQ302-AU302-AT302</f>
        <v/>
      </c>
      <c r="AY302" s="34">
        <f>AP302-AO302</f>
        <v/>
      </c>
      <c r="AZ302" s="37">
        <f>(AW302-AX302-AY302)/MAX(1,ABS(AW302),ABS(AX302),ABS(AY302))</f>
        <v/>
      </c>
      <c r="BA302" s="37">
        <f>IF(OR(K302&gt;0,K303&gt;0),0,(AC303-(AC302+AF302-AQ302-AP302+AR302-AI302-AJ302-AM302))/MAX(1,ABS(AC302),ABS(AC303)))</f>
        <v/>
      </c>
      <c r="BB302" s="35">
        <f>(1+INDEX(DiscRateAnn,INT(A302/12)+1))^(1/12)-1</f>
        <v/>
      </c>
      <c r="BC302" s="31">
        <f>(1+BB302)^-A302</f>
        <v/>
      </c>
      <c r="BD302" s="34">
        <f>AW302*BC302</f>
        <v/>
      </c>
    </row>
    <row r="303">
      <c r="A303" s="27">
        <f>A302+1</f>
        <v/>
      </c>
      <c r="B303" s="28">
        <f>Duration0+A303</f>
        <v/>
      </c>
      <c r="C303" s="27">
        <f>INT(B303/12)</f>
        <v/>
      </c>
      <c r="D303" s="28">
        <f>AgeAtEntry+C303</f>
        <v/>
      </c>
      <c r="E303" s="29">
        <f>IF(PremiumType="SINGLE",IF(B303=0,PremiumPPInput,0),IF(B303&lt;12*PolicyTerm,PremiumPPInput,0))</f>
        <v/>
      </c>
      <c r="F303" s="30">
        <f>INDEX(MortRates,MATCH(MIN(D303,120),MortAges,0),MAX(MIN(C303,5),0)+1)</f>
        <v/>
      </c>
      <c r="G303" s="31">
        <f>1-(1-F303)^(1/12)</f>
        <v/>
      </c>
      <c r="H303" s="32">
        <f>MAX(LapseBase-LapseStep*C303,LapseFloor)</f>
        <v/>
      </c>
      <c r="I303" s="32">
        <f>IF(HasSurrCharge,INDEX(SurrRates,MIN(C303,SurrDurMax)+1,MATCH(SurrChargeID,SurrTypes,0)),0)</f>
        <v/>
      </c>
      <c r="J303" s="33">
        <f>N302-P302-O302</f>
        <v/>
      </c>
      <c r="K303" s="30">
        <f>IF(B303=12*PolicyTerm,J303,0)</f>
        <v/>
      </c>
      <c r="L303" s="33">
        <f>J303-K303</f>
        <v/>
      </c>
      <c r="M303" s="30">
        <f>IF(B303=0,PolicyCount,0)</f>
        <v/>
      </c>
      <c r="N303" s="33">
        <f>L303+M303</f>
        <v/>
      </c>
      <c r="O303" s="31">
        <f>N303*G303</f>
        <v/>
      </c>
      <c r="P303" s="33">
        <f>(N303-O303)*(1-(1-H303)^(1/12))</f>
        <v/>
      </c>
      <c r="Q303" s="34">
        <f>X302+Z302</f>
        <v/>
      </c>
      <c r="R303" s="29">
        <f>(1-LoadPremRate)*E303</f>
        <v/>
      </c>
      <c r="S303" s="34">
        <f>Q303+R303</f>
        <v/>
      </c>
      <c r="T303" s="29">
        <f>MaintFeeRateAnn/12*S303</f>
        <v/>
      </c>
      <c r="U303" s="29">
        <f>MAX(SumAssured-S303,0)</f>
        <v/>
      </c>
      <c r="V303" s="35">
        <f>CoiMultiple*G303</f>
        <v/>
      </c>
      <c r="W303" s="34">
        <f>V303*U303</f>
        <v/>
      </c>
      <c r="X303" s="34">
        <f>S303-T303-W303</f>
        <v/>
      </c>
      <c r="Y303" s="36">
        <f>EXP((Mu-0.5*Sigma^2)/12+Sigma*SQRT(1/12)*INDEX(NormRand,ScenID,A303+1))-1</f>
        <v/>
      </c>
      <c r="Z303" s="34">
        <f>Y303*X303</f>
        <v/>
      </c>
      <c r="AA303" s="34">
        <f>X303+0.5*Z303</f>
        <v/>
      </c>
      <c r="AB303" s="34">
        <f>Q303*J303</f>
        <v/>
      </c>
      <c r="AC303" s="34">
        <f>Q303*L303</f>
        <v/>
      </c>
      <c r="AD303" s="34">
        <f>S303*N303</f>
        <v/>
      </c>
      <c r="AE303" s="34">
        <f>E303*N303</f>
        <v/>
      </c>
      <c r="AF303" s="34">
        <f>R303*N303</f>
        <v/>
      </c>
      <c r="AG303" s="29">
        <f>MAX(SumAssured,AA303)</f>
        <v/>
      </c>
      <c r="AH303" s="34">
        <f>AG303*O303</f>
        <v/>
      </c>
      <c r="AI303" s="34">
        <f>AA303*O303</f>
        <v/>
      </c>
      <c r="AJ303" s="34">
        <f>AA303*P303</f>
        <v/>
      </c>
      <c r="AK303" s="34">
        <f>I303*AA303*P303</f>
        <v/>
      </c>
      <c r="AL303" s="34">
        <f>AJ303-AK303</f>
        <v/>
      </c>
      <c r="AM303" s="34">
        <f>Q303*K303</f>
        <v/>
      </c>
      <c r="AN303" s="34">
        <f>AH303+AL303+AM303</f>
        <v/>
      </c>
      <c r="AO303" s="34">
        <f>(AG303-AA303)*O303</f>
        <v/>
      </c>
      <c r="AP303" s="34">
        <f>W303*N303</f>
        <v/>
      </c>
      <c r="AQ303" s="34">
        <f>T303*N303</f>
        <v/>
      </c>
      <c r="AR303" s="34">
        <f>Z303*J304+0.5*Z303*(O303+P303)</f>
        <v/>
      </c>
      <c r="AS303" s="30">
        <f>(1+InflationRate)^(A303/12)</f>
        <v/>
      </c>
      <c r="AT303" s="29">
        <f>ExpenseAcq*M303+N303*ExpenseMaint/12*AS303</f>
        <v/>
      </c>
      <c r="AU303" s="29">
        <f>CommissionRate*AE303</f>
        <v/>
      </c>
      <c r="AV303" s="34">
        <f>AB304-AB303</f>
        <v/>
      </c>
      <c r="AW303" s="34">
        <f>AE303+AR303-AN303-AT303-AU303-AV303</f>
        <v/>
      </c>
      <c r="AX303" s="29">
        <f>LoadPremRate*E303*N303+AK303+AQ303-AU303-AT303</f>
        <v/>
      </c>
      <c r="AY303" s="34">
        <f>AP303-AO303</f>
        <v/>
      </c>
      <c r="AZ303" s="37">
        <f>(AW303-AX303-AY303)/MAX(1,ABS(AW303),ABS(AX303),ABS(AY303))</f>
        <v/>
      </c>
      <c r="BA303" s="37">
        <f>IF(OR(K303&gt;0,K304&gt;0),0,(AC304-(AC303+AF303-AQ303-AP303+AR303-AI303-AJ303-AM303))/MAX(1,ABS(AC303),ABS(AC304)))</f>
        <v/>
      </c>
      <c r="BB303" s="35">
        <f>(1+INDEX(DiscRateAnn,INT(A303/12)+1))^(1/12)-1</f>
        <v/>
      </c>
      <c r="BC303" s="31">
        <f>(1+BB303)^-A303</f>
        <v/>
      </c>
      <c r="BD303" s="34">
        <f>AW303*BC303</f>
        <v/>
      </c>
    </row>
    <row r="304">
      <c r="A304" s="27">
        <f>A303+1</f>
        <v/>
      </c>
      <c r="B304" s="28">
        <f>Duration0+A304</f>
        <v/>
      </c>
      <c r="C304" s="27">
        <f>INT(B304/12)</f>
        <v/>
      </c>
      <c r="D304" s="28">
        <f>AgeAtEntry+C304</f>
        <v/>
      </c>
      <c r="E304" s="29">
        <f>IF(PremiumType="SINGLE",IF(B304=0,PremiumPPInput,0),IF(B304&lt;12*PolicyTerm,PremiumPPInput,0))</f>
        <v/>
      </c>
      <c r="F304" s="30">
        <f>INDEX(MortRates,MATCH(MIN(D304,120),MortAges,0),MAX(MIN(C304,5),0)+1)</f>
        <v/>
      </c>
      <c r="G304" s="31">
        <f>1-(1-F304)^(1/12)</f>
        <v/>
      </c>
      <c r="H304" s="32">
        <f>MAX(LapseBase-LapseStep*C304,LapseFloor)</f>
        <v/>
      </c>
      <c r="I304" s="32">
        <f>IF(HasSurrCharge,INDEX(SurrRates,MIN(C304,SurrDurMax)+1,MATCH(SurrChargeID,SurrTypes,0)),0)</f>
        <v/>
      </c>
      <c r="J304" s="33">
        <f>N303-P303-O303</f>
        <v/>
      </c>
      <c r="K304" s="30">
        <f>IF(B304=12*PolicyTerm,J304,0)</f>
        <v/>
      </c>
      <c r="L304" s="33">
        <f>J304-K304</f>
        <v/>
      </c>
      <c r="M304" s="30">
        <f>IF(B304=0,PolicyCount,0)</f>
        <v/>
      </c>
      <c r="N304" s="33">
        <f>L304+M304</f>
        <v/>
      </c>
      <c r="O304" s="31">
        <f>N304*G304</f>
        <v/>
      </c>
      <c r="P304" s="33">
        <f>(N304-O304)*(1-(1-H304)^(1/12))</f>
        <v/>
      </c>
      <c r="Q304" s="34">
        <f>X303+Z303</f>
        <v/>
      </c>
      <c r="R304" s="29">
        <f>(1-LoadPremRate)*E304</f>
        <v/>
      </c>
      <c r="S304" s="34">
        <f>Q304+R304</f>
        <v/>
      </c>
      <c r="T304" s="29">
        <f>MaintFeeRateAnn/12*S304</f>
        <v/>
      </c>
      <c r="U304" s="29">
        <f>MAX(SumAssured-S304,0)</f>
        <v/>
      </c>
      <c r="V304" s="35">
        <f>CoiMultiple*G304</f>
        <v/>
      </c>
      <c r="W304" s="34">
        <f>V304*U304</f>
        <v/>
      </c>
      <c r="X304" s="34">
        <f>S304-T304-W304</f>
        <v/>
      </c>
      <c r="Y304" s="36">
        <f>EXP((Mu-0.5*Sigma^2)/12+Sigma*SQRT(1/12)*INDEX(NormRand,ScenID,A304+1))-1</f>
        <v/>
      </c>
      <c r="Z304" s="34">
        <f>Y304*X304</f>
        <v/>
      </c>
      <c r="AA304" s="34">
        <f>X304+0.5*Z304</f>
        <v/>
      </c>
      <c r="AB304" s="34">
        <f>Q304*J304</f>
        <v/>
      </c>
      <c r="AC304" s="34">
        <f>Q304*L304</f>
        <v/>
      </c>
      <c r="AD304" s="34">
        <f>S304*N304</f>
        <v/>
      </c>
      <c r="AE304" s="34">
        <f>E304*N304</f>
        <v/>
      </c>
      <c r="AF304" s="34">
        <f>R304*N304</f>
        <v/>
      </c>
      <c r="AG304" s="29">
        <f>MAX(SumAssured,AA304)</f>
        <v/>
      </c>
      <c r="AH304" s="34">
        <f>AG304*O304</f>
        <v/>
      </c>
      <c r="AI304" s="34">
        <f>AA304*O304</f>
        <v/>
      </c>
      <c r="AJ304" s="34">
        <f>AA304*P304</f>
        <v/>
      </c>
      <c r="AK304" s="34">
        <f>I304*AA304*P304</f>
        <v/>
      </c>
      <c r="AL304" s="34">
        <f>AJ304-AK304</f>
        <v/>
      </c>
      <c r="AM304" s="34">
        <f>Q304*K304</f>
        <v/>
      </c>
      <c r="AN304" s="34">
        <f>AH304+AL304+AM304</f>
        <v/>
      </c>
      <c r="AO304" s="34">
        <f>(AG304-AA304)*O304</f>
        <v/>
      </c>
      <c r="AP304" s="34">
        <f>W304*N304</f>
        <v/>
      </c>
      <c r="AQ304" s="34">
        <f>T304*N304</f>
        <v/>
      </c>
      <c r="AR304" s="34">
        <f>Z304*J305+0.5*Z304*(O304+P304)</f>
        <v/>
      </c>
      <c r="AS304" s="30">
        <f>(1+InflationRate)^(A304/12)</f>
        <v/>
      </c>
      <c r="AT304" s="29">
        <f>ExpenseAcq*M304+N304*ExpenseMaint/12*AS304</f>
        <v/>
      </c>
      <c r="AU304" s="29">
        <f>CommissionRate*AE304</f>
        <v/>
      </c>
      <c r="AV304" s="34">
        <f>AB305-AB304</f>
        <v/>
      </c>
      <c r="AW304" s="34">
        <f>AE304+AR304-AN304-AT304-AU304-AV304</f>
        <v/>
      </c>
      <c r="AX304" s="29">
        <f>LoadPremRate*E304*N304+AK304+AQ304-AU304-AT304</f>
        <v/>
      </c>
      <c r="AY304" s="34">
        <f>AP304-AO304</f>
        <v/>
      </c>
      <c r="AZ304" s="37">
        <f>(AW304-AX304-AY304)/MAX(1,ABS(AW304),ABS(AX304),ABS(AY304))</f>
        <v/>
      </c>
      <c r="BA304" s="37">
        <f>IF(OR(K304&gt;0,K305&gt;0),0,(AC305-(AC304+AF304-AQ304-AP304+AR304-AI304-AJ304-AM304))/MAX(1,ABS(AC304),ABS(AC305)))</f>
        <v/>
      </c>
      <c r="BB304" s="35">
        <f>(1+INDEX(DiscRateAnn,INT(A304/12)+1))^(1/12)-1</f>
        <v/>
      </c>
      <c r="BC304" s="31">
        <f>(1+BB304)^-A304</f>
        <v/>
      </c>
      <c r="BD304" s="34">
        <f>AW304*BC304</f>
        <v/>
      </c>
    </row>
    <row r="305">
      <c r="A305" s="27">
        <f>A304+1</f>
        <v/>
      </c>
      <c r="B305" s="28">
        <f>Duration0+A305</f>
        <v/>
      </c>
      <c r="C305" s="27">
        <f>INT(B305/12)</f>
        <v/>
      </c>
      <c r="D305" s="28">
        <f>AgeAtEntry+C305</f>
        <v/>
      </c>
      <c r="E305" s="29">
        <f>IF(PremiumType="SINGLE",IF(B305=0,PremiumPPInput,0),IF(B305&lt;12*PolicyTerm,PremiumPPInput,0))</f>
        <v/>
      </c>
      <c r="F305" s="30">
        <f>INDEX(MortRates,MATCH(MIN(D305,120),MortAges,0),MAX(MIN(C305,5),0)+1)</f>
        <v/>
      </c>
      <c r="G305" s="31">
        <f>1-(1-F305)^(1/12)</f>
        <v/>
      </c>
      <c r="H305" s="32">
        <f>MAX(LapseBase-LapseStep*C305,LapseFloor)</f>
        <v/>
      </c>
      <c r="I305" s="32">
        <f>IF(HasSurrCharge,INDEX(SurrRates,MIN(C305,SurrDurMax)+1,MATCH(SurrChargeID,SurrTypes,0)),0)</f>
        <v/>
      </c>
      <c r="J305" s="33">
        <f>N304-P304-O304</f>
        <v/>
      </c>
      <c r="K305" s="30">
        <f>IF(B305=12*PolicyTerm,J305,0)</f>
        <v/>
      </c>
      <c r="L305" s="33">
        <f>J305-K305</f>
        <v/>
      </c>
      <c r="M305" s="30">
        <f>IF(B305=0,PolicyCount,0)</f>
        <v/>
      </c>
      <c r="N305" s="33">
        <f>L305+M305</f>
        <v/>
      </c>
      <c r="O305" s="31">
        <f>N305*G305</f>
        <v/>
      </c>
      <c r="P305" s="33">
        <f>(N305-O305)*(1-(1-H305)^(1/12))</f>
        <v/>
      </c>
      <c r="Q305" s="34">
        <f>X304+Z304</f>
        <v/>
      </c>
      <c r="R305" s="29">
        <f>(1-LoadPremRate)*E305</f>
        <v/>
      </c>
      <c r="S305" s="34">
        <f>Q305+R305</f>
        <v/>
      </c>
      <c r="T305" s="29">
        <f>MaintFeeRateAnn/12*S305</f>
        <v/>
      </c>
      <c r="U305" s="29">
        <f>MAX(SumAssured-S305,0)</f>
        <v/>
      </c>
      <c r="V305" s="35">
        <f>CoiMultiple*G305</f>
        <v/>
      </c>
      <c r="W305" s="34">
        <f>V305*U305</f>
        <v/>
      </c>
      <c r="X305" s="34">
        <f>S305-T305-W305</f>
        <v/>
      </c>
      <c r="Y305" s="36">
        <f>EXP((Mu-0.5*Sigma^2)/12+Sigma*SQRT(1/12)*INDEX(NormRand,ScenID,A305+1))-1</f>
        <v/>
      </c>
      <c r="Z305" s="34">
        <f>Y305*X305</f>
        <v/>
      </c>
      <c r="AA305" s="34">
        <f>X305+0.5*Z305</f>
        <v/>
      </c>
      <c r="AB305" s="34">
        <f>Q305*J305</f>
        <v/>
      </c>
      <c r="AC305" s="34">
        <f>Q305*L305</f>
        <v/>
      </c>
      <c r="AD305" s="34">
        <f>S305*N305</f>
        <v/>
      </c>
      <c r="AE305" s="34">
        <f>E305*N305</f>
        <v/>
      </c>
      <c r="AF305" s="34">
        <f>R305*N305</f>
        <v/>
      </c>
      <c r="AG305" s="29">
        <f>MAX(SumAssured,AA305)</f>
        <v/>
      </c>
      <c r="AH305" s="34">
        <f>AG305*O305</f>
        <v/>
      </c>
      <c r="AI305" s="34">
        <f>AA305*O305</f>
        <v/>
      </c>
      <c r="AJ305" s="34">
        <f>AA305*P305</f>
        <v/>
      </c>
      <c r="AK305" s="34">
        <f>I305*AA305*P305</f>
        <v/>
      </c>
      <c r="AL305" s="34">
        <f>AJ305-AK305</f>
        <v/>
      </c>
      <c r="AM305" s="34">
        <f>Q305*K305</f>
        <v/>
      </c>
      <c r="AN305" s="34">
        <f>AH305+AL305+AM305</f>
        <v/>
      </c>
      <c r="AO305" s="34">
        <f>(AG305-AA305)*O305</f>
        <v/>
      </c>
      <c r="AP305" s="34">
        <f>W305*N305</f>
        <v/>
      </c>
      <c r="AQ305" s="34">
        <f>T305*N305</f>
        <v/>
      </c>
      <c r="AR305" s="34">
        <f>Z305*J306+0.5*Z305*(O305+P305)</f>
        <v/>
      </c>
      <c r="AS305" s="30">
        <f>(1+InflationRate)^(A305/12)</f>
        <v/>
      </c>
      <c r="AT305" s="29">
        <f>ExpenseAcq*M305+N305*ExpenseMaint/12*AS305</f>
        <v/>
      </c>
      <c r="AU305" s="29">
        <f>CommissionRate*AE305</f>
        <v/>
      </c>
      <c r="AV305" s="34">
        <f>AB306-AB305</f>
        <v/>
      </c>
      <c r="AW305" s="34">
        <f>AE305+AR305-AN305-AT305-AU305-AV305</f>
        <v/>
      </c>
      <c r="AX305" s="29">
        <f>LoadPremRate*E305*N305+AK305+AQ305-AU305-AT305</f>
        <v/>
      </c>
      <c r="AY305" s="34">
        <f>AP305-AO305</f>
        <v/>
      </c>
      <c r="AZ305" s="37">
        <f>(AW305-AX305-AY305)/MAX(1,ABS(AW305),ABS(AX305),ABS(AY305))</f>
        <v/>
      </c>
      <c r="BA305" s="37">
        <f>IF(OR(K305&gt;0,K306&gt;0),0,(AC306-(AC305+AF305-AQ305-AP305+AR305-AI305-AJ305-AM305))/MAX(1,ABS(AC305),ABS(AC306)))</f>
        <v/>
      </c>
      <c r="BB305" s="35">
        <f>(1+INDEX(DiscRateAnn,INT(A305/12)+1))^(1/12)-1</f>
        <v/>
      </c>
      <c r="BC305" s="31">
        <f>(1+BB305)^-A305</f>
        <v/>
      </c>
      <c r="BD305" s="34">
        <f>AW305*BC305</f>
        <v/>
      </c>
    </row>
    <row r="306">
      <c r="A306" s="27">
        <f>A305+1</f>
        <v/>
      </c>
      <c r="B306" s="28">
        <f>Duration0+A306</f>
        <v/>
      </c>
      <c r="C306" s="27">
        <f>INT(B306/12)</f>
        <v/>
      </c>
      <c r="D306" s="28">
        <f>AgeAtEntry+C306</f>
        <v/>
      </c>
      <c r="E306" s="29">
        <f>IF(PremiumType="SINGLE",IF(B306=0,PremiumPPInput,0),IF(B306&lt;12*PolicyTerm,PremiumPPInput,0))</f>
        <v/>
      </c>
      <c r="F306" s="30">
        <f>INDEX(MortRates,MATCH(MIN(D306,120),MortAges,0),MAX(MIN(C306,5),0)+1)</f>
        <v/>
      </c>
      <c r="G306" s="31">
        <f>1-(1-F306)^(1/12)</f>
        <v/>
      </c>
      <c r="H306" s="32">
        <f>MAX(LapseBase-LapseStep*C306,LapseFloor)</f>
        <v/>
      </c>
      <c r="I306" s="32">
        <f>IF(HasSurrCharge,INDEX(SurrRates,MIN(C306,SurrDurMax)+1,MATCH(SurrChargeID,SurrTypes,0)),0)</f>
        <v/>
      </c>
      <c r="J306" s="33">
        <f>N305-P305-O305</f>
        <v/>
      </c>
      <c r="K306" s="30">
        <f>IF(B306=12*PolicyTerm,J306,0)</f>
        <v/>
      </c>
      <c r="L306" s="33">
        <f>J306-K306</f>
        <v/>
      </c>
      <c r="M306" s="30">
        <f>IF(B306=0,PolicyCount,0)</f>
        <v/>
      </c>
      <c r="N306" s="33">
        <f>L306+M306</f>
        <v/>
      </c>
      <c r="O306" s="31">
        <f>N306*G306</f>
        <v/>
      </c>
      <c r="P306" s="33">
        <f>(N306-O306)*(1-(1-H306)^(1/12))</f>
        <v/>
      </c>
      <c r="Q306" s="34">
        <f>X305+Z305</f>
        <v/>
      </c>
      <c r="R306" s="29">
        <f>(1-LoadPremRate)*E306</f>
        <v/>
      </c>
      <c r="S306" s="34">
        <f>Q306+R306</f>
        <v/>
      </c>
      <c r="T306" s="29">
        <f>MaintFeeRateAnn/12*S306</f>
        <v/>
      </c>
      <c r="U306" s="29">
        <f>MAX(SumAssured-S306,0)</f>
        <v/>
      </c>
      <c r="V306" s="35">
        <f>CoiMultiple*G306</f>
        <v/>
      </c>
      <c r="W306" s="34">
        <f>V306*U306</f>
        <v/>
      </c>
      <c r="X306" s="34">
        <f>S306-T306-W306</f>
        <v/>
      </c>
      <c r="Y306" s="36">
        <f>EXP((Mu-0.5*Sigma^2)/12+Sigma*SQRT(1/12)*INDEX(NormRand,ScenID,A306+1))-1</f>
        <v/>
      </c>
      <c r="Z306" s="34">
        <f>Y306*X306</f>
        <v/>
      </c>
      <c r="AA306" s="34">
        <f>X306+0.5*Z306</f>
        <v/>
      </c>
      <c r="AB306" s="34">
        <f>Q306*J306</f>
        <v/>
      </c>
      <c r="AC306" s="34">
        <f>Q306*L306</f>
        <v/>
      </c>
      <c r="AD306" s="34">
        <f>S306*N306</f>
        <v/>
      </c>
      <c r="AE306" s="34">
        <f>E306*N306</f>
        <v/>
      </c>
      <c r="AF306" s="34">
        <f>R306*N306</f>
        <v/>
      </c>
      <c r="AG306" s="29">
        <f>MAX(SumAssured,AA306)</f>
        <v/>
      </c>
      <c r="AH306" s="34">
        <f>AG306*O306</f>
        <v/>
      </c>
      <c r="AI306" s="34">
        <f>AA306*O306</f>
        <v/>
      </c>
      <c r="AJ306" s="34">
        <f>AA306*P306</f>
        <v/>
      </c>
      <c r="AK306" s="34">
        <f>I306*AA306*P306</f>
        <v/>
      </c>
      <c r="AL306" s="34">
        <f>AJ306-AK306</f>
        <v/>
      </c>
      <c r="AM306" s="34">
        <f>Q306*K306</f>
        <v/>
      </c>
      <c r="AN306" s="34">
        <f>AH306+AL306+AM306</f>
        <v/>
      </c>
      <c r="AO306" s="34">
        <f>(AG306-AA306)*O306</f>
        <v/>
      </c>
      <c r="AP306" s="34">
        <f>W306*N306</f>
        <v/>
      </c>
      <c r="AQ306" s="34">
        <f>T306*N306</f>
        <v/>
      </c>
      <c r="AR306" s="34">
        <f>Z306*J307+0.5*Z306*(O306+P306)</f>
        <v/>
      </c>
      <c r="AS306" s="30">
        <f>(1+InflationRate)^(A306/12)</f>
        <v/>
      </c>
      <c r="AT306" s="29">
        <f>ExpenseAcq*M306+N306*ExpenseMaint/12*AS306</f>
        <v/>
      </c>
      <c r="AU306" s="29">
        <f>CommissionRate*AE306</f>
        <v/>
      </c>
      <c r="AV306" s="34">
        <f>AB307-AB306</f>
        <v/>
      </c>
      <c r="AW306" s="34">
        <f>AE306+AR306-AN306-AT306-AU306-AV306</f>
        <v/>
      </c>
      <c r="AX306" s="29">
        <f>LoadPremRate*E306*N306+AK306+AQ306-AU306-AT306</f>
        <v/>
      </c>
      <c r="AY306" s="34">
        <f>AP306-AO306</f>
        <v/>
      </c>
      <c r="AZ306" s="37">
        <f>(AW306-AX306-AY306)/MAX(1,ABS(AW306),ABS(AX306),ABS(AY306))</f>
        <v/>
      </c>
      <c r="BA306" s="37">
        <f>IF(OR(K306&gt;0,K307&gt;0),0,(AC307-(AC306+AF306-AQ306-AP306+AR306-AI306-AJ306-AM306))/MAX(1,ABS(AC306),ABS(AC307)))</f>
        <v/>
      </c>
      <c r="BB306" s="35">
        <f>(1+INDEX(DiscRateAnn,INT(A306/12)+1))^(1/12)-1</f>
        <v/>
      </c>
      <c r="BC306" s="31">
        <f>(1+BB306)^-A306</f>
        <v/>
      </c>
      <c r="BD306" s="34">
        <f>AW306*BC306</f>
        <v/>
      </c>
    </row>
    <row r="307">
      <c r="A307" s="27">
        <f>A306+1</f>
        <v/>
      </c>
      <c r="B307" s="28">
        <f>Duration0+A307</f>
        <v/>
      </c>
      <c r="C307" s="27">
        <f>INT(B307/12)</f>
        <v/>
      </c>
      <c r="D307" s="28">
        <f>AgeAtEntry+C307</f>
        <v/>
      </c>
      <c r="E307" s="29">
        <f>IF(PremiumType="SINGLE",IF(B307=0,PremiumPPInput,0),IF(B307&lt;12*PolicyTerm,PremiumPPInput,0))</f>
        <v/>
      </c>
      <c r="F307" s="30">
        <f>INDEX(MortRates,MATCH(MIN(D307,120),MortAges,0),MAX(MIN(C307,5),0)+1)</f>
        <v/>
      </c>
      <c r="G307" s="31">
        <f>1-(1-F307)^(1/12)</f>
        <v/>
      </c>
      <c r="H307" s="32">
        <f>MAX(LapseBase-LapseStep*C307,LapseFloor)</f>
        <v/>
      </c>
      <c r="I307" s="32">
        <f>IF(HasSurrCharge,INDEX(SurrRates,MIN(C307,SurrDurMax)+1,MATCH(SurrChargeID,SurrTypes,0)),0)</f>
        <v/>
      </c>
      <c r="J307" s="33">
        <f>N306-P306-O306</f>
        <v/>
      </c>
      <c r="K307" s="30">
        <f>IF(B307=12*PolicyTerm,J307,0)</f>
        <v/>
      </c>
      <c r="L307" s="33">
        <f>J307-K307</f>
        <v/>
      </c>
      <c r="M307" s="30">
        <f>IF(B307=0,PolicyCount,0)</f>
        <v/>
      </c>
      <c r="N307" s="33">
        <f>L307+M307</f>
        <v/>
      </c>
      <c r="O307" s="31">
        <f>N307*G307</f>
        <v/>
      </c>
      <c r="P307" s="33">
        <f>(N307-O307)*(1-(1-H307)^(1/12))</f>
        <v/>
      </c>
      <c r="Q307" s="34">
        <f>X306+Z306</f>
        <v/>
      </c>
      <c r="R307" s="29">
        <f>(1-LoadPremRate)*E307</f>
        <v/>
      </c>
      <c r="S307" s="34">
        <f>Q307+R307</f>
        <v/>
      </c>
      <c r="T307" s="29">
        <f>MaintFeeRateAnn/12*S307</f>
        <v/>
      </c>
      <c r="U307" s="29">
        <f>MAX(SumAssured-S307,0)</f>
        <v/>
      </c>
      <c r="V307" s="35">
        <f>CoiMultiple*G307</f>
        <v/>
      </c>
      <c r="W307" s="34">
        <f>V307*U307</f>
        <v/>
      </c>
      <c r="X307" s="34">
        <f>S307-T307-W307</f>
        <v/>
      </c>
      <c r="Y307" s="36">
        <f>EXP((Mu-0.5*Sigma^2)/12+Sigma*SQRT(1/12)*INDEX(NormRand,ScenID,A307+1))-1</f>
        <v/>
      </c>
      <c r="Z307" s="34">
        <f>Y307*X307</f>
        <v/>
      </c>
      <c r="AA307" s="34">
        <f>X307+0.5*Z307</f>
        <v/>
      </c>
      <c r="AB307" s="34">
        <f>Q307*J307</f>
        <v/>
      </c>
      <c r="AC307" s="34">
        <f>Q307*L307</f>
        <v/>
      </c>
      <c r="AD307" s="34">
        <f>S307*N307</f>
        <v/>
      </c>
      <c r="AE307" s="34">
        <f>E307*N307</f>
        <v/>
      </c>
      <c r="AF307" s="34">
        <f>R307*N307</f>
        <v/>
      </c>
      <c r="AG307" s="29">
        <f>MAX(SumAssured,AA307)</f>
        <v/>
      </c>
      <c r="AH307" s="34">
        <f>AG307*O307</f>
        <v/>
      </c>
      <c r="AI307" s="34">
        <f>AA307*O307</f>
        <v/>
      </c>
      <c r="AJ307" s="34">
        <f>AA307*P307</f>
        <v/>
      </c>
      <c r="AK307" s="34">
        <f>I307*AA307*P307</f>
        <v/>
      </c>
      <c r="AL307" s="34">
        <f>AJ307-AK307</f>
        <v/>
      </c>
      <c r="AM307" s="34">
        <f>Q307*K307</f>
        <v/>
      </c>
      <c r="AN307" s="34">
        <f>AH307+AL307+AM307</f>
        <v/>
      </c>
      <c r="AO307" s="34">
        <f>(AG307-AA307)*O307</f>
        <v/>
      </c>
      <c r="AP307" s="34">
        <f>W307*N307</f>
        <v/>
      </c>
      <c r="AQ307" s="34">
        <f>T307*N307</f>
        <v/>
      </c>
      <c r="AR307" s="34">
        <f>Z307*J308+0.5*Z307*(O307+P307)</f>
        <v/>
      </c>
      <c r="AS307" s="30">
        <f>(1+InflationRate)^(A307/12)</f>
        <v/>
      </c>
      <c r="AT307" s="29">
        <f>ExpenseAcq*M307+N307*ExpenseMaint/12*AS307</f>
        <v/>
      </c>
      <c r="AU307" s="29">
        <f>CommissionRate*AE307</f>
        <v/>
      </c>
      <c r="AV307" s="34">
        <f>AB308-AB307</f>
        <v/>
      </c>
      <c r="AW307" s="34">
        <f>AE307+AR307-AN307-AT307-AU307-AV307</f>
        <v/>
      </c>
      <c r="AX307" s="29">
        <f>LoadPremRate*E307*N307+AK307+AQ307-AU307-AT307</f>
        <v/>
      </c>
      <c r="AY307" s="34">
        <f>AP307-AO307</f>
        <v/>
      </c>
      <c r="AZ307" s="37">
        <f>(AW307-AX307-AY307)/MAX(1,ABS(AW307),ABS(AX307),ABS(AY307))</f>
        <v/>
      </c>
      <c r="BA307" s="37">
        <f>IF(OR(K307&gt;0,K308&gt;0),0,(AC308-(AC307+AF307-AQ307-AP307+AR307-AI307-AJ307-AM307))/MAX(1,ABS(AC307),ABS(AC308)))</f>
        <v/>
      </c>
      <c r="BB307" s="35">
        <f>(1+INDEX(DiscRateAnn,INT(A307/12)+1))^(1/12)-1</f>
        <v/>
      </c>
      <c r="BC307" s="31">
        <f>(1+BB307)^-A307</f>
        <v/>
      </c>
      <c r="BD307" s="34">
        <f>AW307*BC307</f>
        <v/>
      </c>
    </row>
    <row r="308">
      <c r="A308" s="27">
        <f>A307+1</f>
        <v/>
      </c>
      <c r="B308" s="28">
        <f>Duration0+A308</f>
        <v/>
      </c>
      <c r="C308" s="27">
        <f>INT(B308/12)</f>
        <v/>
      </c>
      <c r="D308" s="28">
        <f>AgeAtEntry+C308</f>
        <v/>
      </c>
      <c r="E308" s="29">
        <f>IF(PremiumType="SINGLE",IF(B308=0,PremiumPPInput,0),IF(B308&lt;12*PolicyTerm,PremiumPPInput,0))</f>
        <v/>
      </c>
      <c r="F308" s="30">
        <f>INDEX(MortRates,MATCH(MIN(D308,120),MortAges,0),MAX(MIN(C308,5),0)+1)</f>
        <v/>
      </c>
      <c r="G308" s="31">
        <f>1-(1-F308)^(1/12)</f>
        <v/>
      </c>
      <c r="H308" s="32">
        <f>MAX(LapseBase-LapseStep*C308,LapseFloor)</f>
        <v/>
      </c>
      <c r="I308" s="32">
        <f>IF(HasSurrCharge,INDEX(SurrRates,MIN(C308,SurrDurMax)+1,MATCH(SurrChargeID,SurrTypes,0)),0)</f>
        <v/>
      </c>
      <c r="J308" s="33">
        <f>N307-P307-O307</f>
        <v/>
      </c>
      <c r="K308" s="30">
        <f>IF(B308=12*PolicyTerm,J308,0)</f>
        <v/>
      </c>
      <c r="L308" s="33">
        <f>J308-K308</f>
        <v/>
      </c>
      <c r="M308" s="30">
        <f>IF(B308=0,PolicyCount,0)</f>
        <v/>
      </c>
      <c r="N308" s="33">
        <f>L308+M308</f>
        <v/>
      </c>
      <c r="O308" s="31">
        <f>N308*G308</f>
        <v/>
      </c>
      <c r="P308" s="33">
        <f>(N308-O308)*(1-(1-H308)^(1/12))</f>
        <v/>
      </c>
      <c r="Q308" s="34">
        <f>X307+Z307</f>
        <v/>
      </c>
      <c r="R308" s="29">
        <f>(1-LoadPremRate)*E308</f>
        <v/>
      </c>
      <c r="S308" s="34">
        <f>Q308+R308</f>
        <v/>
      </c>
      <c r="T308" s="29">
        <f>MaintFeeRateAnn/12*S308</f>
        <v/>
      </c>
      <c r="U308" s="29">
        <f>MAX(SumAssured-S308,0)</f>
        <v/>
      </c>
      <c r="V308" s="35">
        <f>CoiMultiple*G308</f>
        <v/>
      </c>
      <c r="W308" s="34">
        <f>V308*U308</f>
        <v/>
      </c>
      <c r="X308" s="34">
        <f>S308-T308-W308</f>
        <v/>
      </c>
      <c r="Y308" s="36">
        <f>EXP((Mu-0.5*Sigma^2)/12+Sigma*SQRT(1/12)*INDEX(NormRand,ScenID,A308+1))-1</f>
        <v/>
      </c>
      <c r="Z308" s="34">
        <f>Y308*X308</f>
        <v/>
      </c>
      <c r="AA308" s="34">
        <f>X308+0.5*Z308</f>
        <v/>
      </c>
      <c r="AB308" s="34">
        <f>Q308*J308</f>
        <v/>
      </c>
      <c r="AC308" s="34">
        <f>Q308*L308</f>
        <v/>
      </c>
      <c r="AD308" s="34">
        <f>S308*N308</f>
        <v/>
      </c>
      <c r="AE308" s="34">
        <f>E308*N308</f>
        <v/>
      </c>
      <c r="AF308" s="34">
        <f>R308*N308</f>
        <v/>
      </c>
      <c r="AG308" s="29">
        <f>MAX(SumAssured,AA308)</f>
        <v/>
      </c>
      <c r="AH308" s="34">
        <f>AG308*O308</f>
        <v/>
      </c>
      <c r="AI308" s="34">
        <f>AA308*O308</f>
        <v/>
      </c>
      <c r="AJ308" s="34">
        <f>AA308*P308</f>
        <v/>
      </c>
      <c r="AK308" s="34">
        <f>I308*AA308*P308</f>
        <v/>
      </c>
      <c r="AL308" s="34">
        <f>AJ308-AK308</f>
        <v/>
      </c>
      <c r="AM308" s="34">
        <f>Q308*K308</f>
        <v/>
      </c>
      <c r="AN308" s="34">
        <f>AH308+AL308+AM308</f>
        <v/>
      </c>
      <c r="AO308" s="34">
        <f>(AG308-AA308)*O308</f>
        <v/>
      </c>
      <c r="AP308" s="34">
        <f>W308*N308</f>
        <v/>
      </c>
      <c r="AQ308" s="34">
        <f>T308*N308</f>
        <v/>
      </c>
      <c r="AR308" s="34">
        <f>Z308*J309+0.5*Z308*(O308+P308)</f>
        <v/>
      </c>
      <c r="AS308" s="30">
        <f>(1+InflationRate)^(A308/12)</f>
        <v/>
      </c>
      <c r="AT308" s="29">
        <f>ExpenseAcq*M308+N308*ExpenseMaint/12*AS308</f>
        <v/>
      </c>
      <c r="AU308" s="29">
        <f>CommissionRate*AE308</f>
        <v/>
      </c>
      <c r="AV308" s="34">
        <f>AB309-AB308</f>
        <v/>
      </c>
      <c r="AW308" s="34">
        <f>AE308+AR308-AN308-AT308-AU308-AV308</f>
        <v/>
      </c>
      <c r="AX308" s="29">
        <f>LoadPremRate*E308*N308+AK308+AQ308-AU308-AT308</f>
        <v/>
      </c>
      <c r="AY308" s="34">
        <f>AP308-AO308</f>
        <v/>
      </c>
      <c r="AZ308" s="37">
        <f>(AW308-AX308-AY308)/MAX(1,ABS(AW308),ABS(AX308),ABS(AY308))</f>
        <v/>
      </c>
      <c r="BA308" s="37">
        <f>IF(OR(K308&gt;0,K309&gt;0),0,(AC309-(AC308+AF308-AQ308-AP308+AR308-AI308-AJ308-AM308))/MAX(1,ABS(AC308),ABS(AC309)))</f>
        <v/>
      </c>
      <c r="BB308" s="35">
        <f>(1+INDEX(DiscRateAnn,INT(A308/12)+1))^(1/12)-1</f>
        <v/>
      </c>
      <c r="BC308" s="31">
        <f>(1+BB308)^-A308</f>
        <v/>
      </c>
      <c r="BD308" s="34">
        <f>AW308*BC308</f>
        <v/>
      </c>
    </row>
    <row r="309">
      <c r="A309" s="27">
        <f>A308+1</f>
        <v/>
      </c>
      <c r="B309" s="28">
        <f>Duration0+A309</f>
        <v/>
      </c>
      <c r="C309" s="27">
        <f>INT(B309/12)</f>
        <v/>
      </c>
      <c r="D309" s="28">
        <f>AgeAtEntry+C309</f>
        <v/>
      </c>
      <c r="E309" s="29">
        <f>IF(PremiumType="SINGLE",IF(B309=0,PremiumPPInput,0),IF(B309&lt;12*PolicyTerm,PremiumPPInput,0))</f>
        <v/>
      </c>
      <c r="F309" s="30">
        <f>INDEX(MortRates,MATCH(MIN(D309,120),MortAges,0),MAX(MIN(C309,5),0)+1)</f>
        <v/>
      </c>
      <c r="G309" s="31">
        <f>1-(1-F309)^(1/12)</f>
        <v/>
      </c>
      <c r="H309" s="32">
        <f>MAX(LapseBase-LapseStep*C309,LapseFloor)</f>
        <v/>
      </c>
      <c r="I309" s="32">
        <f>IF(HasSurrCharge,INDEX(SurrRates,MIN(C309,SurrDurMax)+1,MATCH(SurrChargeID,SurrTypes,0)),0)</f>
        <v/>
      </c>
      <c r="J309" s="33">
        <f>N308-P308-O308</f>
        <v/>
      </c>
      <c r="K309" s="30">
        <f>IF(B309=12*PolicyTerm,J309,0)</f>
        <v/>
      </c>
      <c r="L309" s="33">
        <f>J309-K309</f>
        <v/>
      </c>
      <c r="M309" s="30">
        <f>IF(B309=0,PolicyCount,0)</f>
        <v/>
      </c>
      <c r="N309" s="33">
        <f>L309+M309</f>
        <v/>
      </c>
      <c r="O309" s="31">
        <f>N309*G309</f>
        <v/>
      </c>
      <c r="P309" s="33">
        <f>(N309-O309)*(1-(1-H309)^(1/12))</f>
        <v/>
      </c>
      <c r="Q309" s="34">
        <f>X308+Z308</f>
        <v/>
      </c>
      <c r="R309" s="29">
        <f>(1-LoadPremRate)*E309</f>
        <v/>
      </c>
      <c r="S309" s="34">
        <f>Q309+R309</f>
        <v/>
      </c>
      <c r="T309" s="29">
        <f>MaintFeeRateAnn/12*S309</f>
        <v/>
      </c>
      <c r="U309" s="29">
        <f>MAX(SumAssured-S309,0)</f>
        <v/>
      </c>
      <c r="V309" s="35">
        <f>CoiMultiple*G309</f>
        <v/>
      </c>
      <c r="W309" s="34">
        <f>V309*U309</f>
        <v/>
      </c>
      <c r="X309" s="34">
        <f>S309-T309-W309</f>
        <v/>
      </c>
      <c r="Y309" s="36">
        <f>EXP((Mu-0.5*Sigma^2)/12+Sigma*SQRT(1/12)*INDEX(NormRand,ScenID,A309+1))-1</f>
        <v/>
      </c>
      <c r="Z309" s="34">
        <f>Y309*X309</f>
        <v/>
      </c>
      <c r="AA309" s="34">
        <f>X309+0.5*Z309</f>
        <v/>
      </c>
      <c r="AB309" s="34">
        <f>Q309*J309</f>
        <v/>
      </c>
      <c r="AC309" s="34">
        <f>Q309*L309</f>
        <v/>
      </c>
      <c r="AD309" s="34">
        <f>S309*N309</f>
        <v/>
      </c>
      <c r="AE309" s="34">
        <f>E309*N309</f>
        <v/>
      </c>
      <c r="AF309" s="34">
        <f>R309*N309</f>
        <v/>
      </c>
      <c r="AG309" s="29">
        <f>MAX(SumAssured,AA309)</f>
        <v/>
      </c>
      <c r="AH309" s="34">
        <f>AG309*O309</f>
        <v/>
      </c>
      <c r="AI309" s="34">
        <f>AA309*O309</f>
        <v/>
      </c>
      <c r="AJ309" s="34">
        <f>AA309*P309</f>
        <v/>
      </c>
      <c r="AK309" s="34">
        <f>I309*AA309*P309</f>
        <v/>
      </c>
      <c r="AL309" s="34">
        <f>AJ309-AK309</f>
        <v/>
      </c>
      <c r="AM309" s="34">
        <f>Q309*K309</f>
        <v/>
      </c>
      <c r="AN309" s="34">
        <f>AH309+AL309+AM309</f>
        <v/>
      </c>
      <c r="AO309" s="34">
        <f>(AG309-AA309)*O309</f>
        <v/>
      </c>
      <c r="AP309" s="34">
        <f>W309*N309</f>
        <v/>
      </c>
      <c r="AQ309" s="34">
        <f>T309*N309</f>
        <v/>
      </c>
      <c r="AR309" s="34">
        <f>Z309*J310+0.5*Z309*(O309+P309)</f>
        <v/>
      </c>
      <c r="AS309" s="30">
        <f>(1+InflationRate)^(A309/12)</f>
        <v/>
      </c>
      <c r="AT309" s="29">
        <f>ExpenseAcq*M309+N309*ExpenseMaint/12*AS309</f>
        <v/>
      </c>
      <c r="AU309" s="29">
        <f>CommissionRate*AE309</f>
        <v/>
      </c>
      <c r="AV309" s="34">
        <f>AB310-AB309</f>
        <v/>
      </c>
      <c r="AW309" s="34">
        <f>AE309+AR309-AN309-AT309-AU309-AV309</f>
        <v/>
      </c>
      <c r="AX309" s="29">
        <f>LoadPremRate*E309*N309+AK309+AQ309-AU309-AT309</f>
        <v/>
      </c>
      <c r="AY309" s="34">
        <f>AP309-AO309</f>
        <v/>
      </c>
      <c r="AZ309" s="37">
        <f>(AW309-AX309-AY309)/MAX(1,ABS(AW309),ABS(AX309),ABS(AY309))</f>
        <v/>
      </c>
      <c r="BA309" s="37">
        <f>IF(OR(K309&gt;0,K310&gt;0),0,(AC310-(AC309+AF309-AQ309-AP309+AR309-AI309-AJ309-AM309))/MAX(1,ABS(AC309),ABS(AC310)))</f>
        <v/>
      </c>
      <c r="BB309" s="35">
        <f>(1+INDEX(DiscRateAnn,INT(A309/12)+1))^(1/12)-1</f>
        <v/>
      </c>
      <c r="BC309" s="31">
        <f>(1+BB309)^-A309</f>
        <v/>
      </c>
      <c r="BD309" s="34">
        <f>AW309*BC309</f>
        <v/>
      </c>
    </row>
    <row r="310">
      <c r="A310" s="27">
        <f>A309+1</f>
        <v/>
      </c>
      <c r="B310" s="28">
        <f>Duration0+A310</f>
        <v/>
      </c>
      <c r="C310" s="27">
        <f>INT(B310/12)</f>
        <v/>
      </c>
      <c r="D310" s="28">
        <f>AgeAtEntry+C310</f>
        <v/>
      </c>
      <c r="E310" s="29">
        <f>IF(PremiumType="SINGLE",IF(B310=0,PremiumPPInput,0),IF(B310&lt;12*PolicyTerm,PremiumPPInput,0))</f>
        <v/>
      </c>
      <c r="F310" s="30">
        <f>INDEX(MortRates,MATCH(MIN(D310,120),MortAges,0),MAX(MIN(C310,5),0)+1)</f>
        <v/>
      </c>
      <c r="G310" s="31">
        <f>1-(1-F310)^(1/12)</f>
        <v/>
      </c>
      <c r="H310" s="32">
        <f>MAX(LapseBase-LapseStep*C310,LapseFloor)</f>
        <v/>
      </c>
      <c r="I310" s="32">
        <f>IF(HasSurrCharge,INDEX(SurrRates,MIN(C310,SurrDurMax)+1,MATCH(SurrChargeID,SurrTypes,0)),0)</f>
        <v/>
      </c>
      <c r="J310" s="33">
        <f>N309-P309-O309</f>
        <v/>
      </c>
      <c r="K310" s="30">
        <f>IF(B310=12*PolicyTerm,J310,0)</f>
        <v/>
      </c>
      <c r="L310" s="33">
        <f>J310-K310</f>
        <v/>
      </c>
      <c r="M310" s="30">
        <f>IF(B310=0,PolicyCount,0)</f>
        <v/>
      </c>
      <c r="N310" s="33">
        <f>L310+M310</f>
        <v/>
      </c>
      <c r="O310" s="31">
        <f>N310*G310</f>
        <v/>
      </c>
      <c r="P310" s="33">
        <f>(N310-O310)*(1-(1-H310)^(1/12))</f>
        <v/>
      </c>
      <c r="Q310" s="34">
        <f>X309+Z309</f>
        <v/>
      </c>
      <c r="R310" s="29">
        <f>(1-LoadPremRate)*E310</f>
        <v/>
      </c>
      <c r="S310" s="34">
        <f>Q310+R310</f>
        <v/>
      </c>
      <c r="T310" s="29">
        <f>MaintFeeRateAnn/12*S310</f>
        <v/>
      </c>
      <c r="U310" s="29">
        <f>MAX(SumAssured-S310,0)</f>
        <v/>
      </c>
      <c r="V310" s="35">
        <f>CoiMultiple*G310</f>
        <v/>
      </c>
      <c r="W310" s="34">
        <f>V310*U310</f>
        <v/>
      </c>
      <c r="X310" s="34">
        <f>S310-T310-W310</f>
        <v/>
      </c>
      <c r="Y310" s="36">
        <f>EXP((Mu-0.5*Sigma^2)/12+Sigma*SQRT(1/12)*INDEX(NormRand,ScenID,A310+1))-1</f>
        <v/>
      </c>
      <c r="Z310" s="34">
        <f>Y310*X310</f>
        <v/>
      </c>
      <c r="AA310" s="34">
        <f>X310+0.5*Z310</f>
        <v/>
      </c>
      <c r="AB310" s="34">
        <f>Q310*J310</f>
        <v/>
      </c>
      <c r="AC310" s="34">
        <f>Q310*L310</f>
        <v/>
      </c>
      <c r="AD310" s="34">
        <f>S310*N310</f>
        <v/>
      </c>
      <c r="AE310" s="34">
        <f>E310*N310</f>
        <v/>
      </c>
      <c r="AF310" s="34">
        <f>R310*N310</f>
        <v/>
      </c>
      <c r="AG310" s="29">
        <f>MAX(SumAssured,AA310)</f>
        <v/>
      </c>
      <c r="AH310" s="34">
        <f>AG310*O310</f>
        <v/>
      </c>
      <c r="AI310" s="34">
        <f>AA310*O310</f>
        <v/>
      </c>
      <c r="AJ310" s="34">
        <f>AA310*P310</f>
        <v/>
      </c>
      <c r="AK310" s="34">
        <f>I310*AA310*P310</f>
        <v/>
      </c>
      <c r="AL310" s="34">
        <f>AJ310-AK310</f>
        <v/>
      </c>
      <c r="AM310" s="34">
        <f>Q310*K310</f>
        <v/>
      </c>
      <c r="AN310" s="34">
        <f>AH310+AL310+AM310</f>
        <v/>
      </c>
      <c r="AO310" s="34">
        <f>(AG310-AA310)*O310</f>
        <v/>
      </c>
      <c r="AP310" s="34">
        <f>W310*N310</f>
        <v/>
      </c>
      <c r="AQ310" s="34">
        <f>T310*N310</f>
        <v/>
      </c>
      <c r="AR310" s="34">
        <f>Z310*J311+0.5*Z310*(O310+P310)</f>
        <v/>
      </c>
      <c r="AS310" s="30">
        <f>(1+InflationRate)^(A310/12)</f>
        <v/>
      </c>
      <c r="AT310" s="29">
        <f>ExpenseAcq*M310+N310*ExpenseMaint/12*AS310</f>
        <v/>
      </c>
      <c r="AU310" s="29">
        <f>CommissionRate*AE310</f>
        <v/>
      </c>
      <c r="AV310" s="34">
        <f>AB311-AB310</f>
        <v/>
      </c>
      <c r="AW310" s="34">
        <f>AE310+AR310-AN310-AT310-AU310-AV310</f>
        <v/>
      </c>
      <c r="AX310" s="29">
        <f>LoadPremRate*E310*N310+AK310+AQ310-AU310-AT310</f>
        <v/>
      </c>
      <c r="AY310" s="34">
        <f>AP310-AO310</f>
        <v/>
      </c>
      <c r="AZ310" s="37">
        <f>(AW310-AX310-AY310)/MAX(1,ABS(AW310),ABS(AX310),ABS(AY310))</f>
        <v/>
      </c>
      <c r="BA310" s="37">
        <f>IF(OR(K310&gt;0,K311&gt;0),0,(AC311-(AC310+AF310-AQ310-AP310+AR310-AI310-AJ310-AM310))/MAX(1,ABS(AC310),ABS(AC311)))</f>
        <v/>
      </c>
      <c r="BB310" s="35">
        <f>(1+INDEX(DiscRateAnn,INT(A310/12)+1))^(1/12)-1</f>
        <v/>
      </c>
      <c r="BC310" s="31">
        <f>(1+BB310)^-A310</f>
        <v/>
      </c>
      <c r="BD310" s="34">
        <f>AW310*BC310</f>
        <v/>
      </c>
    </row>
    <row r="311">
      <c r="A311" s="27">
        <f>A310+1</f>
        <v/>
      </c>
      <c r="B311" s="28">
        <f>Duration0+A311</f>
        <v/>
      </c>
      <c r="C311" s="27">
        <f>INT(B311/12)</f>
        <v/>
      </c>
      <c r="D311" s="28">
        <f>AgeAtEntry+C311</f>
        <v/>
      </c>
      <c r="E311" s="29">
        <f>IF(PremiumType="SINGLE",IF(B311=0,PremiumPPInput,0),IF(B311&lt;12*PolicyTerm,PremiumPPInput,0))</f>
        <v/>
      </c>
      <c r="F311" s="30">
        <f>INDEX(MortRates,MATCH(MIN(D311,120),MortAges,0),MAX(MIN(C311,5),0)+1)</f>
        <v/>
      </c>
      <c r="G311" s="31">
        <f>1-(1-F311)^(1/12)</f>
        <v/>
      </c>
      <c r="H311" s="32">
        <f>MAX(LapseBase-LapseStep*C311,LapseFloor)</f>
        <v/>
      </c>
      <c r="I311" s="32">
        <f>IF(HasSurrCharge,INDEX(SurrRates,MIN(C311,SurrDurMax)+1,MATCH(SurrChargeID,SurrTypes,0)),0)</f>
        <v/>
      </c>
      <c r="J311" s="33">
        <f>N310-P310-O310</f>
        <v/>
      </c>
      <c r="K311" s="30">
        <f>IF(B311=12*PolicyTerm,J311,0)</f>
        <v/>
      </c>
      <c r="L311" s="33">
        <f>J311-K311</f>
        <v/>
      </c>
      <c r="M311" s="30">
        <f>IF(B311=0,PolicyCount,0)</f>
        <v/>
      </c>
      <c r="N311" s="33">
        <f>L311+M311</f>
        <v/>
      </c>
      <c r="O311" s="31">
        <f>N311*G311</f>
        <v/>
      </c>
      <c r="P311" s="33">
        <f>(N311-O311)*(1-(1-H311)^(1/12))</f>
        <v/>
      </c>
      <c r="Q311" s="34">
        <f>X310+Z310</f>
        <v/>
      </c>
      <c r="R311" s="29">
        <f>(1-LoadPremRate)*E311</f>
        <v/>
      </c>
      <c r="S311" s="34">
        <f>Q311+R311</f>
        <v/>
      </c>
      <c r="T311" s="29">
        <f>MaintFeeRateAnn/12*S311</f>
        <v/>
      </c>
      <c r="U311" s="29">
        <f>MAX(SumAssured-S311,0)</f>
        <v/>
      </c>
      <c r="V311" s="35">
        <f>CoiMultiple*G311</f>
        <v/>
      </c>
      <c r="W311" s="34">
        <f>V311*U311</f>
        <v/>
      </c>
      <c r="X311" s="34">
        <f>S311-T311-W311</f>
        <v/>
      </c>
      <c r="Y311" s="36">
        <f>EXP((Mu-0.5*Sigma^2)/12+Sigma*SQRT(1/12)*INDEX(NormRand,ScenID,A311+1))-1</f>
        <v/>
      </c>
      <c r="Z311" s="34">
        <f>Y311*X311</f>
        <v/>
      </c>
      <c r="AA311" s="34">
        <f>X311+0.5*Z311</f>
        <v/>
      </c>
      <c r="AB311" s="34">
        <f>Q311*J311</f>
        <v/>
      </c>
      <c r="AC311" s="34">
        <f>Q311*L311</f>
        <v/>
      </c>
      <c r="AD311" s="34">
        <f>S311*N311</f>
        <v/>
      </c>
      <c r="AE311" s="34">
        <f>E311*N311</f>
        <v/>
      </c>
      <c r="AF311" s="34">
        <f>R311*N311</f>
        <v/>
      </c>
      <c r="AG311" s="29">
        <f>MAX(SumAssured,AA311)</f>
        <v/>
      </c>
      <c r="AH311" s="34">
        <f>AG311*O311</f>
        <v/>
      </c>
      <c r="AI311" s="34">
        <f>AA311*O311</f>
        <v/>
      </c>
      <c r="AJ311" s="34">
        <f>AA311*P311</f>
        <v/>
      </c>
      <c r="AK311" s="34">
        <f>I311*AA311*P311</f>
        <v/>
      </c>
      <c r="AL311" s="34">
        <f>AJ311-AK311</f>
        <v/>
      </c>
      <c r="AM311" s="34">
        <f>Q311*K311</f>
        <v/>
      </c>
      <c r="AN311" s="34">
        <f>AH311+AL311+AM311</f>
        <v/>
      </c>
      <c r="AO311" s="34">
        <f>(AG311-AA311)*O311</f>
        <v/>
      </c>
      <c r="AP311" s="34">
        <f>W311*N311</f>
        <v/>
      </c>
      <c r="AQ311" s="34">
        <f>T311*N311</f>
        <v/>
      </c>
      <c r="AR311" s="34">
        <f>Z311*J312+0.5*Z311*(O311+P311)</f>
        <v/>
      </c>
      <c r="AS311" s="30">
        <f>(1+InflationRate)^(A311/12)</f>
        <v/>
      </c>
      <c r="AT311" s="29">
        <f>ExpenseAcq*M311+N311*ExpenseMaint/12*AS311</f>
        <v/>
      </c>
      <c r="AU311" s="29">
        <f>CommissionRate*AE311</f>
        <v/>
      </c>
      <c r="AV311" s="34">
        <f>AB312-AB311</f>
        <v/>
      </c>
      <c r="AW311" s="34">
        <f>AE311+AR311-AN311-AT311-AU311-AV311</f>
        <v/>
      </c>
      <c r="AX311" s="29">
        <f>LoadPremRate*E311*N311+AK311+AQ311-AU311-AT311</f>
        <v/>
      </c>
      <c r="AY311" s="34">
        <f>AP311-AO311</f>
        <v/>
      </c>
      <c r="AZ311" s="37">
        <f>(AW311-AX311-AY311)/MAX(1,ABS(AW311),ABS(AX311),ABS(AY311))</f>
        <v/>
      </c>
      <c r="BA311" s="37">
        <f>IF(OR(K311&gt;0,K312&gt;0),0,(AC312-(AC311+AF311-AQ311-AP311+AR311-AI311-AJ311-AM311))/MAX(1,ABS(AC311),ABS(AC312)))</f>
        <v/>
      </c>
      <c r="BB311" s="35">
        <f>(1+INDEX(DiscRateAnn,INT(A311/12)+1))^(1/12)-1</f>
        <v/>
      </c>
      <c r="BC311" s="31">
        <f>(1+BB311)^-A311</f>
        <v/>
      </c>
      <c r="BD311" s="34">
        <f>AW311*BC311</f>
        <v/>
      </c>
    </row>
    <row r="312">
      <c r="A312" s="27">
        <f>A311+1</f>
        <v/>
      </c>
      <c r="B312" s="28">
        <f>Duration0+A312</f>
        <v/>
      </c>
      <c r="C312" s="27">
        <f>INT(B312/12)</f>
        <v/>
      </c>
      <c r="D312" s="28">
        <f>AgeAtEntry+C312</f>
        <v/>
      </c>
      <c r="E312" s="29">
        <f>IF(PremiumType="SINGLE",IF(B312=0,PremiumPPInput,0),IF(B312&lt;12*PolicyTerm,PremiumPPInput,0))</f>
        <v/>
      </c>
      <c r="F312" s="30">
        <f>INDEX(MortRates,MATCH(MIN(D312,120),MortAges,0),MAX(MIN(C312,5),0)+1)</f>
        <v/>
      </c>
      <c r="G312" s="31">
        <f>1-(1-F312)^(1/12)</f>
        <v/>
      </c>
      <c r="H312" s="32">
        <f>MAX(LapseBase-LapseStep*C312,LapseFloor)</f>
        <v/>
      </c>
      <c r="I312" s="32">
        <f>IF(HasSurrCharge,INDEX(SurrRates,MIN(C312,SurrDurMax)+1,MATCH(SurrChargeID,SurrTypes,0)),0)</f>
        <v/>
      </c>
      <c r="J312" s="33">
        <f>N311-P311-O311</f>
        <v/>
      </c>
      <c r="K312" s="30">
        <f>IF(B312=12*PolicyTerm,J312,0)</f>
        <v/>
      </c>
      <c r="L312" s="33">
        <f>J312-K312</f>
        <v/>
      </c>
      <c r="M312" s="30">
        <f>IF(B312=0,PolicyCount,0)</f>
        <v/>
      </c>
      <c r="N312" s="33">
        <f>L312+M312</f>
        <v/>
      </c>
      <c r="O312" s="31">
        <f>N312*G312</f>
        <v/>
      </c>
      <c r="P312" s="33">
        <f>(N312-O312)*(1-(1-H312)^(1/12))</f>
        <v/>
      </c>
      <c r="Q312" s="34">
        <f>X311+Z311</f>
        <v/>
      </c>
      <c r="R312" s="29">
        <f>(1-LoadPremRate)*E312</f>
        <v/>
      </c>
      <c r="S312" s="34">
        <f>Q312+R312</f>
        <v/>
      </c>
      <c r="T312" s="29">
        <f>MaintFeeRateAnn/12*S312</f>
        <v/>
      </c>
      <c r="U312" s="29">
        <f>MAX(SumAssured-S312,0)</f>
        <v/>
      </c>
      <c r="V312" s="35">
        <f>CoiMultiple*G312</f>
        <v/>
      </c>
      <c r="W312" s="34">
        <f>V312*U312</f>
        <v/>
      </c>
      <c r="X312" s="34">
        <f>S312-T312-W312</f>
        <v/>
      </c>
      <c r="Y312" s="36">
        <f>EXP((Mu-0.5*Sigma^2)/12+Sigma*SQRT(1/12)*INDEX(NormRand,ScenID,A312+1))-1</f>
        <v/>
      </c>
      <c r="Z312" s="34">
        <f>Y312*X312</f>
        <v/>
      </c>
      <c r="AA312" s="34">
        <f>X312+0.5*Z312</f>
        <v/>
      </c>
      <c r="AB312" s="34">
        <f>Q312*J312</f>
        <v/>
      </c>
      <c r="AC312" s="34">
        <f>Q312*L312</f>
        <v/>
      </c>
      <c r="AD312" s="34">
        <f>S312*N312</f>
        <v/>
      </c>
      <c r="AE312" s="34">
        <f>E312*N312</f>
        <v/>
      </c>
      <c r="AF312" s="34">
        <f>R312*N312</f>
        <v/>
      </c>
      <c r="AG312" s="29">
        <f>MAX(SumAssured,AA312)</f>
        <v/>
      </c>
      <c r="AH312" s="34">
        <f>AG312*O312</f>
        <v/>
      </c>
      <c r="AI312" s="34">
        <f>AA312*O312</f>
        <v/>
      </c>
      <c r="AJ312" s="34">
        <f>AA312*P312</f>
        <v/>
      </c>
      <c r="AK312" s="34">
        <f>I312*AA312*P312</f>
        <v/>
      </c>
      <c r="AL312" s="34">
        <f>AJ312-AK312</f>
        <v/>
      </c>
      <c r="AM312" s="34">
        <f>Q312*K312</f>
        <v/>
      </c>
      <c r="AN312" s="34">
        <f>AH312+AL312+AM312</f>
        <v/>
      </c>
      <c r="AO312" s="34">
        <f>(AG312-AA312)*O312</f>
        <v/>
      </c>
      <c r="AP312" s="34">
        <f>W312*N312</f>
        <v/>
      </c>
      <c r="AQ312" s="34">
        <f>T312*N312</f>
        <v/>
      </c>
      <c r="AR312" s="34">
        <f>Z312*J313+0.5*Z312*(O312+P312)</f>
        <v/>
      </c>
      <c r="AS312" s="30">
        <f>(1+InflationRate)^(A312/12)</f>
        <v/>
      </c>
      <c r="AT312" s="29">
        <f>ExpenseAcq*M312+N312*ExpenseMaint/12*AS312</f>
        <v/>
      </c>
      <c r="AU312" s="29">
        <f>CommissionRate*AE312</f>
        <v/>
      </c>
      <c r="AV312" s="34">
        <f>AB313-AB312</f>
        <v/>
      </c>
      <c r="AW312" s="34">
        <f>AE312+AR312-AN312-AT312-AU312-AV312</f>
        <v/>
      </c>
      <c r="AX312" s="29">
        <f>LoadPremRate*E312*N312+AK312+AQ312-AU312-AT312</f>
        <v/>
      </c>
      <c r="AY312" s="34">
        <f>AP312-AO312</f>
        <v/>
      </c>
      <c r="AZ312" s="37">
        <f>(AW312-AX312-AY312)/MAX(1,ABS(AW312),ABS(AX312),ABS(AY312))</f>
        <v/>
      </c>
      <c r="BA312" s="37">
        <f>IF(OR(K312&gt;0,K313&gt;0),0,(AC313-(AC312+AF312-AQ312-AP312+AR312-AI312-AJ312-AM312))/MAX(1,ABS(AC312),ABS(AC313)))</f>
        <v/>
      </c>
      <c r="BB312" s="35">
        <f>(1+INDEX(DiscRateAnn,INT(A312/12)+1))^(1/12)-1</f>
        <v/>
      </c>
      <c r="BC312" s="31">
        <f>(1+BB312)^-A312</f>
        <v/>
      </c>
      <c r="BD312" s="34">
        <f>AW312*BC312</f>
        <v/>
      </c>
    </row>
    <row r="313">
      <c r="A313" s="27">
        <f>A312+1</f>
        <v/>
      </c>
      <c r="B313" s="28">
        <f>Duration0+A313</f>
        <v/>
      </c>
      <c r="C313" s="27">
        <f>INT(B313/12)</f>
        <v/>
      </c>
      <c r="D313" s="28">
        <f>AgeAtEntry+C313</f>
        <v/>
      </c>
      <c r="E313" s="29">
        <f>IF(PremiumType="SINGLE",IF(B313=0,PremiumPPInput,0),IF(B313&lt;12*PolicyTerm,PremiumPPInput,0))</f>
        <v/>
      </c>
      <c r="F313" s="30">
        <f>INDEX(MortRates,MATCH(MIN(D313,120),MortAges,0),MAX(MIN(C313,5),0)+1)</f>
        <v/>
      </c>
      <c r="G313" s="31">
        <f>1-(1-F313)^(1/12)</f>
        <v/>
      </c>
      <c r="H313" s="32">
        <f>MAX(LapseBase-LapseStep*C313,LapseFloor)</f>
        <v/>
      </c>
      <c r="I313" s="32">
        <f>IF(HasSurrCharge,INDEX(SurrRates,MIN(C313,SurrDurMax)+1,MATCH(SurrChargeID,SurrTypes,0)),0)</f>
        <v/>
      </c>
      <c r="J313" s="33">
        <f>N312-P312-O312</f>
        <v/>
      </c>
      <c r="K313" s="30">
        <f>IF(B313=12*PolicyTerm,J313,0)</f>
        <v/>
      </c>
      <c r="L313" s="33">
        <f>J313-K313</f>
        <v/>
      </c>
      <c r="M313" s="30">
        <f>IF(B313=0,PolicyCount,0)</f>
        <v/>
      </c>
      <c r="N313" s="33">
        <f>L313+M313</f>
        <v/>
      </c>
      <c r="O313" s="31">
        <f>N313*G313</f>
        <v/>
      </c>
      <c r="P313" s="33">
        <f>(N313-O313)*(1-(1-H313)^(1/12))</f>
        <v/>
      </c>
      <c r="Q313" s="34">
        <f>X312+Z312</f>
        <v/>
      </c>
      <c r="R313" s="29">
        <f>(1-LoadPremRate)*E313</f>
        <v/>
      </c>
      <c r="S313" s="34">
        <f>Q313+R313</f>
        <v/>
      </c>
      <c r="T313" s="29">
        <f>MaintFeeRateAnn/12*S313</f>
        <v/>
      </c>
      <c r="U313" s="29">
        <f>MAX(SumAssured-S313,0)</f>
        <v/>
      </c>
      <c r="V313" s="35">
        <f>CoiMultiple*G313</f>
        <v/>
      </c>
      <c r="W313" s="34">
        <f>V313*U313</f>
        <v/>
      </c>
      <c r="X313" s="34">
        <f>S313-T313-W313</f>
        <v/>
      </c>
      <c r="Y313" s="36">
        <f>EXP((Mu-0.5*Sigma^2)/12+Sigma*SQRT(1/12)*INDEX(NormRand,ScenID,A313+1))-1</f>
        <v/>
      </c>
      <c r="Z313" s="34">
        <f>Y313*X313</f>
        <v/>
      </c>
      <c r="AA313" s="34">
        <f>X313+0.5*Z313</f>
        <v/>
      </c>
      <c r="AB313" s="34">
        <f>Q313*J313</f>
        <v/>
      </c>
      <c r="AC313" s="34">
        <f>Q313*L313</f>
        <v/>
      </c>
      <c r="AD313" s="34">
        <f>S313*N313</f>
        <v/>
      </c>
      <c r="AE313" s="34">
        <f>E313*N313</f>
        <v/>
      </c>
      <c r="AF313" s="34">
        <f>R313*N313</f>
        <v/>
      </c>
      <c r="AG313" s="29">
        <f>MAX(SumAssured,AA313)</f>
        <v/>
      </c>
      <c r="AH313" s="34">
        <f>AG313*O313</f>
        <v/>
      </c>
      <c r="AI313" s="34">
        <f>AA313*O313</f>
        <v/>
      </c>
      <c r="AJ313" s="34">
        <f>AA313*P313</f>
        <v/>
      </c>
      <c r="AK313" s="34">
        <f>I313*AA313*P313</f>
        <v/>
      </c>
      <c r="AL313" s="34">
        <f>AJ313-AK313</f>
        <v/>
      </c>
      <c r="AM313" s="34">
        <f>Q313*K313</f>
        <v/>
      </c>
      <c r="AN313" s="34">
        <f>AH313+AL313+AM313</f>
        <v/>
      </c>
      <c r="AO313" s="34">
        <f>(AG313-AA313)*O313</f>
        <v/>
      </c>
      <c r="AP313" s="34">
        <f>W313*N313</f>
        <v/>
      </c>
      <c r="AQ313" s="34">
        <f>T313*N313</f>
        <v/>
      </c>
      <c r="AR313" s="34">
        <f>Z313*J314+0.5*Z313*(O313+P313)</f>
        <v/>
      </c>
      <c r="AS313" s="30">
        <f>(1+InflationRate)^(A313/12)</f>
        <v/>
      </c>
      <c r="AT313" s="29">
        <f>ExpenseAcq*M313+N313*ExpenseMaint/12*AS313</f>
        <v/>
      </c>
      <c r="AU313" s="29">
        <f>CommissionRate*AE313</f>
        <v/>
      </c>
      <c r="AV313" s="34">
        <f>AB314-AB313</f>
        <v/>
      </c>
      <c r="AW313" s="34">
        <f>AE313+AR313-AN313-AT313-AU313-AV313</f>
        <v/>
      </c>
      <c r="AX313" s="29">
        <f>LoadPremRate*E313*N313+AK313+AQ313-AU313-AT313</f>
        <v/>
      </c>
      <c r="AY313" s="34">
        <f>AP313-AO313</f>
        <v/>
      </c>
      <c r="AZ313" s="37">
        <f>(AW313-AX313-AY313)/MAX(1,ABS(AW313),ABS(AX313),ABS(AY313))</f>
        <v/>
      </c>
      <c r="BA313" s="37">
        <f>IF(OR(K313&gt;0,K314&gt;0),0,(AC314-(AC313+AF313-AQ313-AP313+AR313-AI313-AJ313-AM313))/MAX(1,ABS(AC313),ABS(AC314)))</f>
        <v/>
      </c>
      <c r="BB313" s="35">
        <f>(1+INDEX(DiscRateAnn,INT(A313/12)+1))^(1/12)-1</f>
        <v/>
      </c>
      <c r="BC313" s="31">
        <f>(1+BB313)^-A313</f>
        <v/>
      </c>
      <c r="BD313" s="34">
        <f>AW313*BC313</f>
        <v/>
      </c>
    </row>
    <row r="314">
      <c r="A314" s="27">
        <f>A313+1</f>
        <v/>
      </c>
      <c r="B314" s="28">
        <f>Duration0+A314</f>
        <v/>
      </c>
      <c r="C314" s="27">
        <f>INT(B314/12)</f>
        <v/>
      </c>
      <c r="D314" s="28">
        <f>AgeAtEntry+C314</f>
        <v/>
      </c>
      <c r="E314" s="29">
        <f>IF(PremiumType="SINGLE",IF(B314=0,PremiumPPInput,0),IF(B314&lt;12*PolicyTerm,PremiumPPInput,0))</f>
        <v/>
      </c>
      <c r="F314" s="30">
        <f>INDEX(MortRates,MATCH(MIN(D314,120),MortAges,0),MAX(MIN(C314,5),0)+1)</f>
        <v/>
      </c>
      <c r="G314" s="31">
        <f>1-(1-F314)^(1/12)</f>
        <v/>
      </c>
      <c r="H314" s="32">
        <f>MAX(LapseBase-LapseStep*C314,LapseFloor)</f>
        <v/>
      </c>
      <c r="I314" s="32">
        <f>IF(HasSurrCharge,INDEX(SurrRates,MIN(C314,SurrDurMax)+1,MATCH(SurrChargeID,SurrTypes,0)),0)</f>
        <v/>
      </c>
      <c r="J314" s="33">
        <f>N313-P313-O313</f>
        <v/>
      </c>
      <c r="K314" s="30">
        <f>IF(B314=12*PolicyTerm,J314,0)</f>
        <v/>
      </c>
      <c r="L314" s="33">
        <f>J314-K314</f>
        <v/>
      </c>
      <c r="M314" s="30">
        <f>IF(B314=0,PolicyCount,0)</f>
        <v/>
      </c>
      <c r="N314" s="33">
        <f>L314+M314</f>
        <v/>
      </c>
      <c r="O314" s="31">
        <f>N314*G314</f>
        <v/>
      </c>
      <c r="P314" s="33">
        <f>(N314-O314)*(1-(1-H314)^(1/12))</f>
        <v/>
      </c>
      <c r="Q314" s="34">
        <f>X313+Z313</f>
        <v/>
      </c>
      <c r="R314" s="29">
        <f>(1-LoadPremRate)*E314</f>
        <v/>
      </c>
      <c r="S314" s="34">
        <f>Q314+R314</f>
        <v/>
      </c>
      <c r="T314" s="29">
        <f>MaintFeeRateAnn/12*S314</f>
        <v/>
      </c>
      <c r="U314" s="29">
        <f>MAX(SumAssured-S314,0)</f>
        <v/>
      </c>
      <c r="V314" s="35">
        <f>CoiMultiple*G314</f>
        <v/>
      </c>
      <c r="W314" s="34">
        <f>V314*U314</f>
        <v/>
      </c>
      <c r="X314" s="34">
        <f>S314-T314-W314</f>
        <v/>
      </c>
      <c r="Y314" s="36">
        <f>EXP((Mu-0.5*Sigma^2)/12+Sigma*SQRT(1/12)*INDEX(NormRand,ScenID,A314+1))-1</f>
        <v/>
      </c>
      <c r="Z314" s="34">
        <f>Y314*X314</f>
        <v/>
      </c>
      <c r="AA314" s="34">
        <f>X314+0.5*Z314</f>
        <v/>
      </c>
      <c r="AB314" s="34">
        <f>Q314*J314</f>
        <v/>
      </c>
      <c r="AC314" s="34">
        <f>Q314*L314</f>
        <v/>
      </c>
      <c r="AD314" s="34">
        <f>S314*N314</f>
        <v/>
      </c>
      <c r="AE314" s="34">
        <f>E314*N314</f>
        <v/>
      </c>
      <c r="AF314" s="34">
        <f>R314*N314</f>
        <v/>
      </c>
      <c r="AG314" s="29">
        <f>MAX(SumAssured,AA314)</f>
        <v/>
      </c>
      <c r="AH314" s="34">
        <f>AG314*O314</f>
        <v/>
      </c>
      <c r="AI314" s="34">
        <f>AA314*O314</f>
        <v/>
      </c>
      <c r="AJ314" s="34">
        <f>AA314*P314</f>
        <v/>
      </c>
      <c r="AK314" s="34">
        <f>I314*AA314*P314</f>
        <v/>
      </c>
      <c r="AL314" s="34">
        <f>AJ314-AK314</f>
        <v/>
      </c>
      <c r="AM314" s="34">
        <f>Q314*K314</f>
        <v/>
      </c>
      <c r="AN314" s="34">
        <f>AH314+AL314+AM314</f>
        <v/>
      </c>
      <c r="AO314" s="34">
        <f>(AG314-AA314)*O314</f>
        <v/>
      </c>
      <c r="AP314" s="34">
        <f>W314*N314</f>
        <v/>
      </c>
      <c r="AQ314" s="34">
        <f>T314*N314</f>
        <v/>
      </c>
      <c r="AR314" s="34">
        <f>Z314*J315+0.5*Z314*(O314+P314)</f>
        <v/>
      </c>
      <c r="AS314" s="30">
        <f>(1+InflationRate)^(A314/12)</f>
        <v/>
      </c>
      <c r="AT314" s="29">
        <f>ExpenseAcq*M314+N314*ExpenseMaint/12*AS314</f>
        <v/>
      </c>
      <c r="AU314" s="29">
        <f>CommissionRate*AE314</f>
        <v/>
      </c>
      <c r="AV314" s="34">
        <f>AB315-AB314</f>
        <v/>
      </c>
      <c r="AW314" s="34">
        <f>AE314+AR314-AN314-AT314-AU314-AV314</f>
        <v/>
      </c>
      <c r="AX314" s="29">
        <f>LoadPremRate*E314*N314+AK314+AQ314-AU314-AT314</f>
        <v/>
      </c>
      <c r="AY314" s="34">
        <f>AP314-AO314</f>
        <v/>
      </c>
      <c r="AZ314" s="37">
        <f>(AW314-AX314-AY314)/MAX(1,ABS(AW314),ABS(AX314),ABS(AY314))</f>
        <v/>
      </c>
      <c r="BA314" s="37">
        <f>IF(OR(K314&gt;0,K315&gt;0),0,(AC315-(AC314+AF314-AQ314-AP314+AR314-AI314-AJ314-AM314))/MAX(1,ABS(AC314),ABS(AC315)))</f>
        <v/>
      </c>
      <c r="BB314" s="35">
        <f>(1+INDEX(DiscRateAnn,INT(A314/12)+1))^(1/12)-1</f>
        <v/>
      </c>
      <c r="BC314" s="31">
        <f>(1+BB314)^-A314</f>
        <v/>
      </c>
      <c r="BD314" s="34">
        <f>AW314*BC314</f>
        <v/>
      </c>
    </row>
    <row r="315">
      <c r="A315" s="27">
        <f>A314+1</f>
        <v/>
      </c>
      <c r="B315" s="28">
        <f>Duration0+A315</f>
        <v/>
      </c>
      <c r="C315" s="27">
        <f>INT(B315/12)</f>
        <v/>
      </c>
      <c r="D315" s="28">
        <f>AgeAtEntry+C315</f>
        <v/>
      </c>
      <c r="E315" s="29">
        <f>IF(PremiumType="SINGLE",IF(B315=0,PremiumPPInput,0),IF(B315&lt;12*PolicyTerm,PremiumPPInput,0))</f>
        <v/>
      </c>
      <c r="F315" s="30">
        <f>INDEX(MortRates,MATCH(MIN(D315,120),MortAges,0),MAX(MIN(C315,5),0)+1)</f>
        <v/>
      </c>
      <c r="G315" s="31">
        <f>1-(1-F315)^(1/12)</f>
        <v/>
      </c>
      <c r="H315" s="32">
        <f>MAX(LapseBase-LapseStep*C315,LapseFloor)</f>
        <v/>
      </c>
      <c r="I315" s="32">
        <f>IF(HasSurrCharge,INDEX(SurrRates,MIN(C315,SurrDurMax)+1,MATCH(SurrChargeID,SurrTypes,0)),0)</f>
        <v/>
      </c>
      <c r="J315" s="33">
        <f>N314-P314-O314</f>
        <v/>
      </c>
      <c r="K315" s="30">
        <f>IF(B315=12*PolicyTerm,J315,0)</f>
        <v/>
      </c>
      <c r="L315" s="33">
        <f>J315-K315</f>
        <v/>
      </c>
      <c r="M315" s="30">
        <f>IF(B315=0,PolicyCount,0)</f>
        <v/>
      </c>
      <c r="N315" s="33">
        <f>L315+M315</f>
        <v/>
      </c>
      <c r="O315" s="31">
        <f>N315*G315</f>
        <v/>
      </c>
      <c r="P315" s="33">
        <f>(N315-O315)*(1-(1-H315)^(1/12))</f>
        <v/>
      </c>
      <c r="Q315" s="34">
        <f>X314+Z314</f>
        <v/>
      </c>
      <c r="R315" s="29">
        <f>(1-LoadPremRate)*E315</f>
        <v/>
      </c>
      <c r="S315" s="34">
        <f>Q315+R315</f>
        <v/>
      </c>
      <c r="T315" s="29">
        <f>MaintFeeRateAnn/12*S315</f>
        <v/>
      </c>
      <c r="U315" s="29">
        <f>MAX(SumAssured-S315,0)</f>
        <v/>
      </c>
      <c r="V315" s="35">
        <f>CoiMultiple*G315</f>
        <v/>
      </c>
      <c r="W315" s="34">
        <f>V315*U315</f>
        <v/>
      </c>
      <c r="X315" s="34">
        <f>S315-T315-W315</f>
        <v/>
      </c>
      <c r="Y315" s="36">
        <f>EXP((Mu-0.5*Sigma^2)/12+Sigma*SQRT(1/12)*INDEX(NormRand,ScenID,A315+1))-1</f>
        <v/>
      </c>
      <c r="Z315" s="34">
        <f>Y315*X315</f>
        <v/>
      </c>
      <c r="AA315" s="34">
        <f>X315+0.5*Z315</f>
        <v/>
      </c>
      <c r="AB315" s="34">
        <f>Q315*J315</f>
        <v/>
      </c>
      <c r="AC315" s="34">
        <f>Q315*L315</f>
        <v/>
      </c>
      <c r="AD315" s="34">
        <f>S315*N315</f>
        <v/>
      </c>
      <c r="AE315" s="34">
        <f>E315*N315</f>
        <v/>
      </c>
      <c r="AF315" s="34">
        <f>R315*N315</f>
        <v/>
      </c>
      <c r="AG315" s="29">
        <f>MAX(SumAssured,AA315)</f>
        <v/>
      </c>
      <c r="AH315" s="34">
        <f>AG315*O315</f>
        <v/>
      </c>
      <c r="AI315" s="34">
        <f>AA315*O315</f>
        <v/>
      </c>
      <c r="AJ315" s="34">
        <f>AA315*P315</f>
        <v/>
      </c>
      <c r="AK315" s="34">
        <f>I315*AA315*P315</f>
        <v/>
      </c>
      <c r="AL315" s="34">
        <f>AJ315-AK315</f>
        <v/>
      </c>
      <c r="AM315" s="34">
        <f>Q315*K315</f>
        <v/>
      </c>
      <c r="AN315" s="34">
        <f>AH315+AL315+AM315</f>
        <v/>
      </c>
      <c r="AO315" s="34">
        <f>(AG315-AA315)*O315</f>
        <v/>
      </c>
      <c r="AP315" s="34">
        <f>W315*N315</f>
        <v/>
      </c>
      <c r="AQ315" s="34">
        <f>T315*N315</f>
        <v/>
      </c>
      <c r="AR315" s="34">
        <f>Z315*J316+0.5*Z315*(O315+P315)</f>
        <v/>
      </c>
      <c r="AS315" s="30">
        <f>(1+InflationRate)^(A315/12)</f>
        <v/>
      </c>
      <c r="AT315" s="29">
        <f>ExpenseAcq*M315+N315*ExpenseMaint/12*AS315</f>
        <v/>
      </c>
      <c r="AU315" s="29">
        <f>CommissionRate*AE315</f>
        <v/>
      </c>
      <c r="AV315" s="34">
        <f>AB316-AB315</f>
        <v/>
      </c>
      <c r="AW315" s="34">
        <f>AE315+AR315-AN315-AT315-AU315-AV315</f>
        <v/>
      </c>
      <c r="AX315" s="29">
        <f>LoadPremRate*E315*N315+AK315+AQ315-AU315-AT315</f>
        <v/>
      </c>
      <c r="AY315" s="34">
        <f>AP315-AO315</f>
        <v/>
      </c>
      <c r="AZ315" s="37">
        <f>(AW315-AX315-AY315)/MAX(1,ABS(AW315),ABS(AX315),ABS(AY315))</f>
        <v/>
      </c>
      <c r="BA315" s="37">
        <f>IF(OR(K315&gt;0,K316&gt;0),0,(AC316-(AC315+AF315-AQ315-AP315+AR315-AI315-AJ315-AM315))/MAX(1,ABS(AC315),ABS(AC316)))</f>
        <v/>
      </c>
      <c r="BB315" s="35">
        <f>(1+INDEX(DiscRateAnn,INT(A315/12)+1))^(1/12)-1</f>
        <v/>
      </c>
      <c r="BC315" s="31">
        <f>(1+BB315)^-A315</f>
        <v/>
      </c>
      <c r="BD315" s="34">
        <f>AW315*BC315</f>
        <v/>
      </c>
    </row>
    <row r="316">
      <c r="A316" s="27">
        <f>A315+1</f>
        <v/>
      </c>
      <c r="B316" s="28">
        <f>Duration0+A316</f>
        <v/>
      </c>
      <c r="C316" s="27">
        <f>INT(B316/12)</f>
        <v/>
      </c>
      <c r="D316" s="28">
        <f>AgeAtEntry+C316</f>
        <v/>
      </c>
      <c r="E316" s="29">
        <f>IF(PremiumType="SINGLE",IF(B316=0,PremiumPPInput,0),IF(B316&lt;12*PolicyTerm,PremiumPPInput,0))</f>
        <v/>
      </c>
      <c r="F316" s="30">
        <f>INDEX(MortRates,MATCH(MIN(D316,120),MortAges,0),MAX(MIN(C316,5),0)+1)</f>
        <v/>
      </c>
      <c r="G316" s="31">
        <f>1-(1-F316)^(1/12)</f>
        <v/>
      </c>
      <c r="H316" s="32">
        <f>MAX(LapseBase-LapseStep*C316,LapseFloor)</f>
        <v/>
      </c>
      <c r="I316" s="32">
        <f>IF(HasSurrCharge,INDEX(SurrRates,MIN(C316,SurrDurMax)+1,MATCH(SurrChargeID,SurrTypes,0)),0)</f>
        <v/>
      </c>
      <c r="J316" s="33">
        <f>N315-P315-O315</f>
        <v/>
      </c>
      <c r="K316" s="30">
        <f>IF(B316=12*PolicyTerm,J316,0)</f>
        <v/>
      </c>
      <c r="L316" s="33">
        <f>J316-K316</f>
        <v/>
      </c>
      <c r="M316" s="30">
        <f>IF(B316=0,PolicyCount,0)</f>
        <v/>
      </c>
      <c r="N316" s="33">
        <f>L316+M316</f>
        <v/>
      </c>
      <c r="O316" s="31">
        <f>N316*G316</f>
        <v/>
      </c>
      <c r="P316" s="33">
        <f>(N316-O316)*(1-(1-H316)^(1/12))</f>
        <v/>
      </c>
      <c r="Q316" s="34">
        <f>X315+Z315</f>
        <v/>
      </c>
      <c r="R316" s="29">
        <f>(1-LoadPremRate)*E316</f>
        <v/>
      </c>
      <c r="S316" s="34">
        <f>Q316+R316</f>
        <v/>
      </c>
      <c r="T316" s="29">
        <f>MaintFeeRateAnn/12*S316</f>
        <v/>
      </c>
      <c r="U316" s="29">
        <f>MAX(SumAssured-S316,0)</f>
        <v/>
      </c>
      <c r="V316" s="35">
        <f>CoiMultiple*G316</f>
        <v/>
      </c>
      <c r="W316" s="34">
        <f>V316*U316</f>
        <v/>
      </c>
      <c r="X316" s="34">
        <f>S316-T316-W316</f>
        <v/>
      </c>
      <c r="Y316" s="36">
        <f>EXP((Mu-0.5*Sigma^2)/12+Sigma*SQRT(1/12)*INDEX(NormRand,ScenID,A316+1))-1</f>
        <v/>
      </c>
      <c r="Z316" s="34">
        <f>Y316*X316</f>
        <v/>
      </c>
      <c r="AA316" s="34">
        <f>X316+0.5*Z316</f>
        <v/>
      </c>
      <c r="AB316" s="34">
        <f>Q316*J316</f>
        <v/>
      </c>
      <c r="AC316" s="34">
        <f>Q316*L316</f>
        <v/>
      </c>
      <c r="AD316" s="34">
        <f>S316*N316</f>
        <v/>
      </c>
      <c r="AE316" s="34">
        <f>E316*N316</f>
        <v/>
      </c>
      <c r="AF316" s="34">
        <f>R316*N316</f>
        <v/>
      </c>
      <c r="AG316" s="29">
        <f>MAX(SumAssured,AA316)</f>
        <v/>
      </c>
      <c r="AH316" s="34">
        <f>AG316*O316</f>
        <v/>
      </c>
      <c r="AI316" s="34">
        <f>AA316*O316</f>
        <v/>
      </c>
      <c r="AJ316" s="34">
        <f>AA316*P316</f>
        <v/>
      </c>
      <c r="AK316" s="34">
        <f>I316*AA316*P316</f>
        <v/>
      </c>
      <c r="AL316" s="34">
        <f>AJ316-AK316</f>
        <v/>
      </c>
      <c r="AM316" s="34">
        <f>Q316*K316</f>
        <v/>
      </c>
      <c r="AN316" s="34">
        <f>AH316+AL316+AM316</f>
        <v/>
      </c>
      <c r="AO316" s="34">
        <f>(AG316-AA316)*O316</f>
        <v/>
      </c>
      <c r="AP316" s="34">
        <f>W316*N316</f>
        <v/>
      </c>
      <c r="AQ316" s="34">
        <f>T316*N316</f>
        <v/>
      </c>
      <c r="AR316" s="34">
        <f>Z316*J317+0.5*Z316*(O316+P316)</f>
        <v/>
      </c>
      <c r="AS316" s="30">
        <f>(1+InflationRate)^(A316/12)</f>
        <v/>
      </c>
      <c r="AT316" s="29">
        <f>ExpenseAcq*M316+N316*ExpenseMaint/12*AS316</f>
        <v/>
      </c>
      <c r="AU316" s="29">
        <f>CommissionRate*AE316</f>
        <v/>
      </c>
      <c r="AV316" s="34">
        <f>AB317-AB316</f>
        <v/>
      </c>
      <c r="AW316" s="34">
        <f>AE316+AR316-AN316-AT316-AU316-AV316</f>
        <v/>
      </c>
      <c r="AX316" s="29">
        <f>LoadPremRate*E316*N316+AK316+AQ316-AU316-AT316</f>
        <v/>
      </c>
      <c r="AY316" s="34">
        <f>AP316-AO316</f>
        <v/>
      </c>
      <c r="AZ316" s="37">
        <f>(AW316-AX316-AY316)/MAX(1,ABS(AW316),ABS(AX316),ABS(AY316))</f>
        <v/>
      </c>
      <c r="BA316" s="37">
        <f>IF(OR(K316&gt;0,K317&gt;0),0,(AC317-(AC316+AF316-AQ316-AP316+AR316-AI316-AJ316-AM316))/MAX(1,ABS(AC316),ABS(AC317)))</f>
        <v/>
      </c>
      <c r="BB316" s="35">
        <f>(1+INDEX(DiscRateAnn,INT(A316/12)+1))^(1/12)-1</f>
        <v/>
      </c>
      <c r="BC316" s="31">
        <f>(1+BB316)^-A316</f>
        <v/>
      </c>
      <c r="BD316" s="34">
        <f>AW316*BC316</f>
        <v/>
      </c>
    </row>
    <row r="317">
      <c r="A317" s="27">
        <f>A316+1</f>
        <v/>
      </c>
      <c r="B317" s="28">
        <f>Duration0+A317</f>
        <v/>
      </c>
      <c r="C317" s="27">
        <f>INT(B317/12)</f>
        <v/>
      </c>
      <c r="D317" s="28">
        <f>AgeAtEntry+C317</f>
        <v/>
      </c>
      <c r="E317" s="29">
        <f>IF(PremiumType="SINGLE",IF(B317=0,PremiumPPInput,0),IF(B317&lt;12*PolicyTerm,PremiumPPInput,0))</f>
        <v/>
      </c>
      <c r="F317" s="30">
        <f>INDEX(MortRates,MATCH(MIN(D317,120),MortAges,0),MAX(MIN(C317,5),0)+1)</f>
        <v/>
      </c>
      <c r="G317" s="31">
        <f>1-(1-F317)^(1/12)</f>
        <v/>
      </c>
      <c r="H317" s="32">
        <f>MAX(LapseBase-LapseStep*C317,LapseFloor)</f>
        <v/>
      </c>
      <c r="I317" s="32">
        <f>IF(HasSurrCharge,INDEX(SurrRates,MIN(C317,SurrDurMax)+1,MATCH(SurrChargeID,SurrTypes,0)),0)</f>
        <v/>
      </c>
      <c r="J317" s="33">
        <f>N316-P316-O316</f>
        <v/>
      </c>
      <c r="K317" s="30">
        <f>IF(B317=12*PolicyTerm,J317,0)</f>
        <v/>
      </c>
      <c r="L317" s="33">
        <f>J317-K317</f>
        <v/>
      </c>
      <c r="M317" s="30">
        <f>IF(B317=0,PolicyCount,0)</f>
        <v/>
      </c>
      <c r="N317" s="33">
        <f>L317+M317</f>
        <v/>
      </c>
      <c r="O317" s="31">
        <f>N317*G317</f>
        <v/>
      </c>
      <c r="P317" s="33">
        <f>(N317-O317)*(1-(1-H317)^(1/12))</f>
        <v/>
      </c>
      <c r="Q317" s="34">
        <f>X316+Z316</f>
        <v/>
      </c>
      <c r="R317" s="29">
        <f>(1-LoadPremRate)*E317</f>
        <v/>
      </c>
      <c r="S317" s="34">
        <f>Q317+R317</f>
        <v/>
      </c>
      <c r="T317" s="29">
        <f>MaintFeeRateAnn/12*S317</f>
        <v/>
      </c>
      <c r="U317" s="29">
        <f>MAX(SumAssured-S317,0)</f>
        <v/>
      </c>
      <c r="V317" s="35">
        <f>CoiMultiple*G317</f>
        <v/>
      </c>
      <c r="W317" s="34">
        <f>V317*U317</f>
        <v/>
      </c>
      <c r="X317" s="34">
        <f>S317-T317-W317</f>
        <v/>
      </c>
      <c r="Y317" s="36">
        <f>EXP((Mu-0.5*Sigma^2)/12+Sigma*SQRT(1/12)*INDEX(NormRand,ScenID,A317+1))-1</f>
        <v/>
      </c>
      <c r="Z317" s="34">
        <f>Y317*X317</f>
        <v/>
      </c>
      <c r="AA317" s="34">
        <f>X317+0.5*Z317</f>
        <v/>
      </c>
      <c r="AB317" s="34">
        <f>Q317*J317</f>
        <v/>
      </c>
      <c r="AC317" s="34">
        <f>Q317*L317</f>
        <v/>
      </c>
      <c r="AD317" s="34">
        <f>S317*N317</f>
        <v/>
      </c>
      <c r="AE317" s="34">
        <f>E317*N317</f>
        <v/>
      </c>
      <c r="AF317" s="34">
        <f>R317*N317</f>
        <v/>
      </c>
      <c r="AG317" s="29">
        <f>MAX(SumAssured,AA317)</f>
        <v/>
      </c>
      <c r="AH317" s="34">
        <f>AG317*O317</f>
        <v/>
      </c>
      <c r="AI317" s="34">
        <f>AA317*O317</f>
        <v/>
      </c>
      <c r="AJ317" s="34">
        <f>AA317*P317</f>
        <v/>
      </c>
      <c r="AK317" s="34">
        <f>I317*AA317*P317</f>
        <v/>
      </c>
      <c r="AL317" s="34">
        <f>AJ317-AK317</f>
        <v/>
      </c>
      <c r="AM317" s="34">
        <f>Q317*K317</f>
        <v/>
      </c>
      <c r="AN317" s="34">
        <f>AH317+AL317+AM317</f>
        <v/>
      </c>
      <c r="AO317" s="34">
        <f>(AG317-AA317)*O317</f>
        <v/>
      </c>
      <c r="AP317" s="34">
        <f>W317*N317</f>
        <v/>
      </c>
      <c r="AQ317" s="34">
        <f>T317*N317</f>
        <v/>
      </c>
      <c r="AR317" s="34">
        <f>Z317*J318+0.5*Z317*(O317+P317)</f>
        <v/>
      </c>
      <c r="AS317" s="30">
        <f>(1+InflationRate)^(A317/12)</f>
        <v/>
      </c>
      <c r="AT317" s="29">
        <f>ExpenseAcq*M317+N317*ExpenseMaint/12*AS317</f>
        <v/>
      </c>
      <c r="AU317" s="29">
        <f>CommissionRate*AE317</f>
        <v/>
      </c>
      <c r="AV317" s="34">
        <f>AB318-AB317</f>
        <v/>
      </c>
      <c r="AW317" s="34">
        <f>AE317+AR317-AN317-AT317-AU317-AV317</f>
        <v/>
      </c>
      <c r="AX317" s="29">
        <f>LoadPremRate*E317*N317+AK317+AQ317-AU317-AT317</f>
        <v/>
      </c>
      <c r="AY317" s="34">
        <f>AP317-AO317</f>
        <v/>
      </c>
      <c r="AZ317" s="37">
        <f>(AW317-AX317-AY317)/MAX(1,ABS(AW317),ABS(AX317),ABS(AY317))</f>
        <v/>
      </c>
      <c r="BA317" s="37">
        <f>IF(OR(K317&gt;0,K318&gt;0),0,(AC318-(AC317+AF317-AQ317-AP317+AR317-AI317-AJ317-AM317))/MAX(1,ABS(AC317),ABS(AC318)))</f>
        <v/>
      </c>
      <c r="BB317" s="35">
        <f>(1+INDEX(DiscRateAnn,INT(A317/12)+1))^(1/12)-1</f>
        <v/>
      </c>
      <c r="BC317" s="31">
        <f>(1+BB317)^-A317</f>
        <v/>
      </c>
      <c r="BD317" s="34">
        <f>AW317*BC317</f>
        <v/>
      </c>
    </row>
    <row r="318">
      <c r="A318" s="27">
        <f>A317+1</f>
        <v/>
      </c>
      <c r="B318" s="28">
        <f>Duration0+A318</f>
        <v/>
      </c>
      <c r="C318" s="27">
        <f>INT(B318/12)</f>
        <v/>
      </c>
      <c r="D318" s="28">
        <f>AgeAtEntry+C318</f>
        <v/>
      </c>
      <c r="E318" s="29">
        <f>IF(PremiumType="SINGLE",IF(B318=0,PremiumPPInput,0),IF(B318&lt;12*PolicyTerm,PremiumPPInput,0))</f>
        <v/>
      </c>
      <c r="F318" s="30">
        <f>INDEX(MortRates,MATCH(MIN(D318,120),MortAges,0),MAX(MIN(C318,5),0)+1)</f>
        <v/>
      </c>
      <c r="G318" s="31">
        <f>1-(1-F318)^(1/12)</f>
        <v/>
      </c>
      <c r="H318" s="32">
        <f>MAX(LapseBase-LapseStep*C318,LapseFloor)</f>
        <v/>
      </c>
      <c r="I318" s="32">
        <f>IF(HasSurrCharge,INDEX(SurrRates,MIN(C318,SurrDurMax)+1,MATCH(SurrChargeID,SurrTypes,0)),0)</f>
        <v/>
      </c>
      <c r="J318" s="33">
        <f>N317-P317-O317</f>
        <v/>
      </c>
      <c r="K318" s="30">
        <f>IF(B318=12*PolicyTerm,J318,0)</f>
        <v/>
      </c>
      <c r="L318" s="33">
        <f>J318-K318</f>
        <v/>
      </c>
      <c r="M318" s="30">
        <f>IF(B318=0,PolicyCount,0)</f>
        <v/>
      </c>
      <c r="N318" s="33">
        <f>L318+M318</f>
        <v/>
      </c>
      <c r="O318" s="31">
        <f>N318*G318</f>
        <v/>
      </c>
      <c r="P318" s="33">
        <f>(N318-O318)*(1-(1-H318)^(1/12))</f>
        <v/>
      </c>
      <c r="Q318" s="34">
        <f>X317+Z317</f>
        <v/>
      </c>
      <c r="R318" s="29">
        <f>(1-LoadPremRate)*E318</f>
        <v/>
      </c>
      <c r="S318" s="34">
        <f>Q318+R318</f>
        <v/>
      </c>
      <c r="T318" s="29">
        <f>MaintFeeRateAnn/12*S318</f>
        <v/>
      </c>
      <c r="U318" s="29">
        <f>MAX(SumAssured-S318,0)</f>
        <v/>
      </c>
      <c r="V318" s="35">
        <f>CoiMultiple*G318</f>
        <v/>
      </c>
      <c r="W318" s="34">
        <f>V318*U318</f>
        <v/>
      </c>
      <c r="X318" s="34">
        <f>S318-T318-W318</f>
        <v/>
      </c>
      <c r="Y318" s="36">
        <f>EXP((Mu-0.5*Sigma^2)/12+Sigma*SQRT(1/12)*INDEX(NormRand,ScenID,A318+1))-1</f>
        <v/>
      </c>
      <c r="Z318" s="34">
        <f>Y318*X318</f>
        <v/>
      </c>
      <c r="AA318" s="34">
        <f>X318+0.5*Z318</f>
        <v/>
      </c>
      <c r="AB318" s="34">
        <f>Q318*J318</f>
        <v/>
      </c>
      <c r="AC318" s="34">
        <f>Q318*L318</f>
        <v/>
      </c>
      <c r="AD318" s="34">
        <f>S318*N318</f>
        <v/>
      </c>
      <c r="AE318" s="34">
        <f>E318*N318</f>
        <v/>
      </c>
      <c r="AF318" s="34">
        <f>R318*N318</f>
        <v/>
      </c>
      <c r="AG318" s="29">
        <f>MAX(SumAssured,AA318)</f>
        <v/>
      </c>
      <c r="AH318" s="34">
        <f>AG318*O318</f>
        <v/>
      </c>
      <c r="AI318" s="34">
        <f>AA318*O318</f>
        <v/>
      </c>
      <c r="AJ318" s="34">
        <f>AA318*P318</f>
        <v/>
      </c>
      <c r="AK318" s="34">
        <f>I318*AA318*P318</f>
        <v/>
      </c>
      <c r="AL318" s="34">
        <f>AJ318-AK318</f>
        <v/>
      </c>
      <c r="AM318" s="34">
        <f>Q318*K318</f>
        <v/>
      </c>
      <c r="AN318" s="34">
        <f>AH318+AL318+AM318</f>
        <v/>
      </c>
      <c r="AO318" s="34">
        <f>(AG318-AA318)*O318</f>
        <v/>
      </c>
      <c r="AP318" s="34">
        <f>W318*N318</f>
        <v/>
      </c>
      <c r="AQ318" s="34">
        <f>T318*N318</f>
        <v/>
      </c>
      <c r="AR318" s="34">
        <f>Z318*J319+0.5*Z318*(O318+P318)</f>
        <v/>
      </c>
      <c r="AS318" s="30">
        <f>(1+InflationRate)^(A318/12)</f>
        <v/>
      </c>
      <c r="AT318" s="29">
        <f>ExpenseAcq*M318+N318*ExpenseMaint/12*AS318</f>
        <v/>
      </c>
      <c r="AU318" s="29">
        <f>CommissionRate*AE318</f>
        <v/>
      </c>
      <c r="AV318" s="34">
        <f>AB319-AB318</f>
        <v/>
      </c>
      <c r="AW318" s="34">
        <f>AE318+AR318-AN318-AT318-AU318-AV318</f>
        <v/>
      </c>
      <c r="AX318" s="29">
        <f>LoadPremRate*E318*N318+AK318+AQ318-AU318-AT318</f>
        <v/>
      </c>
      <c r="AY318" s="34">
        <f>AP318-AO318</f>
        <v/>
      </c>
      <c r="AZ318" s="37">
        <f>(AW318-AX318-AY318)/MAX(1,ABS(AW318),ABS(AX318),ABS(AY318))</f>
        <v/>
      </c>
      <c r="BA318" s="37">
        <f>IF(OR(K318&gt;0,K319&gt;0),0,(AC319-(AC318+AF318-AQ318-AP318+AR318-AI318-AJ318-AM318))/MAX(1,ABS(AC318),ABS(AC319)))</f>
        <v/>
      </c>
      <c r="BB318" s="35">
        <f>(1+INDEX(DiscRateAnn,INT(A318/12)+1))^(1/12)-1</f>
        <v/>
      </c>
      <c r="BC318" s="31">
        <f>(1+BB318)^-A318</f>
        <v/>
      </c>
      <c r="BD318" s="34">
        <f>AW318*BC318</f>
        <v/>
      </c>
    </row>
    <row r="319">
      <c r="A319" s="27">
        <f>A318+1</f>
        <v/>
      </c>
      <c r="B319" s="28">
        <f>Duration0+A319</f>
        <v/>
      </c>
      <c r="C319" s="27">
        <f>INT(B319/12)</f>
        <v/>
      </c>
      <c r="D319" s="28">
        <f>AgeAtEntry+C319</f>
        <v/>
      </c>
      <c r="E319" s="29">
        <f>IF(PremiumType="SINGLE",IF(B319=0,PremiumPPInput,0),IF(B319&lt;12*PolicyTerm,PremiumPPInput,0))</f>
        <v/>
      </c>
      <c r="F319" s="30">
        <f>INDEX(MortRates,MATCH(MIN(D319,120),MortAges,0),MAX(MIN(C319,5),0)+1)</f>
        <v/>
      </c>
      <c r="G319" s="31">
        <f>1-(1-F319)^(1/12)</f>
        <v/>
      </c>
      <c r="H319" s="32">
        <f>MAX(LapseBase-LapseStep*C319,LapseFloor)</f>
        <v/>
      </c>
      <c r="I319" s="32">
        <f>IF(HasSurrCharge,INDEX(SurrRates,MIN(C319,SurrDurMax)+1,MATCH(SurrChargeID,SurrTypes,0)),0)</f>
        <v/>
      </c>
      <c r="J319" s="33">
        <f>N318-P318-O318</f>
        <v/>
      </c>
      <c r="K319" s="30">
        <f>IF(B319=12*PolicyTerm,J319,0)</f>
        <v/>
      </c>
      <c r="L319" s="33">
        <f>J319-K319</f>
        <v/>
      </c>
      <c r="M319" s="30">
        <f>IF(B319=0,PolicyCount,0)</f>
        <v/>
      </c>
      <c r="N319" s="33">
        <f>L319+M319</f>
        <v/>
      </c>
      <c r="O319" s="31">
        <f>N319*G319</f>
        <v/>
      </c>
      <c r="P319" s="33">
        <f>(N319-O319)*(1-(1-H319)^(1/12))</f>
        <v/>
      </c>
      <c r="Q319" s="34">
        <f>X318+Z318</f>
        <v/>
      </c>
      <c r="R319" s="29">
        <f>(1-LoadPremRate)*E319</f>
        <v/>
      </c>
      <c r="S319" s="34">
        <f>Q319+R319</f>
        <v/>
      </c>
      <c r="T319" s="29">
        <f>MaintFeeRateAnn/12*S319</f>
        <v/>
      </c>
      <c r="U319" s="29">
        <f>MAX(SumAssured-S319,0)</f>
        <v/>
      </c>
      <c r="V319" s="35">
        <f>CoiMultiple*G319</f>
        <v/>
      </c>
      <c r="W319" s="34">
        <f>V319*U319</f>
        <v/>
      </c>
      <c r="X319" s="34">
        <f>S319-T319-W319</f>
        <v/>
      </c>
      <c r="Y319" s="36">
        <f>EXP((Mu-0.5*Sigma^2)/12+Sigma*SQRT(1/12)*INDEX(NormRand,ScenID,A319+1))-1</f>
        <v/>
      </c>
      <c r="Z319" s="34">
        <f>Y319*X319</f>
        <v/>
      </c>
      <c r="AA319" s="34">
        <f>X319+0.5*Z319</f>
        <v/>
      </c>
      <c r="AB319" s="34">
        <f>Q319*J319</f>
        <v/>
      </c>
      <c r="AC319" s="34">
        <f>Q319*L319</f>
        <v/>
      </c>
      <c r="AD319" s="34">
        <f>S319*N319</f>
        <v/>
      </c>
      <c r="AE319" s="34">
        <f>E319*N319</f>
        <v/>
      </c>
      <c r="AF319" s="34">
        <f>R319*N319</f>
        <v/>
      </c>
      <c r="AG319" s="29">
        <f>MAX(SumAssured,AA319)</f>
        <v/>
      </c>
      <c r="AH319" s="34">
        <f>AG319*O319</f>
        <v/>
      </c>
      <c r="AI319" s="34">
        <f>AA319*O319</f>
        <v/>
      </c>
      <c r="AJ319" s="34">
        <f>AA319*P319</f>
        <v/>
      </c>
      <c r="AK319" s="34">
        <f>I319*AA319*P319</f>
        <v/>
      </c>
      <c r="AL319" s="34">
        <f>AJ319-AK319</f>
        <v/>
      </c>
      <c r="AM319" s="34">
        <f>Q319*K319</f>
        <v/>
      </c>
      <c r="AN319" s="34">
        <f>AH319+AL319+AM319</f>
        <v/>
      </c>
      <c r="AO319" s="34">
        <f>(AG319-AA319)*O319</f>
        <v/>
      </c>
      <c r="AP319" s="34">
        <f>W319*N319</f>
        <v/>
      </c>
      <c r="AQ319" s="34">
        <f>T319*N319</f>
        <v/>
      </c>
      <c r="AR319" s="34">
        <f>Z319*J320+0.5*Z319*(O319+P319)</f>
        <v/>
      </c>
      <c r="AS319" s="30">
        <f>(1+InflationRate)^(A319/12)</f>
        <v/>
      </c>
      <c r="AT319" s="29">
        <f>ExpenseAcq*M319+N319*ExpenseMaint/12*AS319</f>
        <v/>
      </c>
      <c r="AU319" s="29">
        <f>CommissionRate*AE319</f>
        <v/>
      </c>
      <c r="AV319" s="34">
        <f>AB320-AB319</f>
        <v/>
      </c>
      <c r="AW319" s="34">
        <f>AE319+AR319-AN319-AT319-AU319-AV319</f>
        <v/>
      </c>
      <c r="AX319" s="29">
        <f>LoadPremRate*E319*N319+AK319+AQ319-AU319-AT319</f>
        <v/>
      </c>
      <c r="AY319" s="34">
        <f>AP319-AO319</f>
        <v/>
      </c>
      <c r="AZ319" s="37">
        <f>(AW319-AX319-AY319)/MAX(1,ABS(AW319),ABS(AX319),ABS(AY319))</f>
        <v/>
      </c>
      <c r="BA319" s="37">
        <f>IF(OR(K319&gt;0,K320&gt;0),0,(AC320-(AC319+AF319-AQ319-AP319+AR319-AI319-AJ319-AM319))/MAX(1,ABS(AC319),ABS(AC320)))</f>
        <v/>
      </c>
      <c r="BB319" s="35">
        <f>(1+INDEX(DiscRateAnn,INT(A319/12)+1))^(1/12)-1</f>
        <v/>
      </c>
      <c r="BC319" s="31">
        <f>(1+BB319)^-A319</f>
        <v/>
      </c>
      <c r="BD319" s="34">
        <f>AW319*BC319</f>
        <v/>
      </c>
    </row>
    <row r="320">
      <c r="A320" s="27">
        <f>A319+1</f>
        <v/>
      </c>
      <c r="B320" s="28">
        <f>Duration0+A320</f>
        <v/>
      </c>
      <c r="C320" s="27">
        <f>INT(B320/12)</f>
        <v/>
      </c>
      <c r="D320" s="28">
        <f>AgeAtEntry+C320</f>
        <v/>
      </c>
      <c r="E320" s="29">
        <f>IF(PremiumType="SINGLE",IF(B320=0,PremiumPPInput,0),IF(B320&lt;12*PolicyTerm,PremiumPPInput,0))</f>
        <v/>
      </c>
      <c r="F320" s="30">
        <f>INDEX(MortRates,MATCH(MIN(D320,120),MortAges,0),MAX(MIN(C320,5),0)+1)</f>
        <v/>
      </c>
      <c r="G320" s="31">
        <f>1-(1-F320)^(1/12)</f>
        <v/>
      </c>
      <c r="H320" s="32">
        <f>MAX(LapseBase-LapseStep*C320,LapseFloor)</f>
        <v/>
      </c>
      <c r="I320" s="32">
        <f>IF(HasSurrCharge,INDEX(SurrRates,MIN(C320,SurrDurMax)+1,MATCH(SurrChargeID,SurrTypes,0)),0)</f>
        <v/>
      </c>
      <c r="J320" s="33">
        <f>N319-P319-O319</f>
        <v/>
      </c>
      <c r="K320" s="30">
        <f>IF(B320=12*PolicyTerm,J320,0)</f>
        <v/>
      </c>
      <c r="L320" s="33">
        <f>J320-K320</f>
        <v/>
      </c>
      <c r="M320" s="30">
        <f>IF(B320=0,PolicyCount,0)</f>
        <v/>
      </c>
      <c r="N320" s="33">
        <f>L320+M320</f>
        <v/>
      </c>
      <c r="O320" s="31">
        <f>N320*G320</f>
        <v/>
      </c>
      <c r="P320" s="33">
        <f>(N320-O320)*(1-(1-H320)^(1/12))</f>
        <v/>
      </c>
      <c r="Q320" s="34">
        <f>X319+Z319</f>
        <v/>
      </c>
      <c r="R320" s="29">
        <f>(1-LoadPremRate)*E320</f>
        <v/>
      </c>
      <c r="S320" s="34">
        <f>Q320+R320</f>
        <v/>
      </c>
      <c r="T320" s="29">
        <f>MaintFeeRateAnn/12*S320</f>
        <v/>
      </c>
      <c r="U320" s="29">
        <f>MAX(SumAssured-S320,0)</f>
        <v/>
      </c>
      <c r="V320" s="35">
        <f>CoiMultiple*G320</f>
        <v/>
      </c>
      <c r="W320" s="34">
        <f>V320*U320</f>
        <v/>
      </c>
      <c r="X320" s="34">
        <f>S320-T320-W320</f>
        <v/>
      </c>
      <c r="Y320" s="36">
        <f>EXP((Mu-0.5*Sigma^2)/12+Sigma*SQRT(1/12)*INDEX(NormRand,ScenID,A320+1))-1</f>
        <v/>
      </c>
      <c r="Z320" s="34">
        <f>Y320*X320</f>
        <v/>
      </c>
      <c r="AA320" s="34">
        <f>X320+0.5*Z320</f>
        <v/>
      </c>
      <c r="AB320" s="34">
        <f>Q320*J320</f>
        <v/>
      </c>
      <c r="AC320" s="34">
        <f>Q320*L320</f>
        <v/>
      </c>
      <c r="AD320" s="34">
        <f>S320*N320</f>
        <v/>
      </c>
      <c r="AE320" s="34">
        <f>E320*N320</f>
        <v/>
      </c>
      <c r="AF320" s="34">
        <f>R320*N320</f>
        <v/>
      </c>
      <c r="AG320" s="29">
        <f>MAX(SumAssured,AA320)</f>
        <v/>
      </c>
      <c r="AH320" s="34">
        <f>AG320*O320</f>
        <v/>
      </c>
      <c r="AI320" s="34">
        <f>AA320*O320</f>
        <v/>
      </c>
      <c r="AJ320" s="34">
        <f>AA320*P320</f>
        <v/>
      </c>
      <c r="AK320" s="34">
        <f>I320*AA320*P320</f>
        <v/>
      </c>
      <c r="AL320" s="34">
        <f>AJ320-AK320</f>
        <v/>
      </c>
      <c r="AM320" s="34">
        <f>Q320*K320</f>
        <v/>
      </c>
      <c r="AN320" s="34">
        <f>AH320+AL320+AM320</f>
        <v/>
      </c>
      <c r="AO320" s="34">
        <f>(AG320-AA320)*O320</f>
        <v/>
      </c>
      <c r="AP320" s="34">
        <f>W320*N320</f>
        <v/>
      </c>
      <c r="AQ320" s="34">
        <f>T320*N320</f>
        <v/>
      </c>
      <c r="AR320" s="34">
        <f>Z320*J321+0.5*Z320*(O320+P320)</f>
        <v/>
      </c>
      <c r="AS320" s="30">
        <f>(1+InflationRate)^(A320/12)</f>
        <v/>
      </c>
      <c r="AT320" s="29">
        <f>ExpenseAcq*M320+N320*ExpenseMaint/12*AS320</f>
        <v/>
      </c>
      <c r="AU320" s="29">
        <f>CommissionRate*AE320</f>
        <v/>
      </c>
      <c r="AV320" s="34">
        <f>AB321-AB320</f>
        <v/>
      </c>
      <c r="AW320" s="34">
        <f>AE320+AR320-AN320-AT320-AU320-AV320</f>
        <v/>
      </c>
      <c r="AX320" s="29">
        <f>LoadPremRate*E320*N320+AK320+AQ320-AU320-AT320</f>
        <v/>
      </c>
      <c r="AY320" s="34">
        <f>AP320-AO320</f>
        <v/>
      </c>
      <c r="AZ320" s="37">
        <f>(AW320-AX320-AY320)/MAX(1,ABS(AW320),ABS(AX320),ABS(AY320))</f>
        <v/>
      </c>
      <c r="BA320" s="37">
        <f>IF(OR(K320&gt;0,K321&gt;0),0,(AC321-(AC320+AF320-AQ320-AP320+AR320-AI320-AJ320-AM320))/MAX(1,ABS(AC320),ABS(AC321)))</f>
        <v/>
      </c>
      <c r="BB320" s="35">
        <f>(1+INDEX(DiscRateAnn,INT(A320/12)+1))^(1/12)-1</f>
        <v/>
      </c>
      <c r="BC320" s="31">
        <f>(1+BB320)^-A320</f>
        <v/>
      </c>
      <c r="BD320" s="34">
        <f>AW320*BC320</f>
        <v/>
      </c>
    </row>
    <row r="321">
      <c r="A321" s="27">
        <f>A320+1</f>
        <v/>
      </c>
      <c r="B321" s="28">
        <f>Duration0+A321</f>
        <v/>
      </c>
      <c r="C321" s="27">
        <f>INT(B321/12)</f>
        <v/>
      </c>
      <c r="D321" s="28">
        <f>AgeAtEntry+C321</f>
        <v/>
      </c>
      <c r="E321" s="29">
        <f>IF(PremiumType="SINGLE",IF(B321=0,PremiumPPInput,0),IF(B321&lt;12*PolicyTerm,PremiumPPInput,0))</f>
        <v/>
      </c>
      <c r="F321" s="30">
        <f>INDEX(MortRates,MATCH(MIN(D321,120),MortAges,0),MAX(MIN(C321,5),0)+1)</f>
        <v/>
      </c>
      <c r="G321" s="31">
        <f>1-(1-F321)^(1/12)</f>
        <v/>
      </c>
      <c r="H321" s="32">
        <f>MAX(LapseBase-LapseStep*C321,LapseFloor)</f>
        <v/>
      </c>
      <c r="I321" s="32">
        <f>IF(HasSurrCharge,INDEX(SurrRates,MIN(C321,SurrDurMax)+1,MATCH(SurrChargeID,SurrTypes,0)),0)</f>
        <v/>
      </c>
      <c r="J321" s="33">
        <f>N320-P320-O320</f>
        <v/>
      </c>
      <c r="K321" s="30">
        <f>IF(B321=12*PolicyTerm,J321,0)</f>
        <v/>
      </c>
      <c r="L321" s="33">
        <f>J321-K321</f>
        <v/>
      </c>
      <c r="M321" s="30">
        <f>IF(B321=0,PolicyCount,0)</f>
        <v/>
      </c>
      <c r="N321" s="33">
        <f>L321+M321</f>
        <v/>
      </c>
      <c r="O321" s="31">
        <f>N321*G321</f>
        <v/>
      </c>
      <c r="P321" s="33">
        <f>(N321-O321)*(1-(1-H321)^(1/12))</f>
        <v/>
      </c>
      <c r="Q321" s="34">
        <f>X320+Z320</f>
        <v/>
      </c>
      <c r="R321" s="29">
        <f>(1-LoadPremRate)*E321</f>
        <v/>
      </c>
      <c r="S321" s="34">
        <f>Q321+R321</f>
        <v/>
      </c>
      <c r="T321" s="29">
        <f>MaintFeeRateAnn/12*S321</f>
        <v/>
      </c>
      <c r="U321" s="29">
        <f>MAX(SumAssured-S321,0)</f>
        <v/>
      </c>
      <c r="V321" s="35">
        <f>CoiMultiple*G321</f>
        <v/>
      </c>
      <c r="W321" s="34">
        <f>V321*U321</f>
        <v/>
      </c>
      <c r="X321" s="34">
        <f>S321-T321-W321</f>
        <v/>
      </c>
      <c r="Y321" s="36">
        <f>EXP((Mu-0.5*Sigma^2)/12+Sigma*SQRT(1/12)*INDEX(NormRand,ScenID,A321+1))-1</f>
        <v/>
      </c>
      <c r="Z321" s="34">
        <f>Y321*X321</f>
        <v/>
      </c>
      <c r="AA321" s="34">
        <f>X321+0.5*Z321</f>
        <v/>
      </c>
      <c r="AB321" s="34">
        <f>Q321*J321</f>
        <v/>
      </c>
      <c r="AC321" s="34">
        <f>Q321*L321</f>
        <v/>
      </c>
      <c r="AD321" s="34">
        <f>S321*N321</f>
        <v/>
      </c>
      <c r="AE321" s="34">
        <f>E321*N321</f>
        <v/>
      </c>
      <c r="AF321" s="34">
        <f>R321*N321</f>
        <v/>
      </c>
      <c r="AG321" s="29">
        <f>MAX(SumAssured,AA321)</f>
        <v/>
      </c>
      <c r="AH321" s="34">
        <f>AG321*O321</f>
        <v/>
      </c>
      <c r="AI321" s="34">
        <f>AA321*O321</f>
        <v/>
      </c>
      <c r="AJ321" s="34">
        <f>AA321*P321</f>
        <v/>
      </c>
      <c r="AK321" s="34">
        <f>I321*AA321*P321</f>
        <v/>
      </c>
      <c r="AL321" s="34">
        <f>AJ321-AK321</f>
        <v/>
      </c>
      <c r="AM321" s="34">
        <f>Q321*K321</f>
        <v/>
      </c>
      <c r="AN321" s="34">
        <f>AH321+AL321+AM321</f>
        <v/>
      </c>
      <c r="AO321" s="34">
        <f>(AG321-AA321)*O321</f>
        <v/>
      </c>
      <c r="AP321" s="34">
        <f>W321*N321</f>
        <v/>
      </c>
      <c r="AQ321" s="34">
        <f>T321*N321</f>
        <v/>
      </c>
      <c r="AR321" s="34">
        <f>Z321*J322+0.5*Z321*(O321+P321)</f>
        <v/>
      </c>
      <c r="AS321" s="30">
        <f>(1+InflationRate)^(A321/12)</f>
        <v/>
      </c>
      <c r="AT321" s="29">
        <f>ExpenseAcq*M321+N321*ExpenseMaint/12*AS321</f>
        <v/>
      </c>
      <c r="AU321" s="29">
        <f>CommissionRate*AE321</f>
        <v/>
      </c>
      <c r="AV321" s="34">
        <f>AB322-AB321</f>
        <v/>
      </c>
      <c r="AW321" s="34">
        <f>AE321+AR321-AN321-AT321-AU321-AV321</f>
        <v/>
      </c>
      <c r="AX321" s="29">
        <f>LoadPremRate*E321*N321+AK321+AQ321-AU321-AT321</f>
        <v/>
      </c>
      <c r="AY321" s="34">
        <f>AP321-AO321</f>
        <v/>
      </c>
      <c r="AZ321" s="37">
        <f>(AW321-AX321-AY321)/MAX(1,ABS(AW321),ABS(AX321),ABS(AY321))</f>
        <v/>
      </c>
      <c r="BA321" s="37">
        <f>IF(OR(K321&gt;0,K322&gt;0),0,(AC322-(AC321+AF321-AQ321-AP321+AR321-AI321-AJ321-AM321))/MAX(1,ABS(AC321),ABS(AC322)))</f>
        <v/>
      </c>
      <c r="BB321" s="35">
        <f>(1+INDEX(DiscRateAnn,INT(A321/12)+1))^(1/12)-1</f>
        <v/>
      </c>
      <c r="BC321" s="31">
        <f>(1+BB321)^-A321</f>
        <v/>
      </c>
      <c r="BD321" s="34">
        <f>AW321*BC321</f>
        <v/>
      </c>
    </row>
    <row r="322">
      <c r="A322" s="27">
        <f>A321+1</f>
        <v/>
      </c>
      <c r="B322" s="28">
        <f>Duration0+A322</f>
        <v/>
      </c>
      <c r="C322" s="27">
        <f>INT(B322/12)</f>
        <v/>
      </c>
      <c r="D322" s="28">
        <f>AgeAtEntry+C322</f>
        <v/>
      </c>
      <c r="E322" s="29">
        <f>IF(PremiumType="SINGLE",IF(B322=0,PremiumPPInput,0),IF(B322&lt;12*PolicyTerm,PremiumPPInput,0))</f>
        <v/>
      </c>
      <c r="F322" s="30">
        <f>INDEX(MortRates,MATCH(MIN(D322,120),MortAges,0),MAX(MIN(C322,5),0)+1)</f>
        <v/>
      </c>
      <c r="G322" s="31">
        <f>1-(1-F322)^(1/12)</f>
        <v/>
      </c>
      <c r="H322" s="32">
        <f>MAX(LapseBase-LapseStep*C322,LapseFloor)</f>
        <v/>
      </c>
      <c r="I322" s="32">
        <f>IF(HasSurrCharge,INDEX(SurrRates,MIN(C322,SurrDurMax)+1,MATCH(SurrChargeID,SurrTypes,0)),0)</f>
        <v/>
      </c>
      <c r="J322" s="33">
        <f>N321-P321-O321</f>
        <v/>
      </c>
      <c r="K322" s="30">
        <f>IF(B322=12*PolicyTerm,J322,0)</f>
        <v/>
      </c>
      <c r="L322" s="33">
        <f>J322-K322</f>
        <v/>
      </c>
      <c r="M322" s="30">
        <f>IF(B322=0,PolicyCount,0)</f>
        <v/>
      </c>
      <c r="N322" s="33">
        <f>L322+M322</f>
        <v/>
      </c>
      <c r="O322" s="31">
        <f>N322*G322</f>
        <v/>
      </c>
      <c r="P322" s="33">
        <f>(N322-O322)*(1-(1-H322)^(1/12))</f>
        <v/>
      </c>
      <c r="Q322" s="34">
        <f>X321+Z321</f>
        <v/>
      </c>
      <c r="R322" s="29">
        <f>(1-LoadPremRate)*E322</f>
        <v/>
      </c>
      <c r="S322" s="34">
        <f>Q322+R322</f>
        <v/>
      </c>
      <c r="T322" s="29">
        <f>MaintFeeRateAnn/12*S322</f>
        <v/>
      </c>
      <c r="U322" s="29">
        <f>MAX(SumAssured-S322,0)</f>
        <v/>
      </c>
      <c r="V322" s="35">
        <f>CoiMultiple*G322</f>
        <v/>
      </c>
      <c r="W322" s="34">
        <f>V322*U322</f>
        <v/>
      </c>
      <c r="X322" s="34">
        <f>S322-T322-W322</f>
        <v/>
      </c>
      <c r="Y322" s="36">
        <f>EXP((Mu-0.5*Sigma^2)/12+Sigma*SQRT(1/12)*INDEX(NormRand,ScenID,A322+1))-1</f>
        <v/>
      </c>
      <c r="Z322" s="34">
        <f>Y322*X322</f>
        <v/>
      </c>
      <c r="AA322" s="34">
        <f>X322+0.5*Z322</f>
        <v/>
      </c>
      <c r="AB322" s="34">
        <f>Q322*J322</f>
        <v/>
      </c>
      <c r="AC322" s="34">
        <f>Q322*L322</f>
        <v/>
      </c>
      <c r="AD322" s="34">
        <f>S322*N322</f>
        <v/>
      </c>
      <c r="AE322" s="34">
        <f>E322*N322</f>
        <v/>
      </c>
      <c r="AF322" s="34">
        <f>R322*N322</f>
        <v/>
      </c>
      <c r="AG322" s="29">
        <f>MAX(SumAssured,AA322)</f>
        <v/>
      </c>
      <c r="AH322" s="34">
        <f>AG322*O322</f>
        <v/>
      </c>
      <c r="AI322" s="34">
        <f>AA322*O322</f>
        <v/>
      </c>
      <c r="AJ322" s="34">
        <f>AA322*P322</f>
        <v/>
      </c>
      <c r="AK322" s="34">
        <f>I322*AA322*P322</f>
        <v/>
      </c>
      <c r="AL322" s="34">
        <f>AJ322-AK322</f>
        <v/>
      </c>
      <c r="AM322" s="34">
        <f>Q322*K322</f>
        <v/>
      </c>
      <c r="AN322" s="34">
        <f>AH322+AL322+AM322</f>
        <v/>
      </c>
      <c r="AO322" s="34">
        <f>(AG322-AA322)*O322</f>
        <v/>
      </c>
      <c r="AP322" s="34">
        <f>W322*N322</f>
        <v/>
      </c>
      <c r="AQ322" s="34">
        <f>T322*N322</f>
        <v/>
      </c>
      <c r="AR322" s="34">
        <f>Z322*J323+0.5*Z322*(O322+P322)</f>
        <v/>
      </c>
      <c r="AS322" s="30">
        <f>(1+InflationRate)^(A322/12)</f>
        <v/>
      </c>
      <c r="AT322" s="29">
        <f>ExpenseAcq*M322+N322*ExpenseMaint/12*AS322</f>
        <v/>
      </c>
      <c r="AU322" s="29">
        <f>CommissionRate*AE322</f>
        <v/>
      </c>
      <c r="AV322" s="34">
        <f>AB323-AB322</f>
        <v/>
      </c>
      <c r="AW322" s="34">
        <f>AE322+AR322-AN322-AT322-AU322-AV322</f>
        <v/>
      </c>
      <c r="AX322" s="29">
        <f>LoadPremRate*E322*N322+AK322+AQ322-AU322-AT322</f>
        <v/>
      </c>
      <c r="AY322" s="34">
        <f>AP322-AO322</f>
        <v/>
      </c>
      <c r="AZ322" s="37">
        <f>(AW322-AX322-AY322)/MAX(1,ABS(AW322),ABS(AX322),ABS(AY322))</f>
        <v/>
      </c>
      <c r="BA322" s="37">
        <f>IF(OR(K322&gt;0,K323&gt;0),0,(AC323-(AC322+AF322-AQ322-AP322+AR322-AI322-AJ322-AM322))/MAX(1,ABS(AC322),ABS(AC323)))</f>
        <v/>
      </c>
      <c r="BB322" s="35">
        <f>(1+INDEX(DiscRateAnn,INT(A322/12)+1))^(1/12)-1</f>
        <v/>
      </c>
      <c r="BC322" s="31">
        <f>(1+BB322)^-A322</f>
        <v/>
      </c>
      <c r="BD322" s="34">
        <f>AW322*BC322</f>
        <v/>
      </c>
    </row>
    <row r="323">
      <c r="A323" s="27">
        <f>A322+1</f>
        <v/>
      </c>
      <c r="B323" s="28">
        <f>Duration0+A323</f>
        <v/>
      </c>
      <c r="C323" s="27">
        <f>INT(B323/12)</f>
        <v/>
      </c>
      <c r="D323" s="28">
        <f>AgeAtEntry+C323</f>
        <v/>
      </c>
      <c r="E323" s="29">
        <f>IF(PremiumType="SINGLE",IF(B323=0,PremiumPPInput,0),IF(B323&lt;12*PolicyTerm,PremiumPPInput,0))</f>
        <v/>
      </c>
      <c r="F323" s="30">
        <f>INDEX(MortRates,MATCH(MIN(D323,120),MortAges,0),MAX(MIN(C323,5),0)+1)</f>
        <v/>
      </c>
      <c r="G323" s="31">
        <f>1-(1-F323)^(1/12)</f>
        <v/>
      </c>
      <c r="H323" s="32">
        <f>MAX(LapseBase-LapseStep*C323,LapseFloor)</f>
        <v/>
      </c>
      <c r="I323" s="32">
        <f>IF(HasSurrCharge,INDEX(SurrRates,MIN(C323,SurrDurMax)+1,MATCH(SurrChargeID,SurrTypes,0)),0)</f>
        <v/>
      </c>
      <c r="J323" s="33">
        <f>N322-P322-O322</f>
        <v/>
      </c>
      <c r="K323" s="30">
        <f>IF(B323=12*PolicyTerm,J323,0)</f>
        <v/>
      </c>
      <c r="L323" s="33">
        <f>J323-K323</f>
        <v/>
      </c>
      <c r="M323" s="30">
        <f>IF(B323=0,PolicyCount,0)</f>
        <v/>
      </c>
      <c r="N323" s="33">
        <f>L323+M323</f>
        <v/>
      </c>
      <c r="O323" s="31">
        <f>N323*G323</f>
        <v/>
      </c>
      <c r="P323" s="33">
        <f>(N323-O323)*(1-(1-H323)^(1/12))</f>
        <v/>
      </c>
      <c r="Q323" s="34">
        <f>X322+Z322</f>
        <v/>
      </c>
      <c r="R323" s="29">
        <f>(1-LoadPremRate)*E323</f>
        <v/>
      </c>
      <c r="S323" s="34">
        <f>Q323+R323</f>
        <v/>
      </c>
      <c r="T323" s="29">
        <f>MaintFeeRateAnn/12*S323</f>
        <v/>
      </c>
      <c r="U323" s="29">
        <f>MAX(SumAssured-S323,0)</f>
        <v/>
      </c>
      <c r="V323" s="35">
        <f>CoiMultiple*G323</f>
        <v/>
      </c>
      <c r="W323" s="34">
        <f>V323*U323</f>
        <v/>
      </c>
      <c r="X323" s="34">
        <f>S323-T323-W323</f>
        <v/>
      </c>
      <c r="Y323" s="36">
        <f>EXP((Mu-0.5*Sigma^2)/12+Sigma*SQRT(1/12)*INDEX(NormRand,ScenID,A323+1))-1</f>
        <v/>
      </c>
      <c r="Z323" s="34">
        <f>Y323*X323</f>
        <v/>
      </c>
      <c r="AA323" s="34">
        <f>X323+0.5*Z323</f>
        <v/>
      </c>
      <c r="AB323" s="34">
        <f>Q323*J323</f>
        <v/>
      </c>
      <c r="AC323" s="34">
        <f>Q323*L323</f>
        <v/>
      </c>
      <c r="AD323" s="34">
        <f>S323*N323</f>
        <v/>
      </c>
      <c r="AE323" s="34">
        <f>E323*N323</f>
        <v/>
      </c>
      <c r="AF323" s="34">
        <f>R323*N323</f>
        <v/>
      </c>
      <c r="AG323" s="29">
        <f>MAX(SumAssured,AA323)</f>
        <v/>
      </c>
      <c r="AH323" s="34">
        <f>AG323*O323</f>
        <v/>
      </c>
      <c r="AI323" s="34">
        <f>AA323*O323</f>
        <v/>
      </c>
      <c r="AJ323" s="34">
        <f>AA323*P323</f>
        <v/>
      </c>
      <c r="AK323" s="34">
        <f>I323*AA323*P323</f>
        <v/>
      </c>
      <c r="AL323" s="34">
        <f>AJ323-AK323</f>
        <v/>
      </c>
      <c r="AM323" s="34">
        <f>Q323*K323</f>
        <v/>
      </c>
      <c r="AN323" s="34">
        <f>AH323+AL323+AM323</f>
        <v/>
      </c>
      <c r="AO323" s="34">
        <f>(AG323-AA323)*O323</f>
        <v/>
      </c>
      <c r="AP323" s="34">
        <f>W323*N323</f>
        <v/>
      </c>
      <c r="AQ323" s="34">
        <f>T323*N323</f>
        <v/>
      </c>
      <c r="AR323" s="34">
        <f>Z323*J324+0.5*Z323*(O323+P323)</f>
        <v/>
      </c>
      <c r="AS323" s="30">
        <f>(1+InflationRate)^(A323/12)</f>
        <v/>
      </c>
      <c r="AT323" s="29">
        <f>ExpenseAcq*M323+N323*ExpenseMaint/12*AS323</f>
        <v/>
      </c>
      <c r="AU323" s="29">
        <f>CommissionRate*AE323</f>
        <v/>
      </c>
      <c r="AV323" s="34">
        <f>AB324-AB323</f>
        <v/>
      </c>
      <c r="AW323" s="34">
        <f>AE323+AR323-AN323-AT323-AU323-AV323</f>
        <v/>
      </c>
      <c r="AX323" s="29">
        <f>LoadPremRate*E323*N323+AK323+AQ323-AU323-AT323</f>
        <v/>
      </c>
      <c r="AY323" s="34">
        <f>AP323-AO323</f>
        <v/>
      </c>
      <c r="AZ323" s="37">
        <f>(AW323-AX323-AY323)/MAX(1,ABS(AW323),ABS(AX323),ABS(AY323))</f>
        <v/>
      </c>
      <c r="BA323" s="37">
        <f>IF(OR(K323&gt;0,K324&gt;0),0,(AC324-(AC323+AF323-AQ323-AP323+AR323-AI323-AJ323-AM323))/MAX(1,ABS(AC323),ABS(AC324)))</f>
        <v/>
      </c>
      <c r="BB323" s="35">
        <f>(1+INDEX(DiscRateAnn,INT(A323/12)+1))^(1/12)-1</f>
        <v/>
      </c>
      <c r="BC323" s="31">
        <f>(1+BB323)^-A323</f>
        <v/>
      </c>
      <c r="BD323" s="34">
        <f>AW323*BC323</f>
        <v/>
      </c>
    </row>
    <row r="324">
      <c r="A324" s="27">
        <f>A323+1</f>
        <v/>
      </c>
      <c r="B324" s="28">
        <f>Duration0+A324</f>
        <v/>
      </c>
      <c r="C324" s="27">
        <f>INT(B324/12)</f>
        <v/>
      </c>
      <c r="D324" s="28">
        <f>AgeAtEntry+C324</f>
        <v/>
      </c>
      <c r="E324" s="29">
        <f>IF(PremiumType="SINGLE",IF(B324=0,PremiumPPInput,0),IF(B324&lt;12*PolicyTerm,PremiumPPInput,0))</f>
        <v/>
      </c>
      <c r="F324" s="30">
        <f>INDEX(MortRates,MATCH(MIN(D324,120),MortAges,0),MAX(MIN(C324,5),0)+1)</f>
        <v/>
      </c>
      <c r="G324" s="31">
        <f>1-(1-F324)^(1/12)</f>
        <v/>
      </c>
      <c r="H324" s="32">
        <f>MAX(LapseBase-LapseStep*C324,LapseFloor)</f>
        <v/>
      </c>
      <c r="I324" s="32">
        <f>IF(HasSurrCharge,INDEX(SurrRates,MIN(C324,SurrDurMax)+1,MATCH(SurrChargeID,SurrTypes,0)),0)</f>
        <v/>
      </c>
      <c r="J324" s="33">
        <f>N323-P323-O323</f>
        <v/>
      </c>
      <c r="K324" s="30">
        <f>IF(B324=12*PolicyTerm,J324,0)</f>
        <v/>
      </c>
      <c r="L324" s="33">
        <f>J324-K324</f>
        <v/>
      </c>
      <c r="M324" s="30">
        <f>IF(B324=0,PolicyCount,0)</f>
        <v/>
      </c>
      <c r="N324" s="33">
        <f>L324+M324</f>
        <v/>
      </c>
      <c r="O324" s="31">
        <f>N324*G324</f>
        <v/>
      </c>
      <c r="P324" s="33">
        <f>(N324-O324)*(1-(1-H324)^(1/12))</f>
        <v/>
      </c>
      <c r="Q324" s="34">
        <f>X323+Z323</f>
        <v/>
      </c>
      <c r="R324" s="29">
        <f>(1-LoadPremRate)*E324</f>
        <v/>
      </c>
      <c r="S324" s="34">
        <f>Q324+R324</f>
        <v/>
      </c>
      <c r="T324" s="29">
        <f>MaintFeeRateAnn/12*S324</f>
        <v/>
      </c>
      <c r="U324" s="29">
        <f>MAX(SumAssured-S324,0)</f>
        <v/>
      </c>
      <c r="V324" s="35">
        <f>CoiMultiple*G324</f>
        <v/>
      </c>
      <c r="W324" s="34">
        <f>V324*U324</f>
        <v/>
      </c>
      <c r="X324" s="34">
        <f>S324-T324-W324</f>
        <v/>
      </c>
      <c r="Y324" s="36">
        <f>EXP((Mu-0.5*Sigma^2)/12+Sigma*SQRT(1/12)*INDEX(NormRand,ScenID,A324+1))-1</f>
        <v/>
      </c>
      <c r="Z324" s="34">
        <f>Y324*X324</f>
        <v/>
      </c>
      <c r="AA324" s="34">
        <f>X324+0.5*Z324</f>
        <v/>
      </c>
      <c r="AB324" s="34">
        <f>Q324*J324</f>
        <v/>
      </c>
      <c r="AC324" s="34">
        <f>Q324*L324</f>
        <v/>
      </c>
      <c r="AD324" s="34">
        <f>S324*N324</f>
        <v/>
      </c>
      <c r="AE324" s="34">
        <f>E324*N324</f>
        <v/>
      </c>
      <c r="AF324" s="34">
        <f>R324*N324</f>
        <v/>
      </c>
      <c r="AG324" s="29">
        <f>MAX(SumAssured,AA324)</f>
        <v/>
      </c>
      <c r="AH324" s="34">
        <f>AG324*O324</f>
        <v/>
      </c>
      <c r="AI324" s="34">
        <f>AA324*O324</f>
        <v/>
      </c>
      <c r="AJ324" s="34">
        <f>AA324*P324</f>
        <v/>
      </c>
      <c r="AK324" s="34">
        <f>I324*AA324*P324</f>
        <v/>
      </c>
      <c r="AL324" s="34">
        <f>AJ324-AK324</f>
        <v/>
      </c>
      <c r="AM324" s="34">
        <f>Q324*K324</f>
        <v/>
      </c>
      <c r="AN324" s="34">
        <f>AH324+AL324+AM324</f>
        <v/>
      </c>
      <c r="AO324" s="34">
        <f>(AG324-AA324)*O324</f>
        <v/>
      </c>
      <c r="AP324" s="34">
        <f>W324*N324</f>
        <v/>
      </c>
      <c r="AQ324" s="34">
        <f>T324*N324</f>
        <v/>
      </c>
      <c r="AR324" s="34">
        <f>Z324*J325+0.5*Z324*(O324+P324)</f>
        <v/>
      </c>
      <c r="AS324" s="30">
        <f>(1+InflationRate)^(A324/12)</f>
        <v/>
      </c>
      <c r="AT324" s="29">
        <f>ExpenseAcq*M324+N324*ExpenseMaint/12*AS324</f>
        <v/>
      </c>
      <c r="AU324" s="29">
        <f>CommissionRate*AE324</f>
        <v/>
      </c>
      <c r="AV324" s="34">
        <f>AB325-AB324</f>
        <v/>
      </c>
      <c r="AW324" s="34">
        <f>AE324+AR324-AN324-AT324-AU324-AV324</f>
        <v/>
      </c>
      <c r="AX324" s="29">
        <f>LoadPremRate*E324*N324+AK324+AQ324-AU324-AT324</f>
        <v/>
      </c>
      <c r="AY324" s="34">
        <f>AP324-AO324</f>
        <v/>
      </c>
      <c r="AZ324" s="37">
        <f>(AW324-AX324-AY324)/MAX(1,ABS(AW324),ABS(AX324),ABS(AY324))</f>
        <v/>
      </c>
      <c r="BA324" s="37">
        <f>IF(OR(K324&gt;0,K325&gt;0),0,(AC325-(AC324+AF324-AQ324-AP324+AR324-AI324-AJ324-AM324))/MAX(1,ABS(AC324),ABS(AC325)))</f>
        <v/>
      </c>
      <c r="BB324" s="35">
        <f>(1+INDEX(DiscRateAnn,INT(A324/12)+1))^(1/12)-1</f>
        <v/>
      </c>
      <c r="BC324" s="31">
        <f>(1+BB324)^-A324</f>
        <v/>
      </c>
      <c r="BD324" s="34">
        <f>AW324*BC324</f>
        <v/>
      </c>
    </row>
    <row r="325">
      <c r="A325" s="27">
        <f>A324+1</f>
        <v/>
      </c>
      <c r="B325" s="28">
        <f>Duration0+A325</f>
        <v/>
      </c>
      <c r="C325" s="27">
        <f>INT(B325/12)</f>
        <v/>
      </c>
      <c r="D325" s="28">
        <f>AgeAtEntry+C325</f>
        <v/>
      </c>
      <c r="E325" s="29">
        <f>IF(PremiumType="SINGLE",IF(B325=0,PremiumPPInput,0),IF(B325&lt;12*PolicyTerm,PremiumPPInput,0))</f>
        <v/>
      </c>
      <c r="F325" s="30">
        <f>INDEX(MortRates,MATCH(MIN(D325,120),MortAges,0),MAX(MIN(C325,5),0)+1)</f>
        <v/>
      </c>
      <c r="G325" s="31">
        <f>1-(1-F325)^(1/12)</f>
        <v/>
      </c>
      <c r="H325" s="32">
        <f>MAX(LapseBase-LapseStep*C325,LapseFloor)</f>
        <v/>
      </c>
      <c r="I325" s="32">
        <f>IF(HasSurrCharge,INDEX(SurrRates,MIN(C325,SurrDurMax)+1,MATCH(SurrChargeID,SurrTypes,0)),0)</f>
        <v/>
      </c>
      <c r="J325" s="33">
        <f>N324-P324-O324</f>
        <v/>
      </c>
      <c r="K325" s="30">
        <f>IF(B325=12*PolicyTerm,J325,0)</f>
        <v/>
      </c>
      <c r="L325" s="33">
        <f>J325-K325</f>
        <v/>
      </c>
      <c r="M325" s="30">
        <f>IF(B325=0,PolicyCount,0)</f>
        <v/>
      </c>
      <c r="N325" s="33">
        <f>L325+M325</f>
        <v/>
      </c>
      <c r="O325" s="31">
        <f>N325*G325</f>
        <v/>
      </c>
      <c r="P325" s="33">
        <f>(N325-O325)*(1-(1-H325)^(1/12))</f>
        <v/>
      </c>
      <c r="Q325" s="34">
        <f>X324+Z324</f>
        <v/>
      </c>
      <c r="R325" s="29">
        <f>(1-LoadPremRate)*E325</f>
        <v/>
      </c>
      <c r="S325" s="34">
        <f>Q325+R325</f>
        <v/>
      </c>
      <c r="T325" s="29">
        <f>MaintFeeRateAnn/12*S325</f>
        <v/>
      </c>
      <c r="U325" s="29">
        <f>MAX(SumAssured-S325,0)</f>
        <v/>
      </c>
      <c r="V325" s="35">
        <f>CoiMultiple*G325</f>
        <v/>
      </c>
      <c r="W325" s="34">
        <f>V325*U325</f>
        <v/>
      </c>
      <c r="X325" s="34">
        <f>S325-T325-W325</f>
        <v/>
      </c>
      <c r="Y325" s="36">
        <f>EXP((Mu-0.5*Sigma^2)/12+Sigma*SQRT(1/12)*INDEX(NormRand,ScenID,A325+1))-1</f>
        <v/>
      </c>
      <c r="Z325" s="34">
        <f>Y325*X325</f>
        <v/>
      </c>
      <c r="AA325" s="34">
        <f>X325+0.5*Z325</f>
        <v/>
      </c>
      <c r="AB325" s="34">
        <f>Q325*J325</f>
        <v/>
      </c>
      <c r="AC325" s="34">
        <f>Q325*L325</f>
        <v/>
      </c>
      <c r="AD325" s="34">
        <f>S325*N325</f>
        <v/>
      </c>
      <c r="AE325" s="34">
        <f>E325*N325</f>
        <v/>
      </c>
      <c r="AF325" s="34">
        <f>R325*N325</f>
        <v/>
      </c>
      <c r="AG325" s="29">
        <f>MAX(SumAssured,AA325)</f>
        <v/>
      </c>
      <c r="AH325" s="34">
        <f>AG325*O325</f>
        <v/>
      </c>
      <c r="AI325" s="34">
        <f>AA325*O325</f>
        <v/>
      </c>
      <c r="AJ325" s="34">
        <f>AA325*P325</f>
        <v/>
      </c>
      <c r="AK325" s="34">
        <f>I325*AA325*P325</f>
        <v/>
      </c>
      <c r="AL325" s="34">
        <f>AJ325-AK325</f>
        <v/>
      </c>
      <c r="AM325" s="34">
        <f>Q325*K325</f>
        <v/>
      </c>
      <c r="AN325" s="34">
        <f>AH325+AL325+AM325</f>
        <v/>
      </c>
      <c r="AO325" s="34">
        <f>(AG325-AA325)*O325</f>
        <v/>
      </c>
      <c r="AP325" s="34">
        <f>W325*N325</f>
        <v/>
      </c>
      <c r="AQ325" s="34">
        <f>T325*N325</f>
        <v/>
      </c>
      <c r="AR325" s="34">
        <f>Z325*J326+0.5*Z325*(O325+P325)</f>
        <v/>
      </c>
      <c r="AS325" s="30">
        <f>(1+InflationRate)^(A325/12)</f>
        <v/>
      </c>
      <c r="AT325" s="29">
        <f>ExpenseAcq*M325+N325*ExpenseMaint/12*AS325</f>
        <v/>
      </c>
      <c r="AU325" s="29">
        <f>CommissionRate*AE325</f>
        <v/>
      </c>
      <c r="AV325" s="34">
        <f>AB326-AB325</f>
        <v/>
      </c>
      <c r="AW325" s="34">
        <f>AE325+AR325-AN325-AT325-AU325-AV325</f>
        <v/>
      </c>
      <c r="AX325" s="29">
        <f>LoadPremRate*E325*N325+AK325+AQ325-AU325-AT325</f>
        <v/>
      </c>
      <c r="AY325" s="34">
        <f>AP325-AO325</f>
        <v/>
      </c>
      <c r="AZ325" s="37">
        <f>(AW325-AX325-AY325)/MAX(1,ABS(AW325),ABS(AX325),ABS(AY325))</f>
        <v/>
      </c>
      <c r="BA325" s="37">
        <f>IF(OR(K325&gt;0,K326&gt;0),0,(AC326-(AC325+AF325-AQ325-AP325+AR325-AI325-AJ325-AM325))/MAX(1,ABS(AC325),ABS(AC326)))</f>
        <v/>
      </c>
      <c r="BB325" s="35">
        <f>(1+INDEX(DiscRateAnn,INT(A325/12)+1))^(1/12)-1</f>
        <v/>
      </c>
      <c r="BC325" s="31">
        <f>(1+BB325)^-A325</f>
        <v/>
      </c>
      <c r="BD325" s="34">
        <f>AW325*BC325</f>
        <v/>
      </c>
    </row>
    <row r="326">
      <c r="A326" s="27">
        <f>A325+1</f>
        <v/>
      </c>
      <c r="B326" s="28">
        <f>Duration0+A326</f>
        <v/>
      </c>
      <c r="C326" s="27">
        <f>INT(B326/12)</f>
        <v/>
      </c>
      <c r="D326" s="28">
        <f>AgeAtEntry+C326</f>
        <v/>
      </c>
      <c r="E326" s="29">
        <f>IF(PremiumType="SINGLE",IF(B326=0,PremiumPPInput,0),IF(B326&lt;12*PolicyTerm,PremiumPPInput,0))</f>
        <v/>
      </c>
      <c r="F326" s="30">
        <f>INDEX(MortRates,MATCH(MIN(D326,120),MortAges,0),MAX(MIN(C326,5),0)+1)</f>
        <v/>
      </c>
      <c r="G326" s="31">
        <f>1-(1-F326)^(1/12)</f>
        <v/>
      </c>
      <c r="H326" s="32">
        <f>MAX(LapseBase-LapseStep*C326,LapseFloor)</f>
        <v/>
      </c>
      <c r="I326" s="32">
        <f>IF(HasSurrCharge,INDEX(SurrRates,MIN(C326,SurrDurMax)+1,MATCH(SurrChargeID,SurrTypes,0)),0)</f>
        <v/>
      </c>
      <c r="J326" s="33">
        <f>N325-P325-O325</f>
        <v/>
      </c>
      <c r="K326" s="30">
        <f>IF(B326=12*PolicyTerm,J326,0)</f>
        <v/>
      </c>
      <c r="L326" s="33">
        <f>J326-K326</f>
        <v/>
      </c>
      <c r="M326" s="30">
        <f>IF(B326=0,PolicyCount,0)</f>
        <v/>
      </c>
      <c r="N326" s="33">
        <f>L326+M326</f>
        <v/>
      </c>
      <c r="O326" s="31">
        <f>N326*G326</f>
        <v/>
      </c>
      <c r="P326" s="33">
        <f>(N326-O326)*(1-(1-H326)^(1/12))</f>
        <v/>
      </c>
      <c r="Q326" s="34">
        <f>X325+Z325</f>
        <v/>
      </c>
      <c r="R326" s="29">
        <f>(1-LoadPremRate)*E326</f>
        <v/>
      </c>
      <c r="S326" s="34">
        <f>Q326+R326</f>
        <v/>
      </c>
      <c r="T326" s="29">
        <f>MaintFeeRateAnn/12*S326</f>
        <v/>
      </c>
      <c r="U326" s="29">
        <f>MAX(SumAssured-S326,0)</f>
        <v/>
      </c>
      <c r="V326" s="35">
        <f>CoiMultiple*G326</f>
        <v/>
      </c>
      <c r="W326" s="34">
        <f>V326*U326</f>
        <v/>
      </c>
      <c r="X326" s="34">
        <f>S326-T326-W326</f>
        <v/>
      </c>
      <c r="Y326" s="36">
        <f>EXP((Mu-0.5*Sigma^2)/12+Sigma*SQRT(1/12)*INDEX(NormRand,ScenID,A326+1))-1</f>
        <v/>
      </c>
      <c r="Z326" s="34">
        <f>Y326*X326</f>
        <v/>
      </c>
      <c r="AA326" s="34">
        <f>X326+0.5*Z326</f>
        <v/>
      </c>
      <c r="AB326" s="34">
        <f>Q326*J326</f>
        <v/>
      </c>
      <c r="AC326" s="34">
        <f>Q326*L326</f>
        <v/>
      </c>
      <c r="AD326" s="34">
        <f>S326*N326</f>
        <v/>
      </c>
      <c r="AE326" s="34">
        <f>E326*N326</f>
        <v/>
      </c>
      <c r="AF326" s="34">
        <f>R326*N326</f>
        <v/>
      </c>
      <c r="AG326" s="29">
        <f>MAX(SumAssured,AA326)</f>
        <v/>
      </c>
      <c r="AH326" s="34">
        <f>AG326*O326</f>
        <v/>
      </c>
      <c r="AI326" s="34">
        <f>AA326*O326</f>
        <v/>
      </c>
      <c r="AJ326" s="34">
        <f>AA326*P326</f>
        <v/>
      </c>
      <c r="AK326" s="34">
        <f>I326*AA326*P326</f>
        <v/>
      </c>
      <c r="AL326" s="34">
        <f>AJ326-AK326</f>
        <v/>
      </c>
      <c r="AM326" s="34">
        <f>Q326*K326</f>
        <v/>
      </c>
      <c r="AN326" s="34">
        <f>AH326+AL326+AM326</f>
        <v/>
      </c>
      <c r="AO326" s="34">
        <f>(AG326-AA326)*O326</f>
        <v/>
      </c>
      <c r="AP326" s="34">
        <f>W326*N326</f>
        <v/>
      </c>
      <c r="AQ326" s="34">
        <f>T326*N326</f>
        <v/>
      </c>
      <c r="AR326" s="34">
        <f>Z326*J327+0.5*Z326*(O326+P326)</f>
        <v/>
      </c>
      <c r="AS326" s="30">
        <f>(1+InflationRate)^(A326/12)</f>
        <v/>
      </c>
      <c r="AT326" s="29">
        <f>ExpenseAcq*M326+N326*ExpenseMaint/12*AS326</f>
        <v/>
      </c>
      <c r="AU326" s="29">
        <f>CommissionRate*AE326</f>
        <v/>
      </c>
      <c r="AV326" s="34">
        <f>AB327-AB326</f>
        <v/>
      </c>
      <c r="AW326" s="34">
        <f>AE326+AR326-AN326-AT326-AU326-AV326</f>
        <v/>
      </c>
      <c r="AX326" s="29">
        <f>LoadPremRate*E326*N326+AK326+AQ326-AU326-AT326</f>
        <v/>
      </c>
      <c r="AY326" s="34">
        <f>AP326-AO326</f>
        <v/>
      </c>
      <c r="AZ326" s="37">
        <f>(AW326-AX326-AY326)/MAX(1,ABS(AW326),ABS(AX326),ABS(AY326))</f>
        <v/>
      </c>
      <c r="BA326" s="37">
        <f>IF(OR(K326&gt;0,K327&gt;0),0,(AC327-(AC326+AF326-AQ326-AP326+AR326-AI326-AJ326-AM326))/MAX(1,ABS(AC326),ABS(AC327)))</f>
        <v/>
      </c>
      <c r="BB326" s="35">
        <f>(1+INDEX(DiscRateAnn,INT(A326/12)+1))^(1/12)-1</f>
        <v/>
      </c>
      <c r="BC326" s="31">
        <f>(1+BB326)^-A326</f>
        <v/>
      </c>
      <c r="BD326" s="34">
        <f>AW326*BC326</f>
        <v/>
      </c>
    </row>
    <row r="327">
      <c r="A327" s="27">
        <f>A326+1</f>
        <v/>
      </c>
      <c r="B327" s="28">
        <f>Duration0+A327</f>
        <v/>
      </c>
      <c r="C327" s="27">
        <f>INT(B327/12)</f>
        <v/>
      </c>
      <c r="D327" s="28">
        <f>AgeAtEntry+C327</f>
        <v/>
      </c>
      <c r="E327" s="29">
        <f>IF(PremiumType="SINGLE",IF(B327=0,PremiumPPInput,0),IF(B327&lt;12*PolicyTerm,PremiumPPInput,0))</f>
        <v/>
      </c>
      <c r="F327" s="30">
        <f>INDEX(MortRates,MATCH(MIN(D327,120),MortAges,0),MAX(MIN(C327,5),0)+1)</f>
        <v/>
      </c>
      <c r="G327" s="31">
        <f>1-(1-F327)^(1/12)</f>
        <v/>
      </c>
      <c r="H327" s="32">
        <f>MAX(LapseBase-LapseStep*C327,LapseFloor)</f>
        <v/>
      </c>
      <c r="I327" s="32">
        <f>IF(HasSurrCharge,INDEX(SurrRates,MIN(C327,SurrDurMax)+1,MATCH(SurrChargeID,SurrTypes,0)),0)</f>
        <v/>
      </c>
      <c r="J327" s="33">
        <f>N326-P326-O326</f>
        <v/>
      </c>
      <c r="K327" s="30">
        <f>IF(B327=12*PolicyTerm,J327,0)</f>
        <v/>
      </c>
      <c r="L327" s="33">
        <f>J327-K327</f>
        <v/>
      </c>
      <c r="M327" s="30">
        <f>IF(B327=0,PolicyCount,0)</f>
        <v/>
      </c>
      <c r="N327" s="33">
        <f>L327+M327</f>
        <v/>
      </c>
      <c r="O327" s="31">
        <f>N327*G327</f>
        <v/>
      </c>
      <c r="P327" s="33">
        <f>(N327-O327)*(1-(1-H327)^(1/12))</f>
        <v/>
      </c>
      <c r="Q327" s="34">
        <f>X326+Z326</f>
        <v/>
      </c>
      <c r="R327" s="29">
        <f>(1-LoadPremRate)*E327</f>
        <v/>
      </c>
      <c r="S327" s="34">
        <f>Q327+R327</f>
        <v/>
      </c>
      <c r="T327" s="29">
        <f>MaintFeeRateAnn/12*S327</f>
        <v/>
      </c>
      <c r="U327" s="29">
        <f>MAX(SumAssured-S327,0)</f>
        <v/>
      </c>
      <c r="V327" s="35">
        <f>CoiMultiple*G327</f>
        <v/>
      </c>
      <c r="W327" s="34">
        <f>V327*U327</f>
        <v/>
      </c>
      <c r="X327" s="34">
        <f>S327-T327-W327</f>
        <v/>
      </c>
      <c r="Y327" s="36">
        <f>EXP((Mu-0.5*Sigma^2)/12+Sigma*SQRT(1/12)*INDEX(NormRand,ScenID,A327+1))-1</f>
        <v/>
      </c>
      <c r="Z327" s="34">
        <f>Y327*X327</f>
        <v/>
      </c>
      <c r="AA327" s="34">
        <f>X327+0.5*Z327</f>
        <v/>
      </c>
      <c r="AB327" s="34">
        <f>Q327*J327</f>
        <v/>
      </c>
      <c r="AC327" s="34">
        <f>Q327*L327</f>
        <v/>
      </c>
      <c r="AD327" s="34">
        <f>S327*N327</f>
        <v/>
      </c>
      <c r="AE327" s="34">
        <f>E327*N327</f>
        <v/>
      </c>
      <c r="AF327" s="34">
        <f>R327*N327</f>
        <v/>
      </c>
      <c r="AG327" s="29">
        <f>MAX(SumAssured,AA327)</f>
        <v/>
      </c>
      <c r="AH327" s="34">
        <f>AG327*O327</f>
        <v/>
      </c>
      <c r="AI327" s="34">
        <f>AA327*O327</f>
        <v/>
      </c>
      <c r="AJ327" s="34">
        <f>AA327*P327</f>
        <v/>
      </c>
      <c r="AK327" s="34">
        <f>I327*AA327*P327</f>
        <v/>
      </c>
      <c r="AL327" s="34">
        <f>AJ327-AK327</f>
        <v/>
      </c>
      <c r="AM327" s="34">
        <f>Q327*K327</f>
        <v/>
      </c>
      <c r="AN327" s="34">
        <f>AH327+AL327+AM327</f>
        <v/>
      </c>
      <c r="AO327" s="34">
        <f>(AG327-AA327)*O327</f>
        <v/>
      </c>
      <c r="AP327" s="34">
        <f>W327*N327</f>
        <v/>
      </c>
      <c r="AQ327" s="34">
        <f>T327*N327</f>
        <v/>
      </c>
      <c r="AR327" s="34">
        <f>Z327*J328+0.5*Z327*(O327+P327)</f>
        <v/>
      </c>
      <c r="AS327" s="30">
        <f>(1+InflationRate)^(A327/12)</f>
        <v/>
      </c>
      <c r="AT327" s="29">
        <f>ExpenseAcq*M327+N327*ExpenseMaint/12*AS327</f>
        <v/>
      </c>
      <c r="AU327" s="29">
        <f>CommissionRate*AE327</f>
        <v/>
      </c>
      <c r="AV327" s="34">
        <f>AB328-AB327</f>
        <v/>
      </c>
      <c r="AW327" s="34">
        <f>AE327+AR327-AN327-AT327-AU327-AV327</f>
        <v/>
      </c>
      <c r="AX327" s="29">
        <f>LoadPremRate*E327*N327+AK327+AQ327-AU327-AT327</f>
        <v/>
      </c>
      <c r="AY327" s="34">
        <f>AP327-AO327</f>
        <v/>
      </c>
      <c r="AZ327" s="37">
        <f>(AW327-AX327-AY327)/MAX(1,ABS(AW327),ABS(AX327),ABS(AY327))</f>
        <v/>
      </c>
      <c r="BA327" s="37">
        <f>IF(OR(K327&gt;0,K328&gt;0),0,(AC328-(AC327+AF327-AQ327-AP327+AR327-AI327-AJ327-AM327))/MAX(1,ABS(AC327),ABS(AC328)))</f>
        <v/>
      </c>
      <c r="BB327" s="35">
        <f>(1+INDEX(DiscRateAnn,INT(A327/12)+1))^(1/12)-1</f>
        <v/>
      </c>
      <c r="BC327" s="31">
        <f>(1+BB327)^-A327</f>
        <v/>
      </c>
      <c r="BD327" s="34">
        <f>AW327*BC327</f>
        <v/>
      </c>
    </row>
    <row r="328">
      <c r="A328" s="27">
        <f>A327+1</f>
        <v/>
      </c>
      <c r="B328" s="28">
        <f>Duration0+A328</f>
        <v/>
      </c>
      <c r="C328" s="27">
        <f>INT(B328/12)</f>
        <v/>
      </c>
      <c r="D328" s="28">
        <f>AgeAtEntry+C328</f>
        <v/>
      </c>
      <c r="E328" s="29">
        <f>IF(PremiumType="SINGLE",IF(B328=0,PremiumPPInput,0),IF(B328&lt;12*PolicyTerm,PremiumPPInput,0))</f>
        <v/>
      </c>
      <c r="F328" s="30">
        <f>INDEX(MortRates,MATCH(MIN(D328,120),MortAges,0),MAX(MIN(C328,5),0)+1)</f>
        <v/>
      </c>
      <c r="G328" s="31">
        <f>1-(1-F328)^(1/12)</f>
        <v/>
      </c>
      <c r="H328" s="32">
        <f>MAX(LapseBase-LapseStep*C328,LapseFloor)</f>
        <v/>
      </c>
      <c r="I328" s="32">
        <f>IF(HasSurrCharge,INDEX(SurrRates,MIN(C328,SurrDurMax)+1,MATCH(SurrChargeID,SurrTypes,0)),0)</f>
        <v/>
      </c>
      <c r="J328" s="33">
        <f>N327-P327-O327</f>
        <v/>
      </c>
      <c r="K328" s="30">
        <f>IF(B328=12*PolicyTerm,J328,0)</f>
        <v/>
      </c>
      <c r="L328" s="33">
        <f>J328-K328</f>
        <v/>
      </c>
      <c r="M328" s="30">
        <f>IF(B328=0,PolicyCount,0)</f>
        <v/>
      </c>
      <c r="N328" s="33">
        <f>L328+M328</f>
        <v/>
      </c>
      <c r="O328" s="31">
        <f>N328*G328</f>
        <v/>
      </c>
      <c r="P328" s="33">
        <f>(N328-O328)*(1-(1-H328)^(1/12))</f>
        <v/>
      </c>
      <c r="Q328" s="34">
        <f>X327+Z327</f>
        <v/>
      </c>
      <c r="R328" s="29">
        <f>(1-LoadPremRate)*E328</f>
        <v/>
      </c>
      <c r="S328" s="34">
        <f>Q328+R328</f>
        <v/>
      </c>
      <c r="T328" s="29">
        <f>MaintFeeRateAnn/12*S328</f>
        <v/>
      </c>
      <c r="U328" s="29">
        <f>MAX(SumAssured-S328,0)</f>
        <v/>
      </c>
      <c r="V328" s="35">
        <f>CoiMultiple*G328</f>
        <v/>
      </c>
      <c r="W328" s="34">
        <f>V328*U328</f>
        <v/>
      </c>
      <c r="X328" s="34">
        <f>S328-T328-W328</f>
        <v/>
      </c>
      <c r="Y328" s="36">
        <f>EXP((Mu-0.5*Sigma^2)/12+Sigma*SQRT(1/12)*INDEX(NormRand,ScenID,A328+1))-1</f>
        <v/>
      </c>
      <c r="Z328" s="34">
        <f>Y328*X328</f>
        <v/>
      </c>
      <c r="AA328" s="34">
        <f>X328+0.5*Z328</f>
        <v/>
      </c>
      <c r="AB328" s="34">
        <f>Q328*J328</f>
        <v/>
      </c>
      <c r="AC328" s="34">
        <f>Q328*L328</f>
        <v/>
      </c>
      <c r="AD328" s="34">
        <f>S328*N328</f>
        <v/>
      </c>
      <c r="AE328" s="34">
        <f>E328*N328</f>
        <v/>
      </c>
      <c r="AF328" s="34">
        <f>R328*N328</f>
        <v/>
      </c>
      <c r="AG328" s="29">
        <f>MAX(SumAssured,AA328)</f>
        <v/>
      </c>
      <c r="AH328" s="34">
        <f>AG328*O328</f>
        <v/>
      </c>
      <c r="AI328" s="34">
        <f>AA328*O328</f>
        <v/>
      </c>
      <c r="AJ328" s="34">
        <f>AA328*P328</f>
        <v/>
      </c>
      <c r="AK328" s="34">
        <f>I328*AA328*P328</f>
        <v/>
      </c>
      <c r="AL328" s="34">
        <f>AJ328-AK328</f>
        <v/>
      </c>
      <c r="AM328" s="34">
        <f>Q328*K328</f>
        <v/>
      </c>
      <c r="AN328" s="34">
        <f>AH328+AL328+AM328</f>
        <v/>
      </c>
      <c r="AO328" s="34">
        <f>(AG328-AA328)*O328</f>
        <v/>
      </c>
      <c r="AP328" s="34">
        <f>W328*N328</f>
        <v/>
      </c>
      <c r="AQ328" s="34">
        <f>T328*N328</f>
        <v/>
      </c>
      <c r="AR328" s="34">
        <f>Z328*J329+0.5*Z328*(O328+P328)</f>
        <v/>
      </c>
      <c r="AS328" s="30">
        <f>(1+InflationRate)^(A328/12)</f>
        <v/>
      </c>
      <c r="AT328" s="29">
        <f>ExpenseAcq*M328+N328*ExpenseMaint/12*AS328</f>
        <v/>
      </c>
      <c r="AU328" s="29">
        <f>CommissionRate*AE328</f>
        <v/>
      </c>
      <c r="AV328" s="34">
        <f>AB329-AB328</f>
        <v/>
      </c>
      <c r="AW328" s="34">
        <f>AE328+AR328-AN328-AT328-AU328-AV328</f>
        <v/>
      </c>
      <c r="AX328" s="29">
        <f>LoadPremRate*E328*N328+AK328+AQ328-AU328-AT328</f>
        <v/>
      </c>
      <c r="AY328" s="34">
        <f>AP328-AO328</f>
        <v/>
      </c>
      <c r="AZ328" s="37">
        <f>(AW328-AX328-AY328)/MAX(1,ABS(AW328),ABS(AX328),ABS(AY328))</f>
        <v/>
      </c>
      <c r="BA328" s="37">
        <f>IF(OR(K328&gt;0,K329&gt;0),0,(AC329-(AC328+AF328-AQ328-AP328+AR328-AI328-AJ328-AM328))/MAX(1,ABS(AC328),ABS(AC329)))</f>
        <v/>
      </c>
      <c r="BB328" s="35">
        <f>(1+INDEX(DiscRateAnn,INT(A328/12)+1))^(1/12)-1</f>
        <v/>
      </c>
      <c r="BC328" s="31">
        <f>(1+BB328)^-A328</f>
        <v/>
      </c>
      <c r="BD328" s="34">
        <f>AW328*BC328</f>
        <v/>
      </c>
    </row>
    <row r="329">
      <c r="A329" s="27">
        <f>A328+1</f>
        <v/>
      </c>
      <c r="B329" s="28">
        <f>Duration0+A329</f>
        <v/>
      </c>
      <c r="C329" s="27">
        <f>INT(B329/12)</f>
        <v/>
      </c>
      <c r="D329" s="28">
        <f>AgeAtEntry+C329</f>
        <v/>
      </c>
      <c r="E329" s="29">
        <f>IF(PremiumType="SINGLE",IF(B329=0,PremiumPPInput,0),IF(B329&lt;12*PolicyTerm,PremiumPPInput,0))</f>
        <v/>
      </c>
      <c r="F329" s="30">
        <f>INDEX(MortRates,MATCH(MIN(D329,120),MortAges,0),MAX(MIN(C329,5),0)+1)</f>
        <v/>
      </c>
      <c r="G329" s="31">
        <f>1-(1-F329)^(1/12)</f>
        <v/>
      </c>
      <c r="H329" s="32">
        <f>MAX(LapseBase-LapseStep*C329,LapseFloor)</f>
        <v/>
      </c>
      <c r="I329" s="32">
        <f>IF(HasSurrCharge,INDEX(SurrRates,MIN(C329,SurrDurMax)+1,MATCH(SurrChargeID,SurrTypes,0)),0)</f>
        <v/>
      </c>
      <c r="J329" s="33">
        <f>N328-P328-O328</f>
        <v/>
      </c>
      <c r="K329" s="30">
        <f>IF(B329=12*PolicyTerm,J329,0)</f>
        <v/>
      </c>
      <c r="L329" s="33">
        <f>J329-K329</f>
        <v/>
      </c>
      <c r="M329" s="30">
        <f>IF(B329=0,PolicyCount,0)</f>
        <v/>
      </c>
      <c r="N329" s="33">
        <f>L329+M329</f>
        <v/>
      </c>
      <c r="O329" s="31">
        <f>N329*G329</f>
        <v/>
      </c>
      <c r="P329" s="33">
        <f>(N329-O329)*(1-(1-H329)^(1/12))</f>
        <v/>
      </c>
      <c r="Q329" s="34">
        <f>X328+Z328</f>
        <v/>
      </c>
      <c r="R329" s="29">
        <f>(1-LoadPremRate)*E329</f>
        <v/>
      </c>
      <c r="S329" s="34">
        <f>Q329+R329</f>
        <v/>
      </c>
      <c r="T329" s="29">
        <f>MaintFeeRateAnn/12*S329</f>
        <v/>
      </c>
      <c r="U329" s="29">
        <f>MAX(SumAssured-S329,0)</f>
        <v/>
      </c>
      <c r="V329" s="35">
        <f>CoiMultiple*G329</f>
        <v/>
      </c>
      <c r="W329" s="34">
        <f>V329*U329</f>
        <v/>
      </c>
      <c r="X329" s="34">
        <f>S329-T329-W329</f>
        <v/>
      </c>
      <c r="Y329" s="36">
        <f>EXP((Mu-0.5*Sigma^2)/12+Sigma*SQRT(1/12)*INDEX(NormRand,ScenID,A329+1))-1</f>
        <v/>
      </c>
      <c r="Z329" s="34">
        <f>Y329*X329</f>
        <v/>
      </c>
      <c r="AA329" s="34">
        <f>X329+0.5*Z329</f>
        <v/>
      </c>
      <c r="AB329" s="34">
        <f>Q329*J329</f>
        <v/>
      </c>
      <c r="AC329" s="34">
        <f>Q329*L329</f>
        <v/>
      </c>
      <c r="AD329" s="34">
        <f>S329*N329</f>
        <v/>
      </c>
      <c r="AE329" s="34">
        <f>E329*N329</f>
        <v/>
      </c>
      <c r="AF329" s="34">
        <f>R329*N329</f>
        <v/>
      </c>
      <c r="AG329" s="29">
        <f>MAX(SumAssured,AA329)</f>
        <v/>
      </c>
      <c r="AH329" s="34">
        <f>AG329*O329</f>
        <v/>
      </c>
      <c r="AI329" s="34">
        <f>AA329*O329</f>
        <v/>
      </c>
      <c r="AJ329" s="34">
        <f>AA329*P329</f>
        <v/>
      </c>
      <c r="AK329" s="34">
        <f>I329*AA329*P329</f>
        <v/>
      </c>
      <c r="AL329" s="34">
        <f>AJ329-AK329</f>
        <v/>
      </c>
      <c r="AM329" s="34">
        <f>Q329*K329</f>
        <v/>
      </c>
      <c r="AN329" s="34">
        <f>AH329+AL329+AM329</f>
        <v/>
      </c>
      <c r="AO329" s="34">
        <f>(AG329-AA329)*O329</f>
        <v/>
      </c>
      <c r="AP329" s="34">
        <f>W329*N329</f>
        <v/>
      </c>
      <c r="AQ329" s="34">
        <f>T329*N329</f>
        <v/>
      </c>
      <c r="AR329" s="34">
        <f>Z329*J330+0.5*Z329*(O329+P329)</f>
        <v/>
      </c>
      <c r="AS329" s="30">
        <f>(1+InflationRate)^(A329/12)</f>
        <v/>
      </c>
      <c r="AT329" s="29">
        <f>ExpenseAcq*M329+N329*ExpenseMaint/12*AS329</f>
        <v/>
      </c>
      <c r="AU329" s="29">
        <f>CommissionRate*AE329</f>
        <v/>
      </c>
      <c r="AV329" s="34">
        <f>AB330-AB329</f>
        <v/>
      </c>
      <c r="AW329" s="34">
        <f>AE329+AR329-AN329-AT329-AU329-AV329</f>
        <v/>
      </c>
      <c r="AX329" s="29">
        <f>LoadPremRate*E329*N329+AK329+AQ329-AU329-AT329</f>
        <v/>
      </c>
      <c r="AY329" s="34">
        <f>AP329-AO329</f>
        <v/>
      </c>
      <c r="AZ329" s="37">
        <f>(AW329-AX329-AY329)/MAX(1,ABS(AW329),ABS(AX329),ABS(AY329))</f>
        <v/>
      </c>
      <c r="BA329" s="37">
        <f>IF(OR(K329&gt;0,K330&gt;0),0,(AC330-(AC329+AF329-AQ329-AP329+AR329-AI329-AJ329-AM329))/MAX(1,ABS(AC329),ABS(AC330)))</f>
        <v/>
      </c>
      <c r="BB329" s="35">
        <f>(1+INDEX(DiscRateAnn,INT(A329/12)+1))^(1/12)-1</f>
        <v/>
      </c>
      <c r="BC329" s="31">
        <f>(1+BB329)^-A329</f>
        <v/>
      </c>
      <c r="BD329" s="34">
        <f>AW329*BC329</f>
        <v/>
      </c>
    </row>
    <row r="330">
      <c r="A330" s="27">
        <f>A329+1</f>
        <v/>
      </c>
      <c r="B330" s="28">
        <f>Duration0+A330</f>
        <v/>
      </c>
      <c r="C330" s="27">
        <f>INT(B330/12)</f>
        <v/>
      </c>
      <c r="D330" s="28">
        <f>AgeAtEntry+C330</f>
        <v/>
      </c>
      <c r="E330" s="29">
        <f>IF(PremiumType="SINGLE",IF(B330=0,PremiumPPInput,0),IF(B330&lt;12*PolicyTerm,PremiumPPInput,0))</f>
        <v/>
      </c>
      <c r="F330" s="30">
        <f>INDEX(MortRates,MATCH(MIN(D330,120),MortAges,0),MAX(MIN(C330,5),0)+1)</f>
        <v/>
      </c>
      <c r="G330" s="31">
        <f>1-(1-F330)^(1/12)</f>
        <v/>
      </c>
      <c r="H330" s="32">
        <f>MAX(LapseBase-LapseStep*C330,LapseFloor)</f>
        <v/>
      </c>
      <c r="I330" s="32">
        <f>IF(HasSurrCharge,INDEX(SurrRates,MIN(C330,SurrDurMax)+1,MATCH(SurrChargeID,SurrTypes,0)),0)</f>
        <v/>
      </c>
      <c r="J330" s="33">
        <f>N329-P329-O329</f>
        <v/>
      </c>
      <c r="K330" s="30">
        <f>IF(B330=12*PolicyTerm,J330,0)</f>
        <v/>
      </c>
      <c r="L330" s="33">
        <f>J330-K330</f>
        <v/>
      </c>
      <c r="M330" s="30">
        <f>IF(B330=0,PolicyCount,0)</f>
        <v/>
      </c>
      <c r="N330" s="33">
        <f>L330+M330</f>
        <v/>
      </c>
      <c r="O330" s="31">
        <f>N330*G330</f>
        <v/>
      </c>
      <c r="P330" s="33">
        <f>(N330-O330)*(1-(1-H330)^(1/12))</f>
        <v/>
      </c>
      <c r="Q330" s="34">
        <f>X329+Z329</f>
        <v/>
      </c>
      <c r="R330" s="29">
        <f>(1-LoadPremRate)*E330</f>
        <v/>
      </c>
      <c r="S330" s="34">
        <f>Q330+R330</f>
        <v/>
      </c>
      <c r="T330" s="29">
        <f>MaintFeeRateAnn/12*S330</f>
        <v/>
      </c>
      <c r="U330" s="29">
        <f>MAX(SumAssured-S330,0)</f>
        <v/>
      </c>
      <c r="V330" s="35">
        <f>CoiMultiple*G330</f>
        <v/>
      </c>
      <c r="W330" s="34">
        <f>V330*U330</f>
        <v/>
      </c>
      <c r="X330" s="34">
        <f>S330-T330-W330</f>
        <v/>
      </c>
      <c r="Y330" s="36">
        <f>EXP((Mu-0.5*Sigma^2)/12+Sigma*SQRT(1/12)*INDEX(NormRand,ScenID,A330+1))-1</f>
        <v/>
      </c>
      <c r="Z330" s="34">
        <f>Y330*X330</f>
        <v/>
      </c>
      <c r="AA330" s="34">
        <f>X330+0.5*Z330</f>
        <v/>
      </c>
      <c r="AB330" s="34">
        <f>Q330*J330</f>
        <v/>
      </c>
      <c r="AC330" s="34">
        <f>Q330*L330</f>
        <v/>
      </c>
      <c r="AD330" s="34">
        <f>S330*N330</f>
        <v/>
      </c>
      <c r="AE330" s="34">
        <f>E330*N330</f>
        <v/>
      </c>
      <c r="AF330" s="34">
        <f>R330*N330</f>
        <v/>
      </c>
      <c r="AG330" s="29">
        <f>MAX(SumAssured,AA330)</f>
        <v/>
      </c>
      <c r="AH330" s="34">
        <f>AG330*O330</f>
        <v/>
      </c>
      <c r="AI330" s="34">
        <f>AA330*O330</f>
        <v/>
      </c>
      <c r="AJ330" s="34">
        <f>AA330*P330</f>
        <v/>
      </c>
      <c r="AK330" s="34">
        <f>I330*AA330*P330</f>
        <v/>
      </c>
      <c r="AL330" s="34">
        <f>AJ330-AK330</f>
        <v/>
      </c>
      <c r="AM330" s="34">
        <f>Q330*K330</f>
        <v/>
      </c>
      <c r="AN330" s="34">
        <f>AH330+AL330+AM330</f>
        <v/>
      </c>
      <c r="AO330" s="34">
        <f>(AG330-AA330)*O330</f>
        <v/>
      </c>
      <c r="AP330" s="34">
        <f>W330*N330</f>
        <v/>
      </c>
      <c r="AQ330" s="34">
        <f>T330*N330</f>
        <v/>
      </c>
      <c r="AR330" s="34">
        <f>Z330*J331+0.5*Z330*(O330+P330)</f>
        <v/>
      </c>
      <c r="AS330" s="30">
        <f>(1+InflationRate)^(A330/12)</f>
        <v/>
      </c>
      <c r="AT330" s="29">
        <f>ExpenseAcq*M330+N330*ExpenseMaint/12*AS330</f>
        <v/>
      </c>
      <c r="AU330" s="29">
        <f>CommissionRate*AE330</f>
        <v/>
      </c>
      <c r="AV330" s="34">
        <f>AB331-AB330</f>
        <v/>
      </c>
      <c r="AW330" s="34">
        <f>AE330+AR330-AN330-AT330-AU330-AV330</f>
        <v/>
      </c>
      <c r="AX330" s="29">
        <f>LoadPremRate*E330*N330+AK330+AQ330-AU330-AT330</f>
        <v/>
      </c>
      <c r="AY330" s="34">
        <f>AP330-AO330</f>
        <v/>
      </c>
      <c r="AZ330" s="37">
        <f>(AW330-AX330-AY330)/MAX(1,ABS(AW330),ABS(AX330),ABS(AY330))</f>
        <v/>
      </c>
      <c r="BA330" s="37">
        <f>IF(OR(K330&gt;0,K331&gt;0),0,(AC331-(AC330+AF330-AQ330-AP330+AR330-AI330-AJ330-AM330))/MAX(1,ABS(AC330),ABS(AC331)))</f>
        <v/>
      </c>
      <c r="BB330" s="35">
        <f>(1+INDEX(DiscRateAnn,INT(A330/12)+1))^(1/12)-1</f>
        <v/>
      </c>
      <c r="BC330" s="31">
        <f>(1+BB330)^-A330</f>
        <v/>
      </c>
      <c r="BD330" s="34">
        <f>AW330*BC330</f>
        <v/>
      </c>
    </row>
    <row r="331">
      <c r="A331" s="27">
        <f>A330+1</f>
        <v/>
      </c>
      <c r="B331" s="28">
        <f>Duration0+A331</f>
        <v/>
      </c>
      <c r="C331" s="27">
        <f>INT(B331/12)</f>
        <v/>
      </c>
      <c r="D331" s="28">
        <f>AgeAtEntry+C331</f>
        <v/>
      </c>
      <c r="E331" s="29">
        <f>IF(PremiumType="SINGLE",IF(B331=0,PremiumPPInput,0),IF(B331&lt;12*PolicyTerm,PremiumPPInput,0))</f>
        <v/>
      </c>
      <c r="F331" s="30">
        <f>INDEX(MortRates,MATCH(MIN(D331,120),MortAges,0),MAX(MIN(C331,5),0)+1)</f>
        <v/>
      </c>
      <c r="G331" s="31">
        <f>1-(1-F331)^(1/12)</f>
        <v/>
      </c>
      <c r="H331" s="32">
        <f>MAX(LapseBase-LapseStep*C331,LapseFloor)</f>
        <v/>
      </c>
      <c r="I331" s="32">
        <f>IF(HasSurrCharge,INDEX(SurrRates,MIN(C331,SurrDurMax)+1,MATCH(SurrChargeID,SurrTypes,0)),0)</f>
        <v/>
      </c>
      <c r="J331" s="33">
        <f>N330-P330-O330</f>
        <v/>
      </c>
      <c r="K331" s="30">
        <f>IF(B331=12*PolicyTerm,J331,0)</f>
        <v/>
      </c>
      <c r="L331" s="33">
        <f>J331-K331</f>
        <v/>
      </c>
      <c r="M331" s="30">
        <f>IF(B331=0,PolicyCount,0)</f>
        <v/>
      </c>
      <c r="N331" s="33">
        <f>L331+M331</f>
        <v/>
      </c>
      <c r="O331" s="31">
        <f>N331*G331</f>
        <v/>
      </c>
      <c r="P331" s="33">
        <f>(N331-O331)*(1-(1-H331)^(1/12))</f>
        <v/>
      </c>
      <c r="Q331" s="34">
        <f>X330+Z330</f>
        <v/>
      </c>
      <c r="R331" s="29">
        <f>(1-LoadPremRate)*E331</f>
        <v/>
      </c>
      <c r="S331" s="34">
        <f>Q331+R331</f>
        <v/>
      </c>
      <c r="T331" s="29">
        <f>MaintFeeRateAnn/12*S331</f>
        <v/>
      </c>
      <c r="U331" s="29">
        <f>MAX(SumAssured-S331,0)</f>
        <v/>
      </c>
      <c r="V331" s="35">
        <f>CoiMultiple*G331</f>
        <v/>
      </c>
      <c r="W331" s="34">
        <f>V331*U331</f>
        <v/>
      </c>
      <c r="X331" s="34">
        <f>S331-T331-W331</f>
        <v/>
      </c>
      <c r="Y331" s="36">
        <f>EXP((Mu-0.5*Sigma^2)/12+Sigma*SQRT(1/12)*INDEX(NormRand,ScenID,A331+1))-1</f>
        <v/>
      </c>
      <c r="Z331" s="34">
        <f>Y331*X331</f>
        <v/>
      </c>
      <c r="AA331" s="34">
        <f>X331+0.5*Z331</f>
        <v/>
      </c>
      <c r="AB331" s="34">
        <f>Q331*J331</f>
        <v/>
      </c>
      <c r="AC331" s="34">
        <f>Q331*L331</f>
        <v/>
      </c>
      <c r="AD331" s="34">
        <f>S331*N331</f>
        <v/>
      </c>
      <c r="AE331" s="34">
        <f>E331*N331</f>
        <v/>
      </c>
      <c r="AF331" s="34">
        <f>R331*N331</f>
        <v/>
      </c>
      <c r="AG331" s="29">
        <f>MAX(SumAssured,AA331)</f>
        <v/>
      </c>
      <c r="AH331" s="34">
        <f>AG331*O331</f>
        <v/>
      </c>
      <c r="AI331" s="34">
        <f>AA331*O331</f>
        <v/>
      </c>
      <c r="AJ331" s="34">
        <f>AA331*P331</f>
        <v/>
      </c>
      <c r="AK331" s="34">
        <f>I331*AA331*P331</f>
        <v/>
      </c>
      <c r="AL331" s="34">
        <f>AJ331-AK331</f>
        <v/>
      </c>
      <c r="AM331" s="34">
        <f>Q331*K331</f>
        <v/>
      </c>
      <c r="AN331" s="34">
        <f>AH331+AL331+AM331</f>
        <v/>
      </c>
      <c r="AO331" s="34">
        <f>(AG331-AA331)*O331</f>
        <v/>
      </c>
      <c r="AP331" s="34">
        <f>W331*N331</f>
        <v/>
      </c>
      <c r="AQ331" s="34">
        <f>T331*N331</f>
        <v/>
      </c>
      <c r="AR331" s="34">
        <f>Z331*J332+0.5*Z331*(O331+P331)</f>
        <v/>
      </c>
      <c r="AS331" s="30">
        <f>(1+InflationRate)^(A331/12)</f>
        <v/>
      </c>
      <c r="AT331" s="29">
        <f>ExpenseAcq*M331+N331*ExpenseMaint/12*AS331</f>
        <v/>
      </c>
      <c r="AU331" s="29">
        <f>CommissionRate*AE331</f>
        <v/>
      </c>
      <c r="AV331" s="34">
        <f>AB332-AB331</f>
        <v/>
      </c>
      <c r="AW331" s="34">
        <f>AE331+AR331-AN331-AT331-AU331-AV331</f>
        <v/>
      </c>
      <c r="AX331" s="29">
        <f>LoadPremRate*E331*N331+AK331+AQ331-AU331-AT331</f>
        <v/>
      </c>
      <c r="AY331" s="34">
        <f>AP331-AO331</f>
        <v/>
      </c>
      <c r="AZ331" s="37">
        <f>(AW331-AX331-AY331)/MAX(1,ABS(AW331),ABS(AX331),ABS(AY331))</f>
        <v/>
      </c>
      <c r="BA331" s="37">
        <f>IF(OR(K331&gt;0,K332&gt;0),0,(AC332-(AC331+AF331-AQ331-AP331+AR331-AI331-AJ331-AM331))/MAX(1,ABS(AC331),ABS(AC332)))</f>
        <v/>
      </c>
      <c r="BB331" s="35">
        <f>(1+INDEX(DiscRateAnn,INT(A331/12)+1))^(1/12)-1</f>
        <v/>
      </c>
      <c r="BC331" s="31">
        <f>(1+BB331)^-A331</f>
        <v/>
      </c>
      <c r="BD331" s="34">
        <f>AW331*BC331</f>
        <v/>
      </c>
    </row>
    <row r="332">
      <c r="A332" s="27">
        <f>A331+1</f>
        <v/>
      </c>
      <c r="B332" s="28">
        <f>Duration0+A332</f>
        <v/>
      </c>
      <c r="C332" s="27">
        <f>INT(B332/12)</f>
        <v/>
      </c>
      <c r="D332" s="28">
        <f>AgeAtEntry+C332</f>
        <v/>
      </c>
      <c r="E332" s="29">
        <f>IF(PremiumType="SINGLE",IF(B332=0,PremiumPPInput,0),IF(B332&lt;12*PolicyTerm,PremiumPPInput,0))</f>
        <v/>
      </c>
      <c r="F332" s="30">
        <f>INDEX(MortRates,MATCH(MIN(D332,120),MortAges,0),MAX(MIN(C332,5),0)+1)</f>
        <v/>
      </c>
      <c r="G332" s="31">
        <f>1-(1-F332)^(1/12)</f>
        <v/>
      </c>
      <c r="H332" s="32">
        <f>MAX(LapseBase-LapseStep*C332,LapseFloor)</f>
        <v/>
      </c>
      <c r="I332" s="32">
        <f>IF(HasSurrCharge,INDEX(SurrRates,MIN(C332,SurrDurMax)+1,MATCH(SurrChargeID,SurrTypes,0)),0)</f>
        <v/>
      </c>
      <c r="J332" s="33">
        <f>N331-P331-O331</f>
        <v/>
      </c>
      <c r="K332" s="30">
        <f>IF(B332=12*PolicyTerm,J332,0)</f>
        <v/>
      </c>
      <c r="L332" s="33">
        <f>J332-K332</f>
        <v/>
      </c>
      <c r="M332" s="30">
        <f>IF(B332=0,PolicyCount,0)</f>
        <v/>
      </c>
      <c r="N332" s="33">
        <f>L332+M332</f>
        <v/>
      </c>
      <c r="O332" s="31">
        <f>N332*G332</f>
        <v/>
      </c>
      <c r="P332" s="33">
        <f>(N332-O332)*(1-(1-H332)^(1/12))</f>
        <v/>
      </c>
      <c r="Q332" s="34">
        <f>X331+Z331</f>
        <v/>
      </c>
      <c r="R332" s="29">
        <f>(1-LoadPremRate)*E332</f>
        <v/>
      </c>
      <c r="S332" s="34">
        <f>Q332+R332</f>
        <v/>
      </c>
      <c r="T332" s="29">
        <f>MaintFeeRateAnn/12*S332</f>
        <v/>
      </c>
      <c r="U332" s="29">
        <f>MAX(SumAssured-S332,0)</f>
        <v/>
      </c>
      <c r="V332" s="35">
        <f>CoiMultiple*G332</f>
        <v/>
      </c>
      <c r="W332" s="34">
        <f>V332*U332</f>
        <v/>
      </c>
      <c r="X332" s="34">
        <f>S332-T332-W332</f>
        <v/>
      </c>
      <c r="Y332" s="36">
        <f>EXP((Mu-0.5*Sigma^2)/12+Sigma*SQRT(1/12)*INDEX(NormRand,ScenID,A332+1))-1</f>
        <v/>
      </c>
      <c r="Z332" s="34">
        <f>Y332*X332</f>
        <v/>
      </c>
      <c r="AA332" s="34">
        <f>X332+0.5*Z332</f>
        <v/>
      </c>
      <c r="AB332" s="34">
        <f>Q332*J332</f>
        <v/>
      </c>
      <c r="AC332" s="34">
        <f>Q332*L332</f>
        <v/>
      </c>
      <c r="AD332" s="34">
        <f>S332*N332</f>
        <v/>
      </c>
      <c r="AE332" s="34">
        <f>E332*N332</f>
        <v/>
      </c>
      <c r="AF332" s="34">
        <f>R332*N332</f>
        <v/>
      </c>
      <c r="AG332" s="29">
        <f>MAX(SumAssured,AA332)</f>
        <v/>
      </c>
      <c r="AH332" s="34">
        <f>AG332*O332</f>
        <v/>
      </c>
      <c r="AI332" s="34">
        <f>AA332*O332</f>
        <v/>
      </c>
      <c r="AJ332" s="34">
        <f>AA332*P332</f>
        <v/>
      </c>
      <c r="AK332" s="34">
        <f>I332*AA332*P332</f>
        <v/>
      </c>
      <c r="AL332" s="34">
        <f>AJ332-AK332</f>
        <v/>
      </c>
      <c r="AM332" s="34">
        <f>Q332*K332</f>
        <v/>
      </c>
      <c r="AN332" s="34">
        <f>AH332+AL332+AM332</f>
        <v/>
      </c>
      <c r="AO332" s="34">
        <f>(AG332-AA332)*O332</f>
        <v/>
      </c>
      <c r="AP332" s="34">
        <f>W332*N332</f>
        <v/>
      </c>
      <c r="AQ332" s="34">
        <f>T332*N332</f>
        <v/>
      </c>
      <c r="AR332" s="34">
        <f>Z332*J333+0.5*Z332*(O332+P332)</f>
        <v/>
      </c>
      <c r="AS332" s="30">
        <f>(1+InflationRate)^(A332/12)</f>
        <v/>
      </c>
      <c r="AT332" s="29">
        <f>ExpenseAcq*M332+N332*ExpenseMaint/12*AS332</f>
        <v/>
      </c>
      <c r="AU332" s="29">
        <f>CommissionRate*AE332</f>
        <v/>
      </c>
      <c r="AV332" s="34">
        <f>AB333-AB332</f>
        <v/>
      </c>
      <c r="AW332" s="34">
        <f>AE332+AR332-AN332-AT332-AU332-AV332</f>
        <v/>
      </c>
      <c r="AX332" s="29">
        <f>LoadPremRate*E332*N332+AK332+AQ332-AU332-AT332</f>
        <v/>
      </c>
      <c r="AY332" s="34">
        <f>AP332-AO332</f>
        <v/>
      </c>
      <c r="AZ332" s="37">
        <f>(AW332-AX332-AY332)/MAX(1,ABS(AW332),ABS(AX332),ABS(AY332))</f>
        <v/>
      </c>
      <c r="BA332" s="37">
        <f>IF(OR(K332&gt;0,K333&gt;0),0,(AC333-(AC332+AF332-AQ332-AP332+AR332-AI332-AJ332-AM332))/MAX(1,ABS(AC332),ABS(AC333)))</f>
        <v/>
      </c>
      <c r="BB332" s="35">
        <f>(1+INDEX(DiscRateAnn,INT(A332/12)+1))^(1/12)-1</f>
        <v/>
      </c>
      <c r="BC332" s="31">
        <f>(1+BB332)^-A332</f>
        <v/>
      </c>
      <c r="BD332" s="34">
        <f>AW332*BC332</f>
        <v/>
      </c>
    </row>
    <row r="333">
      <c r="A333" s="27">
        <f>A332+1</f>
        <v/>
      </c>
      <c r="B333" s="28">
        <f>Duration0+A333</f>
        <v/>
      </c>
      <c r="C333" s="27">
        <f>INT(B333/12)</f>
        <v/>
      </c>
      <c r="D333" s="28">
        <f>AgeAtEntry+C333</f>
        <v/>
      </c>
      <c r="E333" s="29">
        <f>IF(PremiumType="SINGLE",IF(B333=0,PremiumPPInput,0),IF(B333&lt;12*PolicyTerm,PremiumPPInput,0))</f>
        <v/>
      </c>
      <c r="F333" s="30">
        <f>INDEX(MortRates,MATCH(MIN(D333,120),MortAges,0),MAX(MIN(C333,5),0)+1)</f>
        <v/>
      </c>
      <c r="G333" s="31">
        <f>1-(1-F333)^(1/12)</f>
        <v/>
      </c>
      <c r="H333" s="32">
        <f>MAX(LapseBase-LapseStep*C333,LapseFloor)</f>
        <v/>
      </c>
      <c r="I333" s="32">
        <f>IF(HasSurrCharge,INDEX(SurrRates,MIN(C333,SurrDurMax)+1,MATCH(SurrChargeID,SurrTypes,0)),0)</f>
        <v/>
      </c>
      <c r="J333" s="33">
        <f>N332-P332-O332</f>
        <v/>
      </c>
      <c r="K333" s="30">
        <f>IF(B333=12*PolicyTerm,J333,0)</f>
        <v/>
      </c>
      <c r="L333" s="33">
        <f>J333-K333</f>
        <v/>
      </c>
      <c r="M333" s="30">
        <f>IF(B333=0,PolicyCount,0)</f>
        <v/>
      </c>
      <c r="N333" s="33">
        <f>L333+M333</f>
        <v/>
      </c>
      <c r="O333" s="31">
        <f>N333*G333</f>
        <v/>
      </c>
      <c r="P333" s="33">
        <f>(N333-O333)*(1-(1-H333)^(1/12))</f>
        <v/>
      </c>
      <c r="Q333" s="34">
        <f>X332+Z332</f>
        <v/>
      </c>
      <c r="R333" s="29">
        <f>(1-LoadPremRate)*E333</f>
        <v/>
      </c>
      <c r="S333" s="34">
        <f>Q333+R333</f>
        <v/>
      </c>
      <c r="T333" s="29">
        <f>MaintFeeRateAnn/12*S333</f>
        <v/>
      </c>
      <c r="U333" s="29">
        <f>MAX(SumAssured-S333,0)</f>
        <v/>
      </c>
      <c r="V333" s="35">
        <f>CoiMultiple*G333</f>
        <v/>
      </c>
      <c r="W333" s="34">
        <f>V333*U333</f>
        <v/>
      </c>
      <c r="X333" s="34">
        <f>S333-T333-W333</f>
        <v/>
      </c>
      <c r="Y333" s="36">
        <f>EXP((Mu-0.5*Sigma^2)/12+Sigma*SQRT(1/12)*INDEX(NormRand,ScenID,A333+1))-1</f>
        <v/>
      </c>
      <c r="Z333" s="34">
        <f>Y333*X333</f>
        <v/>
      </c>
      <c r="AA333" s="34">
        <f>X333+0.5*Z333</f>
        <v/>
      </c>
      <c r="AB333" s="34">
        <f>Q333*J333</f>
        <v/>
      </c>
      <c r="AC333" s="34">
        <f>Q333*L333</f>
        <v/>
      </c>
      <c r="AD333" s="34">
        <f>S333*N333</f>
        <v/>
      </c>
      <c r="AE333" s="34">
        <f>E333*N333</f>
        <v/>
      </c>
      <c r="AF333" s="34">
        <f>R333*N333</f>
        <v/>
      </c>
      <c r="AG333" s="29">
        <f>MAX(SumAssured,AA333)</f>
        <v/>
      </c>
      <c r="AH333" s="34">
        <f>AG333*O333</f>
        <v/>
      </c>
      <c r="AI333" s="34">
        <f>AA333*O333</f>
        <v/>
      </c>
      <c r="AJ333" s="34">
        <f>AA333*P333</f>
        <v/>
      </c>
      <c r="AK333" s="34">
        <f>I333*AA333*P333</f>
        <v/>
      </c>
      <c r="AL333" s="34">
        <f>AJ333-AK333</f>
        <v/>
      </c>
      <c r="AM333" s="34">
        <f>Q333*K333</f>
        <v/>
      </c>
      <c r="AN333" s="34">
        <f>AH333+AL333+AM333</f>
        <v/>
      </c>
      <c r="AO333" s="34">
        <f>(AG333-AA333)*O333</f>
        <v/>
      </c>
      <c r="AP333" s="34">
        <f>W333*N333</f>
        <v/>
      </c>
      <c r="AQ333" s="34">
        <f>T333*N333</f>
        <v/>
      </c>
      <c r="AR333" s="34">
        <f>Z333*J334+0.5*Z333*(O333+P333)</f>
        <v/>
      </c>
      <c r="AS333" s="30">
        <f>(1+InflationRate)^(A333/12)</f>
        <v/>
      </c>
      <c r="AT333" s="29">
        <f>ExpenseAcq*M333+N333*ExpenseMaint/12*AS333</f>
        <v/>
      </c>
      <c r="AU333" s="29">
        <f>CommissionRate*AE333</f>
        <v/>
      </c>
      <c r="AV333" s="34">
        <f>AB334-AB333</f>
        <v/>
      </c>
      <c r="AW333" s="34">
        <f>AE333+AR333-AN333-AT333-AU333-AV333</f>
        <v/>
      </c>
      <c r="AX333" s="29">
        <f>LoadPremRate*E333*N333+AK333+AQ333-AU333-AT333</f>
        <v/>
      </c>
      <c r="AY333" s="34">
        <f>AP333-AO333</f>
        <v/>
      </c>
      <c r="AZ333" s="37">
        <f>(AW333-AX333-AY333)/MAX(1,ABS(AW333),ABS(AX333),ABS(AY333))</f>
        <v/>
      </c>
      <c r="BA333" s="37">
        <f>IF(OR(K333&gt;0,K334&gt;0),0,(AC334-(AC333+AF333-AQ333-AP333+AR333-AI333-AJ333-AM333))/MAX(1,ABS(AC333),ABS(AC334)))</f>
        <v/>
      </c>
      <c r="BB333" s="35">
        <f>(1+INDEX(DiscRateAnn,INT(A333/12)+1))^(1/12)-1</f>
        <v/>
      </c>
      <c r="BC333" s="31">
        <f>(1+BB333)^-A333</f>
        <v/>
      </c>
      <c r="BD333" s="34">
        <f>AW333*BC333</f>
        <v/>
      </c>
    </row>
    <row r="334">
      <c r="A334" s="27">
        <f>A333+1</f>
        <v/>
      </c>
      <c r="B334" s="28">
        <f>Duration0+A334</f>
        <v/>
      </c>
      <c r="C334" s="27">
        <f>INT(B334/12)</f>
        <v/>
      </c>
      <c r="D334" s="28">
        <f>AgeAtEntry+C334</f>
        <v/>
      </c>
      <c r="E334" s="29">
        <f>IF(PremiumType="SINGLE",IF(B334=0,PremiumPPInput,0),IF(B334&lt;12*PolicyTerm,PremiumPPInput,0))</f>
        <v/>
      </c>
      <c r="F334" s="30">
        <f>INDEX(MortRates,MATCH(MIN(D334,120),MortAges,0),MAX(MIN(C334,5),0)+1)</f>
        <v/>
      </c>
      <c r="G334" s="31">
        <f>1-(1-F334)^(1/12)</f>
        <v/>
      </c>
      <c r="H334" s="32">
        <f>MAX(LapseBase-LapseStep*C334,LapseFloor)</f>
        <v/>
      </c>
      <c r="I334" s="32">
        <f>IF(HasSurrCharge,INDEX(SurrRates,MIN(C334,SurrDurMax)+1,MATCH(SurrChargeID,SurrTypes,0)),0)</f>
        <v/>
      </c>
      <c r="J334" s="33">
        <f>N333-P333-O333</f>
        <v/>
      </c>
      <c r="K334" s="30">
        <f>IF(B334=12*PolicyTerm,J334,0)</f>
        <v/>
      </c>
      <c r="L334" s="33">
        <f>J334-K334</f>
        <v/>
      </c>
      <c r="M334" s="30">
        <f>IF(B334=0,PolicyCount,0)</f>
        <v/>
      </c>
      <c r="N334" s="33">
        <f>L334+M334</f>
        <v/>
      </c>
      <c r="O334" s="31">
        <f>N334*G334</f>
        <v/>
      </c>
      <c r="P334" s="33">
        <f>(N334-O334)*(1-(1-H334)^(1/12))</f>
        <v/>
      </c>
      <c r="Q334" s="34">
        <f>X333+Z333</f>
        <v/>
      </c>
      <c r="R334" s="29">
        <f>(1-LoadPremRate)*E334</f>
        <v/>
      </c>
      <c r="S334" s="34">
        <f>Q334+R334</f>
        <v/>
      </c>
      <c r="T334" s="29">
        <f>MaintFeeRateAnn/12*S334</f>
        <v/>
      </c>
      <c r="U334" s="29">
        <f>MAX(SumAssured-S334,0)</f>
        <v/>
      </c>
      <c r="V334" s="35">
        <f>CoiMultiple*G334</f>
        <v/>
      </c>
      <c r="W334" s="34">
        <f>V334*U334</f>
        <v/>
      </c>
      <c r="X334" s="34">
        <f>S334-T334-W334</f>
        <v/>
      </c>
      <c r="Y334" s="36">
        <f>EXP((Mu-0.5*Sigma^2)/12+Sigma*SQRT(1/12)*INDEX(NormRand,ScenID,A334+1))-1</f>
        <v/>
      </c>
      <c r="Z334" s="34">
        <f>Y334*X334</f>
        <v/>
      </c>
      <c r="AA334" s="34">
        <f>X334+0.5*Z334</f>
        <v/>
      </c>
      <c r="AB334" s="34">
        <f>Q334*J334</f>
        <v/>
      </c>
      <c r="AC334" s="34">
        <f>Q334*L334</f>
        <v/>
      </c>
      <c r="AD334" s="34">
        <f>S334*N334</f>
        <v/>
      </c>
      <c r="AE334" s="34">
        <f>E334*N334</f>
        <v/>
      </c>
      <c r="AF334" s="34">
        <f>R334*N334</f>
        <v/>
      </c>
      <c r="AG334" s="29">
        <f>MAX(SumAssured,AA334)</f>
        <v/>
      </c>
      <c r="AH334" s="34">
        <f>AG334*O334</f>
        <v/>
      </c>
      <c r="AI334" s="34">
        <f>AA334*O334</f>
        <v/>
      </c>
      <c r="AJ334" s="34">
        <f>AA334*P334</f>
        <v/>
      </c>
      <c r="AK334" s="34">
        <f>I334*AA334*P334</f>
        <v/>
      </c>
      <c r="AL334" s="34">
        <f>AJ334-AK334</f>
        <v/>
      </c>
      <c r="AM334" s="34">
        <f>Q334*K334</f>
        <v/>
      </c>
      <c r="AN334" s="34">
        <f>AH334+AL334+AM334</f>
        <v/>
      </c>
      <c r="AO334" s="34">
        <f>(AG334-AA334)*O334</f>
        <v/>
      </c>
      <c r="AP334" s="34">
        <f>W334*N334</f>
        <v/>
      </c>
      <c r="AQ334" s="34">
        <f>T334*N334</f>
        <v/>
      </c>
      <c r="AR334" s="34">
        <f>Z334*J335+0.5*Z334*(O334+P334)</f>
        <v/>
      </c>
      <c r="AS334" s="30">
        <f>(1+InflationRate)^(A334/12)</f>
        <v/>
      </c>
      <c r="AT334" s="29">
        <f>ExpenseAcq*M334+N334*ExpenseMaint/12*AS334</f>
        <v/>
      </c>
      <c r="AU334" s="29">
        <f>CommissionRate*AE334</f>
        <v/>
      </c>
      <c r="AV334" s="34">
        <f>AB335-AB334</f>
        <v/>
      </c>
      <c r="AW334" s="34">
        <f>AE334+AR334-AN334-AT334-AU334-AV334</f>
        <v/>
      </c>
      <c r="AX334" s="29">
        <f>LoadPremRate*E334*N334+AK334+AQ334-AU334-AT334</f>
        <v/>
      </c>
      <c r="AY334" s="34">
        <f>AP334-AO334</f>
        <v/>
      </c>
      <c r="AZ334" s="37">
        <f>(AW334-AX334-AY334)/MAX(1,ABS(AW334),ABS(AX334),ABS(AY334))</f>
        <v/>
      </c>
      <c r="BA334" s="37">
        <f>IF(OR(K334&gt;0,K335&gt;0),0,(AC335-(AC334+AF334-AQ334-AP334+AR334-AI334-AJ334-AM334))/MAX(1,ABS(AC334),ABS(AC335)))</f>
        <v/>
      </c>
      <c r="BB334" s="35">
        <f>(1+INDEX(DiscRateAnn,INT(A334/12)+1))^(1/12)-1</f>
        <v/>
      </c>
      <c r="BC334" s="31">
        <f>(1+BB334)^-A334</f>
        <v/>
      </c>
      <c r="BD334" s="34">
        <f>AW334*BC334</f>
        <v/>
      </c>
    </row>
    <row r="335">
      <c r="A335" s="27">
        <f>A334+1</f>
        <v/>
      </c>
      <c r="B335" s="28">
        <f>Duration0+A335</f>
        <v/>
      </c>
      <c r="C335" s="27">
        <f>INT(B335/12)</f>
        <v/>
      </c>
      <c r="D335" s="28">
        <f>AgeAtEntry+C335</f>
        <v/>
      </c>
      <c r="E335" s="29">
        <f>IF(PremiumType="SINGLE",IF(B335=0,PremiumPPInput,0),IF(B335&lt;12*PolicyTerm,PremiumPPInput,0))</f>
        <v/>
      </c>
      <c r="F335" s="30">
        <f>INDEX(MortRates,MATCH(MIN(D335,120),MortAges,0),MAX(MIN(C335,5),0)+1)</f>
        <v/>
      </c>
      <c r="G335" s="31">
        <f>1-(1-F335)^(1/12)</f>
        <v/>
      </c>
      <c r="H335" s="32">
        <f>MAX(LapseBase-LapseStep*C335,LapseFloor)</f>
        <v/>
      </c>
      <c r="I335" s="32">
        <f>IF(HasSurrCharge,INDEX(SurrRates,MIN(C335,SurrDurMax)+1,MATCH(SurrChargeID,SurrTypes,0)),0)</f>
        <v/>
      </c>
      <c r="J335" s="33">
        <f>N334-P334-O334</f>
        <v/>
      </c>
      <c r="K335" s="30">
        <f>IF(B335=12*PolicyTerm,J335,0)</f>
        <v/>
      </c>
      <c r="L335" s="33">
        <f>J335-K335</f>
        <v/>
      </c>
      <c r="M335" s="30">
        <f>IF(B335=0,PolicyCount,0)</f>
        <v/>
      </c>
      <c r="N335" s="33">
        <f>L335+M335</f>
        <v/>
      </c>
      <c r="O335" s="31">
        <f>N335*G335</f>
        <v/>
      </c>
      <c r="P335" s="33">
        <f>(N335-O335)*(1-(1-H335)^(1/12))</f>
        <v/>
      </c>
      <c r="Q335" s="34">
        <f>X334+Z334</f>
        <v/>
      </c>
      <c r="R335" s="29">
        <f>(1-LoadPremRate)*E335</f>
        <v/>
      </c>
      <c r="S335" s="34">
        <f>Q335+R335</f>
        <v/>
      </c>
      <c r="T335" s="29">
        <f>MaintFeeRateAnn/12*S335</f>
        <v/>
      </c>
      <c r="U335" s="29">
        <f>MAX(SumAssured-S335,0)</f>
        <v/>
      </c>
      <c r="V335" s="35">
        <f>CoiMultiple*G335</f>
        <v/>
      </c>
      <c r="W335" s="34">
        <f>V335*U335</f>
        <v/>
      </c>
      <c r="X335" s="34">
        <f>S335-T335-W335</f>
        <v/>
      </c>
      <c r="Y335" s="36">
        <f>EXP((Mu-0.5*Sigma^2)/12+Sigma*SQRT(1/12)*INDEX(NormRand,ScenID,A335+1))-1</f>
        <v/>
      </c>
      <c r="Z335" s="34">
        <f>Y335*X335</f>
        <v/>
      </c>
      <c r="AA335" s="34">
        <f>X335+0.5*Z335</f>
        <v/>
      </c>
      <c r="AB335" s="34">
        <f>Q335*J335</f>
        <v/>
      </c>
      <c r="AC335" s="34">
        <f>Q335*L335</f>
        <v/>
      </c>
      <c r="AD335" s="34">
        <f>S335*N335</f>
        <v/>
      </c>
      <c r="AE335" s="34">
        <f>E335*N335</f>
        <v/>
      </c>
      <c r="AF335" s="34">
        <f>R335*N335</f>
        <v/>
      </c>
      <c r="AG335" s="29">
        <f>MAX(SumAssured,AA335)</f>
        <v/>
      </c>
      <c r="AH335" s="34">
        <f>AG335*O335</f>
        <v/>
      </c>
      <c r="AI335" s="34">
        <f>AA335*O335</f>
        <v/>
      </c>
      <c r="AJ335" s="34">
        <f>AA335*P335</f>
        <v/>
      </c>
      <c r="AK335" s="34">
        <f>I335*AA335*P335</f>
        <v/>
      </c>
      <c r="AL335" s="34">
        <f>AJ335-AK335</f>
        <v/>
      </c>
      <c r="AM335" s="34">
        <f>Q335*K335</f>
        <v/>
      </c>
      <c r="AN335" s="34">
        <f>AH335+AL335+AM335</f>
        <v/>
      </c>
      <c r="AO335" s="34">
        <f>(AG335-AA335)*O335</f>
        <v/>
      </c>
      <c r="AP335" s="34">
        <f>W335*N335</f>
        <v/>
      </c>
      <c r="AQ335" s="34">
        <f>T335*N335</f>
        <v/>
      </c>
      <c r="AR335" s="34">
        <f>Z335*J336+0.5*Z335*(O335+P335)</f>
        <v/>
      </c>
      <c r="AS335" s="30">
        <f>(1+InflationRate)^(A335/12)</f>
        <v/>
      </c>
      <c r="AT335" s="29">
        <f>ExpenseAcq*M335+N335*ExpenseMaint/12*AS335</f>
        <v/>
      </c>
      <c r="AU335" s="29">
        <f>CommissionRate*AE335</f>
        <v/>
      </c>
      <c r="AV335" s="34">
        <f>AB336-AB335</f>
        <v/>
      </c>
      <c r="AW335" s="34">
        <f>AE335+AR335-AN335-AT335-AU335-AV335</f>
        <v/>
      </c>
      <c r="AX335" s="29">
        <f>LoadPremRate*E335*N335+AK335+AQ335-AU335-AT335</f>
        <v/>
      </c>
      <c r="AY335" s="34">
        <f>AP335-AO335</f>
        <v/>
      </c>
      <c r="AZ335" s="37">
        <f>(AW335-AX335-AY335)/MAX(1,ABS(AW335),ABS(AX335),ABS(AY335))</f>
        <v/>
      </c>
      <c r="BA335" s="37">
        <f>IF(OR(K335&gt;0,K336&gt;0),0,(AC336-(AC335+AF335-AQ335-AP335+AR335-AI335-AJ335-AM335))/MAX(1,ABS(AC335),ABS(AC336)))</f>
        <v/>
      </c>
      <c r="BB335" s="35">
        <f>(1+INDEX(DiscRateAnn,INT(A335/12)+1))^(1/12)-1</f>
        <v/>
      </c>
      <c r="BC335" s="31">
        <f>(1+BB335)^-A335</f>
        <v/>
      </c>
      <c r="BD335" s="34">
        <f>AW335*BC335</f>
        <v/>
      </c>
    </row>
    <row r="336">
      <c r="A336" s="27">
        <f>A335+1</f>
        <v/>
      </c>
      <c r="B336" s="28">
        <f>Duration0+A336</f>
        <v/>
      </c>
      <c r="C336" s="27">
        <f>INT(B336/12)</f>
        <v/>
      </c>
      <c r="D336" s="28">
        <f>AgeAtEntry+C336</f>
        <v/>
      </c>
      <c r="E336" s="29">
        <f>IF(PremiumType="SINGLE",IF(B336=0,PremiumPPInput,0),IF(B336&lt;12*PolicyTerm,PremiumPPInput,0))</f>
        <v/>
      </c>
      <c r="F336" s="30">
        <f>INDEX(MortRates,MATCH(MIN(D336,120),MortAges,0),MAX(MIN(C336,5),0)+1)</f>
        <v/>
      </c>
      <c r="G336" s="31">
        <f>1-(1-F336)^(1/12)</f>
        <v/>
      </c>
      <c r="H336" s="32">
        <f>MAX(LapseBase-LapseStep*C336,LapseFloor)</f>
        <v/>
      </c>
      <c r="I336" s="32">
        <f>IF(HasSurrCharge,INDEX(SurrRates,MIN(C336,SurrDurMax)+1,MATCH(SurrChargeID,SurrTypes,0)),0)</f>
        <v/>
      </c>
      <c r="J336" s="33">
        <f>N335-P335-O335</f>
        <v/>
      </c>
      <c r="K336" s="30">
        <f>IF(B336=12*PolicyTerm,J336,0)</f>
        <v/>
      </c>
      <c r="L336" s="33">
        <f>J336-K336</f>
        <v/>
      </c>
      <c r="M336" s="30">
        <f>IF(B336=0,PolicyCount,0)</f>
        <v/>
      </c>
      <c r="N336" s="33">
        <f>L336+M336</f>
        <v/>
      </c>
      <c r="O336" s="31">
        <f>N336*G336</f>
        <v/>
      </c>
      <c r="P336" s="33">
        <f>(N336-O336)*(1-(1-H336)^(1/12))</f>
        <v/>
      </c>
      <c r="Q336" s="34">
        <f>X335+Z335</f>
        <v/>
      </c>
      <c r="R336" s="29">
        <f>(1-LoadPremRate)*E336</f>
        <v/>
      </c>
      <c r="S336" s="34">
        <f>Q336+R336</f>
        <v/>
      </c>
      <c r="T336" s="29">
        <f>MaintFeeRateAnn/12*S336</f>
        <v/>
      </c>
      <c r="U336" s="29">
        <f>MAX(SumAssured-S336,0)</f>
        <v/>
      </c>
      <c r="V336" s="35">
        <f>CoiMultiple*G336</f>
        <v/>
      </c>
      <c r="W336" s="34">
        <f>V336*U336</f>
        <v/>
      </c>
      <c r="X336" s="34">
        <f>S336-T336-W336</f>
        <v/>
      </c>
      <c r="Y336" s="36">
        <f>EXP((Mu-0.5*Sigma^2)/12+Sigma*SQRT(1/12)*INDEX(NormRand,ScenID,A336+1))-1</f>
        <v/>
      </c>
      <c r="Z336" s="34">
        <f>Y336*X336</f>
        <v/>
      </c>
      <c r="AA336" s="34">
        <f>X336+0.5*Z336</f>
        <v/>
      </c>
      <c r="AB336" s="34">
        <f>Q336*J336</f>
        <v/>
      </c>
      <c r="AC336" s="34">
        <f>Q336*L336</f>
        <v/>
      </c>
      <c r="AD336" s="34">
        <f>S336*N336</f>
        <v/>
      </c>
      <c r="AE336" s="34">
        <f>E336*N336</f>
        <v/>
      </c>
      <c r="AF336" s="34">
        <f>R336*N336</f>
        <v/>
      </c>
      <c r="AG336" s="29">
        <f>MAX(SumAssured,AA336)</f>
        <v/>
      </c>
      <c r="AH336" s="34">
        <f>AG336*O336</f>
        <v/>
      </c>
      <c r="AI336" s="34">
        <f>AA336*O336</f>
        <v/>
      </c>
      <c r="AJ336" s="34">
        <f>AA336*P336</f>
        <v/>
      </c>
      <c r="AK336" s="34">
        <f>I336*AA336*P336</f>
        <v/>
      </c>
      <c r="AL336" s="34">
        <f>AJ336-AK336</f>
        <v/>
      </c>
      <c r="AM336" s="34">
        <f>Q336*K336</f>
        <v/>
      </c>
      <c r="AN336" s="34">
        <f>AH336+AL336+AM336</f>
        <v/>
      </c>
      <c r="AO336" s="34">
        <f>(AG336-AA336)*O336</f>
        <v/>
      </c>
      <c r="AP336" s="34">
        <f>W336*N336</f>
        <v/>
      </c>
      <c r="AQ336" s="34">
        <f>T336*N336</f>
        <v/>
      </c>
      <c r="AR336" s="34">
        <f>Z336*J337+0.5*Z336*(O336+P336)</f>
        <v/>
      </c>
      <c r="AS336" s="30">
        <f>(1+InflationRate)^(A336/12)</f>
        <v/>
      </c>
      <c r="AT336" s="29">
        <f>ExpenseAcq*M336+N336*ExpenseMaint/12*AS336</f>
        <v/>
      </c>
      <c r="AU336" s="29">
        <f>CommissionRate*AE336</f>
        <v/>
      </c>
      <c r="AV336" s="34">
        <f>AB337-AB336</f>
        <v/>
      </c>
      <c r="AW336" s="34">
        <f>AE336+AR336-AN336-AT336-AU336-AV336</f>
        <v/>
      </c>
      <c r="AX336" s="29">
        <f>LoadPremRate*E336*N336+AK336+AQ336-AU336-AT336</f>
        <v/>
      </c>
      <c r="AY336" s="34">
        <f>AP336-AO336</f>
        <v/>
      </c>
      <c r="AZ336" s="37">
        <f>(AW336-AX336-AY336)/MAX(1,ABS(AW336),ABS(AX336),ABS(AY336))</f>
        <v/>
      </c>
      <c r="BA336" s="37">
        <f>IF(OR(K336&gt;0,K337&gt;0),0,(AC337-(AC336+AF336-AQ336-AP336+AR336-AI336-AJ336-AM336))/MAX(1,ABS(AC336),ABS(AC337)))</f>
        <v/>
      </c>
      <c r="BB336" s="35">
        <f>(1+INDEX(DiscRateAnn,INT(A336/12)+1))^(1/12)-1</f>
        <v/>
      </c>
      <c r="BC336" s="31">
        <f>(1+BB336)^-A336</f>
        <v/>
      </c>
      <c r="BD336" s="34">
        <f>AW336*BC336</f>
        <v/>
      </c>
    </row>
    <row r="337">
      <c r="A337" s="27">
        <f>A336+1</f>
        <v/>
      </c>
      <c r="B337" s="28">
        <f>Duration0+A337</f>
        <v/>
      </c>
      <c r="C337" s="27">
        <f>INT(B337/12)</f>
        <v/>
      </c>
      <c r="D337" s="28">
        <f>AgeAtEntry+C337</f>
        <v/>
      </c>
      <c r="E337" s="29">
        <f>IF(PremiumType="SINGLE",IF(B337=0,PremiumPPInput,0),IF(B337&lt;12*PolicyTerm,PremiumPPInput,0))</f>
        <v/>
      </c>
      <c r="F337" s="30">
        <f>INDEX(MortRates,MATCH(MIN(D337,120),MortAges,0),MAX(MIN(C337,5),0)+1)</f>
        <v/>
      </c>
      <c r="G337" s="31">
        <f>1-(1-F337)^(1/12)</f>
        <v/>
      </c>
      <c r="H337" s="32">
        <f>MAX(LapseBase-LapseStep*C337,LapseFloor)</f>
        <v/>
      </c>
      <c r="I337" s="32">
        <f>IF(HasSurrCharge,INDEX(SurrRates,MIN(C337,SurrDurMax)+1,MATCH(SurrChargeID,SurrTypes,0)),0)</f>
        <v/>
      </c>
      <c r="J337" s="33">
        <f>N336-P336-O336</f>
        <v/>
      </c>
      <c r="K337" s="30">
        <f>IF(B337=12*PolicyTerm,J337,0)</f>
        <v/>
      </c>
      <c r="L337" s="33">
        <f>J337-K337</f>
        <v/>
      </c>
      <c r="M337" s="30">
        <f>IF(B337=0,PolicyCount,0)</f>
        <v/>
      </c>
      <c r="N337" s="33">
        <f>L337+M337</f>
        <v/>
      </c>
      <c r="O337" s="31">
        <f>N337*G337</f>
        <v/>
      </c>
      <c r="P337" s="33">
        <f>(N337-O337)*(1-(1-H337)^(1/12))</f>
        <v/>
      </c>
      <c r="Q337" s="34">
        <f>X336+Z336</f>
        <v/>
      </c>
      <c r="R337" s="29">
        <f>(1-LoadPremRate)*E337</f>
        <v/>
      </c>
      <c r="S337" s="34">
        <f>Q337+R337</f>
        <v/>
      </c>
      <c r="T337" s="29">
        <f>MaintFeeRateAnn/12*S337</f>
        <v/>
      </c>
      <c r="U337" s="29">
        <f>MAX(SumAssured-S337,0)</f>
        <v/>
      </c>
      <c r="V337" s="35">
        <f>CoiMultiple*G337</f>
        <v/>
      </c>
      <c r="W337" s="34">
        <f>V337*U337</f>
        <v/>
      </c>
      <c r="X337" s="34">
        <f>S337-T337-W337</f>
        <v/>
      </c>
      <c r="Y337" s="36">
        <f>EXP((Mu-0.5*Sigma^2)/12+Sigma*SQRT(1/12)*INDEX(NormRand,ScenID,A337+1))-1</f>
        <v/>
      </c>
      <c r="Z337" s="34">
        <f>Y337*X337</f>
        <v/>
      </c>
      <c r="AA337" s="34">
        <f>X337+0.5*Z337</f>
        <v/>
      </c>
      <c r="AB337" s="34">
        <f>Q337*J337</f>
        <v/>
      </c>
      <c r="AC337" s="34">
        <f>Q337*L337</f>
        <v/>
      </c>
      <c r="AD337" s="34">
        <f>S337*N337</f>
        <v/>
      </c>
      <c r="AE337" s="34">
        <f>E337*N337</f>
        <v/>
      </c>
      <c r="AF337" s="34">
        <f>R337*N337</f>
        <v/>
      </c>
      <c r="AG337" s="29">
        <f>MAX(SumAssured,AA337)</f>
        <v/>
      </c>
      <c r="AH337" s="34">
        <f>AG337*O337</f>
        <v/>
      </c>
      <c r="AI337" s="34">
        <f>AA337*O337</f>
        <v/>
      </c>
      <c r="AJ337" s="34">
        <f>AA337*P337</f>
        <v/>
      </c>
      <c r="AK337" s="34">
        <f>I337*AA337*P337</f>
        <v/>
      </c>
      <c r="AL337" s="34">
        <f>AJ337-AK337</f>
        <v/>
      </c>
      <c r="AM337" s="34">
        <f>Q337*K337</f>
        <v/>
      </c>
      <c r="AN337" s="34">
        <f>AH337+AL337+AM337</f>
        <v/>
      </c>
      <c r="AO337" s="34">
        <f>(AG337-AA337)*O337</f>
        <v/>
      </c>
      <c r="AP337" s="34">
        <f>W337*N337</f>
        <v/>
      </c>
      <c r="AQ337" s="34">
        <f>T337*N337</f>
        <v/>
      </c>
      <c r="AR337" s="34">
        <f>Z337*J338+0.5*Z337*(O337+P337)</f>
        <v/>
      </c>
      <c r="AS337" s="30">
        <f>(1+InflationRate)^(A337/12)</f>
        <v/>
      </c>
      <c r="AT337" s="29">
        <f>ExpenseAcq*M337+N337*ExpenseMaint/12*AS337</f>
        <v/>
      </c>
      <c r="AU337" s="29">
        <f>CommissionRate*AE337</f>
        <v/>
      </c>
      <c r="AV337" s="34">
        <f>AB338-AB337</f>
        <v/>
      </c>
      <c r="AW337" s="34">
        <f>AE337+AR337-AN337-AT337-AU337-AV337</f>
        <v/>
      </c>
      <c r="AX337" s="29">
        <f>LoadPremRate*E337*N337+AK337+AQ337-AU337-AT337</f>
        <v/>
      </c>
      <c r="AY337" s="34">
        <f>AP337-AO337</f>
        <v/>
      </c>
      <c r="AZ337" s="37">
        <f>(AW337-AX337-AY337)/MAX(1,ABS(AW337),ABS(AX337),ABS(AY337))</f>
        <v/>
      </c>
      <c r="BA337" s="37">
        <f>IF(OR(K337&gt;0,K338&gt;0),0,(AC338-(AC337+AF337-AQ337-AP337+AR337-AI337-AJ337-AM337))/MAX(1,ABS(AC337),ABS(AC338)))</f>
        <v/>
      </c>
      <c r="BB337" s="35">
        <f>(1+INDEX(DiscRateAnn,INT(A337/12)+1))^(1/12)-1</f>
        <v/>
      </c>
      <c r="BC337" s="31">
        <f>(1+BB337)^-A337</f>
        <v/>
      </c>
      <c r="BD337" s="34">
        <f>AW337*BC337</f>
        <v/>
      </c>
    </row>
    <row r="338">
      <c r="A338" s="27">
        <f>A337+1</f>
        <v/>
      </c>
      <c r="B338" s="28">
        <f>Duration0+A338</f>
        <v/>
      </c>
      <c r="C338" s="27">
        <f>INT(B338/12)</f>
        <v/>
      </c>
      <c r="D338" s="28">
        <f>AgeAtEntry+C338</f>
        <v/>
      </c>
      <c r="E338" s="29">
        <f>IF(PremiumType="SINGLE",IF(B338=0,PremiumPPInput,0),IF(B338&lt;12*PolicyTerm,PremiumPPInput,0))</f>
        <v/>
      </c>
      <c r="F338" s="30">
        <f>INDEX(MortRates,MATCH(MIN(D338,120),MortAges,0),MAX(MIN(C338,5),0)+1)</f>
        <v/>
      </c>
      <c r="G338" s="31">
        <f>1-(1-F338)^(1/12)</f>
        <v/>
      </c>
      <c r="H338" s="32">
        <f>MAX(LapseBase-LapseStep*C338,LapseFloor)</f>
        <v/>
      </c>
      <c r="I338" s="32">
        <f>IF(HasSurrCharge,INDEX(SurrRates,MIN(C338,SurrDurMax)+1,MATCH(SurrChargeID,SurrTypes,0)),0)</f>
        <v/>
      </c>
      <c r="J338" s="33">
        <f>N337-P337-O337</f>
        <v/>
      </c>
      <c r="K338" s="30">
        <f>IF(B338=12*PolicyTerm,J338,0)</f>
        <v/>
      </c>
      <c r="L338" s="33">
        <f>J338-K338</f>
        <v/>
      </c>
      <c r="M338" s="30">
        <f>IF(B338=0,PolicyCount,0)</f>
        <v/>
      </c>
      <c r="N338" s="33">
        <f>L338+M338</f>
        <v/>
      </c>
      <c r="O338" s="31">
        <f>N338*G338</f>
        <v/>
      </c>
      <c r="P338" s="33">
        <f>(N338-O338)*(1-(1-H338)^(1/12))</f>
        <v/>
      </c>
      <c r="Q338" s="34">
        <f>X337+Z337</f>
        <v/>
      </c>
      <c r="R338" s="29">
        <f>(1-LoadPremRate)*E338</f>
        <v/>
      </c>
      <c r="S338" s="34">
        <f>Q338+R338</f>
        <v/>
      </c>
      <c r="T338" s="29">
        <f>MaintFeeRateAnn/12*S338</f>
        <v/>
      </c>
      <c r="U338" s="29">
        <f>MAX(SumAssured-S338,0)</f>
        <v/>
      </c>
      <c r="V338" s="35">
        <f>CoiMultiple*G338</f>
        <v/>
      </c>
      <c r="W338" s="34">
        <f>V338*U338</f>
        <v/>
      </c>
      <c r="X338" s="34">
        <f>S338-T338-W338</f>
        <v/>
      </c>
      <c r="Y338" s="36">
        <f>EXP((Mu-0.5*Sigma^2)/12+Sigma*SQRT(1/12)*INDEX(NormRand,ScenID,A338+1))-1</f>
        <v/>
      </c>
      <c r="Z338" s="34">
        <f>Y338*X338</f>
        <v/>
      </c>
      <c r="AA338" s="34">
        <f>X338+0.5*Z338</f>
        <v/>
      </c>
      <c r="AB338" s="34">
        <f>Q338*J338</f>
        <v/>
      </c>
      <c r="AC338" s="34">
        <f>Q338*L338</f>
        <v/>
      </c>
      <c r="AD338" s="34">
        <f>S338*N338</f>
        <v/>
      </c>
      <c r="AE338" s="34">
        <f>E338*N338</f>
        <v/>
      </c>
      <c r="AF338" s="34">
        <f>R338*N338</f>
        <v/>
      </c>
      <c r="AG338" s="29">
        <f>MAX(SumAssured,AA338)</f>
        <v/>
      </c>
      <c r="AH338" s="34">
        <f>AG338*O338</f>
        <v/>
      </c>
      <c r="AI338" s="34">
        <f>AA338*O338</f>
        <v/>
      </c>
      <c r="AJ338" s="34">
        <f>AA338*P338</f>
        <v/>
      </c>
      <c r="AK338" s="34">
        <f>I338*AA338*P338</f>
        <v/>
      </c>
      <c r="AL338" s="34">
        <f>AJ338-AK338</f>
        <v/>
      </c>
      <c r="AM338" s="34">
        <f>Q338*K338</f>
        <v/>
      </c>
      <c r="AN338" s="34">
        <f>AH338+AL338+AM338</f>
        <v/>
      </c>
      <c r="AO338" s="34">
        <f>(AG338-AA338)*O338</f>
        <v/>
      </c>
      <c r="AP338" s="34">
        <f>W338*N338</f>
        <v/>
      </c>
      <c r="AQ338" s="34">
        <f>T338*N338</f>
        <v/>
      </c>
      <c r="AR338" s="34">
        <f>Z338*J339+0.5*Z338*(O338+P338)</f>
        <v/>
      </c>
      <c r="AS338" s="30">
        <f>(1+InflationRate)^(A338/12)</f>
        <v/>
      </c>
      <c r="AT338" s="29">
        <f>ExpenseAcq*M338+N338*ExpenseMaint/12*AS338</f>
        <v/>
      </c>
      <c r="AU338" s="29">
        <f>CommissionRate*AE338</f>
        <v/>
      </c>
      <c r="AV338" s="34">
        <f>AB339-AB338</f>
        <v/>
      </c>
      <c r="AW338" s="34">
        <f>AE338+AR338-AN338-AT338-AU338-AV338</f>
        <v/>
      </c>
      <c r="AX338" s="29">
        <f>LoadPremRate*E338*N338+AK338+AQ338-AU338-AT338</f>
        <v/>
      </c>
      <c r="AY338" s="34">
        <f>AP338-AO338</f>
        <v/>
      </c>
      <c r="AZ338" s="37">
        <f>(AW338-AX338-AY338)/MAX(1,ABS(AW338),ABS(AX338),ABS(AY338))</f>
        <v/>
      </c>
      <c r="BA338" s="37">
        <f>IF(OR(K338&gt;0,K339&gt;0),0,(AC339-(AC338+AF338-AQ338-AP338+AR338-AI338-AJ338-AM338))/MAX(1,ABS(AC338),ABS(AC339)))</f>
        <v/>
      </c>
      <c r="BB338" s="35">
        <f>(1+INDEX(DiscRateAnn,INT(A338/12)+1))^(1/12)-1</f>
        <v/>
      </c>
      <c r="BC338" s="31">
        <f>(1+BB338)^-A338</f>
        <v/>
      </c>
      <c r="BD338" s="34">
        <f>AW338*BC338</f>
        <v/>
      </c>
    </row>
    <row r="339">
      <c r="A339" s="27">
        <f>A338+1</f>
        <v/>
      </c>
      <c r="B339" s="28">
        <f>Duration0+A339</f>
        <v/>
      </c>
      <c r="C339" s="27">
        <f>INT(B339/12)</f>
        <v/>
      </c>
      <c r="D339" s="28">
        <f>AgeAtEntry+C339</f>
        <v/>
      </c>
      <c r="E339" s="29">
        <f>IF(PremiumType="SINGLE",IF(B339=0,PremiumPPInput,0),IF(B339&lt;12*PolicyTerm,PremiumPPInput,0))</f>
        <v/>
      </c>
      <c r="F339" s="30">
        <f>INDEX(MortRates,MATCH(MIN(D339,120),MortAges,0),MAX(MIN(C339,5),0)+1)</f>
        <v/>
      </c>
      <c r="G339" s="31">
        <f>1-(1-F339)^(1/12)</f>
        <v/>
      </c>
      <c r="H339" s="32">
        <f>MAX(LapseBase-LapseStep*C339,LapseFloor)</f>
        <v/>
      </c>
      <c r="I339" s="32">
        <f>IF(HasSurrCharge,INDEX(SurrRates,MIN(C339,SurrDurMax)+1,MATCH(SurrChargeID,SurrTypes,0)),0)</f>
        <v/>
      </c>
      <c r="J339" s="33">
        <f>N338-P338-O338</f>
        <v/>
      </c>
      <c r="K339" s="30">
        <f>IF(B339=12*PolicyTerm,J339,0)</f>
        <v/>
      </c>
      <c r="L339" s="33">
        <f>J339-K339</f>
        <v/>
      </c>
      <c r="M339" s="30">
        <f>IF(B339=0,PolicyCount,0)</f>
        <v/>
      </c>
      <c r="N339" s="33">
        <f>L339+M339</f>
        <v/>
      </c>
      <c r="O339" s="31">
        <f>N339*G339</f>
        <v/>
      </c>
      <c r="P339" s="33">
        <f>(N339-O339)*(1-(1-H339)^(1/12))</f>
        <v/>
      </c>
      <c r="Q339" s="34">
        <f>X338+Z338</f>
        <v/>
      </c>
      <c r="R339" s="29">
        <f>(1-LoadPremRate)*E339</f>
        <v/>
      </c>
      <c r="S339" s="34">
        <f>Q339+R339</f>
        <v/>
      </c>
      <c r="T339" s="29">
        <f>MaintFeeRateAnn/12*S339</f>
        <v/>
      </c>
      <c r="U339" s="29">
        <f>MAX(SumAssured-S339,0)</f>
        <v/>
      </c>
      <c r="V339" s="35">
        <f>CoiMultiple*G339</f>
        <v/>
      </c>
      <c r="W339" s="34">
        <f>V339*U339</f>
        <v/>
      </c>
      <c r="X339" s="34">
        <f>S339-T339-W339</f>
        <v/>
      </c>
      <c r="Y339" s="36">
        <f>EXP((Mu-0.5*Sigma^2)/12+Sigma*SQRT(1/12)*INDEX(NormRand,ScenID,A339+1))-1</f>
        <v/>
      </c>
      <c r="Z339" s="34">
        <f>Y339*X339</f>
        <v/>
      </c>
      <c r="AA339" s="34">
        <f>X339+0.5*Z339</f>
        <v/>
      </c>
      <c r="AB339" s="34">
        <f>Q339*J339</f>
        <v/>
      </c>
      <c r="AC339" s="34">
        <f>Q339*L339</f>
        <v/>
      </c>
      <c r="AD339" s="34">
        <f>S339*N339</f>
        <v/>
      </c>
      <c r="AE339" s="34">
        <f>E339*N339</f>
        <v/>
      </c>
      <c r="AF339" s="34">
        <f>R339*N339</f>
        <v/>
      </c>
      <c r="AG339" s="29">
        <f>MAX(SumAssured,AA339)</f>
        <v/>
      </c>
      <c r="AH339" s="34">
        <f>AG339*O339</f>
        <v/>
      </c>
      <c r="AI339" s="34">
        <f>AA339*O339</f>
        <v/>
      </c>
      <c r="AJ339" s="34">
        <f>AA339*P339</f>
        <v/>
      </c>
      <c r="AK339" s="34">
        <f>I339*AA339*P339</f>
        <v/>
      </c>
      <c r="AL339" s="34">
        <f>AJ339-AK339</f>
        <v/>
      </c>
      <c r="AM339" s="34">
        <f>Q339*K339</f>
        <v/>
      </c>
      <c r="AN339" s="34">
        <f>AH339+AL339+AM339</f>
        <v/>
      </c>
      <c r="AO339" s="34">
        <f>(AG339-AA339)*O339</f>
        <v/>
      </c>
      <c r="AP339" s="34">
        <f>W339*N339</f>
        <v/>
      </c>
      <c r="AQ339" s="34">
        <f>T339*N339</f>
        <v/>
      </c>
      <c r="AR339" s="34">
        <f>Z339*J340+0.5*Z339*(O339+P339)</f>
        <v/>
      </c>
      <c r="AS339" s="30">
        <f>(1+InflationRate)^(A339/12)</f>
        <v/>
      </c>
      <c r="AT339" s="29">
        <f>ExpenseAcq*M339+N339*ExpenseMaint/12*AS339</f>
        <v/>
      </c>
      <c r="AU339" s="29">
        <f>CommissionRate*AE339</f>
        <v/>
      </c>
      <c r="AV339" s="34">
        <f>AB340-AB339</f>
        <v/>
      </c>
      <c r="AW339" s="34">
        <f>AE339+AR339-AN339-AT339-AU339-AV339</f>
        <v/>
      </c>
      <c r="AX339" s="29">
        <f>LoadPremRate*E339*N339+AK339+AQ339-AU339-AT339</f>
        <v/>
      </c>
      <c r="AY339" s="34">
        <f>AP339-AO339</f>
        <v/>
      </c>
      <c r="AZ339" s="37">
        <f>(AW339-AX339-AY339)/MAX(1,ABS(AW339),ABS(AX339),ABS(AY339))</f>
        <v/>
      </c>
      <c r="BA339" s="37">
        <f>IF(OR(K339&gt;0,K340&gt;0),0,(AC340-(AC339+AF339-AQ339-AP339+AR339-AI339-AJ339-AM339))/MAX(1,ABS(AC339),ABS(AC340)))</f>
        <v/>
      </c>
      <c r="BB339" s="35">
        <f>(1+INDEX(DiscRateAnn,INT(A339/12)+1))^(1/12)-1</f>
        <v/>
      </c>
      <c r="BC339" s="31">
        <f>(1+BB339)^-A339</f>
        <v/>
      </c>
      <c r="BD339" s="34">
        <f>AW339*BC339</f>
        <v/>
      </c>
    </row>
    <row r="340">
      <c r="A340" s="27">
        <f>A339+1</f>
        <v/>
      </c>
      <c r="B340" s="28">
        <f>Duration0+A340</f>
        <v/>
      </c>
      <c r="C340" s="27">
        <f>INT(B340/12)</f>
        <v/>
      </c>
      <c r="D340" s="28">
        <f>AgeAtEntry+C340</f>
        <v/>
      </c>
      <c r="E340" s="29">
        <f>IF(PremiumType="SINGLE",IF(B340=0,PremiumPPInput,0),IF(B340&lt;12*PolicyTerm,PremiumPPInput,0))</f>
        <v/>
      </c>
      <c r="F340" s="30">
        <f>INDEX(MortRates,MATCH(MIN(D340,120),MortAges,0),MAX(MIN(C340,5),0)+1)</f>
        <v/>
      </c>
      <c r="G340" s="31">
        <f>1-(1-F340)^(1/12)</f>
        <v/>
      </c>
      <c r="H340" s="32">
        <f>MAX(LapseBase-LapseStep*C340,LapseFloor)</f>
        <v/>
      </c>
      <c r="I340" s="32">
        <f>IF(HasSurrCharge,INDEX(SurrRates,MIN(C340,SurrDurMax)+1,MATCH(SurrChargeID,SurrTypes,0)),0)</f>
        <v/>
      </c>
      <c r="J340" s="33">
        <f>N339-P339-O339</f>
        <v/>
      </c>
      <c r="K340" s="30">
        <f>IF(B340=12*PolicyTerm,J340,0)</f>
        <v/>
      </c>
      <c r="L340" s="33">
        <f>J340-K340</f>
        <v/>
      </c>
      <c r="M340" s="30">
        <f>IF(B340=0,PolicyCount,0)</f>
        <v/>
      </c>
      <c r="N340" s="33">
        <f>L340+M340</f>
        <v/>
      </c>
      <c r="O340" s="31">
        <f>N340*G340</f>
        <v/>
      </c>
      <c r="P340" s="33">
        <f>(N340-O340)*(1-(1-H340)^(1/12))</f>
        <v/>
      </c>
      <c r="Q340" s="34">
        <f>X339+Z339</f>
        <v/>
      </c>
      <c r="R340" s="29">
        <f>(1-LoadPremRate)*E340</f>
        <v/>
      </c>
      <c r="S340" s="34">
        <f>Q340+R340</f>
        <v/>
      </c>
      <c r="T340" s="29">
        <f>MaintFeeRateAnn/12*S340</f>
        <v/>
      </c>
      <c r="U340" s="29">
        <f>MAX(SumAssured-S340,0)</f>
        <v/>
      </c>
      <c r="V340" s="35">
        <f>CoiMultiple*G340</f>
        <v/>
      </c>
      <c r="W340" s="34">
        <f>V340*U340</f>
        <v/>
      </c>
      <c r="X340" s="34">
        <f>S340-T340-W340</f>
        <v/>
      </c>
      <c r="Y340" s="36">
        <f>EXP((Mu-0.5*Sigma^2)/12+Sigma*SQRT(1/12)*INDEX(NormRand,ScenID,A340+1))-1</f>
        <v/>
      </c>
      <c r="Z340" s="34">
        <f>Y340*X340</f>
        <v/>
      </c>
      <c r="AA340" s="34">
        <f>X340+0.5*Z340</f>
        <v/>
      </c>
      <c r="AB340" s="34">
        <f>Q340*J340</f>
        <v/>
      </c>
      <c r="AC340" s="34">
        <f>Q340*L340</f>
        <v/>
      </c>
      <c r="AD340" s="34">
        <f>S340*N340</f>
        <v/>
      </c>
      <c r="AE340" s="34">
        <f>E340*N340</f>
        <v/>
      </c>
      <c r="AF340" s="34">
        <f>R340*N340</f>
        <v/>
      </c>
      <c r="AG340" s="29">
        <f>MAX(SumAssured,AA340)</f>
        <v/>
      </c>
      <c r="AH340" s="34">
        <f>AG340*O340</f>
        <v/>
      </c>
      <c r="AI340" s="34">
        <f>AA340*O340</f>
        <v/>
      </c>
      <c r="AJ340" s="34">
        <f>AA340*P340</f>
        <v/>
      </c>
      <c r="AK340" s="34">
        <f>I340*AA340*P340</f>
        <v/>
      </c>
      <c r="AL340" s="34">
        <f>AJ340-AK340</f>
        <v/>
      </c>
      <c r="AM340" s="34">
        <f>Q340*K340</f>
        <v/>
      </c>
      <c r="AN340" s="34">
        <f>AH340+AL340+AM340</f>
        <v/>
      </c>
      <c r="AO340" s="34">
        <f>(AG340-AA340)*O340</f>
        <v/>
      </c>
      <c r="AP340" s="34">
        <f>W340*N340</f>
        <v/>
      </c>
      <c r="AQ340" s="34">
        <f>T340*N340</f>
        <v/>
      </c>
      <c r="AR340" s="34">
        <f>Z340*J341+0.5*Z340*(O340+P340)</f>
        <v/>
      </c>
      <c r="AS340" s="30">
        <f>(1+InflationRate)^(A340/12)</f>
        <v/>
      </c>
      <c r="AT340" s="29">
        <f>ExpenseAcq*M340+N340*ExpenseMaint/12*AS340</f>
        <v/>
      </c>
      <c r="AU340" s="29">
        <f>CommissionRate*AE340</f>
        <v/>
      </c>
      <c r="AV340" s="34">
        <f>AB341-AB340</f>
        <v/>
      </c>
      <c r="AW340" s="34">
        <f>AE340+AR340-AN340-AT340-AU340-AV340</f>
        <v/>
      </c>
      <c r="AX340" s="29">
        <f>LoadPremRate*E340*N340+AK340+AQ340-AU340-AT340</f>
        <v/>
      </c>
      <c r="AY340" s="34">
        <f>AP340-AO340</f>
        <v/>
      </c>
      <c r="AZ340" s="37">
        <f>(AW340-AX340-AY340)/MAX(1,ABS(AW340),ABS(AX340),ABS(AY340))</f>
        <v/>
      </c>
      <c r="BA340" s="37">
        <f>IF(OR(K340&gt;0,K341&gt;0),0,(AC341-(AC340+AF340-AQ340-AP340+AR340-AI340-AJ340-AM340))/MAX(1,ABS(AC340),ABS(AC341)))</f>
        <v/>
      </c>
      <c r="BB340" s="35">
        <f>(1+INDEX(DiscRateAnn,INT(A340/12)+1))^(1/12)-1</f>
        <v/>
      </c>
      <c r="BC340" s="31">
        <f>(1+BB340)^-A340</f>
        <v/>
      </c>
      <c r="BD340" s="34">
        <f>AW340*BC340</f>
        <v/>
      </c>
    </row>
    <row r="341">
      <c r="A341" s="27">
        <f>A340+1</f>
        <v/>
      </c>
      <c r="B341" s="28">
        <f>Duration0+A341</f>
        <v/>
      </c>
      <c r="C341" s="27">
        <f>INT(B341/12)</f>
        <v/>
      </c>
      <c r="D341" s="28">
        <f>AgeAtEntry+C341</f>
        <v/>
      </c>
      <c r="E341" s="29">
        <f>IF(PremiumType="SINGLE",IF(B341=0,PremiumPPInput,0),IF(B341&lt;12*PolicyTerm,PremiumPPInput,0))</f>
        <v/>
      </c>
      <c r="F341" s="30">
        <f>INDEX(MortRates,MATCH(MIN(D341,120),MortAges,0),MAX(MIN(C341,5),0)+1)</f>
        <v/>
      </c>
      <c r="G341" s="31">
        <f>1-(1-F341)^(1/12)</f>
        <v/>
      </c>
      <c r="H341" s="32">
        <f>MAX(LapseBase-LapseStep*C341,LapseFloor)</f>
        <v/>
      </c>
      <c r="I341" s="32">
        <f>IF(HasSurrCharge,INDEX(SurrRates,MIN(C341,SurrDurMax)+1,MATCH(SurrChargeID,SurrTypes,0)),0)</f>
        <v/>
      </c>
      <c r="J341" s="33">
        <f>N340-P340-O340</f>
        <v/>
      </c>
      <c r="K341" s="30">
        <f>IF(B341=12*PolicyTerm,J341,0)</f>
        <v/>
      </c>
      <c r="L341" s="33">
        <f>J341-K341</f>
        <v/>
      </c>
      <c r="M341" s="30">
        <f>IF(B341=0,PolicyCount,0)</f>
        <v/>
      </c>
      <c r="N341" s="33">
        <f>L341+M341</f>
        <v/>
      </c>
      <c r="O341" s="31">
        <f>N341*G341</f>
        <v/>
      </c>
      <c r="P341" s="33">
        <f>(N341-O341)*(1-(1-H341)^(1/12))</f>
        <v/>
      </c>
      <c r="Q341" s="34">
        <f>X340+Z340</f>
        <v/>
      </c>
      <c r="R341" s="29">
        <f>(1-LoadPremRate)*E341</f>
        <v/>
      </c>
      <c r="S341" s="34">
        <f>Q341+R341</f>
        <v/>
      </c>
      <c r="T341" s="29">
        <f>MaintFeeRateAnn/12*S341</f>
        <v/>
      </c>
      <c r="U341" s="29">
        <f>MAX(SumAssured-S341,0)</f>
        <v/>
      </c>
      <c r="V341" s="35">
        <f>CoiMultiple*G341</f>
        <v/>
      </c>
      <c r="W341" s="34">
        <f>V341*U341</f>
        <v/>
      </c>
      <c r="X341" s="34">
        <f>S341-T341-W341</f>
        <v/>
      </c>
      <c r="Y341" s="36">
        <f>EXP((Mu-0.5*Sigma^2)/12+Sigma*SQRT(1/12)*INDEX(NormRand,ScenID,A341+1))-1</f>
        <v/>
      </c>
      <c r="Z341" s="34">
        <f>Y341*X341</f>
        <v/>
      </c>
      <c r="AA341" s="34">
        <f>X341+0.5*Z341</f>
        <v/>
      </c>
      <c r="AB341" s="34">
        <f>Q341*J341</f>
        <v/>
      </c>
      <c r="AC341" s="34">
        <f>Q341*L341</f>
        <v/>
      </c>
      <c r="AD341" s="34">
        <f>S341*N341</f>
        <v/>
      </c>
      <c r="AE341" s="34">
        <f>E341*N341</f>
        <v/>
      </c>
      <c r="AF341" s="34">
        <f>R341*N341</f>
        <v/>
      </c>
      <c r="AG341" s="29">
        <f>MAX(SumAssured,AA341)</f>
        <v/>
      </c>
      <c r="AH341" s="34">
        <f>AG341*O341</f>
        <v/>
      </c>
      <c r="AI341" s="34">
        <f>AA341*O341</f>
        <v/>
      </c>
      <c r="AJ341" s="34">
        <f>AA341*P341</f>
        <v/>
      </c>
      <c r="AK341" s="34">
        <f>I341*AA341*P341</f>
        <v/>
      </c>
      <c r="AL341" s="34">
        <f>AJ341-AK341</f>
        <v/>
      </c>
      <c r="AM341" s="34">
        <f>Q341*K341</f>
        <v/>
      </c>
      <c r="AN341" s="34">
        <f>AH341+AL341+AM341</f>
        <v/>
      </c>
      <c r="AO341" s="34">
        <f>(AG341-AA341)*O341</f>
        <v/>
      </c>
      <c r="AP341" s="34">
        <f>W341*N341</f>
        <v/>
      </c>
      <c r="AQ341" s="34">
        <f>T341*N341</f>
        <v/>
      </c>
      <c r="AR341" s="34">
        <f>Z341*J342+0.5*Z341*(O341+P341)</f>
        <v/>
      </c>
      <c r="AS341" s="30">
        <f>(1+InflationRate)^(A341/12)</f>
        <v/>
      </c>
      <c r="AT341" s="29">
        <f>ExpenseAcq*M341+N341*ExpenseMaint/12*AS341</f>
        <v/>
      </c>
      <c r="AU341" s="29">
        <f>CommissionRate*AE341</f>
        <v/>
      </c>
      <c r="AV341" s="34">
        <f>AB342-AB341</f>
        <v/>
      </c>
      <c r="AW341" s="34">
        <f>AE341+AR341-AN341-AT341-AU341-AV341</f>
        <v/>
      </c>
      <c r="AX341" s="29">
        <f>LoadPremRate*E341*N341+AK341+AQ341-AU341-AT341</f>
        <v/>
      </c>
      <c r="AY341" s="34">
        <f>AP341-AO341</f>
        <v/>
      </c>
      <c r="AZ341" s="37">
        <f>(AW341-AX341-AY341)/MAX(1,ABS(AW341),ABS(AX341),ABS(AY341))</f>
        <v/>
      </c>
      <c r="BA341" s="37">
        <f>IF(OR(K341&gt;0,K342&gt;0),0,(AC342-(AC341+AF341-AQ341-AP341+AR341-AI341-AJ341-AM341))/MAX(1,ABS(AC341),ABS(AC342)))</f>
        <v/>
      </c>
      <c r="BB341" s="35">
        <f>(1+INDEX(DiscRateAnn,INT(A341/12)+1))^(1/12)-1</f>
        <v/>
      </c>
      <c r="BC341" s="31">
        <f>(1+BB341)^-A341</f>
        <v/>
      </c>
      <c r="BD341" s="34">
        <f>AW341*BC341</f>
        <v/>
      </c>
    </row>
    <row r="342">
      <c r="A342" s="27">
        <f>A341+1</f>
        <v/>
      </c>
      <c r="B342" s="28">
        <f>Duration0+A342</f>
        <v/>
      </c>
      <c r="C342" s="27">
        <f>INT(B342/12)</f>
        <v/>
      </c>
      <c r="D342" s="28">
        <f>AgeAtEntry+C342</f>
        <v/>
      </c>
      <c r="E342" s="29">
        <f>IF(PremiumType="SINGLE",IF(B342=0,PremiumPPInput,0),IF(B342&lt;12*PolicyTerm,PremiumPPInput,0))</f>
        <v/>
      </c>
      <c r="F342" s="30">
        <f>INDEX(MortRates,MATCH(MIN(D342,120),MortAges,0),MAX(MIN(C342,5),0)+1)</f>
        <v/>
      </c>
      <c r="G342" s="31">
        <f>1-(1-F342)^(1/12)</f>
        <v/>
      </c>
      <c r="H342" s="32">
        <f>MAX(LapseBase-LapseStep*C342,LapseFloor)</f>
        <v/>
      </c>
      <c r="I342" s="32">
        <f>IF(HasSurrCharge,INDEX(SurrRates,MIN(C342,SurrDurMax)+1,MATCH(SurrChargeID,SurrTypes,0)),0)</f>
        <v/>
      </c>
      <c r="J342" s="33">
        <f>N341-P341-O341</f>
        <v/>
      </c>
      <c r="K342" s="30">
        <f>IF(B342=12*PolicyTerm,J342,0)</f>
        <v/>
      </c>
      <c r="L342" s="33">
        <f>J342-K342</f>
        <v/>
      </c>
      <c r="M342" s="30">
        <f>IF(B342=0,PolicyCount,0)</f>
        <v/>
      </c>
      <c r="N342" s="33">
        <f>L342+M342</f>
        <v/>
      </c>
      <c r="O342" s="31">
        <f>N342*G342</f>
        <v/>
      </c>
      <c r="P342" s="33">
        <f>(N342-O342)*(1-(1-H342)^(1/12))</f>
        <v/>
      </c>
      <c r="Q342" s="34">
        <f>X341+Z341</f>
        <v/>
      </c>
      <c r="R342" s="29">
        <f>(1-LoadPremRate)*E342</f>
        <v/>
      </c>
      <c r="S342" s="34">
        <f>Q342+R342</f>
        <v/>
      </c>
      <c r="T342" s="29">
        <f>MaintFeeRateAnn/12*S342</f>
        <v/>
      </c>
      <c r="U342" s="29">
        <f>MAX(SumAssured-S342,0)</f>
        <v/>
      </c>
      <c r="V342" s="35">
        <f>CoiMultiple*G342</f>
        <v/>
      </c>
      <c r="W342" s="34">
        <f>V342*U342</f>
        <v/>
      </c>
      <c r="X342" s="34">
        <f>S342-T342-W342</f>
        <v/>
      </c>
      <c r="Y342" s="36">
        <f>EXP((Mu-0.5*Sigma^2)/12+Sigma*SQRT(1/12)*INDEX(NormRand,ScenID,A342+1))-1</f>
        <v/>
      </c>
      <c r="Z342" s="34">
        <f>Y342*X342</f>
        <v/>
      </c>
      <c r="AA342" s="34">
        <f>X342+0.5*Z342</f>
        <v/>
      </c>
      <c r="AB342" s="34">
        <f>Q342*J342</f>
        <v/>
      </c>
      <c r="AC342" s="34">
        <f>Q342*L342</f>
        <v/>
      </c>
      <c r="AD342" s="34">
        <f>S342*N342</f>
        <v/>
      </c>
      <c r="AE342" s="34">
        <f>E342*N342</f>
        <v/>
      </c>
      <c r="AF342" s="34">
        <f>R342*N342</f>
        <v/>
      </c>
      <c r="AG342" s="29">
        <f>MAX(SumAssured,AA342)</f>
        <v/>
      </c>
      <c r="AH342" s="34">
        <f>AG342*O342</f>
        <v/>
      </c>
      <c r="AI342" s="34">
        <f>AA342*O342</f>
        <v/>
      </c>
      <c r="AJ342" s="34">
        <f>AA342*P342</f>
        <v/>
      </c>
      <c r="AK342" s="34">
        <f>I342*AA342*P342</f>
        <v/>
      </c>
      <c r="AL342" s="34">
        <f>AJ342-AK342</f>
        <v/>
      </c>
      <c r="AM342" s="34">
        <f>Q342*K342</f>
        <v/>
      </c>
      <c r="AN342" s="34">
        <f>AH342+AL342+AM342</f>
        <v/>
      </c>
      <c r="AO342" s="34">
        <f>(AG342-AA342)*O342</f>
        <v/>
      </c>
      <c r="AP342" s="34">
        <f>W342*N342</f>
        <v/>
      </c>
      <c r="AQ342" s="34">
        <f>T342*N342</f>
        <v/>
      </c>
      <c r="AR342" s="34">
        <f>Z342*J343+0.5*Z342*(O342+P342)</f>
        <v/>
      </c>
      <c r="AS342" s="30">
        <f>(1+InflationRate)^(A342/12)</f>
        <v/>
      </c>
      <c r="AT342" s="29">
        <f>ExpenseAcq*M342+N342*ExpenseMaint/12*AS342</f>
        <v/>
      </c>
      <c r="AU342" s="29">
        <f>CommissionRate*AE342</f>
        <v/>
      </c>
      <c r="AV342" s="34">
        <f>AB343-AB342</f>
        <v/>
      </c>
      <c r="AW342" s="34">
        <f>AE342+AR342-AN342-AT342-AU342-AV342</f>
        <v/>
      </c>
      <c r="AX342" s="29">
        <f>LoadPremRate*E342*N342+AK342+AQ342-AU342-AT342</f>
        <v/>
      </c>
      <c r="AY342" s="34">
        <f>AP342-AO342</f>
        <v/>
      </c>
      <c r="AZ342" s="37">
        <f>(AW342-AX342-AY342)/MAX(1,ABS(AW342),ABS(AX342),ABS(AY342))</f>
        <v/>
      </c>
      <c r="BA342" s="37">
        <f>IF(OR(K342&gt;0,K343&gt;0),0,(AC343-(AC342+AF342-AQ342-AP342+AR342-AI342-AJ342-AM342))/MAX(1,ABS(AC342),ABS(AC343)))</f>
        <v/>
      </c>
      <c r="BB342" s="35">
        <f>(1+INDEX(DiscRateAnn,INT(A342/12)+1))^(1/12)-1</f>
        <v/>
      </c>
      <c r="BC342" s="31">
        <f>(1+BB342)^-A342</f>
        <v/>
      </c>
      <c r="BD342" s="34">
        <f>AW342*BC342</f>
        <v/>
      </c>
    </row>
    <row r="343">
      <c r="A343" s="27">
        <f>A342+1</f>
        <v/>
      </c>
      <c r="B343" s="28">
        <f>Duration0+A343</f>
        <v/>
      </c>
      <c r="C343" s="27">
        <f>INT(B343/12)</f>
        <v/>
      </c>
      <c r="D343" s="28">
        <f>AgeAtEntry+C343</f>
        <v/>
      </c>
      <c r="E343" s="29">
        <f>IF(PremiumType="SINGLE",IF(B343=0,PremiumPPInput,0),IF(B343&lt;12*PolicyTerm,PremiumPPInput,0))</f>
        <v/>
      </c>
      <c r="F343" s="30">
        <f>INDEX(MortRates,MATCH(MIN(D343,120),MortAges,0),MAX(MIN(C343,5),0)+1)</f>
        <v/>
      </c>
      <c r="G343" s="31">
        <f>1-(1-F343)^(1/12)</f>
        <v/>
      </c>
      <c r="H343" s="32">
        <f>MAX(LapseBase-LapseStep*C343,LapseFloor)</f>
        <v/>
      </c>
      <c r="I343" s="32">
        <f>IF(HasSurrCharge,INDEX(SurrRates,MIN(C343,SurrDurMax)+1,MATCH(SurrChargeID,SurrTypes,0)),0)</f>
        <v/>
      </c>
      <c r="J343" s="33">
        <f>N342-P342-O342</f>
        <v/>
      </c>
      <c r="K343" s="30">
        <f>IF(B343=12*PolicyTerm,J343,0)</f>
        <v/>
      </c>
      <c r="L343" s="33">
        <f>J343-K343</f>
        <v/>
      </c>
      <c r="M343" s="30">
        <f>IF(B343=0,PolicyCount,0)</f>
        <v/>
      </c>
      <c r="N343" s="33">
        <f>L343+M343</f>
        <v/>
      </c>
      <c r="O343" s="31">
        <f>N343*G343</f>
        <v/>
      </c>
      <c r="P343" s="33">
        <f>(N343-O343)*(1-(1-H343)^(1/12))</f>
        <v/>
      </c>
      <c r="Q343" s="34">
        <f>X342+Z342</f>
        <v/>
      </c>
      <c r="R343" s="29">
        <f>(1-LoadPremRate)*E343</f>
        <v/>
      </c>
      <c r="S343" s="34">
        <f>Q343+R343</f>
        <v/>
      </c>
      <c r="T343" s="29">
        <f>MaintFeeRateAnn/12*S343</f>
        <v/>
      </c>
      <c r="U343" s="29">
        <f>MAX(SumAssured-S343,0)</f>
        <v/>
      </c>
      <c r="V343" s="35">
        <f>CoiMultiple*G343</f>
        <v/>
      </c>
      <c r="W343" s="34">
        <f>V343*U343</f>
        <v/>
      </c>
      <c r="X343" s="34">
        <f>S343-T343-W343</f>
        <v/>
      </c>
      <c r="Y343" s="36">
        <f>EXP((Mu-0.5*Sigma^2)/12+Sigma*SQRT(1/12)*INDEX(NormRand,ScenID,A343+1))-1</f>
        <v/>
      </c>
      <c r="Z343" s="34">
        <f>Y343*X343</f>
        <v/>
      </c>
      <c r="AA343" s="34">
        <f>X343+0.5*Z343</f>
        <v/>
      </c>
      <c r="AB343" s="34">
        <f>Q343*J343</f>
        <v/>
      </c>
      <c r="AC343" s="34">
        <f>Q343*L343</f>
        <v/>
      </c>
      <c r="AD343" s="34">
        <f>S343*N343</f>
        <v/>
      </c>
      <c r="AE343" s="34">
        <f>E343*N343</f>
        <v/>
      </c>
      <c r="AF343" s="34">
        <f>R343*N343</f>
        <v/>
      </c>
      <c r="AG343" s="29">
        <f>MAX(SumAssured,AA343)</f>
        <v/>
      </c>
      <c r="AH343" s="34">
        <f>AG343*O343</f>
        <v/>
      </c>
      <c r="AI343" s="34">
        <f>AA343*O343</f>
        <v/>
      </c>
      <c r="AJ343" s="34">
        <f>AA343*P343</f>
        <v/>
      </c>
      <c r="AK343" s="34">
        <f>I343*AA343*P343</f>
        <v/>
      </c>
      <c r="AL343" s="34">
        <f>AJ343-AK343</f>
        <v/>
      </c>
      <c r="AM343" s="34">
        <f>Q343*K343</f>
        <v/>
      </c>
      <c r="AN343" s="34">
        <f>AH343+AL343+AM343</f>
        <v/>
      </c>
      <c r="AO343" s="34">
        <f>(AG343-AA343)*O343</f>
        <v/>
      </c>
      <c r="AP343" s="34">
        <f>W343*N343</f>
        <v/>
      </c>
      <c r="AQ343" s="34">
        <f>T343*N343</f>
        <v/>
      </c>
      <c r="AR343" s="34">
        <f>Z343*J344+0.5*Z343*(O343+P343)</f>
        <v/>
      </c>
      <c r="AS343" s="30">
        <f>(1+InflationRate)^(A343/12)</f>
        <v/>
      </c>
      <c r="AT343" s="29">
        <f>ExpenseAcq*M343+N343*ExpenseMaint/12*AS343</f>
        <v/>
      </c>
      <c r="AU343" s="29">
        <f>CommissionRate*AE343</f>
        <v/>
      </c>
      <c r="AV343" s="34">
        <f>AB344-AB343</f>
        <v/>
      </c>
      <c r="AW343" s="34">
        <f>AE343+AR343-AN343-AT343-AU343-AV343</f>
        <v/>
      </c>
      <c r="AX343" s="29">
        <f>LoadPremRate*E343*N343+AK343+AQ343-AU343-AT343</f>
        <v/>
      </c>
      <c r="AY343" s="34">
        <f>AP343-AO343</f>
        <v/>
      </c>
      <c r="AZ343" s="37">
        <f>(AW343-AX343-AY343)/MAX(1,ABS(AW343),ABS(AX343),ABS(AY343))</f>
        <v/>
      </c>
      <c r="BA343" s="37">
        <f>IF(OR(K343&gt;0,K344&gt;0),0,(AC344-(AC343+AF343-AQ343-AP343+AR343-AI343-AJ343-AM343))/MAX(1,ABS(AC343),ABS(AC344)))</f>
        <v/>
      </c>
      <c r="BB343" s="35">
        <f>(1+INDEX(DiscRateAnn,INT(A343/12)+1))^(1/12)-1</f>
        <v/>
      </c>
      <c r="BC343" s="31">
        <f>(1+BB343)^-A343</f>
        <v/>
      </c>
      <c r="BD343" s="34">
        <f>AW343*BC343</f>
        <v/>
      </c>
    </row>
    <row r="344">
      <c r="A344" s="27">
        <f>A343+1</f>
        <v/>
      </c>
      <c r="B344" s="28">
        <f>Duration0+A344</f>
        <v/>
      </c>
      <c r="C344" s="27">
        <f>INT(B344/12)</f>
        <v/>
      </c>
      <c r="D344" s="28">
        <f>AgeAtEntry+C344</f>
        <v/>
      </c>
      <c r="E344" s="29">
        <f>IF(PremiumType="SINGLE",IF(B344=0,PremiumPPInput,0),IF(B344&lt;12*PolicyTerm,PremiumPPInput,0))</f>
        <v/>
      </c>
      <c r="F344" s="30">
        <f>INDEX(MortRates,MATCH(MIN(D344,120),MortAges,0),MAX(MIN(C344,5),0)+1)</f>
        <v/>
      </c>
      <c r="G344" s="31">
        <f>1-(1-F344)^(1/12)</f>
        <v/>
      </c>
      <c r="H344" s="32">
        <f>MAX(LapseBase-LapseStep*C344,LapseFloor)</f>
        <v/>
      </c>
      <c r="I344" s="32">
        <f>IF(HasSurrCharge,INDEX(SurrRates,MIN(C344,SurrDurMax)+1,MATCH(SurrChargeID,SurrTypes,0)),0)</f>
        <v/>
      </c>
      <c r="J344" s="33">
        <f>N343-P343-O343</f>
        <v/>
      </c>
      <c r="K344" s="30">
        <f>IF(B344=12*PolicyTerm,J344,0)</f>
        <v/>
      </c>
      <c r="L344" s="33">
        <f>J344-K344</f>
        <v/>
      </c>
      <c r="M344" s="30">
        <f>IF(B344=0,PolicyCount,0)</f>
        <v/>
      </c>
      <c r="N344" s="33">
        <f>L344+M344</f>
        <v/>
      </c>
      <c r="O344" s="31">
        <f>N344*G344</f>
        <v/>
      </c>
      <c r="P344" s="33">
        <f>(N344-O344)*(1-(1-H344)^(1/12))</f>
        <v/>
      </c>
      <c r="Q344" s="34">
        <f>X343+Z343</f>
        <v/>
      </c>
      <c r="R344" s="29">
        <f>(1-LoadPremRate)*E344</f>
        <v/>
      </c>
      <c r="S344" s="34">
        <f>Q344+R344</f>
        <v/>
      </c>
      <c r="T344" s="29">
        <f>MaintFeeRateAnn/12*S344</f>
        <v/>
      </c>
      <c r="U344" s="29">
        <f>MAX(SumAssured-S344,0)</f>
        <v/>
      </c>
      <c r="V344" s="35">
        <f>CoiMultiple*G344</f>
        <v/>
      </c>
      <c r="W344" s="34">
        <f>V344*U344</f>
        <v/>
      </c>
      <c r="X344" s="34">
        <f>S344-T344-W344</f>
        <v/>
      </c>
      <c r="Y344" s="36">
        <f>EXP((Mu-0.5*Sigma^2)/12+Sigma*SQRT(1/12)*INDEX(NormRand,ScenID,A344+1))-1</f>
        <v/>
      </c>
      <c r="Z344" s="34">
        <f>Y344*X344</f>
        <v/>
      </c>
      <c r="AA344" s="34">
        <f>X344+0.5*Z344</f>
        <v/>
      </c>
      <c r="AB344" s="34">
        <f>Q344*J344</f>
        <v/>
      </c>
      <c r="AC344" s="34">
        <f>Q344*L344</f>
        <v/>
      </c>
      <c r="AD344" s="34">
        <f>S344*N344</f>
        <v/>
      </c>
      <c r="AE344" s="34">
        <f>E344*N344</f>
        <v/>
      </c>
      <c r="AF344" s="34">
        <f>R344*N344</f>
        <v/>
      </c>
      <c r="AG344" s="29">
        <f>MAX(SumAssured,AA344)</f>
        <v/>
      </c>
      <c r="AH344" s="34">
        <f>AG344*O344</f>
        <v/>
      </c>
      <c r="AI344" s="34">
        <f>AA344*O344</f>
        <v/>
      </c>
      <c r="AJ344" s="34">
        <f>AA344*P344</f>
        <v/>
      </c>
      <c r="AK344" s="34">
        <f>I344*AA344*P344</f>
        <v/>
      </c>
      <c r="AL344" s="34">
        <f>AJ344-AK344</f>
        <v/>
      </c>
      <c r="AM344" s="34">
        <f>Q344*K344</f>
        <v/>
      </c>
      <c r="AN344" s="34">
        <f>AH344+AL344+AM344</f>
        <v/>
      </c>
      <c r="AO344" s="34">
        <f>(AG344-AA344)*O344</f>
        <v/>
      </c>
      <c r="AP344" s="34">
        <f>W344*N344</f>
        <v/>
      </c>
      <c r="AQ344" s="34">
        <f>T344*N344</f>
        <v/>
      </c>
      <c r="AR344" s="34">
        <f>Z344*J345+0.5*Z344*(O344+P344)</f>
        <v/>
      </c>
      <c r="AS344" s="30">
        <f>(1+InflationRate)^(A344/12)</f>
        <v/>
      </c>
      <c r="AT344" s="29">
        <f>ExpenseAcq*M344+N344*ExpenseMaint/12*AS344</f>
        <v/>
      </c>
      <c r="AU344" s="29">
        <f>CommissionRate*AE344</f>
        <v/>
      </c>
      <c r="AV344" s="34">
        <f>AB345-AB344</f>
        <v/>
      </c>
      <c r="AW344" s="34">
        <f>AE344+AR344-AN344-AT344-AU344-AV344</f>
        <v/>
      </c>
      <c r="AX344" s="29">
        <f>LoadPremRate*E344*N344+AK344+AQ344-AU344-AT344</f>
        <v/>
      </c>
      <c r="AY344" s="34">
        <f>AP344-AO344</f>
        <v/>
      </c>
      <c r="AZ344" s="37">
        <f>(AW344-AX344-AY344)/MAX(1,ABS(AW344),ABS(AX344),ABS(AY344))</f>
        <v/>
      </c>
      <c r="BA344" s="37">
        <f>IF(OR(K344&gt;0,K345&gt;0),0,(AC345-(AC344+AF344-AQ344-AP344+AR344-AI344-AJ344-AM344))/MAX(1,ABS(AC344),ABS(AC345)))</f>
        <v/>
      </c>
      <c r="BB344" s="35">
        <f>(1+INDEX(DiscRateAnn,INT(A344/12)+1))^(1/12)-1</f>
        <v/>
      </c>
      <c r="BC344" s="31">
        <f>(1+BB344)^-A344</f>
        <v/>
      </c>
      <c r="BD344" s="34">
        <f>AW344*BC344</f>
        <v/>
      </c>
    </row>
    <row r="345">
      <c r="A345" s="27">
        <f>A344+1</f>
        <v/>
      </c>
      <c r="B345" s="28">
        <f>Duration0+A345</f>
        <v/>
      </c>
      <c r="C345" s="27">
        <f>INT(B345/12)</f>
        <v/>
      </c>
      <c r="D345" s="28">
        <f>AgeAtEntry+C345</f>
        <v/>
      </c>
      <c r="E345" s="29">
        <f>IF(PremiumType="SINGLE",IF(B345=0,PremiumPPInput,0),IF(B345&lt;12*PolicyTerm,PremiumPPInput,0))</f>
        <v/>
      </c>
      <c r="F345" s="30">
        <f>INDEX(MortRates,MATCH(MIN(D345,120),MortAges,0),MAX(MIN(C345,5),0)+1)</f>
        <v/>
      </c>
      <c r="G345" s="31">
        <f>1-(1-F345)^(1/12)</f>
        <v/>
      </c>
      <c r="H345" s="32">
        <f>MAX(LapseBase-LapseStep*C345,LapseFloor)</f>
        <v/>
      </c>
      <c r="I345" s="32">
        <f>IF(HasSurrCharge,INDEX(SurrRates,MIN(C345,SurrDurMax)+1,MATCH(SurrChargeID,SurrTypes,0)),0)</f>
        <v/>
      </c>
      <c r="J345" s="33">
        <f>N344-P344-O344</f>
        <v/>
      </c>
      <c r="K345" s="30">
        <f>IF(B345=12*PolicyTerm,J345,0)</f>
        <v/>
      </c>
      <c r="L345" s="33">
        <f>J345-K345</f>
        <v/>
      </c>
      <c r="M345" s="30">
        <f>IF(B345=0,PolicyCount,0)</f>
        <v/>
      </c>
      <c r="N345" s="33">
        <f>L345+M345</f>
        <v/>
      </c>
      <c r="O345" s="31">
        <f>N345*G345</f>
        <v/>
      </c>
      <c r="P345" s="33">
        <f>(N345-O345)*(1-(1-H345)^(1/12))</f>
        <v/>
      </c>
      <c r="Q345" s="34">
        <f>X344+Z344</f>
        <v/>
      </c>
      <c r="R345" s="29">
        <f>(1-LoadPremRate)*E345</f>
        <v/>
      </c>
      <c r="S345" s="34">
        <f>Q345+R345</f>
        <v/>
      </c>
      <c r="T345" s="29">
        <f>MaintFeeRateAnn/12*S345</f>
        <v/>
      </c>
      <c r="U345" s="29">
        <f>MAX(SumAssured-S345,0)</f>
        <v/>
      </c>
      <c r="V345" s="35">
        <f>CoiMultiple*G345</f>
        <v/>
      </c>
      <c r="W345" s="34">
        <f>V345*U345</f>
        <v/>
      </c>
      <c r="X345" s="34">
        <f>S345-T345-W345</f>
        <v/>
      </c>
      <c r="Y345" s="36">
        <f>EXP((Mu-0.5*Sigma^2)/12+Sigma*SQRT(1/12)*INDEX(NormRand,ScenID,A345+1))-1</f>
        <v/>
      </c>
      <c r="Z345" s="34">
        <f>Y345*X345</f>
        <v/>
      </c>
      <c r="AA345" s="34">
        <f>X345+0.5*Z345</f>
        <v/>
      </c>
      <c r="AB345" s="34">
        <f>Q345*J345</f>
        <v/>
      </c>
      <c r="AC345" s="34">
        <f>Q345*L345</f>
        <v/>
      </c>
      <c r="AD345" s="34">
        <f>S345*N345</f>
        <v/>
      </c>
      <c r="AE345" s="34">
        <f>E345*N345</f>
        <v/>
      </c>
      <c r="AF345" s="34">
        <f>R345*N345</f>
        <v/>
      </c>
      <c r="AG345" s="29">
        <f>MAX(SumAssured,AA345)</f>
        <v/>
      </c>
      <c r="AH345" s="34">
        <f>AG345*O345</f>
        <v/>
      </c>
      <c r="AI345" s="34">
        <f>AA345*O345</f>
        <v/>
      </c>
      <c r="AJ345" s="34">
        <f>AA345*P345</f>
        <v/>
      </c>
      <c r="AK345" s="34">
        <f>I345*AA345*P345</f>
        <v/>
      </c>
      <c r="AL345" s="34">
        <f>AJ345-AK345</f>
        <v/>
      </c>
      <c r="AM345" s="34">
        <f>Q345*K345</f>
        <v/>
      </c>
      <c r="AN345" s="34">
        <f>AH345+AL345+AM345</f>
        <v/>
      </c>
      <c r="AO345" s="34">
        <f>(AG345-AA345)*O345</f>
        <v/>
      </c>
      <c r="AP345" s="34">
        <f>W345*N345</f>
        <v/>
      </c>
      <c r="AQ345" s="34">
        <f>T345*N345</f>
        <v/>
      </c>
      <c r="AR345" s="34">
        <f>Z345*J346+0.5*Z345*(O345+P345)</f>
        <v/>
      </c>
      <c r="AS345" s="30">
        <f>(1+InflationRate)^(A345/12)</f>
        <v/>
      </c>
      <c r="AT345" s="29">
        <f>ExpenseAcq*M345+N345*ExpenseMaint/12*AS345</f>
        <v/>
      </c>
      <c r="AU345" s="29">
        <f>CommissionRate*AE345</f>
        <v/>
      </c>
      <c r="AV345" s="34">
        <f>AB346-AB345</f>
        <v/>
      </c>
      <c r="AW345" s="34">
        <f>AE345+AR345-AN345-AT345-AU345-AV345</f>
        <v/>
      </c>
      <c r="AX345" s="29">
        <f>LoadPremRate*E345*N345+AK345+AQ345-AU345-AT345</f>
        <v/>
      </c>
      <c r="AY345" s="34">
        <f>AP345-AO345</f>
        <v/>
      </c>
      <c r="AZ345" s="37">
        <f>(AW345-AX345-AY345)/MAX(1,ABS(AW345),ABS(AX345),ABS(AY345))</f>
        <v/>
      </c>
      <c r="BA345" s="37">
        <f>IF(OR(K345&gt;0,K346&gt;0),0,(AC346-(AC345+AF345-AQ345-AP345+AR345-AI345-AJ345-AM345))/MAX(1,ABS(AC345),ABS(AC346)))</f>
        <v/>
      </c>
      <c r="BB345" s="35">
        <f>(1+INDEX(DiscRateAnn,INT(A345/12)+1))^(1/12)-1</f>
        <v/>
      </c>
      <c r="BC345" s="31">
        <f>(1+BB345)^-A345</f>
        <v/>
      </c>
      <c r="BD345" s="34">
        <f>AW345*BC345</f>
        <v/>
      </c>
    </row>
    <row r="346">
      <c r="A346" s="27">
        <f>A345+1</f>
        <v/>
      </c>
      <c r="B346" s="28">
        <f>Duration0+A346</f>
        <v/>
      </c>
      <c r="C346" s="27">
        <f>INT(B346/12)</f>
        <v/>
      </c>
      <c r="D346" s="28">
        <f>AgeAtEntry+C346</f>
        <v/>
      </c>
      <c r="E346" s="29">
        <f>IF(PremiumType="SINGLE",IF(B346=0,PremiumPPInput,0),IF(B346&lt;12*PolicyTerm,PremiumPPInput,0))</f>
        <v/>
      </c>
      <c r="F346" s="30">
        <f>INDEX(MortRates,MATCH(MIN(D346,120),MortAges,0),MAX(MIN(C346,5),0)+1)</f>
        <v/>
      </c>
      <c r="G346" s="31">
        <f>1-(1-F346)^(1/12)</f>
        <v/>
      </c>
      <c r="H346" s="32">
        <f>MAX(LapseBase-LapseStep*C346,LapseFloor)</f>
        <v/>
      </c>
      <c r="I346" s="32">
        <f>IF(HasSurrCharge,INDEX(SurrRates,MIN(C346,SurrDurMax)+1,MATCH(SurrChargeID,SurrTypes,0)),0)</f>
        <v/>
      </c>
      <c r="J346" s="33">
        <f>N345-P345-O345</f>
        <v/>
      </c>
      <c r="K346" s="30">
        <f>IF(B346=12*PolicyTerm,J346,0)</f>
        <v/>
      </c>
      <c r="L346" s="33">
        <f>J346-K346</f>
        <v/>
      </c>
      <c r="M346" s="30">
        <f>IF(B346=0,PolicyCount,0)</f>
        <v/>
      </c>
      <c r="N346" s="33">
        <f>L346+M346</f>
        <v/>
      </c>
      <c r="O346" s="31">
        <f>N346*G346</f>
        <v/>
      </c>
      <c r="P346" s="33">
        <f>(N346-O346)*(1-(1-H346)^(1/12))</f>
        <v/>
      </c>
      <c r="Q346" s="34">
        <f>X345+Z345</f>
        <v/>
      </c>
      <c r="R346" s="29">
        <f>(1-LoadPremRate)*E346</f>
        <v/>
      </c>
      <c r="S346" s="34">
        <f>Q346+R346</f>
        <v/>
      </c>
      <c r="T346" s="29">
        <f>MaintFeeRateAnn/12*S346</f>
        <v/>
      </c>
      <c r="U346" s="29">
        <f>MAX(SumAssured-S346,0)</f>
        <v/>
      </c>
      <c r="V346" s="35">
        <f>CoiMultiple*G346</f>
        <v/>
      </c>
      <c r="W346" s="34">
        <f>V346*U346</f>
        <v/>
      </c>
      <c r="X346" s="34">
        <f>S346-T346-W346</f>
        <v/>
      </c>
      <c r="Y346" s="36">
        <f>EXP((Mu-0.5*Sigma^2)/12+Sigma*SQRT(1/12)*INDEX(NormRand,ScenID,A346+1))-1</f>
        <v/>
      </c>
      <c r="Z346" s="34">
        <f>Y346*X346</f>
        <v/>
      </c>
      <c r="AA346" s="34">
        <f>X346+0.5*Z346</f>
        <v/>
      </c>
      <c r="AB346" s="34">
        <f>Q346*J346</f>
        <v/>
      </c>
      <c r="AC346" s="34">
        <f>Q346*L346</f>
        <v/>
      </c>
      <c r="AD346" s="34">
        <f>S346*N346</f>
        <v/>
      </c>
      <c r="AE346" s="34">
        <f>E346*N346</f>
        <v/>
      </c>
      <c r="AF346" s="34">
        <f>R346*N346</f>
        <v/>
      </c>
      <c r="AG346" s="29">
        <f>MAX(SumAssured,AA346)</f>
        <v/>
      </c>
      <c r="AH346" s="34">
        <f>AG346*O346</f>
        <v/>
      </c>
      <c r="AI346" s="34">
        <f>AA346*O346</f>
        <v/>
      </c>
      <c r="AJ346" s="34">
        <f>AA346*P346</f>
        <v/>
      </c>
      <c r="AK346" s="34">
        <f>I346*AA346*P346</f>
        <v/>
      </c>
      <c r="AL346" s="34">
        <f>AJ346-AK346</f>
        <v/>
      </c>
      <c r="AM346" s="34">
        <f>Q346*K346</f>
        <v/>
      </c>
      <c r="AN346" s="34">
        <f>AH346+AL346+AM346</f>
        <v/>
      </c>
      <c r="AO346" s="34">
        <f>(AG346-AA346)*O346</f>
        <v/>
      </c>
      <c r="AP346" s="34">
        <f>W346*N346</f>
        <v/>
      </c>
      <c r="AQ346" s="34">
        <f>T346*N346</f>
        <v/>
      </c>
      <c r="AR346" s="34">
        <f>Z346*J347+0.5*Z346*(O346+P346)</f>
        <v/>
      </c>
      <c r="AS346" s="30">
        <f>(1+InflationRate)^(A346/12)</f>
        <v/>
      </c>
      <c r="AT346" s="29">
        <f>ExpenseAcq*M346+N346*ExpenseMaint/12*AS346</f>
        <v/>
      </c>
      <c r="AU346" s="29">
        <f>CommissionRate*AE346</f>
        <v/>
      </c>
      <c r="AV346" s="34">
        <f>AB347-AB346</f>
        <v/>
      </c>
      <c r="AW346" s="34">
        <f>AE346+AR346-AN346-AT346-AU346-AV346</f>
        <v/>
      </c>
      <c r="AX346" s="29">
        <f>LoadPremRate*E346*N346+AK346+AQ346-AU346-AT346</f>
        <v/>
      </c>
      <c r="AY346" s="34">
        <f>AP346-AO346</f>
        <v/>
      </c>
      <c r="AZ346" s="37">
        <f>(AW346-AX346-AY346)/MAX(1,ABS(AW346),ABS(AX346),ABS(AY346))</f>
        <v/>
      </c>
      <c r="BA346" s="37">
        <f>IF(OR(K346&gt;0,K347&gt;0),0,(AC347-(AC346+AF346-AQ346-AP346+AR346-AI346-AJ346-AM346))/MAX(1,ABS(AC346),ABS(AC347)))</f>
        <v/>
      </c>
      <c r="BB346" s="35">
        <f>(1+INDEX(DiscRateAnn,INT(A346/12)+1))^(1/12)-1</f>
        <v/>
      </c>
      <c r="BC346" s="31">
        <f>(1+BB346)^-A346</f>
        <v/>
      </c>
      <c r="BD346" s="34">
        <f>AW346*BC346</f>
        <v/>
      </c>
    </row>
    <row r="347">
      <c r="A347" s="27">
        <f>A346+1</f>
        <v/>
      </c>
      <c r="B347" s="28">
        <f>Duration0+A347</f>
        <v/>
      </c>
      <c r="C347" s="27">
        <f>INT(B347/12)</f>
        <v/>
      </c>
      <c r="D347" s="28">
        <f>AgeAtEntry+C347</f>
        <v/>
      </c>
      <c r="E347" s="29">
        <f>IF(PremiumType="SINGLE",IF(B347=0,PremiumPPInput,0),IF(B347&lt;12*PolicyTerm,PremiumPPInput,0))</f>
        <v/>
      </c>
      <c r="F347" s="30">
        <f>INDEX(MortRates,MATCH(MIN(D347,120),MortAges,0),MAX(MIN(C347,5),0)+1)</f>
        <v/>
      </c>
      <c r="G347" s="31">
        <f>1-(1-F347)^(1/12)</f>
        <v/>
      </c>
      <c r="H347" s="32">
        <f>MAX(LapseBase-LapseStep*C347,LapseFloor)</f>
        <v/>
      </c>
      <c r="I347" s="32">
        <f>IF(HasSurrCharge,INDEX(SurrRates,MIN(C347,SurrDurMax)+1,MATCH(SurrChargeID,SurrTypes,0)),0)</f>
        <v/>
      </c>
      <c r="J347" s="33">
        <f>N346-P346-O346</f>
        <v/>
      </c>
      <c r="K347" s="30">
        <f>IF(B347=12*PolicyTerm,J347,0)</f>
        <v/>
      </c>
      <c r="L347" s="33">
        <f>J347-K347</f>
        <v/>
      </c>
      <c r="M347" s="30">
        <f>IF(B347=0,PolicyCount,0)</f>
        <v/>
      </c>
      <c r="N347" s="33">
        <f>L347+M347</f>
        <v/>
      </c>
      <c r="O347" s="31">
        <f>N347*G347</f>
        <v/>
      </c>
      <c r="P347" s="33">
        <f>(N347-O347)*(1-(1-H347)^(1/12))</f>
        <v/>
      </c>
      <c r="Q347" s="34">
        <f>X346+Z346</f>
        <v/>
      </c>
      <c r="R347" s="29">
        <f>(1-LoadPremRate)*E347</f>
        <v/>
      </c>
      <c r="S347" s="34">
        <f>Q347+R347</f>
        <v/>
      </c>
      <c r="T347" s="29">
        <f>MaintFeeRateAnn/12*S347</f>
        <v/>
      </c>
      <c r="U347" s="29">
        <f>MAX(SumAssured-S347,0)</f>
        <v/>
      </c>
      <c r="V347" s="35">
        <f>CoiMultiple*G347</f>
        <v/>
      </c>
      <c r="W347" s="34">
        <f>V347*U347</f>
        <v/>
      </c>
      <c r="X347" s="34">
        <f>S347-T347-W347</f>
        <v/>
      </c>
      <c r="Y347" s="36">
        <f>EXP((Mu-0.5*Sigma^2)/12+Sigma*SQRT(1/12)*INDEX(NormRand,ScenID,A347+1))-1</f>
        <v/>
      </c>
      <c r="Z347" s="34">
        <f>Y347*X347</f>
        <v/>
      </c>
      <c r="AA347" s="34">
        <f>X347+0.5*Z347</f>
        <v/>
      </c>
      <c r="AB347" s="34">
        <f>Q347*J347</f>
        <v/>
      </c>
      <c r="AC347" s="34">
        <f>Q347*L347</f>
        <v/>
      </c>
      <c r="AD347" s="34">
        <f>S347*N347</f>
        <v/>
      </c>
      <c r="AE347" s="34">
        <f>E347*N347</f>
        <v/>
      </c>
      <c r="AF347" s="34">
        <f>R347*N347</f>
        <v/>
      </c>
      <c r="AG347" s="29">
        <f>MAX(SumAssured,AA347)</f>
        <v/>
      </c>
      <c r="AH347" s="34">
        <f>AG347*O347</f>
        <v/>
      </c>
      <c r="AI347" s="34">
        <f>AA347*O347</f>
        <v/>
      </c>
      <c r="AJ347" s="34">
        <f>AA347*P347</f>
        <v/>
      </c>
      <c r="AK347" s="34">
        <f>I347*AA347*P347</f>
        <v/>
      </c>
      <c r="AL347" s="34">
        <f>AJ347-AK347</f>
        <v/>
      </c>
      <c r="AM347" s="34">
        <f>Q347*K347</f>
        <v/>
      </c>
      <c r="AN347" s="34">
        <f>AH347+AL347+AM347</f>
        <v/>
      </c>
      <c r="AO347" s="34">
        <f>(AG347-AA347)*O347</f>
        <v/>
      </c>
      <c r="AP347" s="34">
        <f>W347*N347</f>
        <v/>
      </c>
      <c r="AQ347" s="34">
        <f>T347*N347</f>
        <v/>
      </c>
      <c r="AR347" s="34">
        <f>Z347*J348+0.5*Z347*(O347+P347)</f>
        <v/>
      </c>
      <c r="AS347" s="30">
        <f>(1+InflationRate)^(A347/12)</f>
        <v/>
      </c>
      <c r="AT347" s="29">
        <f>ExpenseAcq*M347+N347*ExpenseMaint/12*AS347</f>
        <v/>
      </c>
      <c r="AU347" s="29">
        <f>CommissionRate*AE347</f>
        <v/>
      </c>
      <c r="AV347" s="34">
        <f>AB348-AB347</f>
        <v/>
      </c>
      <c r="AW347" s="34">
        <f>AE347+AR347-AN347-AT347-AU347-AV347</f>
        <v/>
      </c>
      <c r="AX347" s="29">
        <f>LoadPremRate*E347*N347+AK347+AQ347-AU347-AT347</f>
        <v/>
      </c>
      <c r="AY347" s="34">
        <f>AP347-AO347</f>
        <v/>
      </c>
      <c r="AZ347" s="37">
        <f>(AW347-AX347-AY347)/MAX(1,ABS(AW347),ABS(AX347),ABS(AY347))</f>
        <v/>
      </c>
      <c r="BA347" s="37">
        <f>IF(OR(K347&gt;0,K348&gt;0),0,(AC348-(AC347+AF347-AQ347-AP347+AR347-AI347-AJ347-AM347))/MAX(1,ABS(AC347),ABS(AC348)))</f>
        <v/>
      </c>
      <c r="BB347" s="35">
        <f>(1+INDEX(DiscRateAnn,INT(A347/12)+1))^(1/12)-1</f>
        <v/>
      </c>
      <c r="BC347" s="31">
        <f>(1+BB347)^-A347</f>
        <v/>
      </c>
      <c r="BD347" s="34">
        <f>AW347*BC347</f>
        <v/>
      </c>
    </row>
    <row r="348">
      <c r="A348" s="27">
        <f>A347+1</f>
        <v/>
      </c>
      <c r="B348" s="28">
        <f>Duration0+A348</f>
        <v/>
      </c>
      <c r="C348" s="27">
        <f>INT(B348/12)</f>
        <v/>
      </c>
      <c r="D348" s="28">
        <f>AgeAtEntry+C348</f>
        <v/>
      </c>
      <c r="E348" s="29">
        <f>IF(PremiumType="SINGLE",IF(B348=0,PremiumPPInput,0),IF(B348&lt;12*PolicyTerm,PremiumPPInput,0))</f>
        <v/>
      </c>
      <c r="F348" s="30">
        <f>INDEX(MortRates,MATCH(MIN(D348,120),MortAges,0),MAX(MIN(C348,5),0)+1)</f>
        <v/>
      </c>
      <c r="G348" s="31">
        <f>1-(1-F348)^(1/12)</f>
        <v/>
      </c>
      <c r="H348" s="32">
        <f>MAX(LapseBase-LapseStep*C348,LapseFloor)</f>
        <v/>
      </c>
      <c r="I348" s="32">
        <f>IF(HasSurrCharge,INDEX(SurrRates,MIN(C348,SurrDurMax)+1,MATCH(SurrChargeID,SurrTypes,0)),0)</f>
        <v/>
      </c>
      <c r="J348" s="33">
        <f>N347-P347-O347</f>
        <v/>
      </c>
      <c r="K348" s="30">
        <f>IF(B348=12*PolicyTerm,J348,0)</f>
        <v/>
      </c>
      <c r="L348" s="33">
        <f>J348-K348</f>
        <v/>
      </c>
      <c r="M348" s="30">
        <f>IF(B348=0,PolicyCount,0)</f>
        <v/>
      </c>
      <c r="N348" s="33">
        <f>L348+M348</f>
        <v/>
      </c>
      <c r="O348" s="31">
        <f>N348*G348</f>
        <v/>
      </c>
      <c r="P348" s="33">
        <f>(N348-O348)*(1-(1-H348)^(1/12))</f>
        <v/>
      </c>
      <c r="Q348" s="34">
        <f>X347+Z347</f>
        <v/>
      </c>
      <c r="R348" s="29">
        <f>(1-LoadPremRate)*E348</f>
        <v/>
      </c>
      <c r="S348" s="34">
        <f>Q348+R348</f>
        <v/>
      </c>
      <c r="T348" s="29">
        <f>MaintFeeRateAnn/12*S348</f>
        <v/>
      </c>
      <c r="U348" s="29">
        <f>MAX(SumAssured-S348,0)</f>
        <v/>
      </c>
      <c r="V348" s="35">
        <f>CoiMultiple*G348</f>
        <v/>
      </c>
      <c r="W348" s="34">
        <f>V348*U348</f>
        <v/>
      </c>
      <c r="X348" s="34">
        <f>S348-T348-W348</f>
        <v/>
      </c>
      <c r="Y348" s="36">
        <f>EXP((Mu-0.5*Sigma^2)/12+Sigma*SQRT(1/12)*INDEX(NormRand,ScenID,A348+1))-1</f>
        <v/>
      </c>
      <c r="Z348" s="34">
        <f>Y348*X348</f>
        <v/>
      </c>
      <c r="AA348" s="34">
        <f>X348+0.5*Z348</f>
        <v/>
      </c>
      <c r="AB348" s="34">
        <f>Q348*J348</f>
        <v/>
      </c>
      <c r="AC348" s="34">
        <f>Q348*L348</f>
        <v/>
      </c>
      <c r="AD348" s="34">
        <f>S348*N348</f>
        <v/>
      </c>
      <c r="AE348" s="34">
        <f>E348*N348</f>
        <v/>
      </c>
      <c r="AF348" s="34">
        <f>R348*N348</f>
        <v/>
      </c>
      <c r="AG348" s="29">
        <f>MAX(SumAssured,AA348)</f>
        <v/>
      </c>
      <c r="AH348" s="34">
        <f>AG348*O348</f>
        <v/>
      </c>
      <c r="AI348" s="34">
        <f>AA348*O348</f>
        <v/>
      </c>
      <c r="AJ348" s="34">
        <f>AA348*P348</f>
        <v/>
      </c>
      <c r="AK348" s="34">
        <f>I348*AA348*P348</f>
        <v/>
      </c>
      <c r="AL348" s="34">
        <f>AJ348-AK348</f>
        <v/>
      </c>
      <c r="AM348" s="34">
        <f>Q348*K348</f>
        <v/>
      </c>
      <c r="AN348" s="34">
        <f>AH348+AL348+AM348</f>
        <v/>
      </c>
      <c r="AO348" s="34">
        <f>(AG348-AA348)*O348</f>
        <v/>
      </c>
      <c r="AP348" s="34">
        <f>W348*N348</f>
        <v/>
      </c>
      <c r="AQ348" s="34">
        <f>T348*N348</f>
        <v/>
      </c>
      <c r="AR348" s="34">
        <f>Z348*J349+0.5*Z348*(O348+P348)</f>
        <v/>
      </c>
      <c r="AS348" s="30">
        <f>(1+InflationRate)^(A348/12)</f>
        <v/>
      </c>
      <c r="AT348" s="29">
        <f>ExpenseAcq*M348+N348*ExpenseMaint/12*AS348</f>
        <v/>
      </c>
      <c r="AU348" s="29">
        <f>CommissionRate*AE348</f>
        <v/>
      </c>
      <c r="AV348" s="34">
        <f>AB349-AB348</f>
        <v/>
      </c>
      <c r="AW348" s="34">
        <f>AE348+AR348-AN348-AT348-AU348-AV348</f>
        <v/>
      </c>
      <c r="AX348" s="29">
        <f>LoadPremRate*E348*N348+AK348+AQ348-AU348-AT348</f>
        <v/>
      </c>
      <c r="AY348" s="34">
        <f>AP348-AO348</f>
        <v/>
      </c>
      <c r="AZ348" s="37">
        <f>(AW348-AX348-AY348)/MAX(1,ABS(AW348),ABS(AX348),ABS(AY348))</f>
        <v/>
      </c>
      <c r="BA348" s="37">
        <f>IF(OR(K348&gt;0,K349&gt;0),0,(AC349-(AC348+AF348-AQ348-AP348+AR348-AI348-AJ348-AM348))/MAX(1,ABS(AC348),ABS(AC349)))</f>
        <v/>
      </c>
      <c r="BB348" s="35">
        <f>(1+INDEX(DiscRateAnn,INT(A348/12)+1))^(1/12)-1</f>
        <v/>
      </c>
      <c r="BC348" s="31">
        <f>(1+BB348)^-A348</f>
        <v/>
      </c>
      <c r="BD348" s="34">
        <f>AW348*BC348</f>
        <v/>
      </c>
    </row>
    <row r="349">
      <c r="A349" s="27">
        <f>A348+1</f>
        <v/>
      </c>
      <c r="B349" s="28">
        <f>Duration0+A349</f>
        <v/>
      </c>
      <c r="C349" s="27">
        <f>INT(B349/12)</f>
        <v/>
      </c>
      <c r="D349" s="28">
        <f>AgeAtEntry+C349</f>
        <v/>
      </c>
      <c r="E349" s="29">
        <f>IF(PremiumType="SINGLE",IF(B349=0,PremiumPPInput,0),IF(B349&lt;12*PolicyTerm,PremiumPPInput,0))</f>
        <v/>
      </c>
      <c r="F349" s="30">
        <f>INDEX(MortRates,MATCH(MIN(D349,120),MortAges,0),MAX(MIN(C349,5),0)+1)</f>
        <v/>
      </c>
      <c r="G349" s="31">
        <f>1-(1-F349)^(1/12)</f>
        <v/>
      </c>
      <c r="H349" s="32">
        <f>MAX(LapseBase-LapseStep*C349,LapseFloor)</f>
        <v/>
      </c>
      <c r="I349" s="32">
        <f>IF(HasSurrCharge,INDEX(SurrRates,MIN(C349,SurrDurMax)+1,MATCH(SurrChargeID,SurrTypes,0)),0)</f>
        <v/>
      </c>
      <c r="J349" s="33">
        <f>N348-P348-O348</f>
        <v/>
      </c>
      <c r="K349" s="30">
        <f>IF(B349=12*PolicyTerm,J349,0)</f>
        <v/>
      </c>
      <c r="L349" s="33">
        <f>J349-K349</f>
        <v/>
      </c>
      <c r="M349" s="30">
        <f>IF(B349=0,PolicyCount,0)</f>
        <v/>
      </c>
      <c r="N349" s="33">
        <f>L349+M349</f>
        <v/>
      </c>
      <c r="O349" s="31">
        <f>N349*G349</f>
        <v/>
      </c>
      <c r="P349" s="33">
        <f>(N349-O349)*(1-(1-H349)^(1/12))</f>
        <v/>
      </c>
      <c r="Q349" s="34">
        <f>X348+Z348</f>
        <v/>
      </c>
      <c r="R349" s="29">
        <f>(1-LoadPremRate)*E349</f>
        <v/>
      </c>
      <c r="S349" s="34">
        <f>Q349+R349</f>
        <v/>
      </c>
      <c r="T349" s="29">
        <f>MaintFeeRateAnn/12*S349</f>
        <v/>
      </c>
      <c r="U349" s="29">
        <f>MAX(SumAssured-S349,0)</f>
        <v/>
      </c>
      <c r="V349" s="35">
        <f>CoiMultiple*G349</f>
        <v/>
      </c>
      <c r="W349" s="34">
        <f>V349*U349</f>
        <v/>
      </c>
      <c r="X349" s="34">
        <f>S349-T349-W349</f>
        <v/>
      </c>
      <c r="Y349" s="36">
        <f>EXP((Mu-0.5*Sigma^2)/12+Sigma*SQRT(1/12)*INDEX(NormRand,ScenID,A349+1))-1</f>
        <v/>
      </c>
      <c r="Z349" s="34">
        <f>Y349*X349</f>
        <v/>
      </c>
      <c r="AA349" s="34">
        <f>X349+0.5*Z349</f>
        <v/>
      </c>
      <c r="AB349" s="34">
        <f>Q349*J349</f>
        <v/>
      </c>
      <c r="AC349" s="34">
        <f>Q349*L349</f>
        <v/>
      </c>
      <c r="AD349" s="34">
        <f>S349*N349</f>
        <v/>
      </c>
      <c r="AE349" s="34">
        <f>E349*N349</f>
        <v/>
      </c>
      <c r="AF349" s="34">
        <f>R349*N349</f>
        <v/>
      </c>
      <c r="AG349" s="29">
        <f>MAX(SumAssured,AA349)</f>
        <v/>
      </c>
      <c r="AH349" s="34">
        <f>AG349*O349</f>
        <v/>
      </c>
      <c r="AI349" s="34">
        <f>AA349*O349</f>
        <v/>
      </c>
      <c r="AJ349" s="34">
        <f>AA349*P349</f>
        <v/>
      </c>
      <c r="AK349" s="34">
        <f>I349*AA349*P349</f>
        <v/>
      </c>
      <c r="AL349" s="34">
        <f>AJ349-AK349</f>
        <v/>
      </c>
      <c r="AM349" s="34">
        <f>Q349*K349</f>
        <v/>
      </c>
      <c r="AN349" s="34">
        <f>AH349+AL349+AM349</f>
        <v/>
      </c>
      <c r="AO349" s="34">
        <f>(AG349-AA349)*O349</f>
        <v/>
      </c>
      <c r="AP349" s="34">
        <f>W349*N349</f>
        <v/>
      </c>
      <c r="AQ349" s="34">
        <f>T349*N349</f>
        <v/>
      </c>
      <c r="AR349" s="34">
        <f>Z349*J350+0.5*Z349*(O349+P349)</f>
        <v/>
      </c>
      <c r="AS349" s="30">
        <f>(1+InflationRate)^(A349/12)</f>
        <v/>
      </c>
      <c r="AT349" s="29">
        <f>ExpenseAcq*M349+N349*ExpenseMaint/12*AS349</f>
        <v/>
      </c>
      <c r="AU349" s="29">
        <f>CommissionRate*AE349</f>
        <v/>
      </c>
      <c r="AV349" s="34">
        <f>AB350-AB349</f>
        <v/>
      </c>
      <c r="AW349" s="34">
        <f>AE349+AR349-AN349-AT349-AU349-AV349</f>
        <v/>
      </c>
      <c r="AX349" s="29">
        <f>LoadPremRate*E349*N349+AK349+AQ349-AU349-AT349</f>
        <v/>
      </c>
      <c r="AY349" s="34">
        <f>AP349-AO349</f>
        <v/>
      </c>
      <c r="AZ349" s="37">
        <f>(AW349-AX349-AY349)/MAX(1,ABS(AW349),ABS(AX349),ABS(AY349))</f>
        <v/>
      </c>
      <c r="BA349" s="37">
        <f>IF(OR(K349&gt;0,K350&gt;0),0,(AC350-(AC349+AF349-AQ349-AP349+AR349-AI349-AJ349-AM349))/MAX(1,ABS(AC349),ABS(AC350)))</f>
        <v/>
      </c>
      <c r="BB349" s="35">
        <f>(1+INDEX(DiscRateAnn,INT(A349/12)+1))^(1/12)-1</f>
        <v/>
      </c>
      <c r="BC349" s="31">
        <f>(1+BB349)^-A349</f>
        <v/>
      </c>
      <c r="BD349" s="34">
        <f>AW349*BC349</f>
        <v/>
      </c>
    </row>
    <row r="350">
      <c r="A350" s="27">
        <f>A349+1</f>
        <v/>
      </c>
      <c r="B350" s="28">
        <f>Duration0+A350</f>
        <v/>
      </c>
      <c r="C350" s="27">
        <f>INT(B350/12)</f>
        <v/>
      </c>
      <c r="D350" s="28">
        <f>AgeAtEntry+C350</f>
        <v/>
      </c>
      <c r="E350" s="29">
        <f>IF(PremiumType="SINGLE",IF(B350=0,PremiumPPInput,0),IF(B350&lt;12*PolicyTerm,PremiumPPInput,0))</f>
        <v/>
      </c>
      <c r="F350" s="30">
        <f>INDEX(MortRates,MATCH(MIN(D350,120),MortAges,0),MAX(MIN(C350,5),0)+1)</f>
        <v/>
      </c>
      <c r="G350" s="31">
        <f>1-(1-F350)^(1/12)</f>
        <v/>
      </c>
      <c r="H350" s="32">
        <f>MAX(LapseBase-LapseStep*C350,LapseFloor)</f>
        <v/>
      </c>
      <c r="I350" s="32">
        <f>IF(HasSurrCharge,INDEX(SurrRates,MIN(C350,SurrDurMax)+1,MATCH(SurrChargeID,SurrTypes,0)),0)</f>
        <v/>
      </c>
      <c r="J350" s="33">
        <f>N349-P349-O349</f>
        <v/>
      </c>
      <c r="K350" s="30">
        <f>IF(B350=12*PolicyTerm,J350,0)</f>
        <v/>
      </c>
      <c r="L350" s="33">
        <f>J350-K350</f>
        <v/>
      </c>
      <c r="M350" s="30">
        <f>IF(B350=0,PolicyCount,0)</f>
        <v/>
      </c>
      <c r="N350" s="33">
        <f>L350+M350</f>
        <v/>
      </c>
      <c r="O350" s="31">
        <f>N350*G350</f>
        <v/>
      </c>
      <c r="P350" s="33">
        <f>(N350-O350)*(1-(1-H350)^(1/12))</f>
        <v/>
      </c>
      <c r="Q350" s="34">
        <f>X349+Z349</f>
        <v/>
      </c>
      <c r="R350" s="29">
        <f>(1-LoadPremRate)*E350</f>
        <v/>
      </c>
      <c r="S350" s="34">
        <f>Q350+R350</f>
        <v/>
      </c>
      <c r="T350" s="29">
        <f>MaintFeeRateAnn/12*S350</f>
        <v/>
      </c>
      <c r="U350" s="29">
        <f>MAX(SumAssured-S350,0)</f>
        <v/>
      </c>
      <c r="V350" s="35">
        <f>CoiMultiple*G350</f>
        <v/>
      </c>
      <c r="W350" s="34">
        <f>V350*U350</f>
        <v/>
      </c>
      <c r="X350" s="34">
        <f>S350-T350-W350</f>
        <v/>
      </c>
      <c r="Y350" s="36">
        <f>EXP((Mu-0.5*Sigma^2)/12+Sigma*SQRT(1/12)*INDEX(NormRand,ScenID,A350+1))-1</f>
        <v/>
      </c>
      <c r="Z350" s="34">
        <f>Y350*X350</f>
        <v/>
      </c>
      <c r="AA350" s="34">
        <f>X350+0.5*Z350</f>
        <v/>
      </c>
      <c r="AB350" s="34">
        <f>Q350*J350</f>
        <v/>
      </c>
      <c r="AC350" s="34">
        <f>Q350*L350</f>
        <v/>
      </c>
      <c r="AD350" s="34">
        <f>S350*N350</f>
        <v/>
      </c>
      <c r="AE350" s="34">
        <f>E350*N350</f>
        <v/>
      </c>
      <c r="AF350" s="34">
        <f>R350*N350</f>
        <v/>
      </c>
      <c r="AG350" s="29">
        <f>MAX(SumAssured,AA350)</f>
        <v/>
      </c>
      <c r="AH350" s="34">
        <f>AG350*O350</f>
        <v/>
      </c>
      <c r="AI350" s="34">
        <f>AA350*O350</f>
        <v/>
      </c>
      <c r="AJ350" s="34">
        <f>AA350*P350</f>
        <v/>
      </c>
      <c r="AK350" s="34">
        <f>I350*AA350*P350</f>
        <v/>
      </c>
      <c r="AL350" s="34">
        <f>AJ350-AK350</f>
        <v/>
      </c>
      <c r="AM350" s="34">
        <f>Q350*K350</f>
        <v/>
      </c>
      <c r="AN350" s="34">
        <f>AH350+AL350+AM350</f>
        <v/>
      </c>
      <c r="AO350" s="34">
        <f>(AG350-AA350)*O350</f>
        <v/>
      </c>
      <c r="AP350" s="34">
        <f>W350*N350</f>
        <v/>
      </c>
      <c r="AQ350" s="34">
        <f>T350*N350</f>
        <v/>
      </c>
      <c r="AR350" s="34">
        <f>Z350*J351+0.5*Z350*(O350+P350)</f>
        <v/>
      </c>
      <c r="AS350" s="30">
        <f>(1+InflationRate)^(A350/12)</f>
        <v/>
      </c>
      <c r="AT350" s="29">
        <f>ExpenseAcq*M350+N350*ExpenseMaint/12*AS350</f>
        <v/>
      </c>
      <c r="AU350" s="29">
        <f>CommissionRate*AE350</f>
        <v/>
      </c>
      <c r="AV350" s="34">
        <f>AB351-AB350</f>
        <v/>
      </c>
      <c r="AW350" s="34">
        <f>AE350+AR350-AN350-AT350-AU350-AV350</f>
        <v/>
      </c>
      <c r="AX350" s="29">
        <f>LoadPremRate*E350*N350+AK350+AQ350-AU350-AT350</f>
        <v/>
      </c>
      <c r="AY350" s="34">
        <f>AP350-AO350</f>
        <v/>
      </c>
      <c r="AZ350" s="37">
        <f>(AW350-AX350-AY350)/MAX(1,ABS(AW350),ABS(AX350),ABS(AY350))</f>
        <v/>
      </c>
      <c r="BA350" s="37">
        <f>IF(OR(K350&gt;0,K351&gt;0),0,(AC351-(AC350+AF350-AQ350-AP350+AR350-AI350-AJ350-AM350))/MAX(1,ABS(AC350),ABS(AC351)))</f>
        <v/>
      </c>
      <c r="BB350" s="35">
        <f>(1+INDEX(DiscRateAnn,INT(A350/12)+1))^(1/12)-1</f>
        <v/>
      </c>
      <c r="BC350" s="31">
        <f>(1+BB350)^-A350</f>
        <v/>
      </c>
      <c r="BD350" s="34">
        <f>AW350*BC350</f>
        <v/>
      </c>
    </row>
    <row r="351">
      <c r="A351" s="27">
        <f>A350+1</f>
        <v/>
      </c>
      <c r="B351" s="28">
        <f>Duration0+A351</f>
        <v/>
      </c>
      <c r="C351" s="27">
        <f>INT(B351/12)</f>
        <v/>
      </c>
      <c r="D351" s="28">
        <f>AgeAtEntry+C351</f>
        <v/>
      </c>
      <c r="E351" s="29">
        <f>IF(PremiumType="SINGLE",IF(B351=0,PremiumPPInput,0),IF(B351&lt;12*PolicyTerm,PremiumPPInput,0))</f>
        <v/>
      </c>
      <c r="F351" s="30">
        <f>INDEX(MortRates,MATCH(MIN(D351,120),MortAges,0),MAX(MIN(C351,5),0)+1)</f>
        <v/>
      </c>
      <c r="G351" s="31">
        <f>1-(1-F351)^(1/12)</f>
        <v/>
      </c>
      <c r="H351" s="32">
        <f>MAX(LapseBase-LapseStep*C351,LapseFloor)</f>
        <v/>
      </c>
      <c r="I351" s="32">
        <f>IF(HasSurrCharge,INDEX(SurrRates,MIN(C351,SurrDurMax)+1,MATCH(SurrChargeID,SurrTypes,0)),0)</f>
        <v/>
      </c>
      <c r="J351" s="33">
        <f>N350-P350-O350</f>
        <v/>
      </c>
      <c r="K351" s="30">
        <f>IF(B351=12*PolicyTerm,J351,0)</f>
        <v/>
      </c>
      <c r="L351" s="33">
        <f>J351-K351</f>
        <v/>
      </c>
      <c r="M351" s="30">
        <f>IF(B351=0,PolicyCount,0)</f>
        <v/>
      </c>
      <c r="N351" s="33">
        <f>L351+M351</f>
        <v/>
      </c>
      <c r="O351" s="31">
        <f>N351*G351</f>
        <v/>
      </c>
      <c r="P351" s="33">
        <f>(N351-O351)*(1-(1-H351)^(1/12))</f>
        <v/>
      </c>
      <c r="Q351" s="34">
        <f>X350+Z350</f>
        <v/>
      </c>
      <c r="R351" s="29">
        <f>(1-LoadPremRate)*E351</f>
        <v/>
      </c>
      <c r="S351" s="34">
        <f>Q351+R351</f>
        <v/>
      </c>
      <c r="T351" s="29">
        <f>MaintFeeRateAnn/12*S351</f>
        <v/>
      </c>
      <c r="U351" s="29">
        <f>MAX(SumAssured-S351,0)</f>
        <v/>
      </c>
      <c r="V351" s="35">
        <f>CoiMultiple*G351</f>
        <v/>
      </c>
      <c r="W351" s="34">
        <f>V351*U351</f>
        <v/>
      </c>
      <c r="X351" s="34">
        <f>S351-T351-W351</f>
        <v/>
      </c>
      <c r="Y351" s="36">
        <f>EXP((Mu-0.5*Sigma^2)/12+Sigma*SQRT(1/12)*INDEX(NormRand,ScenID,A351+1))-1</f>
        <v/>
      </c>
      <c r="Z351" s="34">
        <f>Y351*X351</f>
        <v/>
      </c>
      <c r="AA351" s="34">
        <f>X351+0.5*Z351</f>
        <v/>
      </c>
      <c r="AB351" s="34">
        <f>Q351*J351</f>
        <v/>
      </c>
      <c r="AC351" s="34">
        <f>Q351*L351</f>
        <v/>
      </c>
      <c r="AD351" s="34">
        <f>S351*N351</f>
        <v/>
      </c>
      <c r="AE351" s="34">
        <f>E351*N351</f>
        <v/>
      </c>
      <c r="AF351" s="34">
        <f>R351*N351</f>
        <v/>
      </c>
      <c r="AG351" s="29">
        <f>MAX(SumAssured,AA351)</f>
        <v/>
      </c>
      <c r="AH351" s="34">
        <f>AG351*O351</f>
        <v/>
      </c>
      <c r="AI351" s="34">
        <f>AA351*O351</f>
        <v/>
      </c>
      <c r="AJ351" s="34">
        <f>AA351*P351</f>
        <v/>
      </c>
      <c r="AK351" s="34">
        <f>I351*AA351*P351</f>
        <v/>
      </c>
      <c r="AL351" s="34">
        <f>AJ351-AK351</f>
        <v/>
      </c>
      <c r="AM351" s="34">
        <f>Q351*K351</f>
        <v/>
      </c>
      <c r="AN351" s="34">
        <f>AH351+AL351+AM351</f>
        <v/>
      </c>
      <c r="AO351" s="34">
        <f>(AG351-AA351)*O351</f>
        <v/>
      </c>
      <c r="AP351" s="34">
        <f>W351*N351</f>
        <v/>
      </c>
      <c r="AQ351" s="34">
        <f>T351*N351</f>
        <v/>
      </c>
      <c r="AR351" s="34">
        <f>Z351*J352+0.5*Z351*(O351+P351)</f>
        <v/>
      </c>
      <c r="AS351" s="30">
        <f>(1+InflationRate)^(A351/12)</f>
        <v/>
      </c>
      <c r="AT351" s="29">
        <f>ExpenseAcq*M351+N351*ExpenseMaint/12*AS351</f>
        <v/>
      </c>
      <c r="AU351" s="29">
        <f>CommissionRate*AE351</f>
        <v/>
      </c>
      <c r="AV351" s="34">
        <f>AB352-AB351</f>
        <v/>
      </c>
      <c r="AW351" s="34">
        <f>AE351+AR351-AN351-AT351-AU351-AV351</f>
        <v/>
      </c>
      <c r="AX351" s="29">
        <f>LoadPremRate*E351*N351+AK351+AQ351-AU351-AT351</f>
        <v/>
      </c>
      <c r="AY351" s="34">
        <f>AP351-AO351</f>
        <v/>
      </c>
      <c r="AZ351" s="37">
        <f>(AW351-AX351-AY351)/MAX(1,ABS(AW351),ABS(AX351),ABS(AY351))</f>
        <v/>
      </c>
      <c r="BA351" s="37">
        <f>IF(OR(K351&gt;0,K352&gt;0),0,(AC352-(AC351+AF351-AQ351-AP351+AR351-AI351-AJ351-AM351))/MAX(1,ABS(AC351),ABS(AC352)))</f>
        <v/>
      </c>
      <c r="BB351" s="35">
        <f>(1+INDEX(DiscRateAnn,INT(A351/12)+1))^(1/12)-1</f>
        <v/>
      </c>
      <c r="BC351" s="31">
        <f>(1+BB351)^-A351</f>
        <v/>
      </c>
      <c r="BD351" s="34">
        <f>AW351*BC351</f>
        <v/>
      </c>
    </row>
    <row r="352">
      <c r="A352" s="27">
        <f>A351+1</f>
        <v/>
      </c>
      <c r="B352" s="28">
        <f>Duration0+A352</f>
        <v/>
      </c>
      <c r="C352" s="27">
        <f>INT(B352/12)</f>
        <v/>
      </c>
      <c r="D352" s="28">
        <f>AgeAtEntry+C352</f>
        <v/>
      </c>
      <c r="E352" s="29">
        <f>IF(PremiumType="SINGLE",IF(B352=0,PremiumPPInput,0),IF(B352&lt;12*PolicyTerm,PremiumPPInput,0))</f>
        <v/>
      </c>
      <c r="F352" s="30">
        <f>INDEX(MortRates,MATCH(MIN(D352,120),MortAges,0),MAX(MIN(C352,5),0)+1)</f>
        <v/>
      </c>
      <c r="G352" s="31">
        <f>1-(1-F352)^(1/12)</f>
        <v/>
      </c>
      <c r="H352" s="32">
        <f>MAX(LapseBase-LapseStep*C352,LapseFloor)</f>
        <v/>
      </c>
      <c r="I352" s="32">
        <f>IF(HasSurrCharge,INDEX(SurrRates,MIN(C352,SurrDurMax)+1,MATCH(SurrChargeID,SurrTypes,0)),0)</f>
        <v/>
      </c>
      <c r="J352" s="33">
        <f>N351-P351-O351</f>
        <v/>
      </c>
      <c r="K352" s="30">
        <f>IF(B352=12*PolicyTerm,J352,0)</f>
        <v/>
      </c>
      <c r="L352" s="33">
        <f>J352-K352</f>
        <v/>
      </c>
      <c r="M352" s="30">
        <f>IF(B352=0,PolicyCount,0)</f>
        <v/>
      </c>
      <c r="N352" s="33">
        <f>L352+M352</f>
        <v/>
      </c>
      <c r="O352" s="31">
        <f>N352*G352</f>
        <v/>
      </c>
      <c r="P352" s="33">
        <f>(N352-O352)*(1-(1-H352)^(1/12))</f>
        <v/>
      </c>
      <c r="Q352" s="34">
        <f>X351+Z351</f>
        <v/>
      </c>
      <c r="R352" s="29">
        <f>(1-LoadPremRate)*E352</f>
        <v/>
      </c>
      <c r="S352" s="34">
        <f>Q352+R352</f>
        <v/>
      </c>
      <c r="T352" s="29">
        <f>MaintFeeRateAnn/12*S352</f>
        <v/>
      </c>
      <c r="U352" s="29">
        <f>MAX(SumAssured-S352,0)</f>
        <v/>
      </c>
      <c r="V352" s="35">
        <f>CoiMultiple*G352</f>
        <v/>
      </c>
      <c r="W352" s="34">
        <f>V352*U352</f>
        <v/>
      </c>
      <c r="X352" s="34">
        <f>S352-T352-W352</f>
        <v/>
      </c>
      <c r="Y352" s="36">
        <f>EXP((Mu-0.5*Sigma^2)/12+Sigma*SQRT(1/12)*INDEX(NormRand,ScenID,A352+1))-1</f>
        <v/>
      </c>
      <c r="Z352" s="34">
        <f>Y352*X352</f>
        <v/>
      </c>
      <c r="AA352" s="34">
        <f>X352+0.5*Z352</f>
        <v/>
      </c>
      <c r="AB352" s="34">
        <f>Q352*J352</f>
        <v/>
      </c>
      <c r="AC352" s="34">
        <f>Q352*L352</f>
        <v/>
      </c>
      <c r="AD352" s="34">
        <f>S352*N352</f>
        <v/>
      </c>
      <c r="AE352" s="34">
        <f>E352*N352</f>
        <v/>
      </c>
      <c r="AF352" s="34">
        <f>R352*N352</f>
        <v/>
      </c>
      <c r="AG352" s="29">
        <f>MAX(SumAssured,AA352)</f>
        <v/>
      </c>
      <c r="AH352" s="34">
        <f>AG352*O352</f>
        <v/>
      </c>
      <c r="AI352" s="34">
        <f>AA352*O352</f>
        <v/>
      </c>
      <c r="AJ352" s="34">
        <f>AA352*P352</f>
        <v/>
      </c>
      <c r="AK352" s="34">
        <f>I352*AA352*P352</f>
        <v/>
      </c>
      <c r="AL352" s="34">
        <f>AJ352-AK352</f>
        <v/>
      </c>
      <c r="AM352" s="34">
        <f>Q352*K352</f>
        <v/>
      </c>
      <c r="AN352" s="34">
        <f>AH352+AL352+AM352</f>
        <v/>
      </c>
      <c r="AO352" s="34">
        <f>(AG352-AA352)*O352</f>
        <v/>
      </c>
      <c r="AP352" s="34">
        <f>W352*N352</f>
        <v/>
      </c>
      <c r="AQ352" s="34">
        <f>T352*N352</f>
        <v/>
      </c>
      <c r="AR352" s="34">
        <f>Z352*J353+0.5*Z352*(O352+P352)</f>
        <v/>
      </c>
      <c r="AS352" s="30">
        <f>(1+InflationRate)^(A352/12)</f>
        <v/>
      </c>
      <c r="AT352" s="29">
        <f>ExpenseAcq*M352+N352*ExpenseMaint/12*AS352</f>
        <v/>
      </c>
      <c r="AU352" s="29">
        <f>CommissionRate*AE352</f>
        <v/>
      </c>
      <c r="AV352" s="34">
        <f>AB353-AB352</f>
        <v/>
      </c>
      <c r="AW352" s="34">
        <f>AE352+AR352-AN352-AT352-AU352-AV352</f>
        <v/>
      </c>
      <c r="AX352" s="29">
        <f>LoadPremRate*E352*N352+AK352+AQ352-AU352-AT352</f>
        <v/>
      </c>
      <c r="AY352" s="34">
        <f>AP352-AO352</f>
        <v/>
      </c>
      <c r="AZ352" s="37">
        <f>(AW352-AX352-AY352)/MAX(1,ABS(AW352),ABS(AX352),ABS(AY352))</f>
        <v/>
      </c>
      <c r="BA352" s="37">
        <f>IF(OR(K352&gt;0,K353&gt;0),0,(AC353-(AC352+AF352-AQ352-AP352+AR352-AI352-AJ352-AM352))/MAX(1,ABS(AC352),ABS(AC353)))</f>
        <v/>
      </c>
      <c r="BB352" s="35">
        <f>(1+INDEX(DiscRateAnn,INT(A352/12)+1))^(1/12)-1</f>
        <v/>
      </c>
      <c r="BC352" s="31">
        <f>(1+BB352)^-A352</f>
        <v/>
      </c>
      <c r="BD352" s="34">
        <f>AW352*BC352</f>
        <v/>
      </c>
    </row>
    <row r="353">
      <c r="A353" s="27">
        <f>A352+1</f>
        <v/>
      </c>
      <c r="B353" s="28">
        <f>Duration0+A353</f>
        <v/>
      </c>
      <c r="C353" s="27">
        <f>INT(B353/12)</f>
        <v/>
      </c>
      <c r="D353" s="28">
        <f>AgeAtEntry+C353</f>
        <v/>
      </c>
      <c r="E353" s="29">
        <f>IF(PremiumType="SINGLE",IF(B353=0,PremiumPPInput,0),IF(B353&lt;12*PolicyTerm,PremiumPPInput,0))</f>
        <v/>
      </c>
      <c r="F353" s="30">
        <f>INDEX(MortRates,MATCH(MIN(D353,120),MortAges,0),MAX(MIN(C353,5),0)+1)</f>
        <v/>
      </c>
      <c r="G353" s="31">
        <f>1-(1-F353)^(1/12)</f>
        <v/>
      </c>
      <c r="H353" s="32">
        <f>MAX(LapseBase-LapseStep*C353,LapseFloor)</f>
        <v/>
      </c>
      <c r="I353" s="32">
        <f>IF(HasSurrCharge,INDEX(SurrRates,MIN(C353,SurrDurMax)+1,MATCH(SurrChargeID,SurrTypes,0)),0)</f>
        <v/>
      </c>
      <c r="J353" s="33">
        <f>N352-P352-O352</f>
        <v/>
      </c>
      <c r="K353" s="30">
        <f>IF(B353=12*PolicyTerm,J353,0)</f>
        <v/>
      </c>
      <c r="L353" s="33">
        <f>J353-K353</f>
        <v/>
      </c>
      <c r="M353" s="30">
        <f>IF(B353=0,PolicyCount,0)</f>
        <v/>
      </c>
      <c r="N353" s="33">
        <f>L353+M353</f>
        <v/>
      </c>
      <c r="O353" s="31">
        <f>N353*G353</f>
        <v/>
      </c>
      <c r="P353" s="33">
        <f>(N353-O353)*(1-(1-H353)^(1/12))</f>
        <v/>
      </c>
      <c r="Q353" s="34">
        <f>X352+Z352</f>
        <v/>
      </c>
      <c r="R353" s="29">
        <f>(1-LoadPremRate)*E353</f>
        <v/>
      </c>
      <c r="S353" s="34">
        <f>Q353+R353</f>
        <v/>
      </c>
      <c r="T353" s="29">
        <f>MaintFeeRateAnn/12*S353</f>
        <v/>
      </c>
      <c r="U353" s="29">
        <f>MAX(SumAssured-S353,0)</f>
        <v/>
      </c>
      <c r="V353" s="35">
        <f>CoiMultiple*G353</f>
        <v/>
      </c>
      <c r="W353" s="34">
        <f>V353*U353</f>
        <v/>
      </c>
      <c r="X353" s="34">
        <f>S353-T353-W353</f>
        <v/>
      </c>
      <c r="Y353" s="36">
        <f>EXP((Mu-0.5*Sigma^2)/12+Sigma*SQRT(1/12)*INDEX(NormRand,ScenID,A353+1))-1</f>
        <v/>
      </c>
      <c r="Z353" s="34">
        <f>Y353*X353</f>
        <v/>
      </c>
      <c r="AA353" s="34">
        <f>X353+0.5*Z353</f>
        <v/>
      </c>
      <c r="AB353" s="34">
        <f>Q353*J353</f>
        <v/>
      </c>
      <c r="AC353" s="34">
        <f>Q353*L353</f>
        <v/>
      </c>
      <c r="AD353" s="34">
        <f>S353*N353</f>
        <v/>
      </c>
      <c r="AE353" s="34">
        <f>E353*N353</f>
        <v/>
      </c>
      <c r="AF353" s="34">
        <f>R353*N353</f>
        <v/>
      </c>
      <c r="AG353" s="29">
        <f>MAX(SumAssured,AA353)</f>
        <v/>
      </c>
      <c r="AH353" s="34">
        <f>AG353*O353</f>
        <v/>
      </c>
      <c r="AI353" s="34">
        <f>AA353*O353</f>
        <v/>
      </c>
      <c r="AJ353" s="34">
        <f>AA353*P353</f>
        <v/>
      </c>
      <c r="AK353" s="34">
        <f>I353*AA353*P353</f>
        <v/>
      </c>
      <c r="AL353" s="34">
        <f>AJ353-AK353</f>
        <v/>
      </c>
      <c r="AM353" s="34">
        <f>Q353*K353</f>
        <v/>
      </c>
      <c r="AN353" s="34">
        <f>AH353+AL353+AM353</f>
        <v/>
      </c>
      <c r="AO353" s="34">
        <f>(AG353-AA353)*O353</f>
        <v/>
      </c>
      <c r="AP353" s="34">
        <f>W353*N353</f>
        <v/>
      </c>
      <c r="AQ353" s="34">
        <f>T353*N353</f>
        <v/>
      </c>
      <c r="AR353" s="34">
        <f>Z353*J354+0.5*Z353*(O353+P353)</f>
        <v/>
      </c>
      <c r="AS353" s="30">
        <f>(1+InflationRate)^(A353/12)</f>
        <v/>
      </c>
      <c r="AT353" s="29">
        <f>ExpenseAcq*M353+N353*ExpenseMaint/12*AS353</f>
        <v/>
      </c>
      <c r="AU353" s="29">
        <f>CommissionRate*AE353</f>
        <v/>
      </c>
      <c r="AV353" s="34">
        <f>AB354-AB353</f>
        <v/>
      </c>
      <c r="AW353" s="34">
        <f>AE353+AR353-AN353-AT353-AU353-AV353</f>
        <v/>
      </c>
      <c r="AX353" s="29">
        <f>LoadPremRate*E353*N353+AK353+AQ353-AU353-AT353</f>
        <v/>
      </c>
      <c r="AY353" s="34">
        <f>AP353-AO353</f>
        <v/>
      </c>
      <c r="AZ353" s="37">
        <f>(AW353-AX353-AY353)/MAX(1,ABS(AW353),ABS(AX353),ABS(AY353))</f>
        <v/>
      </c>
      <c r="BA353" s="37">
        <f>IF(OR(K353&gt;0,K354&gt;0),0,(AC354-(AC353+AF353-AQ353-AP353+AR353-AI353-AJ353-AM353))/MAX(1,ABS(AC353),ABS(AC354)))</f>
        <v/>
      </c>
      <c r="BB353" s="35">
        <f>(1+INDEX(DiscRateAnn,INT(A353/12)+1))^(1/12)-1</f>
        <v/>
      </c>
      <c r="BC353" s="31">
        <f>(1+BB353)^-A353</f>
        <v/>
      </c>
      <c r="BD353" s="34">
        <f>AW353*BC353</f>
        <v/>
      </c>
    </row>
    <row r="354">
      <c r="A354" s="27">
        <f>A353+1</f>
        <v/>
      </c>
      <c r="B354" s="28">
        <f>Duration0+A354</f>
        <v/>
      </c>
      <c r="C354" s="27">
        <f>INT(B354/12)</f>
        <v/>
      </c>
      <c r="D354" s="28">
        <f>AgeAtEntry+C354</f>
        <v/>
      </c>
      <c r="E354" s="29">
        <f>IF(PremiumType="SINGLE",IF(B354=0,PremiumPPInput,0),IF(B354&lt;12*PolicyTerm,PremiumPPInput,0))</f>
        <v/>
      </c>
      <c r="F354" s="30">
        <f>INDEX(MortRates,MATCH(MIN(D354,120),MortAges,0),MAX(MIN(C354,5),0)+1)</f>
        <v/>
      </c>
      <c r="G354" s="31">
        <f>1-(1-F354)^(1/12)</f>
        <v/>
      </c>
      <c r="H354" s="32">
        <f>MAX(LapseBase-LapseStep*C354,LapseFloor)</f>
        <v/>
      </c>
      <c r="I354" s="32">
        <f>IF(HasSurrCharge,INDEX(SurrRates,MIN(C354,SurrDurMax)+1,MATCH(SurrChargeID,SurrTypes,0)),0)</f>
        <v/>
      </c>
      <c r="J354" s="33">
        <f>N353-P353-O353</f>
        <v/>
      </c>
      <c r="K354" s="30">
        <f>IF(B354=12*PolicyTerm,J354,0)</f>
        <v/>
      </c>
      <c r="L354" s="33">
        <f>J354-K354</f>
        <v/>
      </c>
      <c r="M354" s="30">
        <f>IF(B354=0,PolicyCount,0)</f>
        <v/>
      </c>
      <c r="N354" s="33">
        <f>L354+M354</f>
        <v/>
      </c>
      <c r="O354" s="31">
        <f>N354*G354</f>
        <v/>
      </c>
      <c r="P354" s="33">
        <f>(N354-O354)*(1-(1-H354)^(1/12))</f>
        <v/>
      </c>
      <c r="Q354" s="34">
        <f>X353+Z353</f>
        <v/>
      </c>
      <c r="R354" s="29">
        <f>(1-LoadPremRate)*E354</f>
        <v/>
      </c>
      <c r="S354" s="34">
        <f>Q354+R354</f>
        <v/>
      </c>
      <c r="T354" s="29">
        <f>MaintFeeRateAnn/12*S354</f>
        <v/>
      </c>
      <c r="U354" s="29">
        <f>MAX(SumAssured-S354,0)</f>
        <v/>
      </c>
      <c r="V354" s="35">
        <f>CoiMultiple*G354</f>
        <v/>
      </c>
      <c r="W354" s="34">
        <f>V354*U354</f>
        <v/>
      </c>
      <c r="X354" s="34">
        <f>S354-T354-W354</f>
        <v/>
      </c>
      <c r="Y354" s="36">
        <f>EXP((Mu-0.5*Sigma^2)/12+Sigma*SQRT(1/12)*INDEX(NormRand,ScenID,A354+1))-1</f>
        <v/>
      </c>
      <c r="Z354" s="34">
        <f>Y354*X354</f>
        <v/>
      </c>
      <c r="AA354" s="34">
        <f>X354+0.5*Z354</f>
        <v/>
      </c>
      <c r="AB354" s="34">
        <f>Q354*J354</f>
        <v/>
      </c>
      <c r="AC354" s="34">
        <f>Q354*L354</f>
        <v/>
      </c>
      <c r="AD354" s="34">
        <f>S354*N354</f>
        <v/>
      </c>
      <c r="AE354" s="34">
        <f>E354*N354</f>
        <v/>
      </c>
      <c r="AF354" s="34">
        <f>R354*N354</f>
        <v/>
      </c>
      <c r="AG354" s="29">
        <f>MAX(SumAssured,AA354)</f>
        <v/>
      </c>
      <c r="AH354" s="34">
        <f>AG354*O354</f>
        <v/>
      </c>
      <c r="AI354" s="34">
        <f>AA354*O354</f>
        <v/>
      </c>
      <c r="AJ354" s="34">
        <f>AA354*P354</f>
        <v/>
      </c>
      <c r="AK354" s="34">
        <f>I354*AA354*P354</f>
        <v/>
      </c>
      <c r="AL354" s="34">
        <f>AJ354-AK354</f>
        <v/>
      </c>
      <c r="AM354" s="34">
        <f>Q354*K354</f>
        <v/>
      </c>
      <c r="AN354" s="34">
        <f>AH354+AL354+AM354</f>
        <v/>
      </c>
      <c r="AO354" s="34">
        <f>(AG354-AA354)*O354</f>
        <v/>
      </c>
      <c r="AP354" s="34">
        <f>W354*N354</f>
        <v/>
      </c>
      <c r="AQ354" s="34">
        <f>T354*N354</f>
        <v/>
      </c>
      <c r="AR354" s="34">
        <f>Z354*J355+0.5*Z354*(O354+P354)</f>
        <v/>
      </c>
      <c r="AS354" s="30">
        <f>(1+InflationRate)^(A354/12)</f>
        <v/>
      </c>
      <c r="AT354" s="29">
        <f>ExpenseAcq*M354+N354*ExpenseMaint/12*AS354</f>
        <v/>
      </c>
      <c r="AU354" s="29">
        <f>CommissionRate*AE354</f>
        <v/>
      </c>
      <c r="AV354" s="34">
        <f>AB355-AB354</f>
        <v/>
      </c>
      <c r="AW354" s="34">
        <f>AE354+AR354-AN354-AT354-AU354-AV354</f>
        <v/>
      </c>
      <c r="AX354" s="29">
        <f>LoadPremRate*E354*N354+AK354+AQ354-AU354-AT354</f>
        <v/>
      </c>
      <c r="AY354" s="34">
        <f>AP354-AO354</f>
        <v/>
      </c>
      <c r="AZ354" s="37">
        <f>(AW354-AX354-AY354)/MAX(1,ABS(AW354),ABS(AX354),ABS(AY354))</f>
        <v/>
      </c>
      <c r="BA354" s="37">
        <f>IF(OR(K354&gt;0,K355&gt;0),0,(AC355-(AC354+AF354-AQ354-AP354+AR354-AI354-AJ354-AM354))/MAX(1,ABS(AC354),ABS(AC355)))</f>
        <v/>
      </c>
      <c r="BB354" s="35">
        <f>(1+INDEX(DiscRateAnn,INT(A354/12)+1))^(1/12)-1</f>
        <v/>
      </c>
      <c r="BC354" s="31">
        <f>(1+BB354)^-A354</f>
        <v/>
      </c>
      <c r="BD354" s="34">
        <f>AW354*BC354</f>
        <v/>
      </c>
    </row>
    <row r="355">
      <c r="A355" s="27">
        <f>A354+1</f>
        <v/>
      </c>
      <c r="B355" s="28">
        <f>Duration0+A355</f>
        <v/>
      </c>
      <c r="C355" s="27">
        <f>INT(B355/12)</f>
        <v/>
      </c>
      <c r="D355" s="28">
        <f>AgeAtEntry+C355</f>
        <v/>
      </c>
      <c r="E355" s="29">
        <f>IF(PremiumType="SINGLE",IF(B355=0,PremiumPPInput,0),IF(B355&lt;12*PolicyTerm,PremiumPPInput,0))</f>
        <v/>
      </c>
      <c r="F355" s="30">
        <f>INDEX(MortRates,MATCH(MIN(D355,120),MortAges,0),MAX(MIN(C355,5),0)+1)</f>
        <v/>
      </c>
      <c r="G355" s="31">
        <f>1-(1-F355)^(1/12)</f>
        <v/>
      </c>
      <c r="H355" s="32">
        <f>MAX(LapseBase-LapseStep*C355,LapseFloor)</f>
        <v/>
      </c>
      <c r="I355" s="32">
        <f>IF(HasSurrCharge,INDEX(SurrRates,MIN(C355,SurrDurMax)+1,MATCH(SurrChargeID,SurrTypes,0)),0)</f>
        <v/>
      </c>
      <c r="J355" s="33">
        <f>N354-P354-O354</f>
        <v/>
      </c>
      <c r="K355" s="30">
        <f>IF(B355=12*PolicyTerm,J355,0)</f>
        <v/>
      </c>
      <c r="L355" s="33">
        <f>J355-K355</f>
        <v/>
      </c>
      <c r="M355" s="30">
        <f>IF(B355=0,PolicyCount,0)</f>
        <v/>
      </c>
      <c r="N355" s="33">
        <f>L355+M355</f>
        <v/>
      </c>
      <c r="O355" s="31">
        <f>N355*G355</f>
        <v/>
      </c>
      <c r="P355" s="33">
        <f>(N355-O355)*(1-(1-H355)^(1/12))</f>
        <v/>
      </c>
      <c r="Q355" s="34">
        <f>X354+Z354</f>
        <v/>
      </c>
      <c r="R355" s="29">
        <f>(1-LoadPremRate)*E355</f>
        <v/>
      </c>
      <c r="S355" s="34">
        <f>Q355+R355</f>
        <v/>
      </c>
      <c r="T355" s="29">
        <f>MaintFeeRateAnn/12*S355</f>
        <v/>
      </c>
      <c r="U355" s="29">
        <f>MAX(SumAssured-S355,0)</f>
        <v/>
      </c>
      <c r="V355" s="35">
        <f>CoiMultiple*G355</f>
        <v/>
      </c>
      <c r="W355" s="34">
        <f>V355*U355</f>
        <v/>
      </c>
      <c r="X355" s="34">
        <f>S355-T355-W355</f>
        <v/>
      </c>
      <c r="Y355" s="36">
        <f>EXP((Mu-0.5*Sigma^2)/12+Sigma*SQRT(1/12)*INDEX(NormRand,ScenID,A355+1))-1</f>
        <v/>
      </c>
      <c r="Z355" s="34">
        <f>Y355*X355</f>
        <v/>
      </c>
      <c r="AA355" s="34">
        <f>X355+0.5*Z355</f>
        <v/>
      </c>
      <c r="AB355" s="34">
        <f>Q355*J355</f>
        <v/>
      </c>
      <c r="AC355" s="34">
        <f>Q355*L355</f>
        <v/>
      </c>
      <c r="AD355" s="34">
        <f>S355*N355</f>
        <v/>
      </c>
      <c r="AE355" s="34">
        <f>E355*N355</f>
        <v/>
      </c>
      <c r="AF355" s="34">
        <f>R355*N355</f>
        <v/>
      </c>
      <c r="AG355" s="29">
        <f>MAX(SumAssured,AA355)</f>
        <v/>
      </c>
      <c r="AH355" s="34">
        <f>AG355*O355</f>
        <v/>
      </c>
      <c r="AI355" s="34">
        <f>AA355*O355</f>
        <v/>
      </c>
      <c r="AJ355" s="34">
        <f>AA355*P355</f>
        <v/>
      </c>
      <c r="AK355" s="34">
        <f>I355*AA355*P355</f>
        <v/>
      </c>
      <c r="AL355" s="34">
        <f>AJ355-AK355</f>
        <v/>
      </c>
      <c r="AM355" s="34">
        <f>Q355*K355</f>
        <v/>
      </c>
      <c r="AN355" s="34">
        <f>AH355+AL355+AM355</f>
        <v/>
      </c>
      <c r="AO355" s="34">
        <f>(AG355-AA355)*O355</f>
        <v/>
      </c>
      <c r="AP355" s="34">
        <f>W355*N355</f>
        <v/>
      </c>
      <c r="AQ355" s="34">
        <f>T355*N355</f>
        <v/>
      </c>
      <c r="AR355" s="34">
        <f>Z355*J356+0.5*Z355*(O355+P355)</f>
        <v/>
      </c>
      <c r="AS355" s="30">
        <f>(1+InflationRate)^(A355/12)</f>
        <v/>
      </c>
      <c r="AT355" s="29">
        <f>ExpenseAcq*M355+N355*ExpenseMaint/12*AS355</f>
        <v/>
      </c>
      <c r="AU355" s="29">
        <f>CommissionRate*AE355</f>
        <v/>
      </c>
      <c r="AV355" s="34">
        <f>AB356-AB355</f>
        <v/>
      </c>
      <c r="AW355" s="34">
        <f>AE355+AR355-AN355-AT355-AU355-AV355</f>
        <v/>
      </c>
      <c r="AX355" s="29">
        <f>LoadPremRate*E355*N355+AK355+AQ355-AU355-AT355</f>
        <v/>
      </c>
      <c r="AY355" s="34">
        <f>AP355-AO355</f>
        <v/>
      </c>
      <c r="AZ355" s="37">
        <f>(AW355-AX355-AY355)/MAX(1,ABS(AW355),ABS(AX355),ABS(AY355))</f>
        <v/>
      </c>
      <c r="BA355" s="37">
        <f>IF(OR(K355&gt;0,K356&gt;0),0,(AC356-(AC355+AF355-AQ355-AP355+AR355-AI355-AJ355-AM355))/MAX(1,ABS(AC355),ABS(AC356)))</f>
        <v/>
      </c>
      <c r="BB355" s="35">
        <f>(1+INDEX(DiscRateAnn,INT(A355/12)+1))^(1/12)-1</f>
        <v/>
      </c>
      <c r="BC355" s="31">
        <f>(1+BB355)^-A355</f>
        <v/>
      </c>
      <c r="BD355" s="34">
        <f>AW355*BC355</f>
        <v/>
      </c>
    </row>
    <row r="356">
      <c r="A356" s="27">
        <f>A355+1</f>
        <v/>
      </c>
      <c r="B356" s="28">
        <f>Duration0+A356</f>
        <v/>
      </c>
      <c r="C356" s="27">
        <f>INT(B356/12)</f>
        <v/>
      </c>
      <c r="D356" s="28">
        <f>AgeAtEntry+C356</f>
        <v/>
      </c>
      <c r="E356" s="29">
        <f>IF(PremiumType="SINGLE",IF(B356=0,PremiumPPInput,0),IF(B356&lt;12*PolicyTerm,PremiumPPInput,0))</f>
        <v/>
      </c>
      <c r="F356" s="30">
        <f>INDEX(MortRates,MATCH(MIN(D356,120),MortAges,0),MAX(MIN(C356,5),0)+1)</f>
        <v/>
      </c>
      <c r="G356" s="31">
        <f>1-(1-F356)^(1/12)</f>
        <v/>
      </c>
      <c r="H356" s="32">
        <f>MAX(LapseBase-LapseStep*C356,LapseFloor)</f>
        <v/>
      </c>
      <c r="I356" s="32">
        <f>IF(HasSurrCharge,INDEX(SurrRates,MIN(C356,SurrDurMax)+1,MATCH(SurrChargeID,SurrTypes,0)),0)</f>
        <v/>
      </c>
      <c r="J356" s="33">
        <f>N355-P355-O355</f>
        <v/>
      </c>
      <c r="K356" s="30">
        <f>IF(B356=12*PolicyTerm,J356,0)</f>
        <v/>
      </c>
      <c r="L356" s="33">
        <f>J356-K356</f>
        <v/>
      </c>
      <c r="M356" s="30">
        <f>IF(B356=0,PolicyCount,0)</f>
        <v/>
      </c>
      <c r="N356" s="33">
        <f>L356+M356</f>
        <v/>
      </c>
      <c r="O356" s="31">
        <f>N356*G356</f>
        <v/>
      </c>
      <c r="P356" s="33">
        <f>(N356-O356)*(1-(1-H356)^(1/12))</f>
        <v/>
      </c>
      <c r="Q356" s="34">
        <f>X355+Z355</f>
        <v/>
      </c>
      <c r="R356" s="29">
        <f>(1-LoadPremRate)*E356</f>
        <v/>
      </c>
      <c r="S356" s="34">
        <f>Q356+R356</f>
        <v/>
      </c>
      <c r="T356" s="29">
        <f>MaintFeeRateAnn/12*S356</f>
        <v/>
      </c>
      <c r="U356" s="29">
        <f>MAX(SumAssured-S356,0)</f>
        <v/>
      </c>
      <c r="V356" s="35">
        <f>CoiMultiple*G356</f>
        <v/>
      </c>
      <c r="W356" s="34">
        <f>V356*U356</f>
        <v/>
      </c>
      <c r="X356" s="34">
        <f>S356-T356-W356</f>
        <v/>
      </c>
      <c r="Y356" s="36">
        <f>EXP((Mu-0.5*Sigma^2)/12+Sigma*SQRT(1/12)*INDEX(NormRand,ScenID,A356+1))-1</f>
        <v/>
      </c>
      <c r="Z356" s="34">
        <f>Y356*X356</f>
        <v/>
      </c>
      <c r="AA356" s="34">
        <f>X356+0.5*Z356</f>
        <v/>
      </c>
      <c r="AB356" s="34">
        <f>Q356*J356</f>
        <v/>
      </c>
      <c r="AC356" s="34">
        <f>Q356*L356</f>
        <v/>
      </c>
      <c r="AD356" s="34">
        <f>S356*N356</f>
        <v/>
      </c>
      <c r="AE356" s="34">
        <f>E356*N356</f>
        <v/>
      </c>
      <c r="AF356" s="34">
        <f>R356*N356</f>
        <v/>
      </c>
      <c r="AG356" s="29">
        <f>MAX(SumAssured,AA356)</f>
        <v/>
      </c>
      <c r="AH356" s="34">
        <f>AG356*O356</f>
        <v/>
      </c>
      <c r="AI356" s="34">
        <f>AA356*O356</f>
        <v/>
      </c>
      <c r="AJ356" s="34">
        <f>AA356*P356</f>
        <v/>
      </c>
      <c r="AK356" s="34">
        <f>I356*AA356*P356</f>
        <v/>
      </c>
      <c r="AL356" s="34">
        <f>AJ356-AK356</f>
        <v/>
      </c>
      <c r="AM356" s="34">
        <f>Q356*K356</f>
        <v/>
      </c>
      <c r="AN356" s="34">
        <f>AH356+AL356+AM356</f>
        <v/>
      </c>
      <c r="AO356" s="34">
        <f>(AG356-AA356)*O356</f>
        <v/>
      </c>
      <c r="AP356" s="34">
        <f>W356*N356</f>
        <v/>
      </c>
      <c r="AQ356" s="34">
        <f>T356*N356</f>
        <v/>
      </c>
      <c r="AR356" s="34">
        <f>Z356*J357+0.5*Z356*(O356+P356)</f>
        <v/>
      </c>
      <c r="AS356" s="30">
        <f>(1+InflationRate)^(A356/12)</f>
        <v/>
      </c>
      <c r="AT356" s="29">
        <f>ExpenseAcq*M356+N356*ExpenseMaint/12*AS356</f>
        <v/>
      </c>
      <c r="AU356" s="29">
        <f>CommissionRate*AE356</f>
        <v/>
      </c>
      <c r="AV356" s="34">
        <f>AB357-AB356</f>
        <v/>
      </c>
      <c r="AW356" s="34">
        <f>AE356+AR356-AN356-AT356-AU356-AV356</f>
        <v/>
      </c>
      <c r="AX356" s="29">
        <f>LoadPremRate*E356*N356+AK356+AQ356-AU356-AT356</f>
        <v/>
      </c>
      <c r="AY356" s="34">
        <f>AP356-AO356</f>
        <v/>
      </c>
      <c r="AZ356" s="37">
        <f>(AW356-AX356-AY356)/MAX(1,ABS(AW356),ABS(AX356),ABS(AY356))</f>
        <v/>
      </c>
      <c r="BA356" s="37">
        <f>IF(OR(K356&gt;0,K357&gt;0),0,(AC357-(AC356+AF356-AQ356-AP356+AR356-AI356-AJ356-AM356))/MAX(1,ABS(AC356),ABS(AC357)))</f>
        <v/>
      </c>
      <c r="BB356" s="35">
        <f>(1+INDEX(DiscRateAnn,INT(A356/12)+1))^(1/12)-1</f>
        <v/>
      </c>
      <c r="BC356" s="31">
        <f>(1+BB356)^-A356</f>
        <v/>
      </c>
      <c r="BD356" s="34">
        <f>AW356*BC356</f>
        <v/>
      </c>
    </row>
    <row r="357">
      <c r="A357" s="27">
        <f>A356+1</f>
        <v/>
      </c>
      <c r="B357" s="28">
        <f>Duration0+A357</f>
        <v/>
      </c>
      <c r="C357" s="27">
        <f>INT(B357/12)</f>
        <v/>
      </c>
      <c r="D357" s="28">
        <f>AgeAtEntry+C357</f>
        <v/>
      </c>
      <c r="E357" s="29">
        <f>IF(PremiumType="SINGLE",IF(B357=0,PremiumPPInput,0),IF(B357&lt;12*PolicyTerm,PremiumPPInput,0))</f>
        <v/>
      </c>
      <c r="F357" s="30">
        <f>INDEX(MortRates,MATCH(MIN(D357,120),MortAges,0),MAX(MIN(C357,5),0)+1)</f>
        <v/>
      </c>
      <c r="G357" s="31">
        <f>1-(1-F357)^(1/12)</f>
        <v/>
      </c>
      <c r="H357" s="32">
        <f>MAX(LapseBase-LapseStep*C357,LapseFloor)</f>
        <v/>
      </c>
      <c r="I357" s="32">
        <f>IF(HasSurrCharge,INDEX(SurrRates,MIN(C357,SurrDurMax)+1,MATCH(SurrChargeID,SurrTypes,0)),0)</f>
        <v/>
      </c>
      <c r="J357" s="33">
        <f>N356-P356-O356</f>
        <v/>
      </c>
      <c r="K357" s="30">
        <f>IF(B357=12*PolicyTerm,J357,0)</f>
        <v/>
      </c>
      <c r="L357" s="33">
        <f>J357-K357</f>
        <v/>
      </c>
      <c r="M357" s="30">
        <f>IF(B357=0,PolicyCount,0)</f>
        <v/>
      </c>
      <c r="N357" s="33">
        <f>L357+M357</f>
        <v/>
      </c>
      <c r="O357" s="31">
        <f>N357*G357</f>
        <v/>
      </c>
      <c r="P357" s="33">
        <f>(N357-O357)*(1-(1-H357)^(1/12))</f>
        <v/>
      </c>
      <c r="Q357" s="34">
        <f>X356+Z356</f>
        <v/>
      </c>
      <c r="R357" s="29">
        <f>(1-LoadPremRate)*E357</f>
        <v/>
      </c>
      <c r="S357" s="34">
        <f>Q357+R357</f>
        <v/>
      </c>
      <c r="T357" s="29">
        <f>MaintFeeRateAnn/12*S357</f>
        <v/>
      </c>
      <c r="U357" s="29">
        <f>MAX(SumAssured-S357,0)</f>
        <v/>
      </c>
      <c r="V357" s="35">
        <f>CoiMultiple*G357</f>
        <v/>
      </c>
      <c r="W357" s="34">
        <f>V357*U357</f>
        <v/>
      </c>
      <c r="X357" s="34">
        <f>S357-T357-W357</f>
        <v/>
      </c>
      <c r="Y357" s="36">
        <f>EXP((Mu-0.5*Sigma^2)/12+Sigma*SQRT(1/12)*INDEX(NormRand,ScenID,A357+1))-1</f>
        <v/>
      </c>
      <c r="Z357" s="34">
        <f>Y357*X357</f>
        <v/>
      </c>
      <c r="AA357" s="34">
        <f>X357+0.5*Z357</f>
        <v/>
      </c>
      <c r="AB357" s="34">
        <f>Q357*J357</f>
        <v/>
      </c>
      <c r="AC357" s="34">
        <f>Q357*L357</f>
        <v/>
      </c>
      <c r="AD357" s="34">
        <f>S357*N357</f>
        <v/>
      </c>
      <c r="AE357" s="34">
        <f>E357*N357</f>
        <v/>
      </c>
      <c r="AF357" s="34">
        <f>R357*N357</f>
        <v/>
      </c>
      <c r="AG357" s="29">
        <f>MAX(SumAssured,AA357)</f>
        <v/>
      </c>
      <c r="AH357" s="34">
        <f>AG357*O357</f>
        <v/>
      </c>
      <c r="AI357" s="34">
        <f>AA357*O357</f>
        <v/>
      </c>
      <c r="AJ357" s="34">
        <f>AA357*P357</f>
        <v/>
      </c>
      <c r="AK357" s="34">
        <f>I357*AA357*P357</f>
        <v/>
      </c>
      <c r="AL357" s="34">
        <f>AJ357-AK357</f>
        <v/>
      </c>
      <c r="AM357" s="34">
        <f>Q357*K357</f>
        <v/>
      </c>
      <c r="AN357" s="34">
        <f>AH357+AL357+AM357</f>
        <v/>
      </c>
      <c r="AO357" s="34">
        <f>(AG357-AA357)*O357</f>
        <v/>
      </c>
      <c r="AP357" s="34">
        <f>W357*N357</f>
        <v/>
      </c>
      <c r="AQ357" s="34">
        <f>T357*N357</f>
        <v/>
      </c>
      <c r="AR357" s="34">
        <f>Z357*J358+0.5*Z357*(O357+P357)</f>
        <v/>
      </c>
      <c r="AS357" s="30">
        <f>(1+InflationRate)^(A357/12)</f>
        <v/>
      </c>
      <c r="AT357" s="29">
        <f>ExpenseAcq*M357+N357*ExpenseMaint/12*AS357</f>
        <v/>
      </c>
      <c r="AU357" s="29">
        <f>CommissionRate*AE357</f>
        <v/>
      </c>
      <c r="AV357" s="34">
        <f>AB358-AB357</f>
        <v/>
      </c>
      <c r="AW357" s="34">
        <f>AE357+AR357-AN357-AT357-AU357-AV357</f>
        <v/>
      </c>
      <c r="AX357" s="29">
        <f>LoadPremRate*E357*N357+AK357+AQ357-AU357-AT357</f>
        <v/>
      </c>
      <c r="AY357" s="34">
        <f>AP357-AO357</f>
        <v/>
      </c>
      <c r="AZ357" s="37">
        <f>(AW357-AX357-AY357)/MAX(1,ABS(AW357),ABS(AX357),ABS(AY357))</f>
        <v/>
      </c>
      <c r="BA357" s="37">
        <f>IF(OR(K357&gt;0,K358&gt;0),0,(AC358-(AC357+AF357-AQ357-AP357+AR357-AI357-AJ357-AM357))/MAX(1,ABS(AC357),ABS(AC358)))</f>
        <v/>
      </c>
      <c r="BB357" s="35">
        <f>(1+INDEX(DiscRateAnn,INT(A357/12)+1))^(1/12)-1</f>
        <v/>
      </c>
      <c r="BC357" s="31">
        <f>(1+BB357)^-A357</f>
        <v/>
      </c>
      <c r="BD357" s="34">
        <f>AW357*BC357</f>
        <v/>
      </c>
    </row>
    <row r="358">
      <c r="A358" s="27">
        <f>A357+1</f>
        <v/>
      </c>
      <c r="B358" s="28">
        <f>Duration0+A358</f>
        <v/>
      </c>
      <c r="C358" s="27">
        <f>INT(B358/12)</f>
        <v/>
      </c>
      <c r="D358" s="28">
        <f>AgeAtEntry+C358</f>
        <v/>
      </c>
      <c r="E358" s="29">
        <f>IF(PremiumType="SINGLE",IF(B358=0,PremiumPPInput,0),IF(B358&lt;12*PolicyTerm,PremiumPPInput,0))</f>
        <v/>
      </c>
      <c r="F358" s="30">
        <f>INDEX(MortRates,MATCH(MIN(D358,120),MortAges,0),MAX(MIN(C358,5),0)+1)</f>
        <v/>
      </c>
      <c r="G358" s="31">
        <f>1-(1-F358)^(1/12)</f>
        <v/>
      </c>
      <c r="H358" s="32">
        <f>MAX(LapseBase-LapseStep*C358,LapseFloor)</f>
        <v/>
      </c>
      <c r="I358" s="32">
        <f>IF(HasSurrCharge,INDEX(SurrRates,MIN(C358,SurrDurMax)+1,MATCH(SurrChargeID,SurrTypes,0)),0)</f>
        <v/>
      </c>
      <c r="J358" s="33">
        <f>N357-P357-O357</f>
        <v/>
      </c>
      <c r="K358" s="30">
        <f>IF(B358=12*PolicyTerm,J358,0)</f>
        <v/>
      </c>
      <c r="L358" s="33">
        <f>J358-K358</f>
        <v/>
      </c>
      <c r="M358" s="30">
        <f>IF(B358=0,PolicyCount,0)</f>
        <v/>
      </c>
      <c r="N358" s="33">
        <f>L358+M358</f>
        <v/>
      </c>
      <c r="O358" s="31">
        <f>N358*G358</f>
        <v/>
      </c>
      <c r="P358" s="33">
        <f>(N358-O358)*(1-(1-H358)^(1/12))</f>
        <v/>
      </c>
      <c r="Q358" s="34">
        <f>X357+Z357</f>
        <v/>
      </c>
      <c r="R358" s="29">
        <f>(1-LoadPremRate)*E358</f>
        <v/>
      </c>
      <c r="S358" s="34">
        <f>Q358+R358</f>
        <v/>
      </c>
      <c r="T358" s="29">
        <f>MaintFeeRateAnn/12*S358</f>
        <v/>
      </c>
      <c r="U358" s="29">
        <f>MAX(SumAssured-S358,0)</f>
        <v/>
      </c>
      <c r="V358" s="35">
        <f>CoiMultiple*G358</f>
        <v/>
      </c>
      <c r="W358" s="34">
        <f>V358*U358</f>
        <v/>
      </c>
      <c r="X358" s="34">
        <f>S358-T358-W358</f>
        <v/>
      </c>
      <c r="Y358" s="36">
        <f>EXP((Mu-0.5*Sigma^2)/12+Sigma*SQRT(1/12)*INDEX(NormRand,ScenID,A358+1))-1</f>
        <v/>
      </c>
      <c r="Z358" s="34">
        <f>Y358*X358</f>
        <v/>
      </c>
      <c r="AA358" s="34">
        <f>X358+0.5*Z358</f>
        <v/>
      </c>
      <c r="AB358" s="34">
        <f>Q358*J358</f>
        <v/>
      </c>
      <c r="AC358" s="34">
        <f>Q358*L358</f>
        <v/>
      </c>
      <c r="AD358" s="34">
        <f>S358*N358</f>
        <v/>
      </c>
      <c r="AE358" s="34">
        <f>E358*N358</f>
        <v/>
      </c>
      <c r="AF358" s="34">
        <f>R358*N358</f>
        <v/>
      </c>
      <c r="AG358" s="29">
        <f>MAX(SumAssured,AA358)</f>
        <v/>
      </c>
      <c r="AH358" s="34">
        <f>AG358*O358</f>
        <v/>
      </c>
      <c r="AI358" s="34">
        <f>AA358*O358</f>
        <v/>
      </c>
      <c r="AJ358" s="34">
        <f>AA358*P358</f>
        <v/>
      </c>
      <c r="AK358" s="34">
        <f>I358*AA358*P358</f>
        <v/>
      </c>
      <c r="AL358" s="34">
        <f>AJ358-AK358</f>
        <v/>
      </c>
      <c r="AM358" s="34">
        <f>Q358*K358</f>
        <v/>
      </c>
      <c r="AN358" s="34">
        <f>AH358+AL358+AM358</f>
        <v/>
      </c>
      <c r="AO358" s="34">
        <f>(AG358-AA358)*O358</f>
        <v/>
      </c>
      <c r="AP358" s="34">
        <f>W358*N358</f>
        <v/>
      </c>
      <c r="AQ358" s="34">
        <f>T358*N358</f>
        <v/>
      </c>
      <c r="AR358" s="34">
        <f>Z358*J359+0.5*Z358*(O358+P358)</f>
        <v/>
      </c>
      <c r="AS358" s="30">
        <f>(1+InflationRate)^(A358/12)</f>
        <v/>
      </c>
      <c r="AT358" s="29">
        <f>ExpenseAcq*M358+N358*ExpenseMaint/12*AS358</f>
        <v/>
      </c>
      <c r="AU358" s="29">
        <f>CommissionRate*AE358</f>
        <v/>
      </c>
      <c r="AV358" s="34">
        <f>AB359-AB358</f>
        <v/>
      </c>
      <c r="AW358" s="34">
        <f>AE358+AR358-AN358-AT358-AU358-AV358</f>
        <v/>
      </c>
      <c r="AX358" s="29">
        <f>LoadPremRate*E358*N358+AK358+AQ358-AU358-AT358</f>
        <v/>
      </c>
      <c r="AY358" s="34">
        <f>AP358-AO358</f>
        <v/>
      </c>
      <c r="AZ358" s="37">
        <f>(AW358-AX358-AY358)/MAX(1,ABS(AW358),ABS(AX358),ABS(AY358))</f>
        <v/>
      </c>
      <c r="BA358" s="37">
        <f>IF(OR(K358&gt;0,K359&gt;0),0,(AC359-(AC358+AF358-AQ358-AP358+AR358-AI358-AJ358-AM358))/MAX(1,ABS(AC358),ABS(AC359)))</f>
        <v/>
      </c>
      <c r="BB358" s="35">
        <f>(1+INDEX(DiscRateAnn,INT(A358/12)+1))^(1/12)-1</f>
        <v/>
      </c>
      <c r="BC358" s="31">
        <f>(1+BB358)^-A358</f>
        <v/>
      </c>
      <c r="BD358" s="34">
        <f>AW358*BC358</f>
        <v/>
      </c>
    </row>
    <row r="359">
      <c r="A359" s="27">
        <f>A358+1</f>
        <v/>
      </c>
      <c r="B359" s="28">
        <f>Duration0+A359</f>
        <v/>
      </c>
      <c r="C359" s="27">
        <f>INT(B359/12)</f>
        <v/>
      </c>
      <c r="D359" s="28">
        <f>AgeAtEntry+C359</f>
        <v/>
      </c>
      <c r="E359" s="29">
        <f>IF(PremiumType="SINGLE",IF(B359=0,PremiumPPInput,0),IF(B359&lt;12*PolicyTerm,PremiumPPInput,0))</f>
        <v/>
      </c>
      <c r="F359" s="30">
        <f>INDEX(MortRates,MATCH(MIN(D359,120),MortAges,0),MAX(MIN(C359,5),0)+1)</f>
        <v/>
      </c>
      <c r="G359" s="31">
        <f>1-(1-F359)^(1/12)</f>
        <v/>
      </c>
      <c r="H359" s="32">
        <f>MAX(LapseBase-LapseStep*C359,LapseFloor)</f>
        <v/>
      </c>
      <c r="I359" s="32">
        <f>IF(HasSurrCharge,INDEX(SurrRates,MIN(C359,SurrDurMax)+1,MATCH(SurrChargeID,SurrTypes,0)),0)</f>
        <v/>
      </c>
      <c r="J359" s="33">
        <f>N358-P358-O358</f>
        <v/>
      </c>
      <c r="K359" s="30">
        <f>IF(B359=12*PolicyTerm,J359,0)</f>
        <v/>
      </c>
      <c r="L359" s="33">
        <f>J359-K359</f>
        <v/>
      </c>
      <c r="M359" s="30">
        <f>IF(B359=0,PolicyCount,0)</f>
        <v/>
      </c>
      <c r="N359" s="33">
        <f>L359+M359</f>
        <v/>
      </c>
      <c r="O359" s="31">
        <f>N359*G359</f>
        <v/>
      </c>
      <c r="P359" s="33">
        <f>(N359-O359)*(1-(1-H359)^(1/12))</f>
        <v/>
      </c>
      <c r="Q359" s="34">
        <f>X358+Z358</f>
        <v/>
      </c>
      <c r="R359" s="29">
        <f>(1-LoadPremRate)*E359</f>
        <v/>
      </c>
      <c r="S359" s="34">
        <f>Q359+R359</f>
        <v/>
      </c>
      <c r="T359" s="29">
        <f>MaintFeeRateAnn/12*S359</f>
        <v/>
      </c>
      <c r="U359" s="29">
        <f>MAX(SumAssured-S359,0)</f>
        <v/>
      </c>
      <c r="V359" s="35">
        <f>CoiMultiple*G359</f>
        <v/>
      </c>
      <c r="W359" s="34">
        <f>V359*U359</f>
        <v/>
      </c>
      <c r="X359" s="34">
        <f>S359-T359-W359</f>
        <v/>
      </c>
      <c r="Y359" s="36">
        <f>EXP((Mu-0.5*Sigma^2)/12+Sigma*SQRT(1/12)*INDEX(NormRand,ScenID,A359+1))-1</f>
        <v/>
      </c>
      <c r="Z359" s="34">
        <f>Y359*X359</f>
        <v/>
      </c>
      <c r="AA359" s="34">
        <f>X359+0.5*Z359</f>
        <v/>
      </c>
      <c r="AB359" s="34">
        <f>Q359*J359</f>
        <v/>
      </c>
      <c r="AC359" s="34">
        <f>Q359*L359</f>
        <v/>
      </c>
      <c r="AD359" s="34">
        <f>S359*N359</f>
        <v/>
      </c>
      <c r="AE359" s="34">
        <f>E359*N359</f>
        <v/>
      </c>
      <c r="AF359" s="34">
        <f>R359*N359</f>
        <v/>
      </c>
      <c r="AG359" s="29">
        <f>MAX(SumAssured,AA359)</f>
        <v/>
      </c>
      <c r="AH359" s="34">
        <f>AG359*O359</f>
        <v/>
      </c>
      <c r="AI359" s="34">
        <f>AA359*O359</f>
        <v/>
      </c>
      <c r="AJ359" s="34">
        <f>AA359*P359</f>
        <v/>
      </c>
      <c r="AK359" s="34">
        <f>I359*AA359*P359</f>
        <v/>
      </c>
      <c r="AL359" s="34">
        <f>AJ359-AK359</f>
        <v/>
      </c>
      <c r="AM359" s="34">
        <f>Q359*K359</f>
        <v/>
      </c>
      <c r="AN359" s="34">
        <f>AH359+AL359+AM359</f>
        <v/>
      </c>
      <c r="AO359" s="34">
        <f>(AG359-AA359)*O359</f>
        <v/>
      </c>
      <c r="AP359" s="34">
        <f>W359*N359</f>
        <v/>
      </c>
      <c r="AQ359" s="34">
        <f>T359*N359</f>
        <v/>
      </c>
      <c r="AR359" s="34">
        <f>Z359*J360+0.5*Z359*(O359+P359)</f>
        <v/>
      </c>
      <c r="AS359" s="30">
        <f>(1+InflationRate)^(A359/12)</f>
        <v/>
      </c>
      <c r="AT359" s="29">
        <f>ExpenseAcq*M359+N359*ExpenseMaint/12*AS359</f>
        <v/>
      </c>
      <c r="AU359" s="29">
        <f>CommissionRate*AE359</f>
        <v/>
      </c>
      <c r="AV359" s="34">
        <f>AB360-AB359</f>
        <v/>
      </c>
      <c r="AW359" s="34">
        <f>AE359+AR359-AN359-AT359-AU359-AV359</f>
        <v/>
      </c>
      <c r="AX359" s="29">
        <f>LoadPremRate*E359*N359+AK359+AQ359-AU359-AT359</f>
        <v/>
      </c>
      <c r="AY359" s="34">
        <f>AP359-AO359</f>
        <v/>
      </c>
      <c r="AZ359" s="37">
        <f>(AW359-AX359-AY359)/MAX(1,ABS(AW359),ABS(AX359),ABS(AY359))</f>
        <v/>
      </c>
      <c r="BA359" s="37">
        <f>IF(OR(K359&gt;0,K360&gt;0),0,(AC360-(AC359+AF359-AQ359-AP359+AR359-AI359-AJ359-AM359))/MAX(1,ABS(AC359),ABS(AC360)))</f>
        <v/>
      </c>
      <c r="BB359" s="35">
        <f>(1+INDEX(DiscRateAnn,INT(A359/12)+1))^(1/12)-1</f>
        <v/>
      </c>
      <c r="BC359" s="31">
        <f>(1+BB359)^-A359</f>
        <v/>
      </c>
      <c r="BD359" s="34">
        <f>AW359*BC359</f>
        <v/>
      </c>
    </row>
    <row r="360">
      <c r="A360" s="27">
        <f>A359+1</f>
        <v/>
      </c>
      <c r="B360" s="28">
        <f>Duration0+A360</f>
        <v/>
      </c>
      <c r="C360" s="27">
        <f>INT(B360/12)</f>
        <v/>
      </c>
      <c r="D360" s="28">
        <f>AgeAtEntry+C360</f>
        <v/>
      </c>
      <c r="E360" s="29">
        <f>IF(PremiumType="SINGLE",IF(B360=0,PremiumPPInput,0),IF(B360&lt;12*PolicyTerm,PremiumPPInput,0))</f>
        <v/>
      </c>
      <c r="F360" s="30">
        <f>INDEX(MortRates,MATCH(MIN(D360,120),MortAges,0),MAX(MIN(C360,5),0)+1)</f>
        <v/>
      </c>
      <c r="G360" s="31">
        <f>1-(1-F360)^(1/12)</f>
        <v/>
      </c>
      <c r="H360" s="32">
        <f>MAX(LapseBase-LapseStep*C360,LapseFloor)</f>
        <v/>
      </c>
      <c r="I360" s="32">
        <f>IF(HasSurrCharge,INDEX(SurrRates,MIN(C360,SurrDurMax)+1,MATCH(SurrChargeID,SurrTypes,0)),0)</f>
        <v/>
      </c>
      <c r="J360" s="33">
        <f>N359-P359-O359</f>
        <v/>
      </c>
      <c r="K360" s="30">
        <f>IF(B360=12*PolicyTerm,J360,0)</f>
        <v/>
      </c>
      <c r="L360" s="33">
        <f>J360-K360</f>
        <v/>
      </c>
      <c r="M360" s="30">
        <f>IF(B360=0,PolicyCount,0)</f>
        <v/>
      </c>
      <c r="N360" s="33">
        <f>L360+M360</f>
        <v/>
      </c>
      <c r="O360" s="31">
        <f>N360*G360</f>
        <v/>
      </c>
      <c r="P360" s="33">
        <f>(N360-O360)*(1-(1-H360)^(1/12))</f>
        <v/>
      </c>
      <c r="Q360" s="34">
        <f>X359+Z359</f>
        <v/>
      </c>
      <c r="R360" s="29">
        <f>(1-LoadPremRate)*E360</f>
        <v/>
      </c>
      <c r="S360" s="34">
        <f>Q360+R360</f>
        <v/>
      </c>
      <c r="T360" s="29">
        <f>MaintFeeRateAnn/12*S360</f>
        <v/>
      </c>
      <c r="U360" s="29">
        <f>MAX(SumAssured-S360,0)</f>
        <v/>
      </c>
      <c r="V360" s="35">
        <f>CoiMultiple*G360</f>
        <v/>
      </c>
      <c r="W360" s="34">
        <f>V360*U360</f>
        <v/>
      </c>
      <c r="X360" s="34">
        <f>S360-T360-W360</f>
        <v/>
      </c>
      <c r="Y360" s="36">
        <f>EXP((Mu-0.5*Sigma^2)/12+Sigma*SQRT(1/12)*INDEX(NormRand,ScenID,A360+1))-1</f>
        <v/>
      </c>
      <c r="Z360" s="34">
        <f>Y360*X360</f>
        <v/>
      </c>
      <c r="AA360" s="34">
        <f>X360+0.5*Z360</f>
        <v/>
      </c>
      <c r="AB360" s="34">
        <f>Q360*J360</f>
        <v/>
      </c>
      <c r="AC360" s="34">
        <f>Q360*L360</f>
        <v/>
      </c>
      <c r="AD360" s="34">
        <f>S360*N360</f>
        <v/>
      </c>
      <c r="AE360" s="34">
        <f>E360*N360</f>
        <v/>
      </c>
      <c r="AF360" s="34">
        <f>R360*N360</f>
        <v/>
      </c>
      <c r="AG360" s="29">
        <f>MAX(SumAssured,AA360)</f>
        <v/>
      </c>
      <c r="AH360" s="34">
        <f>AG360*O360</f>
        <v/>
      </c>
      <c r="AI360" s="34">
        <f>AA360*O360</f>
        <v/>
      </c>
      <c r="AJ360" s="34">
        <f>AA360*P360</f>
        <v/>
      </c>
      <c r="AK360" s="34">
        <f>I360*AA360*P360</f>
        <v/>
      </c>
      <c r="AL360" s="34">
        <f>AJ360-AK360</f>
        <v/>
      </c>
      <c r="AM360" s="34">
        <f>Q360*K360</f>
        <v/>
      </c>
      <c r="AN360" s="34">
        <f>AH360+AL360+AM360</f>
        <v/>
      </c>
      <c r="AO360" s="34">
        <f>(AG360-AA360)*O360</f>
        <v/>
      </c>
      <c r="AP360" s="34">
        <f>W360*N360</f>
        <v/>
      </c>
      <c r="AQ360" s="34">
        <f>T360*N360</f>
        <v/>
      </c>
      <c r="AR360" s="34">
        <f>Z360*J361+0.5*Z360*(O360+P360)</f>
        <v/>
      </c>
      <c r="AS360" s="30">
        <f>(1+InflationRate)^(A360/12)</f>
        <v/>
      </c>
      <c r="AT360" s="29">
        <f>ExpenseAcq*M360+N360*ExpenseMaint/12*AS360</f>
        <v/>
      </c>
      <c r="AU360" s="29">
        <f>CommissionRate*AE360</f>
        <v/>
      </c>
      <c r="AV360" s="34">
        <f>AB361-AB360</f>
        <v/>
      </c>
      <c r="AW360" s="34">
        <f>AE360+AR360-AN360-AT360-AU360-AV360</f>
        <v/>
      </c>
      <c r="AX360" s="29">
        <f>LoadPremRate*E360*N360+AK360+AQ360-AU360-AT360</f>
        <v/>
      </c>
      <c r="AY360" s="34">
        <f>AP360-AO360</f>
        <v/>
      </c>
      <c r="AZ360" s="37">
        <f>(AW360-AX360-AY360)/MAX(1,ABS(AW360),ABS(AX360),ABS(AY360))</f>
        <v/>
      </c>
      <c r="BA360" s="37">
        <f>IF(OR(K360&gt;0,K361&gt;0),0,(AC361-(AC360+AF360-AQ360-AP360+AR360-AI360-AJ360-AM360))/MAX(1,ABS(AC360),ABS(AC361)))</f>
        <v/>
      </c>
      <c r="BB360" s="35">
        <f>(1+INDEX(DiscRateAnn,INT(A360/12)+1))^(1/12)-1</f>
        <v/>
      </c>
      <c r="BC360" s="31">
        <f>(1+BB360)^-A360</f>
        <v/>
      </c>
      <c r="BD360" s="34">
        <f>AW360*BC360</f>
        <v/>
      </c>
    </row>
    <row r="361">
      <c r="A361" s="27">
        <f>A360+1</f>
        <v/>
      </c>
      <c r="B361" s="28">
        <f>Duration0+A361</f>
        <v/>
      </c>
      <c r="C361" s="27">
        <f>INT(B361/12)</f>
        <v/>
      </c>
      <c r="D361" s="28">
        <f>AgeAtEntry+C361</f>
        <v/>
      </c>
      <c r="E361" s="29">
        <f>IF(PremiumType="SINGLE",IF(B361=0,PremiumPPInput,0),IF(B361&lt;12*PolicyTerm,PremiumPPInput,0))</f>
        <v/>
      </c>
      <c r="F361" s="30">
        <f>INDEX(MortRates,MATCH(MIN(D361,120),MortAges,0),MAX(MIN(C361,5),0)+1)</f>
        <v/>
      </c>
      <c r="G361" s="31">
        <f>1-(1-F361)^(1/12)</f>
        <v/>
      </c>
      <c r="H361" s="32">
        <f>MAX(LapseBase-LapseStep*C361,LapseFloor)</f>
        <v/>
      </c>
      <c r="I361" s="32">
        <f>IF(HasSurrCharge,INDEX(SurrRates,MIN(C361,SurrDurMax)+1,MATCH(SurrChargeID,SurrTypes,0)),0)</f>
        <v/>
      </c>
      <c r="J361" s="33">
        <f>N360-P360-O360</f>
        <v/>
      </c>
      <c r="K361" s="30">
        <f>IF(B361=12*PolicyTerm,J361,0)</f>
        <v/>
      </c>
      <c r="L361" s="33">
        <f>J361-K361</f>
        <v/>
      </c>
      <c r="M361" s="30">
        <f>IF(B361=0,PolicyCount,0)</f>
        <v/>
      </c>
      <c r="N361" s="33">
        <f>L361+M361</f>
        <v/>
      </c>
      <c r="O361" s="31">
        <f>N361*G361</f>
        <v/>
      </c>
      <c r="P361" s="33">
        <f>(N361-O361)*(1-(1-H361)^(1/12))</f>
        <v/>
      </c>
      <c r="Q361" s="34">
        <f>X360+Z360</f>
        <v/>
      </c>
      <c r="R361" s="29">
        <f>(1-LoadPremRate)*E361</f>
        <v/>
      </c>
      <c r="S361" s="34">
        <f>Q361+R361</f>
        <v/>
      </c>
      <c r="T361" s="29">
        <f>MaintFeeRateAnn/12*S361</f>
        <v/>
      </c>
      <c r="U361" s="29">
        <f>MAX(SumAssured-S361,0)</f>
        <v/>
      </c>
      <c r="V361" s="35">
        <f>CoiMultiple*G361</f>
        <v/>
      </c>
      <c r="W361" s="34">
        <f>V361*U361</f>
        <v/>
      </c>
      <c r="X361" s="34">
        <f>S361-T361-W361</f>
        <v/>
      </c>
      <c r="Y361" s="36">
        <f>EXP((Mu-0.5*Sigma^2)/12+Sigma*SQRT(1/12)*INDEX(NormRand,ScenID,A361+1))-1</f>
        <v/>
      </c>
      <c r="Z361" s="34">
        <f>Y361*X361</f>
        <v/>
      </c>
      <c r="AA361" s="34">
        <f>X361+0.5*Z361</f>
        <v/>
      </c>
      <c r="AB361" s="34">
        <f>Q361*J361</f>
        <v/>
      </c>
      <c r="AC361" s="34">
        <f>Q361*L361</f>
        <v/>
      </c>
      <c r="AD361" s="34">
        <f>S361*N361</f>
        <v/>
      </c>
      <c r="AE361" s="34">
        <f>E361*N361</f>
        <v/>
      </c>
      <c r="AF361" s="34">
        <f>R361*N361</f>
        <v/>
      </c>
      <c r="AG361" s="29">
        <f>MAX(SumAssured,AA361)</f>
        <v/>
      </c>
      <c r="AH361" s="34">
        <f>AG361*O361</f>
        <v/>
      </c>
      <c r="AI361" s="34">
        <f>AA361*O361</f>
        <v/>
      </c>
      <c r="AJ361" s="34">
        <f>AA361*P361</f>
        <v/>
      </c>
      <c r="AK361" s="34">
        <f>I361*AA361*P361</f>
        <v/>
      </c>
      <c r="AL361" s="34">
        <f>AJ361-AK361</f>
        <v/>
      </c>
      <c r="AM361" s="34">
        <f>Q361*K361</f>
        <v/>
      </c>
      <c r="AN361" s="34">
        <f>AH361+AL361+AM361</f>
        <v/>
      </c>
      <c r="AO361" s="34">
        <f>(AG361-AA361)*O361</f>
        <v/>
      </c>
      <c r="AP361" s="34">
        <f>W361*N361</f>
        <v/>
      </c>
      <c r="AQ361" s="34">
        <f>T361*N361</f>
        <v/>
      </c>
      <c r="AR361" s="34">
        <f>Z361*J362+0.5*Z361*(O361+P361)</f>
        <v/>
      </c>
      <c r="AS361" s="30">
        <f>(1+InflationRate)^(A361/12)</f>
        <v/>
      </c>
      <c r="AT361" s="29">
        <f>ExpenseAcq*M361+N361*ExpenseMaint/12*AS361</f>
        <v/>
      </c>
      <c r="AU361" s="29">
        <f>CommissionRate*AE361</f>
        <v/>
      </c>
      <c r="AV361" s="34">
        <f>AB362-AB361</f>
        <v/>
      </c>
      <c r="AW361" s="34">
        <f>AE361+AR361-AN361-AT361-AU361-AV361</f>
        <v/>
      </c>
      <c r="AX361" s="29">
        <f>LoadPremRate*E361*N361+AK361+AQ361-AU361-AT361</f>
        <v/>
      </c>
      <c r="AY361" s="34">
        <f>AP361-AO361</f>
        <v/>
      </c>
      <c r="AZ361" s="37">
        <f>(AW361-AX361-AY361)/MAX(1,ABS(AW361),ABS(AX361),ABS(AY361))</f>
        <v/>
      </c>
      <c r="BA361" s="37">
        <f>IF(OR(K361&gt;0,K362&gt;0),0,(AC362-(AC361+AF361-AQ361-AP361+AR361-AI361-AJ361-AM361))/MAX(1,ABS(AC361),ABS(AC362)))</f>
        <v/>
      </c>
      <c r="BB361" s="35">
        <f>(1+INDEX(DiscRateAnn,INT(A361/12)+1))^(1/12)-1</f>
        <v/>
      </c>
      <c r="BC361" s="31">
        <f>(1+BB361)^-A361</f>
        <v/>
      </c>
      <c r="BD361" s="34">
        <f>AW361*BC361</f>
        <v/>
      </c>
    </row>
    <row r="362">
      <c r="A362" s="27">
        <f>A361+1</f>
        <v/>
      </c>
      <c r="B362" s="28">
        <f>Duration0+A362</f>
        <v/>
      </c>
      <c r="C362" s="27">
        <f>INT(B362/12)</f>
        <v/>
      </c>
      <c r="D362" s="28">
        <f>AgeAtEntry+C362</f>
        <v/>
      </c>
      <c r="E362" s="29">
        <f>IF(PremiumType="SINGLE",IF(B362=0,PremiumPPInput,0),IF(B362&lt;12*PolicyTerm,PremiumPPInput,0))</f>
        <v/>
      </c>
      <c r="F362" s="30">
        <f>INDEX(MortRates,MATCH(MIN(D362,120),MortAges,0),MAX(MIN(C362,5),0)+1)</f>
        <v/>
      </c>
      <c r="G362" s="31">
        <f>1-(1-F362)^(1/12)</f>
        <v/>
      </c>
      <c r="H362" s="32">
        <f>MAX(LapseBase-LapseStep*C362,LapseFloor)</f>
        <v/>
      </c>
      <c r="I362" s="32">
        <f>IF(HasSurrCharge,INDEX(SurrRates,MIN(C362,SurrDurMax)+1,MATCH(SurrChargeID,SurrTypes,0)),0)</f>
        <v/>
      </c>
      <c r="J362" s="33">
        <f>N361-P361-O361</f>
        <v/>
      </c>
      <c r="K362" s="30">
        <f>IF(B362=12*PolicyTerm,J362,0)</f>
        <v/>
      </c>
      <c r="L362" s="33">
        <f>J362-K362</f>
        <v/>
      </c>
      <c r="M362" s="30">
        <f>IF(B362=0,PolicyCount,0)</f>
        <v/>
      </c>
      <c r="N362" s="33">
        <f>L362+M362</f>
        <v/>
      </c>
      <c r="O362" s="31">
        <f>N362*G362</f>
        <v/>
      </c>
      <c r="P362" s="33">
        <f>(N362-O362)*(1-(1-H362)^(1/12))</f>
        <v/>
      </c>
      <c r="Q362" s="34">
        <f>X361+Z361</f>
        <v/>
      </c>
      <c r="R362" s="29">
        <f>(1-LoadPremRate)*E362</f>
        <v/>
      </c>
      <c r="S362" s="34">
        <f>Q362+R362</f>
        <v/>
      </c>
      <c r="T362" s="29">
        <f>MaintFeeRateAnn/12*S362</f>
        <v/>
      </c>
      <c r="U362" s="29">
        <f>MAX(SumAssured-S362,0)</f>
        <v/>
      </c>
      <c r="V362" s="35">
        <f>CoiMultiple*G362</f>
        <v/>
      </c>
      <c r="W362" s="34">
        <f>V362*U362</f>
        <v/>
      </c>
      <c r="X362" s="34">
        <f>S362-T362-W362</f>
        <v/>
      </c>
      <c r="Y362" s="36">
        <f>EXP((Mu-0.5*Sigma^2)/12+Sigma*SQRT(1/12)*INDEX(NormRand,ScenID,A362+1))-1</f>
        <v/>
      </c>
      <c r="Z362" s="34">
        <f>Y362*X362</f>
        <v/>
      </c>
      <c r="AA362" s="34">
        <f>X362+0.5*Z362</f>
        <v/>
      </c>
      <c r="AB362" s="34">
        <f>Q362*J362</f>
        <v/>
      </c>
      <c r="AC362" s="34">
        <f>Q362*L362</f>
        <v/>
      </c>
      <c r="AD362" s="34">
        <f>S362*N362</f>
        <v/>
      </c>
      <c r="AE362" s="34">
        <f>E362*N362</f>
        <v/>
      </c>
      <c r="AF362" s="34">
        <f>R362*N362</f>
        <v/>
      </c>
      <c r="AG362" s="29">
        <f>MAX(SumAssured,AA362)</f>
        <v/>
      </c>
      <c r="AH362" s="34">
        <f>AG362*O362</f>
        <v/>
      </c>
      <c r="AI362" s="34">
        <f>AA362*O362</f>
        <v/>
      </c>
      <c r="AJ362" s="34">
        <f>AA362*P362</f>
        <v/>
      </c>
      <c r="AK362" s="34">
        <f>I362*AA362*P362</f>
        <v/>
      </c>
      <c r="AL362" s="34">
        <f>AJ362-AK362</f>
        <v/>
      </c>
      <c r="AM362" s="34">
        <f>Q362*K362</f>
        <v/>
      </c>
      <c r="AN362" s="34">
        <f>AH362+AL362+AM362</f>
        <v/>
      </c>
      <c r="AO362" s="34">
        <f>(AG362-AA362)*O362</f>
        <v/>
      </c>
      <c r="AP362" s="34">
        <f>W362*N362</f>
        <v/>
      </c>
      <c r="AQ362" s="34">
        <f>T362*N362</f>
        <v/>
      </c>
      <c r="AR362" s="34">
        <f>Z362*J363+0.5*Z362*(O362+P362)</f>
        <v/>
      </c>
      <c r="AS362" s="30">
        <f>(1+InflationRate)^(A362/12)</f>
        <v/>
      </c>
      <c r="AT362" s="29">
        <f>ExpenseAcq*M362+N362*ExpenseMaint/12*AS362</f>
        <v/>
      </c>
      <c r="AU362" s="29">
        <f>CommissionRate*AE362</f>
        <v/>
      </c>
      <c r="AV362" s="34">
        <f>AB363-AB362</f>
        <v/>
      </c>
      <c r="AW362" s="34">
        <f>AE362+AR362-AN362-AT362-AU362-AV362</f>
        <v/>
      </c>
      <c r="AX362" s="29">
        <f>LoadPremRate*E362*N362+AK362+AQ362-AU362-AT362</f>
        <v/>
      </c>
      <c r="AY362" s="34">
        <f>AP362-AO362</f>
        <v/>
      </c>
      <c r="AZ362" s="37">
        <f>(AW362-AX362-AY362)/MAX(1,ABS(AW362),ABS(AX362),ABS(AY362))</f>
        <v/>
      </c>
      <c r="BA362" s="37">
        <f>IF(OR(K362&gt;0,K363&gt;0),0,(AC363-(AC362+AF362-AQ362-AP362+AR362-AI362-AJ362-AM362))/MAX(1,ABS(AC362),ABS(AC363)))</f>
        <v/>
      </c>
      <c r="BB362" s="35">
        <f>(1+INDEX(DiscRateAnn,INT(A362/12)+1))^(1/12)-1</f>
        <v/>
      </c>
      <c r="BC362" s="31">
        <f>(1+BB362)^-A362</f>
        <v/>
      </c>
      <c r="BD362" s="34">
        <f>AW362*BC362</f>
        <v/>
      </c>
    </row>
    <row r="363">
      <c r="A363" s="27">
        <f>A362+1</f>
        <v/>
      </c>
      <c r="B363" s="28">
        <f>Duration0+A363</f>
        <v/>
      </c>
      <c r="C363" s="27">
        <f>INT(B363/12)</f>
        <v/>
      </c>
      <c r="D363" s="28">
        <f>AgeAtEntry+C363</f>
        <v/>
      </c>
      <c r="E363" s="29">
        <f>IF(PremiumType="SINGLE",IF(B363=0,PremiumPPInput,0),IF(B363&lt;12*PolicyTerm,PremiumPPInput,0))</f>
        <v/>
      </c>
      <c r="F363" s="30">
        <f>INDEX(MortRates,MATCH(MIN(D363,120),MortAges,0),MAX(MIN(C363,5),0)+1)</f>
        <v/>
      </c>
      <c r="G363" s="31">
        <f>1-(1-F363)^(1/12)</f>
        <v/>
      </c>
      <c r="H363" s="32">
        <f>MAX(LapseBase-LapseStep*C363,LapseFloor)</f>
        <v/>
      </c>
      <c r="I363" s="32">
        <f>IF(HasSurrCharge,INDEX(SurrRates,MIN(C363,SurrDurMax)+1,MATCH(SurrChargeID,SurrTypes,0)),0)</f>
        <v/>
      </c>
      <c r="J363" s="33">
        <f>N362-P362-O362</f>
        <v/>
      </c>
      <c r="K363" s="30">
        <f>IF(B363=12*PolicyTerm,J363,0)</f>
        <v/>
      </c>
      <c r="L363" s="33">
        <f>J363-K363</f>
        <v/>
      </c>
      <c r="M363" s="30">
        <f>IF(B363=0,PolicyCount,0)</f>
        <v/>
      </c>
      <c r="N363" s="33">
        <f>L363+M363</f>
        <v/>
      </c>
      <c r="O363" s="31">
        <f>N363*G363</f>
        <v/>
      </c>
      <c r="P363" s="33">
        <f>(N363-O363)*(1-(1-H363)^(1/12))</f>
        <v/>
      </c>
      <c r="Q363" s="34">
        <f>X362+Z362</f>
        <v/>
      </c>
      <c r="R363" s="29">
        <f>(1-LoadPremRate)*E363</f>
        <v/>
      </c>
      <c r="S363" s="34">
        <f>Q363+R363</f>
        <v/>
      </c>
      <c r="T363" s="29">
        <f>MaintFeeRateAnn/12*S363</f>
        <v/>
      </c>
      <c r="U363" s="29">
        <f>MAX(SumAssured-S363,0)</f>
        <v/>
      </c>
      <c r="V363" s="35">
        <f>CoiMultiple*G363</f>
        <v/>
      </c>
      <c r="W363" s="34">
        <f>V363*U363</f>
        <v/>
      </c>
      <c r="X363" s="34">
        <f>S363-T363-W363</f>
        <v/>
      </c>
      <c r="Y363" s="36">
        <f>EXP((Mu-0.5*Sigma^2)/12+Sigma*SQRT(1/12)*INDEX(NormRand,ScenID,A363+1))-1</f>
        <v/>
      </c>
      <c r="Z363" s="34">
        <f>Y363*X363</f>
        <v/>
      </c>
      <c r="AA363" s="34">
        <f>X363+0.5*Z363</f>
        <v/>
      </c>
      <c r="AB363" s="34">
        <f>Q363*J363</f>
        <v/>
      </c>
      <c r="AC363" s="34">
        <f>Q363*L363</f>
        <v/>
      </c>
      <c r="AD363" s="34">
        <f>S363*N363</f>
        <v/>
      </c>
      <c r="AE363" s="34">
        <f>E363*N363</f>
        <v/>
      </c>
      <c r="AF363" s="34">
        <f>R363*N363</f>
        <v/>
      </c>
      <c r="AG363" s="29">
        <f>MAX(SumAssured,AA363)</f>
        <v/>
      </c>
      <c r="AH363" s="34">
        <f>AG363*O363</f>
        <v/>
      </c>
      <c r="AI363" s="34">
        <f>AA363*O363</f>
        <v/>
      </c>
      <c r="AJ363" s="34">
        <f>AA363*P363</f>
        <v/>
      </c>
      <c r="AK363" s="34">
        <f>I363*AA363*P363</f>
        <v/>
      </c>
      <c r="AL363" s="34">
        <f>AJ363-AK363</f>
        <v/>
      </c>
      <c r="AM363" s="34">
        <f>Q363*K363</f>
        <v/>
      </c>
      <c r="AN363" s="34">
        <f>AH363+AL363+AM363</f>
        <v/>
      </c>
      <c r="AO363" s="34">
        <f>(AG363-AA363)*O363</f>
        <v/>
      </c>
      <c r="AP363" s="34">
        <f>W363*N363</f>
        <v/>
      </c>
      <c r="AQ363" s="34">
        <f>T363*N363</f>
        <v/>
      </c>
      <c r="AR363" s="34">
        <f>Z363*J364+0.5*Z363*(O363+P363)</f>
        <v/>
      </c>
      <c r="AS363" s="30">
        <f>(1+InflationRate)^(A363/12)</f>
        <v/>
      </c>
      <c r="AT363" s="29">
        <f>ExpenseAcq*M363+N363*ExpenseMaint/12*AS363</f>
        <v/>
      </c>
      <c r="AU363" s="29">
        <f>CommissionRate*AE363</f>
        <v/>
      </c>
      <c r="AV363" s="34">
        <f>AB364-AB363</f>
        <v/>
      </c>
      <c r="AW363" s="34">
        <f>AE363+AR363-AN363-AT363-AU363-AV363</f>
        <v/>
      </c>
      <c r="AX363" s="29">
        <f>LoadPremRate*E363*N363+AK363+AQ363-AU363-AT363</f>
        <v/>
      </c>
      <c r="AY363" s="34">
        <f>AP363-AO363</f>
        <v/>
      </c>
      <c r="AZ363" s="37">
        <f>(AW363-AX363-AY363)/MAX(1,ABS(AW363),ABS(AX363),ABS(AY363))</f>
        <v/>
      </c>
      <c r="BA363" s="37">
        <f>IF(OR(K363&gt;0,K364&gt;0),0,(AC364-(AC363+AF363-AQ363-AP363+AR363-AI363-AJ363-AM363))/MAX(1,ABS(AC363),ABS(AC364)))</f>
        <v/>
      </c>
      <c r="BB363" s="35">
        <f>(1+INDEX(DiscRateAnn,INT(A363/12)+1))^(1/12)-1</f>
        <v/>
      </c>
      <c r="BC363" s="31">
        <f>(1+BB363)^-A363</f>
        <v/>
      </c>
      <c r="BD363" s="34">
        <f>AW363*BC363</f>
        <v/>
      </c>
    </row>
    <row r="364">
      <c r="A364" s="27">
        <f>A363+1</f>
        <v/>
      </c>
      <c r="B364" s="28">
        <f>Duration0+A364</f>
        <v/>
      </c>
      <c r="C364" s="27">
        <f>INT(B364/12)</f>
        <v/>
      </c>
      <c r="D364" s="28">
        <f>AgeAtEntry+C364</f>
        <v/>
      </c>
      <c r="E364" s="29">
        <f>IF(PremiumType="SINGLE",IF(B364=0,PremiumPPInput,0),IF(B364&lt;12*PolicyTerm,PremiumPPInput,0))</f>
        <v/>
      </c>
      <c r="F364" s="30">
        <f>INDEX(MortRates,MATCH(MIN(D364,120),MortAges,0),MAX(MIN(C364,5),0)+1)</f>
        <v/>
      </c>
      <c r="G364" s="31">
        <f>1-(1-F364)^(1/12)</f>
        <v/>
      </c>
      <c r="H364" s="32">
        <f>MAX(LapseBase-LapseStep*C364,LapseFloor)</f>
        <v/>
      </c>
      <c r="I364" s="32">
        <f>IF(HasSurrCharge,INDEX(SurrRates,MIN(C364,SurrDurMax)+1,MATCH(SurrChargeID,SurrTypes,0)),0)</f>
        <v/>
      </c>
      <c r="J364" s="33">
        <f>N363-P363-O363</f>
        <v/>
      </c>
      <c r="K364" s="30">
        <f>IF(B364=12*PolicyTerm,J364,0)</f>
        <v/>
      </c>
      <c r="L364" s="33">
        <f>J364-K364</f>
        <v/>
      </c>
      <c r="M364" s="30">
        <f>IF(B364=0,PolicyCount,0)</f>
        <v/>
      </c>
      <c r="N364" s="33">
        <f>L364+M364</f>
        <v/>
      </c>
      <c r="O364" s="31">
        <f>N364*G364</f>
        <v/>
      </c>
      <c r="P364" s="33">
        <f>(N364-O364)*(1-(1-H364)^(1/12))</f>
        <v/>
      </c>
      <c r="Q364" s="34">
        <f>X363+Z363</f>
        <v/>
      </c>
      <c r="R364" s="29">
        <f>(1-LoadPremRate)*E364</f>
        <v/>
      </c>
      <c r="S364" s="34">
        <f>Q364+R364</f>
        <v/>
      </c>
      <c r="T364" s="29">
        <f>MaintFeeRateAnn/12*S364</f>
        <v/>
      </c>
      <c r="U364" s="29">
        <f>MAX(SumAssured-S364,0)</f>
        <v/>
      </c>
      <c r="V364" s="35">
        <f>CoiMultiple*G364</f>
        <v/>
      </c>
      <c r="W364" s="34">
        <f>V364*U364</f>
        <v/>
      </c>
      <c r="X364" s="34">
        <f>S364-T364-W364</f>
        <v/>
      </c>
      <c r="Y364" s="36">
        <f>EXP((Mu-0.5*Sigma^2)/12+Sigma*SQRT(1/12)*INDEX(NormRand,ScenID,A364+1))-1</f>
        <v/>
      </c>
      <c r="Z364" s="34">
        <f>Y364*X364</f>
        <v/>
      </c>
      <c r="AA364" s="34">
        <f>X364+0.5*Z364</f>
        <v/>
      </c>
      <c r="AB364" s="34">
        <f>Q364*J364</f>
        <v/>
      </c>
      <c r="AC364" s="34">
        <f>Q364*L364</f>
        <v/>
      </c>
      <c r="AD364" s="34">
        <f>S364*N364</f>
        <v/>
      </c>
      <c r="AE364" s="34">
        <f>E364*N364</f>
        <v/>
      </c>
      <c r="AF364" s="34">
        <f>R364*N364</f>
        <v/>
      </c>
      <c r="AG364" s="29">
        <f>MAX(SumAssured,AA364)</f>
        <v/>
      </c>
      <c r="AH364" s="34">
        <f>AG364*O364</f>
        <v/>
      </c>
      <c r="AI364" s="34">
        <f>AA364*O364</f>
        <v/>
      </c>
      <c r="AJ364" s="34">
        <f>AA364*P364</f>
        <v/>
      </c>
      <c r="AK364" s="34">
        <f>I364*AA364*P364</f>
        <v/>
      </c>
      <c r="AL364" s="34">
        <f>AJ364-AK364</f>
        <v/>
      </c>
      <c r="AM364" s="34">
        <f>Q364*K364</f>
        <v/>
      </c>
      <c r="AN364" s="34">
        <f>AH364+AL364+AM364</f>
        <v/>
      </c>
      <c r="AO364" s="34">
        <f>(AG364-AA364)*O364</f>
        <v/>
      </c>
      <c r="AP364" s="34">
        <f>W364*N364</f>
        <v/>
      </c>
      <c r="AQ364" s="34">
        <f>T364*N364</f>
        <v/>
      </c>
      <c r="AR364" s="34">
        <f>Z364*J365+0.5*Z364*(O364+P364)</f>
        <v/>
      </c>
      <c r="AS364" s="30">
        <f>(1+InflationRate)^(A364/12)</f>
        <v/>
      </c>
      <c r="AT364" s="29">
        <f>ExpenseAcq*M364+N364*ExpenseMaint/12*AS364</f>
        <v/>
      </c>
      <c r="AU364" s="29">
        <f>CommissionRate*AE364</f>
        <v/>
      </c>
      <c r="AV364" s="34">
        <f>AB365-AB364</f>
        <v/>
      </c>
      <c r="AW364" s="34">
        <f>AE364+AR364-AN364-AT364-AU364-AV364</f>
        <v/>
      </c>
      <c r="AX364" s="29">
        <f>LoadPremRate*E364*N364+AK364+AQ364-AU364-AT364</f>
        <v/>
      </c>
      <c r="AY364" s="34">
        <f>AP364-AO364</f>
        <v/>
      </c>
      <c r="AZ364" s="37">
        <f>(AW364-AX364-AY364)/MAX(1,ABS(AW364),ABS(AX364),ABS(AY364))</f>
        <v/>
      </c>
      <c r="BA364" s="37">
        <f>IF(OR(K364&gt;0,K365&gt;0),0,(AC365-(AC364+AF364-AQ364-AP364+AR364-AI364-AJ364-AM364))/MAX(1,ABS(AC364),ABS(AC365)))</f>
        <v/>
      </c>
      <c r="BB364" s="35">
        <f>(1+INDEX(DiscRateAnn,INT(A364/12)+1))^(1/12)-1</f>
        <v/>
      </c>
      <c r="BC364" s="31">
        <f>(1+BB364)^-A364</f>
        <v/>
      </c>
      <c r="BD364" s="34">
        <f>AW364*BC364</f>
        <v/>
      </c>
    </row>
    <row r="365">
      <c r="A365" s="27">
        <f>A364+1</f>
        <v/>
      </c>
      <c r="B365" s="28">
        <f>Duration0+A365</f>
        <v/>
      </c>
      <c r="C365" s="27">
        <f>INT(B365/12)</f>
        <v/>
      </c>
      <c r="D365" s="28">
        <f>AgeAtEntry+C365</f>
        <v/>
      </c>
      <c r="E365" s="29">
        <f>IF(PremiumType="SINGLE",IF(B365=0,PremiumPPInput,0),IF(B365&lt;12*PolicyTerm,PremiumPPInput,0))</f>
        <v/>
      </c>
      <c r="F365" s="30">
        <f>INDEX(MortRates,MATCH(MIN(D365,120),MortAges,0),MAX(MIN(C365,5),0)+1)</f>
        <v/>
      </c>
      <c r="G365" s="31">
        <f>1-(1-F365)^(1/12)</f>
        <v/>
      </c>
      <c r="H365" s="32">
        <f>MAX(LapseBase-LapseStep*C365,LapseFloor)</f>
        <v/>
      </c>
      <c r="I365" s="32">
        <f>IF(HasSurrCharge,INDEX(SurrRates,MIN(C365,SurrDurMax)+1,MATCH(SurrChargeID,SurrTypes,0)),0)</f>
        <v/>
      </c>
      <c r="J365" s="33">
        <f>N364-P364-O364</f>
        <v/>
      </c>
      <c r="K365" s="30">
        <f>IF(B365=12*PolicyTerm,J365,0)</f>
        <v/>
      </c>
      <c r="L365" s="33">
        <f>J365-K365</f>
        <v/>
      </c>
      <c r="M365" s="30">
        <f>IF(B365=0,PolicyCount,0)</f>
        <v/>
      </c>
      <c r="N365" s="33">
        <f>L365+M365</f>
        <v/>
      </c>
      <c r="O365" s="31">
        <f>N365*G365</f>
        <v/>
      </c>
      <c r="P365" s="33">
        <f>(N365-O365)*(1-(1-H365)^(1/12))</f>
        <v/>
      </c>
      <c r="Q365" s="34">
        <f>X364+Z364</f>
        <v/>
      </c>
      <c r="R365" s="29">
        <f>(1-LoadPremRate)*E365</f>
        <v/>
      </c>
      <c r="S365" s="34">
        <f>Q365+R365</f>
        <v/>
      </c>
      <c r="T365" s="29">
        <f>MaintFeeRateAnn/12*S365</f>
        <v/>
      </c>
      <c r="U365" s="29">
        <f>MAX(SumAssured-S365,0)</f>
        <v/>
      </c>
      <c r="V365" s="35">
        <f>CoiMultiple*G365</f>
        <v/>
      </c>
      <c r="W365" s="34">
        <f>V365*U365</f>
        <v/>
      </c>
      <c r="X365" s="34">
        <f>S365-T365-W365</f>
        <v/>
      </c>
      <c r="Y365" s="36">
        <f>EXP((Mu-0.5*Sigma^2)/12+Sigma*SQRT(1/12)*INDEX(NormRand,ScenID,A365+1))-1</f>
        <v/>
      </c>
      <c r="Z365" s="34">
        <f>Y365*X365</f>
        <v/>
      </c>
      <c r="AA365" s="34">
        <f>X365+0.5*Z365</f>
        <v/>
      </c>
      <c r="AB365" s="34">
        <f>Q365*J365</f>
        <v/>
      </c>
      <c r="AC365" s="34">
        <f>Q365*L365</f>
        <v/>
      </c>
      <c r="AD365" s="34">
        <f>S365*N365</f>
        <v/>
      </c>
      <c r="AE365" s="34">
        <f>E365*N365</f>
        <v/>
      </c>
      <c r="AF365" s="34">
        <f>R365*N365</f>
        <v/>
      </c>
      <c r="AG365" s="29">
        <f>MAX(SumAssured,AA365)</f>
        <v/>
      </c>
      <c r="AH365" s="34">
        <f>AG365*O365</f>
        <v/>
      </c>
      <c r="AI365" s="34">
        <f>AA365*O365</f>
        <v/>
      </c>
      <c r="AJ365" s="34">
        <f>AA365*P365</f>
        <v/>
      </c>
      <c r="AK365" s="34">
        <f>I365*AA365*P365</f>
        <v/>
      </c>
      <c r="AL365" s="34">
        <f>AJ365-AK365</f>
        <v/>
      </c>
      <c r="AM365" s="34">
        <f>Q365*K365</f>
        <v/>
      </c>
      <c r="AN365" s="34">
        <f>AH365+AL365+AM365</f>
        <v/>
      </c>
      <c r="AO365" s="34">
        <f>(AG365-AA365)*O365</f>
        <v/>
      </c>
      <c r="AP365" s="34">
        <f>W365*N365</f>
        <v/>
      </c>
      <c r="AQ365" s="34">
        <f>T365*N365</f>
        <v/>
      </c>
      <c r="AR365" s="34">
        <f>Z365*J366+0.5*Z365*(O365+P365)</f>
        <v/>
      </c>
      <c r="AS365" s="30">
        <f>(1+InflationRate)^(A365/12)</f>
        <v/>
      </c>
      <c r="AT365" s="29">
        <f>ExpenseAcq*M365+N365*ExpenseMaint/12*AS365</f>
        <v/>
      </c>
      <c r="AU365" s="29">
        <f>CommissionRate*AE365</f>
        <v/>
      </c>
      <c r="AV365" s="34">
        <f>AB366-AB365</f>
        <v/>
      </c>
      <c r="AW365" s="34">
        <f>AE365+AR365-AN365-AT365-AU365-AV365</f>
        <v/>
      </c>
      <c r="AX365" s="29">
        <f>LoadPremRate*E365*N365+AK365+AQ365-AU365-AT365</f>
        <v/>
      </c>
      <c r="AY365" s="34">
        <f>AP365-AO365</f>
        <v/>
      </c>
      <c r="AZ365" s="37">
        <f>(AW365-AX365-AY365)/MAX(1,ABS(AW365),ABS(AX365),ABS(AY365))</f>
        <v/>
      </c>
      <c r="BA365" s="37">
        <f>IF(OR(K365&gt;0,K366&gt;0),0,(AC366-(AC365+AF365-AQ365-AP365+AR365-AI365-AJ365-AM365))/MAX(1,ABS(AC365),ABS(AC366)))</f>
        <v/>
      </c>
      <c r="BB365" s="35">
        <f>(1+INDEX(DiscRateAnn,INT(A365/12)+1))^(1/12)-1</f>
        <v/>
      </c>
      <c r="BC365" s="31">
        <f>(1+BB365)^-A365</f>
        <v/>
      </c>
      <c r="BD365" s="34">
        <f>AW365*BC365</f>
        <v/>
      </c>
    </row>
    <row r="366">
      <c r="A366" s="27">
        <f>A365+1</f>
        <v/>
      </c>
      <c r="B366" s="28">
        <f>Duration0+A366</f>
        <v/>
      </c>
      <c r="C366" s="27">
        <f>INT(B366/12)</f>
        <v/>
      </c>
      <c r="D366" s="28">
        <f>AgeAtEntry+C366</f>
        <v/>
      </c>
      <c r="E366" s="29">
        <f>IF(PremiumType="SINGLE",IF(B366=0,PremiumPPInput,0),IF(B366&lt;12*PolicyTerm,PremiumPPInput,0))</f>
        <v/>
      </c>
      <c r="F366" s="30">
        <f>INDEX(MortRates,MATCH(MIN(D366,120),MortAges,0),MAX(MIN(C366,5),0)+1)</f>
        <v/>
      </c>
      <c r="G366" s="31">
        <f>1-(1-F366)^(1/12)</f>
        <v/>
      </c>
      <c r="H366" s="32">
        <f>MAX(LapseBase-LapseStep*C366,LapseFloor)</f>
        <v/>
      </c>
      <c r="I366" s="32">
        <f>IF(HasSurrCharge,INDEX(SurrRates,MIN(C366,SurrDurMax)+1,MATCH(SurrChargeID,SurrTypes,0)),0)</f>
        <v/>
      </c>
      <c r="J366" s="33">
        <f>N365-P365-O365</f>
        <v/>
      </c>
      <c r="K366" s="30">
        <f>IF(B366=12*PolicyTerm,J366,0)</f>
        <v/>
      </c>
      <c r="L366" s="33">
        <f>J366-K366</f>
        <v/>
      </c>
      <c r="M366" s="30">
        <f>IF(B366=0,PolicyCount,0)</f>
        <v/>
      </c>
      <c r="N366" s="33">
        <f>L366+M366</f>
        <v/>
      </c>
      <c r="O366" s="31">
        <f>N366*G366</f>
        <v/>
      </c>
      <c r="P366" s="33">
        <f>(N366-O366)*(1-(1-H366)^(1/12))</f>
        <v/>
      </c>
      <c r="Q366" s="34">
        <f>X365+Z365</f>
        <v/>
      </c>
      <c r="R366" s="29">
        <f>(1-LoadPremRate)*E366</f>
        <v/>
      </c>
      <c r="S366" s="34">
        <f>Q366+R366</f>
        <v/>
      </c>
      <c r="T366" s="29">
        <f>MaintFeeRateAnn/12*S366</f>
        <v/>
      </c>
      <c r="U366" s="29">
        <f>MAX(SumAssured-S366,0)</f>
        <v/>
      </c>
      <c r="V366" s="35">
        <f>CoiMultiple*G366</f>
        <v/>
      </c>
      <c r="W366" s="34">
        <f>V366*U366</f>
        <v/>
      </c>
      <c r="X366" s="34">
        <f>S366-T366-W366</f>
        <v/>
      </c>
      <c r="Y366" s="36">
        <f>EXP((Mu-0.5*Sigma^2)/12+Sigma*SQRT(1/12)*INDEX(NormRand,ScenID,A366+1))-1</f>
        <v/>
      </c>
      <c r="Z366" s="34">
        <f>Y366*X366</f>
        <v/>
      </c>
      <c r="AA366" s="34">
        <f>X366+0.5*Z366</f>
        <v/>
      </c>
      <c r="AB366" s="34">
        <f>Q366*J366</f>
        <v/>
      </c>
      <c r="AC366" s="34">
        <f>Q366*L366</f>
        <v/>
      </c>
      <c r="AD366" s="34">
        <f>S366*N366</f>
        <v/>
      </c>
      <c r="AE366" s="34">
        <f>E366*N366</f>
        <v/>
      </c>
      <c r="AF366" s="34">
        <f>R366*N366</f>
        <v/>
      </c>
      <c r="AG366" s="29">
        <f>MAX(SumAssured,AA366)</f>
        <v/>
      </c>
      <c r="AH366" s="34">
        <f>AG366*O366</f>
        <v/>
      </c>
      <c r="AI366" s="34">
        <f>AA366*O366</f>
        <v/>
      </c>
      <c r="AJ366" s="34">
        <f>AA366*P366</f>
        <v/>
      </c>
      <c r="AK366" s="34">
        <f>I366*AA366*P366</f>
        <v/>
      </c>
      <c r="AL366" s="34">
        <f>AJ366-AK366</f>
        <v/>
      </c>
      <c r="AM366" s="34">
        <f>Q366*K366</f>
        <v/>
      </c>
      <c r="AN366" s="34">
        <f>AH366+AL366+AM366</f>
        <v/>
      </c>
      <c r="AO366" s="34">
        <f>(AG366-AA366)*O366</f>
        <v/>
      </c>
      <c r="AP366" s="34">
        <f>W366*N366</f>
        <v/>
      </c>
      <c r="AQ366" s="34">
        <f>T366*N366</f>
        <v/>
      </c>
      <c r="AR366" s="34">
        <f>Z366*J367+0.5*Z366*(O366+P366)</f>
        <v/>
      </c>
      <c r="AS366" s="30">
        <f>(1+InflationRate)^(A366/12)</f>
        <v/>
      </c>
      <c r="AT366" s="29">
        <f>ExpenseAcq*M366+N366*ExpenseMaint/12*AS366</f>
        <v/>
      </c>
      <c r="AU366" s="29">
        <f>CommissionRate*AE366</f>
        <v/>
      </c>
      <c r="AV366" s="34">
        <f>AB367-AB366</f>
        <v/>
      </c>
      <c r="AW366" s="34">
        <f>AE366+AR366-AN366-AT366-AU366-AV366</f>
        <v/>
      </c>
      <c r="AX366" s="29">
        <f>LoadPremRate*E366*N366+AK366+AQ366-AU366-AT366</f>
        <v/>
      </c>
      <c r="AY366" s="34">
        <f>AP366-AO366</f>
        <v/>
      </c>
      <c r="AZ366" s="37">
        <f>(AW366-AX366-AY366)/MAX(1,ABS(AW366),ABS(AX366),ABS(AY366))</f>
        <v/>
      </c>
      <c r="BA366" s="37">
        <f>IF(OR(K366&gt;0,K367&gt;0),0,(AC367-(AC366+AF366-AQ366-AP366+AR366-AI366-AJ366-AM366))/MAX(1,ABS(AC366),ABS(AC367)))</f>
        <v/>
      </c>
      <c r="BB366" s="35">
        <f>(1+INDEX(DiscRateAnn,INT(A366/12)+1))^(1/12)-1</f>
        <v/>
      </c>
      <c r="BC366" s="31">
        <f>(1+BB366)^-A366</f>
        <v/>
      </c>
      <c r="BD366" s="34">
        <f>AW366*BC366</f>
        <v/>
      </c>
    </row>
    <row r="367">
      <c r="A367" s="27">
        <f>A366+1</f>
        <v/>
      </c>
      <c r="B367" s="28">
        <f>Duration0+A367</f>
        <v/>
      </c>
      <c r="C367" s="27">
        <f>INT(B367/12)</f>
        <v/>
      </c>
      <c r="D367" s="28">
        <f>AgeAtEntry+C367</f>
        <v/>
      </c>
      <c r="E367" s="29">
        <f>IF(PremiumType="SINGLE",IF(B367=0,PremiumPPInput,0),IF(B367&lt;12*PolicyTerm,PremiumPPInput,0))</f>
        <v/>
      </c>
      <c r="F367" s="30">
        <f>INDEX(MortRates,MATCH(MIN(D367,120),MortAges,0),MAX(MIN(C367,5),0)+1)</f>
        <v/>
      </c>
      <c r="G367" s="31">
        <f>1-(1-F367)^(1/12)</f>
        <v/>
      </c>
      <c r="H367" s="32">
        <f>MAX(LapseBase-LapseStep*C367,LapseFloor)</f>
        <v/>
      </c>
      <c r="I367" s="32">
        <f>IF(HasSurrCharge,INDEX(SurrRates,MIN(C367,SurrDurMax)+1,MATCH(SurrChargeID,SurrTypes,0)),0)</f>
        <v/>
      </c>
      <c r="J367" s="33">
        <f>N366-P366-O366</f>
        <v/>
      </c>
      <c r="K367" s="30">
        <f>IF(B367=12*PolicyTerm,J367,0)</f>
        <v/>
      </c>
      <c r="L367" s="33">
        <f>J367-K367</f>
        <v/>
      </c>
      <c r="M367" s="30">
        <f>IF(B367=0,PolicyCount,0)</f>
        <v/>
      </c>
      <c r="N367" s="33">
        <f>L367+M367</f>
        <v/>
      </c>
      <c r="O367" s="31">
        <f>N367*G367</f>
        <v/>
      </c>
      <c r="P367" s="33">
        <f>(N367-O367)*(1-(1-H367)^(1/12))</f>
        <v/>
      </c>
      <c r="Q367" s="34">
        <f>X366+Z366</f>
        <v/>
      </c>
      <c r="R367" s="29">
        <f>(1-LoadPremRate)*E367</f>
        <v/>
      </c>
      <c r="S367" s="34">
        <f>Q367+R367</f>
        <v/>
      </c>
      <c r="T367" s="29">
        <f>MaintFeeRateAnn/12*S367</f>
        <v/>
      </c>
      <c r="U367" s="29">
        <f>MAX(SumAssured-S367,0)</f>
        <v/>
      </c>
      <c r="V367" s="35">
        <f>CoiMultiple*G367</f>
        <v/>
      </c>
      <c r="W367" s="34">
        <f>V367*U367</f>
        <v/>
      </c>
      <c r="X367" s="34">
        <f>S367-T367-W367</f>
        <v/>
      </c>
      <c r="Y367" s="36">
        <f>EXP((Mu-0.5*Sigma^2)/12+Sigma*SQRT(1/12)*INDEX(NormRand,ScenID,A367+1))-1</f>
        <v/>
      </c>
      <c r="Z367" s="34">
        <f>Y367*X367</f>
        <v/>
      </c>
      <c r="AA367" s="34">
        <f>X367+0.5*Z367</f>
        <v/>
      </c>
      <c r="AB367" s="34">
        <f>Q367*J367</f>
        <v/>
      </c>
      <c r="AC367" s="34">
        <f>Q367*L367</f>
        <v/>
      </c>
      <c r="AD367" s="34">
        <f>S367*N367</f>
        <v/>
      </c>
      <c r="AE367" s="34">
        <f>E367*N367</f>
        <v/>
      </c>
      <c r="AF367" s="34">
        <f>R367*N367</f>
        <v/>
      </c>
      <c r="AG367" s="29">
        <f>MAX(SumAssured,AA367)</f>
        <v/>
      </c>
      <c r="AH367" s="34">
        <f>AG367*O367</f>
        <v/>
      </c>
      <c r="AI367" s="34">
        <f>AA367*O367</f>
        <v/>
      </c>
      <c r="AJ367" s="34">
        <f>AA367*P367</f>
        <v/>
      </c>
      <c r="AK367" s="34">
        <f>I367*AA367*P367</f>
        <v/>
      </c>
      <c r="AL367" s="34">
        <f>AJ367-AK367</f>
        <v/>
      </c>
      <c r="AM367" s="34">
        <f>Q367*K367</f>
        <v/>
      </c>
      <c r="AN367" s="34">
        <f>AH367+AL367+AM367</f>
        <v/>
      </c>
      <c r="AO367" s="34">
        <f>(AG367-AA367)*O367</f>
        <v/>
      </c>
      <c r="AP367" s="34">
        <f>W367*N367</f>
        <v/>
      </c>
      <c r="AQ367" s="34">
        <f>T367*N367</f>
        <v/>
      </c>
      <c r="AR367" s="34">
        <f>Z367*J368+0.5*Z367*(O367+P367)</f>
        <v/>
      </c>
      <c r="AS367" s="30">
        <f>(1+InflationRate)^(A367/12)</f>
        <v/>
      </c>
      <c r="AT367" s="29">
        <f>ExpenseAcq*M367+N367*ExpenseMaint/12*AS367</f>
        <v/>
      </c>
      <c r="AU367" s="29">
        <f>CommissionRate*AE367</f>
        <v/>
      </c>
      <c r="AV367" s="34">
        <f>AB368-AB367</f>
        <v/>
      </c>
      <c r="AW367" s="34">
        <f>AE367+AR367-AN367-AT367-AU367-AV367</f>
        <v/>
      </c>
      <c r="AX367" s="29">
        <f>LoadPremRate*E367*N367+AK367+AQ367-AU367-AT367</f>
        <v/>
      </c>
      <c r="AY367" s="34">
        <f>AP367-AO367</f>
        <v/>
      </c>
      <c r="AZ367" s="37">
        <f>(AW367-AX367-AY367)/MAX(1,ABS(AW367),ABS(AX367),ABS(AY367))</f>
        <v/>
      </c>
      <c r="BA367" s="37">
        <f>IF(OR(K367&gt;0,K368&gt;0),0,(AC368-(AC367+AF367-AQ367-AP367+AR367-AI367-AJ367-AM367))/MAX(1,ABS(AC367),ABS(AC368)))</f>
        <v/>
      </c>
      <c r="BB367" s="35">
        <f>(1+INDEX(DiscRateAnn,INT(A367/12)+1))^(1/12)-1</f>
        <v/>
      </c>
      <c r="BC367" s="31">
        <f>(1+BB367)^-A367</f>
        <v/>
      </c>
      <c r="BD367" s="34">
        <f>AW367*BC367</f>
        <v/>
      </c>
    </row>
    <row r="368">
      <c r="A368" s="27">
        <f>A367+1</f>
        <v/>
      </c>
      <c r="B368" s="28">
        <f>Duration0+A368</f>
        <v/>
      </c>
      <c r="C368" s="27">
        <f>INT(B368/12)</f>
        <v/>
      </c>
      <c r="D368" s="28">
        <f>AgeAtEntry+C368</f>
        <v/>
      </c>
      <c r="E368" s="29">
        <f>IF(PremiumType="SINGLE",IF(B368=0,PremiumPPInput,0),IF(B368&lt;12*PolicyTerm,PremiumPPInput,0))</f>
        <v/>
      </c>
      <c r="F368" s="30">
        <f>INDEX(MortRates,MATCH(MIN(D368,120),MortAges,0),MAX(MIN(C368,5),0)+1)</f>
        <v/>
      </c>
      <c r="G368" s="31">
        <f>1-(1-F368)^(1/12)</f>
        <v/>
      </c>
      <c r="H368" s="32">
        <f>MAX(LapseBase-LapseStep*C368,LapseFloor)</f>
        <v/>
      </c>
      <c r="I368" s="32">
        <f>IF(HasSurrCharge,INDEX(SurrRates,MIN(C368,SurrDurMax)+1,MATCH(SurrChargeID,SurrTypes,0)),0)</f>
        <v/>
      </c>
      <c r="J368" s="33">
        <f>N367-P367-O367</f>
        <v/>
      </c>
      <c r="K368" s="30">
        <f>IF(B368=12*PolicyTerm,J368,0)</f>
        <v/>
      </c>
      <c r="L368" s="33">
        <f>J368-K368</f>
        <v/>
      </c>
      <c r="M368" s="30">
        <f>IF(B368=0,PolicyCount,0)</f>
        <v/>
      </c>
      <c r="N368" s="33">
        <f>L368+M368</f>
        <v/>
      </c>
      <c r="O368" s="31">
        <f>N368*G368</f>
        <v/>
      </c>
      <c r="P368" s="33">
        <f>(N368-O368)*(1-(1-H368)^(1/12))</f>
        <v/>
      </c>
      <c r="Q368" s="34">
        <f>X367+Z367</f>
        <v/>
      </c>
      <c r="R368" s="29">
        <f>(1-LoadPremRate)*E368</f>
        <v/>
      </c>
      <c r="S368" s="34">
        <f>Q368+R368</f>
        <v/>
      </c>
      <c r="T368" s="29">
        <f>MaintFeeRateAnn/12*S368</f>
        <v/>
      </c>
      <c r="U368" s="29">
        <f>MAX(SumAssured-S368,0)</f>
        <v/>
      </c>
      <c r="V368" s="35">
        <f>CoiMultiple*G368</f>
        <v/>
      </c>
      <c r="W368" s="34">
        <f>V368*U368</f>
        <v/>
      </c>
      <c r="X368" s="34">
        <f>S368-T368-W368</f>
        <v/>
      </c>
      <c r="Y368" s="36">
        <f>EXP((Mu-0.5*Sigma^2)/12+Sigma*SQRT(1/12)*INDEX(NormRand,ScenID,A368+1))-1</f>
        <v/>
      </c>
      <c r="Z368" s="34">
        <f>Y368*X368</f>
        <v/>
      </c>
      <c r="AA368" s="34">
        <f>X368+0.5*Z368</f>
        <v/>
      </c>
      <c r="AB368" s="34">
        <f>Q368*J368</f>
        <v/>
      </c>
      <c r="AC368" s="34">
        <f>Q368*L368</f>
        <v/>
      </c>
      <c r="AD368" s="34">
        <f>S368*N368</f>
        <v/>
      </c>
      <c r="AE368" s="34">
        <f>E368*N368</f>
        <v/>
      </c>
      <c r="AF368" s="34">
        <f>R368*N368</f>
        <v/>
      </c>
      <c r="AG368" s="29">
        <f>MAX(SumAssured,AA368)</f>
        <v/>
      </c>
      <c r="AH368" s="34">
        <f>AG368*O368</f>
        <v/>
      </c>
      <c r="AI368" s="34">
        <f>AA368*O368</f>
        <v/>
      </c>
      <c r="AJ368" s="34">
        <f>AA368*P368</f>
        <v/>
      </c>
      <c r="AK368" s="34">
        <f>I368*AA368*P368</f>
        <v/>
      </c>
      <c r="AL368" s="34">
        <f>AJ368-AK368</f>
        <v/>
      </c>
      <c r="AM368" s="34">
        <f>Q368*K368</f>
        <v/>
      </c>
      <c r="AN368" s="34">
        <f>AH368+AL368+AM368</f>
        <v/>
      </c>
      <c r="AO368" s="34">
        <f>(AG368-AA368)*O368</f>
        <v/>
      </c>
      <c r="AP368" s="34">
        <f>W368*N368</f>
        <v/>
      </c>
      <c r="AQ368" s="34">
        <f>T368*N368</f>
        <v/>
      </c>
      <c r="AR368" s="34">
        <f>Z368*J369+0.5*Z368*(O368+P368)</f>
        <v/>
      </c>
      <c r="AS368" s="30">
        <f>(1+InflationRate)^(A368/12)</f>
        <v/>
      </c>
      <c r="AT368" s="29">
        <f>ExpenseAcq*M368+N368*ExpenseMaint/12*AS368</f>
        <v/>
      </c>
      <c r="AU368" s="29">
        <f>CommissionRate*AE368</f>
        <v/>
      </c>
      <c r="AV368" s="34">
        <f>AB369-AB368</f>
        <v/>
      </c>
      <c r="AW368" s="34">
        <f>AE368+AR368-AN368-AT368-AU368-AV368</f>
        <v/>
      </c>
      <c r="AX368" s="29">
        <f>LoadPremRate*E368*N368+AK368+AQ368-AU368-AT368</f>
        <v/>
      </c>
      <c r="AY368" s="34">
        <f>AP368-AO368</f>
        <v/>
      </c>
      <c r="AZ368" s="37">
        <f>(AW368-AX368-AY368)/MAX(1,ABS(AW368),ABS(AX368),ABS(AY368))</f>
        <v/>
      </c>
      <c r="BA368" s="37">
        <f>IF(OR(K368&gt;0,K369&gt;0),0,(AC369-(AC368+AF368-AQ368-AP368+AR368-AI368-AJ368-AM368))/MAX(1,ABS(AC368),ABS(AC369)))</f>
        <v/>
      </c>
      <c r="BB368" s="35">
        <f>(1+INDEX(DiscRateAnn,INT(A368/12)+1))^(1/12)-1</f>
        <v/>
      </c>
      <c r="BC368" s="31">
        <f>(1+BB368)^-A368</f>
        <v/>
      </c>
      <c r="BD368" s="34">
        <f>AW368*BC368</f>
        <v/>
      </c>
    </row>
    <row r="369">
      <c r="A369" s="27">
        <f>A368+1</f>
        <v/>
      </c>
      <c r="B369" s="28">
        <f>Duration0+A369</f>
        <v/>
      </c>
      <c r="C369" s="27">
        <f>INT(B369/12)</f>
        <v/>
      </c>
      <c r="D369" s="28">
        <f>AgeAtEntry+C369</f>
        <v/>
      </c>
      <c r="E369" s="29">
        <f>IF(PremiumType="SINGLE",IF(B369=0,PremiumPPInput,0),IF(B369&lt;12*PolicyTerm,PremiumPPInput,0))</f>
        <v/>
      </c>
      <c r="F369" s="30">
        <f>INDEX(MortRates,MATCH(MIN(D369,120),MortAges,0),MAX(MIN(C369,5),0)+1)</f>
        <v/>
      </c>
      <c r="G369" s="31">
        <f>1-(1-F369)^(1/12)</f>
        <v/>
      </c>
      <c r="H369" s="32">
        <f>MAX(LapseBase-LapseStep*C369,LapseFloor)</f>
        <v/>
      </c>
      <c r="I369" s="32">
        <f>IF(HasSurrCharge,INDEX(SurrRates,MIN(C369,SurrDurMax)+1,MATCH(SurrChargeID,SurrTypes,0)),0)</f>
        <v/>
      </c>
      <c r="J369" s="33">
        <f>N368-P368-O368</f>
        <v/>
      </c>
      <c r="K369" s="30">
        <f>IF(B369=12*PolicyTerm,J369,0)</f>
        <v/>
      </c>
      <c r="L369" s="33">
        <f>J369-K369</f>
        <v/>
      </c>
      <c r="M369" s="30">
        <f>IF(B369=0,PolicyCount,0)</f>
        <v/>
      </c>
      <c r="N369" s="33">
        <f>L369+M369</f>
        <v/>
      </c>
      <c r="O369" s="31">
        <f>N369*G369</f>
        <v/>
      </c>
      <c r="P369" s="33">
        <f>(N369-O369)*(1-(1-H369)^(1/12))</f>
        <v/>
      </c>
      <c r="Q369" s="34">
        <f>X368+Z368</f>
        <v/>
      </c>
      <c r="R369" s="29">
        <f>(1-LoadPremRate)*E369</f>
        <v/>
      </c>
      <c r="S369" s="34">
        <f>Q369+R369</f>
        <v/>
      </c>
      <c r="T369" s="29">
        <f>MaintFeeRateAnn/12*S369</f>
        <v/>
      </c>
      <c r="U369" s="29">
        <f>MAX(SumAssured-S369,0)</f>
        <v/>
      </c>
      <c r="V369" s="35">
        <f>CoiMultiple*G369</f>
        <v/>
      </c>
      <c r="W369" s="34">
        <f>V369*U369</f>
        <v/>
      </c>
      <c r="X369" s="34">
        <f>S369-T369-W369</f>
        <v/>
      </c>
      <c r="Y369" s="36">
        <f>EXP((Mu-0.5*Sigma^2)/12+Sigma*SQRT(1/12)*INDEX(NormRand,ScenID,A369+1))-1</f>
        <v/>
      </c>
      <c r="Z369" s="34">
        <f>Y369*X369</f>
        <v/>
      </c>
      <c r="AA369" s="34">
        <f>X369+0.5*Z369</f>
        <v/>
      </c>
      <c r="AB369" s="34">
        <f>Q369*J369</f>
        <v/>
      </c>
      <c r="AC369" s="34">
        <f>Q369*L369</f>
        <v/>
      </c>
      <c r="AD369" s="34">
        <f>S369*N369</f>
        <v/>
      </c>
      <c r="AE369" s="34">
        <f>E369*N369</f>
        <v/>
      </c>
      <c r="AF369" s="34">
        <f>R369*N369</f>
        <v/>
      </c>
      <c r="AG369" s="29">
        <f>MAX(SumAssured,AA369)</f>
        <v/>
      </c>
      <c r="AH369" s="34">
        <f>AG369*O369</f>
        <v/>
      </c>
      <c r="AI369" s="34">
        <f>AA369*O369</f>
        <v/>
      </c>
      <c r="AJ369" s="34">
        <f>AA369*P369</f>
        <v/>
      </c>
      <c r="AK369" s="34">
        <f>I369*AA369*P369</f>
        <v/>
      </c>
      <c r="AL369" s="34">
        <f>AJ369-AK369</f>
        <v/>
      </c>
      <c r="AM369" s="34">
        <f>Q369*K369</f>
        <v/>
      </c>
      <c r="AN369" s="34">
        <f>AH369+AL369+AM369</f>
        <v/>
      </c>
      <c r="AO369" s="34">
        <f>(AG369-AA369)*O369</f>
        <v/>
      </c>
      <c r="AP369" s="34">
        <f>W369*N369</f>
        <v/>
      </c>
      <c r="AQ369" s="34">
        <f>T369*N369</f>
        <v/>
      </c>
      <c r="AR369" s="34">
        <f>Z369*J370+0.5*Z369*(O369+P369)</f>
        <v/>
      </c>
      <c r="AS369" s="30">
        <f>(1+InflationRate)^(A369/12)</f>
        <v/>
      </c>
      <c r="AT369" s="29">
        <f>ExpenseAcq*M369+N369*ExpenseMaint/12*AS369</f>
        <v/>
      </c>
      <c r="AU369" s="29">
        <f>CommissionRate*AE369</f>
        <v/>
      </c>
      <c r="AV369" s="34">
        <f>AB370-AB369</f>
        <v/>
      </c>
      <c r="AW369" s="34">
        <f>AE369+AR369-AN369-AT369-AU369-AV369</f>
        <v/>
      </c>
      <c r="AX369" s="29">
        <f>LoadPremRate*E369*N369+AK369+AQ369-AU369-AT369</f>
        <v/>
      </c>
      <c r="AY369" s="34">
        <f>AP369-AO369</f>
        <v/>
      </c>
      <c r="AZ369" s="37">
        <f>(AW369-AX369-AY369)/MAX(1,ABS(AW369),ABS(AX369),ABS(AY369))</f>
        <v/>
      </c>
      <c r="BA369" s="37">
        <f>IF(OR(K369&gt;0,K370&gt;0),0,(AC370-(AC369+AF369-AQ369-AP369+AR369-AI369-AJ369-AM369))/MAX(1,ABS(AC369),ABS(AC370)))</f>
        <v/>
      </c>
      <c r="BB369" s="35">
        <f>(1+INDEX(DiscRateAnn,INT(A369/12)+1))^(1/12)-1</f>
        <v/>
      </c>
      <c r="BC369" s="31">
        <f>(1+BB369)^-A369</f>
        <v/>
      </c>
      <c r="BD369" s="34">
        <f>AW369*BC369</f>
        <v/>
      </c>
    </row>
    <row r="370">
      <c r="A370" s="27">
        <f>A369+1</f>
        <v/>
      </c>
      <c r="B370" s="28">
        <f>Duration0+A370</f>
        <v/>
      </c>
      <c r="C370" s="27">
        <f>INT(B370/12)</f>
        <v/>
      </c>
      <c r="D370" s="28">
        <f>AgeAtEntry+C370</f>
        <v/>
      </c>
      <c r="E370" s="29">
        <f>IF(PremiumType="SINGLE",IF(B370=0,PremiumPPInput,0),IF(B370&lt;12*PolicyTerm,PremiumPPInput,0))</f>
        <v/>
      </c>
      <c r="F370" s="30">
        <f>INDEX(MortRates,MATCH(MIN(D370,120),MortAges,0),MAX(MIN(C370,5),0)+1)</f>
        <v/>
      </c>
      <c r="G370" s="31">
        <f>1-(1-F370)^(1/12)</f>
        <v/>
      </c>
      <c r="H370" s="32">
        <f>MAX(LapseBase-LapseStep*C370,LapseFloor)</f>
        <v/>
      </c>
      <c r="I370" s="32">
        <f>IF(HasSurrCharge,INDEX(SurrRates,MIN(C370,SurrDurMax)+1,MATCH(SurrChargeID,SurrTypes,0)),0)</f>
        <v/>
      </c>
      <c r="J370" s="33">
        <f>N369-P369-O369</f>
        <v/>
      </c>
      <c r="K370" s="30">
        <f>IF(B370=12*PolicyTerm,J370,0)</f>
        <v/>
      </c>
      <c r="L370" s="33">
        <f>J370-K370</f>
        <v/>
      </c>
      <c r="M370" s="30">
        <f>IF(B370=0,PolicyCount,0)</f>
        <v/>
      </c>
      <c r="N370" s="33">
        <f>L370+M370</f>
        <v/>
      </c>
      <c r="O370" s="31">
        <f>N370*G370</f>
        <v/>
      </c>
      <c r="P370" s="33">
        <f>(N370-O370)*(1-(1-H370)^(1/12))</f>
        <v/>
      </c>
      <c r="Q370" s="34">
        <f>X369+Z369</f>
        <v/>
      </c>
      <c r="R370" s="29">
        <f>(1-LoadPremRate)*E370</f>
        <v/>
      </c>
      <c r="S370" s="34">
        <f>Q370+R370</f>
        <v/>
      </c>
      <c r="T370" s="29">
        <f>MaintFeeRateAnn/12*S370</f>
        <v/>
      </c>
      <c r="U370" s="29">
        <f>MAX(SumAssured-S370,0)</f>
        <v/>
      </c>
      <c r="V370" s="35">
        <f>CoiMultiple*G370</f>
        <v/>
      </c>
      <c r="W370" s="34">
        <f>V370*U370</f>
        <v/>
      </c>
      <c r="X370" s="34">
        <f>S370-T370-W370</f>
        <v/>
      </c>
      <c r="Y370" s="36">
        <f>EXP((Mu-0.5*Sigma^2)/12+Sigma*SQRT(1/12)*INDEX(NormRand,ScenID,A370+1))-1</f>
        <v/>
      </c>
      <c r="Z370" s="34">
        <f>Y370*X370</f>
        <v/>
      </c>
      <c r="AA370" s="34">
        <f>X370+0.5*Z370</f>
        <v/>
      </c>
      <c r="AB370" s="34">
        <f>Q370*J370</f>
        <v/>
      </c>
      <c r="AC370" s="34">
        <f>Q370*L370</f>
        <v/>
      </c>
      <c r="AD370" s="34">
        <f>S370*N370</f>
        <v/>
      </c>
      <c r="AE370" s="34">
        <f>E370*N370</f>
        <v/>
      </c>
      <c r="AF370" s="34">
        <f>R370*N370</f>
        <v/>
      </c>
      <c r="AG370" s="29">
        <f>MAX(SumAssured,AA370)</f>
        <v/>
      </c>
      <c r="AH370" s="34">
        <f>AG370*O370</f>
        <v/>
      </c>
      <c r="AI370" s="34">
        <f>AA370*O370</f>
        <v/>
      </c>
      <c r="AJ370" s="34">
        <f>AA370*P370</f>
        <v/>
      </c>
      <c r="AK370" s="34">
        <f>I370*AA370*P370</f>
        <v/>
      </c>
      <c r="AL370" s="34">
        <f>AJ370-AK370</f>
        <v/>
      </c>
      <c r="AM370" s="34">
        <f>Q370*K370</f>
        <v/>
      </c>
      <c r="AN370" s="34">
        <f>AH370+AL370+AM370</f>
        <v/>
      </c>
      <c r="AO370" s="34">
        <f>(AG370-AA370)*O370</f>
        <v/>
      </c>
      <c r="AP370" s="34">
        <f>W370*N370</f>
        <v/>
      </c>
      <c r="AQ370" s="34">
        <f>T370*N370</f>
        <v/>
      </c>
      <c r="AR370" s="34">
        <f>Z370*J371+0.5*Z370*(O370+P370)</f>
        <v/>
      </c>
      <c r="AS370" s="30">
        <f>(1+InflationRate)^(A370/12)</f>
        <v/>
      </c>
      <c r="AT370" s="29">
        <f>ExpenseAcq*M370+N370*ExpenseMaint/12*AS370</f>
        <v/>
      </c>
      <c r="AU370" s="29">
        <f>CommissionRate*AE370</f>
        <v/>
      </c>
      <c r="AV370" s="34">
        <f>AB371-AB370</f>
        <v/>
      </c>
      <c r="AW370" s="34">
        <f>AE370+AR370-AN370-AT370-AU370-AV370</f>
        <v/>
      </c>
      <c r="AX370" s="29">
        <f>LoadPremRate*E370*N370+AK370+AQ370-AU370-AT370</f>
        <v/>
      </c>
      <c r="AY370" s="34">
        <f>AP370-AO370</f>
        <v/>
      </c>
      <c r="AZ370" s="37">
        <f>(AW370-AX370-AY370)/MAX(1,ABS(AW370),ABS(AX370),ABS(AY370))</f>
        <v/>
      </c>
      <c r="BA370" s="37">
        <f>IF(OR(K370&gt;0,K371&gt;0),0,(AC371-(AC370+AF370-AQ370-AP370+AR370-AI370-AJ370-AM370))/MAX(1,ABS(AC370),ABS(AC371)))</f>
        <v/>
      </c>
      <c r="BB370" s="35">
        <f>(1+INDEX(DiscRateAnn,INT(A370/12)+1))^(1/12)-1</f>
        <v/>
      </c>
      <c r="BC370" s="31">
        <f>(1+BB370)^-A370</f>
        <v/>
      </c>
      <c r="BD370" s="34">
        <f>AW370*BC370</f>
        <v/>
      </c>
    </row>
    <row r="371">
      <c r="A371" s="27">
        <f>A370+1</f>
        <v/>
      </c>
      <c r="B371" s="28">
        <f>Duration0+A371</f>
        <v/>
      </c>
      <c r="C371" s="27">
        <f>INT(B371/12)</f>
        <v/>
      </c>
      <c r="D371" s="28">
        <f>AgeAtEntry+C371</f>
        <v/>
      </c>
      <c r="E371" s="29">
        <f>IF(PremiumType="SINGLE",IF(B371=0,PremiumPPInput,0),IF(B371&lt;12*PolicyTerm,PremiumPPInput,0))</f>
        <v/>
      </c>
      <c r="F371" s="30">
        <f>INDEX(MortRates,MATCH(MIN(D371,120),MortAges,0),MAX(MIN(C371,5),0)+1)</f>
        <v/>
      </c>
      <c r="G371" s="31">
        <f>1-(1-F371)^(1/12)</f>
        <v/>
      </c>
      <c r="H371" s="32">
        <f>MAX(LapseBase-LapseStep*C371,LapseFloor)</f>
        <v/>
      </c>
      <c r="I371" s="32">
        <f>IF(HasSurrCharge,INDEX(SurrRates,MIN(C371,SurrDurMax)+1,MATCH(SurrChargeID,SurrTypes,0)),0)</f>
        <v/>
      </c>
      <c r="J371" s="33">
        <f>N370-P370-O370</f>
        <v/>
      </c>
      <c r="K371" s="30">
        <f>IF(B371=12*PolicyTerm,J371,0)</f>
        <v/>
      </c>
      <c r="L371" s="33">
        <f>J371-K371</f>
        <v/>
      </c>
      <c r="M371" s="30">
        <f>IF(B371=0,PolicyCount,0)</f>
        <v/>
      </c>
      <c r="N371" s="33">
        <f>L371+M371</f>
        <v/>
      </c>
      <c r="O371" s="31">
        <f>N371*G371</f>
        <v/>
      </c>
      <c r="P371" s="33">
        <f>(N371-O371)*(1-(1-H371)^(1/12))</f>
        <v/>
      </c>
      <c r="Q371" s="34">
        <f>X370+Z370</f>
        <v/>
      </c>
      <c r="R371" s="29">
        <f>(1-LoadPremRate)*E371</f>
        <v/>
      </c>
      <c r="S371" s="34">
        <f>Q371+R371</f>
        <v/>
      </c>
      <c r="T371" s="29">
        <f>MaintFeeRateAnn/12*S371</f>
        <v/>
      </c>
      <c r="U371" s="29">
        <f>MAX(SumAssured-S371,0)</f>
        <v/>
      </c>
      <c r="V371" s="35">
        <f>CoiMultiple*G371</f>
        <v/>
      </c>
      <c r="W371" s="34">
        <f>V371*U371</f>
        <v/>
      </c>
      <c r="X371" s="34">
        <f>S371-T371-W371</f>
        <v/>
      </c>
      <c r="Y371" s="36">
        <f>EXP((Mu-0.5*Sigma^2)/12+Sigma*SQRT(1/12)*INDEX(NormRand,ScenID,A371+1))-1</f>
        <v/>
      </c>
      <c r="Z371" s="34">
        <f>Y371*X371</f>
        <v/>
      </c>
      <c r="AA371" s="34">
        <f>X371+0.5*Z371</f>
        <v/>
      </c>
      <c r="AB371" s="34">
        <f>Q371*J371</f>
        <v/>
      </c>
      <c r="AC371" s="34">
        <f>Q371*L371</f>
        <v/>
      </c>
      <c r="AD371" s="34">
        <f>S371*N371</f>
        <v/>
      </c>
      <c r="AE371" s="34">
        <f>E371*N371</f>
        <v/>
      </c>
      <c r="AF371" s="34">
        <f>R371*N371</f>
        <v/>
      </c>
      <c r="AG371" s="29">
        <f>MAX(SumAssured,AA371)</f>
        <v/>
      </c>
      <c r="AH371" s="34">
        <f>AG371*O371</f>
        <v/>
      </c>
      <c r="AI371" s="34">
        <f>AA371*O371</f>
        <v/>
      </c>
      <c r="AJ371" s="34">
        <f>AA371*P371</f>
        <v/>
      </c>
      <c r="AK371" s="34">
        <f>I371*AA371*P371</f>
        <v/>
      </c>
      <c r="AL371" s="34">
        <f>AJ371-AK371</f>
        <v/>
      </c>
      <c r="AM371" s="34">
        <f>Q371*K371</f>
        <v/>
      </c>
      <c r="AN371" s="34">
        <f>AH371+AL371+AM371</f>
        <v/>
      </c>
      <c r="AO371" s="34">
        <f>(AG371-AA371)*O371</f>
        <v/>
      </c>
      <c r="AP371" s="34">
        <f>W371*N371</f>
        <v/>
      </c>
      <c r="AQ371" s="34">
        <f>T371*N371</f>
        <v/>
      </c>
      <c r="AR371" s="34">
        <f>Z371*J372+0.5*Z371*(O371+P371)</f>
        <v/>
      </c>
      <c r="AS371" s="30">
        <f>(1+InflationRate)^(A371/12)</f>
        <v/>
      </c>
      <c r="AT371" s="29">
        <f>ExpenseAcq*M371+N371*ExpenseMaint/12*AS371</f>
        <v/>
      </c>
      <c r="AU371" s="29">
        <f>CommissionRate*AE371</f>
        <v/>
      </c>
      <c r="AV371" s="34">
        <f>AB372-AB371</f>
        <v/>
      </c>
      <c r="AW371" s="34">
        <f>AE371+AR371-AN371-AT371-AU371-AV371</f>
        <v/>
      </c>
      <c r="AX371" s="29">
        <f>LoadPremRate*E371*N371+AK371+AQ371-AU371-AT371</f>
        <v/>
      </c>
      <c r="AY371" s="34">
        <f>AP371-AO371</f>
        <v/>
      </c>
      <c r="AZ371" s="37">
        <f>(AW371-AX371-AY371)/MAX(1,ABS(AW371),ABS(AX371),ABS(AY371))</f>
        <v/>
      </c>
      <c r="BA371" s="37">
        <f>IF(OR(K371&gt;0,K372&gt;0),0,(AC372-(AC371+AF371-AQ371-AP371+AR371-AI371-AJ371-AM371))/MAX(1,ABS(AC371),ABS(AC372)))</f>
        <v/>
      </c>
      <c r="BB371" s="35">
        <f>(1+INDEX(DiscRateAnn,INT(A371/12)+1))^(1/12)-1</f>
        <v/>
      </c>
      <c r="BC371" s="31">
        <f>(1+BB371)^-A371</f>
        <v/>
      </c>
      <c r="BD371" s="34">
        <f>AW371*BC371</f>
        <v/>
      </c>
    </row>
    <row r="372">
      <c r="A372" s="27">
        <f>A371+1</f>
        <v/>
      </c>
      <c r="B372" s="28">
        <f>Duration0+A372</f>
        <v/>
      </c>
      <c r="C372" s="27">
        <f>INT(B372/12)</f>
        <v/>
      </c>
      <c r="D372" s="28">
        <f>AgeAtEntry+C372</f>
        <v/>
      </c>
      <c r="E372" s="29">
        <f>IF(PremiumType="SINGLE",IF(B372=0,PremiumPPInput,0),IF(B372&lt;12*PolicyTerm,PremiumPPInput,0))</f>
        <v/>
      </c>
      <c r="F372" s="30">
        <f>INDEX(MortRates,MATCH(MIN(D372,120),MortAges,0),MAX(MIN(C372,5),0)+1)</f>
        <v/>
      </c>
      <c r="G372" s="31">
        <f>1-(1-F372)^(1/12)</f>
        <v/>
      </c>
      <c r="H372" s="32">
        <f>MAX(LapseBase-LapseStep*C372,LapseFloor)</f>
        <v/>
      </c>
      <c r="I372" s="32">
        <f>IF(HasSurrCharge,INDEX(SurrRates,MIN(C372,SurrDurMax)+1,MATCH(SurrChargeID,SurrTypes,0)),0)</f>
        <v/>
      </c>
      <c r="J372" s="33">
        <f>N371-P371-O371</f>
        <v/>
      </c>
      <c r="K372" s="30">
        <f>IF(B372=12*PolicyTerm,J372,0)</f>
        <v/>
      </c>
      <c r="L372" s="33">
        <f>J372-K372</f>
        <v/>
      </c>
      <c r="M372" s="30">
        <f>IF(B372=0,PolicyCount,0)</f>
        <v/>
      </c>
      <c r="N372" s="33">
        <f>L372+M372</f>
        <v/>
      </c>
      <c r="O372" s="31">
        <f>N372*G372</f>
        <v/>
      </c>
      <c r="P372" s="33">
        <f>(N372-O372)*(1-(1-H372)^(1/12))</f>
        <v/>
      </c>
      <c r="Q372" s="34">
        <f>X371+Z371</f>
        <v/>
      </c>
      <c r="R372" s="29">
        <f>(1-LoadPremRate)*E372</f>
        <v/>
      </c>
      <c r="S372" s="34">
        <f>Q372+R372</f>
        <v/>
      </c>
      <c r="T372" s="29">
        <f>MaintFeeRateAnn/12*S372</f>
        <v/>
      </c>
      <c r="U372" s="29">
        <f>MAX(SumAssured-S372,0)</f>
        <v/>
      </c>
      <c r="V372" s="35">
        <f>CoiMultiple*G372</f>
        <v/>
      </c>
      <c r="W372" s="34">
        <f>V372*U372</f>
        <v/>
      </c>
      <c r="X372" s="34">
        <f>S372-T372-W372</f>
        <v/>
      </c>
      <c r="Y372" s="36">
        <f>EXP((Mu-0.5*Sigma^2)/12+Sigma*SQRT(1/12)*INDEX(NormRand,ScenID,A372+1))-1</f>
        <v/>
      </c>
      <c r="Z372" s="34">
        <f>Y372*X372</f>
        <v/>
      </c>
      <c r="AA372" s="34">
        <f>X372+0.5*Z372</f>
        <v/>
      </c>
      <c r="AB372" s="34">
        <f>Q372*J372</f>
        <v/>
      </c>
      <c r="AC372" s="34">
        <f>Q372*L372</f>
        <v/>
      </c>
      <c r="AD372" s="34">
        <f>S372*N372</f>
        <v/>
      </c>
      <c r="AE372" s="34">
        <f>E372*N372</f>
        <v/>
      </c>
      <c r="AF372" s="34">
        <f>R372*N372</f>
        <v/>
      </c>
      <c r="AG372" s="29">
        <f>MAX(SumAssured,AA372)</f>
        <v/>
      </c>
      <c r="AH372" s="34">
        <f>AG372*O372</f>
        <v/>
      </c>
      <c r="AI372" s="34">
        <f>AA372*O372</f>
        <v/>
      </c>
      <c r="AJ372" s="34">
        <f>AA372*P372</f>
        <v/>
      </c>
      <c r="AK372" s="34">
        <f>I372*AA372*P372</f>
        <v/>
      </c>
      <c r="AL372" s="34">
        <f>AJ372-AK372</f>
        <v/>
      </c>
      <c r="AM372" s="34">
        <f>Q372*K372</f>
        <v/>
      </c>
      <c r="AN372" s="34">
        <f>AH372+AL372+AM372</f>
        <v/>
      </c>
      <c r="AO372" s="34">
        <f>(AG372-AA372)*O372</f>
        <v/>
      </c>
      <c r="AP372" s="34">
        <f>W372*N372</f>
        <v/>
      </c>
      <c r="AQ372" s="34">
        <f>T372*N372</f>
        <v/>
      </c>
      <c r="AR372" s="34">
        <f>Z372*J373+0.5*Z372*(O372+P372)</f>
        <v/>
      </c>
      <c r="AS372" s="30">
        <f>(1+InflationRate)^(A372/12)</f>
        <v/>
      </c>
      <c r="AT372" s="29">
        <f>ExpenseAcq*M372+N372*ExpenseMaint/12*AS372</f>
        <v/>
      </c>
      <c r="AU372" s="29">
        <f>CommissionRate*AE372</f>
        <v/>
      </c>
      <c r="AV372" s="34">
        <f>AB373-AB372</f>
        <v/>
      </c>
      <c r="AW372" s="34">
        <f>AE372+AR372-AN372-AT372-AU372-AV372</f>
        <v/>
      </c>
      <c r="AX372" s="29">
        <f>LoadPremRate*E372*N372+AK372+AQ372-AU372-AT372</f>
        <v/>
      </c>
      <c r="AY372" s="34">
        <f>AP372-AO372</f>
        <v/>
      </c>
      <c r="AZ372" s="37">
        <f>(AW372-AX372-AY372)/MAX(1,ABS(AW372),ABS(AX372),ABS(AY372))</f>
        <v/>
      </c>
      <c r="BA372" s="37">
        <f>IF(OR(K372&gt;0,K373&gt;0),0,(AC373-(AC372+AF372-AQ372-AP372+AR372-AI372-AJ372-AM372))/MAX(1,ABS(AC372),ABS(AC373)))</f>
        <v/>
      </c>
      <c r="BB372" s="35">
        <f>(1+INDEX(DiscRateAnn,INT(A372/12)+1))^(1/12)-1</f>
        <v/>
      </c>
      <c r="BC372" s="31">
        <f>(1+BB372)^-A372</f>
        <v/>
      </c>
      <c r="BD372" s="34">
        <f>AW372*BC372</f>
        <v/>
      </c>
    </row>
    <row r="373">
      <c r="A373" s="27">
        <f>A372+1</f>
        <v/>
      </c>
      <c r="B373" s="28">
        <f>Duration0+A373</f>
        <v/>
      </c>
      <c r="C373" s="27">
        <f>INT(B373/12)</f>
        <v/>
      </c>
      <c r="D373" s="28">
        <f>AgeAtEntry+C373</f>
        <v/>
      </c>
      <c r="E373" s="29">
        <f>IF(PremiumType="SINGLE",IF(B373=0,PremiumPPInput,0),IF(B373&lt;12*PolicyTerm,PremiumPPInput,0))</f>
        <v/>
      </c>
      <c r="F373" s="30">
        <f>INDEX(MortRates,MATCH(MIN(D373,120),MortAges,0),MAX(MIN(C373,5),0)+1)</f>
        <v/>
      </c>
      <c r="G373" s="31">
        <f>1-(1-F373)^(1/12)</f>
        <v/>
      </c>
      <c r="H373" s="32">
        <f>MAX(LapseBase-LapseStep*C373,LapseFloor)</f>
        <v/>
      </c>
      <c r="I373" s="32">
        <f>IF(HasSurrCharge,INDEX(SurrRates,MIN(C373,SurrDurMax)+1,MATCH(SurrChargeID,SurrTypes,0)),0)</f>
        <v/>
      </c>
      <c r="J373" s="33">
        <f>N372-P372-O372</f>
        <v/>
      </c>
      <c r="K373" s="30">
        <f>IF(B373=12*PolicyTerm,J373,0)</f>
        <v/>
      </c>
      <c r="L373" s="33">
        <f>J373-K373</f>
        <v/>
      </c>
      <c r="M373" s="30">
        <f>IF(B373=0,PolicyCount,0)</f>
        <v/>
      </c>
      <c r="N373" s="33">
        <f>L373+M373</f>
        <v/>
      </c>
      <c r="O373" s="31">
        <f>N373*G373</f>
        <v/>
      </c>
      <c r="P373" s="33">
        <f>(N373-O373)*(1-(1-H373)^(1/12))</f>
        <v/>
      </c>
      <c r="Q373" s="34">
        <f>X372+Z372</f>
        <v/>
      </c>
      <c r="R373" s="29">
        <f>(1-LoadPremRate)*E373</f>
        <v/>
      </c>
      <c r="S373" s="34">
        <f>Q373+R373</f>
        <v/>
      </c>
      <c r="T373" s="29">
        <f>MaintFeeRateAnn/12*S373</f>
        <v/>
      </c>
      <c r="U373" s="29">
        <f>MAX(SumAssured-S373,0)</f>
        <v/>
      </c>
      <c r="V373" s="35">
        <f>CoiMultiple*G373</f>
        <v/>
      </c>
      <c r="W373" s="34">
        <f>V373*U373</f>
        <v/>
      </c>
      <c r="X373" s="34">
        <f>S373-T373-W373</f>
        <v/>
      </c>
      <c r="Y373" s="36">
        <f>EXP((Mu-0.5*Sigma^2)/12+Sigma*SQRT(1/12)*INDEX(NormRand,ScenID,A373+1))-1</f>
        <v/>
      </c>
      <c r="Z373" s="34">
        <f>Y373*X373</f>
        <v/>
      </c>
      <c r="AA373" s="34">
        <f>X373+0.5*Z373</f>
        <v/>
      </c>
      <c r="AB373" s="34">
        <f>Q373*J373</f>
        <v/>
      </c>
      <c r="AC373" s="34">
        <f>Q373*L373</f>
        <v/>
      </c>
      <c r="AD373" s="34">
        <f>S373*N373</f>
        <v/>
      </c>
      <c r="AE373" s="34">
        <f>E373*N373</f>
        <v/>
      </c>
      <c r="AF373" s="34">
        <f>R373*N373</f>
        <v/>
      </c>
      <c r="AG373" s="29">
        <f>MAX(SumAssured,AA373)</f>
        <v/>
      </c>
      <c r="AH373" s="34">
        <f>AG373*O373</f>
        <v/>
      </c>
      <c r="AI373" s="34">
        <f>AA373*O373</f>
        <v/>
      </c>
      <c r="AJ373" s="34">
        <f>AA373*P373</f>
        <v/>
      </c>
      <c r="AK373" s="34">
        <f>I373*AA373*P373</f>
        <v/>
      </c>
      <c r="AL373" s="34">
        <f>AJ373-AK373</f>
        <v/>
      </c>
      <c r="AM373" s="34">
        <f>Q373*K373</f>
        <v/>
      </c>
      <c r="AN373" s="34">
        <f>AH373+AL373+AM373</f>
        <v/>
      </c>
      <c r="AO373" s="34">
        <f>(AG373-AA373)*O373</f>
        <v/>
      </c>
      <c r="AP373" s="34">
        <f>W373*N373</f>
        <v/>
      </c>
      <c r="AQ373" s="34">
        <f>T373*N373</f>
        <v/>
      </c>
      <c r="AR373" s="34">
        <f>Z373*J374+0.5*Z373*(O373+P373)</f>
        <v/>
      </c>
      <c r="AS373" s="30">
        <f>(1+InflationRate)^(A373/12)</f>
        <v/>
      </c>
      <c r="AT373" s="29">
        <f>ExpenseAcq*M373+N373*ExpenseMaint/12*AS373</f>
        <v/>
      </c>
      <c r="AU373" s="29">
        <f>CommissionRate*AE373</f>
        <v/>
      </c>
      <c r="AV373" s="34">
        <f>AB374-AB373</f>
        <v/>
      </c>
      <c r="AW373" s="34">
        <f>AE373+AR373-AN373-AT373-AU373-AV373</f>
        <v/>
      </c>
      <c r="AX373" s="29">
        <f>LoadPremRate*E373*N373+AK373+AQ373-AU373-AT373</f>
        <v/>
      </c>
      <c r="AY373" s="34">
        <f>AP373-AO373</f>
        <v/>
      </c>
      <c r="AZ373" s="37">
        <f>(AW373-AX373-AY373)/MAX(1,ABS(AW373),ABS(AX373),ABS(AY373))</f>
        <v/>
      </c>
      <c r="BA373" s="37">
        <f>IF(OR(K373&gt;0,K374&gt;0),0,(AC374-(AC373+AF373-AQ373-AP373+AR373-AI373-AJ373-AM373))/MAX(1,ABS(AC373),ABS(AC374)))</f>
        <v/>
      </c>
      <c r="BB373" s="35">
        <f>(1+INDEX(DiscRateAnn,INT(A373/12)+1))^(1/12)-1</f>
        <v/>
      </c>
      <c r="BC373" s="31">
        <f>(1+BB373)^-A373</f>
        <v/>
      </c>
      <c r="BD373" s="34">
        <f>AW373*BC373</f>
        <v/>
      </c>
    </row>
    <row r="374">
      <c r="A374" s="27">
        <f>A373+1</f>
        <v/>
      </c>
      <c r="B374" s="28">
        <f>Duration0+A374</f>
        <v/>
      </c>
      <c r="C374" s="27">
        <f>INT(B374/12)</f>
        <v/>
      </c>
      <c r="D374" s="28">
        <f>AgeAtEntry+C374</f>
        <v/>
      </c>
      <c r="E374" s="29">
        <f>IF(PremiumType="SINGLE",IF(B374=0,PremiumPPInput,0),IF(B374&lt;12*PolicyTerm,PremiumPPInput,0))</f>
        <v/>
      </c>
      <c r="F374" s="30">
        <f>INDEX(MortRates,MATCH(MIN(D374,120),MortAges,0),MAX(MIN(C374,5),0)+1)</f>
        <v/>
      </c>
      <c r="G374" s="31">
        <f>1-(1-F374)^(1/12)</f>
        <v/>
      </c>
      <c r="H374" s="32">
        <f>MAX(LapseBase-LapseStep*C374,LapseFloor)</f>
        <v/>
      </c>
      <c r="I374" s="32">
        <f>IF(HasSurrCharge,INDEX(SurrRates,MIN(C374,SurrDurMax)+1,MATCH(SurrChargeID,SurrTypes,0)),0)</f>
        <v/>
      </c>
      <c r="J374" s="33">
        <f>N373-P373-O373</f>
        <v/>
      </c>
      <c r="K374" s="30">
        <f>IF(B374=12*PolicyTerm,J374,0)</f>
        <v/>
      </c>
      <c r="L374" s="33">
        <f>J374-K374</f>
        <v/>
      </c>
      <c r="M374" s="30">
        <f>IF(B374=0,PolicyCount,0)</f>
        <v/>
      </c>
      <c r="N374" s="33">
        <f>L374+M374</f>
        <v/>
      </c>
      <c r="O374" s="31">
        <f>N374*G374</f>
        <v/>
      </c>
      <c r="P374" s="33">
        <f>(N374-O374)*(1-(1-H374)^(1/12))</f>
        <v/>
      </c>
      <c r="Q374" s="34">
        <f>X373+Z373</f>
        <v/>
      </c>
      <c r="R374" s="29">
        <f>(1-LoadPremRate)*E374</f>
        <v/>
      </c>
      <c r="S374" s="34">
        <f>Q374+R374</f>
        <v/>
      </c>
      <c r="T374" s="29">
        <f>MaintFeeRateAnn/12*S374</f>
        <v/>
      </c>
      <c r="U374" s="29">
        <f>MAX(SumAssured-S374,0)</f>
        <v/>
      </c>
      <c r="V374" s="35">
        <f>CoiMultiple*G374</f>
        <v/>
      </c>
      <c r="W374" s="34">
        <f>V374*U374</f>
        <v/>
      </c>
      <c r="X374" s="34">
        <f>S374-T374-W374</f>
        <v/>
      </c>
      <c r="Y374" s="36">
        <f>EXP((Mu-0.5*Sigma^2)/12+Sigma*SQRT(1/12)*INDEX(NormRand,ScenID,A374+1))-1</f>
        <v/>
      </c>
      <c r="Z374" s="34">
        <f>Y374*X374</f>
        <v/>
      </c>
      <c r="AA374" s="34">
        <f>X374+0.5*Z374</f>
        <v/>
      </c>
      <c r="AB374" s="34">
        <f>Q374*J374</f>
        <v/>
      </c>
      <c r="AC374" s="34">
        <f>Q374*L374</f>
        <v/>
      </c>
      <c r="AD374" s="34">
        <f>S374*N374</f>
        <v/>
      </c>
      <c r="AE374" s="34">
        <f>E374*N374</f>
        <v/>
      </c>
      <c r="AF374" s="34">
        <f>R374*N374</f>
        <v/>
      </c>
      <c r="AG374" s="29">
        <f>MAX(SumAssured,AA374)</f>
        <v/>
      </c>
      <c r="AH374" s="34">
        <f>AG374*O374</f>
        <v/>
      </c>
      <c r="AI374" s="34">
        <f>AA374*O374</f>
        <v/>
      </c>
      <c r="AJ374" s="34">
        <f>AA374*P374</f>
        <v/>
      </c>
      <c r="AK374" s="34">
        <f>I374*AA374*P374</f>
        <v/>
      </c>
      <c r="AL374" s="34">
        <f>AJ374-AK374</f>
        <v/>
      </c>
      <c r="AM374" s="34">
        <f>Q374*K374</f>
        <v/>
      </c>
      <c r="AN374" s="34">
        <f>AH374+AL374+AM374</f>
        <v/>
      </c>
      <c r="AO374" s="34">
        <f>(AG374-AA374)*O374</f>
        <v/>
      </c>
      <c r="AP374" s="34">
        <f>W374*N374</f>
        <v/>
      </c>
      <c r="AQ374" s="34">
        <f>T374*N374</f>
        <v/>
      </c>
      <c r="AR374" s="34">
        <f>Z374*J375+0.5*Z374*(O374+P374)</f>
        <v/>
      </c>
      <c r="AS374" s="30">
        <f>(1+InflationRate)^(A374/12)</f>
        <v/>
      </c>
      <c r="AT374" s="29">
        <f>ExpenseAcq*M374+N374*ExpenseMaint/12*AS374</f>
        <v/>
      </c>
      <c r="AU374" s="29">
        <f>CommissionRate*AE374</f>
        <v/>
      </c>
      <c r="AV374" s="34">
        <f>AB375-AB374</f>
        <v/>
      </c>
      <c r="AW374" s="34">
        <f>AE374+AR374-AN374-AT374-AU374-AV374</f>
        <v/>
      </c>
      <c r="AX374" s="29">
        <f>LoadPremRate*E374*N374+AK374+AQ374-AU374-AT374</f>
        <v/>
      </c>
      <c r="AY374" s="34">
        <f>AP374-AO374</f>
        <v/>
      </c>
      <c r="AZ374" s="37">
        <f>(AW374-AX374-AY374)/MAX(1,ABS(AW374),ABS(AX374),ABS(AY374))</f>
        <v/>
      </c>
      <c r="BA374" s="37">
        <f>IF(OR(K374&gt;0,K375&gt;0),0,(AC375-(AC374+AF374-AQ374-AP374+AR374-AI374-AJ374-AM374))/MAX(1,ABS(AC374),ABS(AC375)))</f>
        <v/>
      </c>
      <c r="BB374" s="35">
        <f>(1+INDEX(DiscRateAnn,INT(A374/12)+1))^(1/12)-1</f>
        <v/>
      </c>
      <c r="BC374" s="31">
        <f>(1+BB374)^-A374</f>
        <v/>
      </c>
      <c r="BD374" s="34">
        <f>AW374*BC374</f>
        <v/>
      </c>
    </row>
    <row r="375">
      <c r="A375" s="27">
        <f>A374+1</f>
        <v/>
      </c>
      <c r="B375" s="28">
        <f>Duration0+A375</f>
        <v/>
      </c>
      <c r="C375" s="27">
        <f>INT(B375/12)</f>
        <v/>
      </c>
      <c r="D375" s="28">
        <f>AgeAtEntry+C375</f>
        <v/>
      </c>
      <c r="E375" s="29">
        <f>IF(PremiumType="SINGLE",IF(B375=0,PremiumPPInput,0),IF(B375&lt;12*PolicyTerm,PremiumPPInput,0))</f>
        <v/>
      </c>
      <c r="F375" s="30">
        <f>INDEX(MortRates,MATCH(MIN(D375,120),MortAges,0),MAX(MIN(C375,5),0)+1)</f>
        <v/>
      </c>
      <c r="G375" s="31">
        <f>1-(1-F375)^(1/12)</f>
        <v/>
      </c>
      <c r="H375" s="32">
        <f>MAX(LapseBase-LapseStep*C375,LapseFloor)</f>
        <v/>
      </c>
      <c r="I375" s="32">
        <f>IF(HasSurrCharge,INDEX(SurrRates,MIN(C375,SurrDurMax)+1,MATCH(SurrChargeID,SurrTypes,0)),0)</f>
        <v/>
      </c>
      <c r="J375" s="33">
        <f>N374-P374-O374</f>
        <v/>
      </c>
      <c r="K375" s="30">
        <f>IF(B375=12*PolicyTerm,J375,0)</f>
        <v/>
      </c>
      <c r="L375" s="33">
        <f>J375-K375</f>
        <v/>
      </c>
      <c r="M375" s="30">
        <f>IF(B375=0,PolicyCount,0)</f>
        <v/>
      </c>
      <c r="N375" s="33">
        <f>L375+M375</f>
        <v/>
      </c>
      <c r="O375" s="31">
        <f>N375*G375</f>
        <v/>
      </c>
      <c r="P375" s="33">
        <f>(N375-O375)*(1-(1-H375)^(1/12))</f>
        <v/>
      </c>
      <c r="Q375" s="34">
        <f>X374+Z374</f>
        <v/>
      </c>
      <c r="R375" s="29">
        <f>(1-LoadPremRate)*E375</f>
        <v/>
      </c>
      <c r="S375" s="34">
        <f>Q375+R375</f>
        <v/>
      </c>
      <c r="T375" s="29">
        <f>MaintFeeRateAnn/12*S375</f>
        <v/>
      </c>
      <c r="U375" s="29">
        <f>MAX(SumAssured-S375,0)</f>
        <v/>
      </c>
      <c r="V375" s="35">
        <f>CoiMultiple*G375</f>
        <v/>
      </c>
      <c r="W375" s="34">
        <f>V375*U375</f>
        <v/>
      </c>
      <c r="X375" s="34">
        <f>S375-T375-W375</f>
        <v/>
      </c>
      <c r="Y375" s="36">
        <f>EXP((Mu-0.5*Sigma^2)/12+Sigma*SQRT(1/12)*INDEX(NormRand,ScenID,A375+1))-1</f>
        <v/>
      </c>
      <c r="Z375" s="34">
        <f>Y375*X375</f>
        <v/>
      </c>
      <c r="AA375" s="34">
        <f>X375+0.5*Z375</f>
        <v/>
      </c>
      <c r="AB375" s="34">
        <f>Q375*J375</f>
        <v/>
      </c>
      <c r="AC375" s="34">
        <f>Q375*L375</f>
        <v/>
      </c>
      <c r="AD375" s="34">
        <f>S375*N375</f>
        <v/>
      </c>
      <c r="AE375" s="34">
        <f>E375*N375</f>
        <v/>
      </c>
      <c r="AF375" s="34">
        <f>R375*N375</f>
        <v/>
      </c>
      <c r="AG375" s="29">
        <f>MAX(SumAssured,AA375)</f>
        <v/>
      </c>
      <c r="AH375" s="34">
        <f>AG375*O375</f>
        <v/>
      </c>
      <c r="AI375" s="34">
        <f>AA375*O375</f>
        <v/>
      </c>
      <c r="AJ375" s="34">
        <f>AA375*P375</f>
        <v/>
      </c>
      <c r="AK375" s="34">
        <f>I375*AA375*P375</f>
        <v/>
      </c>
      <c r="AL375" s="34">
        <f>AJ375-AK375</f>
        <v/>
      </c>
      <c r="AM375" s="34">
        <f>Q375*K375</f>
        <v/>
      </c>
      <c r="AN375" s="34">
        <f>AH375+AL375+AM375</f>
        <v/>
      </c>
      <c r="AO375" s="34">
        <f>(AG375-AA375)*O375</f>
        <v/>
      </c>
      <c r="AP375" s="34">
        <f>W375*N375</f>
        <v/>
      </c>
      <c r="AQ375" s="34">
        <f>T375*N375</f>
        <v/>
      </c>
      <c r="AR375" s="34">
        <f>Z375*J376+0.5*Z375*(O375+P375)</f>
        <v/>
      </c>
      <c r="AS375" s="30">
        <f>(1+InflationRate)^(A375/12)</f>
        <v/>
      </c>
      <c r="AT375" s="29">
        <f>ExpenseAcq*M375+N375*ExpenseMaint/12*AS375</f>
        <v/>
      </c>
      <c r="AU375" s="29">
        <f>CommissionRate*AE375</f>
        <v/>
      </c>
      <c r="AV375" s="34">
        <f>AB376-AB375</f>
        <v/>
      </c>
      <c r="AW375" s="34">
        <f>AE375+AR375-AN375-AT375-AU375-AV375</f>
        <v/>
      </c>
      <c r="AX375" s="29">
        <f>LoadPremRate*E375*N375+AK375+AQ375-AU375-AT375</f>
        <v/>
      </c>
      <c r="AY375" s="34">
        <f>AP375-AO375</f>
        <v/>
      </c>
      <c r="AZ375" s="37">
        <f>(AW375-AX375-AY375)/MAX(1,ABS(AW375),ABS(AX375),ABS(AY375))</f>
        <v/>
      </c>
      <c r="BA375" s="37">
        <f>IF(OR(K375&gt;0,K376&gt;0),0,(AC376-(AC375+AF375-AQ375-AP375+AR375-AI375-AJ375-AM375))/MAX(1,ABS(AC375),ABS(AC376)))</f>
        <v/>
      </c>
      <c r="BB375" s="35">
        <f>(1+INDEX(DiscRateAnn,INT(A375/12)+1))^(1/12)-1</f>
        <v/>
      </c>
      <c r="BC375" s="31">
        <f>(1+BB375)^-A375</f>
        <v/>
      </c>
      <c r="BD375" s="34">
        <f>AW375*BC375</f>
        <v/>
      </c>
    </row>
    <row r="376">
      <c r="A376" s="27">
        <f>A375+1</f>
        <v/>
      </c>
      <c r="B376" s="28">
        <f>Duration0+A376</f>
        <v/>
      </c>
      <c r="C376" s="27">
        <f>INT(B376/12)</f>
        <v/>
      </c>
      <c r="D376" s="28">
        <f>AgeAtEntry+C376</f>
        <v/>
      </c>
      <c r="E376" s="29">
        <f>IF(PremiumType="SINGLE",IF(B376=0,PremiumPPInput,0),IF(B376&lt;12*PolicyTerm,PremiumPPInput,0))</f>
        <v/>
      </c>
      <c r="F376" s="30">
        <f>INDEX(MortRates,MATCH(MIN(D376,120),MortAges,0),MAX(MIN(C376,5),0)+1)</f>
        <v/>
      </c>
      <c r="G376" s="31">
        <f>1-(1-F376)^(1/12)</f>
        <v/>
      </c>
      <c r="H376" s="32">
        <f>MAX(LapseBase-LapseStep*C376,LapseFloor)</f>
        <v/>
      </c>
      <c r="I376" s="32">
        <f>IF(HasSurrCharge,INDEX(SurrRates,MIN(C376,SurrDurMax)+1,MATCH(SurrChargeID,SurrTypes,0)),0)</f>
        <v/>
      </c>
      <c r="J376" s="33">
        <f>N375-P375-O375</f>
        <v/>
      </c>
      <c r="K376" s="30">
        <f>IF(B376=12*PolicyTerm,J376,0)</f>
        <v/>
      </c>
      <c r="L376" s="33">
        <f>J376-K376</f>
        <v/>
      </c>
      <c r="M376" s="30">
        <f>IF(B376=0,PolicyCount,0)</f>
        <v/>
      </c>
      <c r="N376" s="33">
        <f>L376+M376</f>
        <v/>
      </c>
      <c r="O376" s="31">
        <f>N376*G376</f>
        <v/>
      </c>
      <c r="P376" s="33">
        <f>(N376-O376)*(1-(1-H376)^(1/12))</f>
        <v/>
      </c>
      <c r="Q376" s="34">
        <f>X375+Z375</f>
        <v/>
      </c>
      <c r="R376" s="29">
        <f>(1-LoadPremRate)*E376</f>
        <v/>
      </c>
      <c r="S376" s="34">
        <f>Q376+R376</f>
        <v/>
      </c>
      <c r="T376" s="29">
        <f>MaintFeeRateAnn/12*S376</f>
        <v/>
      </c>
      <c r="U376" s="29">
        <f>MAX(SumAssured-S376,0)</f>
        <v/>
      </c>
      <c r="V376" s="35">
        <f>CoiMultiple*G376</f>
        <v/>
      </c>
      <c r="W376" s="34">
        <f>V376*U376</f>
        <v/>
      </c>
      <c r="X376" s="34">
        <f>S376-T376-W376</f>
        <v/>
      </c>
      <c r="Y376" s="36">
        <f>EXP((Mu-0.5*Sigma^2)/12+Sigma*SQRT(1/12)*INDEX(NormRand,ScenID,A376+1))-1</f>
        <v/>
      </c>
      <c r="Z376" s="34">
        <f>Y376*X376</f>
        <v/>
      </c>
      <c r="AA376" s="34">
        <f>X376+0.5*Z376</f>
        <v/>
      </c>
      <c r="AB376" s="34">
        <f>Q376*J376</f>
        <v/>
      </c>
      <c r="AC376" s="34">
        <f>Q376*L376</f>
        <v/>
      </c>
      <c r="AD376" s="34">
        <f>S376*N376</f>
        <v/>
      </c>
      <c r="AE376" s="34">
        <f>E376*N376</f>
        <v/>
      </c>
      <c r="AF376" s="34">
        <f>R376*N376</f>
        <v/>
      </c>
      <c r="AG376" s="29">
        <f>MAX(SumAssured,AA376)</f>
        <v/>
      </c>
      <c r="AH376" s="34">
        <f>AG376*O376</f>
        <v/>
      </c>
      <c r="AI376" s="34">
        <f>AA376*O376</f>
        <v/>
      </c>
      <c r="AJ376" s="34">
        <f>AA376*P376</f>
        <v/>
      </c>
      <c r="AK376" s="34">
        <f>I376*AA376*P376</f>
        <v/>
      </c>
      <c r="AL376" s="34">
        <f>AJ376-AK376</f>
        <v/>
      </c>
      <c r="AM376" s="34">
        <f>Q376*K376</f>
        <v/>
      </c>
      <c r="AN376" s="34">
        <f>AH376+AL376+AM376</f>
        <v/>
      </c>
      <c r="AO376" s="34">
        <f>(AG376-AA376)*O376</f>
        <v/>
      </c>
      <c r="AP376" s="34">
        <f>W376*N376</f>
        <v/>
      </c>
      <c r="AQ376" s="34">
        <f>T376*N376</f>
        <v/>
      </c>
      <c r="AR376" s="34">
        <f>Z376*J377+0.5*Z376*(O376+P376)</f>
        <v/>
      </c>
      <c r="AS376" s="30">
        <f>(1+InflationRate)^(A376/12)</f>
        <v/>
      </c>
      <c r="AT376" s="29">
        <f>ExpenseAcq*M376+N376*ExpenseMaint/12*AS376</f>
        <v/>
      </c>
      <c r="AU376" s="29">
        <f>CommissionRate*AE376</f>
        <v/>
      </c>
      <c r="AV376" s="34">
        <f>AB377-AB376</f>
        <v/>
      </c>
      <c r="AW376" s="34">
        <f>AE376+AR376-AN376-AT376-AU376-AV376</f>
        <v/>
      </c>
      <c r="AX376" s="29">
        <f>LoadPremRate*E376*N376+AK376+AQ376-AU376-AT376</f>
        <v/>
      </c>
      <c r="AY376" s="34">
        <f>AP376-AO376</f>
        <v/>
      </c>
      <c r="AZ376" s="37">
        <f>(AW376-AX376-AY376)/MAX(1,ABS(AW376),ABS(AX376),ABS(AY376))</f>
        <v/>
      </c>
      <c r="BA376" s="37">
        <f>IF(OR(K376&gt;0,K377&gt;0),0,(AC377-(AC376+AF376-AQ376-AP376+AR376-AI376-AJ376-AM376))/MAX(1,ABS(AC376),ABS(AC377)))</f>
        <v/>
      </c>
      <c r="BB376" s="35">
        <f>(1+INDEX(DiscRateAnn,INT(A376/12)+1))^(1/12)-1</f>
        <v/>
      </c>
      <c r="BC376" s="31">
        <f>(1+BB376)^-A376</f>
        <v/>
      </c>
      <c r="BD376" s="34">
        <f>AW376*BC376</f>
        <v/>
      </c>
    </row>
    <row r="377">
      <c r="A377" s="27">
        <f>A376+1</f>
        <v/>
      </c>
      <c r="B377" s="28">
        <f>Duration0+A377</f>
        <v/>
      </c>
      <c r="C377" s="27">
        <f>INT(B377/12)</f>
        <v/>
      </c>
      <c r="D377" s="28">
        <f>AgeAtEntry+C377</f>
        <v/>
      </c>
      <c r="E377" s="29">
        <f>IF(PremiumType="SINGLE",IF(B377=0,PremiumPPInput,0),IF(B377&lt;12*PolicyTerm,PremiumPPInput,0))</f>
        <v/>
      </c>
      <c r="F377" s="30">
        <f>INDEX(MortRates,MATCH(MIN(D377,120),MortAges,0),MAX(MIN(C377,5),0)+1)</f>
        <v/>
      </c>
      <c r="G377" s="31">
        <f>1-(1-F377)^(1/12)</f>
        <v/>
      </c>
      <c r="H377" s="32">
        <f>MAX(LapseBase-LapseStep*C377,LapseFloor)</f>
        <v/>
      </c>
      <c r="I377" s="32">
        <f>IF(HasSurrCharge,INDEX(SurrRates,MIN(C377,SurrDurMax)+1,MATCH(SurrChargeID,SurrTypes,0)),0)</f>
        <v/>
      </c>
      <c r="J377" s="33">
        <f>N376-P376-O376</f>
        <v/>
      </c>
      <c r="K377" s="30">
        <f>IF(B377=12*PolicyTerm,J377,0)</f>
        <v/>
      </c>
      <c r="L377" s="33">
        <f>J377-K377</f>
        <v/>
      </c>
      <c r="M377" s="30">
        <f>IF(B377=0,PolicyCount,0)</f>
        <v/>
      </c>
      <c r="N377" s="33">
        <f>L377+M377</f>
        <v/>
      </c>
      <c r="O377" s="31">
        <f>N377*G377</f>
        <v/>
      </c>
      <c r="P377" s="33">
        <f>(N377-O377)*(1-(1-H377)^(1/12))</f>
        <v/>
      </c>
      <c r="Q377" s="34">
        <f>X376+Z376</f>
        <v/>
      </c>
      <c r="R377" s="29">
        <f>(1-LoadPremRate)*E377</f>
        <v/>
      </c>
      <c r="S377" s="34">
        <f>Q377+R377</f>
        <v/>
      </c>
      <c r="T377" s="29">
        <f>MaintFeeRateAnn/12*S377</f>
        <v/>
      </c>
      <c r="U377" s="29">
        <f>MAX(SumAssured-S377,0)</f>
        <v/>
      </c>
      <c r="V377" s="35">
        <f>CoiMultiple*G377</f>
        <v/>
      </c>
      <c r="W377" s="34">
        <f>V377*U377</f>
        <v/>
      </c>
      <c r="X377" s="34">
        <f>S377-T377-W377</f>
        <v/>
      </c>
      <c r="Y377" s="36">
        <f>EXP((Mu-0.5*Sigma^2)/12+Sigma*SQRT(1/12)*INDEX(NormRand,ScenID,A377+1))-1</f>
        <v/>
      </c>
      <c r="Z377" s="34">
        <f>Y377*X377</f>
        <v/>
      </c>
      <c r="AA377" s="34">
        <f>X377+0.5*Z377</f>
        <v/>
      </c>
      <c r="AB377" s="34">
        <f>Q377*J377</f>
        <v/>
      </c>
      <c r="AC377" s="34">
        <f>Q377*L377</f>
        <v/>
      </c>
      <c r="AD377" s="34">
        <f>S377*N377</f>
        <v/>
      </c>
      <c r="AE377" s="34">
        <f>E377*N377</f>
        <v/>
      </c>
      <c r="AF377" s="34">
        <f>R377*N377</f>
        <v/>
      </c>
      <c r="AG377" s="29">
        <f>MAX(SumAssured,AA377)</f>
        <v/>
      </c>
      <c r="AH377" s="34">
        <f>AG377*O377</f>
        <v/>
      </c>
      <c r="AI377" s="34">
        <f>AA377*O377</f>
        <v/>
      </c>
      <c r="AJ377" s="34">
        <f>AA377*P377</f>
        <v/>
      </c>
      <c r="AK377" s="34">
        <f>I377*AA377*P377</f>
        <v/>
      </c>
      <c r="AL377" s="34">
        <f>AJ377-AK377</f>
        <v/>
      </c>
      <c r="AM377" s="34">
        <f>Q377*K377</f>
        <v/>
      </c>
      <c r="AN377" s="34">
        <f>AH377+AL377+AM377</f>
        <v/>
      </c>
      <c r="AO377" s="34">
        <f>(AG377-AA377)*O377</f>
        <v/>
      </c>
      <c r="AP377" s="34">
        <f>W377*N377</f>
        <v/>
      </c>
      <c r="AQ377" s="34">
        <f>T377*N377</f>
        <v/>
      </c>
      <c r="AR377" s="34">
        <f>Z377*J378+0.5*Z377*(O377+P377)</f>
        <v/>
      </c>
      <c r="AS377" s="30">
        <f>(1+InflationRate)^(A377/12)</f>
        <v/>
      </c>
      <c r="AT377" s="29">
        <f>ExpenseAcq*M377+N377*ExpenseMaint/12*AS377</f>
        <v/>
      </c>
      <c r="AU377" s="29">
        <f>CommissionRate*AE377</f>
        <v/>
      </c>
      <c r="AV377" s="34">
        <f>AB378-AB377</f>
        <v/>
      </c>
      <c r="AW377" s="34">
        <f>AE377+AR377-AN377-AT377-AU377-AV377</f>
        <v/>
      </c>
      <c r="AX377" s="29">
        <f>LoadPremRate*E377*N377+AK377+AQ377-AU377-AT377</f>
        <v/>
      </c>
      <c r="AY377" s="34">
        <f>AP377-AO377</f>
        <v/>
      </c>
      <c r="AZ377" s="37">
        <f>(AW377-AX377-AY377)/MAX(1,ABS(AW377),ABS(AX377),ABS(AY377))</f>
        <v/>
      </c>
      <c r="BA377" s="37">
        <f>IF(OR(K377&gt;0,K378&gt;0),0,(AC378-(AC377+AF377-AQ377-AP377+AR377-AI377-AJ377-AM377))/MAX(1,ABS(AC377),ABS(AC378)))</f>
        <v/>
      </c>
      <c r="BB377" s="35">
        <f>(1+INDEX(DiscRateAnn,INT(A377/12)+1))^(1/12)-1</f>
        <v/>
      </c>
      <c r="BC377" s="31">
        <f>(1+BB377)^-A377</f>
        <v/>
      </c>
      <c r="BD377" s="34">
        <f>AW377*BC377</f>
        <v/>
      </c>
    </row>
    <row r="378">
      <c r="A378" s="27">
        <f>A377+1</f>
        <v/>
      </c>
      <c r="B378" s="28">
        <f>Duration0+A378</f>
        <v/>
      </c>
      <c r="C378" s="27">
        <f>INT(B378/12)</f>
        <v/>
      </c>
      <c r="D378" s="28">
        <f>AgeAtEntry+C378</f>
        <v/>
      </c>
      <c r="E378" s="29">
        <f>IF(PremiumType="SINGLE",IF(B378=0,PremiumPPInput,0),IF(B378&lt;12*PolicyTerm,PremiumPPInput,0))</f>
        <v/>
      </c>
      <c r="F378" s="30">
        <f>INDEX(MortRates,MATCH(MIN(D378,120),MortAges,0),MAX(MIN(C378,5),0)+1)</f>
        <v/>
      </c>
      <c r="G378" s="31">
        <f>1-(1-F378)^(1/12)</f>
        <v/>
      </c>
      <c r="H378" s="32">
        <f>MAX(LapseBase-LapseStep*C378,LapseFloor)</f>
        <v/>
      </c>
      <c r="I378" s="32">
        <f>IF(HasSurrCharge,INDEX(SurrRates,MIN(C378,SurrDurMax)+1,MATCH(SurrChargeID,SurrTypes,0)),0)</f>
        <v/>
      </c>
      <c r="J378" s="33">
        <f>N377-P377-O377</f>
        <v/>
      </c>
      <c r="K378" s="30">
        <f>IF(B378=12*PolicyTerm,J378,0)</f>
        <v/>
      </c>
      <c r="L378" s="33">
        <f>J378-K378</f>
        <v/>
      </c>
      <c r="M378" s="30">
        <f>IF(B378=0,PolicyCount,0)</f>
        <v/>
      </c>
      <c r="N378" s="33">
        <f>L378+M378</f>
        <v/>
      </c>
      <c r="O378" s="31">
        <f>N378*G378</f>
        <v/>
      </c>
      <c r="P378" s="33">
        <f>(N378-O378)*(1-(1-H378)^(1/12))</f>
        <v/>
      </c>
      <c r="Q378" s="34">
        <f>X377+Z377</f>
        <v/>
      </c>
      <c r="R378" s="29">
        <f>(1-LoadPremRate)*E378</f>
        <v/>
      </c>
      <c r="S378" s="34">
        <f>Q378+R378</f>
        <v/>
      </c>
      <c r="T378" s="29">
        <f>MaintFeeRateAnn/12*S378</f>
        <v/>
      </c>
      <c r="U378" s="29">
        <f>MAX(SumAssured-S378,0)</f>
        <v/>
      </c>
      <c r="V378" s="35">
        <f>CoiMultiple*G378</f>
        <v/>
      </c>
      <c r="W378" s="34">
        <f>V378*U378</f>
        <v/>
      </c>
      <c r="X378" s="34">
        <f>S378-T378-W378</f>
        <v/>
      </c>
      <c r="Y378" s="36">
        <f>EXP((Mu-0.5*Sigma^2)/12+Sigma*SQRT(1/12)*INDEX(NormRand,ScenID,A378+1))-1</f>
        <v/>
      </c>
      <c r="Z378" s="34">
        <f>Y378*X378</f>
        <v/>
      </c>
      <c r="AA378" s="34">
        <f>X378+0.5*Z378</f>
        <v/>
      </c>
      <c r="AB378" s="34">
        <f>Q378*J378</f>
        <v/>
      </c>
      <c r="AC378" s="34">
        <f>Q378*L378</f>
        <v/>
      </c>
      <c r="AD378" s="34">
        <f>S378*N378</f>
        <v/>
      </c>
      <c r="AE378" s="34">
        <f>E378*N378</f>
        <v/>
      </c>
      <c r="AF378" s="34">
        <f>R378*N378</f>
        <v/>
      </c>
      <c r="AG378" s="29">
        <f>MAX(SumAssured,AA378)</f>
        <v/>
      </c>
      <c r="AH378" s="34">
        <f>AG378*O378</f>
        <v/>
      </c>
      <c r="AI378" s="34">
        <f>AA378*O378</f>
        <v/>
      </c>
      <c r="AJ378" s="34">
        <f>AA378*P378</f>
        <v/>
      </c>
      <c r="AK378" s="34">
        <f>I378*AA378*P378</f>
        <v/>
      </c>
      <c r="AL378" s="34">
        <f>AJ378-AK378</f>
        <v/>
      </c>
      <c r="AM378" s="34">
        <f>Q378*K378</f>
        <v/>
      </c>
      <c r="AN378" s="34">
        <f>AH378+AL378+AM378</f>
        <v/>
      </c>
      <c r="AO378" s="34">
        <f>(AG378-AA378)*O378</f>
        <v/>
      </c>
      <c r="AP378" s="34">
        <f>W378*N378</f>
        <v/>
      </c>
      <c r="AQ378" s="34">
        <f>T378*N378</f>
        <v/>
      </c>
      <c r="AR378" s="34">
        <f>Z378*J379+0.5*Z378*(O378+P378)</f>
        <v/>
      </c>
      <c r="AS378" s="30">
        <f>(1+InflationRate)^(A378/12)</f>
        <v/>
      </c>
      <c r="AT378" s="29">
        <f>ExpenseAcq*M378+N378*ExpenseMaint/12*AS378</f>
        <v/>
      </c>
      <c r="AU378" s="29">
        <f>CommissionRate*AE378</f>
        <v/>
      </c>
      <c r="AV378" s="34">
        <f>AB379-AB378</f>
        <v/>
      </c>
      <c r="AW378" s="34">
        <f>AE378+AR378-AN378-AT378-AU378-AV378</f>
        <v/>
      </c>
      <c r="AX378" s="29">
        <f>LoadPremRate*E378*N378+AK378+AQ378-AU378-AT378</f>
        <v/>
      </c>
      <c r="AY378" s="34">
        <f>AP378-AO378</f>
        <v/>
      </c>
      <c r="AZ378" s="37">
        <f>(AW378-AX378-AY378)/MAX(1,ABS(AW378),ABS(AX378),ABS(AY378))</f>
        <v/>
      </c>
      <c r="BA378" s="37">
        <f>IF(OR(K378&gt;0,K379&gt;0),0,(AC379-(AC378+AF378-AQ378-AP378+AR378-AI378-AJ378-AM378))/MAX(1,ABS(AC378),ABS(AC379)))</f>
        <v/>
      </c>
      <c r="BB378" s="35">
        <f>(1+INDEX(DiscRateAnn,INT(A378/12)+1))^(1/12)-1</f>
        <v/>
      </c>
      <c r="BC378" s="31">
        <f>(1+BB378)^-A378</f>
        <v/>
      </c>
      <c r="BD378" s="34">
        <f>AW378*BC378</f>
        <v/>
      </c>
    </row>
    <row r="379">
      <c r="A379" s="27">
        <f>A378+1</f>
        <v/>
      </c>
      <c r="B379" s="28">
        <f>Duration0+A379</f>
        <v/>
      </c>
      <c r="C379" s="27">
        <f>INT(B379/12)</f>
        <v/>
      </c>
      <c r="D379" s="28">
        <f>AgeAtEntry+C379</f>
        <v/>
      </c>
      <c r="E379" s="29">
        <f>IF(PremiumType="SINGLE",IF(B379=0,PremiumPPInput,0),IF(B379&lt;12*PolicyTerm,PremiumPPInput,0))</f>
        <v/>
      </c>
      <c r="F379" s="30">
        <f>INDEX(MortRates,MATCH(MIN(D379,120),MortAges,0),MAX(MIN(C379,5),0)+1)</f>
        <v/>
      </c>
      <c r="G379" s="31">
        <f>1-(1-F379)^(1/12)</f>
        <v/>
      </c>
      <c r="H379" s="32">
        <f>MAX(LapseBase-LapseStep*C379,LapseFloor)</f>
        <v/>
      </c>
      <c r="I379" s="32">
        <f>IF(HasSurrCharge,INDEX(SurrRates,MIN(C379,SurrDurMax)+1,MATCH(SurrChargeID,SurrTypes,0)),0)</f>
        <v/>
      </c>
      <c r="J379" s="33">
        <f>N378-P378-O378</f>
        <v/>
      </c>
      <c r="K379" s="30">
        <f>IF(B379=12*PolicyTerm,J379,0)</f>
        <v/>
      </c>
      <c r="L379" s="33">
        <f>J379-K379</f>
        <v/>
      </c>
      <c r="M379" s="30">
        <f>IF(B379=0,PolicyCount,0)</f>
        <v/>
      </c>
      <c r="N379" s="33">
        <f>L379+M379</f>
        <v/>
      </c>
      <c r="O379" s="31">
        <f>N379*G379</f>
        <v/>
      </c>
      <c r="P379" s="33">
        <f>(N379-O379)*(1-(1-H379)^(1/12))</f>
        <v/>
      </c>
      <c r="Q379" s="34">
        <f>X378+Z378</f>
        <v/>
      </c>
      <c r="R379" s="29">
        <f>(1-LoadPremRate)*E379</f>
        <v/>
      </c>
      <c r="S379" s="34">
        <f>Q379+R379</f>
        <v/>
      </c>
      <c r="T379" s="29">
        <f>MaintFeeRateAnn/12*S379</f>
        <v/>
      </c>
      <c r="U379" s="29">
        <f>MAX(SumAssured-S379,0)</f>
        <v/>
      </c>
      <c r="V379" s="35">
        <f>CoiMultiple*G379</f>
        <v/>
      </c>
      <c r="W379" s="34">
        <f>V379*U379</f>
        <v/>
      </c>
      <c r="X379" s="34">
        <f>S379-T379-W379</f>
        <v/>
      </c>
      <c r="Y379" s="36">
        <f>EXP((Mu-0.5*Sigma^2)/12+Sigma*SQRT(1/12)*INDEX(NormRand,ScenID,A379+1))-1</f>
        <v/>
      </c>
      <c r="Z379" s="34">
        <f>Y379*X379</f>
        <v/>
      </c>
      <c r="AA379" s="34">
        <f>X379+0.5*Z379</f>
        <v/>
      </c>
      <c r="AB379" s="34">
        <f>Q379*J379</f>
        <v/>
      </c>
      <c r="AC379" s="34">
        <f>Q379*L379</f>
        <v/>
      </c>
      <c r="AD379" s="34">
        <f>S379*N379</f>
        <v/>
      </c>
      <c r="AE379" s="34">
        <f>E379*N379</f>
        <v/>
      </c>
      <c r="AF379" s="34">
        <f>R379*N379</f>
        <v/>
      </c>
      <c r="AG379" s="29">
        <f>MAX(SumAssured,AA379)</f>
        <v/>
      </c>
      <c r="AH379" s="34">
        <f>AG379*O379</f>
        <v/>
      </c>
      <c r="AI379" s="34">
        <f>AA379*O379</f>
        <v/>
      </c>
      <c r="AJ379" s="34">
        <f>AA379*P379</f>
        <v/>
      </c>
      <c r="AK379" s="34">
        <f>I379*AA379*P379</f>
        <v/>
      </c>
      <c r="AL379" s="34">
        <f>AJ379-AK379</f>
        <v/>
      </c>
      <c r="AM379" s="34">
        <f>Q379*K379</f>
        <v/>
      </c>
      <c r="AN379" s="34">
        <f>AH379+AL379+AM379</f>
        <v/>
      </c>
      <c r="AO379" s="34">
        <f>(AG379-AA379)*O379</f>
        <v/>
      </c>
      <c r="AP379" s="34">
        <f>W379*N379</f>
        <v/>
      </c>
      <c r="AQ379" s="34">
        <f>T379*N379</f>
        <v/>
      </c>
      <c r="AR379" s="34">
        <f>Z379*J380+0.5*Z379*(O379+P379)</f>
        <v/>
      </c>
      <c r="AS379" s="30">
        <f>(1+InflationRate)^(A379/12)</f>
        <v/>
      </c>
      <c r="AT379" s="29">
        <f>ExpenseAcq*M379+N379*ExpenseMaint/12*AS379</f>
        <v/>
      </c>
      <c r="AU379" s="29">
        <f>CommissionRate*AE379</f>
        <v/>
      </c>
      <c r="AV379" s="34">
        <f>AB380-AB379</f>
        <v/>
      </c>
      <c r="AW379" s="34">
        <f>AE379+AR379-AN379-AT379-AU379-AV379</f>
        <v/>
      </c>
      <c r="AX379" s="29">
        <f>LoadPremRate*E379*N379+AK379+AQ379-AU379-AT379</f>
        <v/>
      </c>
      <c r="AY379" s="34">
        <f>AP379-AO379</f>
        <v/>
      </c>
      <c r="AZ379" s="37">
        <f>(AW379-AX379-AY379)/MAX(1,ABS(AW379),ABS(AX379),ABS(AY379))</f>
        <v/>
      </c>
      <c r="BA379" s="37">
        <f>IF(OR(K379&gt;0,K380&gt;0),0,(AC380-(AC379+AF379-AQ379-AP379+AR379-AI379-AJ379-AM379))/MAX(1,ABS(AC379),ABS(AC380)))</f>
        <v/>
      </c>
      <c r="BB379" s="35">
        <f>(1+INDEX(DiscRateAnn,INT(A379/12)+1))^(1/12)-1</f>
        <v/>
      </c>
      <c r="BC379" s="31">
        <f>(1+BB379)^-A379</f>
        <v/>
      </c>
      <c r="BD379" s="34">
        <f>AW379*BC379</f>
        <v/>
      </c>
    </row>
    <row r="380">
      <c r="A380" s="27">
        <f>A379+1</f>
        <v/>
      </c>
      <c r="B380" s="28">
        <f>Duration0+A380</f>
        <v/>
      </c>
      <c r="C380" s="27">
        <f>INT(B380/12)</f>
        <v/>
      </c>
      <c r="D380" s="28">
        <f>AgeAtEntry+C380</f>
        <v/>
      </c>
      <c r="E380" s="29">
        <f>IF(PremiumType="SINGLE",IF(B380=0,PremiumPPInput,0),IF(B380&lt;12*PolicyTerm,PremiumPPInput,0))</f>
        <v/>
      </c>
      <c r="F380" s="30">
        <f>INDEX(MortRates,MATCH(MIN(D380,120),MortAges,0),MAX(MIN(C380,5),0)+1)</f>
        <v/>
      </c>
      <c r="G380" s="31">
        <f>1-(1-F380)^(1/12)</f>
        <v/>
      </c>
      <c r="H380" s="32">
        <f>MAX(LapseBase-LapseStep*C380,LapseFloor)</f>
        <v/>
      </c>
      <c r="I380" s="32">
        <f>IF(HasSurrCharge,INDEX(SurrRates,MIN(C380,SurrDurMax)+1,MATCH(SurrChargeID,SurrTypes,0)),0)</f>
        <v/>
      </c>
      <c r="J380" s="33">
        <f>N379-P379-O379</f>
        <v/>
      </c>
      <c r="K380" s="30">
        <f>IF(B380=12*PolicyTerm,J380,0)</f>
        <v/>
      </c>
      <c r="L380" s="33">
        <f>J380-K380</f>
        <v/>
      </c>
      <c r="M380" s="30">
        <f>IF(B380=0,PolicyCount,0)</f>
        <v/>
      </c>
      <c r="N380" s="33">
        <f>L380+M380</f>
        <v/>
      </c>
      <c r="O380" s="31">
        <f>N380*G380</f>
        <v/>
      </c>
      <c r="P380" s="33">
        <f>(N380-O380)*(1-(1-H380)^(1/12))</f>
        <v/>
      </c>
      <c r="Q380" s="34">
        <f>X379+Z379</f>
        <v/>
      </c>
      <c r="R380" s="29">
        <f>(1-LoadPremRate)*E380</f>
        <v/>
      </c>
      <c r="S380" s="34">
        <f>Q380+R380</f>
        <v/>
      </c>
      <c r="T380" s="29">
        <f>MaintFeeRateAnn/12*S380</f>
        <v/>
      </c>
      <c r="U380" s="29">
        <f>MAX(SumAssured-S380,0)</f>
        <v/>
      </c>
      <c r="V380" s="35">
        <f>CoiMultiple*G380</f>
        <v/>
      </c>
      <c r="W380" s="34">
        <f>V380*U380</f>
        <v/>
      </c>
      <c r="X380" s="34">
        <f>S380-T380-W380</f>
        <v/>
      </c>
      <c r="Y380" s="36">
        <f>EXP((Mu-0.5*Sigma^2)/12+Sigma*SQRT(1/12)*INDEX(NormRand,ScenID,A380+1))-1</f>
        <v/>
      </c>
      <c r="Z380" s="34">
        <f>Y380*X380</f>
        <v/>
      </c>
      <c r="AA380" s="34">
        <f>X380+0.5*Z380</f>
        <v/>
      </c>
      <c r="AB380" s="34">
        <f>Q380*J380</f>
        <v/>
      </c>
      <c r="AC380" s="34">
        <f>Q380*L380</f>
        <v/>
      </c>
      <c r="AD380" s="34">
        <f>S380*N380</f>
        <v/>
      </c>
      <c r="AE380" s="34">
        <f>E380*N380</f>
        <v/>
      </c>
      <c r="AF380" s="34">
        <f>R380*N380</f>
        <v/>
      </c>
      <c r="AG380" s="29">
        <f>MAX(SumAssured,AA380)</f>
        <v/>
      </c>
      <c r="AH380" s="34">
        <f>AG380*O380</f>
        <v/>
      </c>
      <c r="AI380" s="34">
        <f>AA380*O380</f>
        <v/>
      </c>
      <c r="AJ380" s="34">
        <f>AA380*P380</f>
        <v/>
      </c>
      <c r="AK380" s="34">
        <f>I380*AA380*P380</f>
        <v/>
      </c>
      <c r="AL380" s="34">
        <f>AJ380-AK380</f>
        <v/>
      </c>
      <c r="AM380" s="34">
        <f>Q380*K380</f>
        <v/>
      </c>
      <c r="AN380" s="34">
        <f>AH380+AL380+AM380</f>
        <v/>
      </c>
      <c r="AO380" s="34">
        <f>(AG380-AA380)*O380</f>
        <v/>
      </c>
      <c r="AP380" s="34">
        <f>W380*N380</f>
        <v/>
      </c>
      <c r="AQ380" s="34">
        <f>T380*N380</f>
        <v/>
      </c>
      <c r="AR380" s="34">
        <f>Z380*J381+0.5*Z380*(O380+P380)</f>
        <v/>
      </c>
      <c r="AS380" s="30">
        <f>(1+InflationRate)^(A380/12)</f>
        <v/>
      </c>
      <c r="AT380" s="29">
        <f>ExpenseAcq*M380+N380*ExpenseMaint/12*AS380</f>
        <v/>
      </c>
      <c r="AU380" s="29">
        <f>CommissionRate*AE380</f>
        <v/>
      </c>
      <c r="AV380" s="34">
        <f>AB381-AB380</f>
        <v/>
      </c>
      <c r="AW380" s="34">
        <f>AE380+AR380-AN380-AT380-AU380-AV380</f>
        <v/>
      </c>
      <c r="AX380" s="29">
        <f>LoadPremRate*E380*N380+AK380+AQ380-AU380-AT380</f>
        <v/>
      </c>
      <c r="AY380" s="34">
        <f>AP380-AO380</f>
        <v/>
      </c>
      <c r="AZ380" s="37">
        <f>(AW380-AX380-AY380)/MAX(1,ABS(AW380),ABS(AX380),ABS(AY380))</f>
        <v/>
      </c>
      <c r="BA380" s="37">
        <f>IF(OR(K380&gt;0,K381&gt;0),0,(AC381-(AC380+AF380-AQ380-AP380+AR380-AI380-AJ380-AM380))/MAX(1,ABS(AC380),ABS(AC381)))</f>
        <v/>
      </c>
      <c r="BB380" s="35">
        <f>(1+INDEX(DiscRateAnn,INT(A380/12)+1))^(1/12)-1</f>
        <v/>
      </c>
      <c r="BC380" s="31">
        <f>(1+BB380)^-A380</f>
        <v/>
      </c>
      <c r="BD380" s="34">
        <f>AW380*BC380</f>
        <v/>
      </c>
    </row>
    <row r="381">
      <c r="A381" s="27">
        <f>A380+1</f>
        <v/>
      </c>
      <c r="B381" s="28">
        <f>Duration0+A381</f>
        <v/>
      </c>
      <c r="C381" s="27">
        <f>INT(B381/12)</f>
        <v/>
      </c>
      <c r="D381" s="28">
        <f>AgeAtEntry+C381</f>
        <v/>
      </c>
      <c r="E381" s="29">
        <f>IF(PremiumType="SINGLE",IF(B381=0,PremiumPPInput,0),IF(B381&lt;12*PolicyTerm,PremiumPPInput,0))</f>
        <v/>
      </c>
      <c r="F381" s="30">
        <f>INDEX(MortRates,MATCH(MIN(D381,120),MortAges,0),MAX(MIN(C381,5),0)+1)</f>
        <v/>
      </c>
      <c r="G381" s="31">
        <f>1-(1-F381)^(1/12)</f>
        <v/>
      </c>
      <c r="H381" s="32">
        <f>MAX(LapseBase-LapseStep*C381,LapseFloor)</f>
        <v/>
      </c>
      <c r="I381" s="32">
        <f>IF(HasSurrCharge,INDEX(SurrRates,MIN(C381,SurrDurMax)+1,MATCH(SurrChargeID,SurrTypes,0)),0)</f>
        <v/>
      </c>
      <c r="J381" s="33">
        <f>N380-P380-O380</f>
        <v/>
      </c>
      <c r="K381" s="30">
        <f>IF(B381=12*PolicyTerm,J381,0)</f>
        <v/>
      </c>
      <c r="L381" s="33">
        <f>J381-K381</f>
        <v/>
      </c>
      <c r="M381" s="30">
        <f>IF(B381=0,PolicyCount,0)</f>
        <v/>
      </c>
      <c r="N381" s="33">
        <f>L381+M381</f>
        <v/>
      </c>
      <c r="O381" s="31">
        <f>N381*G381</f>
        <v/>
      </c>
      <c r="P381" s="33">
        <f>(N381-O381)*(1-(1-H381)^(1/12))</f>
        <v/>
      </c>
      <c r="Q381" s="34">
        <f>X380+Z380</f>
        <v/>
      </c>
      <c r="R381" s="29">
        <f>(1-LoadPremRate)*E381</f>
        <v/>
      </c>
      <c r="S381" s="34">
        <f>Q381+R381</f>
        <v/>
      </c>
      <c r="T381" s="29">
        <f>MaintFeeRateAnn/12*S381</f>
        <v/>
      </c>
      <c r="U381" s="29">
        <f>MAX(SumAssured-S381,0)</f>
        <v/>
      </c>
      <c r="V381" s="35">
        <f>CoiMultiple*G381</f>
        <v/>
      </c>
      <c r="W381" s="34">
        <f>V381*U381</f>
        <v/>
      </c>
      <c r="X381" s="34">
        <f>S381-T381-W381</f>
        <v/>
      </c>
      <c r="Y381" s="36">
        <f>EXP((Mu-0.5*Sigma^2)/12+Sigma*SQRT(1/12)*INDEX(NormRand,ScenID,A381+1))-1</f>
        <v/>
      </c>
      <c r="Z381" s="34">
        <f>Y381*X381</f>
        <v/>
      </c>
      <c r="AA381" s="34">
        <f>X381+0.5*Z381</f>
        <v/>
      </c>
      <c r="AB381" s="34">
        <f>Q381*J381</f>
        <v/>
      </c>
      <c r="AC381" s="34">
        <f>Q381*L381</f>
        <v/>
      </c>
      <c r="AD381" s="34">
        <f>S381*N381</f>
        <v/>
      </c>
      <c r="AE381" s="34">
        <f>E381*N381</f>
        <v/>
      </c>
      <c r="AF381" s="34">
        <f>R381*N381</f>
        <v/>
      </c>
      <c r="AG381" s="29">
        <f>MAX(SumAssured,AA381)</f>
        <v/>
      </c>
      <c r="AH381" s="34">
        <f>AG381*O381</f>
        <v/>
      </c>
      <c r="AI381" s="34">
        <f>AA381*O381</f>
        <v/>
      </c>
      <c r="AJ381" s="34">
        <f>AA381*P381</f>
        <v/>
      </c>
      <c r="AK381" s="34">
        <f>I381*AA381*P381</f>
        <v/>
      </c>
      <c r="AL381" s="34">
        <f>AJ381-AK381</f>
        <v/>
      </c>
      <c r="AM381" s="34">
        <f>Q381*K381</f>
        <v/>
      </c>
      <c r="AN381" s="34">
        <f>AH381+AL381+AM381</f>
        <v/>
      </c>
      <c r="AO381" s="34">
        <f>(AG381-AA381)*O381</f>
        <v/>
      </c>
      <c r="AP381" s="34">
        <f>W381*N381</f>
        <v/>
      </c>
      <c r="AQ381" s="34">
        <f>T381*N381</f>
        <v/>
      </c>
      <c r="AR381" s="34">
        <f>Z381*J382+0.5*Z381*(O381+P381)</f>
        <v/>
      </c>
      <c r="AS381" s="30">
        <f>(1+InflationRate)^(A381/12)</f>
        <v/>
      </c>
      <c r="AT381" s="29">
        <f>ExpenseAcq*M381+N381*ExpenseMaint/12*AS381</f>
        <v/>
      </c>
      <c r="AU381" s="29">
        <f>CommissionRate*AE381</f>
        <v/>
      </c>
      <c r="AV381" s="34">
        <f>AB382-AB381</f>
        <v/>
      </c>
      <c r="AW381" s="34">
        <f>AE381+AR381-AN381-AT381-AU381-AV381</f>
        <v/>
      </c>
      <c r="AX381" s="29">
        <f>LoadPremRate*E381*N381+AK381+AQ381-AU381-AT381</f>
        <v/>
      </c>
      <c r="AY381" s="34">
        <f>AP381-AO381</f>
        <v/>
      </c>
      <c r="AZ381" s="37">
        <f>(AW381-AX381-AY381)/MAX(1,ABS(AW381),ABS(AX381),ABS(AY381))</f>
        <v/>
      </c>
      <c r="BA381" s="37">
        <f>IF(OR(K381&gt;0,K382&gt;0),0,(AC382-(AC381+AF381-AQ381-AP381+AR381-AI381-AJ381-AM381))/MAX(1,ABS(AC381),ABS(AC382)))</f>
        <v/>
      </c>
      <c r="BB381" s="35">
        <f>(1+INDEX(DiscRateAnn,INT(A381/12)+1))^(1/12)-1</f>
        <v/>
      </c>
      <c r="BC381" s="31">
        <f>(1+BB381)^-A381</f>
        <v/>
      </c>
      <c r="BD381" s="34">
        <f>AW381*BC381</f>
        <v/>
      </c>
    </row>
    <row r="382">
      <c r="A382" s="27">
        <f>A381+1</f>
        <v/>
      </c>
      <c r="B382" s="28">
        <f>Duration0+A382</f>
        <v/>
      </c>
      <c r="C382" s="27">
        <f>INT(B382/12)</f>
        <v/>
      </c>
      <c r="D382" s="28">
        <f>AgeAtEntry+C382</f>
        <v/>
      </c>
      <c r="E382" s="29">
        <f>IF(PremiumType="SINGLE",IF(B382=0,PremiumPPInput,0),IF(B382&lt;12*PolicyTerm,PremiumPPInput,0))</f>
        <v/>
      </c>
      <c r="F382" s="30">
        <f>INDEX(MortRates,MATCH(MIN(D382,120),MortAges,0),MAX(MIN(C382,5),0)+1)</f>
        <v/>
      </c>
      <c r="G382" s="31">
        <f>1-(1-F382)^(1/12)</f>
        <v/>
      </c>
      <c r="H382" s="32">
        <f>MAX(LapseBase-LapseStep*C382,LapseFloor)</f>
        <v/>
      </c>
      <c r="I382" s="32">
        <f>IF(HasSurrCharge,INDEX(SurrRates,MIN(C382,SurrDurMax)+1,MATCH(SurrChargeID,SurrTypes,0)),0)</f>
        <v/>
      </c>
      <c r="J382" s="33">
        <f>N381-P381-O381</f>
        <v/>
      </c>
      <c r="K382" s="30">
        <f>IF(B382=12*PolicyTerm,J382,0)</f>
        <v/>
      </c>
      <c r="L382" s="33">
        <f>J382-K382</f>
        <v/>
      </c>
      <c r="M382" s="30">
        <f>IF(B382=0,PolicyCount,0)</f>
        <v/>
      </c>
      <c r="N382" s="33">
        <f>L382+M382</f>
        <v/>
      </c>
      <c r="O382" s="31">
        <f>N382*G382</f>
        <v/>
      </c>
      <c r="P382" s="33">
        <f>(N382-O382)*(1-(1-H382)^(1/12))</f>
        <v/>
      </c>
      <c r="Q382" s="34">
        <f>X381+Z381</f>
        <v/>
      </c>
      <c r="R382" s="29">
        <f>(1-LoadPremRate)*E382</f>
        <v/>
      </c>
      <c r="S382" s="34">
        <f>Q382+R382</f>
        <v/>
      </c>
      <c r="T382" s="29">
        <f>MaintFeeRateAnn/12*S382</f>
        <v/>
      </c>
      <c r="U382" s="29">
        <f>MAX(SumAssured-S382,0)</f>
        <v/>
      </c>
      <c r="V382" s="35">
        <f>CoiMultiple*G382</f>
        <v/>
      </c>
      <c r="W382" s="34">
        <f>V382*U382</f>
        <v/>
      </c>
      <c r="X382" s="34">
        <f>S382-T382-W382</f>
        <v/>
      </c>
      <c r="Y382" s="36">
        <f>EXP((Mu-0.5*Sigma^2)/12+Sigma*SQRT(1/12)*INDEX(NormRand,ScenID,A382+1))-1</f>
        <v/>
      </c>
      <c r="Z382" s="34">
        <f>Y382*X382</f>
        <v/>
      </c>
      <c r="AA382" s="34">
        <f>X382+0.5*Z382</f>
        <v/>
      </c>
      <c r="AB382" s="34">
        <f>Q382*J382</f>
        <v/>
      </c>
      <c r="AC382" s="34">
        <f>Q382*L382</f>
        <v/>
      </c>
      <c r="AD382" s="34">
        <f>S382*N382</f>
        <v/>
      </c>
      <c r="AE382" s="34">
        <f>E382*N382</f>
        <v/>
      </c>
      <c r="AF382" s="34">
        <f>R382*N382</f>
        <v/>
      </c>
      <c r="AG382" s="29">
        <f>MAX(SumAssured,AA382)</f>
        <v/>
      </c>
      <c r="AH382" s="34">
        <f>AG382*O382</f>
        <v/>
      </c>
      <c r="AI382" s="34">
        <f>AA382*O382</f>
        <v/>
      </c>
      <c r="AJ382" s="34">
        <f>AA382*P382</f>
        <v/>
      </c>
      <c r="AK382" s="34">
        <f>I382*AA382*P382</f>
        <v/>
      </c>
      <c r="AL382" s="34">
        <f>AJ382-AK382</f>
        <v/>
      </c>
      <c r="AM382" s="34">
        <f>Q382*K382</f>
        <v/>
      </c>
      <c r="AN382" s="34">
        <f>AH382+AL382+AM382</f>
        <v/>
      </c>
      <c r="AO382" s="34">
        <f>(AG382-AA382)*O382</f>
        <v/>
      </c>
      <c r="AP382" s="34">
        <f>W382*N382</f>
        <v/>
      </c>
      <c r="AQ382" s="34">
        <f>T382*N382</f>
        <v/>
      </c>
      <c r="AR382" s="34">
        <f>Z382*J383+0.5*Z382*(O382+P382)</f>
        <v/>
      </c>
      <c r="AS382" s="30">
        <f>(1+InflationRate)^(A382/12)</f>
        <v/>
      </c>
      <c r="AT382" s="29">
        <f>ExpenseAcq*M382+N382*ExpenseMaint/12*AS382</f>
        <v/>
      </c>
      <c r="AU382" s="29">
        <f>CommissionRate*AE382</f>
        <v/>
      </c>
      <c r="AV382" s="34">
        <f>AB383-AB382</f>
        <v/>
      </c>
      <c r="AW382" s="34">
        <f>AE382+AR382-AN382-AT382-AU382-AV382</f>
        <v/>
      </c>
      <c r="AX382" s="29">
        <f>LoadPremRate*E382*N382+AK382+AQ382-AU382-AT382</f>
        <v/>
      </c>
      <c r="AY382" s="34">
        <f>AP382-AO382</f>
        <v/>
      </c>
      <c r="AZ382" s="37">
        <f>(AW382-AX382-AY382)/MAX(1,ABS(AW382),ABS(AX382),ABS(AY382))</f>
        <v/>
      </c>
      <c r="BA382" s="37">
        <f>IF(OR(K382&gt;0,K383&gt;0),0,(AC383-(AC382+AF382-AQ382-AP382+AR382-AI382-AJ382-AM382))/MAX(1,ABS(AC382),ABS(AC383)))</f>
        <v/>
      </c>
      <c r="BB382" s="35">
        <f>(1+INDEX(DiscRateAnn,INT(A382/12)+1))^(1/12)-1</f>
        <v/>
      </c>
      <c r="BC382" s="31">
        <f>(1+BB382)^-A382</f>
        <v/>
      </c>
      <c r="BD382" s="34">
        <f>AW382*BC382</f>
        <v/>
      </c>
    </row>
    <row r="383">
      <c r="A383" s="27">
        <f>A382+1</f>
        <v/>
      </c>
      <c r="B383" s="28">
        <f>Duration0+A383</f>
        <v/>
      </c>
      <c r="C383" s="27">
        <f>INT(B383/12)</f>
        <v/>
      </c>
      <c r="D383" s="28">
        <f>AgeAtEntry+C383</f>
        <v/>
      </c>
      <c r="E383" s="29">
        <f>IF(PremiumType="SINGLE",IF(B383=0,PremiumPPInput,0),IF(B383&lt;12*PolicyTerm,PremiumPPInput,0))</f>
        <v/>
      </c>
      <c r="F383" s="30">
        <f>INDEX(MortRates,MATCH(MIN(D383,120),MortAges,0),MAX(MIN(C383,5),0)+1)</f>
        <v/>
      </c>
      <c r="G383" s="31">
        <f>1-(1-F383)^(1/12)</f>
        <v/>
      </c>
      <c r="H383" s="32">
        <f>MAX(LapseBase-LapseStep*C383,LapseFloor)</f>
        <v/>
      </c>
      <c r="I383" s="32">
        <f>IF(HasSurrCharge,INDEX(SurrRates,MIN(C383,SurrDurMax)+1,MATCH(SurrChargeID,SurrTypes,0)),0)</f>
        <v/>
      </c>
      <c r="J383" s="33">
        <f>N382-P382-O382</f>
        <v/>
      </c>
      <c r="K383" s="30">
        <f>IF(B383=12*PolicyTerm,J383,0)</f>
        <v/>
      </c>
      <c r="L383" s="33">
        <f>J383-K383</f>
        <v/>
      </c>
      <c r="M383" s="30">
        <f>IF(B383=0,PolicyCount,0)</f>
        <v/>
      </c>
      <c r="N383" s="33">
        <f>L383+M383</f>
        <v/>
      </c>
      <c r="O383" s="31">
        <f>N383*G383</f>
        <v/>
      </c>
      <c r="P383" s="33">
        <f>(N383-O383)*(1-(1-H383)^(1/12))</f>
        <v/>
      </c>
      <c r="Q383" s="34">
        <f>X382+Z382</f>
        <v/>
      </c>
      <c r="R383" s="29">
        <f>(1-LoadPremRate)*E383</f>
        <v/>
      </c>
      <c r="S383" s="34">
        <f>Q383+R383</f>
        <v/>
      </c>
      <c r="T383" s="29">
        <f>MaintFeeRateAnn/12*S383</f>
        <v/>
      </c>
      <c r="U383" s="29">
        <f>MAX(SumAssured-S383,0)</f>
        <v/>
      </c>
      <c r="V383" s="35">
        <f>CoiMultiple*G383</f>
        <v/>
      </c>
      <c r="W383" s="34">
        <f>V383*U383</f>
        <v/>
      </c>
      <c r="X383" s="34">
        <f>S383-T383-W383</f>
        <v/>
      </c>
      <c r="Y383" s="36">
        <f>EXP((Mu-0.5*Sigma^2)/12+Sigma*SQRT(1/12)*INDEX(NormRand,ScenID,A383+1))-1</f>
        <v/>
      </c>
      <c r="Z383" s="34">
        <f>Y383*X383</f>
        <v/>
      </c>
      <c r="AA383" s="34">
        <f>X383+0.5*Z383</f>
        <v/>
      </c>
      <c r="AB383" s="34">
        <f>Q383*J383</f>
        <v/>
      </c>
      <c r="AC383" s="34">
        <f>Q383*L383</f>
        <v/>
      </c>
      <c r="AD383" s="34">
        <f>S383*N383</f>
        <v/>
      </c>
      <c r="AE383" s="34">
        <f>E383*N383</f>
        <v/>
      </c>
      <c r="AF383" s="34">
        <f>R383*N383</f>
        <v/>
      </c>
      <c r="AG383" s="29">
        <f>MAX(SumAssured,AA383)</f>
        <v/>
      </c>
      <c r="AH383" s="34">
        <f>AG383*O383</f>
        <v/>
      </c>
      <c r="AI383" s="34">
        <f>AA383*O383</f>
        <v/>
      </c>
      <c r="AJ383" s="34">
        <f>AA383*P383</f>
        <v/>
      </c>
      <c r="AK383" s="34">
        <f>I383*AA383*P383</f>
        <v/>
      </c>
      <c r="AL383" s="34">
        <f>AJ383-AK383</f>
        <v/>
      </c>
      <c r="AM383" s="34">
        <f>Q383*K383</f>
        <v/>
      </c>
      <c r="AN383" s="34">
        <f>AH383+AL383+AM383</f>
        <v/>
      </c>
      <c r="AO383" s="34">
        <f>(AG383-AA383)*O383</f>
        <v/>
      </c>
      <c r="AP383" s="34">
        <f>W383*N383</f>
        <v/>
      </c>
      <c r="AQ383" s="34">
        <f>T383*N383</f>
        <v/>
      </c>
      <c r="AR383" s="34">
        <f>Z383*J384+0.5*Z383*(O383+P383)</f>
        <v/>
      </c>
      <c r="AS383" s="30">
        <f>(1+InflationRate)^(A383/12)</f>
        <v/>
      </c>
      <c r="AT383" s="29">
        <f>ExpenseAcq*M383+N383*ExpenseMaint/12*AS383</f>
        <v/>
      </c>
      <c r="AU383" s="29">
        <f>CommissionRate*AE383</f>
        <v/>
      </c>
      <c r="AV383" s="34">
        <f>AB384-AB383</f>
        <v/>
      </c>
      <c r="AW383" s="34">
        <f>AE383+AR383-AN383-AT383-AU383-AV383</f>
        <v/>
      </c>
      <c r="AX383" s="29">
        <f>LoadPremRate*E383*N383+AK383+AQ383-AU383-AT383</f>
        <v/>
      </c>
      <c r="AY383" s="34">
        <f>AP383-AO383</f>
        <v/>
      </c>
      <c r="AZ383" s="37">
        <f>(AW383-AX383-AY383)/MAX(1,ABS(AW383),ABS(AX383),ABS(AY383))</f>
        <v/>
      </c>
      <c r="BA383" s="37">
        <f>IF(OR(K383&gt;0,K384&gt;0),0,(AC384-(AC383+AF383-AQ383-AP383+AR383-AI383-AJ383-AM383))/MAX(1,ABS(AC383),ABS(AC384)))</f>
        <v/>
      </c>
      <c r="BB383" s="35">
        <f>(1+INDEX(DiscRateAnn,INT(A383/12)+1))^(1/12)-1</f>
        <v/>
      </c>
      <c r="BC383" s="31">
        <f>(1+BB383)^-A383</f>
        <v/>
      </c>
      <c r="BD383" s="34">
        <f>AW383*BC383</f>
        <v/>
      </c>
    </row>
    <row r="384">
      <c r="A384" s="27">
        <f>A383+1</f>
        <v/>
      </c>
      <c r="B384" s="28">
        <f>Duration0+A384</f>
        <v/>
      </c>
      <c r="C384" s="27">
        <f>INT(B384/12)</f>
        <v/>
      </c>
      <c r="D384" s="28">
        <f>AgeAtEntry+C384</f>
        <v/>
      </c>
      <c r="E384" s="29">
        <f>IF(PremiumType="SINGLE",IF(B384=0,PremiumPPInput,0),IF(B384&lt;12*PolicyTerm,PremiumPPInput,0))</f>
        <v/>
      </c>
      <c r="F384" s="30">
        <f>INDEX(MortRates,MATCH(MIN(D384,120),MortAges,0),MAX(MIN(C384,5),0)+1)</f>
        <v/>
      </c>
      <c r="G384" s="31">
        <f>1-(1-F384)^(1/12)</f>
        <v/>
      </c>
      <c r="H384" s="32">
        <f>MAX(LapseBase-LapseStep*C384,LapseFloor)</f>
        <v/>
      </c>
      <c r="I384" s="32">
        <f>IF(HasSurrCharge,INDEX(SurrRates,MIN(C384,SurrDurMax)+1,MATCH(SurrChargeID,SurrTypes,0)),0)</f>
        <v/>
      </c>
      <c r="J384" s="33">
        <f>N383-P383-O383</f>
        <v/>
      </c>
      <c r="K384" s="30">
        <f>IF(B384=12*PolicyTerm,J384,0)</f>
        <v/>
      </c>
      <c r="L384" s="33">
        <f>J384-K384</f>
        <v/>
      </c>
      <c r="M384" s="30">
        <f>IF(B384=0,PolicyCount,0)</f>
        <v/>
      </c>
      <c r="N384" s="33">
        <f>L384+M384</f>
        <v/>
      </c>
      <c r="O384" s="31">
        <f>N384*G384</f>
        <v/>
      </c>
      <c r="P384" s="33">
        <f>(N384-O384)*(1-(1-H384)^(1/12))</f>
        <v/>
      </c>
      <c r="Q384" s="34">
        <f>X383+Z383</f>
        <v/>
      </c>
      <c r="R384" s="29">
        <f>(1-LoadPremRate)*E384</f>
        <v/>
      </c>
      <c r="S384" s="34">
        <f>Q384+R384</f>
        <v/>
      </c>
      <c r="T384" s="29">
        <f>MaintFeeRateAnn/12*S384</f>
        <v/>
      </c>
      <c r="U384" s="29">
        <f>MAX(SumAssured-S384,0)</f>
        <v/>
      </c>
      <c r="V384" s="35">
        <f>CoiMultiple*G384</f>
        <v/>
      </c>
      <c r="W384" s="34">
        <f>V384*U384</f>
        <v/>
      </c>
      <c r="X384" s="34">
        <f>S384-T384-W384</f>
        <v/>
      </c>
      <c r="Y384" s="36">
        <f>EXP((Mu-0.5*Sigma^2)/12+Sigma*SQRT(1/12)*INDEX(NormRand,ScenID,A384+1))-1</f>
        <v/>
      </c>
      <c r="Z384" s="34">
        <f>Y384*X384</f>
        <v/>
      </c>
      <c r="AA384" s="34">
        <f>X384+0.5*Z384</f>
        <v/>
      </c>
      <c r="AB384" s="34">
        <f>Q384*J384</f>
        <v/>
      </c>
      <c r="AC384" s="34">
        <f>Q384*L384</f>
        <v/>
      </c>
      <c r="AD384" s="34">
        <f>S384*N384</f>
        <v/>
      </c>
      <c r="AE384" s="34">
        <f>E384*N384</f>
        <v/>
      </c>
      <c r="AF384" s="34">
        <f>R384*N384</f>
        <v/>
      </c>
      <c r="AG384" s="29">
        <f>MAX(SumAssured,AA384)</f>
        <v/>
      </c>
      <c r="AH384" s="34">
        <f>AG384*O384</f>
        <v/>
      </c>
      <c r="AI384" s="34">
        <f>AA384*O384</f>
        <v/>
      </c>
      <c r="AJ384" s="34">
        <f>AA384*P384</f>
        <v/>
      </c>
      <c r="AK384" s="34">
        <f>I384*AA384*P384</f>
        <v/>
      </c>
      <c r="AL384" s="34">
        <f>AJ384-AK384</f>
        <v/>
      </c>
      <c r="AM384" s="34">
        <f>Q384*K384</f>
        <v/>
      </c>
      <c r="AN384" s="34">
        <f>AH384+AL384+AM384</f>
        <v/>
      </c>
      <c r="AO384" s="34">
        <f>(AG384-AA384)*O384</f>
        <v/>
      </c>
      <c r="AP384" s="34">
        <f>W384*N384</f>
        <v/>
      </c>
      <c r="AQ384" s="34">
        <f>T384*N384</f>
        <v/>
      </c>
      <c r="AR384" s="34">
        <f>Z384*J385+0.5*Z384*(O384+P384)</f>
        <v/>
      </c>
      <c r="AS384" s="30">
        <f>(1+InflationRate)^(A384/12)</f>
        <v/>
      </c>
      <c r="AT384" s="29">
        <f>ExpenseAcq*M384+N384*ExpenseMaint/12*AS384</f>
        <v/>
      </c>
      <c r="AU384" s="29">
        <f>CommissionRate*AE384</f>
        <v/>
      </c>
      <c r="AV384" s="34">
        <f>AB385-AB384</f>
        <v/>
      </c>
      <c r="AW384" s="34">
        <f>AE384+AR384-AN384-AT384-AU384-AV384</f>
        <v/>
      </c>
      <c r="AX384" s="29">
        <f>LoadPremRate*E384*N384+AK384+AQ384-AU384-AT384</f>
        <v/>
      </c>
      <c r="AY384" s="34">
        <f>AP384-AO384</f>
        <v/>
      </c>
      <c r="AZ384" s="37">
        <f>(AW384-AX384-AY384)/MAX(1,ABS(AW384),ABS(AX384),ABS(AY384))</f>
        <v/>
      </c>
      <c r="BA384" s="37">
        <f>IF(OR(K384&gt;0,K385&gt;0),0,(AC385-(AC384+AF384-AQ384-AP384+AR384-AI384-AJ384-AM384))/MAX(1,ABS(AC384),ABS(AC385)))</f>
        <v/>
      </c>
      <c r="BB384" s="35">
        <f>(1+INDEX(DiscRateAnn,INT(A384/12)+1))^(1/12)-1</f>
        <v/>
      </c>
      <c r="BC384" s="31">
        <f>(1+BB384)^-A384</f>
        <v/>
      </c>
      <c r="BD384" s="34">
        <f>AW384*BC384</f>
        <v/>
      </c>
    </row>
    <row r="385">
      <c r="A385" s="27">
        <f>A384+1</f>
        <v/>
      </c>
      <c r="B385" s="28">
        <f>Duration0+A385</f>
        <v/>
      </c>
      <c r="C385" s="27">
        <f>INT(B385/12)</f>
        <v/>
      </c>
      <c r="D385" s="28">
        <f>AgeAtEntry+C385</f>
        <v/>
      </c>
      <c r="E385" s="29">
        <f>IF(PremiumType="SINGLE",IF(B385=0,PremiumPPInput,0),IF(B385&lt;12*PolicyTerm,PremiumPPInput,0))</f>
        <v/>
      </c>
      <c r="F385" s="30">
        <f>INDEX(MortRates,MATCH(MIN(D385,120),MortAges,0),MAX(MIN(C385,5),0)+1)</f>
        <v/>
      </c>
      <c r="G385" s="31">
        <f>1-(1-F385)^(1/12)</f>
        <v/>
      </c>
      <c r="H385" s="32">
        <f>MAX(LapseBase-LapseStep*C385,LapseFloor)</f>
        <v/>
      </c>
      <c r="I385" s="32">
        <f>IF(HasSurrCharge,INDEX(SurrRates,MIN(C385,SurrDurMax)+1,MATCH(SurrChargeID,SurrTypes,0)),0)</f>
        <v/>
      </c>
      <c r="J385" s="33">
        <f>N384-P384-O384</f>
        <v/>
      </c>
      <c r="K385" s="30">
        <f>IF(B385=12*PolicyTerm,J385,0)</f>
        <v/>
      </c>
      <c r="L385" s="33">
        <f>J385-K385</f>
        <v/>
      </c>
      <c r="M385" s="30">
        <f>IF(B385=0,PolicyCount,0)</f>
        <v/>
      </c>
      <c r="N385" s="33">
        <f>L385+M385</f>
        <v/>
      </c>
      <c r="O385" s="31">
        <f>N385*G385</f>
        <v/>
      </c>
      <c r="P385" s="33">
        <f>(N385-O385)*(1-(1-H385)^(1/12))</f>
        <v/>
      </c>
      <c r="Q385" s="34">
        <f>X384+Z384</f>
        <v/>
      </c>
      <c r="R385" s="29">
        <f>(1-LoadPremRate)*E385</f>
        <v/>
      </c>
      <c r="S385" s="34">
        <f>Q385+R385</f>
        <v/>
      </c>
      <c r="T385" s="29">
        <f>MaintFeeRateAnn/12*S385</f>
        <v/>
      </c>
      <c r="U385" s="29">
        <f>MAX(SumAssured-S385,0)</f>
        <v/>
      </c>
      <c r="V385" s="35">
        <f>CoiMultiple*G385</f>
        <v/>
      </c>
      <c r="W385" s="34">
        <f>V385*U385</f>
        <v/>
      </c>
      <c r="X385" s="34">
        <f>S385-T385-W385</f>
        <v/>
      </c>
      <c r="Y385" s="36">
        <f>EXP((Mu-0.5*Sigma^2)/12+Sigma*SQRT(1/12)*INDEX(NormRand,ScenID,A385+1))-1</f>
        <v/>
      </c>
      <c r="Z385" s="34">
        <f>Y385*X385</f>
        <v/>
      </c>
      <c r="AA385" s="34">
        <f>X385+0.5*Z385</f>
        <v/>
      </c>
      <c r="AB385" s="34">
        <f>Q385*J385</f>
        <v/>
      </c>
      <c r="AC385" s="34">
        <f>Q385*L385</f>
        <v/>
      </c>
      <c r="AD385" s="34">
        <f>S385*N385</f>
        <v/>
      </c>
      <c r="AE385" s="34">
        <f>E385*N385</f>
        <v/>
      </c>
      <c r="AF385" s="34">
        <f>R385*N385</f>
        <v/>
      </c>
      <c r="AG385" s="29">
        <f>MAX(SumAssured,AA385)</f>
        <v/>
      </c>
      <c r="AH385" s="34">
        <f>AG385*O385</f>
        <v/>
      </c>
      <c r="AI385" s="34">
        <f>AA385*O385</f>
        <v/>
      </c>
      <c r="AJ385" s="34">
        <f>AA385*P385</f>
        <v/>
      </c>
      <c r="AK385" s="34">
        <f>I385*AA385*P385</f>
        <v/>
      </c>
      <c r="AL385" s="34">
        <f>AJ385-AK385</f>
        <v/>
      </c>
      <c r="AM385" s="34">
        <f>Q385*K385</f>
        <v/>
      </c>
      <c r="AN385" s="34">
        <f>AH385+AL385+AM385</f>
        <v/>
      </c>
      <c r="AO385" s="34">
        <f>(AG385-AA385)*O385</f>
        <v/>
      </c>
      <c r="AP385" s="34">
        <f>W385*N385</f>
        <v/>
      </c>
      <c r="AQ385" s="34">
        <f>T385*N385</f>
        <v/>
      </c>
      <c r="AR385" s="34">
        <f>Z385*J386+0.5*Z385*(O385+P385)</f>
        <v/>
      </c>
      <c r="AS385" s="30">
        <f>(1+InflationRate)^(A385/12)</f>
        <v/>
      </c>
      <c r="AT385" s="29">
        <f>ExpenseAcq*M385+N385*ExpenseMaint/12*AS385</f>
        <v/>
      </c>
      <c r="AU385" s="29">
        <f>CommissionRate*AE385</f>
        <v/>
      </c>
      <c r="AV385" s="34">
        <f>AB386-AB385</f>
        <v/>
      </c>
      <c r="AW385" s="34">
        <f>AE385+AR385-AN385-AT385-AU385-AV385</f>
        <v/>
      </c>
      <c r="AX385" s="29">
        <f>LoadPremRate*E385*N385+AK385+AQ385-AU385-AT385</f>
        <v/>
      </c>
      <c r="AY385" s="34">
        <f>AP385-AO385</f>
        <v/>
      </c>
      <c r="AZ385" s="37">
        <f>(AW385-AX385-AY385)/MAX(1,ABS(AW385),ABS(AX385),ABS(AY385))</f>
        <v/>
      </c>
      <c r="BA385" s="37">
        <f>IF(OR(K385&gt;0,K386&gt;0),0,(AC386-(AC385+AF385-AQ385-AP385+AR385-AI385-AJ385-AM385))/MAX(1,ABS(AC385),ABS(AC386)))</f>
        <v/>
      </c>
      <c r="BB385" s="35">
        <f>(1+INDEX(DiscRateAnn,INT(A385/12)+1))^(1/12)-1</f>
        <v/>
      </c>
      <c r="BC385" s="31">
        <f>(1+BB385)^-A385</f>
        <v/>
      </c>
      <c r="BD385" s="34">
        <f>AW385*BC385</f>
        <v/>
      </c>
    </row>
    <row r="386">
      <c r="A386" s="27">
        <f>A385+1</f>
        <v/>
      </c>
      <c r="B386" s="28">
        <f>Duration0+A386</f>
        <v/>
      </c>
      <c r="C386" s="27">
        <f>INT(B386/12)</f>
        <v/>
      </c>
      <c r="D386" s="28">
        <f>AgeAtEntry+C386</f>
        <v/>
      </c>
      <c r="E386" s="29">
        <f>IF(PremiumType="SINGLE",IF(B386=0,PremiumPPInput,0),IF(B386&lt;12*PolicyTerm,PremiumPPInput,0))</f>
        <v/>
      </c>
      <c r="F386" s="30">
        <f>INDEX(MortRates,MATCH(MIN(D386,120),MortAges,0),MAX(MIN(C386,5),0)+1)</f>
        <v/>
      </c>
      <c r="G386" s="31">
        <f>1-(1-F386)^(1/12)</f>
        <v/>
      </c>
      <c r="H386" s="32">
        <f>MAX(LapseBase-LapseStep*C386,LapseFloor)</f>
        <v/>
      </c>
      <c r="I386" s="32">
        <f>IF(HasSurrCharge,INDEX(SurrRates,MIN(C386,SurrDurMax)+1,MATCH(SurrChargeID,SurrTypes,0)),0)</f>
        <v/>
      </c>
      <c r="J386" s="33">
        <f>N385-P385-O385</f>
        <v/>
      </c>
      <c r="K386" s="30">
        <f>IF(B386=12*PolicyTerm,J386,0)</f>
        <v/>
      </c>
      <c r="L386" s="33">
        <f>J386-K386</f>
        <v/>
      </c>
      <c r="M386" s="30">
        <f>IF(B386=0,PolicyCount,0)</f>
        <v/>
      </c>
      <c r="N386" s="33">
        <f>L386+M386</f>
        <v/>
      </c>
      <c r="O386" s="31">
        <f>N386*G386</f>
        <v/>
      </c>
      <c r="P386" s="33">
        <f>(N386-O386)*(1-(1-H386)^(1/12))</f>
        <v/>
      </c>
      <c r="Q386" s="34">
        <f>X385+Z385</f>
        <v/>
      </c>
      <c r="R386" s="29">
        <f>(1-LoadPremRate)*E386</f>
        <v/>
      </c>
      <c r="S386" s="34">
        <f>Q386+R386</f>
        <v/>
      </c>
      <c r="T386" s="29">
        <f>MaintFeeRateAnn/12*S386</f>
        <v/>
      </c>
      <c r="U386" s="29">
        <f>MAX(SumAssured-S386,0)</f>
        <v/>
      </c>
      <c r="V386" s="35">
        <f>CoiMultiple*G386</f>
        <v/>
      </c>
      <c r="W386" s="34">
        <f>V386*U386</f>
        <v/>
      </c>
      <c r="X386" s="34">
        <f>S386-T386-W386</f>
        <v/>
      </c>
      <c r="Y386" s="36">
        <f>EXP((Mu-0.5*Sigma^2)/12+Sigma*SQRT(1/12)*INDEX(NormRand,ScenID,A386+1))-1</f>
        <v/>
      </c>
      <c r="Z386" s="34">
        <f>Y386*X386</f>
        <v/>
      </c>
      <c r="AA386" s="34">
        <f>X386+0.5*Z386</f>
        <v/>
      </c>
      <c r="AB386" s="34">
        <f>Q386*J386</f>
        <v/>
      </c>
      <c r="AC386" s="34">
        <f>Q386*L386</f>
        <v/>
      </c>
      <c r="AD386" s="34">
        <f>S386*N386</f>
        <v/>
      </c>
      <c r="AE386" s="34">
        <f>E386*N386</f>
        <v/>
      </c>
      <c r="AF386" s="34">
        <f>R386*N386</f>
        <v/>
      </c>
      <c r="AG386" s="29">
        <f>MAX(SumAssured,AA386)</f>
        <v/>
      </c>
      <c r="AH386" s="34">
        <f>AG386*O386</f>
        <v/>
      </c>
      <c r="AI386" s="34">
        <f>AA386*O386</f>
        <v/>
      </c>
      <c r="AJ386" s="34">
        <f>AA386*P386</f>
        <v/>
      </c>
      <c r="AK386" s="34">
        <f>I386*AA386*P386</f>
        <v/>
      </c>
      <c r="AL386" s="34">
        <f>AJ386-AK386</f>
        <v/>
      </c>
      <c r="AM386" s="34">
        <f>Q386*K386</f>
        <v/>
      </c>
      <c r="AN386" s="34">
        <f>AH386+AL386+AM386</f>
        <v/>
      </c>
      <c r="AO386" s="34">
        <f>(AG386-AA386)*O386</f>
        <v/>
      </c>
      <c r="AP386" s="34">
        <f>W386*N386</f>
        <v/>
      </c>
      <c r="AQ386" s="34">
        <f>T386*N386</f>
        <v/>
      </c>
      <c r="AR386" s="34">
        <f>Z386*J387+0.5*Z386*(O386+P386)</f>
        <v/>
      </c>
      <c r="AS386" s="30">
        <f>(1+InflationRate)^(A386/12)</f>
        <v/>
      </c>
      <c r="AT386" s="29">
        <f>ExpenseAcq*M386+N386*ExpenseMaint/12*AS386</f>
        <v/>
      </c>
      <c r="AU386" s="29">
        <f>CommissionRate*AE386</f>
        <v/>
      </c>
      <c r="AV386" s="34">
        <f>AB387-AB386</f>
        <v/>
      </c>
      <c r="AW386" s="34">
        <f>AE386+AR386-AN386-AT386-AU386-AV386</f>
        <v/>
      </c>
      <c r="AX386" s="29">
        <f>LoadPremRate*E386*N386+AK386+AQ386-AU386-AT386</f>
        <v/>
      </c>
      <c r="AY386" s="34">
        <f>AP386-AO386</f>
        <v/>
      </c>
      <c r="AZ386" s="37">
        <f>(AW386-AX386-AY386)/MAX(1,ABS(AW386),ABS(AX386),ABS(AY386))</f>
        <v/>
      </c>
      <c r="BA386" s="37">
        <f>IF(OR(K386&gt;0,K387&gt;0),0,(AC387-(AC386+AF386-AQ386-AP386+AR386-AI386-AJ386-AM386))/MAX(1,ABS(AC386),ABS(AC387)))</f>
        <v/>
      </c>
      <c r="BB386" s="35">
        <f>(1+INDEX(DiscRateAnn,INT(A386/12)+1))^(1/12)-1</f>
        <v/>
      </c>
      <c r="BC386" s="31">
        <f>(1+BB386)^-A386</f>
        <v/>
      </c>
      <c r="BD386" s="34">
        <f>AW386*BC386</f>
        <v/>
      </c>
    </row>
    <row r="387">
      <c r="A387" s="27">
        <f>A386+1</f>
        <v/>
      </c>
      <c r="B387" s="28">
        <f>Duration0+A387</f>
        <v/>
      </c>
      <c r="C387" s="27">
        <f>INT(B387/12)</f>
        <v/>
      </c>
      <c r="D387" s="28">
        <f>AgeAtEntry+C387</f>
        <v/>
      </c>
      <c r="E387" s="29">
        <f>IF(PremiumType="SINGLE",IF(B387=0,PremiumPPInput,0),IF(B387&lt;12*PolicyTerm,PremiumPPInput,0))</f>
        <v/>
      </c>
      <c r="F387" s="30">
        <f>INDEX(MortRates,MATCH(MIN(D387,120),MortAges,0),MAX(MIN(C387,5),0)+1)</f>
        <v/>
      </c>
      <c r="G387" s="31">
        <f>1-(1-F387)^(1/12)</f>
        <v/>
      </c>
      <c r="H387" s="32">
        <f>MAX(LapseBase-LapseStep*C387,LapseFloor)</f>
        <v/>
      </c>
      <c r="I387" s="32">
        <f>IF(HasSurrCharge,INDEX(SurrRates,MIN(C387,SurrDurMax)+1,MATCH(SurrChargeID,SurrTypes,0)),0)</f>
        <v/>
      </c>
      <c r="J387" s="33">
        <f>N386-P386-O386</f>
        <v/>
      </c>
      <c r="K387" s="30">
        <f>IF(B387=12*PolicyTerm,J387,0)</f>
        <v/>
      </c>
      <c r="L387" s="33">
        <f>J387-K387</f>
        <v/>
      </c>
      <c r="M387" s="30">
        <f>IF(B387=0,PolicyCount,0)</f>
        <v/>
      </c>
      <c r="N387" s="33">
        <f>L387+M387</f>
        <v/>
      </c>
      <c r="O387" s="31">
        <f>N387*G387</f>
        <v/>
      </c>
      <c r="P387" s="33">
        <f>(N387-O387)*(1-(1-H387)^(1/12))</f>
        <v/>
      </c>
      <c r="Q387" s="34">
        <f>X386+Z386</f>
        <v/>
      </c>
      <c r="R387" s="29">
        <f>(1-LoadPremRate)*E387</f>
        <v/>
      </c>
      <c r="S387" s="34">
        <f>Q387+R387</f>
        <v/>
      </c>
      <c r="T387" s="29">
        <f>MaintFeeRateAnn/12*S387</f>
        <v/>
      </c>
      <c r="U387" s="29">
        <f>MAX(SumAssured-S387,0)</f>
        <v/>
      </c>
      <c r="V387" s="35">
        <f>CoiMultiple*G387</f>
        <v/>
      </c>
      <c r="W387" s="34">
        <f>V387*U387</f>
        <v/>
      </c>
      <c r="X387" s="34">
        <f>S387-T387-W387</f>
        <v/>
      </c>
      <c r="Y387" s="36">
        <f>EXP((Mu-0.5*Sigma^2)/12+Sigma*SQRT(1/12)*INDEX(NormRand,ScenID,A387+1))-1</f>
        <v/>
      </c>
      <c r="Z387" s="34">
        <f>Y387*X387</f>
        <v/>
      </c>
      <c r="AA387" s="34">
        <f>X387+0.5*Z387</f>
        <v/>
      </c>
      <c r="AB387" s="34">
        <f>Q387*J387</f>
        <v/>
      </c>
      <c r="AC387" s="34">
        <f>Q387*L387</f>
        <v/>
      </c>
      <c r="AD387" s="34">
        <f>S387*N387</f>
        <v/>
      </c>
      <c r="AE387" s="34">
        <f>E387*N387</f>
        <v/>
      </c>
      <c r="AF387" s="34">
        <f>R387*N387</f>
        <v/>
      </c>
      <c r="AG387" s="29">
        <f>MAX(SumAssured,AA387)</f>
        <v/>
      </c>
      <c r="AH387" s="34">
        <f>AG387*O387</f>
        <v/>
      </c>
      <c r="AI387" s="34">
        <f>AA387*O387</f>
        <v/>
      </c>
      <c r="AJ387" s="34">
        <f>AA387*P387</f>
        <v/>
      </c>
      <c r="AK387" s="34">
        <f>I387*AA387*P387</f>
        <v/>
      </c>
      <c r="AL387" s="34">
        <f>AJ387-AK387</f>
        <v/>
      </c>
      <c r="AM387" s="34">
        <f>Q387*K387</f>
        <v/>
      </c>
      <c r="AN387" s="34">
        <f>AH387+AL387+AM387</f>
        <v/>
      </c>
      <c r="AO387" s="34">
        <f>(AG387-AA387)*O387</f>
        <v/>
      </c>
      <c r="AP387" s="34">
        <f>W387*N387</f>
        <v/>
      </c>
      <c r="AQ387" s="34">
        <f>T387*N387</f>
        <v/>
      </c>
      <c r="AR387" s="34">
        <f>Z387*J388+0.5*Z387*(O387+P387)</f>
        <v/>
      </c>
      <c r="AS387" s="30">
        <f>(1+InflationRate)^(A387/12)</f>
        <v/>
      </c>
      <c r="AT387" s="29">
        <f>ExpenseAcq*M387+N387*ExpenseMaint/12*AS387</f>
        <v/>
      </c>
      <c r="AU387" s="29">
        <f>CommissionRate*AE387</f>
        <v/>
      </c>
      <c r="AV387" s="34">
        <f>AB388-AB387</f>
        <v/>
      </c>
      <c r="AW387" s="34">
        <f>AE387+AR387-AN387-AT387-AU387-AV387</f>
        <v/>
      </c>
      <c r="AX387" s="29">
        <f>LoadPremRate*E387*N387+AK387+AQ387-AU387-AT387</f>
        <v/>
      </c>
      <c r="AY387" s="34">
        <f>AP387-AO387</f>
        <v/>
      </c>
      <c r="AZ387" s="37">
        <f>(AW387-AX387-AY387)/MAX(1,ABS(AW387),ABS(AX387),ABS(AY387))</f>
        <v/>
      </c>
      <c r="BA387" s="37">
        <f>IF(OR(K387&gt;0,K388&gt;0),0,(AC388-(AC387+AF387-AQ387-AP387+AR387-AI387-AJ387-AM387))/MAX(1,ABS(AC387),ABS(AC388)))</f>
        <v/>
      </c>
      <c r="BB387" s="35">
        <f>(1+INDEX(DiscRateAnn,INT(A387/12)+1))^(1/12)-1</f>
        <v/>
      </c>
      <c r="BC387" s="31">
        <f>(1+BB387)^-A387</f>
        <v/>
      </c>
      <c r="BD387" s="34">
        <f>AW387*BC387</f>
        <v/>
      </c>
    </row>
    <row r="388">
      <c r="A388" s="27">
        <f>A387+1</f>
        <v/>
      </c>
      <c r="B388" s="28">
        <f>Duration0+A388</f>
        <v/>
      </c>
      <c r="C388" s="27">
        <f>INT(B388/12)</f>
        <v/>
      </c>
      <c r="D388" s="28">
        <f>AgeAtEntry+C388</f>
        <v/>
      </c>
      <c r="E388" s="29">
        <f>IF(PremiumType="SINGLE",IF(B388=0,PremiumPPInput,0),IF(B388&lt;12*PolicyTerm,PremiumPPInput,0))</f>
        <v/>
      </c>
      <c r="F388" s="30">
        <f>INDEX(MortRates,MATCH(MIN(D388,120),MortAges,0),MAX(MIN(C388,5),0)+1)</f>
        <v/>
      </c>
      <c r="G388" s="31">
        <f>1-(1-F388)^(1/12)</f>
        <v/>
      </c>
      <c r="H388" s="32">
        <f>MAX(LapseBase-LapseStep*C388,LapseFloor)</f>
        <v/>
      </c>
      <c r="I388" s="32">
        <f>IF(HasSurrCharge,INDEX(SurrRates,MIN(C388,SurrDurMax)+1,MATCH(SurrChargeID,SurrTypes,0)),0)</f>
        <v/>
      </c>
      <c r="J388" s="33">
        <f>N387-P387-O387</f>
        <v/>
      </c>
      <c r="K388" s="30">
        <f>IF(B388=12*PolicyTerm,J388,0)</f>
        <v/>
      </c>
      <c r="L388" s="33">
        <f>J388-K388</f>
        <v/>
      </c>
      <c r="M388" s="30">
        <f>IF(B388=0,PolicyCount,0)</f>
        <v/>
      </c>
      <c r="N388" s="33">
        <f>L388+M388</f>
        <v/>
      </c>
      <c r="O388" s="31">
        <f>N388*G388</f>
        <v/>
      </c>
      <c r="P388" s="33">
        <f>(N388-O388)*(1-(1-H388)^(1/12))</f>
        <v/>
      </c>
      <c r="Q388" s="34">
        <f>X387+Z387</f>
        <v/>
      </c>
      <c r="R388" s="29">
        <f>(1-LoadPremRate)*E388</f>
        <v/>
      </c>
      <c r="S388" s="34">
        <f>Q388+R388</f>
        <v/>
      </c>
      <c r="T388" s="29">
        <f>MaintFeeRateAnn/12*S388</f>
        <v/>
      </c>
      <c r="U388" s="29">
        <f>MAX(SumAssured-S388,0)</f>
        <v/>
      </c>
      <c r="V388" s="35">
        <f>CoiMultiple*G388</f>
        <v/>
      </c>
      <c r="W388" s="34">
        <f>V388*U388</f>
        <v/>
      </c>
      <c r="X388" s="34">
        <f>S388-T388-W388</f>
        <v/>
      </c>
      <c r="Y388" s="36">
        <f>EXP((Mu-0.5*Sigma^2)/12+Sigma*SQRT(1/12)*INDEX(NormRand,ScenID,A388+1))-1</f>
        <v/>
      </c>
      <c r="Z388" s="34">
        <f>Y388*X388</f>
        <v/>
      </c>
      <c r="AA388" s="34">
        <f>X388+0.5*Z388</f>
        <v/>
      </c>
      <c r="AB388" s="34">
        <f>Q388*J388</f>
        <v/>
      </c>
      <c r="AC388" s="34">
        <f>Q388*L388</f>
        <v/>
      </c>
      <c r="AD388" s="34">
        <f>S388*N388</f>
        <v/>
      </c>
      <c r="AE388" s="34">
        <f>E388*N388</f>
        <v/>
      </c>
      <c r="AF388" s="34">
        <f>R388*N388</f>
        <v/>
      </c>
      <c r="AG388" s="29">
        <f>MAX(SumAssured,AA388)</f>
        <v/>
      </c>
      <c r="AH388" s="34">
        <f>AG388*O388</f>
        <v/>
      </c>
      <c r="AI388" s="34">
        <f>AA388*O388</f>
        <v/>
      </c>
      <c r="AJ388" s="34">
        <f>AA388*P388</f>
        <v/>
      </c>
      <c r="AK388" s="34">
        <f>I388*AA388*P388</f>
        <v/>
      </c>
      <c r="AL388" s="34">
        <f>AJ388-AK388</f>
        <v/>
      </c>
      <c r="AM388" s="34">
        <f>Q388*K388</f>
        <v/>
      </c>
      <c r="AN388" s="34">
        <f>AH388+AL388+AM388</f>
        <v/>
      </c>
      <c r="AO388" s="34">
        <f>(AG388-AA388)*O388</f>
        <v/>
      </c>
      <c r="AP388" s="34">
        <f>W388*N388</f>
        <v/>
      </c>
      <c r="AQ388" s="34">
        <f>T388*N388</f>
        <v/>
      </c>
      <c r="AR388" s="34">
        <f>Z388*J389+0.5*Z388*(O388+P388)</f>
        <v/>
      </c>
      <c r="AS388" s="30">
        <f>(1+InflationRate)^(A388/12)</f>
        <v/>
      </c>
      <c r="AT388" s="29">
        <f>ExpenseAcq*M388+N388*ExpenseMaint/12*AS388</f>
        <v/>
      </c>
      <c r="AU388" s="29">
        <f>CommissionRate*AE388</f>
        <v/>
      </c>
      <c r="AV388" s="34">
        <f>AB389-AB388</f>
        <v/>
      </c>
      <c r="AW388" s="34">
        <f>AE388+AR388-AN388-AT388-AU388-AV388</f>
        <v/>
      </c>
      <c r="AX388" s="29">
        <f>LoadPremRate*E388*N388+AK388+AQ388-AU388-AT388</f>
        <v/>
      </c>
      <c r="AY388" s="34">
        <f>AP388-AO388</f>
        <v/>
      </c>
      <c r="AZ388" s="37">
        <f>(AW388-AX388-AY388)/MAX(1,ABS(AW388),ABS(AX388),ABS(AY388))</f>
        <v/>
      </c>
      <c r="BA388" s="37">
        <f>IF(OR(K388&gt;0,K389&gt;0),0,(AC389-(AC388+AF388-AQ388-AP388+AR388-AI388-AJ388-AM388))/MAX(1,ABS(AC388),ABS(AC389)))</f>
        <v/>
      </c>
      <c r="BB388" s="35">
        <f>(1+INDEX(DiscRateAnn,INT(A388/12)+1))^(1/12)-1</f>
        <v/>
      </c>
      <c r="BC388" s="31">
        <f>(1+BB388)^-A388</f>
        <v/>
      </c>
      <c r="BD388" s="34">
        <f>AW388*BC388</f>
        <v/>
      </c>
    </row>
    <row r="389">
      <c r="A389" s="27">
        <f>A388+1</f>
        <v/>
      </c>
      <c r="B389" s="28">
        <f>Duration0+A389</f>
        <v/>
      </c>
      <c r="C389" s="27">
        <f>INT(B389/12)</f>
        <v/>
      </c>
      <c r="D389" s="28">
        <f>AgeAtEntry+C389</f>
        <v/>
      </c>
      <c r="E389" s="29">
        <f>IF(PremiumType="SINGLE",IF(B389=0,PremiumPPInput,0),IF(B389&lt;12*PolicyTerm,PremiumPPInput,0))</f>
        <v/>
      </c>
      <c r="F389" s="30">
        <f>INDEX(MortRates,MATCH(MIN(D389,120),MortAges,0),MAX(MIN(C389,5),0)+1)</f>
        <v/>
      </c>
      <c r="G389" s="31">
        <f>1-(1-F389)^(1/12)</f>
        <v/>
      </c>
      <c r="H389" s="32">
        <f>MAX(LapseBase-LapseStep*C389,LapseFloor)</f>
        <v/>
      </c>
      <c r="I389" s="32">
        <f>IF(HasSurrCharge,INDEX(SurrRates,MIN(C389,SurrDurMax)+1,MATCH(SurrChargeID,SurrTypes,0)),0)</f>
        <v/>
      </c>
      <c r="J389" s="33">
        <f>N388-P388-O388</f>
        <v/>
      </c>
      <c r="K389" s="30">
        <f>IF(B389=12*PolicyTerm,J389,0)</f>
        <v/>
      </c>
      <c r="L389" s="33">
        <f>J389-K389</f>
        <v/>
      </c>
      <c r="M389" s="30">
        <f>IF(B389=0,PolicyCount,0)</f>
        <v/>
      </c>
      <c r="N389" s="33">
        <f>L389+M389</f>
        <v/>
      </c>
      <c r="O389" s="31">
        <f>N389*G389</f>
        <v/>
      </c>
      <c r="P389" s="33">
        <f>(N389-O389)*(1-(1-H389)^(1/12))</f>
        <v/>
      </c>
      <c r="Q389" s="34">
        <f>X388+Z388</f>
        <v/>
      </c>
      <c r="R389" s="29">
        <f>(1-LoadPremRate)*E389</f>
        <v/>
      </c>
      <c r="S389" s="34">
        <f>Q389+R389</f>
        <v/>
      </c>
      <c r="T389" s="29">
        <f>MaintFeeRateAnn/12*S389</f>
        <v/>
      </c>
      <c r="U389" s="29">
        <f>MAX(SumAssured-S389,0)</f>
        <v/>
      </c>
      <c r="V389" s="35">
        <f>CoiMultiple*G389</f>
        <v/>
      </c>
      <c r="W389" s="34">
        <f>V389*U389</f>
        <v/>
      </c>
      <c r="X389" s="34">
        <f>S389-T389-W389</f>
        <v/>
      </c>
      <c r="Y389" s="36">
        <f>EXP((Mu-0.5*Sigma^2)/12+Sigma*SQRT(1/12)*INDEX(NormRand,ScenID,A389+1))-1</f>
        <v/>
      </c>
      <c r="Z389" s="34">
        <f>Y389*X389</f>
        <v/>
      </c>
      <c r="AA389" s="34">
        <f>X389+0.5*Z389</f>
        <v/>
      </c>
      <c r="AB389" s="34">
        <f>Q389*J389</f>
        <v/>
      </c>
      <c r="AC389" s="34">
        <f>Q389*L389</f>
        <v/>
      </c>
      <c r="AD389" s="34">
        <f>S389*N389</f>
        <v/>
      </c>
      <c r="AE389" s="34">
        <f>E389*N389</f>
        <v/>
      </c>
      <c r="AF389" s="34">
        <f>R389*N389</f>
        <v/>
      </c>
      <c r="AG389" s="29">
        <f>MAX(SumAssured,AA389)</f>
        <v/>
      </c>
      <c r="AH389" s="34">
        <f>AG389*O389</f>
        <v/>
      </c>
      <c r="AI389" s="34">
        <f>AA389*O389</f>
        <v/>
      </c>
      <c r="AJ389" s="34">
        <f>AA389*P389</f>
        <v/>
      </c>
      <c r="AK389" s="34">
        <f>I389*AA389*P389</f>
        <v/>
      </c>
      <c r="AL389" s="34">
        <f>AJ389-AK389</f>
        <v/>
      </c>
      <c r="AM389" s="34">
        <f>Q389*K389</f>
        <v/>
      </c>
      <c r="AN389" s="34">
        <f>AH389+AL389+AM389</f>
        <v/>
      </c>
      <c r="AO389" s="34">
        <f>(AG389-AA389)*O389</f>
        <v/>
      </c>
      <c r="AP389" s="34">
        <f>W389*N389</f>
        <v/>
      </c>
      <c r="AQ389" s="34">
        <f>T389*N389</f>
        <v/>
      </c>
      <c r="AR389" s="34">
        <f>Z389*J390+0.5*Z389*(O389+P389)</f>
        <v/>
      </c>
      <c r="AS389" s="30">
        <f>(1+InflationRate)^(A389/12)</f>
        <v/>
      </c>
      <c r="AT389" s="29">
        <f>ExpenseAcq*M389+N389*ExpenseMaint/12*AS389</f>
        <v/>
      </c>
      <c r="AU389" s="29">
        <f>CommissionRate*AE389</f>
        <v/>
      </c>
      <c r="AV389" s="34">
        <f>AB390-AB389</f>
        <v/>
      </c>
      <c r="AW389" s="34">
        <f>AE389+AR389-AN389-AT389-AU389-AV389</f>
        <v/>
      </c>
      <c r="AX389" s="29">
        <f>LoadPremRate*E389*N389+AK389+AQ389-AU389-AT389</f>
        <v/>
      </c>
      <c r="AY389" s="34">
        <f>AP389-AO389</f>
        <v/>
      </c>
      <c r="AZ389" s="37">
        <f>(AW389-AX389-AY389)/MAX(1,ABS(AW389),ABS(AX389),ABS(AY389))</f>
        <v/>
      </c>
      <c r="BA389" s="37">
        <f>IF(OR(K389&gt;0,K390&gt;0),0,(AC390-(AC389+AF389-AQ389-AP389+AR389-AI389-AJ389-AM389))/MAX(1,ABS(AC389),ABS(AC390)))</f>
        <v/>
      </c>
      <c r="BB389" s="35">
        <f>(1+INDEX(DiscRateAnn,INT(A389/12)+1))^(1/12)-1</f>
        <v/>
      </c>
      <c r="BC389" s="31">
        <f>(1+BB389)^-A389</f>
        <v/>
      </c>
      <c r="BD389" s="34">
        <f>AW389*BC389</f>
        <v/>
      </c>
    </row>
    <row r="390">
      <c r="A390" s="27">
        <f>A389+1</f>
        <v/>
      </c>
      <c r="B390" s="28">
        <f>Duration0+A390</f>
        <v/>
      </c>
      <c r="C390" s="27">
        <f>INT(B390/12)</f>
        <v/>
      </c>
      <c r="D390" s="28">
        <f>AgeAtEntry+C390</f>
        <v/>
      </c>
      <c r="E390" s="29">
        <f>IF(PremiumType="SINGLE",IF(B390=0,PremiumPPInput,0),IF(B390&lt;12*PolicyTerm,PremiumPPInput,0))</f>
        <v/>
      </c>
      <c r="F390" s="30">
        <f>INDEX(MortRates,MATCH(MIN(D390,120),MortAges,0),MAX(MIN(C390,5),0)+1)</f>
        <v/>
      </c>
      <c r="G390" s="31">
        <f>1-(1-F390)^(1/12)</f>
        <v/>
      </c>
      <c r="H390" s="32">
        <f>MAX(LapseBase-LapseStep*C390,LapseFloor)</f>
        <v/>
      </c>
      <c r="I390" s="32">
        <f>IF(HasSurrCharge,INDEX(SurrRates,MIN(C390,SurrDurMax)+1,MATCH(SurrChargeID,SurrTypes,0)),0)</f>
        <v/>
      </c>
      <c r="J390" s="33">
        <f>N389-P389-O389</f>
        <v/>
      </c>
      <c r="K390" s="30">
        <f>IF(B390=12*PolicyTerm,J390,0)</f>
        <v/>
      </c>
      <c r="L390" s="33">
        <f>J390-K390</f>
        <v/>
      </c>
      <c r="M390" s="30">
        <f>IF(B390=0,PolicyCount,0)</f>
        <v/>
      </c>
      <c r="N390" s="33">
        <f>L390+M390</f>
        <v/>
      </c>
      <c r="O390" s="31">
        <f>N390*G390</f>
        <v/>
      </c>
      <c r="P390" s="33">
        <f>(N390-O390)*(1-(1-H390)^(1/12))</f>
        <v/>
      </c>
      <c r="Q390" s="34">
        <f>X389+Z389</f>
        <v/>
      </c>
      <c r="R390" s="29">
        <f>(1-LoadPremRate)*E390</f>
        <v/>
      </c>
      <c r="S390" s="34">
        <f>Q390+R390</f>
        <v/>
      </c>
      <c r="T390" s="29">
        <f>MaintFeeRateAnn/12*S390</f>
        <v/>
      </c>
      <c r="U390" s="29">
        <f>MAX(SumAssured-S390,0)</f>
        <v/>
      </c>
      <c r="V390" s="35">
        <f>CoiMultiple*G390</f>
        <v/>
      </c>
      <c r="W390" s="34">
        <f>V390*U390</f>
        <v/>
      </c>
      <c r="X390" s="34">
        <f>S390-T390-W390</f>
        <v/>
      </c>
      <c r="Y390" s="36">
        <f>EXP((Mu-0.5*Sigma^2)/12+Sigma*SQRT(1/12)*INDEX(NormRand,ScenID,A390+1))-1</f>
        <v/>
      </c>
      <c r="Z390" s="34">
        <f>Y390*X390</f>
        <v/>
      </c>
      <c r="AA390" s="34">
        <f>X390+0.5*Z390</f>
        <v/>
      </c>
      <c r="AB390" s="34">
        <f>Q390*J390</f>
        <v/>
      </c>
      <c r="AC390" s="34">
        <f>Q390*L390</f>
        <v/>
      </c>
      <c r="AD390" s="34">
        <f>S390*N390</f>
        <v/>
      </c>
      <c r="AE390" s="34">
        <f>E390*N390</f>
        <v/>
      </c>
      <c r="AF390" s="34">
        <f>R390*N390</f>
        <v/>
      </c>
      <c r="AG390" s="29">
        <f>MAX(SumAssured,AA390)</f>
        <v/>
      </c>
      <c r="AH390" s="34">
        <f>AG390*O390</f>
        <v/>
      </c>
      <c r="AI390" s="34">
        <f>AA390*O390</f>
        <v/>
      </c>
      <c r="AJ390" s="34">
        <f>AA390*P390</f>
        <v/>
      </c>
      <c r="AK390" s="34">
        <f>I390*AA390*P390</f>
        <v/>
      </c>
      <c r="AL390" s="34">
        <f>AJ390-AK390</f>
        <v/>
      </c>
      <c r="AM390" s="34">
        <f>Q390*K390</f>
        <v/>
      </c>
      <c r="AN390" s="34">
        <f>AH390+AL390+AM390</f>
        <v/>
      </c>
      <c r="AO390" s="34">
        <f>(AG390-AA390)*O390</f>
        <v/>
      </c>
      <c r="AP390" s="34">
        <f>W390*N390</f>
        <v/>
      </c>
      <c r="AQ390" s="34">
        <f>T390*N390</f>
        <v/>
      </c>
      <c r="AR390" s="34">
        <f>Z390*J391+0.5*Z390*(O390+P390)</f>
        <v/>
      </c>
      <c r="AS390" s="30">
        <f>(1+InflationRate)^(A390/12)</f>
        <v/>
      </c>
      <c r="AT390" s="29">
        <f>ExpenseAcq*M390+N390*ExpenseMaint/12*AS390</f>
        <v/>
      </c>
      <c r="AU390" s="29">
        <f>CommissionRate*AE390</f>
        <v/>
      </c>
      <c r="AV390" s="34">
        <f>AB391-AB390</f>
        <v/>
      </c>
      <c r="AW390" s="34">
        <f>AE390+AR390-AN390-AT390-AU390-AV390</f>
        <v/>
      </c>
      <c r="AX390" s="29">
        <f>LoadPremRate*E390*N390+AK390+AQ390-AU390-AT390</f>
        <v/>
      </c>
      <c r="AY390" s="34">
        <f>AP390-AO390</f>
        <v/>
      </c>
      <c r="AZ390" s="37">
        <f>(AW390-AX390-AY390)/MAX(1,ABS(AW390),ABS(AX390),ABS(AY390))</f>
        <v/>
      </c>
      <c r="BA390" s="37">
        <f>IF(OR(K390&gt;0,K391&gt;0),0,(AC391-(AC390+AF390-AQ390-AP390+AR390-AI390-AJ390-AM390))/MAX(1,ABS(AC390),ABS(AC391)))</f>
        <v/>
      </c>
      <c r="BB390" s="35">
        <f>(1+INDEX(DiscRateAnn,INT(A390/12)+1))^(1/12)-1</f>
        <v/>
      </c>
      <c r="BC390" s="31">
        <f>(1+BB390)^-A390</f>
        <v/>
      </c>
      <c r="BD390" s="34">
        <f>AW390*BC390</f>
        <v/>
      </c>
    </row>
    <row r="391">
      <c r="A391" s="27">
        <f>A390+1</f>
        <v/>
      </c>
      <c r="B391" s="28">
        <f>Duration0+A391</f>
        <v/>
      </c>
      <c r="C391" s="27">
        <f>INT(B391/12)</f>
        <v/>
      </c>
      <c r="D391" s="28">
        <f>AgeAtEntry+C391</f>
        <v/>
      </c>
      <c r="E391" s="29">
        <f>IF(PremiumType="SINGLE",IF(B391=0,PremiumPPInput,0),IF(B391&lt;12*PolicyTerm,PremiumPPInput,0))</f>
        <v/>
      </c>
      <c r="F391" s="30">
        <f>INDEX(MortRates,MATCH(MIN(D391,120),MortAges,0),MAX(MIN(C391,5),0)+1)</f>
        <v/>
      </c>
      <c r="G391" s="31">
        <f>1-(1-F391)^(1/12)</f>
        <v/>
      </c>
      <c r="H391" s="32">
        <f>MAX(LapseBase-LapseStep*C391,LapseFloor)</f>
        <v/>
      </c>
      <c r="I391" s="32">
        <f>IF(HasSurrCharge,INDEX(SurrRates,MIN(C391,SurrDurMax)+1,MATCH(SurrChargeID,SurrTypes,0)),0)</f>
        <v/>
      </c>
      <c r="J391" s="33">
        <f>N390-P390-O390</f>
        <v/>
      </c>
      <c r="K391" s="30">
        <f>IF(B391=12*PolicyTerm,J391,0)</f>
        <v/>
      </c>
      <c r="L391" s="33">
        <f>J391-K391</f>
        <v/>
      </c>
      <c r="M391" s="30">
        <f>IF(B391=0,PolicyCount,0)</f>
        <v/>
      </c>
      <c r="N391" s="33">
        <f>L391+M391</f>
        <v/>
      </c>
      <c r="O391" s="31">
        <f>N391*G391</f>
        <v/>
      </c>
      <c r="P391" s="33">
        <f>(N391-O391)*(1-(1-H391)^(1/12))</f>
        <v/>
      </c>
      <c r="Q391" s="34">
        <f>X390+Z390</f>
        <v/>
      </c>
      <c r="R391" s="29">
        <f>(1-LoadPremRate)*E391</f>
        <v/>
      </c>
      <c r="S391" s="34">
        <f>Q391+R391</f>
        <v/>
      </c>
      <c r="T391" s="29">
        <f>MaintFeeRateAnn/12*S391</f>
        <v/>
      </c>
      <c r="U391" s="29">
        <f>MAX(SumAssured-S391,0)</f>
        <v/>
      </c>
      <c r="V391" s="35">
        <f>CoiMultiple*G391</f>
        <v/>
      </c>
      <c r="W391" s="34">
        <f>V391*U391</f>
        <v/>
      </c>
      <c r="X391" s="34">
        <f>S391-T391-W391</f>
        <v/>
      </c>
      <c r="Y391" s="36">
        <f>EXP((Mu-0.5*Sigma^2)/12+Sigma*SQRT(1/12)*INDEX(NormRand,ScenID,A391+1))-1</f>
        <v/>
      </c>
      <c r="Z391" s="34">
        <f>Y391*X391</f>
        <v/>
      </c>
      <c r="AA391" s="34">
        <f>X391+0.5*Z391</f>
        <v/>
      </c>
      <c r="AB391" s="34">
        <f>Q391*J391</f>
        <v/>
      </c>
      <c r="AC391" s="34">
        <f>Q391*L391</f>
        <v/>
      </c>
      <c r="AD391" s="34">
        <f>S391*N391</f>
        <v/>
      </c>
      <c r="AE391" s="34">
        <f>E391*N391</f>
        <v/>
      </c>
      <c r="AF391" s="34">
        <f>R391*N391</f>
        <v/>
      </c>
      <c r="AG391" s="29">
        <f>MAX(SumAssured,AA391)</f>
        <v/>
      </c>
      <c r="AH391" s="34">
        <f>AG391*O391</f>
        <v/>
      </c>
      <c r="AI391" s="34">
        <f>AA391*O391</f>
        <v/>
      </c>
      <c r="AJ391" s="34">
        <f>AA391*P391</f>
        <v/>
      </c>
      <c r="AK391" s="34">
        <f>I391*AA391*P391</f>
        <v/>
      </c>
      <c r="AL391" s="34">
        <f>AJ391-AK391</f>
        <v/>
      </c>
      <c r="AM391" s="34">
        <f>Q391*K391</f>
        <v/>
      </c>
      <c r="AN391" s="34">
        <f>AH391+AL391+AM391</f>
        <v/>
      </c>
      <c r="AO391" s="34">
        <f>(AG391-AA391)*O391</f>
        <v/>
      </c>
      <c r="AP391" s="34">
        <f>W391*N391</f>
        <v/>
      </c>
      <c r="AQ391" s="34">
        <f>T391*N391</f>
        <v/>
      </c>
      <c r="AR391" s="34">
        <f>Z391*J392+0.5*Z391*(O391+P391)</f>
        <v/>
      </c>
      <c r="AS391" s="30">
        <f>(1+InflationRate)^(A391/12)</f>
        <v/>
      </c>
      <c r="AT391" s="29">
        <f>ExpenseAcq*M391+N391*ExpenseMaint/12*AS391</f>
        <v/>
      </c>
      <c r="AU391" s="29">
        <f>CommissionRate*AE391</f>
        <v/>
      </c>
      <c r="AV391" s="34">
        <f>AB392-AB391</f>
        <v/>
      </c>
      <c r="AW391" s="34">
        <f>AE391+AR391-AN391-AT391-AU391-AV391</f>
        <v/>
      </c>
      <c r="AX391" s="29">
        <f>LoadPremRate*E391*N391+AK391+AQ391-AU391-AT391</f>
        <v/>
      </c>
      <c r="AY391" s="34">
        <f>AP391-AO391</f>
        <v/>
      </c>
      <c r="AZ391" s="37">
        <f>(AW391-AX391-AY391)/MAX(1,ABS(AW391),ABS(AX391),ABS(AY391))</f>
        <v/>
      </c>
      <c r="BA391" s="37">
        <f>IF(OR(K391&gt;0,K392&gt;0),0,(AC392-(AC391+AF391-AQ391-AP391+AR391-AI391-AJ391-AM391))/MAX(1,ABS(AC391),ABS(AC392)))</f>
        <v/>
      </c>
      <c r="BB391" s="35">
        <f>(1+INDEX(DiscRateAnn,INT(A391/12)+1))^(1/12)-1</f>
        <v/>
      </c>
      <c r="BC391" s="31">
        <f>(1+BB391)^-A391</f>
        <v/>
      </c>
      <c r="BD391" s="34">
        <f>AW391*BC391</f>
        <v/>
      </c>
    </row>
    <row r="392">
      <c r="A392" s="27">
        <f>A391+1</f>
        <v/>
      </c>
      <c r="B392" s="28">
        <f>Duration0+A392</f>
        <v/>
      </c>
      <c r="C392" s="27">
        <f>INT(B392/12)</f>
        <v/>
      </c>
      <c r="D392" s="28">
        <f>AgeAtEntry+C392</f>
        <v/>
      </c>
      <c r="E392" s="29">
        <f>IF(PremiumType="SINGLE",IF(B392=0,PremiumPPInput,0),IF(B392&lt;12*PolicyTerm,PremiumPPInput,0))</f>
        <v/>
      </c>
      <c r="F392" s="30">
        <f>INDEX(MortRates,MATCH(MIN(D392,120),MortAges,0),MAX(MIN(C392,5),0)+1)</f>
        <v/>
      </c>
      <c r="G392" s="31">
        <f>1-(1-F392)^(1/12)</f>
        <v/>
      </c>
      <c r="H392" s="32">
        <f>MAX(LapseBase-LapseStep*C392,LapseFloor)</f>
        <v/>
      </c>
      <c r="I392" s="32">
        <f>IF(HasSurrCharge,INDEX(SurrRates,MIN(C392,SurrDurMax)+1,MATCH(SurrChargeID,SurrTypes,0)),0)</f>
        <v/>
      </c>
      <c r="J392" s="33">
        <f>N391-P391-O391</f>
        <v/>
      </c>
      <c r="K392" s="30">
        <f>IF(B392=12*PolicyTerm,J392,0)</f>
        <v/>
      </c>
      <c r="L392" s="33">
        <f>J392-K392</f>
        <v/>
      </c>
      <c r="M392" s="30">
        <f>IF(B392=0,PolicyCount,0)</f>
        <v/>
      </c>
      <c r="N392" s="33">
        <f>L392+M392</f>
        <v/>
      </c>
      <c r="O392" s="31">
        <f>N392*G392</f>
        <v/>
      </c>
      <c r="P392" s="33">
        <f>(N392-O392)*(1-(1-H392)^(1/12))</f>
        <v/>
      </c>
      <c r="Q392" s="34">
        <f>X391+Z391</f>
        <v/>
      </c>
      <c r="R392" s="29">
        <f>(1-LoadPremRate)*E392</f>
        <v/>
      </c>
      <c r="S392" s="34">
        <f>Q392+R392</f>
        <v/>
      </c>
      <c r="T392" s="29">
        <f>MaintFeeRateAnn/12*S392</f>
        <v/>
      </c>
      <c r="U392" s="29">
        <f>MAX(SumAssured-S392,0)</f>
        <v/>
      </c>
      <c r="V392" s="35">
        <f>CoiMultiple*G392</f>
        <v/>
      </c>
      <c r="W392" s="34">
        <f>V392*U392</f>
        <v/>
      </c>
      <c r="X392" s="34">
        <f>S392-T392-W392</f>
        <v/>
      </c>
      <c r="Y392" s="36">
        <f>EXP((Mu-0.5*Sigma^2)/12+Sigma*SQRT(1/12)*INDEX(NormRand,ScenID,A392+1))-1</f>
        <v/>
      </c>
      <c r="Z392" s="34">
        <f>Y392*X392</f>
        <v/>
      </c>
      <c r="AA392" s="34">
        <f>X392+0.5*Z392</f>
        <v/>
      </c>
      <c r="AB392" s="34">
        <f>Q392*J392</f>
        <v/>
      </c>
      <c r="AC392" s="34">
        <f>Q392*L392</f>
        <v/>
      </c>
      <c r="AD392" s="34">
        <f>S392*N392</f>
        <v/>
      </c>
      <c r="AE392" s="34">
        <f>E392*N392</f>
        <v/>
      </c>
      <c r="AF392" s="34">
        <f>R392*N392</f>
        <v/>
      </c>
      <c r="AG392" s="29">
        <f>MAX(SumAssured,AA392)</f>
        <v/>
      </c>
      <c r="AH392" s="34">
        <f>AG392*O392</f>
        <v/>
      </c>
      <c r="AI392" s="34">
        <f>AA392*O392</f>
        <v/>
      </c>
      <c r="AJ392" s="34">
        <f>AA392*P392</f>
        <v/>
      </c>
      <c r="AK392" s="34">
        <f>I392*AA392*P392</f>
        <v/>
      </c>
      <c r="AL392" s="34">
        <f>AJ392-AK392</f>
        <v/>
      </c>
      <c r="AM392" s="34">
        <f>Q392*K392</f>
        <v/>
      </c>
      <c r="AN392" s="34">
        <f>AH392+AL392+AM392</f>
        <v/>
      </c>
      <c r="AO392" s="34">
        <f>(AG392-AA392)*O392</f>
        <v/>
      </c>
      <c r="AP392" s="34">
        <f>W392*N392</f>
        <v/>
      </c>
      <c r="AQ392" s="34">
        <f>T392*N392</f>
        <v/>
      </c>
      <c r="AR392" s="34">
        <f>Z392*J393+0.5*Z392*(O392+P392)</f>
        <v/>
      </c>
      <c r="AS392" s="30">
        <f>(1+InflationRate)^(A392/12)</f>
        <v/>
      </c>
      <c r="AT392" s="29">
        <f>ExpenseAcq*M392+N392*ExpenseMaint/12*AS392</f>
        <v/>
      </c>
      <c r="AU392" s="29">
        <f>CommissionRate*AE392</f>
        <v/>
      </c>
      <c r="AV392" s="34">
        <f>AB393-AB392</f>
        <v/>
      </c>
      <c r="AW392" s="34">
        <f>AE392+AR392-AN392-AT392-AU392-AV392</f>
        <v/>
      </c>
      <c r="AX392" s="29">
        <f>LoadPremRate*E392*N392+AK392+AQ392-AU392-AT392</f>
        <v/>
      </c>
      <c r="AY392" s="34">
        <f>AP392-AO392</f>
        <v/>
      </c>
      <c r="AZ392" s="37">
        <f>(AW392-AX392-AY392)/MAX(1,ABS(AW392),ABS(AX392),ABS(AY392))</f>
        <v/>
      </c>
      <c r="BA392" s="37">
        <f>IF(OR(K392&gt;0,K393&gt;0),0,(AC393-(AC392+AF392-AQ392-AP392+AR392-AI392-AJ392-AM392))/MAX(1,ABS(AC392),ABS(AC393)))</f>
        <v/>
      </c>
      <c r="BB392" s="35">
        <f>(1+INDEX(DiscRateAnn,INT(A392/12)+1))^(1/12)-1</f>
        <v/>
      </c>
      <c r="BC392" s="31">
        <f>(1+BB392)^-A392</f>
        <v/>
      </c>
      <c r="BD392" s="34">
        <f>AW392*BC392</f>
        <v/>
      </c>
    </row>
    <row r="393">
      <c r="A393" s="27">
        <f>A392+1</f>
        <v/>
      </c>
      <c r="B393" s="28">
        <f>Duration0+A393</f>
        <v/>
      </c>
      <c r="C393" s="27">
        <f>INT(B393/12)</f>
        <v/>
      </c>
      <c r="D393" s="28">
        <f>AgeAtEntry+C393</f>
        <v/>
      </c>
      <c r="E393" s="29">
        <f>IF(PremiumType="SINGLE",IF(B393=0,PremiumPPInput,0),IF(B393&lt;12*PolicyTerm,PremiumPPInput,0))</f>
        <v/>
      </c>
      <c r="F393" s="30">
        <f>INDEX(MortRates,MATCH(MIN(D393,120),MortAges,0),MAX(MIN(C393,5),0)+1)</f>
        <v/>
      </c>
      <c r="G393" s="31">
        <f>1-(1-F393)^(1/12)</f>
        <v/>
      </c>
      <c r="H393" s="32">
        <f>MAX(LapseBase-LapseStep*C393,LapseFloor)</f>
        <v/>
      </c>
      <c r="I393" s="32">
        <f>IF(HasSurrCharge,INDEX(SurrRates,MIN(C393,SurrDurMax)+1,MATCH(SurrChargeID,SurrTypes,0)),0)</f>
        <v/>
      </c>
      <c r="J393" s="33">
        <f>N392-P392-O392</f>
        <v/>
      </c>
      <c r="K393" s="30">
        <f>IF(B393=12*PolicyTerm,J393,0)</f>
        <v/>
      </c>
      <c r="L393" s="33">
        <f>J393-K393</f>
        <v/>
      </c>
      <c r="M393" s="30">
        <f>IF(B393=0,PolicyCount,0)</f>
        <v/>
      </c>
      <c r="N393" s="33">
        <f>L393+M393</f>
        <v/>
      </c>
      <c r="O393" s="31">
        <f>N393*G393</f>
        <v/>
      </c>
      <c r="P393" s="33">
        <f>(N393-O393)*(1-(1-H393)^(1/12))</f>
        <v/>
      </c>
      <c r="Q393" s="34">
        <f>X392+Z392</f>
        <v/>
      </c>
      <c r="R393" s="29">
        <f>(1-LoadPremRate)*E393</f>
        <v/>
      </c>
      <c r="S393" s="34">
        <f>Q393+R393</f>
        <v/>
      </c>
      <c r="T393" s="29">
        <f>MaintFeeRateAnn/12*S393</f>
        <v/>
      </c>
      <c r="U393" s="29">
        <f>MAX(SumAssured-S393,0)</f>
        <v/>
      </c>
      <c r="V393" s="35">
        <f>CoiMultiple*G393</f>
        <v/>
      </c>
      <c r="W393" s="34">
        <f>V393*U393</f>
        <v/>
      </c>
      <c r="X393" s="34">
        <f>S393-T393-W393</f>
        <v/>
      </c>
      <c r="Y393" s="36">
        <f>EXP((Mu-0.5*Sigma^2)/12+Sigma*SQRT(1/12)*INDEX(NormRand,ScenID,A393+1))-1</f>
        <v/>
      </c>
      <c r="Z393" s="34">
        <f>Y393*X393</f>
        <v/>
      </c>
      <c r="AA393" s="34">
        <f>X393+0.5*Z393</f>
        <v/>
      </c>
      <c r="AB393" s="34">
        <f>Q393*J393</f>
        <v/>
      </c>
      <c r="AC393" s="34">
        <f>Q393*L393</f>
        <v/>
      </c>
      <c r="AD393" s="34">
        <f>S393*N393</f>
        <v/>
      </c>
      <c r="AE393" s="34">
        <f>E393*N393</f>
        <v/>
      </c>
      <c r="AF393" s="34">
        <f>R393*N393</f>
        <v/>
      </c>
      <c r="AG393" s="29">
        <f>MAX(SumAssured,AA393)</f>
        <v/>
      </c>
      <c r="AH393" s="34">
        <f>AG393*O393</f>
        <v/>
      </c>
      <c r="AI393" s="34">
        <f>AA393*O393</f>
        <v/>
      </c>
      <c r="AJ393" s="34">
        <f>AA393*P393</f>
        <v/>
      </c>
      <c r="AK393" s="34">
        <f>I393*AA393*P393</f>
        <v/>
      </c>
      <c r="AL393" s="34">
        <f>AJ393-AK393</f>
        <v/>
      </c>
      <c r="AM393" s="34">
        <f>Q393*K393</f>
        <v/>
      </c>
      <c r="AN393" s="34">
        <f>AH393+AL393+AM393</f>
        <v/>
      </c>
      <c r="AO393" s="34">
        <f>(AG393-AA393)*O393</f>
        <v/>
      </c>
      <c r="AP393" s="34">
        <f>W393*N393</f>
        <v/>
      </c>
      <c r="AQ393" s="34">
        <f>T393*N393</f>
        <v/>
      </c>
      <c r="AR393" s="34">
        <f>Z393*J394+0.5*Z393*(O393+P393)</f>
        <v/>
      </c>
      <c r="AS393" s="30">
        <f>(1+InflationRate)^(A393/12)</f>
        <v/>
      </c>
      <c r="AT393" s="29">
        <f>ExpenseAcq*M393+N393*ExpenseMaint/12*AS393</f>
        <v/>
      </c>
      <c r="AU393" s="29">
        <f>CommissionRate*AE393</f>
        <v/>
      </c>
      <c r="AV393" s="34">
        <f>AB394-AB393</f>
        <v/>
      </c>
      <c r="AW393" s="34">
        <f>AE393+AR393-AN393-AT393-AU393-AV393</f>
        <v/>
      </c>
      <c r="AX393" s="29">
        <f>LoadPremRate*E393*N393+AK393+AQ393-AU393-AT393</f>
        <v/>
      </c>
      <c r="AY393" s="34">
        <f>AP393-AO393</f>
        <v/>
      </c>
      <c r="AZ393" s="37">
        <f>(AW393-AX393-AY393)/MAX(1,ABS(AW393),ABS(AX393),ABS(AY393))</f>
        <v/>
      </c>
      <c r="BA393" s="37">
        <f>IF(OR(K393&gt;0,K394&gt;0),0,(AC394-(AC393+AF393-AQ393-AP393+AR393-AI393-AJ393-AM393))/MAX(1,ABS(AC393),ABS(AC394)))</f>
        <v/>
      </c>
      <c r="BB393" s="35">
        <f>(1+INDEX(DiscRateAnn,INT(A393/12)+1))^(1/12)-1</f>
        <v/>
      </c>
      <c r="BC393" s="31">
        <f>(1+BB393)^-A393</f>
        <v/>
      </c>
      <c r="BD393" s="34">
        <f>AW393*BC393</f>
        <v/>
      </c>
    </row>
    <row r="394">
      <c r="A394" s="27">
        <f>A393+1</f>
        <v/>
      </c>
      <c r="B394" s="28">
        <f>Duration0+A394</f>
        <v/>
      </c>
      <c r="C394" s="27">
        <f>INT(B394/12)</f>
        <v/>
      </c>
      <c r="D394" s="28">
        <f>AgeAtEntry+C394</f>
        <v/>
      </c>
      <c r="E394" s="29">
        <f>IF(PremiumType="SINGLE",IF(B394=0,PremiumPPInput,0),IF(B394&lt;12*PolicyTerm,PremiumPPInput,0))</f>
        <v/>
      </c>
      <c r="F394" s="30">
        <f>INDEX(MortRates,MATCH(MIN(D394,120),MortAges,0),MAX(MIN(C394,5),0)+1)</f>
        <v/>
      </c>
      <c r="G394" s="31">
        <f>1-(1-F394)^(1/12)</f>
        <v/>
      </c>
      <c r="H394" s="32">
        <f>MAX(LapseBase-LapseStep*C394,LapseFloor)</f>
        <v/>
      </c>
      <c r="I394" s="32">
        <f>IF(HasSurrCharge,INDEX(SurrRates,MIN(C394,SurrDurMax)+1,MATCH(SurrChargeID,SurrTypes,0)),0)</f>
        <v/>
      </c>
      <c r="J394" s="33">
        <f>N393-P393-O393</f>
        <v/>
      </c>
      <c r="K394" s="30">
        <f>IF(B394=12*PolicyTerm,J394,0)</f>
        <v/>
      </c>
      <c r="L394" s="33">
        <f>J394-K394</f>
        <v/>
      </c>
      <c r="M394" s="30">
        <f>IF(B394=0,PolicyCount,0)</f>
        <v/>
      </c>
      <c r="N394" s="33">
        <f>L394+M394</f>
        <v/>
      </c>
      <c r="O394" s="31">
        <f>N394*G394</f>
        <v/>
      </c>
      <c r="P394" s="33">
        <f>(N394-O394)*(1-(1-H394)^(1/12))</f>
        <v/>
      </c>
      <c r="Q394" s="34">
        <f>X393+Z393</f>
        <v/>
      </c>
      <c r="R394" s="29">
        <f>(1-LoadPremRate)*E394</f>
        <v/>
      </c>
      <c r="S394" s="34">
        <f>Q394+R394</f>
        <v/>
      </c>
      <c r="T394" s="29">
        <f>MaintFeeRateAnn/12*S394</f>
        <v/>
      </c>
      <c r="U394" s="29">
        <f>MAX(SumAssured-S394,0)</f>
        <v/>
      </c>
      <c r="V394" s="35">
        <f>CoiMultiple*G394</f>
        <v/>
      </c>
      <c r="W394" s="34">
        <f>V394*U394</f>
        <v/>
      </c>
      <c r="X394" s="34">
        <f>S394-T394-W394</f>
        <v/>
      </c>
      <c r="Y394" s="36">
        <f>EXP((Mu-0.5*Sigma^2)/12+Sigma*SQRT(1/12)*INDEX(NormRand,ScenID,A394+1))-1</f>
        <v/>
      </c>
      <c r="Z394" s="34">
        <f>Y394*X394</f>
        <v/>
      </c>
      <c r="AA394" s="34">
        <f>X394+0.5*Z394</f>
        <v/>
      </c>
      <c r="AB394" s="34">
        <f>Q394*J394</f>
        <v/>
      </c>
      <c r="AC394" s="34">
        <f>Q394*L394</f>
        <v/>
      </c>
      <c r="AD394" s="34">
        <f>S394*N394</f>
        <v/>
      </c>
      <c r="AE394" s="34">
        <f>E394*N394</f>
        <v/>
      </c>
      <c r="AF394" s="34">
        <f>R394*N394</f>
        <v/>
      </c>
      <c r="AG394" s="29">
        <f>MAX(SumAssured,AA394)</f>
        <v/>
      </c>
      <c r="AH394" s="34">
        <f>AG394*O394</f>
        <v/>
      </c>
      <c r="AI394" s="34">
        <f>AA394*O394</f>
        <v/>
      </c>
      <c r="AJ394" s="34">
        <f>AA394*P394</f>
        <v/>
      </c>
      <c r="AK394" s="34">
        <f>I394*AA394*P394</f>
        <v/>
      </c>
      <c r="AL394" s="34">
        <f>AJ394-AK394</f>
        <v/>
      </c>
      <c r="AM394" s="34">
        <f>Q394*K394</f>
        <v/>
      </c>
      <c r="AN394" s="34">
        <f>AH394+AL394+AM394</f>
        <v/>
      </c>
      <c r="AO394" s="34">
        <f>(AG394-AA394)*O394</f>
        <v/>
      </c>
      <c r="AP394" s="34">
        <f>W394*N394</f>
        <v/>
      </c>
      <c r="AQ394" s="34">
        <f>T394*N394</f>
        <v/>
      </c>
      <c r="AR394" s="34">
        <f>Z394*J395+0.5*Z394*(O394+P394)</f>
        <v/>
      </c>
      <c r="AS394" s="30">
        <f>(1+InflationRate)^(A394/12)</f>
        <v/>
      </c>
      <c r="AT394" s="29">
        <f>ExpenseAcq*M394+N394*ExpenseMaint/12*AS394</f>
        <v/>
      </c>
      <c r="AU394" s="29">
        <f>CommissionRate*AE394</f>
        <v/>
      </c>
      <c r="AV394" s="34">
        <f>AB395-AB394</f>
        <v/>
      </c>
      <c r="AW394" s="34">
        <f>AE394+AR394-AN394-AT394-AU394-AV394</f>
        <v/>
      </c>
      <c r="AX394" s="29">
        <f>LoadPremRate*E394*N394+AK394+AQ394-AU394-AT394</f>
        <v/>
      </c>
      <c r="AY394" s="34">
        <f>AP394-AO394</f>
        <v/>
      </c>
      <c r="AZ394" s="37">
        <f>(AW394-AX394-AY394)/MAX(1,ABS(AW394),ABS(AX394),ABS(AY394))</f>
        <v/>
      </c>
      <c r="BA394" s="37">
        <f>IF(OR(K394&gt;0,K395&gt;0),0,(AC395-(AC394+AF394-AQ394-AP394+AR394-AI394-AJ394-AM394))/MAX(1,ABS(AC394),ABS(AC395)))</f>
        <v/>
      </c>
      <c r="BB394" s="35">
        <f>(1+INDEX(DiscRateAnn,INT(A394/12)+1))^(1/12)-1</f>
        <v/>
      </c>
      <c r="BC394" s="31">
        <f>(1+BB394)^-A394</f>
        <v/>
      </c>
      <c r="BD394" s="34">
        <f>AW394*BC394</f>
        <v/>
      </c>
    </row>
    <row r="395">
      <c r="A395" s="27">
        <f>A394+1</f>
        <v/>
      </c>
      <c r="B395" s="28">
        <f>Duration0+A395</f>
        <v/>
      </c>
      <c r="C395" s="27">
        <f>INT(B395/12)</f>
        <v/>
      </c>
      <c r="D395" s="28">
        <f>AgeAtEntry+C395</f>
        <v/>
      </c>
      <c r="E395" s="29">
        <f>IF(PremiumType="SINGLE",IF(B395=0,PremiumPPInput,0),IF(B395&lt;12*PolicyTerm,PremiumPPInput,0))</f>
        <v/>
      </c>
      <c r="F395" s="30">
        <f>INDEX(MortRates,MATCH(MIN(D395,120),MortAges,0),MAX(MIN(C395,5),0)+1)</f>
        <v/>
      </c>
      <c r="G395" s="31">
        <f>1-(1-F395)^(1/12)</f>
        <v/>
      </c>
      <c r="H395" s="32">
        <f>MAX(LapseBase-LapseStep*C395,LapseFloor)</f>
        <v/>
      </c>
      <c r="I395" s="32">
        <f>IF(HasSurrCharge,INDEX(SurrRates,MIN(C395,SurrDurMax)+1,MATCH(SurrChargeID,SurrTypes,0)),0)</f>
        <v/>
      </c>
      <c r="J395" s="33">
        <f>N394-P394-O394</f>
        <v/>
      </c>
      <c r="K395" s="30">
        <f>IF(B395=12*PolicyTerm,J395,0)</f>
        <v/>
      </c>
      <c r="L395" s="33">
        <f>J395-K395</f>
        <v/>
      </c>
      <c r="M395" s="30">
        <f>IF(B395=0,PolicyCount,0)</f>
        <v/>
      </c>
      <c r="N395" s="33">
        <f>L395+M395</f>
        <v/>
      </c>
      <c r="O395" s="31">
        <f>N395*G395</f>
        <v/>
      </c>
      <c r="P395" s="33">
        <f>(N395-O395)*(1-(1-H395)^(1/12))</f>
        <v/>
      </c>
      <c r="Q395" s="34">
        <f>X394+Z394</f>
        <v/>
      </c>
      <c r="R395" s="29">
        <f>(1-LoadPremRate)*E395</f>
        <v/>
      </c>
      <c r="S395" s="34">
        <f>Q395+R395</f>
        <v/>
      </c>
      <c r="T395" s="29">
        <f>MaintFeeRateAnn/12*S395</f>
        <v/>
      </c>
      <c r="U395" s="29">
        <f>MAX(SumAssured-S395,0)</f>
        <v/>
      </c>
      <c r="V395" s="35">
        <f>CoiMultiple*G395</f>
        <v/>
      </c>
      <c r="W395" s="34">
        <f>V395*U395</f>
        <v/>
      </c>
      <c r="X395" s="34">
        <f>S395-T395-W395</f>
        <v/>
      </c>
      <c r="Y395" s="36">
        <f>EXP((Mu-0.5*Sigma^2)/12+Sigma*SQRT(1/12)*INDEX(NormRand,ScenID,A395+1))-1</f>
        <v/>
      </c>
      <c r="Z395" s="34">
        <f>Y395*X395</f>
        <v/>
      </c>
      <c r="AA395" s="34">
        <f>X395+0.5*Z395</f>
        <v/>
      </c>
      <c r="AB395" s="34">
        <f>Q395*J395</f>
        <v/>
      </c>
      <c r="AC395" s="34">
        <f>Q395*L395</f>
        <v/>
      </c>
      <c r="AD395" s="34">
        <f>S395*N395</f>
        <v/>
      </c>
      <c r="AE395" s="34">
        <f>E395*N395</f>
        <v/>
      </c>
      <c r="AF395" s="34">
        <f>R395*N395</f>
        <v/>
      </c>
      <c r="AG395" s="29">
        <f>MAX(SumAssured,AA395)</f>
        <v/>
      </c>
      <c r="AH395" s="34">
        <f>AG395*O395</f>
        <v/>
      </c>
      <c r="AI395" s="34">
        <f>AA395*O395</f>
        <v/>
      </c>
      <c r="AJ395" s="34">
        <f>AA395*P395</f>
        <v/>
      </c>
      <c r="AK395" s="34">
        <f>I395*AA395*P395</f>
        <v/>
      </c>
      <c r="AL395" s="34">
        <f>AJ395-AK395</f>
        <v/>
      </c>
      <c r="AM395" s="34">
        <f>Q395*K395</f>
        <v/>
      </c>
      <c r="AN395" s="34">
        <f>AH395+AL395+AM395</f>
        <v/>
      </c>
      <c r="AO395" s="34">
        <f>(AG395-AA395)*O395</f>
        <v/>
      </c>
      <c r="AP395" s="34">
        <f>W395*N395</f>
        <v/>
      </c>
      <c r="AQ395" s="34">
        <f>T395*N395</f>
        <v/>
      </c>
      <c r="AR395" s="34">
        <f>Z395*J396+0.5*Z395*(O395+P395)</f>
        <v/>
      </c>
      <c r="AS395" s="30">
        <f>(1+InflationRate)^(A395/12)</f>
        <v/>
      </c>
      <c r="AT395" s="29">
        <f>ExpenseAcq*M395+N395*ExpenseMaint/12*AS395</f>
        <v/>
      </c>
      <c r="AU395" s="29">
        <f>CommissionRate*AE395</f>
        <v/>
      </c>
      <c r="AV395" s="34">
        <f>AB396-AB395</f>
        <v/>
      </c>
      <c r="AW395" s="34">
        <f>AE395+AR395-AN395-AT395-AU395-AV395</f>
        <v/>
      </c>
      <c r="AX395" s="29">
        <f>LoadPremRate*E395*N395+AK395+AQ395-AU395-AT395</f>
        <v/>
      </c>
      <c r="AY395" s="34">
        <f>AP395-AO395</f>
        <v/>
      </c>
      <c r="AZ395" s="37">
        <f>(AW395-AX395-AY395)/MAX(1,ABS(AW395),ABS(AX395),ABS(AY395))</f>
        <v/>
      </c>
      <c r="BA395" s="37">
        <f>IF(OR(K395&gt;0,K396&gt;0),0,(AC396-(AC395+AF395-AQ395-AP395+AR395-AI395-AJ395-AM395))/MAX(1,ABS(AC395),ABS(AC396)))</f>
        <v/>
      </c>
      <c r="BB395" s="35">
        <f>(1+INDEX(DiscRateAnn,INT(A395/12)+1))^(1/12)-1</f>
        <v/>
      </c>
      <c r="BC395" s="31">
        <f>(1+BB395)^-A395</f>
        <v/>
      </c>
      <c r="BD395" s="34">
        <f>AW395*BC395</f>
        <v/>
      </c>
    </row>
    <row r="396">
      <c r="A396" s="27">
        <f>A395+1</f>
        <v/>
      </c>
      <c r="B396" s="28">
        <f>Duration0+A396</f>
        <v/>
      </c>
      <c r="C396" s="27">
        <f>INT(B396/12)</f>
        <v/>
      </c>
      <c r="D396" s="28">
        <f>AgeAtEntry+C396</f>
        <v/>
      </c>
      <c r="E396" s="29">
        <f>IF(PremiumType="SINGLE",IF(B396=0,PremiumPPInput,0),IF(B396&lt;12*PolicyTerm,PremiumPPInput,0))</f>
        <v/>
      </c>
      <c r="F396" s="30">
        <f>INDEX(MortRates,MATCH(MIN(D396,120),MortAges,0),MAX(MIN(C396,5),0)+1)</f>
        <v/>
      </c>
      <c r="G396" s="31">
        <f>1-(1-F396)^(1/12)</f>
        <v/>
      </c>
      <c r="H396" s="32">
        <f>MAX(LapseBase-LapseStep*C396,LapseFloor)</f>
        <v/>
      </c>
      <c r="I396" s="32">
        <f>IF(HasSurrCharge,INDEX(SurrRates,MIN(C396,SurrDurMax)+1,MATCH(SurrChargeID,SurrTypes,0)),0)</f>
        <v/>
      </c>
      <c r="J396" s="33">
        <f>N395-P395-O395</f>
        <v/>
      </c>
      <c r="K396" s="30">
        <f>IF(B396=12*PolicyTerm,J396,0)</f>
        <v/>
      </c>
      <c r="L396" s="33">
        <f>J396-K396</f>
        <v/>
      </c>
      <c r="M396" s="30">
        <f>IF(B396=0,PolicyCount,0)</f>
        <v/>
      </c>
      <c r="N396" s="33">
        <f>L396+M396</f>
        <v/>
      </c>
      <c r="O396" s="31">
        <f>N396*G396</f>
        <v/>
      </c>
      <c r="P396" s="33">
        <f>(N396-O396)*(1-(1-H396)^(1/12))</f>
        <v/>
      </c>
      <c r="Q396" s="34">
        <f>X395+Z395</f>
        <v/>
      </c>
      <c r="R396" s="29">
        <f>(1-LoadPremRate)*E396</f>
        <v/>
      </c>
      <c r="S396" s="34">
        <f>Q396+R396</f>
        <v/>
      </c>
      <c r="T396" s="29">
        <f>MaintFeeRateAnn/12*S396</f>
        <v/>
      </c>
      <c r="U396" s="29">
        <f>MAX(SumAssured-S396,0)</f>
        <v/>
      </c>
      <c r="V396" s="35">
        <f>CoiMultiple*G396</f>
        <v/>
      </c>
      <c r="W396" s="34">
        <f>V396*U396</f>
        <v/>
      </c>
      <c r="X396" s="34">
        <f>S396-T396-W396</f>
        <v/>
      </c>
      <c r="Y396" s="36">
        <f>EXP((Mu-0.5*Sigma^2)/12+Sigma*SQRT(1/12)*INDEX(NormRand,ScenID,A396+1))-1</f>
        <v/>
      </c>
      <c r="Z396" s="34">
        <f>Y396*X396</f>
        <v/>
      </c>
      <c r="AA396" s="34">
        <f>X396+0.5*Z396</f>
        <v/>
      </c>
      <c r="AB396" s="34">
        <f>Q396*J396</f>
        <v/>
      </c>
      <c r="AC396" s="34">
        <f>Q396*L396</f>
        <v/>
      </c>
      <c r="AD396" s="34">
        <f>S396*N396</f>
        <v/>
      </c>
      <c r="AE396" s="34">
        <f>E396*N396</f>
        <v/>
      </c>
      <c r="AF396" s="34">
        <f>R396*N396</f>
        <v/>
      </c>
      <c r="AG396" s="29">
        <f>MAX(SumAssured,AA396)</f>
        <v/>
      </c>
      <c r="AH396" s="34">
        <f>AG396*O396</f>
        <v/>
      </c>
      <c r="AI396" s="34">
        <f>AA396*O396</f>
        <v/>
      </c>
      <c r="AJ396" s="34">
        <f>AA396*P396</f>
        <v/>
      </c>
      <c r="AK396" s="34">
        <f>I396*AA396*P396</f>
        <v/>
      </c>
      <c r="AL396" s="34">
        <f>AJ396-AK396</f>
        <v/>
      </c>
      <c r="AM396" s="34">
        <f>Q396*K396</f>
        <v/>
      </c>
      <c r="AN396" s="34">
        <f>AH396+AL396+AM396</f>
        <v/>
      </c>
      <c r="AO396" s="34">
        <f>(AG396-AA396)*O396</f>
        <v/>
      </c>
      <c r="AP396" s="34">
        <f>W396*N396</f>
        <v/>
      </c>
      <c r="AQ396" s="34">
        <f>T396*N396</f>
        <v/>
      </c>
      <c r="AR396" s="34">
        <f>Z396*J397+0.5*Z396*(O396+P396)</f>
        <v/>
      </c>
      <c r="AS396" s="30">
        <f>(1+InflationRate)^(A396/12)</f>
        <v/>
      </c>
      <c r="AT396" s="29">
        <f>ExpenseAcq*M396+N396*ExpenseMaint/12*AS396</f>
        <v/>
      </c>
      <c r="AU396" s="29">
        <f>CommissionRate*AE396</f>
        <v/>
      </c>
      <c r="AV396" s="34">
        <f>AB397-AB396</f>
        <v/>
      </c>
      <c r="AW396" s="34">
        <f>AE396+AR396-AN396-AT396-AU396-AV396</f>
        <v/>
      </c>
      <c r="AX396" s="29">
        <f>LoadPremRate*E396*N396+AK396+AQ396-AU396-AT396</f>
        <v/>
      </c>
      <c r="AY396" s="34">
        <f>AP396-AO396</f>
        <v/>
      </c>
      <c r="AZ396" s="37">
        <f>(AW396-AX396-AY396)/MAX(1,ABS(AW396),ABS(AX396),ABS(AY396))</f>
        <v/>
      </c>
      <c r="BA396" s="37">
        <f>IF(OR(K396&gt;0,K397&gt;0),0,(AC397-(AC396+AF396-AQ396-AP396+AR396-AI396-AJ396-AM396))/MAX(1,ABS(AC396),ABS(AC397)))</f>
        <v/>
      </c>
      <c r="BB396" s="35">
        <f>(1+INDEX(DiscRateAnn,INT(A396/12)+1))^(1/12)-1</f>
        <v/>
      </c>
      <c r="BC396" s="31">
        <f>(1+BB396)^-A396</f>
        <v/>
      </c>
      <c r="BD396" s="34">
        <f>AW396*BC396</f>
        <v/>
      </c>
    </row>
    <row r="397">
      <c r="A397" s="27">
        <f>A396+1</f>
        <v/>
      </c>
      <c r="B397" s="28">
        <f>Duration0+A397</f>
        <v/>
      </c>
      <c r="C397" s="27">
        <f>INT(B397/12)</f>
        <v/>
      </c>
      <c r="D397" s="28">
        <f>AgeAtEntry+C397</f>
        <v/>
      </c>
      <c r="E397" s="29">
        <f>IF(PremiumType="SINGLE",IF(B397=0,PremiumPPInput,0),IF(B397&lt;12*PolicyTerm,PremiumPPInput,0))</f>
        <v/>
      </c>
      <c r="F397" s="30">
        <f>INDEX(MortRates,MATCH(MIN(D397,120),MortAges,0),MAX(MIN(C397,5),0)+1)</f>
        <v/>
      </c>
      <c r="G397" s="31">
        <f>1-(1-F397)^(1/12)</f>
        <v/>
      </c>
      <c r="H397" s="32">
        <f>MAX(LapseBase-LapseStep*C397,LapseFloor)</f>
        <v/>
      </c>
      <c r="I397" s="32">
        <f>IF(HasSurrCharge,INDEX(SurrRates,MIN(C397,SurrDurMax)+1,MATCH(SurrChargeID,SurrTypes,0)),0)</f>
        <v/>
      </c>
      <c r="J397" s="33">
        <f>N396-P396-O396</f>
        <v/>
      </c>
      <c r="K397" s="30">
        <f>IF(B397=12*PolicyTerm,J397,0)</f>
        <v/>
      </c>
      <c r="L397" s="33">
        <f>J397-K397</f>
        <v/>
      </c>
      <c r="M397" s="30">
        <f>IF(B397=0,PolicyCount,0)</f>
        <v/>
      </c>
      <c r="N397" s="33">
        <f>L397+M397</f>
        <v/>
      </c>
      <c r="O397" s="31">
        <f>N397*G397</f>
        <v/>
      </c>
      <c r="P397" s="33">
        <f>(N397-O397)*(1-(1-H397)^(1/12))</f>
        <v/>
      </c>
      <c r="Q397" s="34">
        <f>X396+Z396</f>
        <v/>
      </c>
      <c r="R397" s="29">
        <f>(1-LoadPremRate)*E397</f>
        <v/>
      </c>
      <c r="S397" s="34">
        <f>Q397+R397</f>
        <v/>
      </c>
      <c r="T397" s="29">
        <f>MaintFeeRateAnn/12*S397</f>
        <v/>
      </c>
      <c r="U397" s="29">
        <f>MAX(SumAssured-S397,0)</f>
        <v/>
      </c>
      <c r="V397" s="35">
        <f>CoiMultiple*G397</f>
        <v/>
      </c>
      <c r="W397" s="34">
        <f>V397*U397</f>
        <v/>
      </c>
      <c r="X397" s="34">
        <f>S397-T397-W397</f>
        <v/>
      </c>
      <c r="Y397" s="36">
        <f>EXP((Mu-0.5*Sigma^2)/12+Sigma*SQRT(1/12)*INDEX(NormRand,ScenID,A397+1))-1</f>
        <v/>
      </c>
      <c r="Z397" s="34">
        <f>Y397*X397</f>
        <v/>
      </c>
      <c r="AA397" s="34">
        <f>X397+0.5*Z397</f>
        <v/>
      </c>
      <c r="AB397" s="34">
        <f>Q397*J397</f>
        <v/>
      </c>
      <c r="AC397" s="34">
        <f>Q397*L397</f>
        <v/>
      </c>
      <c r="AD397" s="34">
        <f>S397*N397</f>
        <v/>
      </c>
      <c r="AE397" s="34">
        <f>E397*N397</f>
        <v/>
      </c>
      <c r="AF397" s="34">
        <f>R397*N397</f>
        <v/>
      </c>
      <c r="AG397" s="29">
        <f>MAX(SumAssured,AA397)</f>
        <v/>
      </c>
      <c r="AH397" s="34">
        <f>AG397*O397</f>
        <v/>
      </c>
      <c r="AI397" s="34">
        <f>AA397*O397</f>
        <v/>
      </c>
      <c r="AJ397" s="34">
        <f>AA397*P397</f>
        <v/>
      </c>
      <c r="AK397" s="34">
        <f>I397*AA397*P397</f>
        <v/>
      </c>
      <c r="AL397" s="34">
        <f>AJ397-AK397</f>
        <v/>
      </c>
      <c r="AM397" s="34">
        <f>Q397*K397</f>
        <v/>
      </c>
      <c r="AN397" s="34">
        <f>AH397+AL397+AM397</f>
        <v/>
      </c>
      <c r="AO397" s="34">
        <f>(AG397-AA397)*O397</f>
        <v/>
      </c>
      <c r="AP397" s="34">
        <f>W397*N397</f>
        <v/>
      </c>
      <c r="AQ397" s="34">
        <f>T397*N397</f>
        <v/>
      </c>
      <c r="AR397" s="34">
        <f>Z397*J398+0.5*Z397*(O397+P397)</f>
        <v/>
      </c>
      <c r="AS397" s="30">
        <f>(1+InflationRate)^(A397/12)</f>
        <v/>
      </c>
      <c r="AT397" s="29">
        <f>ExpenseAcq*M397+N397*ExpenseMaint/12*AS397</f>
        <v/>
      </c>
      <c r="AU397" s="29">
        <f>CommissionRate*AE397</f>
        <v/>
      </c>
      <c r="AV397" s="34">
        <f>AB398-AB397</f>
        <v/>
      </c>
      <c r="AW397" s="34">
        <f>AE397+AR397-AN397-AT397-AU397-AV397</f>
        <v/>
      </c>
      <c r="AX397" s="29">
        <f>LoadPremRate*E397*N397+AK397+AQ397-AU397-AT397</f>
        <v/>
      </c>
      <c r="AY397" s="34">
        <f>AP397-AO397</f>
        <v/>
      </c>
      <c r="AZ397" s="37">
        <f>(AW397-AX397-AY397)/MAX(1,ABS(AW397),ABS(AX397),ABS(AY397))</f>
        <v/>
      </c>
      <c r="BA397" s="37">
        <f>IF(OR(K397&gt;0,K398&gt;0),0,(AC398-(AC397+AF397-AQ397-AP397+AR397-AI397-AJ397-AM397))/MAX(1,ABS(AC397),ABS(AC398)))</f>
        <v/>
      </c>
      <c r="BB397" s="35">
        <f>(1+INDEX(DiscRateAnn,INT(A397/12)+1))^(1/12)-1</f>
        <v/>
      </c>
      <c r="BC397" s="31">
        <f>(1+BB397)^-A397</f>
        <v/>
      </c>
      <c r="BD397" s="34">
        <f>AW397*BC397</f>
        <v/>
      </c>
    </row>
    <row r="398">
      <c r="A398" s="27">
        <f>A397+1</f>
        <v/>
      </c>
      <c r="B398" s="28">
        <f>Duration0+A398</f>
        <v/>
      </c>
      <c r="C398" s="27">
        <f>INT(B398/12)</f>
        <v/>
      </c>
      <c r="D398" s="28">
        <f>AgeAtEntry+C398</f>
        <v/>
      </c>
      <c r="E398" s="29">
        <f>IF(PremiumType="SINGLE",IF(B398=0,PremiumPPInput,0),IF(B398&lt;12*PolicyTerm,PremiumPPInput,0))</f>
        <v/>
      </c>
      <c r="F398" s="30">
        <f>INDEX(MortRates,MATCH(MIN(D398,120),MortAges,0),MAX(MIN(C398,5),0)+1)</f>
        <v/>
      </c>
      <c r="G398" s="31">
        <f>1-(1-F398)^(1/12)</f>
        <v/>
      </c>
      <c r="H398" s="32">
        <f>MAX(LapseBase-LapseStep*C398,LapseFloor)</f>
        <v/>
      </c>
      <c r="I398" s="32">
        <f>IF(HasSurrCharge,INDEX(SurrRates,MIN(C398,SurrDurMax)+1,MATCH(SurrChargeID,SurrTypes,0)),0)</f>
        <v/>
      </c>
      <c r="J398" s="33">
        <f>N397-P397-O397</f>
        <v/>
      </c>
      <c r="K398" s="30">
        <f>IF(B398=12*PolicyTerm,J398,0)</f>
        <v/>
      </c>
      <c r="L398" s="33">
        <f>J398-K398</f>
        <v/>
      </c>
      <c r="M398" s="30">
        <f>IF(B398=0,PolicyCount,0)</f>
        <v/>
      </c>
      <c r="N398" s="33">
        <f>L398+M398</f>
        <v/>
      </c>
      <c r="O398" s="31">
        <f>N398*G398</f>
        <v/>
      </c>
      <c r="P398" s="33">
        <f>(N398-O398)*(1-(1-H398)^(1/12))</f>
        <v/>
      </c>
      <c r="Q398" s="34">
        <f>X397+Z397</f>
        <v/>
      </c>
      <c r="R398" s="29">
        <f>(1-LoadPremRate)*E398</f>
        <v/>
      </c>
      <c r="S398" s="34">
        <f>Q398+R398</f>
        <v/>
      </c>
      <c r="T398" s="29">
        <f>MaintFeeRateAnn/12*S398</f>
        <v/>
      </c>
      <c r="U398" s="29">
        <f>MAX(SumAssured-S398,0)</f>
        <v/>
      </c>
      <c r="V398" s="35">
        <f>CoiMultiple*G398</f>
        <v/>
      </c>
      <c r="W398" s="34">
        <f>V398*U398</f>
        <v/>
      </c>
      <c r="X398" s="34">
        <f>S398-T398-W398</f>
        <v/>
      </c>
      <c r="Y398" s="36">
        <f>EXP((Mu-0.5*Sigma^2)/12+Sigma*SQRT(1/12)*INDEX(NormRand,ScenID,A398+1))-1</f>
        <v/>
      </c>
      <c r="Z398" s="34">
        <f>Y398*X398</f>
        <v/>
      </c>
      <c r="AA398" s="34">
        <f>X398+0.5*Z398</f>
        <v/>
      </c>
      <c r="AB398" s="34">
        <f>Q398*J398</f>
        <v/>
      </c>
      <c r="AC398" s="34">
        <f>Q398*L398</f>
        <v/>
      </c>
      <c r="AD398" s="34">
        <f>S398*N398</f>
        <v/>
      </c>
      <c r="AE398" s="34">
        <f>E398*N398</f>
        <v/>
      </c>
      <c r="AF398" s="34">
        <f>R398*N398</f>
        <v/>
      </c>
      <c r="AG398" s="29">
        <f>MAX(SumAssured,AA398)</f>
        <v/>
      </c>
      <c r="AH398" s="34">
        <f>AG398*O398</f>
        <v/>
      </c>
      <c r="AI398" s="34">
        <f>AA398*O398</f>
        <v/>
      </c>
      <c r="AJ398" s="34">
        <f>AA398*P398</f>
        <v/>
      </c>
      <c r="AK398" s="34">
        <f>I398*AA398*P398</f>
        <v/>
      </c>
      <c r="AL398" s="34">
        <f>AJ398-AK398</f>
        <v/>
      </c>
      <c r="AM398" s="34">
        <f>Q398*K398</f>
        <v/>
      </c>
      <c r="AN398" s="34">
        <f>AH398+AL398+AM398</f>
        <v/>
      </c>
      <c r="AO398" s="34">
        <f>(AG398-AA398)*O398</f>
        <v/>
      </c>
      <c r="AP398" s="34">
        <f>W398*N398</f>
        <v/>
      </c>
      <c r="AQ398" s="34">
        <f>T398*N398</f>
        <v/>
      </c>
      <c r="AR398" s="34">
        <f>Z398*J399+0.5*Z398*(O398+P398)</f>
        <v/>
      </c>
      <c r="AS398" s="30">
        <f>(1+InflationRate)^(A398/12)</f>
        <v/>
      </c>
      <c r="AT398" s="29">
        <f>ExpenseAcq*M398+N398*ExpenseMaint/12*AS398</f>
        <v/>
      </c>
      <c r="AU398" s="29">
        <f>CommissionRate*AE398</f>
        <v/>
      </c>
      <c r="AV398" s="34">
        <f>AB399-AB398</f>
        <v/>
      </c>
      <c r="AW398" s="34">
        <f>AE398+AR398-AN398-AT398-AU398-AV398</f>
        <v/>
      </c>
      <c r="AX398" s="29">
        <f>LoadPremRate*E398*N398+AK398+AQ398-AU398-AT398</f>
        <v/>
      </c>
      <c r="AY398" s="34">
        <f>AP398-AO398</f>
        <v/>
      </c>
      <c r="AZ398" s="37">
        <f>(AW398-AX398-AY398)/MAX(1,ABS(AW398),ABS(AX398),ABS(AY398))</f>
        <v/>
      </c>
      <c r="BA398" s="37">
        <f>IF(OR(K398&gt;0,K399&gt;0),0,(AC399-(AC398+AF398-AQ398-AP398+AR398-AI398-AJ398-AM398))/MAX(1,ABS(AC398),ABS(AC399)))</f>
        <v/>
      </c>
      <c r="BB398" s="35">
        <f>(1+INDEX(DiscRateAnn,INT(A398/12)+1))^(1/12)-1</f>
        <v/>
      </c>
      <c r="BC398" s="31">
        <f>(1+BB398)^-A398</f>
        <v/>
      </c>
      <c r="BD398" s="34">
        <f>AW398*BC398</f>
        <v/>
      </c>
    </row>
    <row r="399">
      <c r="A399" s="27">
        <f>A398+1</f>
        <v/>
      </c>
      <c r="B399" s="28">
        <f>Duration0+A399</f>
        <v/>
      </c>
      <c r="C399" s="27">
        <f>INT(B399/12)</f>
        <v/>
      </c>
      <c r="D399" s="28">
        <f>AgeAtEntry+C399</f>
        <v/>
      </c>
      <c r="E399" s="29">
        <f>IF(PremiumType="SINGLE",IF(B399=0,PremiumPPInput,0),IF(B399&lt;12*PolicyTerm,PremiumPPInput,0))</f>
        <v/>
      </c>
      <c r="F399" s="30">
        <f>INDEX(MortRates,MATCH(MIN(D399,120),MortAges,0),MAX(MIN(C399,5),0)+1)</f>
        <v/>
      </c>
      <c r="G399" s="31">
        <f>1-(1-F399)^(1/12)</f>
        <v/>
      </c>
      <c r="H399" s="32">
        <f>MAX(LapseBase-LapseStep*C399,LapseFloor)</f>
        <v/>
      </c>
      <c r="I399" s="32">
        <f>IF(HasSurrCharge,INDEX(SurrRates,MIN(C399,SurrDurMax)+1,MATCH(SurrChargeID,SurrTypes,0)),0)</f>
        <v/>
      </c>
      <c r="J399" s="33">
        <f>N398-P398-O398</f>
        <v/>
      </c>
      <c r="K399" s="30">
        <f>IF(B399=12*PolicyTerm,J399,0)</f>
        <v/>
      </c>
      <c r="L399" s="33">
        <f>J399-K399</f>
        <v/>
      </c>
      <c r="M399" s="30">
        <f>IF(B399=0,PolicyCount,0)</f>
        <v/>
      </c>
      <c r="N399" s="33">
        <f>L399+M399</f>
        <v/>
      </c>
      <c r="O399" s="31">
        <f>N399*G399</f>
        <v/>
      </c>
      <c r="P399" s="33">
        <f>(N399-O399)*(1-(1-H399)^(1/12))</f>
        <v/>
      </c>
      <c r="Q399" s="34">
        <f>X398+Z398</f>
        <v/>
      </c>
      <c r="R399" s="29">
        <f>(1-LoadPremRate)*E399</f>
        <v/>
      </c>
      <c r="S399" s="34">
        <f>Q399+R399</f>
        <v/>
      </c>
      <c r="T399" s="29">
        <f>MaintFeeRateAnn/12*S399</f>
        <v/>
      </c>
      <c r="U399" s="29">
        <f>MAX(SumAssured-S399,0)</f>
        <v/>
      </c>
      <c r="V399" s="35">
        <f>CoiMultiple*G399</f>
        <v/>
      </c>
      <c r="W399" s="34">
        <f>V399*U399</f>
        <v/>
      </c>
      <c r="X399" s="34">
        <f>S399-T399-W399</f>
        <v/>
      </c>
      <c r="Y399" s="36">
        <f>EXP((Mu-0.5*Sigma^2)/12+Sigma*SQRT(1/12)*INDEX(NormRand,ScenID,A399+1))-1</f>
        <v/>
      </c>
      <c r="Z399" s="34">
        <f>Y399*X399</f>
        <v/>
      </c>
      <c r="AA399" s="34">
        <f>X399+0.5*Z399</f>
        <v/>
      </c>
      <c r="AB399" s="34">
        <f>Q399*J399</f>
        <v/>
      </c>
      <c r="AC399" s="34">
        <f>Q399*L399</f>
        <v/>
      </c>
      <c r="AD399" s="34">
        <f>S399*N399</f>
        <v/>
      </c>
      <c r="AE399" s="34">
        <f>E399*N399</f>
        <v/>
      </c>
      <c r="AF399" s="34">
        <f>R399*N399</f>
        <v/>
      </c>
      <c r="AG399" s="29">
        <f>MAX(SumAssured,AA399)</f>
        <v/>
      </c>
      <c r="AH399" s="34">
        <f>AG399*O399</f>
        <v/>
      </c>
      <c r="AI399" s="34">
        <f>AA399*O399</f>
        <v/>
      </c>
      <c r="AJ399" s="34">
        <f>AA399*P399</f>
        <v/>
      </c>
      <c r="AK399" s="34">
        <f>I399*AA399*P399</f>
        <v/>
      </c>
      <c r="AL399" s="34">
        <f>AJ399-AK399</f>
        <v/>
      </c>
      <c r="AM399" s="34">
        <f>Q399*K399</f>
        <v/>
      </c>
      <c r="AN399" s="34">
        <f>AH399+AL399+AM399</f>
        <v/>
      </c>
      <c r="AO399" s="34">
        <f>(AG399-AA399)*O399</f>
        <v/>
      </c>
      <c r="AP399" s="34">
        <f>W399*N399</f>
        <v/>
      </c>
      <c r="AQ399" s="34">
        <f>T399*N399</f>
        <v/>
      </c>
      <c r="AR399" s="34">
        <f>Z399*J400+0.5*Z399*(O399+P399)</f>
        <v/>
      </c>
      <c r="AS399" s="30">
        <f>(1+InflationRate)^(A399/12)</f>
        <v/>
      </c>
      <c r="AT399" s="29">
        <f>ExpenseAcq*M399+N399*ExpenseMaint/12*AS399</f>
        <v/>
      </c>
      <c r="AU399" s="29">
        <f>CommissionRate*AE399</f>
        <v/>
      </c>
      <c r="AV399" s="34">
        <f>AB400-AB399</f>
        <v/>
      </c>
      <c r="AW399" s="34">
        <f>AE399+AR399-AN399-AT399-AU399-AV399</f>
        <v/>
      </c>
      <c r="AX399" s="29">
        <f>LoadPremRate*E399*N399+AK399+AQ399-AU399-AT399</f>
        <v/>
      </c>
      <c r="AY399" s="34">
        <f>AP399-AO399</f>
        <v/>
      </c>
      <c r="AZ399" s="37">
        <f>(AW399-AX399-AY399)/MAX(1,ABS(AW399),ABS(AX399),ABS(AY399))</f>
        <v/>
      </c>
      <c r="BA399" s="37">
        <f>IF(OR(K399&gt;0,K400&gt;0),0,(AC400-(AC399+AF399-AQ399-AP399+AR399-AI399-AJ399-AM399))/MAX(1,ABS(AC399),ABS(AC400)))</f>
        <v/>
      </c>
      <c r="BB399" s="35">
        <f>(1+INDEX(DiscRateAnn,INT(A399/12)+1))^(1/12)-1</f>
        <v/>
      </c>
      <c r="BC399" s="31">
        <f>(1+BB399)^-A399</f>
        <v/>
      </c>
      <c r="BD399" s="34">
        <f>AW399*BC399</f>
        <v/>
      </c>
    </row>
    <row r="400">
      <c r="A400" s="27">
        <f>A399+1</f>
        <v/>
      </c>
      <c r="B400" s="28">
        <f>Duration0+A400</f>
        <v/>
      </c>
      <c r="C400" s="27">
        <f>INT(B400/12)</f>
        <v/>
      </c>
      <c r="D400" s="28">
        <f>AgeAtEntry+C400</f>
        <v/>
      </c>
      <c r="E400" s="29">
        <f>IF(PremiumType="SINGLE",IF(B400=0,PremiumPPInput,0),IF(B400&lt;12*PolicyTerm,PremiumPPInput,0))</f>
        <v/>
      </c>
      <c r="F400" s="30">
        <f>INDEX(MortRates,MATCH(MIN(D400,120),MortAges,0),MAX(MIN(C400,5),0)+1)</f>
        <v/>
      </c>
      <c r="G400" s="31">
        <f>1-(1-F400)^(1/12)</f>
        <v/>
      </c>
      <c r="H400" s="32">
        <f>MAX(LapseBase-LapseStep*C400,LapseFloor)</f>
        <v/>
      </c>
      <c r="I400" s="32">
        <f>IF(HasSurrCharge,INDEX(SurrRates,MIN(C400,SurrDurMax)+1,MATCH(SurrChargeID,SurrTypes,0)),0)</f>
        <v/>
      </c>
      <c r="J400" s="33">
        <f>N399-P399-O399</f>
        <v/>
      </c>
      <c r="K400" s="30">
        <f>IF(B400=12*PolicyTerm,J400,0)</f>
        <v/>
      </c>
      <c r="L400" s="33">
        <f>J400-K400</f>
        <v/>
      </c>
      <c r="M400" s="30">
        <f>IF(B400=0,PolicyCount,0)</f>
        <v/>
      </c>
      <c r="N400" s="33">
        <f>L400+M400</f>
        <v/>
      </c>
      <c r="O400" s="31">
        <f>N400*G400</f>
        <v/>
      </c>
      <c r="P400" s="33">
        <f>(N400-O400)*(1-(1-H400)^(1/12))</f>
        <v/>
      </c>
      <c r="Q400" s="34">
        <f>X399+Z399</f>
        <v/>
      </c>
      <c r="R400" s="29">
        <f>(1-LoadPremRate)*E400</f>
        <v/>
      </c>
      <c r="S400" s="34">
        <f>Q400+R400</f>
        <v/>
      </c>
      <c r="T400" s="29">
        <f>MaintFeeRateAnn/12*S400</f>
        <v/>
      </c>
      <c r="U400" s="29">
        <f>MAX(SumAssured-S400,0)</f>
        <v/>
      </c>
      <c r="V400" s="35">
        <f>CoiMultiple*G400</f>
        <v/>
      </c>
      <c r="W400" s="34">
        <f>V400*U400</f>
        <v/>
      </c>
      <c r="X400" s="34">
        <f>S400-T400-W400</f>
        <v/>
      </c>
      <c r="Y400" s="36">
        <f>EXP((Mu-0.5*Sigma^2)/12+Sigma*SQRT(1/12)*INDEX(NormRand,ScenID,A400+1))-1</f>
        <v/>
      </c>
      <c r="Z400" s="34">
        <f>Y400*X400</f>
        <v/>
      </c>
      <c r="AA400" s="34">
        <f>X400+0.5*Z400</f>
        <v/>
      </c>
      <c r="AB400" s="34">
        <f>Q400*J400</f>
        <v/>
      </c>
      <c r="AC400" s="34">
        <f>Q400*L400</f>
        <v/>
      </c>
      <c r="AD400" s="34">
        <f>S400*N400</f>
        <v/>
      </c>
      <c r="AE400" s="34">
        <f>E400*N400</f>
        <v/>
      </c>
      <c r="AF400" s="34">
        <f>R400*N400</f>
        <v/>
      </c>
      <c r="AG400" s="29">
        <f>MAX(SumAssured,AA400)</f>
        <v/>
      </c>
      <c r="AH400" s="34">
        <f>AG400*O400</f>
        <v/>
      </c>
      <c r="AI400" s="34">
        <f>AA400*O400</f>
        <v/>
      </c>
      <c r="AJ400" s="34">
        <f>AA400*P400</f>
        <v/>
      </c>
      <c r="AK400" s="34">
        <f>I400*AA400*P400</f>
        <v/>
      </c>
      <c r="AL400" s="34">
        <f>AJ400-AK400</f>
        <v/>
      </c>
      <c r="AM400" s="34">
        <f>Q400*K400</f>
        <v/>
      </c>
      <c r="AN400" s="34">
        <f>AH400+AL400+AM400</f>
        <v/>
      </c>
      <c r="AO400" s="34">
        <f>(AG400-AA400)*O400</f>
        <v/>
      </c>
      <c r="AP400" s="34">
        <f>W400*N400</f>
        <v/>
      </c>
      <c r="AQ400" s="34">
        <f>T400*N400</f>
        <v/>
      </c>
      <c r="AR400" s="34">
        <f>Z400*J401+0.5*Z400*(O400+P400)</f>
        <v/>
      </c>
      <c r="AS400" s="30">
        <f>(1+InflationRate)^(A400/12)</f>
        <v/>
      </c>
      <c r="AT400" s="29">
        <f>ExpenseAcq*M400+N400*ExpenseMaint/12*AS400</f>
        <v/>
      </c>
      <c r="AU400" s="29">
        <f>CommissionRate*AE400</f>
        <v/>
      </c>
      <c r="AV400" s="34">
        <f>AB401-AB400</f>
        <v/>
      </c>
      <c r="AW400" s="34">
        <f>AE400+AR400-AN400-AT400-AU400-AV400</f>
        <v/>
      </c>
      <c r="AX400" s="29">
        <f>LoadPremRate*E400*N400+AK400+AQ400-AU400-AT400</f>
        <v/>
      </c>
      <c r="AY400" s="34">
        <f>AP400-AO400</f>
        <v/>
      </c>
      <c r="AZ400" s="37">
        <f>(AW400-AX400-AY400)/MAX(1,ABS(AW400),ABS(AX400),ABS(AY400))</f>
        <v/>
      </c>
      <c r="BA400" s="37">
        <f>IF(OR(K400&gt;0,K401&gt;0),0,(AC401-(AC400+AF400-AQ400-AP400+AR400-AI400-AJ400-AM400))/MAX(1,ABS(AC400),ABS(AC401)))</f>
        <v/>
      </c>
      <c r="BB400" s="35">
        <f>(1+INDEX(DiscRateAnn,INT(A400/12)+1))^(1/12)-1</f>
        <v/>
      </c>
      <c r="BC400" s="31">
        <f>(1+BB400)^-A400</f>
        <v/>
      </c>
      <c r="BD400" s="34">
        <f>AW400*BC400</f>
        <v/>
      </c>
    </row>
    <row r="401">
      <c r="A401" s="27">
        <f>A400+1</f>
        <v/>
      </c>
      <c r="B401" s="28">
        <f>Duration0+A401</f>
        <v/>
      </c>
      <c r="C401" s="27">
        <f>INT(B401/12)</f>
        <v/>
      </c>
      <c r="D401" s="28">
        <f>AgeAtEntry+C401</f>
        <v/>
      </c>
      <c r="E401" s="29">
        <f>IF(PremiumType="SINGLE",IF(B401=0,PremiumPPInput,0),IF(B401&lt;12*PolicyTerm,PremiumPPInput,0))</f>
        <v/>
      </c>
      <c r="F401" s="30">
        <f>INDEX(MortRates,MATCH(MIN(D401,120),MortAges,0),MAX(MIN(C401,5),0)+1)</f>
        <v/>
      </c>
      <c r="G401" s="31">
        <f>1-(1-F401)^(1/12)</f>
        <v/>
      </c>
      <c r="H401" s="32">
        <f>MAX(LapseBase-LapseStep*C401,LapseFloor)</f>
        <v/>
      </c>
      <c r="I401" s="32">
        <f>IF(HasSurrCharge,INDEX(SurrRates,MIN(C401,SurrDurMax)+1,MATCH(SurrChargeID,SurrTypes,0)),0)</f>
        <v/>
      </c>
      <c r="J401" s="33">
        <f>N400-P400-O400</f>
        <v/>
      </c>
      <c r="K401" s="30">
        <f>IF(B401=12*PolicyTerm,J401,0)</f>
        <v/>
      </c>
      <c r="L401" s="33">
        <f>J401-K401</f>
        <v/>
      </c>
      <c r="M401" s="30">
        <f>IF(B401=0,PolicyCount,0)</f>
        <v/>
      </c>
      <c r="N401" s="33">
        <f>L401+M401</f>
        <v/>
      </c>
      <c r="O401" s="31">
        <f>N401*G401</f>
        <v/>
      </c>
      <c r="P401" s="33">
        <f>(N401-O401)*(1-(1-H401)^(1/12))</f>
        <v/>
      </c>
      <c r="Q401" s="34">
        <f>X400+Z400</f>
        <v/>
      </c>
      <c r="R401" s="29">
        <f>(1-LoadPremRate)*E401</f>
        <v/>
      </c>
      <c r="S401" s="34">
        <f>Q401+R401</f>
        <v/>
      </c>
      <c r="T401" s="29">
        <f>MaintFeeRateAnn/12*S401</f>
        <v/>
      </c>
      <c r="U401" s="29">
        <f>MAX(SumAssured-S401,0)</f>
        <v/>
      </c>
      <c r="V401" s="35">
        <f>CoiMultiple*G401</f>
        <v/>
      </c>
      <c r="W401" s="34">
        <f>V401*U401</f>
        <v/>
      </c>
      <c r="X401" s="34">
        <f>S401-T401-W401</f>
        <v/>
      </c>
      <c r="Y401" s="36">
        <f>EXP((Mu-0.5*Sigma^2)/12+Sigma*SQRT(1/12)*INDEX(NormRand,ScenID,A401+1))-1</f>
        <v/>
      </c>
      <c r="Z401" s="34">
        <f>Y401*X401</f>
        <v/>
      </c>
      <c r="AA401" s="34">
        <f>X401+0.5*Z401</f>
        <v/>
      </c>
      <c r="AB401" s="34">
        <f>Q401*J401</f>
        <v/>
      </c>
      <c r="AC401" s="34">
        <f>Q401*L401</f>
        <v/>
      </c>
      <c r="AD401" s="34">
        <f>S401*N401</f>
        <v/>
      </c>
      <c r="AE401" s="34">
        <f>E401*N401</f>
        <v/>
      </c>
      <c r="AF401" s="34">
        <f>R401*N401</f>
        <v/>
      </c>
      <c r="AG401" s="29">
        <f>MAX(SumAssured,AA401)</f>
        <v/>
      </c>
      <c r="AH401" s="34">
        <f>AG401*O401</f>
        <v/>
      </c>
      <c r="AI401" s="34">
        <f>AA401*O401</f>
        <v/>
      </c>
      <c r="AJ401" s="34">
        <f>AA401*P401</f>
        <v/>
      </c>
      <c r="AK401" s="34">
        <f>I401*AA401*P401</f>
        <v/>
      </c>
      <c r="AL401" s="34">
        <f>AJ401-AK401</f>
        <v/>
      </c>
      <c r="AM401" s="34">
        <f>Q401*K401</f>
        <v/>
      </c>
      <c r="AN401" s="34">
        <f>AH401+AL401+AM401</f>
        <v/>
      </c>
      <c r="AO401" s="34">
        <f>(AG401-AA401)*O401</f>
        <v/>
      </c>
      <c r="AP401" s="34">
        <f>W401*N401</f>
        <v/>
      </c>
      <c r="AQ401" s="34">
        <f>T401*N401</f>
        <v/>
      </c>
      <c r="AR401" s="34">
        <f>Z401*J402+0.5*Z401*(O401+P401)</f>
        <v/>
      </c>
      <c r="AS401" s="30">
        <f>(1+InflationRate)^(A401/12)</f>
        <v/>
      </c>
      <c r="AT401" s="29">
        <f>ExpenseAcq*M401+N401*ExpenseMaint/12*AS401</f>
        <v/>
      </c>
      <c r="AU401" s="29">
        <f>CommissionRate*AE401</f>
        <v/>
      </c>
      <c r="AV401" s="34">
        <f>AB402-AB401</f>
        <v/>
      </c>
      <c r="AW401" s="34">
        <f>AE401+AR401-AN401-AT401-AU401-AV401</f>
        <v/>
      </c>
      <c r="AX401" s="29">
        <f>LoadPremRate*E401*N401+AK401+AQ401-AU401-AT401</f>
        <v/>
      </c>
      <c r="AY401" s="34">
        <f>AP401-AO401</f>
        <v/>
      </c>
      <c r="AZ401" s="37">
        <f>(AW401-AX401-AY401)/MAX(1,ABS(AW401),ABS(AX401),ABS(AY401))</f>
        <v/>
      </c>
      <c r="BA401" s="37">
        <f>IF(OR(K401&gt;0,K402&gt;0),0,(AC402-(AC401+AF401-AQ401-AP401+AR401-AI401-AJ401-AM401))/MAX(1,ABS(AC401),ABS(AC402)))</f>
        <v/>
      </c>
      <c r="BB401" s="35">
        <f>(1+INDEX(DiscRateAnn,INT(A401/12)+1))^(1/12)-1</f>
        <v/>
      </c>
      <c r="BC401" s="31">
        <f>(1+BB401)^-A401</f>
        <v/>
      </c>
      <c r="BD401" s="34">
        <f>AW401*BC401</f>
        <v/>
      </c>
    </row>
    <row r="402">
      <c r="A402" s="27">
        <f>A401+1</f>
        <v/>
      </c>
      <c r="B402" s="28">
        <f>Duration0+A402</f>
        <v/>
      </c>
      <c r="C402" s="27">
        <f>INT(B402/12)</f>
        <v/>
      </c>
      <c r="D402" s="28">
        <f>AgeAtEntry+C402</f>
        <v/>
      </c>
      <c r="E402" s="29">
        <f>IF(PremiumType="SINGLE",IF(B402=0,PremiumPPInput,0),IF(B402&lt;12*PolicyTerm,PremiumPPInput,0))</f>
        <v/>
      </c>
      <c r="F402" s="30">
        <f>INDEX(MortRates,MATCH(MIN(D402,120),MortAges,0),MAX(MIN(C402,5),0)+1)</f>
        <v/>
      </c>
      <c r="G402" s="31">
        <f>1-(1-F402)^(1/12)</f>
        <v/>
      </c>
      <c r="H402" s="32">
        <f>MAX(LapseBase-LapseStep*C402,LapseFloor)</f>
        <v/>
      </c>
      <c r="I402" s="32">
        <f>IF(HasSurrCharge,INDEX(SurrRates,MIN(C402,SurrDurMax)+1,MATCH(SurrChargeID,SurrTypes,0)),0)</f>
        <v/>
      </c>
      <c r="J402" s="33">
        <f>N401-P401-O401</f>
        <v/>
      </c>
      <c r="K402" s="30">
        <f>IF(B402=12*PolicyTerm,J402,0)</f>
        <v/>
      </c>
      <c r="L402" s="33">
        <f>J402-K402</f>
        <v/>
      </c>
      <c r="M402" s="30">
        <f>IF(B402=0,PolicyCount,0)</f>
        <v/>
      </c>
      <c r="N402" s="33">
        <f>L402+M402</f>
        <v/>
      </c>
      <c r="O402" s="31">
        <f>N402*G402</f>
        <v/>
      </c>
      <c r="P402" s="33">
        <f>(N402-O402)*(1-(1-H402)^(1/12))</f>
        <v/>
      </c>
      <c r="Q402" s="34">
        <f>X401+Z401</f>
        <v/>
      </c>
      <c r="R402" s="29">
        <f>(1-LoadPremRate)*E402</f>
        <v/>
      </c>
      <c r="S402" s="34">
        <f>Q402+R402</f>
        <v/>
      </c>
      <c r="T402" s="29">
        <f>MaintFeeRateAnn/12*S402</f>
        <v/>
      </c>
      <c r="U402" s="29">
        <f>MAX(SumAssured-S402,0)</f>
        <v/>
      </c>
      <c r="V402" s="35">
        <f>CoiMultiple*G402</f>
        <v/>
      </c>
      <c r="W402" s="34">
        <f>V402*U402</f>
        <v/>
      </c>
      <c r="X402" s="34">
        <f>S402-T402-W402</f>
        <v/>
      </c>
      <c r="Y402" s="36">
        <f>EXP((Mu-0.5*Sigma^2)/12+Sigma*SQRT(1/12)*INDEX(NormRand,ScenID,A402+1))-1</f>
        <v/>
      </c>
      <c r="Z402" s="34">
        <f>Y402*X402</f>
        <v/>
      </c>
      <c r="AA402" s="34">
        <f>X402+0.5*Z402</f>
        <v/>
      </c>
      <c r="AB402" s="34">
        <f>Q402*J402</f>
        <v/>
      </c>
      <c r="AC402" s="34">
        <f>Q402*L402</f>
        <v/>
      </c>
      <c r="AD402" s="34">
        <f>S402*N402</f>
        <v/>
      </c>
      <c r="AE402" s="34">
        <f>E402*N402</f>
        <v/>
      </c>
      <c r="AF402" s="34">
        <f>R402*N402</f>
        <v/>
      </c>
      <c r="AG402" s="29">
        <f>MAX(SumAssured,AA402)</f>
        <v/>
      </c>
      <c r="AH402" s="34">
        <f>AG402*O402</f>
        <v/>
      </c>
      <c r="AI402" s="34">
        <f>AA402*O402</f>
        <v/>
      </c>
      <c r="AJ402" s="34">
        <f>AA402*P402</f>
        <v/>
      </c>
      <c r="AK402" s="34">
        <f>I402*AA402*P402</f>
        <v/>
      </c>
      <c r="AL402" s="34">
        <f>AJ402-AK402</f>
        <v/>
      </c>
      <c r="AM402" s="34">
        <f>Q402*K402</f>
        <v/>
      </c>
      <c r="AN402" s="34">
        <f>AH402+AL402+AM402</f>
        <v/>
      </c>
      <c r="AO402" s="34">
        <f>(AG402-AA402)*O402</f>
        <v/>
      </c>
      <c r="AP402" s="34">
        <f>W402*N402</f>
        <v/>
      </c>
      <c r="AQ402" s="34">
        <f>T402*N402</f>
        <v/>
      </c>
      <c r="AR402" s="34">
        <f>Z402*J403+0.5*Z402*(O402+P402)</f>
        <v/>
      </c>
      <c r="AS402" s="30">
        <f>(1+InflationRate)^(A402/12)</f>
        <v/>
      </c>
      <c r="AT402" s="29">
        <f>ExpenseAcq*M402+N402*ExpenseMaint/12*AS402</f>
        <v/>
      </c>
      <c r="AU402" s="29">
        <f>CommissionRate*AE402</f>
        <v/>
      </c>
      <c r="AV402" s="34">
        <f>AB403-AB402</f>
        <v/>
      </c>
      <c r="AW402" s="34">
        <f>AE402+AR402-AN402-AT402-AU402-AV402</f>
        <v/>
      </c>
      <c r="AX402" s="29">
        <f>LoadPremRate*E402*N402+AK402+AQ402-AU402-AT402</f>
        <v/>
      </c>
      <c r="AY402" s="34">
        <f>AP402-AO402</f>
        <v/>
      </c>
      <c r="AZ402" s="37">
        <f>(AW402-AX402-AY402)/MAX(1,ABS(AW402),ABS(AX402),ABS(AY402))</f>
        <v/>
      </c>
      <c r="BA402" s="37">
        <f>IF(OR(K402&gt;0,K403&gt;0),0,(AC403-(AC402+AF402-AQ402-AP402+AR402-AI402-AJ402-AM402))/MAX(1,ABS(AC402),ABS(AC403)))</f>
        <v/>
      </c>
      <c r="BB402" s="35">
        <f>(1+INDEX(DiscRateAnn,INT(A402/12)+1))^(1/12)-1</f>
        <v/>
      </c>
      <c r="BC402" s="31">
        <f>(1+BB402)^-A402</f>
        <v/>
      </c>
      <c r="BD402" s="34">
        <f>AW402*BC402</f>
        <v/>
      </c>
    </row>
    <row r="403">
      <c r="A403" s="27">
        <f>A402+1</f>
        <v/>
      </c>
      <c r="B403" s="28">
        <f>Duration0+A403</f>
        <v/>
      </c>
      <c r="C403" s="27">
        <f>INT(B403/12)</f>
        <v/>
      </c>
      <c r="D403" s="28">
        <f>AgeAtEntry+C403</f>
        <v/>
      </c>
      <c r="E403" s="29">
        <f>IF(PremiumType="SINGLE",IF(B403=0,PremiumPPInput,0),IF(B403&lt;12*PolicyTerm,PremiumPPInput,0))</f>
        <v/>
      </c>
      <c r="F403" s="30">
        <f>INDEX(MortRates,MATCH(MIN(D403,120),MortAges,0),MAX(MIN(C403,5),0)+1)</f>
        <v/>
      </c>
      <c r="G403" s="31">
        <f>1-(1-F403)^(1/12)</f>
        <v/>
      </c>
      <c r="H403" s="32">
        <f>MAX(LapseBase-LapseStep*C403,LapseFloor)</f>
        <v/>
      </c>
      <c r="I403" s="32">
        <f>IF(HasSurrCharge,INDEX(SurrRates,MIN(C403,SurrDurMax)+1,MATCH(SurrChargeID,SurrTypes,0)),0)</f>
        <v/>
      </c>
      <c r="J403" s="33">
        <f>N402-P402-O402</f>
        <v/>
      </c>
      <c r="K403" s="30">
        <f>IF(B403=12*PolicyTerm,J403,0)</f>
        <v/>
      </c>
      <c r="L403" s="33">
        <f>J403-K403</f>
        <v/>
      </c>
      <c r="M403" s="30">
        <f>IF(B403=0,PolicyCount,0)</f>
        <v/>
      </c>
      <c r="N403" s="33">
        <f>L403+M403</f>
        <v/>
      </c>
      <c r="O403" s="31">
        <f>N403*G403</f>
        <v/>
      </c>
      <c r="P403" s="33">
        <f>(N403-O403)*(1-(1-H403)^(1/12))</f>
        <v/>
      </c>
      <c r="Q403" s="34">
        <f>X402+Z402</f>
        <v/>
      </c>
      <c r="R403" s="29">
        <f>(1-LoadPremRate)*E403</f>
        <v/>
      </c>
      <c r="S403" s="34">
        <f>Q403+R403</f>
        <v/>
      </c>
      <c r="T403" s="29">
        <f>MaintFeeRateAnn/12*S403</f>
        <v/>
      </c>
      <c r="U403" s="29">
        <f>MAX(SumAssured-S403,0)</f>
        <v/>
      </c>
      <c r="V403" s="35">
        <f>CoiMultiple*G403</f>
        <v/>
      </c>
      <c r="W403" s="34">
        <f>V403*U403</f>
        <v/>
      </c>
      <c r="X403" s="34">
        <f>S403-T403-W403</f>
        <v/>
      </c>
      <c r="Y403" s="36">
        <f>EXP((Mu-0.5*Sigma^2)/12+Sigma*SQRT(1/12)*INDEX(NormRand,ScenID,A403+1))-1</f>
        <v/>
      </c>
      <c r="Z403" s="34">
        <f>Y403*X403</f>
        <v/>
      </c>
      <c r="AA403" s="34">
        <f>X403+0.5*Z403</f>
        <v/>
      </c>
      <c r="AB403" s="34">
        <f>Q403*J403</f>
        <v/>
      </c>
      <c r="AC403" s="34">
        <f>Q403*L403</f>
        <v/>
      </c>
      <c r="AD403" s="34">
        <f>S403*N403</f>
        <v/>
      </c>
      <c r="AE403" s="34">
        <f>E403*N403</f>
        <v/>
      </c>
      <c r="AF403" s="34">
        <f>R403*N403</f>
        <v/>
      </c>
      <c r="AG403" s="29">
        <f>MAX(SumAssured,AA403)</f>
        <v/>
      </c>
      <c r="AH403" s="34">
        <f>AG403*O403</f>
        <v/>
      </c>
      <c r="AI403" s="34">
        <f>AA403*O403</f>
        <v/>
      </c>
      <c r="AJ403" s="34">
        <f>AA403*P403</f>
        <v/>
      </c>
      <c r="AK403" s="34">
        <f>I403*AA403*P403</f>
        <v/>
      </c>
      <c r="AL403" s="34">
        <f>AJ403-AK403</f>
        <v/>
      </c>
      <c r="AM403" s="34">
        <f>Q403*K403</f>
        <v/>
      </c>
      <c r="AN403" s="34">
        <f>AH403+AL403+AM403</f>
        <v/>
      </c>
      <c r="AO403" s="34">
        <f>(AG403-AA403)*O403</f>
        <v/>
      </c>
      <c r="AP403" s="34">
        <f>W403*N403</f>
        <v/>
      </c>
      <c r="AQ403" s="34">
        <f>T403*N403</f>
        <v/>
      </c>
      <c r="AR403" s="34">
        <f>Z403*J404+0.5*Z403*(O403+P403)</f>
        <v/>
      </c>
      <c r="AS403" s="30">
        <f>(1+InflationRate)^(A403/12)</f>
        <v/>
      </c>
      <c r="AT403" s="29">
        <f>ExpenseAcq*M403+N403*ExpenseMaint/12*AS403</f>
        <v/>
      </c>
      <c r="AU403" s="29">
        <f>CommissionRate*AE403</f>
        <v/>
      </c>
      <c r="AV403" s="34">
        <f>AB404-AB403</f>
        <v/>
      </c>
      <c r="AW403" s="34">
        <f>AE403+AR403-AN403-AT403-AU403-AV403</f>
        <v/>
      </c>
      <c r="AX403" s="29">
        <f>LoadPremRate*E403*N403+AK403+AQ403-AU403-AT403</f>
        <v/>
      </c>
      <c r="AY403" s="34">
        <f>AP403-AO403</f>
        <v/>
      </c>
      <c r="AZ403" s="37">
        <f>(AW403-AX403-AY403)/MAX(1,ABS(AW403),ABS(AX403),ABS(AY403))</f>
        <v/>
      </c>
      <c r="BA403" s="37">
        <f>IF(OR(K403&gt;0,K404&gt;0),0,(AC404-(AC403+AF403-AQ403-AP403+AR403-AI403-AJ403-AM403))/MAX(1,ABS(AC403),ABS(AC404)))</f>
        <v/>
      </c>
      <c r="BB403" s="35">
        <f>(1+INDEX(DiscRateAnn,INT(A403/12)+1))^(1/12)-1</f>
        <v/>
      </c>
      <c r="BC403" s="31">
        <f>(1+BB403)^-A403</f>
        <v/>
      </c>
      <c r="BD403" s="34">
        <f>AW403*BC403</f>
        <v/>
      </c>
    </row>
    <row r="404">
      <c r="A404" s="27">
        <f>A403+1</f>
        <v/>
      </c>
      <c r="B404" s="28">
        <f>Duration0+A404</f>
        <v/>
      </c>
      <c r="C404" s="27">
        <f>INT(B404/12)</f>
        <v/>
      </c>
      <c r="D404" s="28">
        <f>AgeAtEntry+C404</f>
        <v/>
      </c>
      <c r="E404" s="29">
        <f>IF(PremiumType="SINGLE",IF(B404=0,PremiumPPInput,0),IF(B404&lt;12*PolicyTerm,PremiumPPInput,0))</f>
        <v/>
      </c>
      <c r="F404" s="30">
        <f>INDEX(MortRates,MATCH(MIN(D404,120),MortAges,0),MAX(MIN(C404,5),0)+1)</f>
        <v/>
      </c>
      <c r="G404" s="31">
        <f>1-(1-F404)^(1/12)</f>
        <v/>
      </c>
      <c r="H404" s="32">
        <f>MAX(LapseBase-LapseStep*C404,LapseFloor)</f>
        <v/>
      </c>
      <c r="I404" s="32">
        <f>IF(HasSurrCharge,INDEX(SurrRates,MIN(C404,SurrDurMax)+1,MATCH(SurrChargeID,SurrTypes,0)),0)</f>
        <v/>
      </c>
      <c r="J404" s="33">
        <f>N403-P403-O403</f>
        <v/>
      </c>
      <c r="K404" s="30">
        <f>IF(B404=12*PolicyTerm,J404,0)</f>
        <v/>
      </c>
      <c r="L404" s="33">
        <f>J404-K404</f>
        <v/>
      </c>
      <c r="M404" s="30">
        <f>IF(B404=0,PolicyCount,0)</f>
        <v/>
      </c>
      <c r="N404" s="33">
        <f>L404+M404</f>
        <v/>
      </c>
      <c r="O404" s="31">
        <f>N404*G404</f>
        <v/>
      </c>
      <c r="P404" s="33">
        <f>(N404-O404)*(1-(1-H404)^(1/12))</f>
        <v/>
      </c>
      <c r="Q404" s="34">
        <f>X403+Z403</f>
        <v/>
      </c>
      <c r="R404" s="29">
        <f>(1-LoadPremRate)*E404</f>
        <v/>
      </c>
      <c r="S404" s="34">
        <f>Q404+R404</f>
        <v/>
      </c>
      <c r="T404" s="29">
        <f>MaintFeeRateAnn/12*S404</f>
        <v/>
      </c>
      <c r="U404" s="29">
        <f>MAX(SumAssured-S404,0)</f>
        <v/>
      </c>
      <c r="V404" s="35">
        <f>CoiMultiple*G404</f>
        <v/>
      </c>
      <c r="W404" s="34">
        <f>V404*U404</f>
        <v/>
      </c>
      <c r="X404" s="34">
        <f>S404-T404-W404</f>
        <v/>
      </c>
      <c r="Y404" s="36">
        <f>EXP((Mu-0.5*Sigma^2)/12+Sigma*SQRT(1/12)*INDEX(NormRand,ScenID,A404+1))-1</f>
        <v/>
      </c>
      <c r="Z404" s="34">
        <f>Y404*X404</f>
        <v/>
      </c>
      <c r="AA404" s="34">
        <f>X404+0.5*Z404</f>
        <v/>
      </c>
      <c r="AB404" s="34">
        <f>Q404*J404</f>
        <v/>
      </c>
      <c r="AC404" s="34">
        <f>Q404*L404</f>
        <v/>
      </c>
      <c r="AD404" s="34">
        <f>S404*N404</f>
        <v/>
      </c>
      <c r="AE404" s="34">
        <f>E404*N404</f>
        <v/>
      </c>
      <c r="AF404" s="34">
        <f>R404*N404</f>
        <v/>
      </c>
      <c r="AG404" s="29">
        <f>MAX(SumAssured,AA404)</f>
        <v/>
      </c>
      <c r="AH404" s="34">
        <f>AG404*O404</f>
        <v/>
      </c>
      <c r="AI404" s="34">
        <f>AA404*O404</f>
        <v/>
      </c>
      <c r="AJ404" s="34">
        <f>AA404*P404</f>
        <v/>
      </c>
      <c r="AK404" s="34">
        <f>I404*AA404*P404</f>
        <v/>
      </c>
      <c r="AL404" s="34">
        <f>AJ404-AK404</f>
        <v/>
      </c>
      <c r="AM404" s="34">
        <f>Q404*K404</f>
        <v/>
      </c>
      <c r="AN404" s="34">
        <f>AH404+AL404+AM404</f>
        <v/>
      </c>
      <c r="AO404" s="34">
        <f>(AG404-AA404)*O404</f>
        <v/>
      </c>
      <c r="AP404" s="34">
        <f>W404*N404</f>
        <v/>
      </c>
      <c r="AQ404" s="34">
        <f>T404*N404</f>
        <v/>
      </c>
      <c r="AR404" s="34">
        <f>Z404*J405+0.5*Z404*(O404+P404)</f>
        <v/>
      </c>
      <c r="AS404" s="30">
        <f>(1+InflationRate)^(A404/12)</f>
        <v/>
      </c>
      <c r="AT404" s="29">
        <f>ExpenseAcq*M404+N404*ExpenseMaint/12*AS404</f>
        <v/>
      </c>
      <c r="AU404" s="29">
        <f>CommissionRate*AE404</f>
        <v/>
      </c>
      <c r="AV404" s="34">
        <f>AB405-AB404</f>
        <v/>
      </c>
      <c r="AW404" s="34">
        <f>AE404+AR404-AN404-AT404-AU404-AV404</f>
        <v/>
      </c>
      <c r="AX404" s="29">
        <f>LoadPremRate*E404*N404+AK404+AQ404-AU404-AT404</f>
        <v/>
      </c>
      <c r="AY404" s="34">
        <f>AP404-AO404</f>
        <v/>
      </c>
      <c r="AZ404" s="37">
        <f>(AW404-AX404-AY404)/MAX(1,ABS(AW404),ABS(AX404),ABS(AY404))</f>
        <v/>
      </c>
      <c r="BA404" s="37">
        <f>IF(OR(K404&gt;0,K405&gt;0),0,(AC405-(AC404+AF404-AQ404-AP404+AR404-AI404-AJ404-AM404))/MAX(1,ABS(AC404),ABS(AC405)))</f>
        <v/>
      </c>
      <c r="BB404" s="35">
        <f>(1+INDEX(DiscRateAnn,INT(A404/12)+1))^(1/12)-1</f>
        <v/>
      </c>
      <c r="BC404" s="31">
        <f>(1+BB404)^-A404</f>
        <v/>
      </c>
      <c r="BD404" s="34">
        <f>AW404*BC404</f>
        <v/>
      </c>
    </row>
    <row r="405">
      <c r="A405" s="27">
        <f>A404+1</f>
        <v/>
      </c>
      <c r="B405" s="28">
        <f>Duration0+A405</f>
        <v/>
      </c>
      <c r="C405" s="27">
        <f>INT(B405/12)</f>
        <v/>
      </c>
      <c r="D405" s="28">
        <f>AgeAtEntry+C405</f>
        <v/>
      </c>
      <c r="E405" s="29">
        <f>IF(PremiumType="SINGLE",IF(B405=0,PremiumPPInput,0),IF(B405&lt;12*PolicyTerm,PremiumPPInput,0))</f>
        <v/>
      </c>
      <c r="F405" s="30">
        <f>INDEX(MortRates,MATCH(MIN(D405,120),MortAges,0),MAX(MIN(C405,5),0)+1)</f>
        <v/>
      </c>
      <c r="G405" s="31">
        <f>1-(1-F405)^(1/12)</f>
        <v/>
      </c>
      <c r="H405" s="32">
        <f>MAX(LapseBase-LapseStep*C405,LapseFloor)</f>
        <v/>
      </c>
      <c r="I405" s="32">
        <f>IF(HasSurrCharge,INDEX(SurrRates,MIN(C405,SurrDurMax)+1,MATCH(SurrChargeID,SurrTypes,0)),0)</f>
        <v/>
      </c>
      <c r="J405" s="33">
        <f>N404-P404-O404</f>
        <v/>
      </c>
      <c r="K405" s="30">
        <f>IF(B405=12*PolicyTerm,J405,0)</f>
        <v/>
      </c>
      <c r="L405" s="33">
        <f>J405-K405</f>
        <v/>
      </c>
      <c r="M405" s="30">
        <f>IF(B405=0,PolicyCount,0)</f>
        <v/>
      </c>
      <c r="N405" s="33">
        <f>L405+M405</f>
        <v/>
      </c>
      <c r="O405" s="31">
        <f>N405*G405</f>
        <v/>
      </c>
      <c r="P405" s="33">
        <f>(N405-O405)*(1-(1-H405)^(1/12))</f>
        <v/>
      </c>
      <c r="Q405" s="34">
        <f>X404+Z404</f>
        <v/>
      </c>
      <c r="R405" s="29">
        <f>(1-LoadPremRate)*E405</f>
        <v/>
      </c>
      <c r="S405" s="34">
        <f>Q405+R405</f>
        <v/>
      </c>
      <c r="T405" s="29">
        <f>MaintFeeRateAnn/12*S405</f>
        <v/>
      </c>
      <c r="U405" s="29">
        <f>MAX(SumAssured-S405,0)</f>
        <v/>
      </c>
      <c r="V405" s="35">
        <f>CoiMultiple*G405</f>
        <v/>
      </c>
      <c r="W405" s="34">
        <f>V405*U405</f>
        <v/>
      </c>
      <c r="X405" s="34">
        <f>S405-T405-W405</f>
        <v/>
      </c>
      <c r="Y405" s="36">
        <f>EXP((Mu-0.5*Sigma^2)/12+Sigma*SQRT(1/12)*INDEX(NormRand,ScenID,A405+1))-1</f>
        <v/>
      </c>
      <c r="Z405" s="34">
        <f>Y405*X405</f>
        <v/>
      </c>
      <c r="AA405" s="34">
        <f>X405+0.5*Z405</f>
        <v/>
      </c>
      <c r="AB405" s="34">
        <f>Q405*J405</f>
        <v/>
      </c>
      <c r="AC405" s="34">
        <f>Q405*L405</f>
        <v/>
      </c>
      <c r="AD405" s="34">
        <f>S405*N405</f>
        <v/>
      </c>
      <c r="AE405" s="34">
        <f>E405*N405</f>
        <v/>
      </c>
      <c r="AF405" s="34">
        <f>R405*N405</f>
        <v/>
      </c>
      <c r="AG405" s="29">
        <f>MAX(SumAssured,AA405)</f>
        <v/>
      </c>
      <c r="AH405" s="34">
        <f>AG405*O405</f>
        <v/>
      </c>
      <c r="AI405" s="34">
        <f>AA405*O405</f>
        <v/>
      </c>
      <c r="AJ405" s="34">
        <f>AA405*P405</f>
        <v/>
      </c>
      <c r="AK405" s="34">
        <f>I405*AA405*P405</f>
        <v/>
      </c>
      <c r="AL405" s="34">
        <f>AJ405-AK405</f>
        <v/>
      </c>
      <c r="AM405" s="34">
        <f>Q405*K405</f>
        <v/>
      </c>
      <c r="AN405" s="34">
        <f>AH405+AL405+AM405</f>
        <v/>
      </c>
      <c r="AO405" s="34">
        <f>(AG405-AA405)*O405</f>
        <v/>
      </c>
      <c r="AP405" s="34">
        <f>W405*N405</f>
        <v/>
      </c>
      <c r="AQ405" s="34">
        <f>T405*N405</f>
        <v/>
      </c>
      <c r="AR405" s="34">
        <f>Z405*J406+0.5*Z405*(O405+P405)</f>
        <v/>
      </c>
      <c r="AS405" s="30">
        <f>(1+InflationRate)^(A405/12)</f>
        <v/>
      </c>
      <c r="AT405" s="29">
        <f>ExpenseAcq*M405+N405*ExpenseMaint/12*AS405</f>
        <v/>
      </c>
      <c r="AU405" s="29">
        <f>CommissionRate*AE405</f>
        <v/>
      </c>
      <c r="AV405" s="34">
        <f>AB406-AB405</f>
        <v/>
      </c>
      <c r="AW405" s="34">
        <f>AE405+AR405-AN405-AT405-AU405-AV405</f>
        <v/>
      </c>
      <c r="AX405" s="29">
        <f>LoadPremRate*E405*N405+AK405+AQ405-AU405-AT405</f>
        <v/>
      </c>
      <c r="AY405" s="34">
        <f>AP405-AO405</f>
        <v/>
      </c>
      <c r="AZ405" s="37">
        <f>(AW405-AX405-AY405)/MAX(1,ABS(AW405),ABS(AX405),ABS(AY405))</f>
        <v/>
      </c>
      <c r="BA405" s="37">
        <f>IF(OR(K405&gt;0,K406&gt;0),0,(AC406-(AC405+AF405-AQ405-AP405+AR405-AI405-AJ405-AM405))/MAX(1,ABS(AC405),ABS(AC406)))</f>
        <v/>
      </c>
      <c r="BB405" s="35">
        <f>(1+INDEX(DiscRateAnn,INT(A405/12)+1))^(1/12)-1</f>
        <v/>
      </c>
      <c r="BC405" s="31">
        <f>(1+BB405)^-A405</f>
        <v/>
      </c>
      <c r="BD405" s="34">
        <f>AW405*BC405</f>
        <v/>
      </c>
    </row>
    <row r="406">
      <c r="A406" s="27">
        <f>A405+1</f>
        <v/>
      </c>
      <c r="B406" s="28">
        <f>Duration0+A406</f>
        <v/>
      </c>
      <c r="C406" s="27">
        <f>INT(B406/12)</f>
        <v/>
      </c>
      <c r="D406" s="28">
        <f>AgeAtEntry+C406</f>
        <v/>
      </c>
      <c r="E406" s="29">
        <f>IF(PremiumType="SINGLE",IF(B406=0,PremiumPPInput,0),IF(B406&lt;12*PolicyTerm,PremiumPPInput,0))</f>
        <v/>
      </c>
      <c r="F406" s="30">
        <f>INDEX(MortRates,MATCH(MIN(D406,120),MortAges,0),MAX(MIN(C406,5),0)+1)</f>
        <v/>
      </c>
      <c r="G406" s="31">
        <f>1-(1-F406)^(1/12)</f>
        <v/>
      </c>
      <c r="H406" s="32">
        <f>MAX(LapseBase-LapseStep*C406,LapseFloor)</f>
        <v/>
      </c>
      <c r="I406" s="32">
        <f>IF(HasSurrCharge,INDEX(SurrRates,MIN(C406,SurrDurMax)+1,MATCH(SurrChargeID,SurrTypes,0)),0)</f>
        <v/>
      </c>
      <c r="J406" s="33">
        <f>N405-P405-O405</f>
        <v/>
      </c>
      <c r="K406" s="30">
        <f>IF(B406=12*PolicyTerm,J406,0)</f>
        <v/>
      </c>
      <c r="L406" s="33">
        <f>J406-K406</f>
        <v/>
      </c>
      <c r="M406" s="30">
        <f>IF(B406=0,PolicyCount,0)</f>
        <v/>
      </c>
      <c r="N406" s="33">
        <f>L406+M406</f>
        <v/>
      </c>
      <c r="O406" s="31">
        <f>N406*G406</f>
        <v/>
      </c>
      <c r="P406" s="33">
        <f>(N406-O406)*(1-(1-H406)^(1/12))</f>
        <v/>
      </c>
      <c r="Q406" s="34">
        <f>X405+Z405</f>
        <v/>
      </c>
      <c r="R406" s="29">
        <f>(1-LoadPremRate)*E406</f>
        <v/>
      </c>
      <c r="S406" s="34">
        <f>Q406+R406</f>
        <v/>
      </c>
      <c r="T406" s="29">
        <f>MaintFeeRateAnn/12*S406</f>
        <v/>
      </c>
      <c r="U406" s="29">
        <f>MAX(SumAssured-S406,0)</f>
        <v/>
      </c>
      <c r="V406" s="35">
        <f>CoiMultiple*G406</f>
        <v/>
      </c>
      <c r="W406" s="34">
        <f>V406*U406</f>
        <v/>
      </c>
      <c r="X406" s="34">
        <f>S406-T406-W406</f>
        <v/>
      </c>
      <c r="Y406" s="36">
        <f>EXP((Mu-0.5*Sigma^2)/12+Sigma*SQRT(1/12)*INDEX(NormRand,ScenID,A406+1))-1</f>
        <v/>
      </c>
      <c r="Z406" s="34">
        <f>Y406*X406</f>
        <v/>
      </c>
      <c r="AA406" s="34">
        <f>X406+0.5*Z406</f>
        <v/>
      </c>
      <c r="AB406" s="34">
        <f>Q406*J406</f>
        <v/>
      </c>
      <c r="AC406" s="34">
        <f>Q406*L406</f>
        <v/>
      </c>
      <c r="AD406" s="34">
        <f>S406*N406</f>
        <v/>
      </c>
      <c r="AE406" s="34">
        <f>E406*N406</f>
        <v/>
      </c>
      <c r="AF406" s="34">
        <f>R406*N406</f>
        <v/>
      </c>
      <c r="AG406" s="29">
        <f>MAX(SumAssured,AA406)</f>
        <v/>
      </c>
      <c r="AH406" s="34">
        <f>AG406*O406</f>
        <v/>
      </c>
      <c r="AI406" s="34">
        <f>AA406*O406</f>
        <v/>
      </c>
      <c r="AJ406" s="34">
        <f>AA406*P406</f>
        <v/>
      </c>
      <c r="AK406" s="34">
        <f>I406*AA406*P406</f>
        <v/>
      </c>
      <c r="AL406" s="34">
        <f>AJ406-AK406</f>
        <v/>
      </c>
      <c r="AM406" s="34">
        <f>Q406*K406</f>
        <v/>
      </c>
      <c r="AN406" s="34">
        <f>AH406+AL406+AM406</f>
        <v/>
      </c>
      <c r="AO406" s="34">
        <f>(AG406-AA406)*O406</f>
        <v/>
      </c>
      <c r="AP406" s="34">
        <f>W406*N406</f>
        <v/>
      </c>
      <c r="AQ406" s="34">
        <f>T406*N406</f>
        <v/>
      </c>
      <c r="AR406" s="34">
        <f>Z406*J407+0.5*Z406*(O406+P406)</f>
        <v/>
      </c>
      <c r="AS406" s="30">
        <f>(1+InflationRate)^(A406/12)</f>
        <v/>
      </c>
      <c r="AT406" s="29">
        <f>ExpenseAcq*M406+N406*ExpenseMaint/12*AS406</f>
        <v/>
      </c>
      <c r="AU406" s="29">
        <f>CommissionRate*AE406</f>
        <v/>
      </c>
      <c r="AV406" s="34">
        <f>AB407-AB406</f>
        <v/>
      </c>
      <c r="AW406" s="34">
        <f>AE406+AR406-AN406-AT406-AU406-AV406</f>
        <v/>
      </c>
      <c r="AX406" s="29">
        <f>LoadPremRate*E406*N406+AK406+AQ406-AU406-AT406</f>
        <v/>
      </c>
      <c r="AY406" s="34">
        <f>AP406-AO406</f>
        <v/>
      </c>
      <c r="AZ406" s="37">
        <f>(AW406-AX406-AY406)/MAX(1,ABS(AW406),ABS(AX406),ABS(AY406))</f>
        <v/>
      </c>
      <c r="BA406" s="37">
        <f>IF(OR(K406&gt;0,K407&gt;0),0,(AC407-(AC406+AF406-AQ406-AP406+AR406-AI406-AJ406-AM406))/MAX(1,ABS(AC406),ABS(AC407)))</f>
        <v/>
      </c>
      <c r="BB406" s="35">
        <f>(1+INDEX(DiscRateAnn,INT(A406/12)+1))^(1/12)-1</f>
        <v/>
      </c>
      <c r="BC406" s="31">
        <f>(1+BB406)^-A406</f>
        <v/>
      </c>
      <c r="BD406" s="34">
        <f>AW406*BC406</f>
        <v/>
      </c>
    </row>
    <row r="407">
      <c r="A407" s="27">
        <f>A406+1</f>
        <v/>
      </c>
      <c r="B407" s="28">
        <f>Duration0+A407</f>
        <v/>
      </c>
      <c r="C407" s="27">
        <f>INT(B407/12)</f>
        <v/>
      </c>
      <c r="D407" s="28">
        <f>AgeAtEntry+C407</f>
        <v/>
      </c>
      <c r="E407" s="29">
        <f>IF(PremiumType="SINGLE",IF(B407=0,PremiumPPInput,0),IF(B407&lt;12*PolicyTerm,PremiumPPInput,0))</f>
        <v/>
      </c>
      <c r="F407" s="30">
        <f>INDEX(MortRates,MATCH(MIN(D407,120),MortAges,0),MAX(MIN(C407,5),0)+1)</f>
        <v/>
      </c>
      <c r="G407" s="31">
        <f>1-(1-F407)^(1/12)</f>
        <v/>
      </c>
      <c r="H407" s="32">
        <f>MAX(LapseBase-LapseStep*C407,LapseFloor)</f>
        <v/>
      </c>
      <c r="I407" s="32">
        <f>IF(HasSurrCharge,INDEX(SurrRates,MIN(C407,SurrDurMax)+1,MATCH(SurrChargeID,SurrTypes,0)),0)</f>
        <v/>
      </c>
      <c r="J407" s="33">
        <f>N406-P406-O406</f>
        <v/>
      </c>
      <c r="K407" s="30">
        <f>IF(B407=12*PolicyTerm,J407,0)</f>
        <v/>
      </c>
      <c r="L407" s="33">
        <f>J407-K407</f>
        <v/>
      </c>
      <c r="M407" s="30">
        <f>IF(B407=0,PolicyCount,0)</f>
        <v/>
      </c>
      <c r="N407" s="33">
        <f>L407+M407</f>
        <v/>
      </c>
      <c r="O407" s="31">
        <f>N407*G407</f>
        <v/>
      </c>
      <c r="P407" s="33">
        <f>(N407-O407)*(1-(1-H407)^(1/12))</f>
        <v/>
      </c>
      <c r="Q407" s="34">
        <f>X406+Z406</f>
        <v/>
      </c>
      <c r="R407" s="29">
        <f>(1-LoadPremRate)*E407</f>
        <v/>
      </c>
      <c r="S407" s="34">
        <f>Q407+R407</f>
        <v/>
      </c>
      <c r="T407" s="29">
        <f>MaintFeeRateAnn/12*S407</f>
        <v/>
      </c>
      <c r="U407" s="29">
        <f>MAX(SumAssured-S407,0)</f>
        <v/>
      </c>
      <c r="V407" s="35">
        <f>CoiMultiple*G407</f>
        <v/>
      </c>
      <c r="W407" s="34">
        <f>V407*U407</f>
        <v/>
      </c>
      <c r="X407" s="34">
        <f>S407-T407-W407</f>
        <v/>
      </c>
      <c r="Y407" s="36">
        <f>EXP((Mu-0.5*Sigma^2)/12+Sigma*SQRT(1/12)*INDEX(NormRand,ScenID,A407+1))-1</f>
        <v/>
      </c>
      <c r="Z407" s="34">
        <f>Y407*X407</f>
        <v/>
      </c>
      <c r="AA407" s="34">
        <f>X407+0.5*Z407</f>
        <v/>
      </c>
      <c r="AB407" s="34">
        <f>Q407*J407</f>
        <v/>
      </c>
      <c r="AC407" s="34">
        <f>Q407*L407</f>
        <v/>
      </c>
      <c r="AD407" s="34">
        <f>S407*N407</f>
        <v/>
      </c>
      <c r="AE407" s="34">
        <f>E407*N407</f>
        <v/>
      </c>
      <c r="AF407" s="34">
        <f>R407*N407</f>
        <v/>
      </c>
      <c r="AG407" s="29">
        <f>MAX(SumAssured,AA407)</f>
        <v/>
      </c>
      <c r="AH407" s="34">
        <f>AG407*O407</f>
        <v/>
      </c>
      <c r="AI407" s="34">
        <f>AA407*O407</f>
        <v/>
      </c>
      <c r="AJ407" s="34">
        <f>AA407*P407</f>
        <v/>
      </c>
      <c r="AK407" s="34">
        <f>I407*AA407*P407</f>
        <v/>
      </c>
      <c r="AL407" s="34">
        <f>AJ407-AK407</f>
        <v/>
      </c>
      <c r="AM407" s="34">
        <f>Q407*K407</f>
        <v/>
      </c>
      <c r="AN407" s="34">
        <f>AH407+AL407+AM407</f>
        <v/>
      </c>
      <c r="AO407" s="34">
        <f>(AG407-AA407)*O407</f>
        <v/>
      </c>
      <c r="AP407" s="34">
        <f>W407*N407</f>
        <v/>
      </c>
      <c r="AQ407" s="34">
        <f>T407*N407</f>
        <v/>
      </c>
      <c r="AR407" s="34">
        <f>Z407*J408+0.5*Z407*(O407+P407)</f>
        <v/>
      </c>
      <c r="AS407" s="30">
        <f>(1+InflationRate)^(A407/12)</f>
        <v/>
      </c>
      <c r="AT407" s="29">
        <f>ExpenseAcq*M407+N407*ExpenseMaint/12*AS407</f>
        <v/>
      </c>
      <c r="AU407" s="29">
        <f>CommissionRate*AE407</f>
        <v/>
      </c>
      <c r="AV407" s="34">
        <f>AB408-AB407</f>
        <v/>
      </c>
      <c r="AW407" s="34">
        <f>AE407+AR407-AN407-AT407-AU407-AV407</f>
        <v/>
      </c>
      <c r="AX407" s="29">
        <f>LoadPremRate*E407*N407+AK407+AQ407-AU407-AT407</f>
        <v/>
      </c>
      <c r="AY407" s="34">
        <f>AP407-AO407</f>
        <v/>
      </c>
      <c r="AZ407" s="37">
        <f>(AW407-AX407-AY407)/MAX(1,ABS(AW407),ABS(AX407),ABS(AY407))</f>
        <v/>
      </c>
      <c r="BA407" s="37">
        <f>IF(OR(K407&gt;0,K408&gt;0),0,(AC408-(AC407+AF407-AQ407-AP407+AR407-AI407-AJ407-AM407))/MAX(1,ABS(AC407),ABS(AC408)))</f>
        <v/>
      </c>
      <c r="BB407" s="35">
        <f>(1+INDEX(DiscRateAnn,INT(A407/12)+1))^(1/12)-1</f>
        <v/>
      </c>
      <c r="BC407" s="31">
        <f>(1+BB407)^-A407</f>
        <v/>
      </c>
      <c r="BD407" s="34">
        <f>AW407*BC407</f>
        <v/>
      </c>
    </row>
    <row r="408">
      <c r="A408" s="27">
        <f>A407+1</f>
        <v/>
      </c>
      <c r="B408" s="28">
        <f>Duration0+A408</f>
        <v/>
      </c>
      <c r="C408" s="27">
        <f>INT(B408/12)</f>
        <v/>
      </c>
      <c r="D408" s="28">
        <f>AgeAtEntry+C408</f>
        <v/>
      </c>
      <c r="E408" s="29">
        <f>IF(PremiumType="SINGLE",IF(B408=0,PremiumPPInput,0),IF(B408&lt;12*PolicyTerm,PremiumPPInput,0))</f>
        <v/>
      </c>
      <c r="F408" s="30">
        <f>INDEX(MortRates,MATCH(MIN(D408,120),MortAges,0),MAX(MIN(C408,5),0)+1)</f>
        <v/>
      </c>
      <c r="G408" s="31">
        <f>1-(1-F408)^(1/12)</f>
        <v/>
      </c>
      <c r="H408" s="32">
        <f>MAX(LapseBase-LapseStep*C408,LapseFloor)</f>
        <v/>
      </c>
      <c r="I408" s="32">
        <f>IF(HasSurrCharge,INDEX(SurrRates,MIN(C408,SurrDurMax)+1,MATCH(SurrChargeID,SurrTypes,0)),0)</f>
        <v/>
      </c>
      <c r="J408" s="33">
        <f>N407-P407-O407</f>
        <v/>
      </c>
      <c r="K408" s="30">
        <f>IF(B408=12*PolicyTerm,J408,0)</f>
        <v/>
      </c>
      <c r="L408" s="33">
        <f>J408-K408</f>
        <v/>
      </c>
      <c r="M408" s="30">
        <f>IF(B408=0,PolicyCount,0)</f>
        <v/>
      </c>
      <c r="N408" s="33">
        <f>L408+M408</f>
        <v/>
      </c>
      <c r="O408" s="31">
        <f>N408*G408</f>
        <v/>
      </c>
      <c r="P408" s="33">
        <f>(N408-O408)*(1-(1-H408)^(1/12))</f>
        <v/>
      </c>
      <c r="Q408" s="34">
        <f>X407+Z407</f>
        <v/>
      </c>
      <c r="R408" s="29">
        <f>(1-LoadPremRate)*E408</f>
        <v/>
      </c>
      <c r="S408" s="34">
        <f>Q408+R408</f>
        <v/>
      </c>
      <c r="T408" s="29">
        <f>MaintFeeRateAnn/12*S408</f>
        <v/>
      </c>
      <c r="U408" s="29">
        <f>MAX(SumAssured-S408,0)</f>
        <v/>
      </c>
      <c r="V408" s="35">
        <f>CoiMultiple*G408</f>
        <v/>
      </c>
      <c r="W408" s="34">
        <f>V408*U408</f>
        <v/>
      </c>
      <c r="X408" s="34">
        <f>S408-T408-W408</f>
        <v/>
      </c>
      <c r="Y408" s="36">
        <f>EXP((Mu-0.5*Sigma^2)/12+Sigma*SQRT(1/12)*INDEX(NormRand,ScenID,A408+1))-1</f>
        <v/>
      </c>
      <c r="Z408" s="34">
        <f>Y408*X408</f>
        <v/>
      </c>
      <c r="AA408" s="34">
        <f>X408+0.5*Z408</f>
        <v/>
      </c>
      <c r="AB408" s="34">
        <f>Q408*J408</f>
        <v/>
      </c>
      <c r="AC408" s="34">
        <f>Q408*L408</f>
        <v/>
      </c>
      <c r="AD408" s="34">
        <f>S408*N408</f>
        <v/>
      </c>
      <c r="AE408" s="34">
        <f>E408*N408</f>
        <v/>
      </c>
      <c r="AF408" s="34">
        <f>R408*N408</f>
        <v/>
      </c>
      <c r="AG408" s="29">
        <f>MAX(SumAssured,AA408)</f>
        <v/>
      </c>
      <c r="AH408" s="34">
        <f>AG408*O408</f>
        <v/>
      </c>
      <c r="AI408" s="34">
        <f>AA408*O408</f>
        <v/>
      </c>
      <c r="AJ408" s="34">
        <f>AA408*P408</f>
        <v/>
      </c>
      <c r="AK408" s="34">
        <f>I408*AA408*P408</f>
        <v/>
      </c>
      <c r="AL408" s="34">
        <f>AJ408-AK408</f>
        <v/>
      </c>
      <c r="AM408" s="34">
        <f>Q408*K408</f>
        <v/>
      </c>
      <c r="AN408" s="34">
        <f>AH408+AL408+AM408</f>
        <v/>
      </c>
      <c r="AO408" s="34">
        <f>(AG408-AA408)*O408</f>
        <v/>
      </c>
      <c r="AP408" s="34">
        <f>W408*N408</f>
        <v/>
      </c>
      <c r="AQ408" s="34">
        <f>T408*N408</f>
        <v/>
      </c>
      <c r="AR408" s="34">
        <f>Z408*J409+0.5*Z408*(O408+P408)</f>
        <v/>
      </c>
      <c r="AS408" s="30">
        <f>(1+InflationRate)^(A408/12)</f>
        <v/>
      </c>
      <c r="AT408" s="29">
        <f>ExpenseAcq*M408+N408*ExpenseMaint/12*AS408</f>
        <v/>
      </c>
      <c r="AU408" s="29">
        <f>CommissionRate*AE408</f>
        <v/>
      </c>
      <c r="AV408" s="34">
        <f>AB409-AB408</f>
        <v/>
      </c>
      <c r="AW408" s="34">
        <f>AE408+AR408-AN408-AT408-AU408-AV408</f>
        <v/>
      </c>
      <c r="AX408" s="29">
        <f>LoadPremRate*E408*N408+AK408+AQ408-AU408-AT408</f>
        <v/>
      </c>
      <c r="AY408" s="34">
        <f>AP408-AO408</f>
        <v/>
      </c>
      <c r="AZ408" s="37">
        <f>(AW408-AX408-AY408)/MAX(1,ABS(AW408),ABS(AX408),ABS(AY408))</f>
        <v/>
      </c>
      <c r="BA408" s="37">
        <f>IF(OR(K408&gt;0,K409&gt;0),0,(AC409-(AC408+AF408-AQ408-AP408+AR408-AI408-AJ408-AM408))/MAX(1,ABS(AC408),ABS(AC409)))</f>
        <v/>
      </c>
      <c r="BB408" s="35">
        <f>(1+INDEX(DiscRateAnn,INT(A408/12)+1))^(1/12)-1</f>
        <v/>
      </c>
      <c r="BC408" s="31">
        <f>(1+BB408)^-A408</f>
        <v/>
      </c>
      <c r="BD408" s="34">
        <f>AW408*BC408</f>
        <v/>
      </c>
    </row>
    <row r="409">
      <c r="A409" s="27">
        <f>A408+1</f>
        <v/>
      </c>
      <c r="B409" s="28">
        <f>Duration0+A409</f>
        <v/>
      </c>
      <c r="C409" s="27">
        <f>INT(B409/12)</f>
        <v/>
      </c>
      <c r="D409" s="28">
        <f>AgeAtEntry+C409</f>
        <v/>
      </c>
      <c r="E409" s="29">
        <f>IF(PremiumType="SINGLE",IF(B409=0,PremiumPPInput,0),IF(B409&lt;12*PolicyTerm,PremiumPPInput,0))</f>
        <v/>
      </c>
      <c r="F409" s="30">
        <f>INDEX(MortRates,MATCH(MIN(D409,120),MortAges,0),MAX(MIN(C409,5),0)+1)</f>
        <v/>
      </c>
      <c r="G409" s="31">
        <f>1-(1-F409)^(1/12)</f>
        <v/>
      </c>
      <c r="H409" s="32">
        <f>MAX(LapseBase-LapseStep*C409,LapseFloor)</f>
        <v/>
      </c>
      <c r="I409" s="32">
        <f>IF(HasSurrCharge,INDEX(SurrRates,MIN(C409,SurrDurMax)+1,MATCH(SurrChargeID,SurrTypes,0)),0)</f>
        <v/>
      </c>
      <c r="J409" s="33">
        <f>N408-P408-O408</f>
        <v/>
      </c>
      <c r="K409" s="30">
        <f>IF(B409=12*PolicyTerm,J409,0)</f>
        <v/>
      </c>
      <c r="L409" s="33">
        <f>J409-K409</f>
        <v/>
      </c>
      <c r="M409" s="30">
        <f>IF(B409=0,PolicyCount,0)</f>
        <v/>
      </c>
      <c r="N409" s="33">
        <f>L409+M409</f>
        <v/>
      </c>
      <c r="O409" s="31">
        <f>N409*G409</f>
        <v/>
      </c>
      <c r="P409" s="33">
        <f>(N409-O409)*(1-(1-H409)^(1/12))</f>
        <v/>
      </c>
      <c r="Q409" s="34">
        <f>X408+Z408</f>
        <v/>
      </c>
      <c r="R409" s="29">
        <f>(1-LoadPremRate)*E409</f>
        <v/>
      </c>
      <c r="S409" s="34">
        <f>Q409+R409</f>
        <v/>
      </c>
      <c r="T409" s="29">
        <f>MaintFeeRateAnn/12*S409</f>
        <v/>
      </c>
      <c r="U409" s="29">
        <f>MAX(SumAssured-S409,0)</f>
        <v/>
      </c>
      <c r="V409" s="35">
        <f>CoiMultiple*G409</f>
        <v/>
      </c>
      <c r="W409" s="34">
        <f>V409*U409</f>
        <v/>
      </c>
      <c r="X409" s="34">
        <f>S409-T409-W409</f>
        <v/>
      </c>
      <c r="Y409" s="36">
        <f>EXP((Mu-0.5*Sigma^2)/12+Sigma*SQRT(1/12)*INDEX(NormRand,ScenID,A409+1))-1</f>
        <v/>
      </c>
      <c r="Z409" s="34">
        <f>Y409*X409</f>
        <v/>
      </c>
      <c r="AA409" s="34">
        <f>X409+0.5*Z409</f>
        <v/>
      </c>
      <c r="AB409" s="34">
        <f>Q409*J409</f>
        <v/>
      </c>
      <c r="AC409" s="34">
        <f>Q409*L409</f>
        <v/>
      </c>
      <c r="AD409" s="34">
        <f>S409*N409</f>
        <v/>
      </c>
      <c r="AE409" s="34">
        <f>E409*N409</f>
        <v/>
      </c>
      <c r="AF409" s="34">
        <f>R409*N409</f>
        <v/>
      </c>
      <c r="AG409" s="29">
        <f>MAX(SumAssured,AA409)</f>
        <v/>
      </c>
      <c r="AH409" s="34">
        <f>AG409*O409</f>
        <v/>
      </c>
      <c r="AI409" s="34">
        <f>AA409*O409</f>
        <v/>
      </c>
      <c r="AJ409" s="34">
        <f>AA409*P409</f>
        <v/>
      </c>
      <c r="AK409" s="34">
        <f>I409*AA409*P409</f>
        <v/>
      </c>
      <c r="AL409" s="34">
        <f>AJ409-AK409</f>
        <v/>
      </c>
      <c r="AM409" s="34">
        <f>Q409*K409</f>
        <v/>
      </c>
      <c r="AN409" s="34">
        <f>AH409+AL409+AM409</f>
        <v/>
      </c>
      <c r="AO409" s="34">
        <f>(AG409-AA409)*O409</f>
        <v/>
      </c>
      <c r="AP409" s="34">
        <f>W409*N409</f>
        <v/>
      </c>
      <c r="AQ409" s="34">
        <f>T409*N409</f>
        <v/>
      </c>
      <c r="AR409" s="34">
        <f>Z409*J410+0.5*Z409*(O409+P409)</f>
        <v/>
      </c>
      <c r="AS409" s="30">
        <f>(1+InflationRate)^(A409/12)</f>
        <v/>
      </c>
      <c r="AT409" s="29">
        <f>ExpenseAcq*M409+N409*ExpenseMaint/12*AS409</f>
        <v/>
      </c>
      <c r="AU409" s="29">
        <f>CommissionRate*AE409</f>
        <v/>
      </c>
      <c r="AV409" s="34">
        <f>AB410-AB409</f>
        <v/>
      </c>
      <c r="AW409" s="34">
        <f>AE409+AR409-AN409-AT409-AU409-AV409</f>
        <v/>
      </c>
      <c r="AX409" s="29">
        <f>LoadPremRate*E409*N409+AK409+AQ409-AU409-AT409</f>
        <v/>
      </c>
      <c r="AY409" s="34">
        <f>AP409-AO409</f>
        <v/>
      </c>
      <c r="AZ409" s="37">
        <f>(AW409-AX409-AY409)/MAX(1,ABS(AW409),ABS(AX409),ABS(AY409))</f>
        <v/>
      </c>
      <c r="BA409" s="37">
        <f>IF(OR(K409&gt;0,K410&gt;0),0,(AC410-(AC409+AF409-AQ409-AP409+AR409-AI409-AJ409-AM409))/MAX(1,ABS(AC409),ABS(AC410)))</f>
        <v/>
      </c>
      <c r="BB409" s="35">
        <f>(1+INDEX(DiscRateAnn,INT(A409/12)+1))^(1/12)-1</f>
        <v/>
      </c>
      <c r="BC409" s="31">
        <f>(1+BB409)^-A409</f>
        <v/>
      </c>
      <c r="BD409" s="34">
        <f>AW409*BC409</f>
        <v/>
      </c>
    </row>
    <row r="410">
      <c r="A410" s="27">
        <f>A409+1</f>
        <v/>
      </c>
      <c r="B410" s="28">
        <f>Duration0+A410</f>
        <v/>
      </c>
      <c r="C410" s="27">
        <f>INT(B410/12)</f>
        <v/>
      </c>
      <c r="D410" s="28">
        <f>AgeAtEntry+C410</f>
        <v/>
      </c>
      <c r="E410" s="29">
        <f>IF(PremiumType="SINGLE",IF(B410=0,PremiumPPInput,0),IF(B410&lt;12*PolicyTerm,PremiumPPInput,0))</f>
        <v/>
      </c>
      <c r="F410" s="30">
        <f>INDEX(MortRates,MATCH(MIN(D410,120),MortAges,0),MAX(MIN(C410,5),0)+1)</f>
        <v/>
      </c>
      <c r="G410" s="31">
        <f>1-(1-F410)^(1/12)</f>
        <v/>
      </c>
      <c r="H410" s="32">
        <f>MAX(LapseBase-LapseStep*C410,LapseFloor)</f>
        <v/>
      </c>
      <c r="I410" s="32">
        <f>IF(HasSurrCharge,INDEX(SurrRates,MIN(C410,SurrDurMax)+1,MATCH(SurrChargeID,SurrTypes,0)),0)</f>
        <v/>
      </c>
      <c r="J410" s="33">
        <f>N409-P409-O409</f>
        <v/>
      </c>
      <c r="K410" s="30">
        <f>IF(B410=12*PolicyTerm,J410,0)</f>
        <v/>
      </c>
      <c r="L410" s="33">
        <f>J410-K410</f>
        <v/>
      </c>
      <c r="M410" s="30">
        <f>IF(B410=0,PolicyCount,0)</f>
        <v/>
      </c>
      <c r="N410" s="33">
        <f>L410+M410</f>
        <v/>
      </c>
      <c r="O410" s="31">
        <f>N410*G410</f>
        <v/>
      </c>
      <c r="P410" s="33">
        <f>(N410-O410)*(1-(1-H410)^(1/12))</f>
        <v/>
      </c>
      <c r="Q410" s="34">
        <f>X409+Z409</f>
        <v/>
      </c>
      <c r="R410" s="29">
        <f>(1-LoadPremRate)*E410</f>
        <v/>
      </c>
      <c r="S410" s="34">
        <f>Q410+R410</f>
        <v/>
      </c>
      <c r="T410" s="29">
        <f>MaintFeeRateAnn/12*S410</f>
        <v/>
      </c>
      <c r="U410" s="29">
        <f>MAX(SumAssured-S410,0)</f>
        <v/>
      </c>
      <c r="V410" s="35">
        <f>CoiMultiple*G410</f>
        <v/>
      </c>
      <c r="W410" s="34">
        <f>V410*U410</f>
        <v/>
      </c>
      <c r="X410" s="34">
        <f>S410-T410-W410</f>
        <v/>
      </c>
      <c r="Y410" s="36">
        <f>EXP((Mu-0.5*Sigma^2)/12+Sigma*SQRT(1/12)*INDEX(NormRand,ScenID,A410+1))-1</f>
        <v/>
      </c>
      <c r="Z410" s="34">
        <f>Y410*X410</f>
        <v/>
      </c>
      <c r="AA410" s="34">
        <f>X410+0.5*Z410</f>
        <v/>
      </c>
      <c r="AB410" s="34">
        <f>Q410*J410</f>
        <v/>
      </c>
      <c r="AC410" s="34">
        <f>Q410*L410</f>
        <v/>
      </c>
      <c r="AD410" s="34">
        <f>S410*N410</f>
        <v/>
      </c>
      <c r="AE410" s="34">
        <f>E410*N410</f>
        <v/>
      </c>
      <c r="AF410" s="34">
        <f>R410*N410</f>
        <v/>
      </c>
      <c r="AG410" s="29">
        <f>MAX(SumAssured,AA410)</f>
        <v/>
      </c>
      <c r="AH410" s="34">
        <f>AG410*O410</f>
        <v/>
      </c>
      <c r="AI410" s="34">
        <f>AA410*O410</f>
        <v/>
      </c>
      <c r="AJ410" s="34">
        <f>AA410*P410</f>
        <v/>
      </c>
      <c r="AK410" s="34">
        <f>I410*AA410*P410</f>
        <v/>
      </c>
      <c r="AL410" s="34">
        <f>AJ410-AK410</f>
        <v/>
      </c>
      <c r="AM410" s="34">
        <f>Q410*K410</f>
        <v/>
      </c>
      <c r="AN410" s="34">
        <f>AH410+AL410+AM410</f>
        <v/>
      </c>
      <c r="AO410" s="34">
        <f>(AG410-AA410)*O410</f>
        <v/>
      </c>
      <c r="AP410" s="34">
        <f>W410*N410</f>
        <v/>
      </c>
      <c r="AQ410" s="34">
        <f>T410*N410</f>
        <v/>
      </c>
      <c r="AR410" s="34">
        <f>Z410*J411+0.5*Z410*(O410+P410)</f>
        <v/>
      </c>
      <c r="AS410" s="30">
        <f>(1+InflationRate)^(A410/12)</f>
        <v/>
      </c>
      <c r="AT410" s="29">
        <f>ExpenseAcq*M410+N410*ExpenseMaint/12*AS410</f>
        <v/>
      </c>
      <c r="AU410" s="29">
        <f>CommissionRate*AE410</f>
        <v/>
      </c>
      <c r="AV410" s="34">
        <f>AB411-AB410</f>
        <v/>
      </c>
      <c r="AW410" s="34">
        <f>AE410+AR410-AN410-AT410-AU410-AV410</f>
        <v/>
      </c>
      <c r="AX410" s="29">
        <f>LoadPremRate*E410*N410+AK410+AQ410-AU410-AT410</f>
        <v/>
      </c>
      <c r="AY410" s="34">
        <f>AP410-AO410</f>
        <v/>
      </c>
      <c r="AZ410" s="37">
        <f>(AW410-AX410-AY410)/MAX(1,ABS(AW410),ABS(AX410),ABS(AY410))</f>
        <v/>
      </c>
      <c r="BA410" s="37">
        <f>IF(OR(K410&gt;0,K411&gt;0),0,(AC411-(AC410+AF410-AQ410-AP410+AR410-AI410-AJ410-AM410))/MAX(1,ABS(AC410),ABS(AC411)))</f>
        <v/>
      </c>
      <c r="BB410" s="35">
        <f>(1+INDEX(DiscRateAnn,INT(A410/12)+1))^(1/12)-1</f>
        <v/>
      </c>
      <c r="BC410" s="31">
        <f>(1+BB410)^-A410</f>
        <v/>
      </c>
      <c r="BD410" s="34">
        <f>AW410*BC410</f>
        <v/>
      </c>
    </row>
    <row r="411">
      <c r="A411" s="27">
        <f>A410+1</f>
        <v/>
      </c>
      <c r="B411" s="28">
        <f>Duration0+A411</f>
        <v/>
      </c>
      <c r="C411" s="27">
        <f>INT(B411/12)</f>
        <v/>
      </c>
      <c r="D411" s="28">
        <f>AgeAtEntry+C411</f>
        <v/>
      </c>
      <c r="E411" s="29">
        <f>IF(PremiumType="SINGLE",IF(B411=0,PremiumPPInput,0),IF(B411&lt;12*PolicyTerm,PremiumPPInput,0))</f>
        <v/>
      </c>
      <c r="F411" s="30">
        <f>INDEX(MortRates,MATCH(MIN(D411,120),MortAges,0),MAX(MIN(C411,5),0)+1)</f>
        <v/>
      </c>
      <c r="G411" s="31">
        <f>1-(1-F411)^(1/12)</f>
        <v/>
      </c>
      <c r="H411" s="32">
        <f>MAX(LapseBase-LapseStep*C411,LapseFloor)</f>
        <v/>
      </c>
      <c r="I411" s="32">
        <f>IF(HasSurrCharge,INDEX(SurrRates,MIN(C411,SurrDurMax)+1,MATCH(SurrChargeID,SurrTypes,0)),0)</f>
        <v/>
      </c>
      <c r="J411" s="33">
        <f>N410-P410-O410</f>
        <v/>
      </c>
      <c r="K411" s="30">
        <f>IF(B411=12*PolicyTerm,J411,0)</f>
        <v/>
      </c>
      <c r="L411" s="33">
        <f>J411-K411</f>
        <v/>
      </c>
      <c r="M411" s="30">
        <f>IF(B411=0,PolicyCount,0)</f>
        <v/>
      </c>
      <c r="N411" s="33">
        <f>L411+M411</f>
        <v/>
      </c>
      <c r="O411" s="31">
        <f>N411*G411</f>
        <v/>
      </c>
      <c r="P411" s="33">
        <f>(N411-O411)*(1-(1-H411)^(1/12))</f>
        <v/>
      </c>
      <c r="Q411" s="34">
        <f>X410+Z410</f>
        <v/>
      </c>
      <c r="R411" s="29">
        <f>(1-LoadPremRate)*E411</f>
        <v/>
      </c>
      <c r="S411" s="34">
        <f>Q411+R411</f>
        <v/>
      </c>
      <c r="T411" s="29">
        <f>MaintFeeRateAnn/12*S411</f>
        <v/>
      </c>
      <c r="U411" s="29">
        <f>MAX(SumAssured-S411,0)</f>
        <v/>
      </c>
      <c r="V411" s="35">
        <f>CoiMultiple*G411</f>
        <v/>
      </c>
      <c r="W411" s="34">
        <f>V411*U411</f>
        <v/>
      </c>
      <c r="X411" s="34">
        <f>S411-T411-W411</f>
        <v/>
      </c>
      <c r="Y411" s="36">
        <f>EXP((Mu-0.5*Sigma^2)/12+Sigma*SQRT(1/12)*INDEX(NormRand,ScenID,A411+1))-1</f>
        <v/>
      </c>
      <c r="Z411" s="34">
        <f>Y411*X411</f>
        <v/>
      </c>
      <c r="AA411" s="34">
        <f>X411+0.5*Z411</f>
        <v/>
      </c>
      <c r="AB411" s="34">
        <f>Q411*J411</f>
        <v/>
      </c>
      <c r="AC411" s="34">
        <f>Q411*L411</f>
        <v/>
      </c>
      <c r="AD411" s="34">
        <f>S411*N411</f>
        <v/>
      </c>
      <c r="AE411" s="34">
        <f>E411*N411</f>
        <v/>
      </c>
      <c r="AF411" s="34">
        <f>R411*N411</f>
        <v/>
      </c>
      <c r="AG411" s="29">
        <f>MAX(SumAssured,AA411)</f>
        <v/>
      </c>
      <c r="AH411" s="34">
        <f>AG411*O411</f>
        <v/>
      </c>
      <c r="AI411" s="34">
        <f>AA411*O411</f>
        <v/>
      </c>
      <c r="AJ411" s="34">
        <f>AA411*P411</f>
        <v/>
      </c>
      <c r="AK411" s="34">
        <f>I411*AA411*P411</f>
        <v/>
      </c>
      <c r="AL411" s="34">
        <f>AJ411-AK411</f>
        <v/>
      </c>
      <c r="AM411" s="34">
        <f>Q411*K411</f>
        <v/>
      </c>
      <c r="AN411" s="34">
        <f>AH411+AL411+AM411</f>
        <v/>
      </c>
      <c r="AO411" s="34">
        <f>(AG411-AA411)*O411</f>
        <v/>
      </c>
      <c r="AP411" s="34">
        <f>W411*N411</f>
        <v/>
      </c>
      <c r="AQ411" s="34">
        <f>T411*N411</f>
        <v/>
      </c>
      <c r="AR411" s="34">
        <f>Z411*J412+0.5*Z411*(O411+P411)</f>
        <v/>
      </c>
      <c r="AS411" s="30">
        <f>(1+InflationRate)^(A411/12)</f>
        <v/>
      </c>
      <c r="AT411" s="29">
        <f>ExpenseAcq*M411+N411*ExpenseMaint/12*AS411</f>
        <v/>
      </c>
      <c r="AU411" s="29">
        <f>CommissionRate*AE411</f>
        <v/>
      </c>
      <c r="AV411" s="34">
        <f>AB412-AB411</f>
        <v/>
      </c>
      <c r="AW411" s="34">
        <f>AE411+AR411-AN411-AT411-AU411-AV411</f>
        <v/>
      </c>
      <c r="AX411" s="29">
        <f>LoadPremRate*E411*N411+AK411+AQ411-AU411-AT411</f>
        <v/>
      </c>
      <c r="AY411" s="34">
        <f>AP411-AO411</f>
        <v/>
      </c>
      <c r="AZ411" s="37">
        <f>(AW411-AX411-AY411)/MAX(1,ABS(AW411),ABS(AX411),ABS(AY411))</f>
        <v/>
      </c>
      <c r="BA411" s="37">
        <f>IF(OR(K411&gt;0,K412&gt;0),0,(AC412-(AC411+AF411-AQ411-AP411+AR411-AI411-AJ411-AM411))/MAX(1,ABS(AC411),ABS(AC412)))</f>
        <v/>
      </c>
      <c r="BB411" s="35">
        <f>(1+INDEX(DiscRateAnn,INT(A411/12)+1))^(1/12)-1</f>
        <v/>
      </c>
      <c r="BC411" s="31">
        <f>(1+BB411)^-A411</f>
        <v/>
      </c>
      <c r="BD411" s="34">
        <f>AW411*BC411</f>
        <v/>
      </c>
    </row>
    <row r="412">
      <c r="A412" s="27">
        <f>A411+1</f>
        <v/>
      </c>
      <c r="B412" s="28">
        <f>Duration0+A412</f>
        <v/>
      </c>
      <c r="C412" s="27">
        <f>INT(B412/12)</f>
        <v/>
      </c>
      <c r="D412" s="28">
        <f>AgeAtEntry+C412</f>
        <v/>
      </c>
      <c r="E412" s="29">
        <f>IF(PremiumType="SINGLE",IF(B412=0,PremiumPPInput,0),IF(B412&lt;12*PolicyTerm,PremiumPPInput,0))</f>
        <v/>
      </c>
      <c r="F412" s="30">
        <f>INDEX(MortRates,MATCH(MIN(D412,120),MortAges,0),MAX(MIN(C412,5),0)+1)</f>
        <v/>
      </c>
      <c r="G412" s="31">
        <f>1-(1-F412)^(1/12)</f>
        <v/>
      </c>
      <c r="H412" s="32">
        <f>MAX(LapseBase-LapseStep*C412,LapseFloor)</f>
        <v/>
      </c>
      <c r="I412" s="32">
        <f>IF(HasSurrCharge,INDEX(SurrRates,MIN(C412,SurrDurMax)+1,MATCH(SurrChargeID,SurrTypes,0)),0)</f>
        <v/>
      </c>
      <c r="J412" s="33">
        <f>N411-P411-O411</f>
        <v/>
      </c>
      <c r="K412" s="30">
        <f>IF(B412=12*PolicyTerm,J412,0)</f>
        <v/>
      </c>
      <c r="L412" s="33">
        <f>J412-K412</f>
        <v/>
      </c>
      <c r="M412" s="30">
        <f>IF(B412=0,PolicyCount,0)</f>
        <v/>
      </c>
      <c r="N412" s="33">
        <f>L412+M412</f>
        <v/>
      </c>
      <c r="O412" s="31">
        <f>N412*G412</f>
        <v/>
      </c>
      <c r="P412" s="33">
        <f>(N412-O412)*(1-(1-H412)^(1/12))</f>
        <v/>
      </c>
      <c r="Q412" s="34">
        <f>X411+Z411</f>
        <v/>
      </c>
      <c r="R412" s="29">
        <f>(1-LoadPremRate)*E412</f>
        <v/>
      </c>
      <c r="S412" s="34">
        <f>Q412+R412</f>
        <v/>
      </c>
      <c r="T412" s="29">
        <f>MaintFeeRateAnn/12*S412</f>
        <v/>
      </c>
      <c r="U412" s="29">
        <f>MAX(SumAssured-S412,0)</f>
        <v/>
      </c>
      <c r="V412" s="35">
        <f>CoiMultiple*G412</f>
        <v/>
      </c>
      <c r="W412" s="34">
        <f>V412*U412</f>
        <v/>
      </c>
      <c r="X412" s="34">
        <f>S412-T412-W412</f>
        <v/>
      </c>
      <c r="Y412" s="36">
        <f>EXP((Mu-0.5*Sigma^2)/12+Sigma*SQRT(1/12)*INDEX(NormRand,ScenID,A412+1))-1</f>
        <v/>
      </c>
      <c r="Z412" s="34">
        <f>Y412*X412</f>
        <v/>
      </c>
      <c r="AA412" s="34">
        <f>X412+0.5*Z412</f>
        <v/>
      </c>
      <c r="AB412" s="34">
        <f>Q412*J412</f>
        <v/>
      </c>
      <c r="AC412" s="34">
        <f>Q412*L412</f>
        <v/>
      </c>
      <c r="AD412" s="34">
        <f>S412*N412</f>
        <v/>
      </c>
      <c r="AE412" s="34">
        <f>E412*N412</f>
        <v/>
      </c>
      <c r="AF412" s="34">
        <f>R412*N412</f>
        <v/>
      </c>
      <c r="AG412" s="29">
        <f>MAX(SumAssured,AA412)</f>
        <v/>
      </c>
      <c r="AH412" s="34">
        <f>AG412*O412</f>
        <v/>
      </c>
      <c r="AI412" s="34">
        <f>AA412*O412</f>
        <v/>
      </c>
      <c r="AJ412" s="34">
        <f>AA412*P412</f>
        <v/>
      </c>
      <c r="AK412" s="34">
        <f>I412*AA412*P412</f>
        <v/>
      </c>
      <c r="AL412" s="34">
        <f>AJ412-AK412</f>
        <v/>
      </c>
      <c r="AM412" s="34">
        <f>Q412*K412</f>
        <v/>
      </c>
      <c r="AN412" s="34">
        <f>AH412+AL412+AM412</f>
        <v/>
      </c>
      <c r="AO412" s="34">
        <f>(AG412-AA412)*O412</f>
        <v/>
      </c>
      <c r="AP412" s="34">
        <f>W412*N412</f>
        <v/>
      </c>
      <c r="AQ412" s="34">
        <f>T412*N412</f>
        <v/>
      </c>
      <c r="AR412" s="34">
        <f>Z412*J413+0.5*Z412*(O412+P412)</f>
        <v/>
      </c>
      <c r="AS412" s="30">
        <f>(1+InflationRate)^(A412/12)</f>
        <v/>
      </c>
      <c r="AT412" s="29">
        <f>ExpenseAcq*M412+N412*ExpenseMaint/12*AS412</f>
        <v/>
      </c>
      <c r="AU412" s="29">
        <f>CommissionRate*AE412</f>
        <v/>
      </c>
      <c r="AV412" s="34">
        <f>AB413-AB412</f>
        <v/>
      </c>
      <c r="AW412" s="34">
        <f>AE412+AR412-AN412-AT412-AU412-AV412</f>
        <v/>
      </c>
      <c r="AX412" s="29">
        <f>LoadPremRate*E412*N412+AK412+AQ412-AU412-AT412</f>
        <v/>
      </c>
      <c r="AY412" s="34">
        <f>AP412-AO412</f>
        <v/>
      </c>
      <c r="AZ412" s="37">
        <f>(AW412-AX412-AY412)/MAX(1,ABS(AW412),ABS(AX412),ABS(AY412))</f>
        <v/>
      </c>
      <c r="BA412" s="37">
        <f>IF(OR(K412&gt;0,K413&gt;0),0,(AC413-(AC412+AF412-AQ412-AP412+AR412-AI412-AJ412-AM412))/MAX(1,ABS(AC412),ABS(AC413)))</f>
        <v/>
      </c>
      <c r="BB412" s="35">
        <f>(1+INDEX(DiscRateAnn,INT(A412/12)+1))^(1/12)-1</f>
        <v/>
      </c>
      <c r="BC412" s="31">
        <f>(1+BB412)^-A412</f>
        <v/>
      </c>
      <c r="BD412" s="34">
        <f>AW412*BC412</f>
        <v/>
      </c>
    </row>
    <row r="413">
      <c r="A413" s="27">
        <f>A412+1</f>
        <v/>
      </c>
      <c r="B413" s="28">
        <f>Duration0+A413</f>
        <v/>
      </c>
      <c r="C413" s="27">
        <f>INT(B413/12)</f>
        <v/>
      </c>
      <c r="D413" s="28">
        <f>AgeAtEntry+C413</f>
        <v/>
      </c>
      <c r="E413" s="29">
        <f>IF(PremiumType="SINGLE",IF(B413=0,PremiumPPInput,0),IF(B413&lt;12*PolicyTerm,PremiumPPInput,0))</f>
        <v/>
      </c>
      <c r="F413" s="30">
        <f>INDEX(MortRates,MATCH(MIN(D413,120),MortAges,0),MAX(MIN(C413,5),0)+1)</f>
        <v/>
      </c>
      <c r="G413" s="31">
        <f>1-(1-F413)^(1/12)</f>
        <v/>
      </c>
      <c r="H413" s="32">
        <f>MAX(LapseBase-LapseStep*C413,LapseFloor)</f>
        <v/>
      </c>
      <c r="I413" s="32">
        <f>IF(HasSurrCharge,INDEX(SurrRates,MIN(C413,SurrDurMax)+1,MATCH(SurrChargeID,SurrTypes,0)),0)</f>
        <v/>
      </c>
      <c r="J413" s="33">
        <f>N412-P412-O412</f>
        <v/>
      </c>
      <c r="K413" s="30">
        <f>IF(B413=12*PolicyTerm,J413,0)</f>
        <v/>
      </c>
      <c r="L413" s="33">
        <f>J413-K413</f>
        <v/>
      </c>
      <c r="M413" s="30">
        <f>IF(B413=0,PolicyCount,0)</f>
        <v/>
      </c>
      <c r="N413" s="33">
        <f>L413+M413</f>
        <v/>
      </c>
      <c r="O413" s="31">
        <f>N413*G413</f>
        <v/>
      </c>
      <c r="P413" s="33">
        <f>(N413-O413)*(1-(1-H413)^(1/12))</f>
        <v/>
      </c>
      <c r="Q413" s="34">
        <f>X412+Z412</f>
        <v/>
      </c>
      <c r="R413" s="29">
        <f>(1-LoadPremRate)*E413</f>
        <v/>
      </c>
      <c r="S413" s="34">
        <f>Q413+R413</f>
        <v/>
      </c>
      <c r="T413" s="29">
        <f>MaintFeeRateAnn/12*S413</f>
        <v/>
      </c>
      <c r="U413" s="29">
        <f>MAX(SumAssured-S413,0)</f>
        <v/>
      </c>
      <c r="V413" s="35">
        <f>CoiMultiple*G413</f>
        <v/>
      </c>
      <c r="W413" s="34">
        <f>V413*U413</f>
        <v/>
      </c>
      <c r="X413" s="34">
        <f>S413-T413-W413</f>
        <v/>
      </c>
      <c r="Y413" s="36">
        <f>EXP((Mu-0.5*Sigma^2)/12+Sigma*SQRT(1/12)*INDEX(NormRand,ScenID,A413+1))-1</f>
        <v/>
      </c>
      <c r="Z413" s="34">
        <f>Y413*X413</f>
        <v/>
      </c>
      <c r="AA413" s="34">
        <f>X413+0.5*Z413</f>
        <v/>
      </c>
      <c r="AB413" s="34">
        <f>Q413*J413</f>
        <v/>
      </c>
      <c r="AC413" s="34">
        <f>Q413*L413</f>
        <v/>
      </c>
      <c r="AD413" s="34">
        <f>S413*N413</f>
        <v/>
      </c>
      <c r="AE413" s="34">
        <f>E413*N413</f>
        <v/>
      </c>
      <c r="AF413" s="34">
        <f>R413*N413</f>
        <v/>
      </c>
      <c r="AG413" s="29">
        <f>MAX(SumAssured,AA413)</f>
        <v/>
      </c>
      <c r="AH413" s="34">
        <f>AG413*O413</f>
        <v/>
      </c>
      <c r="AI413" s="34">
        <f>AA413*O413</f>
        <v/>
      </c>
      <c r="AJ413" s="34">
        <f>AA413*P413</f>
        <v/>
      </c>
      <c r="AK413" s="34">
        <f>I413*AA413*P413</f>
        <v/>
      </c>
      <c r="AL413" s="34">
        <f>AJ413-AK413</f>
        <v/>
      </c>
      <c r="AM413" s="34">
        <f>Q413*K413</f>
        <v/>
      </c>
      <c r="AN413" s="34">
        <f>AH413+AL413+AM413</f>
        <v/>
      </c>
      <c r="AO413" s="34">
        <f>(AG413-AA413)*O413</f>
        <v/>
      </c>
      <c r="AP413" s="34">
        <f>W413*N413</f>
        <v/>
      </c>
      <c r="AQ413" s="34">
        <f>T413*N413</f>
        <v/>
      </c>
      <c r="AR413" s="34">
        <f>Z413*J414+0.5*Z413*(O413+P413)</f>
        <v/>
      </c>
      <c r="AS413" s="30">
        <f>(1+InflationRate)^(A413/12)</f>
        <v/>
      </c>
      <c r="AT413" s="29">
        <f>ExpenseAcq*M413+N413*ExpenseMaint/12*AS413</f>
        <v/>
      </c>
      <c r="AU413" s="29">
        <f>CommissionRate*AE413</f>
        <v/>
      </c>
      <c r="AV413" s="34">
        <f>AB414-AB413</f>
        <v/>
      </c>
      <c r="AW413" s="34">
        <f>AE413+AR413-AN413-AT413-AU413-AV413</f>
        <v/>
      </c>
      <c r="AX413" s="29">
        <f>LoadPremRate*E413*N413+AK413+AQ413-AU413-AT413</f>
        <v/>
      </c>
      <c r="AY413" s="34">
        <f>AP413-AO413</f>
        <v/>
      </c>
      <c r="AZ413" s="37">
        <f>(AW413-AX413-AY413)/MAX(1,ABS(AW413),ABS(AX413),ABS(AY413))</f>
        <v/>
      </c>
      <c r="BA413" s="37">
        <f>IF(OR(K413&gt;0,K414&gt;0),0,(AC414-(AC413+AF413-AQ413-AP413+AR413-AI413-AJ413-AM413))/MAX(1,ABS(AC413),ABS(AC414)))</f>
        <v/>
      </c>
      <c r="BB413" s="35">
        <f>(1+INDEX(DiscRateAnn,INT(A413/12)+1))^(1/12)-1</f>
        <v/>
      </c>
      <c r="BC413" s="31">
        <f>(1+BB413)^-A413</f>
        <v/>
      </c>
      <c r="BD413" s="34">
        <f>AW413*BC413</f>
        <v/>
      </c>
    </row>
    <row r="414">
      <c r="A414" s="27">
        <f>A413+1</f>
        <v/>
      </c>
      <c r="B414" s="28">
        <f>Duration0+A414</f>
        <v/>
      </c>
      <c r="C414" s="27">
        <f>INT(B414/12)</f>
        <v/>
      </c>
      <c r="D414" s="28">
        <f>AgeAtEntry+C414</f>
        <v/>
      </c>
      <c r="E414" s="29">
        <f>IF(PremiumType="SINGLE",IF(B414=0,PremiumPPInput,0),IF(B414&lt;12*PolicyTerm,PremiumPPInput,0))</f>
        <v/>
      </c>
      <c r="F414" s="30">
        <f>INDEX(MortRates,MATCH(MIN(D414,120),MortAges,0),MAX(MIN(C414,5),0)+1)</f>
        <v/>
      </c>
      <c r="G414" s="31">
        <f>1-(1-F414)^(1/12)</f>
        <v/>
      </c>
      <c r="H414" s="32">
        <f>MAX(LapseBase-LapseStep*C414,LapseFloor)</f>
        <v/>
      </c>
      <c r="I414" s="32">
        <f>IF(HasSurrCharge,INDEX(SurrRates,MIN(C414,SurrDurMax)+1,MATCH(SurrChargeID,SurrTypes,0)),0)</f>
        <v/>
      </c>
      <c r="J414" s="33">
        <f>N413-P413-O413</f>
        <v/>
      </c>
      <c r="K414" s="30">
        <f>IF(B414=12*PolicyTerm,J414,0)</f>
        <v/>
      </c>
      <c r="L414" s="33">
        <f>J414-K414</f>
        <v/>
      </c>
      <c r="M414" s="30">
        <f>IF(B414=0,PolicyCount,0)</f>
        <v/>
      </c>
      <c r="N414" s="33">
        <f>L414+M414</f>
        <v/>
      </c>
      <c r="O414" s="31">
        <f>N414*G414</f>
        <v/>
      </c>
      <c r="P414" s="33">
        <f>(N414-O414)*(1-(1-H414)^(1/12))</f>
        <v/>
      </c>
      <c r="Q414" s="34">
        <f>X413+Z413</f>
        <v/>
      </c>
      <c r="R414" s="29">
        <f>(1-LoadPremRate)*E414</f>
        <v/>
      </c>
      <c r="S414" s="34">
        <f>Q414+R414</f>
        <v/>
      </c>
      <c r="T414" s="29">
        <f>MaintFeeRateAnn/12*S414</f>
        <v/>
      </c>
      <c r="U414" s="29">
        <f>MAX(SumAssured-S414,0)</f>
        <v/>
      </c>
      <c r="V414" s="35">
        <f>CoiMultiple*G414</f>
        <v/>
      </c>
      <c r="W414" s="34">
        <f>V414*U414</f>
        <v/>
      </c>
      <c r="X414" s="34">
        <f>S414-T414-W414</f>
        <v/>
      </c>
      <c r="Y414" s="36">
        <f>EXP((Mu-0.5*Sigma^2)/12+Sigma*SQRT(1/12)*INDEX(NormRand,ScenID,A414+1))-1</f>
        <v/>
      </c>
      <c r="Z414" s="34">
        <f>Y414*X414</f>
        <v/>
      </c>
      <c r="AA414" s="34">
        <f>X414+0.5*Z414</f>
        <v/>
      </c>
      <c r="AB414" s="34">
        <f>Q414*J414</f>
        <v/>
      </c>
      <c r="AC414" s="34">
        <f>Q414*L414</f>
        <v/>
      </c>
      <c r="AD414" s="34">
        <f>S414*N414</f>
        <v/>
      </c>
      <c r="AE414" s="34">
        <f>E414*N414</f>
        <v/>
      </c>
      <c r="AF414" s="34">
        <f>R414*N414</f>
        <v/>
      </c>
      <c r="AG414" s="29">
        <f>MAX(SumAssured,AA414)</f>
        <v/>
      </c>
      <c r="AH414" s="34">
        <f>AG414*O414</f>
        <v/>
      </c>
      <c r="AI414" s="34">
        <f>AA414*O414</f>
        <v/>
      </c>
      <c r="AJ414" s="34">
        <f>AA414*P414</f>
        <v/>
      </c>
      <c r="AK414" s="34">
        <f>I414*AA414*P414</f>
        <v/>
      </c>
      <c r="AL414" s="34">
        <f>AJ414-AK414</f>
        <v/>
      </c>
      <c r="AM414" s="34">
        <f>Q414*K414</f>
        <v/>
      </c>
      <c r="AN414" s="34">
        <f>AH414+AL414+AM414</f>
        <v/>
      </c>
      <c r="AO414" s="34">
        <f>(AG414-AA414)*O414</f>
        <v/>
      </c>
      <c r="AP414" s="34">
        <f>W414*N414</f>
        <v/>
      </c>
      <c r="AQ414" s="34">
        <f>T414*N414</f>
        <v/>
      </c>
      <c r="AR414" s="34">
        <f>Z414*J415+0.5*Z414*(O414+P414)</f>
        <v/>
      </c>
      <c r="AS414" s="30">
        <f>(1+InflationRate)^(A414/12)</f>
        <v/>
      </c>
      <c r="AT414" s="29">
        <f>ExpenseAcq*M414+N414*ExpenseMaint/12*AS414</f>
        <v/>
      </c>
      <c r="AU414" s="29">
        <f>CommissionRate*AE414</f>
        <v/>
      </c>
      <c r="AV414" s="34">
        <f>AB415-AB414</f>
        <v/>
      </c>
      <c r="AW414" s="34">
        <f>AE414+AR414-AN414-AT414-AU414-AV414</f>
        <v/>
      </c>
      <c r="AX414" s="29">
        <f>LoadPremRate*E414*N414+AK414+AQ414-AU414-AT414</f>
        <v/>
      </c>
      <c r="AY414" s="34">
        <f>AP414-AO414</f>
        <v/>
      </c>
      <c r="AZ414" s="37">
        <f>(AW414-AX414-AY414)/MAX(1,ABS(AW414),ABS(AX414),ABS(AY414))</f>
        <v/>
      </c>
      <c r="BA414" s="37">
        <f>IF(OR(K414&gt;0,K415&gt;0),0,(AC415-(AC414+AF414-AQ414-AP414+AR414-AI414-AJ414-AM414))/MAX(1,ABS(AC414),ABS(AC415)))</f>
        <v/>
      </c>
      <c r="BB414" s="35">
        <f>(1+INDEX(DiscRateAnn,INT(A414/12)+1))^(1/12)-1</f>
        <v/>
      </c>
      <c r="BC414" s="31">
        <f>(1+BB414)^-A414</f>
        <v/>
      </c>
      <c r="BD414" s="34">
        <f>AW414*BC414</f>
        <v/>
      </c>
    </row>
    <row r="415">
      <c r="A415" s="27">
        <f>A414+1</f>
        <v/>
      </c>
      <c r="B415" s="28">
        <f>Duration0+A415</f>
        <v/>
      </c>
      <c r="C415" s="27">
        <f>INT(B415/12)</f>
        <v/>
      </c>
      <c r="D415" s="28">
        <f>AgeAtEntry+C415</f>
        <v/>
      </c>
      <c r="E415" s="29">
        <f>IF(PremiumType="SINGLE",IF(B415=0,PremiumPPInput,0),IF(B415&lt;12*PolicyTerm,PremiumPPInput,0))</f>
        <v/>
      </c>
      <c r="F415" s="30">
        <f>INDEX(MortRates,MATCH(MIN(D415,120),MortAges,0),MAX(MIN(C415,5),0)+1)</f>
        <v/>
      </c>
      <c r="G415" s="31">
        <f>1-(1-F415)^(1/12)</f>
        <v/>
      </c>
      <c r="H415" s="32">
        <f>MAX(LapseBase-LapseStep*C415,LapseFloor)</f>
        <v/>
      </c>
      <c r="I415" s="32">
        <f>IF(HasSurrCharge,INDEX(SurrRates,MIN(C415,SurrDurMax)+1,MATCH(SurrChargeID,SurrTypes,0)),0)</f>
        <v/>
      </c>
      <c r="J415" s="33">
        <f>N414-P414-O414</f>
        <v/>
      </c>
      <c r="K415" s="30">
        <f>IF(B415=12*PolicyTerm,J415,0)</f>
        <v/>
      </c>
      <c r="L415" s="33">
        <f>J415-K415</f>
        <v/>
      </c>
      <c r="M415" s="30">
        <f>IF(B415=0,PolicyCount,0)</f>
        <v/>
      </c>
      <c r="N415" s="33">
        <f>L415+M415</f>
        <v/>
      </c>
      <c r="O415" s="31">
        <f>N415*G415</f>
        <v/>
      </c>
      <c r="P415" s="33">
        <f>(N415-O415)*(1-(1-H415)^(1/12))</f>
        <v/>
      </c>
      <c r="Q415" s="34">
        <f>X414+Z414</f>
        <v/>
      </c>
      <c r="R415" s="29">
        <f>(1-LoadPremRate)*E415</f>
        <v/>
      </c>
      <c r="S415" s="34">
        <f>Q415+R415</f>
        <v/>
      </c>
      <c r="T415" s="29">
        <f>MaintFeeRateAnn/12*S415</f>
        <v/>
      </c>
      <c r="U415" s="29">
        <f>MAX(SumAssured-S415,0)</f>
        <v/>
      </c>
      <c r="V415" s="35">
        <f>CoiMultiple*G415</f>
        <v/>
      </c>
      <c r="W415" s="34">
        <f>V415*U415</f>
        <v/>
      </c>
      <c r="X415" s="34">
        <f>S415-T415-W415</f>
        <v/>
      </c>
      <c r="Y415" s="36">
        <f>EXP((Mu-0.5*Sigma^2)/12+Sigma*SQRT(1/12)*INDEX(NormRand,ScenID,A415+1))-1</f>
        <v/>
      </c>
      <c r="Z415" s="34">
        <f>Y415*X415</f>
        <v/>
      </c>
      <c r="AA415" s="34">
        <f>X415+0.5*Z415</f>
        <v/>
      </c>
      <c r="AB415" s="34">
        <f>Q415*J415</f>
        <v/>
      </c>
      <c r="AC415" s="34">
        <f>Q415*L415</f>
        <v/>
      </c>
      <c r="AD415" s="34">
        <f>S415*N415</f>
        <v/>
      </c>
      <c r="AE415" s="34">
        <f>E415*N415</f>
        <v/>
      </c>
      <c r="AF415" s="34">
        <f>R415*N415</f>
        <v/>
      </c>
      <c r="AG415" s="29">
        <f>MAX(SumAssured,AA415)</f>
        <v/>
      </c>
      <c r="AH415" s="34">
        <f>AG415*O415</f>
        <v/>
      </c>
      <c r="AI415" s="34">
        <f>AA415*O415</f>
        <v/>
      </c>
      <c r="AJ415" s="34">
        <f>AA415*P415</f>
        <v/>
      </c>
      <c r="AK415" s="34">
        <f>I415*AA415*P415</f>
        <v/>
      </c>
      <c r="AL415" s="34">
        <f>AJ415-AK415</f>
        <v/>
      </c>
      <c r="AM415" s="34">
        <f>Q415*K415</f>
        <v/>
      </c>
      <c r="AN415" s="34">
        <f>AH415+AL415+AM415</f>
        <v/>
      </c>
      <c r="AO415" s="34">
        <f>(AG415-AA415)*O415</f>
        <v/>
      </c>
      <c r="AP415" s="34">
        <f>W415*N415</f>
        <v/>
      </c>
      <c r="AQ415" s="34">
        <f>T415*N415</f>
        <v/>
      </c>
      <c r="AR415" s="34">
        <f>Z415*J416+0.5*Z415*(O415+P415)</f>
        <v/>
      </c>
      <c r="AS415" s="30">
        <f>(1+InflationRate)^(A415/12)</f>
        <v/>
      </c>
      <c r="AT415" s="29">
        <f>ExpenseAcq*M415+N415*ExpenseMaint/12*AS415</f>
        <v/>
      </c>
      <c r="AU415" s="29">
        <f>CommissionRate*AE415</f>
        <v/>
      </c>
      <c r="AV415" s="34">
        <f>AB416-AB415</f>
        <v/>
      </c>
      <c r="AW415" s="34">
        <f>AE415+AR415-AN415-AT415-AU415-AV415</f>
        <v/>
      </c>
      <c r="AX415" s="29">
        <f>LoadPremRate*E415*N415+AK415+AQ415-AU415-AT415</f>
        <v/>
      </c>
      <c r="AY415" s="34">
        <f>AP415-AO415</f>
        <v/>
      </c>
      <c r="AZ415" s="37">
        <f>(AW415-AX415-AY415)/MAX(1,ABS(AW415),ABS(AX415),ABS(AY415))</f>
        <v/>
      </c>
      <c r="BA415" s="37">
        <f>IF(OR(K415&gt;0,K416&gt;0),0,(AC416-(AC415+AF415-AQ415-AP415+AR415-AI415-AJ415-AM415))/MAX(1,ABS(AC415),ABS(AC416)))</f>
        <v/>
      </c>
      <c r="BB415" s="35">
        <f>(1+INDEX(DiscRateAnn,INT(A415/12)+1))^(1/12)-1</f>
        <v/>
      </c>
      <c r="BC415" s="31">
        <f>(1+BB415)^-A415</f>
        <v/>
      </c>
      <c r="BD415" s="34">
        <f>AW415*BC415</f>
        <v/>
      </c>
    </row>
    <row r="416">
      <c r="A416" s="27">
        <f>A415+1</f>
        <v/>
      </c>
      <c r="B416" s="28">
        <f>Duration0+A416</f>
        <v/>
      </c>
      <c r="C416" s="27">
        <f>INT(B416/12)</f>
        <v/>
      </c>
      <c r="D416" s="28">
        <f>AgeAtEntry+C416</f>
        <v/>
      </c>
      <c r="E416" s="29">
        <f>IF(PremiumType="SINGLE",IF(B416=0,PremiumPPInput,0),IF(B416&lt;12*PolicyTerm,PremiumPPInput,0))</f>
        <v/>
      </c>
      <c r="F416" s="30">
        <f>INDEX(MortRates,MATCH(MIN(D416,120),MortAges,0),MAX(MIN(C416,5),0)+1)</f>
        <v/>
      </c>
      <c r="G416" s="31">
        <f>1-(1-F416)^(1/12)</f>
        <v/>
      </c>
      <c r="H416" s="32">
        <f>MAX(LapseBase-LapseStep*C416,LapseFloor)</f>
        <v/>
      </c>
      <c r="I416" s="32">
        <f>IF(HasSurrCharge,INDEX(SurrRates,MIN(C416,SurrDurMax)+1,MATCH(SurrChargeID,SurrTypes,0)),0)</f>
        <v/>
      </c>
      <c r="J416" s="33">
        <f>N415-P415-O415</f>
        <v/>
      </c>
      <c r="K416" s="30">
        <f>IF(B416=12*PolicyTerm,J416,0)</f>
        <v/>
      </c>
      <c r="L416" s="33">
        <f>J416-K416</f>
        <v/>
      </c>
      <c r="M416" s="30">
        <f>IF(B416=0,PolicyCount,0)</f>
        <v/>
      </c>
      <c r="N416" s="33">
        <f>L416+M416</f>
        <v/>
      </c>
      <c r="O416" s="31">
        <f>N416*G416</f>
        <v/>
      </c>
      <c r="P416" s="33">
        <f>(N416-O416)*(1-(1-H416)^(1/12))</f>
        <v/>
      </c>
      <c r="Q416" s="34">
        <f>X415+Z415</f>
        <v/>
      </c>
      <c r="R416" s="29">
        <f>(1-LoadPremRate)*E416</f>
        <v/>
      </c>
      <c r="S416" s="34">
        <f>Q416+R416</f>
        <v/>
      </c>
      <c r="T416" s="29">
        <f>MaintFeeRateAnn/12*S416</f>
        <v/>
      </c>
      <c r="U416" s="29">
        <f>MAX(SumAssured-S416,0)</f>
        <v/>
      </c>
      <c r="V416" s="35">
        <f>CoiMultiple*G416</f>
        <v/>
      </c>
      <c r="W416" s="34">
        <f>V416*U416</f>
        <v/>
      </c>
      <c r="X416" s="34">
        <f>S416-T416-W416</f>
        <v/>
      </c>
      <c r="Y416" s="36">
        <f>EXP((Mu-0.5*Sigma^2)/12+Sigma*SQRT(1/12)*INDEX(NormRand,ScenID,A416+1))-1</f>
        <v/>
      </c>
      <c r="Z416" s="34">
        <f>Y416*X416</f>
        <v/>
      </c>
      <c r="AA416" s="34">
        <f>X416+0.5*Z416</f>
        <v/>
      </c>
      <c r="AB416" s="34">
        <f>Q416*J416</f>
        <v/>
      </c>
      <c r="AC416" s="34">
        <f>Q416*L416</f>
        <v/>
      </c>
      <c r="AD416" s="34">
        <f>S416*N416</f>
        <v/>
      </c>
      <c r="AE416" s="34">
        <f>E416*N416</f>
        <v/>
      </c>
      <c r="AF416" s="34">
        <f>R416*N416</f>
        <v/>
      </c>
      <c r="AG416" s="29">
        <f>MAX(SumAssured,AA416)</f>
        <v/>
      </c>
      <c r="AH416" s="34">
        <f>AG416*O416</f>
        <v/>
      </c>
      <c r="AI416" s="34">
        <f>AA416*O416</f>
        <v/>
      </c>
      <c r="AJ416" s="34">
        <f>AA416*P416</f>
        <v/>
      </c>
      <c r="AK416" s="34">
        <f>I416*AA416*P416</f>
        <v/>
      </c>
      <c r="AL416" s="34">
        <f>AJ416-AK416</f>
        <v/>
      </c>
      <c r="AM416" s="34">
        <f>Q416*K416</f>
        <v/>
      </c>
      <c r="AN416" s="34">
        <f>AH416+AL416+AM416</f>
        <v/>
      </c>
      <c r="AO416" s="34">
        <f>(AG416-AA416)*O416</f>
        <v/>
      </c>
      <c r="AP416" s="34">
        <f>W416*N416</f>
        <v/>
      </c>
      <c r="AQ416" s="34">
        <f>T416*N416</f>
        <v/>
      </c>
      <c r="AR416" s="34">
        <f>Z416*J417+0.5*Z416*(O416+P416)</f>
        <v/>
      </c>
      <c r="AS416" s="30">
        <f>(1+InflationRate)^(A416/12)</f>
        <v/>
      </c>
      <c r="AT416" s="29">
        <f>ExpenseAcq*M416+N416*ExpenseMaint/12*AS416</f>
        <v/>
      </c>
      <c r="AU416" s="29">
        <f>CommissionRate*AE416</f>
        <v/>
      </c>
      <c r="AV416" s="34">
        <f>AB417-AB416</f>
        <v/>
      </c>
      <c r="AW416" s="34">
        <f>AE416+AR416-AN416-AT416-AU416-AV416</f>
        <v/>
      </c>
      <c r="AX416" s="29">
        <f>LoadPremRate*E416*N416+AK416+AQ416-AU416-AT416</f>
        <v/>
      </c>
      <c r="AY416" s="34">
        <f>AP416-AO416</f>
        <v/>
      </c>
      <c r="AZ416" s="37">
        <f>(AW416-AX416-AY416)/MAX(1,ABS(AW416),ABS(AX416),ABS(AY416))</f>
        <v/>
      </c>
      <c r="BA416" s="37">
        <f>IF(OR(K416&gt;0,K417&gt;0),0,(AC417-(AC416+AF416-AQ416-AP416+AR416-AI416-AJ416-AM416))/MAX(1,ABS(AC416),ABS(AC417)))</f>
        <v/>
      </c>
      <c r="BB416" s="35">
        <f>(1+INDEX(DiscRateAnn,INT(A416/12)+1))^(1/12)-1</f>
        <v/>
      </c>
      <c r="BC416" s="31">
        <f>(1+BB416)^-A416</f>
        <v/>
      </c>
      <c r="BD416" s="34">
        <f>AW416*BC416</f>
        <v/>
      </c>
    </row>
    <row r="417">
      <c r="A417" s="27">
        <f>A416+1</f>
        <v/>
      </c>
      <c r="B417" s="28">
        <f>Duration0+A417</f>
        <v/>
      </c>
      <c r="C417" s="27">
        <f>INT(B417/12)</f>
        <v/>
      </c>
      <c r="D417" s="28">
        <f>AgeAtEntry+C417</f>
        <v/>
      </c>
      <c r="E417" s="29">
        <f>IF(PremiumType="SINGLE",IF(B417=0,PremiumPPInput,0),IF(B417&lt;12*PolicyTerm,PremiumPPInput,0))</f>
        <v/>
      </c>
      <c r="F417" s="30">
        <f>INDEX(MortRates,MATCH(MIN(D417,120),MortAges,0),MAX(MIN(C417,5),0)+1)</f>
        <v/>
      </c>
      <c r="G417" s="31">
        <f>1-(1-F417)^(1/12)</f>
        <v/>
      </c>
      <c r="H417" s="32">
        <f>MAX(LapseBase-LapseStep*C417,LapseFloor)</f>
        <v/>
      </c>
      <c r="I417" s="32">
        <f>IF(HasSurrCharge,INDEX(SurrRates,MIN(C417,SurrDurMax)+1,MATCH(SurrChargeID,SurrTypes,0)),0)</f>
        <v/>
      </c>
      <c r="J417" s="33">
        <f>N416-P416-O416</f>
        <v/>
      </c>
      <c r="K417" s="30">
        <f>IF(B417=12*PolicyTerm,J417,0)</f>
        <v/>
      </c>
      <c r="L417" s="33">
        <f>J417-K417</f>
        <v/>
      </c>
      <c r="M417" s="30">
        <f>IF(B417=0,PolicyCount,0)</f>
        <v/>
      </c>
      <c r="N417" s="33">
        <f>L417+M417</f>
        <v/>
      </c>
      <c r="O417" s="31">
        <f>N417*G417</f>
        <v/>
      </c>
      <c r="P417" s="33">
        <f>(N417-O417)*(1-(1-H417)^(1/12))</f>
        <v/>
      </c>
      <c r="Q417" s="34">
        <f>X416+Z416</f>
        <v/>
      </c>
      <c r="R417" s="29">
        <f>(1-LoadPremRate)*E417</f>
        <v/>
      </c>
      <c r="S417" s="34">
        <f>Q417+R417</f>
        <v/>
      </c>
      <c r="T417" s="29">
        <f>MaintFeeRateAnn/12*S417</f>
        <v/>
      </c>
      <c r="U417" s="29">
        <f>MAX(SumAssured-S417,0)</f>
        <v/>
      </c>
      <c r="V417" s="35">
        <f>CoiMultiple*G417</f>
        <v/>
      </c>
      <c r="W417" s="34">
        <f>V417*U417</f>
        <v/>
      </c>
      <c r="X417" s="34">
        <f>S417-T417-W417</f>
        <v/>
      </c>
      <c r="Y417" s="36">
        <f>EXP((Mu-0.5*Sigma^2)/12+Sigma*SQRT(1/12)*INDEX(NormRand,ScenID,A417+1))-1</f>
        <v/>
      </c>
      <c r="Z417" s="34">
        <f>Y417*X417</f>
        <v/>
      </c>
      <c r="AA417" s="34">
        <f>X417+0.5*Z417</f>
        <v/>
      </c>
      <c r="AB417" s="34">
        <f>Q417*J417</f>
        <v/>
      </c>
      <c r="AC417" s="34">
        <f>Q417*L417</f>
        <v/>
      </c>
      <c r="AD417" s="34">
        <f>S417*N417</f>
        <v/>
      </c>
      <c r="AE417" s="34">
        <f>E417*N417</f>
        <v/>
      </c>
      <c r="AF417" s="34">
        <f>R417*N417</f>
        <v/>
      </c>
      <c r="AG417" s="29">
        <f>MAX(SumAssured,AA417)</f>
        <v/>
      </c>
      <c r="AH417" s="34">
        <f>AG417*O417</f>
        <v/>
      </c>
      <c r="AI417" s="34">
        <f>AA417*O417</f>
        <v/>
      </c>
      <c r="AJ417" s="34">
        <f>AA417*P417</f>
        <v/>
      </c>
      <c r="AK417" s="34">
        <f>I417*AA417*P417</f>
        <v/>
      </c>
      <c r="AL417" s="34">
        <f>AJ417-AK417</f>
        <v/>
      </c>
      <c r="AM417" s="34">
        <f>Q417*K417</f>
        <v/>
      </c>
      <c r="AN417" s="34">
        <f>AH417+AL417+AM417</f>
        <v/>
      </c>
      <c r="AO417" s="34">
        <f>(AG417-AA417)*O417</f>
        <v/>
      </c>
      <c r="AP417" s="34">
        <f>W417*N417</f>
        <v/>
      </c>
      <c r="AQ417" s="34">
        <f>T417*N417</f>
        <v/>
      </c>
      <c r="AR417" s="34">
        <f>Z417*J418+0.5*Z417*(O417+P417)</f>
        <v/>
      </c>
      <c r="AS417" s="30">
        <f>(1+InflationRate)^(A417/12)</f>
        <v/>
      </c>
      <c r="AT417" s="29">
        <f>ExpenseAcq*M417+N417*ExpenseMaint/12*AS417</f>
        <v/>
      </c>
      <c r="AU417" s="29">
        <f>CommissionRate*AE417</f>
        <v/>
      </c>
      <c r="AV417" s="34">
        <f>AB418-AB417</f>
        <v/>
      </c>
      <c r="AW417" s="34">
        <f>AE417+AR417-AN417-AT417-AU417-AV417</f>
        <v/>
      </c>
      <c r="AX417" s="29">
        <f>LoadPremRate*E417*N417+AK417+AQ417-AU417-AT417</f>
        <v/>
      </c>
      <c r="AY417" s="34">
        <f>AP417-AO417</f>
        <v/>
      </c>
      <c r="AZ417" s="37">
        <f>(AW417-AX417-AY417)/MAX(1,ABS(AW417),ABS(AX417),ABS(AY417))</f>
        <v/>
      </c>
      <c r="BA417" s="37">
        <f>IF(OR(K417&gt;0,K418&gt;0),0,(AC418-(AC417+AF417-AQ417-AP417+AR417-AI417-AJ417-AM417))/MAX(1,ABS(AC417),ABS(AC418)))</f>
        <v/>
      </c>
      <c r="BB417" s="35">
        <f>(1+INDEX(DiscRateAnn,INT(A417/12)+1))^(1/12)-1</f>
        <v/>
      </c>
      <c r="BC417" s="31">
        <f>(1+BB417)^-A417</f>
        <v/>
      </c>
      <c r="BD417" s="34">
        <f>AW417*BC417</f>
        <v/>
      </c>
    </row>
    <row r="418">
      <c r="A418" s="27">
        <f>A417+1</f>
        <v/>
      </c>
      <c r="B418" s="28">
        <f>Duration0+A418</f>
        <v/>
      </c>
      <c r="C418" s="27">
        <f>INT(B418/12)</f>
        <v/>
      </c>
      <c r="D418" s="28">
        <f>AgeAtEntry+C418</f>
        <v/>
      </c>
      <c r="E418" s="29">
        <f>IF(PremiumType="SINGLE",IF(B418=0,PremiumPPInput,0),IF(B418&lt;12*PolicyTerm,PremiumPPInput,0))</f>
        <v/>
      </c>
      <c r="F418" s="30">
        <f>INDEX(MortRates,MATCH(MIN(D418,120),MortAges,0),MAX(MIN(C418,5),0)+1)</f>
        <v/>
      </c>
      <c r="G418" s="31">
        <f>1-(1-F418)^(1/12)</f>
        <v/>
      </c>
      <c r="H418" s="32">
        <f>MAX(LapseBase-LapseStep*C418,LapseFloor)</f>
        <v/>
      </c>
      <c r="I418" s="32">
        <f>IF(HasSurrCharge,INDEX(SurrRates,MIN(C418,SurrDurMax)+1,MATCH(SurrChargeID,SurrTypes,0)),0)</f>
        <v/>
      </c>
      <c r="J418" s="33">
        <f>N417-P417-O417</f>
        <v/>
      </c>
      <c r="K418" s="30">
        <f>IF(B418=12*PolicyTerm,J418,0)</f>
        <v/>
      </c>
      <c r="L418" s="33">
        <f>J418-K418</f>
        <v/>
      </c>
      <c r="M418" s="30">
        <f>IF(B418=0,PolicyCount,0)</f>
        <v/>
      </c>
      <c r="N418" s="33">
        <f>L418+M418</f>
        <v/>
      </c>
      <c r="O418" s="31">
        <f>N418*G418</f>
        <v/>
      </c>
      <c r="P418" s="33">
        <f>(N418-O418)*(1-(1-H418)^(1/12))</f>
        <v/>
      </c>
      <c r="Q418" s="34">
        <f>X417+Z417</f>
        <v/>
      </c>
      <c r="R418" s="29">
        <f>(1-LoadPremRate)*E418</f>
        <v/>
      </c>
      <c r="S418" s="34">
        <f>Q418+R418</f>
        <v/>
      </c>
      <c r="T418" s="29">
        <f>MaintFeeRateAnn/12*S418</f>
        <v/>
      </c>
      <c r="U418" s="29">
        <f>MAX(SumAssured-S418,0)</f>
        <v/>
      </c>
      <c r="V418" s="35">
        <f>CoiMultiple*G418</f>
        <v/>
      </c>
      <c r="W418" s="34">
        <f>V418*U418</f>
        <v/>
      </c>
      <c r="X418" s="34">
        <f>S418-T418-W418</f>
        <v/>
      </c>
      <c r="Y418" s="36">
        <f>EXP((Mu-0.5*Sigma^2)/12+Sigma*SQRT(1/12)*INDEX(NormRand,ScenID,A418+1))-1</f>
        <v/>
      </c>
      <c r="Z418" s="34">
        <f>Y418*X418</f>
        <v/>
      </c>
      <c r="AA418" s="34">
        <f>X418+0.5*Z418</f>
        <v/>
      </c>
      <c r="AB418" s="34">
        <f>Q418*J418</f>
        <v/>
      </c>
      <c r="AC418" s="34">
        <f>Q418*L418</f>
        <v/>
      </c>
      <c r="AD418" s="34">
        <f>S418*N418</f>
        <v/>
      </c>
      <c r="AE418" s="34">
        <f>E418*N418</f>
        <v/>
      </c>
      <c r="AF418" s="34">
        <f>R418*N418</f>
        <v/>
      </c>
      <c r="AG418" s="29">
        <f>MAX(SumAssured,AA418)</f>
        <v/>
      </c>
      <c r="AH418" s="34">
        <f>AG418*O418</f>
        <v/>
      </c>
      <c r="AI418" s="34">
        <f>AA418*O418</f>
        <v/>
      </c>
      <c r="AJ418" s="34">
        <f>AA418*P418</f>
        <v/>
      </c>
      <c r="AK418" s="34">
        <f>I418*AA418*P418</f>
        <v/>
      </c>
      <c r="AL418" s="34">
        <f>AJ418-AK418</f>
        <v/>
      </c>
      <c r="AM418" s="34">
        <f>Q418*K418</f>
        <v/>
      </c>
      <c r="AN418" s="34">
        <f>AH418+AL418+AM418</f>
        <v/>
      </c>
      <c r="AO418" s="34">
        <f>(AG418-AA418)*O418</f>
        <v/>
      </c>
      <c r="AP418" s="34">
        <f>W418*N418</f>
        <v/>
      </c>
      <c r="AQ418" s="34">
        <f>T418*N418</f>
        <v/>
      </c>
      <c r="AR418" s="34">
        <f>Z418*J419+0.5*Z418*(O418+P418)</f>
        <v/>
      </c>
      <c r="AS418" s="30">
        <f>(1+InflationRate)^(A418/12)</f>
        <v/>
      </c>
      <c r="AT418" s="29">
        <f>ExpenseAcq*M418+N418*ExpenseMaint/12*AS418</f>
        <v/>
      </c>
      <c r="AU418" s="29">
        <f>CommissionRate*AE418</f>
        <v/>
      </c>
      <c r="AV418" s="34">
        <f>AB419-AB418</f>
        <v/>
      </c>
      <c r="AW418" s="34">
        <f>AE418+AR418-AN418-AT418-AU418-AV418</f>
        <v/>
      </c>
      <c r="AX418" s="29">
        <f>LoadPremRate*E418*N418+AK418+AQ418-AU418-AT418</f>
        <v/>
      </c>
      <c r="AY418" s="34">
        <f>AP418-AO418</f>
        <v/>
      </c>
      <c r="AZ418" s="37">
        <f>(AW418-AX418-AY418)/MAX(1,ABS(AW418),ABS(AX418),ABS(AY418))</f>
        <v/>
      </c>
      <c r="BA418" s="37">
        <f>IF(OR(K418&gt;0,K419&gt;0),0,(AC419-(AC418+AF418-AQ418-AP418+AR418-AI418-AJ418-AM418))/MAX(1,ABS(AC418),ABS(AC419)))</f>
        <v/>
      </c>
      <c r="BB418" s="35">
        <f>(1+INDEX(DiscRateAnn,INT(A418/12)+1))^(1/12)-1</f>
        <v/>
      </c>
      <c r="BC418" s="31">
        <f>(1+BB418)^-A418</f>
        <v/>
      </c>
      <c r="BD418" s="34">
        <f>AW418*BC418</f>
        <v/>
      </c>
    </row>
    <row r="419">
      <c r="A419" s="27">
        <f>A418+1</f>
        <v/>
      </c>
      <c r="B419" s="28">
        <f>Duration0+A419</f>
        <v/>
      </c>
      <c r="C419" s="27">
        <f>INT(B419/12)</f>
        <v/>
      </c>
      <c r="D419" s="28">
        <f>AgeAtEntry+C419</f>
        <v/>
      </c>
      <c r="E419" s="29">
        <f>IF(PremiumType="SINGLE",IF(B419=0,PremiumPPInput,0),IF(B419&lt;12*PolicyTerm,PremiumPPInput,0))</f>
        <v/>
      </c>
      <c r="F419" s="30">
        <f>INDEX(MortRates,MATCH(MIN(D419,120),MortAges,0),MAX(MIN(C419,5),0)+1)</f>
        <v/>
      </c>
      <c r="G419" s="31">
        <f>1-(1-F419)^(1/12)</f>
        <v/>
      </c>
      <c r="H419" s="32">
        <f>MAX(LapseBase-LapseStep*C419,LapseFloor)</f>
        <v/>
      </c>
      <c r="I419" s="32">
        <f>IF(HasSurrCharge,INDEX(SurrRates,MIN(C419,SurrDurMax)+1,MATCH(SurrChargeID,SurrTypes,0)),0)</f>
        <v/>
      </c>
      <c r="J419" s="33">
        <f>N418-P418-O418</f>
        <v/>
      </c>
      <c r="K419" s="30">
        <f>IF(B419=12*PolicyTerm,J419,0)</f>
        <v/>
      </c>
      <c r="L419" s="33">
        <f>J419-K419</f>
        <v/>
      </c>
      <c r="M419" s="30">
        <f>IF(B419=0,PolicyCount,0)</f>
        <v/>
      </c>
      <c r="N419" s="33">
        <f>L419+M419</f>
        <v/>
      </c>
      <c r="O419" s="31">
        <f>N419*G419</f>
        <v/>
      </c>
      <c r="P419" s="33">
        <f>(N419-O419)*(1-(1-H419)^(1/12))</f>
        <v/>
      </c>
      <c r="Q419" s="34">
        <f>X418+Z418</f>
        <v/>
      </c>
      <c r="R419" s="29">
        <f>(1-LoadPremRate)*E419</f>
        <v/>
      </c>
      <c r="S419" s="34">
        <f>Q419+R419</f>
        <v/>
      </c>
      <c r="T419" s="29">
        <f>MaintFeeRateAnn/12*S419</f>
        <v/>
      </c>
      <c r="U419" s="29">
        <f>MAX(SumAssured-S419,0)</f>
        <v/>
      </c>
      <c r="V419" s="35">
        <f>CoiMultiple*G419</f>
        <v/>
      </c>
      <c r="W419" s="34">
        <f>V419*U419</f>
        <v/>
      </c>
      <c r="X419" s="34">
        <f>S419-T419-W419</f>
        <v/>
      </c>
      <c r="Y419" s="36">
        <f>EXP((Mu-0.5*Sigma^2)/12+Sigma*SQRT(1/12)*INDEX(NormRand,ScenID,A419+1))-1</f>
        <v/>
      </c>
      <c r="Z419" s="34">
        <f>Y419*X419</f>
        <v/>
      </c>
      <c r="AA419" s="34">
        <f>X419+0.5*Z419</f>
        <v/>
      </c>
      <c r="AB419" s="34">
        <f>Q419*J419</f>
        <v/>
      </c>
      <c r="AC419" s="34">
        <f>Q419*L419</f>
        <v/>
      </c>
      <c r="AD419" s="34">
        <f>S419*N419</f>
        <v/>
      </c>
      <c r="AE419" s="34">
        <f>E419*N419</f>
        <v/>
      </c>
      <c r="AF419" s="34">
        <f>R419*N419</f>
        <v/>
      </c>
      <c r="AG419" s="29">
        <f>MAX(SumAssured,AA419)</f>
        <v/>
      </c>
      <c r="AH419" s="34">
        <f>AG419*O419</f>
        <v/>
      </c>
      <c r="AI419" s="34">
        <f>AA419*O419</f>
        <v/>
      </c>
      <c r="AJ419" s="34">
        <f>AA419*P419</f>
        <v/>
      </c>
      <c r="AK419" s="34">
        <f>I419*AA419*P419</f>
        <v/>
      </c>
      <c r="AL419" s="34">
        <f>AJ419-AK419</f>
        <v/>
      </c>
      <c r="AM419" s="34">
        <f>Q419*K419</f>
        <v/>
      </c>
      <c r="AN419" s="34">
        <f>AH419+AL419+AM419</f>
        <v/>
      </c>
      <c r="AO419" s="34">
        <f>(AG419-AA419)*O419</f>
        <v/>
      </c>
      <c r="AP419" s="34">
        <f>W419*N419</f>
        <v/>
      </c>
      <c r="AQ419" s="34">
        <f>T419*N419</f>
        <v/>
      </c>
      <c r="AR419" s="34">
        <f>Z419*J420+0.5*Z419*(O419+P419)</f>
        <v/>
      </c>
      <c r="AS419" s="30">
        <f>(1+InflationRate)^(A419/12)</f>
        <v/>
      </c>
      <c r="AT419" s="29">
        <f>ExpenseAcq*M419+N419*ExpenseMaint/12*AS419</f>
        <v/>
      </c>
      <c r="AU419" s="29">
        <f>CommissionRate*AE419</f>
        <v/>
      </c>
      <c r="AV419" s="34">
        <f>AB420-AB419</f>
        <v/>
      </c>
      <c r="AW419" s="34">
        <f>AE419+AR419-AN419-AT419-AU419-AV419</f>
        <v/>
      </c>
      <c r="AX419" s="29">
        <f>LoadPremRate*E419*N419+AK419+AQ419-AU419-AT419</f>
        <v/>
      </c>
      <c r="AY419" s="34">
        <f>AP419-AO419</f>
        <v/>
      </c>
      <c r="AZ419" s="37">
        <f>(AW419-AX419-AY419)/MAX(1,ABS(AW419),ABS(AX419),ABS(AY419))</f>
        <v/>
      </c>
      <c r="BA419" s="37">
        <f>IF(OR(K419&gt;0,K420&gt;0),0,(AC420-(AC419+AF419-AQ419-AP419+AR419-AI419-AJ419-AM419))/MAX(1,ABS(AC419),ABS(AC420)))</f>
        <v/>
      </c>
      <c r="BB419" s="35">
        <f>(1+INDEX(DiscRateAnn,INT(A419/12)+1))^(1/12)-1</f>
        <v/>
      </c>
      <c r="BC419" s="31">
        <f>(1+BB419)^-A419</f>
        <v/>
      </c>
      <c r="BD419" s="34">
        <f>AW419*BC419</f>
        <v/>
      </c>
    </row>
    <row r="420">
      <c r="A420" s="27">
        <f>A419+1</f>
        <v/>
      </c>
      <c r="B420" s="28">
        <f>Duration0+A420</f>
        <v/>
      </c>
      <c r="C420" s="27">
        <f>INT(B420/12)</f>
        <v/>
      </c>
      <c r="D420" s="28">
        <f>AgeAtEntry+C420</f>
        <v/>
      </c>
      <c r="E420" s="29">
        <f>IF(PremiumType="SINGLE",IF(B420=0,PremiumPPInput,0),IF(B420&lt;12*PolicyTerm,PremiumPPInput,0))</f>
        <v/>
      </c>
      <c r="F420" s="30">
        <f>INDEX(MortRates,MATCH(MIN(D420,120),MortAges,0),MAX(MIN(C420,5),0)+1)</f>
        <v/>
      </c>
      <c r="G420" s="31">
        <f>1-(1-F420)^(1/12)</f>
        <v/>
      </c>
      <c r="H420" s="32">
        <f>MAX(LapseBase-LapseStep*C420,LapseFloor)</f>
        <v/>
      </c>
      <c r="I420" s="32">
        <f>IF(HasSurrCharge,INDEX(SurrRates,MIN(C420,SurrDurMax)+1,MATCH(SurrChargeID,SurrTypes,0)),0)</f>
        <v/>
      </c>
      <c r="J420" s="33">
        <f>N419-P419-O419</f>
        <v/>
      </c>
      <c r="K420" s="30">
        <f>IF(B420=12*PolicyTerm,J420,0)</f>
        <v/>
      </c>
      <c r="L420" s="33">
        <f>J420-K420</f>
        <v/>
      </c>
      <c r="M420" s="30">
        <f>IF(B420=0,PolicyCount,0)</f>
        <v/>
      </c>
      <c r="N420" s="33">
        <f>L420+M420</f>
        <v/>
      </c>
      <c r="O420" s="31">
        <f>N420*G420</f>
        <v/>
      </c>
      <c r="P420" s="33">
        <f>(N420-O420)*(1-(1-H420)^(1/12))</f>
        <v/>
      </c>
      <c r="Q420" s="34">
        <f>X419+Z419</f>
        <v/>
      </c>
      <c r="R420" s="29">
        <f>(1-LoadPremRate)*E420</f>
        <v/>
      </c>
      <c r="S420" s="34">
        <f>Q420+R420</f>
        <v/>
      </c>
      <c r="T420" s="29">
        <f>MaintFeeRateAnn/12*S420</f>
        <v/>
      </c>
      <c r="U420" s="29">
        <f>MAX(SumAssured-S420,0)</f>
        <v/>
      </c>
      <c r="V420" s="35">
        <f>CoiMultiple*G420</f>
        <v/>
      </c>
      <c r="W420" s="34">
        <f>V420*U420</f>
        <v/>
      </c>
      <c r="X420" s="34">
        <f>S420-T420-W420</f>
        <v/>
      </c>
      <c r="Y420" s="36">
        <f>EXP((Mu-0.5*Sigma^2)/12+Sigma*SQRT(1/12)*INDEX(NormRand,ScenID,A420+1))-1</f>
        <v/>
      </c>
      <c r="Z420" s="34">
        <f>Y420*X420</f>
        <v/>
      </c>
      <c r="AA420" s="34">
        <f>X420+0.5*Z420</f>
        <v/>
      </c>
      <c r="AB420" s="34">
        <f>Q420*J420</f>
        <v/>
      </c>
      <c r="AC420" s="34">
        <f>Q420*L420</f>
        <v/>
      </c>
      <c r="AD420" s="34">
        <f>S420*N420</f>
        <v/>
      </c>
      <c r="AE420" s="34">
        <f>E420*N420</f>
        <v/>
      </c>
      <c r="AF420" s="34">
        <f>R420*N420</f>
        <v/>
      </c>
      <c r="AG420" s="29">
        <f>MAX(SumAssured,AA420)</f>
        <v/>
      </c>
      <c r="AH420" s="34">
        <f>AG420*O420</f>
        <v/>
      </c>
      <c r="AI420" s="34">
        <f>AA420*O420</f>
        <v/>
      </c>
      <c r="AJ420" s="34">
        <f>AA420*P420</f>
        <v/>
      </c>
      <c r="AK420" s="34">
        <f>I420*AA420*P420</f>
        <v/>
      </c>
      <c r="AL420" s="34">
        <f>AJ420-AK420</f>
        <v/>
      </c>
      <c r="AM420" s="34">
        <f>Q420*K420</f>
        <v/>
      </c>
      <c r="AN420" s="34">
        <f>AH420+AL420+AM420</f>
        <v/>
      </c>
      <c r="AO420" s="34">
        <f>(AG420-AA420)*O420</f>
        <v/>
      </c>
      <c r="AP420" s="34">
        <f>W420*N420</f>
        <v/>
      </c>
      <c r="AQ420" s="34">
        <f>T420*N420</f>
        <v/>
      </c>
      <c r="AR420" s="34">
        <f>Z420*J421+0.5*Z420*(O420+P420)</f>
        <v/>
      </c>
      <c r="AS420" s="30">
        <f>(1+InflationRate)^(A420/12)</f>
        <v/>
      </c>
      <c r="AT420" s="29">
        <f>ExpenseAcq*M420+N420*ExpenseMaint/12*AS420</f>
        <v/>
      </c>
      <c r="AU420" s="29">
        <f>CommissionRate*AE420</f>
        <v/>
      </c>
      <c r="AV420" s="34">
        <f>AB421-AB420</f>
        <v/>
      </c>
      <c r="AW420" s="34">
        <f>AE420+AR420-AN420-AT420-AU420-AV420</f>
        <v/>
      </c>
      <c r="AX420" s="29">
        <f>LoadPremRate*E420*N420+AK420+AQ420-AU420-AT420</f>
        <v/>
      </c>
      <c r="AY420" s="34">
        <f>AP420-AO420</f>
        <v/>
      </c>
      <c r="AZ420" s="37">
        <f>(AW420-AX420-AY420)/MAX(1,ABS(AW420),ABS(AX420),ABS(AY420))</f>
        <v/>
      </c>
      <c r="BA420" s="37">
        <f>IF(OR(K420&gt;0,K421&gt;0),0,(AC421-(AC420+AF420-AQ420-AP420+AR420-AI420-AJ420-AM420))/MAX(1,ABS(AC420),ABS(AC421)))</f>
        <v/>
      </c>
      <c r="BB420" s="35">
        <f>(1+INDEX(DiscRateAnn,INT(A420/12)+1))^(1/12)-1</f>
        <v/>
      </c>
      <c r="BC420" s="31">
        <f>(1+BB420)^-A420</f>
        <v/>
      </c>
      <c r="BD420" s="34">
        <f>AW420*BC420</f>
        <v/>
      </c>
    </row>
    <row r="421">
      <c r="A421" s="27">
        <f>A420+1</f>
        <v/>
      </c>
      <c r="B421" s="28">
        <f>Duration0+A421</f>
        <v/>
      </c>
      <c r="C421" s="27">
        <f>INT(B421/12)</f>
        <v/>
      </c>
      <c r="D421" s="28">
        <f>AgeAtEntry+C421</f>
        <v/>
      </c>
      <c r="E421" s="29">
        <f>IF(PremiumType="SINGLE",IF(B421=0,PremiumPPInput,0),IF(B421&lt;12*PolicyTerm,PremiumPPInput,0))</f>
        <v/>
      </c>
      <c r="F421" s="30">
        <f>INDEX(MortRates,MATCH(MIN(D421,120),MortAges,0),MAX(MIN(C421,5),0)+1)</f>
        <v/>
      </c>
      <c r="G421" s="31">
        <f>1-(1-F421)^(1/12)</f>
        <v/>
      </c>
      <c r="H421" s="32">
        <f>MAX(LapseBase-LapseStep*C421,LapseFloor)</f>
        <v/>
      </c>
      <c r="I421" s="32">
        <f>IF(HasSurrCharge,INDEX(SurrRates,MIN(C421,SurrDurMax)+1,MATCH(SurrChargeID,SurrTypes,0)),0)</f>
        <v/>
      </c>
      <c r="J421" s="33">
        <f>N420-P420-O420</f>
        <v/>
      </c>
      <c r="K421" s="30">
        <f>IF(B421=12*PolicyTerm,J421,0)</f>
        <v/>
      </c>
      <c r="L421" s="33">
        <f>J421-K421</f>
        <v/>
      </c>
      <c r="M421" s="30">
        <f>IF(B421=0,PolicyCount,0)</f>
        <v/>
      </c>
      <c r="N421" s="33">
        <f>L421+M421</f>
        <v/>
      </c>
      <c r="O421" s="31">
        <f>N421*G421</f>
        <v/>
      </c>
      <c r="P421" s="33">
        <f>(N421-O421)*(1-(1-H421)^(1/12))</f>
        <v/>
      </c>
      <c r="Q421" s="34">
        <f>X420+Z420</f>
        <v/>
      </c>
      <c r="R421" s="29">
        <f>(1-LoadPremRate)*E421</f>
        <v/>
      </c>
      <c r="S421" s="34">
        <f>Q421+R421</f>
        <v/>
      </c>
      <c r="T421" s="29">
        <f>MaintFeeRateAnn/12*S421</f>
        <v/>
      </c>
      <c r="U421" s="29">
        <f>MAX(SumAssured-S421,0)</f>
        <v/>
      </c>
      <c r="V421" s="35">
        <f>CoiMultiple*G421</f>
        <v/>
      </c>
      <c r="W421" s="34">
        <f>V421*U421</f>
        <v/>
      </c>
      <c r="X421" s="34">
        <f>S421-T421-W421</f>
        <v/>
      </c>
      <c r="Y421" s="36">
        <f>EXP((Mu-0.5*Sigma^2)/12+Sigma*SQRT(1/12)*INDEX(NormRand,ScenID,A421+1))-1</f>
        <v/>
      </c>
      <c r="Z421" s="34">
        <f>Y421*X421</f>
        <v/>
      </c>
      <c r="AA421" s="34">
        <f>X421+0.5*Z421</f>
        <v/>
      </c>
      <c r="AB421" s="34">
        <f>Q421*J421</f>
        <v/>
      </c>
      <c r="AC421" s="34">
        <f>Q421*L421</f>
        <v/>
      </c>
      <c r="AD421" s="34">
        <f>S421*N421</f>
        <v/>
      </c>
      <c r="AE421" s="34">
        <f>E421*N421</f>
        <v/>
      </c>
      <c r="AF421" s="34">
        <f>R421*N421</f>
        <v/>
      </c>
      <c r="AG421" s="29">
        <f>MAX(SumAssured,AA421)</f>
        <v/>
      </c>
      <c r="AH421" s="34">
        <f>AG421*O421</f>
        <v/>
      </c>
      <c r="AI421" s="34">
        <f>AA421*O421</f>
        <v/>
      </c>
      <c r="AJ421" s="34">
        <f>AA421*P421</f>
        <v/>
      </c>
      <c r="AK421" s="34">
        <f>I421*AA421*P421</f>
        <v/>
      </c>
      <c r="AL421" s="34">
        <f>AJ421-AK421</f>
        <v/>
      </c>
      <c r="AM421" s="34">
        <f>Q421*K421</f>
        <v/>
      </c>
      <c r="AN421" s="34">
        <f>AH421+AL421+AM421</f>
        <v/>
      </c>
      <c r="AO421" s="34">
        <f>(AG421-AA421)*O421</f>
        <v/>
      </c>
      <c r="AP421" s="34">
        <f>W421*N421</f>
        <v/>
      </c>
      <c r="AQ421" s="34">
        <f>T421*N421</f>
        <v/>
      </c>
      <c r="AR421" s="34">
        <f>Z421*J422+0.5*Z421*(O421+P421)</f>
        <v/>
      </c>
      <c r="AS421" s="30">
        <f>(1+InflationRate)^(A421/12)</f>
        <v/>
      </c>
      <c r="AT421" s="29">
        <f>ExpenseAcq*M421+N421*ExpenseMaint/12*AS421</f>
        <v/>
      </c>
      <c r="AU421" s="29">
        <f>CommissionRate*AE421</f>
        <v/>
      </c>
      <c r="AV421" s="34">
        <f>AB422-AB421</f>
        <v/>
      </c>
      <c r="AW421" s="34">
        <f>AE421+AR421-AN421-AT421-AU421-AV421</f>
        <v/>
      </c>
      <c r="AX421" s="29">
        <f>LoadPremRate*E421*N421+AK421+AQ421-AU421-AT421</f>
        <v/>
      </c>
      <c r="AY421" s="34">
        <f>AP421-AO421</f>
        <v/>
      </c>
      <c r="AZ421" s="37">
        <f>(AW421-AX421-AY421)/MAX(1,ABS(AW421),ABS(AX421),ABS(AY421))</f>
        <v/>
      </c>
      <c r="BA421" s="37">
        <f>IF(OR(K421&gt;0,K422&gt;0),0,(AC422-(AC421+AF421-AQ421-AP421+AR421-AI421-AJ421-AM421))/MAX(1,ABS(AC421),ABS(AC422)))</f>
        <v/>
      </c>
      <c r="BB421" s="35">
        <f>(1+INDEX(DiscRateAnn,INT(A421/12)+1))^(1/12)-1</f>
        <v/>
      </c>
      <c r="BC421" s="31">
        <f>(1+BB421)^-A421</f>
        <v/>
      </c>
      <c r="BD421" s="34">
        <f>AW421*BC421</f>
        <v/>
      </c>
    </row>
    <row r="422">
      <c r="A422" s="27">
        <f>A421+1</f>
        <v/>
      </c>
      <c r="B422" s="28">
        <f>Duration0+A422</f>
        <v/>
      </c>
      <c r="C422" s="27">
        <f>INT(B422/12)</f>
        <v/>
      </c>
      <c r="D422" s="28">
        <f>AgeAtEntry+C422</f>
        <v/>
      </c>
      <c r="E422" s="29">
        <f>IF(PremiumType="SINGLE",IF(B422=0,PremiumPPInput,0),IF(B422&lt;12*PolicyTerm,PremiumPPInput,0))</f>
        <v/>
      </c>
      <c r="F422" s="30">
        <f>INDEX(MortRates,MATCH(MIN(D422,120),MortAges,0),MAX(MIN(C422,5),0)+1)</f>
        <v/>
      </c>
      <c r="G422" s="31">
        <f>1-(1-F422)^(1/12)</f>
        <v/>
      </c>
      <c r="H422" s="32">
        <f>MAX(LapseBase-LapseStep*C422,LapseFloor)</f>
        <v/>
      </c>
      <c r="I422" s="32">
        <f>IF(HasSurrCharge,INDEX(SurrRates,MIN(C422,SurrDurMax)+1,MATCH(SurrChargeID,SurrTypes,0)),0)</f>
        <v/>
      </c>
      <c r="J422" s="33">
        <f>N421-P421-O421</f>
        <v/>
      </c>
      <c r="K422" s="30">
        <f>IF(B422=12*PolicyTerm,J422,0)</f>
        <v/>
      </c>
      <c r="L422" s="33">
        <f>J422-K422</f>
        <v/>
      </c>
      <c r="M422" s="30">
        <f>IF(B422=0,PolicyCount,0)</f>
        <v/>
      </c>
      <c r="N422" s="33">
        <f>L422+M422</f>
        <v/>
      </c>
      <c r="O422" s="31">
        <f>N422*G422</f>
        <v/>
      </c>
      <c r="P422" s="33">
        <f>(N422-O422)*(1-(1-H422)^(1/12))</f>
        <v/>
      </c>
      <c r="Q422" s="34">
        <f>X421+Z421</f>
        <v/>
      </c>
      <c r="R422" s="29">
        <f>(1-LoadPremRate)*E422</f>
        <v/>
      </c>
      <c r="S422" s="34">
        <f>Q422+R422</f>
        <v/>
      </c>
      <c r="T422" s="29">
        <f>MaintFeeRateAnn/12*S422</f>
        <v/>
      </c>
      <c r="U422" s="29">
        <f>MAX(SumAssured-S422,0)</f>
        <v/>
      </c>
      <c r="V422" s="35">
        <f>CoiMultiple*G422</f>
        <v/>
      </c>
      <c r="W422" s="34">
        <f>V422*U422</f>
        <v/>
      </c>
      <c r="X422" s="34">
        <f>S422-T422-W422</f>
        <v/>
      </c>
      <c r="Y422" s="36">
        <f>EXP((Mu-0.5*Sigma^2)/12+Sigma*SQRT(1/12)*INDEX(NormRand,ScenID,A422+1))-1</f>
        <v/>
      </c>
      <c r="Z422" s="34">
        <f>Y422*X422</f>
        <v/>
      </c>
      <c r="AA422" s="34">
        <f>X422+0.5*Z422</f>
        <v/>
      </c>
      <c r="AB422" s="34">
        <f>Q422*J422</f>
        <v/>
      </c>
      <c r="AC422" s="34">
        <f>Q422*L422</f>
        <v/>
      </c>
      <c r="AD422" s="34">
        <f>S422*N422</f>
        <v/>
      </c>
      <c r="AE422" s="34">
        <f>E422*N422</f>
        <v/>
      </c>
      <c r="AF422" s="34">
        <f>R422*N422</f>
        <v/>
      </c>
      <c r="AG422" s="29">
        <f>MAX(SumAssured,AA422)</f>
        <v/>
      </c>
      <c r="AH422" s="34">
        <f>AG422*O422</f>
        <v/>
      </c>
      <c r="AI422" s="34">
        <f>AA422*O422</f>
        <v/>
      </c>
      <c r="AJ422" s="34">
        <f>AA422*P422</f>
        <v/>
      </c>
      <c r="AK422" s="34">
        <f>I422*AA422*P422</f>
        <v/>
      </c>
      <c r="AL422" s="34">
        <f>AJ422-AK422</f>
        <v/>
      </c>
      <c r="AM422" s="34">
        <f>Q422*K422</f>
        <v/>
      </c>
      <c r="AN422" s="34">
        <f>AH422+AL422+AM422</f>
        <v/>
      </c>
      <c r="AO422" s="34">
        <f>(AG422-AA422)*O422</f>
        <v/>
      </c>
      <c r="AP422" s="34">
        <f>W422*N422</f>
        <v/>
      </c>
      <c r="AQ422" s="34">
        <f>T422*N422</f>
        <v/>
      </c>
      <c r="AR422" s="34">
        <f>Z422*J423+0.5*Z422*(O422+P422)</f>
        <v/>
      </c>
      <c r="AS422" s="30">
        <f>(1+InflationRate)^(A422/12)</f>
        <v/>
      </c>
      <c r="AT422" s="29">
        <f>ExpenseAcq*M422+N422*ExpenseMaint/12*AS422</f>
        <v/>
      </c>
      <c r="AU422" s="29">
        <f>CommissionRate*AE422</f>
        <v/>
      </c>
      <c r="AV422" s="34">
        <f>AB423-AB422</f>
        <v/>
      </c>
      <c r="AW422" s="34">
        <f>AE422+AR422-AN422-AT422-AU422-AV422</f>
        <v/>
      </c>
      <c r="AX422" s="29">
        <f>LoadPremRate*E422*N422+AK422+AQ422-AU422-AT422</f>
        <v/>
      </c>
      <c r="AY422" s="34">
        <f>AP422-AO422</f>
        <v/>
      </c>
      <c r="AZ422" s="37">
        <f>(AW422-AX422-AY422)/MAX(1,ABS(AW422),ABS(AX422),ABS(AY422))</f>
        <v/>
      </c>
      <c r="BA422" s="37">
        <f>IF(OR(K422&gt;0,K423&gt;0),0,(AC423-(AC422+AF422-AQ422-AP422+AR422-AI422-AJ422-AM422))/MAX(1,ABS(AC422),ABS(AC423)))</f>
        <v/>
      </c>
      <c r="BB422" s="35">
        <f>(1+INDEX(DiscRateAnn,INT(A422/12)+1))^(1/12)-1</f>
        <v/>
      </c>
      <c r="BC422" s="31">
        <f>(1+BB422)^-A422</f>
        <v/>
      </c>
      <c r="BD422" s="34">
        <f>AW422*BC422</f>
        <v/>
      </c>
    </row>
    <row r="423">
      <c r="A423" s="27">
        <f>A422+1</f>
        <v/>
      </c>
      <c r="B423" s="28">
        <f>Duration0+A423</f>
        <v/>
      </c>
      <c r="C423" s="27">
        <f>INT(B423/12)</f>
        <v/>
      </c>
      <c r="D423" s="28">
        <f>AgeAtEntry+C423</f>
        <v/>
      </c>
      <c r="E423" s="29">
        <f>IF(PremiumType="SINGLE",IF(B423=0,PremiumPPInput,0),IF(B423&lt;12*PolicyTerm,PremiumPPInput,0))</f>
        <v/>
      </c>
      <c r="F423" s="30">
        <f>INDEX(MortRates,MATCH(MIN(D423,120),MortAges,0),MAX(MIN(C423,5),0)+1)</f>
        <v/>
      </c>
      <c r="G423" s="31">
        <f>1-(1-F423)^(1/12)</f>
        <v/>
      </c>
      <c r="H423" s="32">
        <f>MAX(LapseBase-LapseStep*C423,LapseFloor)</f>
        <v/>
      </c>
      <c r="I423" s="32">
        <f>IF(HasSurrCharge,INDEX(SurrRates,MIN(C423,SurrDurMax)+1,MATCH(SurrChargeID,SurrTypes,0)),0)</f>
        <v/>
      </c>
      <c r="J423" s="33">
        <f>N422-P422-O422</f>
        <v/>
      </c>
      <c r="K423" s="30">
        <f>IF(B423=12*PolicyTerm,J423,0)</f>
        <v/>
      </c>
      <c r="L423" s="33">
        <f>J423-K423</f>
        <v/>
      </c>
      <c r="M423" s="30">
        <f>IF(B423=0,PolicyCount,0)</f>
        <v/>
      </c>
      <c r="N423" s="33">
        <f>L423+M423</f>
        <v/>
      </c>
      <c r="O423" s="31">
        <f>N423*G423</f>
        <v/>
      </c>
      <c r="P423" s="33">
        <f>(N423-O423)*(1-(1-H423)^(1/12))</f>
        <v/>
      </c>
      <c r="Q423" s="34">
        <f>X422+Z422</f>
        <v/>
      </c>
      <c r="R423" s="29">
        <f>(1-LoadPremRate)*E423</f>
        <v/>
      </c>
      <c r="S423" s="34">
        <f>Q423+R423</f>
        <v/>
      </c>
      <c r="T423" s="29">
        <f>MaintFeeRateAnn/12*S423</f>
        <v/>
      </c>
      <c r="U423" s="29">
        <f>MAX(SumAssured-S423,0)</f>
        <v/>
      </c>
      <c r="V423" s="35">
        <f>CoiMultiple*G423</f>
        <v/>
      </c>
      <c r="W423" s="34">
        <f>V423*U423</f>
        <v/>
      </c>
      <c r="X423" s="34">
        <f>S423-T423-W423</f>
        <v/>
      </c>
      <c r="Y423" s="36">
        <f>EXP((Mu-0.5*Sigma^2)/12+Sigma*SQRT(1/12)*INDEX(NormRand,ScenID,A423+1))-1</f>
        <v/>
      </c>
      <c r="Z423" s="34">
        <f>Y423*X423</f>
        <v/>
      </c>
      <c r="AA423" s="34">
        <f>X423+0.5*Z423</f>
        <v/>
      </c>
      <c r="AB423" s="34">
        <f>Q423*J423</f>
        <v/>
      </c>
      <c r="AC423" s="34">
        <f>Q423*L423</f>
        <v/>
      </c>
      <c r="AD423" s="34">
        <f>S423*N423</f>
        <v/>
      </c>
      <c r="AE423" s="34">
        <f>E423*N423</f>
        <v/>
      </c>
      <c r="AF423" s="34">
        <f>R423*N423</f>
        <v/>
      </c>
      <c r="AG423" s="29">
        <f>MAX(SumAssured,AA423)</f>
        <v/>
      </c>
      <c r="AH423" s="34">
        <f>AG423*O423</f>
        <v/>
      </c>
      <c r="AI423" s="34">
        <f>AA423*O423</f>
        <v/>
      </c>
      <c r="AJ423" s="34">
        <f>AA423*P423</f>
        <v/>
      </c>
      <c r="AK423" s="34">
        <f>I423*AA423*P423</f>
        <v/>
      </c>
      <c r="AL423" s="34">
        <f>AJ423-AK423</f>
        <v/>
      </c>
      <c r="AM423" s="34">
        <f>Q423*K423</f>
        <v/>
      </c>
      <c r="AN423" s="34">
        <f>AH423+AL423+AM423</f>
        <v/>
      </c>
      <c r="AO423" s="34">
        <f>(AG423-AA423)*O423</f>
        <v/>
      </c>
      <c r="AP423" s="34">
        <f>W423*N423</f>
        <v/>
      </c>
      <c r="AQ423" s="34">
        <f>T423*N423</f>
        <v/>
      </c>
      <c r="AR423" s="34">
        <f>Z423*J424+0.5*Z423*(O423+P423)</f>
        <v/>
      </c>
      <c r="AS423" s="30">
        <f>(1+InflationRate)^(A423/12)</f>
        <v/>
      </c>
      <c r="AT423" s="29">
        <f>ExpenseAcq*M423+N423*ExpenseMaint/12*AS423</f>
        <v/>
      </c>
      <c r="AU423" s="29">
        <f>CommissionRate*AE423</f>
        <v/>
      </c>
      <c r="AV423" s="34">
        <f>AB424-AB423</f>
        <v/>
      </c>
      <c r="AW423" s="34">
        <f>AE423+AR423-AN423-AT423-AU423-AV423</f>
        <v/>
      </c>
      <c r="AX423" s="29">
        <f>LoadPremRate*E423*N423+AK423+AQ423-AU423-AT423</f>
        <v/>
      </c>
      <c r="AY423" s="34">
        <f>AP423-AO423</f>
        <v/>
      </c>
      <c r="AZ423" s="37">
        <f>(AW423-AX423-AY423)/MAX(1,ABS(AW423),ABS(AX423),ABS(AY423))</f>
        <v/>
      </c>
      <c r="BA423" s="37">
        <f>IF(OR(K423&gt;0,K424&gt;0),0,(AC424-(AC423+AF423-AQ423-AP423+AR423-AI423-AJ423-AM423))/MAX(1,ABS(AC423),ABS(AC424)))</f>
        <v/>
      </c>
      <c r="BB423" s="35">
        <f>(1+INDEX(DiscRateAnn,INT(A423/12)+1))^(1/12)-1</f>
        <v/>
      </c>
      <c r="BC423" s="31">
        <f>(1+BB423)^-A423</f>
        <v/>
      </c>
      <c r="BD423" s="34">
        <f>AW423*BC423</f>
        <v/>
      </c>
    </row>
    <row r="424">
      <c r="A424" s="27">
        <f>A423+1</f>
        <v/>
      </c>
      <c r="B424" s="28">
        <f>Duration0+A424</f>
        <v/>
      </c>
      <c r="C424" s="27">
        <f>INT(B424/12)</f>
        <v/>
      </c>
      <c r="D424" s="28">
        <f>AgeAtEntry+C424</f>
        <v/>
      </c>
      <c r="E424" s="29">
        <f>IF(PremiumType="SINGLE",IF(B424=0,PremiumPPInput,0),IF(B424&lt;12*PolicyTerm,PremiumPPInput,0))</f>
        <v/>
      </c>
      <c r="F424" s="30">
        <f>INDEX(MortRates,MATCH(MIN(D424,120),MortAges,0),MAX(MIN(C424,5),0)+1)</f>
        <v/>
      </c>
      <c r="G424" s="31">
        <f>1-(1-F424)^(1/12)</f>
        <v/>
      </c>
      <c r="H424" s="32">
        <f>MAX(LapseBase-LapseStep*C424,LapseFloor)</f>
        <v/>
      </c>
      <c r="I424" s="32">
        <f>IF(HasSurrCharge,INDEX(SurrRates,MIN(C424,SurrDurMax)+1,MATCH(SurrChargeID,SurrTypes,0)),0)</f>
        <v/>
      </c>
      <c r="J424" s="33">
        <f>N423-P423-O423</f>
        <v/>
      </c>
      <c r="K424" s="30">
        <f>IF(B424=12*PolicyTerm,J424,0)</f>
        <v/>
      </c>
      <c r="L424" s="33">
        <f>J424-K424</f>
        <v/>
      </c>
      <c r="M424" s="30">
        <f>IF(B424=0,PolicyCount,0)</f>
        <v/>
      </c>
      <c r="N424" s="33">
        <f>L424+M424</f>
        <v/>
      </c>
      <c r="O424" s="31">
        <f>N424*G424</f>
        <v/>
      </c>
      <c r="P424" s="33">
        <f>(N424-O424)*(1-(1-H424)^(1/12))</f>
        <v/>
      </c>
      <c r="Q424" s="34">
        <f>X423+Z423</f>
        <v/>
      </c>
      <c r="R424" s="29">
        <f>(1-LoadPremRate)*E424</f>
        <v/>
      </c>
      <c r="S424" s="34">
        <f>Q424+R424</f>
        <v/>
      </c>
      <c r="T424" s="29">
        <f>MaintFeeRateAnn/12*S424</f>
        <v/>
      </c>
      <c r="U424" s="29">
        <f>MAX(SumAssured-S424,0)</f>
        <v/>
      </c>
      <c r="V424" s="35">
        <f>CoiMultiple*G424</f>
        <v/>
      </c>
      <c r="W424" s="34">
        <f>V424*U424</f>
        <v/>
      </c>
      <c r="X424" s="34">
        <f>S424-T424-W424</f>
        <v/>
      </c>
      <c r="Y424" s="36">
        <f>EXP((Mu-0.5*Sigma^2)/12+Sigma*SQRT(1/12)*INDEX(NormRand,ScenID,A424+1))-1</f>
        <v/>
      </c>
      <c r="Z424" s="34">
        <f>Y424*X424</f>
        <v/>
      </c>
      <c r="AA424" s="34">
        <f>X424+0.5*Z424</f>
        <v/>
      </c>
      <c r="AB424" s="34">
        <f>Q424*J424</f>
        <v/>
      </c>
      <c r="AC424" s="34">
        <f>Q424*L424</f>
        <v/>
      </c>
      <c r="AD424" s="34">
        <f>S424*N424</f>
        <v/>
      </c>
      <c r="AE424" s="34">
        <f>E424*N424</f>
        <v/>
      </c>
      <c r="AF424" s="34">
        <f>R424*N424</f>
        <v/>
      </c>
      <c r="AG424" s="29">
        <f>MAX(SumAssured,AA424)</f>
        <v/>
      </c>
      <c r="AH424" s="34">
        <f>AG424*O424</f>
        <v/>
      </c>
      <c r="AI424" s="34">
        <f>AA424*O424</f>
        <v/>
      </c>
      <c r="AJ424" s="34">
        <f>AA424*P424</f>
        <v/>
      </c>
      <c r="AK424" s="34">
        <f>I424*AA424*P424</f>
        <v/>
      </c>
      <c r="AL424" s="34">
        <f>AJ424-AK424</f>
        <v/>
      </c>
      <c r="AM424" s="34">
        <f>Q424*K424</f>
        <v/>
      </c>
      <c r="AN424" s="34">
        <f>AH424+AL424+AM424</f>
        <v/>
      </c>
      <c r="AO424" s="34">
        <f>(AG424-AA424)*O424</f>
        <v/>
      </c>
      <c r="AP424" s="34">
        <f>W424*N424</f>
        <v/>
      </c>
      <c r="AQ424" s="34">
        <f>T424*N424</f>
        <v/>
      </c>
      <c r="AR424" s="34">
        <f>Z424*J425+0.5*Z424*(O424+P424)</f>
        <v/>
      </c>
      <c r="AS424" s="30">
        <f>(1+InflationRate)^(A424/12)</f>
        <v/>
      </c>
      <c r="AT424" s="29">
        <f>ExpenseAcq*M424+N424*ExpenseMaint/12*AS424</f>
        <v/>
      </c>
      <c r="AU424" s="29">
        <f>CommissionRate*AE424</f>
        <v/>
      </c>
      <c r="AV424" s="34">
        <f>AB425-AB424</f>
        <v/>
      </c>
      <c r="AW424" s="34">
        <f>AE424+AR424-AN424-AT424-AU424-AV424</f>
        <v/>
      </c>
      <c r="AX424" s="29">
        <f>LoadPremRate*E424*N424+AK424+AQ424-AU424-AT424</f>
        <v/>
      </c>
      <c r="AY424" s="34">
        <f>AP424-AO424</f>
        <v/>
      </c>
      <c r="AZ424" s="37">
        <f>(AW424-AX424-AY424)/MAX(1,ABS(AW424),ABS(AX424),ABS(AY424))</f>
        <v/>
      </c>
      <c r="BA424" s="37">
        <f>IF(OR(K424&gt;0,K425&gt;0),0,(AC425-(AC424+AF424-AQ424-AP424+AR424-AI424-AJ424-AM424))/MAX(1,ABS(AC424),ABS(AC425)))</f>
        <v/>
      </c>
      <c r="BB424" s="35">
        <f>(1+INDEX(DiscRateAnn,INT(A424/12)+1))^(1/12)-1</f>
        <v/>
      </c>
      <c r="BC424" s="31">
        <f>(1+BB424)^-A424</f>
        <v/>
      </c>
      <c r="BD424" s="34">
        <f>AW424*BC424</f>
        <v/>
      </c>
    </row>
    <row r="425">
      <c r="A425" s="27">
        <f>A424+1</f>
        <v/>
      </c>
      <c r="B425" s="28">
        <f>Duration0+A425</f>
        <v/>
      </c>
      <c r="C425" s="27">
        <f>INT(B425/12)</f>
        <v/>
      </c>
      <c r="D425" s="28">
        <f>AgeAtEntry+C425</f>
        <v/>
      </c>
      <c r="E425" s="29">
        <f>IF(PremiumType="SINGLE",IF(B425=0,PremiumPPInput,0),IF(B425&lt;12*PolicyTerm,PremiumPPInput,0))</f>
        <v/>
      </c>
      <c r="F425" s="30">
        <f>INDEX(MortRates,MATCH(MIN(D425,120),MortAges,0),MAX(MIN(C425,5),0)+1)</f>
        <v/>
      </c>
      <c r="G425" s="31">
        <f>1-(1-F425)^(1/12)</f>
        <v/>
      </c>
      <c r="H425" s="32">
        <f>MAX(LapseBase-LapseStep*C425,LapseFloor)</f>
        <v/>
      </c>
      <c r="I425" s="32">
        <f>IF(HasSurrCharge,INDEX(SurrRates,MIN(C425,SurrDurMax)+1,MATCH(SurrChargeID,SurrTypes,0)),0)</f>
        <v/>
      </c>
      <c r="J425" s="33">
        <f>N424-P424-O424</f>
        <v/>
      </c>
      <c r="K425" s="30">
        <f>IF(B425=12*PolicyTerm,J425,0)</f>
        <v/>
      </c>
      <c r="L425" s="33">
        <f>J425-K425</f>
        <v/>
      </c>
      <c r="M425" s="30">
        <f>IF(B425=0,PolicyCount,0)</f>
        <v/>
      </c>
      <c r="N425" s="33">
        <f>L425+M425</f>
        <v/>
      </c>
      <c r="O425" s="31">
        <f>N425*G425</f>
        <v/>
      </c>
      <c r="P425" s="33">
        <f>(N425-O425)*(1-(1-H425)^(1/12))</f>
        <v/>
      </c>
      <c r="Q425" s="34">
        <f>X424+Z424</f>
        <v/>
      </c>
      <c r="R425" s="29">
        <f>(1-LoadPremRate)*E425</f>
        <v/>
      </c>
      <c r="S425" s="34">
        <f>Q425+R425</f>
        <v/>
      </c>
      <c r="T425" s="29">
        <f>MaintFeeRateAnn/12*S425</f>
        <v/>
      </c>
      <c r="U425" s="29">
        <f>MAX(SumAssured-S425,0)</f>
        <v/>
      </c>
      <c r="V425" s="35">
        <f>CoiMultiple*G425</f>
        <v/>
      </c>
      <c r="W425" s="34">
        <f>V425*U425</f>
        <v/>
      </c>
      <c r="X425" s="34">
        <f>S425-T425-W425</f>
        <v/>
      </c>
      <c r="Y425" s="36">
        <f>EXP((Mu-0.5*Sigma^2)/12+Sigma*SQRT(1/12)*INDEX(NormRand,ScenID,A425+1))-1</f>
        <v/>
      </c>
      <c r="Z425" s="34">
        <f>Y425*X425</f>
        <v/>
      </c>
      <c r="AA425" s="34">
        <f>X425+0.5*Z425</f>
        <v/>
      </c>
      <c r="AB425" s="34">
        <f>Q425*J425</f>
        <v/>
      </c>
      <c r="AC425" s="34">
        <f>Q425*L425</f>
        <v/>
      </c>
      <c r="AD425" s="34">
        <f>S425*N425</f>
        <v/>
      </c>
      <c r="AE425" s="34">
        <f>E425*N425</f>
        <v/>
      </c>
      <c r="AF425" s="34">
        <f>R425*N425</f>
        <v/>
      </c>
      <c r="AG425" s="29">
        <f>MAX(SumAssured,AA425)</f>
        <v/>
      </c>
      <c r="AH425" s="34">
        <f>AG425*O425</f>
        <v/>
      </c>
      <c r="AI425" s="34">
        <f>AA425*O425</f>
        <v/>
      </c>
      <c r="AJ425" s="34">
        <f>AA425*P425</f>
        <v/>
      </c>
      <c r="AK425" s="34">
        <f>I425*AA425*P425</f>
        <v/>
      </c>
      <c r="AL425" s="34">
        <f>AJ425-AK425</f>
        <v/>
      </c>
      <c r="AM425" s="34">
        <f>Q425*K425</f>
        <v/>
      </c>
      <c r="AN425" s="34">
        <f>AH425+AL425+AM425</f>
        <v/>
      </c>
      <c r="AO425" s="34">
        <f>(AG425-AA425)*O425</f>
        <v/>
      </c>
      <c r="AP425" s="34">
        <f>W425*N425</f>
        <v/>
      </c>
      <c r="AQ425" s="34">
        <f>T425*N425</f>
        <v/>
      </c>
      <c r="AR425" s="34">
        <f>Z425*J426+0.5*Z425*(O425+P425)</f>
        <v/>
      </c>
      <c r="AS425" s="30">
        <f>(1+InflationRate)^(A425/12)</f>
        <v/>
      </c>
      <c r="AT425" s="29">
        <f>ExpenseAcq*M425+N425*ExpenseMaint/12*AS425</f>
        <v/>
      </c>
      <c r="AU425" s="29">
        <f>CommissionRate*AE425</f>
        <v/>
      </c>
      <c r="AV425" s="34">
        <f>AB426-AB425</f>
        <v/>
      </c>
      <c r="AW425" s="34">
        <f>AE425+AR425-AN425-AT425-AU425-AV425</f>
        <v/>
      </c>
      <c r="AX425" s="29">
        <f>LoadPremRate*E425*N425+AK425+AQ425-AU425-AT425</f>
        <v/>
      </c>
      <c r="AY425" s="34">
        <f>AP425-AO425</f>
        <v/>
      </c>
      <c r="AZ425" s="37">
        <f>(AW425-AX425-AY425)/MAX(1,ABS(AW425),ABS(AX425),ABS(AY425))</f>
        <v/>
      </c>
      <c r="BA425" s="37">
        <f>IF(OR(K425&gt;0,K426&gt;0),0,(AC426-(AC425+AF425-AQ425-AP425+AR425-AI425-AJ425-AM425))/MAX(1,ABS(AC425),ABS(AC426)))</f>
        <v/>
      </c>
      <c r="BB425" s="35">
        <f>(1+INDEX(DiscRateAnn,INT(A425/12)+1))^(1/12)-1</f>
        <v/>
      </c>
      <c r="BC425" s="31">
        <f>(1+BB425)^-A425</f>
        <v/>
      </c>
      <c r="BD425" s="34">
        <f>AW425*BC425</f>
        <v/>
      </c>
    </row>
    <row r="426">
      <c r="A426" s="27">
        <f>A425+1</f>
        <v/>
      </c>
      <c r="B426" s="28">
        <f>Duration0+A426</f>
        <v/>
      </c>
      <c r="C426" s="27">
        <f>INT(B426/12)</f>
        <v/>
      </c>
      <c r="D426" s="28">
        <f>AgeAtEntry+C426</f>
        <v/>
      </c>
      <c r="E426" s="29">
        <f>IF(PremiumType="SINGLE",IF(B426=0,PremiumPPInput,0),IF(B426&lt;12*PolicyTerm,PremiumPPInput,0))</f>
        <v/>
      </c>
      <c r="F426" s="30">
        <f>INDEX(MortRates,MATCH(MIN(D426,120),MortAges,0),MAX(MIN(C426,5),0)+1)</f>
        <v/>
      </c>
      <c r="G426" s="31">
        <f>1-(1-F426)^(1/12)</f>
        <v/>
      </c>
      <c r="H426" s="32">
        <f>MAX(LapseBase-LapseStep*C426,LapseFloor)</f>
        <v/>
      </c>
      <c r="I426" s="32">
        <f>IF(HasSurrCharge,INDEX(SurrRates,MIN(C426,SurrDurMax)+1,MATCH(SurrChargeID,SurrTypes,0)),0)</f>
        <v/>
      </c>
      <c r="J426" s="33">
        <f>N425-P425-O425</f>
        <v/>
      </c>
      <c r="K426" s="30">
        <f>IF(B426=12*PolicyTerm,J426,0)</f>
        <v/>
      </c>
      <c r="L426" s="33">
        <f>J426-K426</f>
        <v/>
      </c>
      <c r="M426" s="30">
        <f>IF(B426=0,PolicyCount,0)</f>
        <v/>
      </c>
      <c r="N426" s="33">
        <f>L426+M426</f>
        <v/>
      </c>
      <c r="O426" s="31">
        <f>N426*G426</f>
        <v/>
      </c>
      <c r="P426" s="33">
        <f>(N426-O426)*(1-(1-H426)^(1/12))</f>
        <v/>
      </c>
      <c r="Q426" s="34">
        <f>X425+Z425</f>
        <v/>
      </c>
      <c r="R426" s="29">
        <f>(1-LoadPremRate)*E426</f>
        <v/>
      </c>
      <c r="S426" s="34">
        <f>Q426+R426</f>
        <v/>
      </c>
      <c r="T426" s="29">
        <f>MaintFeeRateAnn/12*S426</f>
        <v/>
      </c>
      <c r="U426" s="29">
        <f>MAX(SumAssured-S426,0)</f>
        <v/>
      </c>
      <c r="V426" s="35">
        <f>CoiMultiple*G426</f>
        <v/>
      </c>
      <c r="W426" s="34">
        <f>V426*U426</f>
        <v/>
      </c>
      <c r="X426" s="34">
        <f>S426-T426-W426</f>
        <v/>
      </c>
      <c r="Y426" s="36">
        <f>EXP((Mu-0.5*Sigma^2)/12+Sigma*SQRT(1/12)*INDEX(NormRand,ScenID,A426+1))-1</f>
        <v/>
      </c>
      <c r="Z426" s="34">
        <f>Y426*X426</f>
        <v/>
      </c>
      <c r="AA426" s="34">
        <f>X426+0.5*Z426</f>
        <v/>
      </c>
      <c r="AB426" s="34">
        <f>Q426*J426</f>
        <v/>
      </c>
      <c r="AC426" s="34">
        <f>Q426*L426</f>
        <v/>
      </c>
      <c r="AD426" s="34">
        <f>S426*N426</f>
        <v/>
      </c>
      <c r="AE426" s="34">
        <f>E426*N426</f>
        <v/>
      </c>
      <c r="AF426" s="34">
        <f>R426*N426</f>
        <v/>
      </c>
      <c r="AG426" s="29">
        <f>MAX(SumAssured,AA426)</f>
        <v/>
      </c>
      <c r="AH426" s="34">
        <f>AG426*O426</f>
        <v/>
      </c>
      <c r="AI426" s="34">
        <f>AA426*O426</f>
        <v/>
      </c>
      <c r="AJ426" s="34">
        <f>AA426*P426</f>
        <v/>
      </c>
      <c r="AK426" s="34">
        <f>I426*AA426*P426</f>
        <v/>
      </c>
      <c r="AL426" s="34">
        <f>AJ426-AK426</f>
        <v/>
      </c>
      <c r="AM426" s="34">
        <f>Q426*K426</f>
        <v/>
      </c>
      <c r="AN426" s="34">
        <f>AH426+AL426+AM426</f>
        <v/>
      </c>
      <c r="AO426" s="34">
        <f>(AG426-AA426)*O426</f>
        <v/>
      </c>
      <c r="AP426" s="34">
        <f>W426*N426</f>
        <v/>
      </c>
      <c r="AQ426" s="34">
        <f>T426*N426</f>
        <v/>
      </c>
      <c r="AR426" s="34">
        <f>Z426*J427+0.5*Z426*(O426+P426)</f>
        <v/>
      </c>
      <c r="AS426" s="30">
        <f>(1+InflationRate)^(A426/12)</f>
        <v/>
      </c>
      <c r="AT426" s="29">
        <f>ExpenseAcq*M426+N426*ExpenseMaint/12*AS426</f>
        <v/>
      </c>
      <c r="AU426" s="29">
        <f>CommissionRate*AE426</f>
        <v/>
      </c>
      <c r="AV426" s="34">
        <f>AB427-AB426</f>
        <v/>
      </c>
      <c r="AW426" s="34">
        <f>AE426+AR426-AN426-AT426-AU426-AV426</f>
        <v/>
      </c>
      <c r="AX426" s="29">
        <f>LoadPremRate*E426*N426+AK426+AQ426-AU426-AT426</f>
        <v/>
      </c>
      <c r="AY426" s="34">
        <f>AP426-AO426</f>
        <v/>
      </c>
      <c r="AZ426" s="37">
        <f>(AW426-AX426-AY426)/MAX(1,ABS(AW426),ABS(AX426),ABS(AY426))</f>
        <v/>
      </c>
      <c r="BA426" s="37">
        <f>IF(OR(K426&gt;0,K427&gt;0),0,(AC427-(AC426+AF426-AQ426-AP426+AR426-AI426-AJ426-AM426))/MAX(1,ABS(AC426),ABS(AC427)))</f>
        <v/>
      </c>
      <c r="BB426" s="35">
        <f>(1+INDEX(DiscRateAnn,INT(A426/12)+1))^(1/12)-1</f>
        <v/>
      </c>
      <c r="BC426" s="31">
        <f>(1+BB426)^-A426</f>
        <v/>
      </c>
      <c r="BD426" s="34">
        <f>AW426*BC426</f>
        <v/>
      </c>
    </row>
    <row r="427">
      <c r="A427" s="27">
        <f>A426+1</f>
        <v/>
      </c>
      <c r="B427" s="28">
        <f>Duration0+A427</f>
        <v/>
      </c>
      <c r="C427" s="27">
        <f>INT(B427/12)</f>
        <v/>
      </c>
      <c r="D427" s="28">
        <f>AgeAtEntry+C427</f>
        <v/>
      </c>
      <c r="E427" s="29">
        <f>IF(PremiumType="SINGLE",IF(B427=0,PremiumPPInput,0),IF(B427&lt;12*PolicyTerm,PremiumPPInput,0))</f>
        <v/>
      </c>
      <c r="F427" s="30">
        <f>INDEX(MortRates,MATCH(MIN(D427,120),MortAges,0),MAX(MIN(C427,5),0)+1)</f>
        <v/>
      </c>
      <c r="G427" s="31">
        <f>1-(1-F427)^(1/12)</f>
        <v/>
      </c>
      <c r="H427" s="32">
        <f>MAX(LapseBase-LapseStep*C427,LapseFloor)</f>
        <v/>
      </c>
      <c r="I427" s="32">
        <f>IF(HasSurrCharge,INDEX(SurrRates,MIN(C427,SurrDurMax)+1,MATCH(SurrChargeID,SurrTypes,0)),0)</f>
        <v/>
      </c>
      <c r="J427" s="33">
        <f>N426-P426-O426</f>
        <v/>
      </c>
      <c r="K427" s="30">
        <f>IF(B427=12*PolicyTerm,J427,0)</f>
        <v/>
      </c>
      <c r="L427" s="33">
        <f>J427-K427</f>
        <v/>
      </c>
      <c r="M427" s="30">
        <f>IF(B427=0,PolicyCount,0)</f>
        <v/>
      </c>
      <c r="N427" s="33">
        <f>L427+M427</f>
        <v/>
      </c>
      <c r="O427" s="31">
        <f>N427*G427</f>
        <v/>
      </c>
      <c r="P427" s="33">
        <f>(N427-O427)*(1-(1-H427)^(1/12))</f>
        <v/>
      </c>
      <c r="Q427" s="34">
        <f>X426+Z426</f>
        <v/>
      </c>
      <c r="R427" s="29">
        <f>(1-LoadPremRate)*E427</f>
        <v/>
      </c>
      <c r="S427" s="34">
        <f>Q427+R427</f>
        <v/>
      </c>
      <c r="T427" s="29">
        <f>MaintFeeRateAnn/12*S427</f>
        <v/>
      </c>
      <c r="U427" s="29">
        <f>MAX(SumAssured-S427,0)</f>
        <v/>
      </c>
      <c r="V427" s="35">
        <f>CoiMultiple*G427</f>
        <v/>
      </c>
      <c r="W427" s="34">
        <f>V427*U427</f>
        <v/>
      </c>
      <c r="X427" s="34">
        <f>S427-T427-W427</f>
        <v/>
      </c>
      <c r="Y427" s="36">
        <f>EXP((Mu-0.5*Sigma^2)/12+Sigma*SQRT(1/12)*INDEX(NormRand,ScenID,A427+1))-1</f>
        <v/>
      </c>
      <c r="Z427" s="34">
        <f>Y427*X427</f>
        <v/>
      </c>
      <c r="AA427" s="34">
        <f>X427+0.5*Z427</f>
        <v/>
      </c>
      <c r="AB427" s="34">
        <f>Q427*J427</f>
        <v/>
      </c>
      <c r="AC427" s="34">
        <f>Q427*L427</f>
        <v/>
      </c>
      <c r="AD427" s="34">
        <f>S427*N427</f>
        <v/>
      </c>
      <c r="AE427" s="34">
        <f>E427*N427</f>
        <v/>
      </c>
      <c r="AF427" s="34">
        <f>R427*N427</f>
        <v/>
      </c>
      <c r="AG427" s="29">
        <f>MAX(SumAssured,AA427)</f>
        <v/>
      </c>
      <c r="AH427" s="34">
        <f>AG427*O427</f>
        <v/>
      </c>
      <c r="AI427" s="34">
        <f>AA427*O427</f>
        <v/>
      </c>
      <c r="AJ427" s="34">
        <f>AA427*P427</f>
        <v/>
      </c>
      <c r="AK427" s="34">
        <f>I427*AA427*P427</f>
        <v/>
      </c>
      <c r="AL427" s="34">
        <f>AJ427-AK427</f>
        <v/>
      </c>
      <c r="AM427" s="34">
        <f>Q427*K427</f>
        <v/>
      </c>
      <c r="AN427" s="34">
        <f>AH427+AL427+AM427</f>
        <v/>
      </c>
      <c r="AO427" s="34">
        <f>(AG427-AA427)*O427</f>
        <v/>
      </c>
      <c r="AP427" s="34">
        <f>W427*N427</f>
        <v/>
      </c>
      <c r="AQ427" s="34">
        <f>T427*N427</f>
        <v/>
      </c>
      <c r="AR427" s="34">
        <f>Z427*J428+0.5*Z427*(O427+P427)</f>
        <v/>
      </c>
      <c r="AS427" s="30">
        <f>(1+InflationRate)^(A427/12)</f>
        <v/>
      </c>
      <c r="AT427" s="29">
        <f>ExpenseAcq*M427+N427*ExpenseMaint/12*AS427</f>
        <v/>
      </c>
      <c r="AU427" s="29">
        <f>CommissionRate*AE427</f>
        <v/>
      </c>
      <c r="AV427" s="34">
        <f>AB428-AB427</f>
        <v/>
      </c>
      <c r="AW427" s="34">
        <f>AE427+AR427-AN427-AT427-AU427-AV427</f>
        <v/>
      </c>
      <c r="AX427" s="29">
        <f>LoadPremRate*E427*N427+AK427+AQ427-AU427-AT427</f>
        <v/>
      </c>
      <c r="AY427" s="34">
        <f>AP427-AO427</f>
        <v/>
      </c>
      <c r="AZ427" s="37">
        <f>(AW427-AX427-AY427)/MAX(1,ABS(AW427),ABS(AX427),ABS(AY427))</f>
        <v/>
      </c>
      <c r="BA427" s="37">
        <f>IF(OR(K427&gt;0,K428&gt;0),0,(AC428-(AC427+AF427-AQ427-AP427+AR427-AI427-AJ427-AM427))/MAX(1,ABS(AC427),ABS(AC428)))</f>
        <v/>
      </c>
      <c r="BB427" s="35">
        <f>(1+INDEX(DiscRateAnn,INT(A427/12)+1))^(1/12)-1</f>
        <v/>
      </c>
      <c r="BC427" s="31">
        <f>(1+BB427)^-A427</f>
        <v/>
      </c>
      <c r="BD427" s="34">
        <f>AW427*BC427</f>
        <v/>
      </c>
    </row>
    <row r="428">
      <c r="A428" s="27">
        <f>A427+1</f>
        <v/>
      </c>
      <c r="B428" s="28">
        <f>Duration0+A428</f>
        <v/>
      </c>
      <c r="C428" s="27">
        <f>INT(B428/12)</f>
        <v/>
      </c>
      <c r="D428" s="28">
        <f>AgeAtEntry+C428</f>
        <v/>
      </c>
      <c r="E428" s="29">
        <f>IF(PremiumType="SINGLE",IF(B428=0,PremiumPPInput,0),IF(B428&lt;12*PolicyTerm,PremiumPPInput,0))</f>
        <v/>
      </c>
      <c r="F428" s="30">
        <f>INDEX(MortRates,MATCH(MIN(D428,120),MortAges,0),MAX(MIN(C428,5),0)+1)</f>
        <v/>
      </c>
      <c r="G428" s="31">
        <f>1-(1-F428)^(1/12)</f>
        <v/>
      </c>
      <c r="H428" s="32">
        <f>MAX(LapseBase-LapseStep*C428,LapseFloor)</f>
        <v/>
      </c>
      <c r="I428" s="32">
        <f>IF(HasSurrCharge,INDEX(SurrRates,MIN(C428,SurrDurMax)+1,MATCH(SurrChargeID,SurrTypes,0)),0)</f>
        <v/>
      </c>
      <c r="J428" s="33">
        <f>N427-P427-O427</f>
        <v/>
      </c>
      <c r="K428" s="30">
        <f>IF(B428=12*PolicyTerm,J428,0)</f>
        <v/>
      </c>
      <c r="L428" s="33">
        <f>J428-K428</f>
        <v/>
      </c>
      <c r="M428" s="30">
        <f>IF(B428=0,PolicyCount,0)</f>
        <v/>
      </c>
      <c r="N428" s="33">
        <f>L428+M428</f>
        <v/>
      </c>
      <c r="O428" s="31">
        <f>N428*G428</f>
        <v/>
      </c>
      <c r="P428" s="33">
        <f>(N428-O428)*(1-(1-H428)^(1/12))</f>
        <v/>
      </c>
      <c r="Q428" s="34">
        <f>X427+Z427</f>
        <v/>
      </c>
      <c r="R428" s="29">
        <f>(1-LoadPremRate)*E428</f>
        <v/>
      </c>
      <c r="S428" s="34">
        <f>Q428+R428</f>
        <v/>
      </c>
      <c r="T428" s="29">
        <f>MaintFeeRateAnn/12*S428</f>
        <v/>
      </c>
      <c r="U428" s="29">
        <f>MAX(SumAssured-S428,0)</f>
        <v/>
      </c>
      <c r="V428" s="35">
        <f>CoiMultiple*G428</f>
        <v/>
      </c>
      <c r="W428" s="34">
        <f>V428*U428</f>
        <v/>
      </c>
      <c r="X428" s="34">
        <f>S428-T428-W428</f>
        <v/>
      </c>
      <c r="Y428" s="36">
        <f>EXP((Mu-0.5*Sigma^2)/12+Sigma*SQRT(1/12)*INDEX(NormRand,ScenID,A428+1))-1</f>
        <v/>
      </c>
      <c r="Z428" s="34">
        <f>Y428*X428</f>
        <v/>
      </c>
      <c r="AA428" s="34">
        <f>X428+0.5*Z428</f>
        <v/>
      </c>
      <c r="AB428" s="34">
        <f>Q428*J428</f>
        <v/>
      </c>
      <c r="AC428" s="34">
        <f>Q428*L428</f>
        <v/>
      </c>
      <c r="AD428" s="34">
        <f>S428*N428</f>
        <v/>
      </c>
      <c r="AE428" s="34">
        <f>E428*N428</f>
        <v/>
      </c>
      <c r="AF428" s="34">
        <f>R428*N428</f>
        <v/>
      </c>
      <c r="AG428" s="29">
        <f>MAX(SumAssured,AA428)</f>
        <v/>
      </c>
      <c r="AH428" s="34">
        <f>AG428*O428</f>
        <v/>
      </c>
      <c r="AI428" s="34">
        <f>AA428*O428</f>
        <v/>
      </c>
      <c r="AJ428" s="34">
        <f>AA428*P428</f>
        <v/>
      </c>
      <c r="AK428" s="34">
        <f>I428*AA428*P428</f>
        <v/>
      </c>
      <c r="AL428" s="34">
        <f>AJ428-AK428</f>
        <v/>
      </c>
      <c r="AM428" s="34">
        <f>Q428*K428</f>
        <v/>
      </c>
      <c r="AN428" s="34">
        <f>AH428+AL428+AM428</f>
        <v/>
      </c>
      <c r="AO428" s="34">
        <f>(AG428-AA428)*O428</f>
        <v/>
      </c>
      <c r="AP428" s="34">
        <f>W428*N428</f>
        <v/>
      </c>
      <c r="AQ428" s="34">
        <f>T428*N428</f>
        <v/>
      </c>
      <c r="AR428" s="34">
        <f>Z428*J429+0.5*Z428*(O428+P428)</f>
        <v/>
      </c>
      <c r="AS428" s="30">
        <f>(1+InflationRate)^(A428/12)</f>
        <v/>
      </c>
      <c r="AT428" s="29">
        <f>ExpenseAcq*M428+N428*ExpenseMaint/12*AS428</f>
        <v/>
      </c>
      <c r="AU428" s="29">
        <f>CommissionRate*AE428</f>
        <v/>
      </c>
      <c r="AV428" s="34">
        <f>AB429-AB428</f>
        <v/>
      </c>
      <c r="AW428" s="34">
        <f>AE428+AR428-AN428-AT428-AU428-AV428</f>
        <v/>
      </c>
      <c r="AX428" s="29">
        <f>LoadPremRate*E428*N428+AK428+AQ428-AU428-AT428</f>
        <v/>
      </c>
      <c r="AY428" s="34">
        <f>AP428-AO428</f>
        <v/>
      </c>
      <c r="AZ428" s="37">
        <f>(AW428-AX428-AY428)/MAX(1,ABS(AW428),ABS(AX428),ABS(AY428))</f>
        <v/>
      </c>
      <c r="BA428" s="37">
        <f>IF(OR(K428&gt;0,K429&gt;0),0,(AC429-(AC428+AF428-AQ428-AP428+AR428-AI428-AJ428-AM428))/MAX(1,ABS(AC428),ABS(AC429)))</f>
        <v/>
      </c>
      <c r="BB428" s="35">
        <f>(1+INDEX(DiscRateAnn,INT(A428/12)+1))^(1/12)-1</f>
        <v/>
      </c>
      <c r="BC428" s="31">
        <f>(1+BB428)^-A428</f>
        <v/>
      </c>
      <c r="BD428" s="34">
        <f>AW428*BC428</f>
        <v/>
      </c>
    </row>
    <row r="429">
      <c r="A429" s="27">
        <f>A428+1</f>
        <v/>
      </c>
      <c r="B429" s="28">
        <f>Duration0+A429</f>
        <v/>
      </c>
      <c r="C429" s="27">
        <f>INT(B429/12)</f>
        <v/>
      </c>
      <c r="D429" s="28">
        <f>AgeAtEntry+C429</f>
        <v/>
      </c>
      <c r="E429" s="29">
        <f>IF(PremiumType="SINGLE",IF(B429=0,PremiumPPInput,0),IF(B429&lt;12*PolicyTerm,PremiumPPInput,0))</f>
        <v/>
      </c>
      <c r="F429" s="30">
        <f>INDEX(MortRates,MATCH(MIN(D429,120),MortAges,0),MAX(MIN(C429,5),0)+1)</f>
        <v/>
      </c>
      <c r="G429" s="31">
        <f>1-(1-F429)^(1/12)</f>
        <v/>
      </c>
      <c r="H429" s="32">
        <f>MAX(LapseBase-LapseStep*C429,LapseFloor)</f>
        <v/>
      </c>
      <c r="I429" s="32">
        <f>IF(HasSurrCharge,INDEX(SurrRates,MIN(C429,SurrDurMax)+1,MATCH(SurrChargeID,SurrTypes,0)),0)</f>
        <v/>
      </c>
      <c r="J429" s="33">
        <f>N428-P428-O428</f>
        <v/>
      </c>
      <c r="K429" s="30">
        <f>IF(B429=12*PolicyTerm,J429,0)</f>
        <v/>
      </c>
      <c r="L429" s="33">
        <f>J429-K429</f>
        <v/>
      </c>
      <c r="M429" s="30">
        <f>IF(B429=0,PolicyCount,0)</f>
        <v/>
      </c>
      <c r="N429" s="33">
        <f>L429+M429</f>
        <v/>
      </c>
      <c r="O429" s="31">
        <f>N429*G429</f>
        <v/>
      </c>
      <c r="P429" s="33">
        <f>(N429-O429)*(1-(1-H429)^(1/12))</f>
        <v/>
      </c>
      <c r="Q429" s="34">
        <f>X428+Z428</f>
        <v/>
      </c>
      <c r="R429" s="29">
        <f>(1-LoadPremRate)*E429</f>
        <v/>
      </c>
      <c r="S429" s="34">
        <f>Q429+R429</f>
        <v/>
      </c>
      <c r="T429" s="29">
        <f>MaintFeeRateAnn/12*S429</f>
        <v/>
      </c>
      <c r="U429" s="29">
        <f>MAX(SumAssured-S429,0)</f>
        <v/>
      </c>
      <c r="V429" s="35">
        <f>CoiMultiple*G429</f>
        <v/>
      </c>
      <c r="W429" s="34">
        <f>V429*U429</f>
        <v/>
      </c>
      <c r="X429" s="34">
        <f>S429-T429-W429</f>
        <v/>
      </c>
      <c r="Y429" s="36">
        <f>EXP((Mu-0.5*Sigma^2)/12+Sigma*SQRT(1/12)*INDEX(NormRand,ScenID,A429+1))-1</f>
        <v/>
      </c>
      <c r="Z429" s="34">
        <f>Y429*X429</f>
        <v/>
      </c>
      <c r="AA429" s="34">
        <f>X429+0.5*Z429</f>
        <v/>
      </c>
      <c r="AB429" s="34">
        <f>Q429*J429</f>
        <v/>
      </c>
      <c r="AC429" s="34">
        <f>Q429*L429</f>
        <v/>
      </c>
      <c r="AD429" s="34">
        <f>S429*N429</f>
        <v/>
      </c>
      <c r="AE429" s="34">
        <f>E429*N429</f>
        <v/>
      </c>
      <c r="AF429" s="34">
        <f>R429*N429</f>
        <v/>
      </c>
      <c r="AG429" s="29">
        <f>MAX(SumAssured,AA429)</f>
        <v/>
      </c>
      <c r="AH429" s="34">
        <f>AG429*O429</f>
        <v/>
      </c>
      <c r="AI429" s="34">
        <f>AA429*O429</f>
        <v/>
      </c>
      <c r="AJ429" s="34">
        <f>AA429*P429</f>
        <v/>
      </c>
      <c r="AK429" s="34">
        <f>I429*AA429*P429</f>
        <v/>
      </c>
      <c r="AL429" s="34">
        <f>AJ429-AK429</f>
        <v/>
      </c>
      <c r="AM429" s="34">
        <f>Q429*K429</f>
        <v/>
      </c>
      <c r="AN429" s="34">
        <f>AH429+AL429+AM429</f>
        <v/>
      </c>
      <c r="AO429" s="34">
        <f>(AG429-AA429)*O429</f>
        <v/>
      </c>
      <c r="AP429" s="34">
        <f>W429*N429</f>
        <v/>
      </c>
      <c r="AQ429" s="34">
        <f>T429*N429</f>
        <v/>
      </c>
      <c r="AR429" s="34">
        <f>Z429*J430+0.5*Z429*(O429+P429)</f>
        <v/>
      </c>
      <c r="AS429" s="30">
        <f>(1+InflationRate)^(A429/12)</f>
        <v/>
      </c>
      <c r="AT429" s="29">
        <f>ExpenseAcq*M429+N429*ExpenseMaint/12*AS429</f>
        <v/>
      </c>
      <c r="AU429" s="29">
        <f>CommissionRate*AE429</f>
        <v/>
      </c>
      <c r="AV429" s="34">
        <f>AB430-AB429</f>
        <v/>
      </c>
      <c r="AW429" s="34">
        <f>AE429+AR429-AN429-AT429-AU429-AV429</f>
        <v/>
      </c>
      <c r="AX429" s="29">
        <f>LoadPremRate*E429*N429+AK429+AQ429-AU429-AT429</f>
        <v/>
      </c>
      <c r="AY429" s="34">
        <f>AP429-AO429</f>
        <v/>
      </c>
      <c r="AZ429" s="37">
        <f>(AW429-AX429-AY429)/MAX(1,ABS(AW429),ABS(AX429),ABS(AY429))</f>
        <v/>
      </c>
      <c r="BA429" s="37">
        <f>IF(OR(K429&gt;0,K430&gt;0),0,(AC430-(AC429+AF429-AQ429-AP429+AR429-AI429-AJ429-AM429))/MAX(1,ABS(AC429),ABS(AC430)))</f>
        <v/>
      </c>
      <c r="BB429" s="35">
        <f>(1+INDEX(DiscRateAnn,INT(A429/12)+1))^(1/12)-1</f>
        <v/>
      </c>
      <c r="BC429" s="31">
        <f>(1+BB429)^-A429</f>
        <v/>
      </c>
      <c r="BD429" s="34">
        <f>AW429*BC429</f>
        <v/>
      </c>
    </row>
    <row r="430">
      <c r="A430" s="27">
        <f>A429+1</f>
        <v/>
      </c>
      <c r="B430" s="28">
        <f>Duration0+A430</f>
        <v/>
      </c>
      <c r="C430" s="27">
        <f>INT(B430/12)</f>
        <v/>
      </c>
      <c r="D430" s="28">
        <f>AgeAtEntry+C430</f>
        <v/>
      </c>
      <c r="E430" s="29">
        <f>IF(PremiumType="SINGLE",IF(B430=0,PremiumPPInput,0),IF(B430&lt;12*PolicyTerm,PremiumPPInput,0))</f>
        <v/>
      </c>
      <c r="F430" s="30">
        <f>INDEX(MortRates,MATCH(MIN(D430,120),MortAges,0),MAX(MIN(C430,5),0)+1)</f>
        <v/>
      </c>
      <c r="G430" s="31">
        <f>1-(1-F430)^(1/12)</f>
        <v/>
      </c>
      <c r="H430" s="32">
        <f>MAX(LapseBase-LapseStep*C430,LapseFloor)</f>
        <v/>
      </c>
      <c r="I430" s="32">
        <f>IF(HasSurrCharge,INDEX(SurrRates,MIN(C430,SurrDurMax)+1,MATCH(SurrChargeID,SurrTypes,0)),0)</f>
        <v/>
      </c>
      <c r="J430" s="33">
        <f>N429-P429-O429</f>
        <v/>
      </c>
      <c r="K430" s="30">
        <f>IF(B430=12*PolicyTerm,J430,0)</f>
        <v/>
      </c>
      <c r="L430" s="33">
        <f>J430-K430</f>
        <v/>
      </c>
      <c r="M430" s="30">
        <f>IF(B430=0,PolicyCount,0)</f>
        <v/>
      </c>
      <c r="N430" s="33">
        <f>L430+M430</f>
        <v/>
      </c>
      <c r="O430" s="31">
        <f>N430*G430</f>
        <v/>
      </c>
      <c r="P430" s="33">
        <f>(N430-O430)*(1-(1-H430)^(1/12))</f>
        <v/>
      </c>
      <c r="Q430" s="34">
        <f>X429+Z429</f>
        <v/>
      </c>
      <c r="R430" s="29">
        <f>(1-LoadPremRate)*E430</f>
        <v/>
      </c>
      <c r="S430" s="34">
        <f>Q430+R430</f>
        <v/>
      </c>
      <c r="T430" s="29">
        <f>MaintFeeRateAnn/12*S430</f>
        <v/>
      </c>
      <c r="U430" s="29">
        <f>MAX(SumAssured-S430,0)</f>
        <v/>
      </c>
      <c r="V430" s="35">
        <f>CoiMultiple*G430</f>
        <v/>
      </c>
      <c r="W430" s="34">
        <f>V430*U430</f>
        <v/>
      </c>
      <c r="X430" s="34">
        <f>S430-T430-W430</f>
        <v/>
      </c>
      <c r="Y430" s="36">
        <f>EXP((Mu-0.5*Sigma^2)/12+Sigma*SQRT(1/12)*INDEX(NormRand,ScenID,A430+1))-1</f>
        <v/>
      </c>
      <c r="Z430" s="34">
        <f>Y430*X430</f>
        <v/>
      </c>
      <c r="AA430" s="34">
        <f>X430+0.5*Z430</f>
        <v/>
      </c>
      <c r="AB430" s="34">
        <f>Q430*J430</f>
        <v/>
      </c>
      <c r="AC430" s="34">
        <f>Q430*L430</f>
        <v/>
      </c>
      <c r="AD430" s="34">
        <f>S430*N430</f>
        <v/>
      </c>
      <c r="AE430" s="34">
        <f>E430*N430</f>
        <v/>
      </c>
      <c r="AF430" s="34">
        <f>R430*N430</f>
        <v/>
      </c>
      <c r="AG430" s="29">
        <f>MAX(SumAssured,AA430)</f>
        <v/>
      </c>
      <c r="AH430" s="34">
        <f>AG430*O430</f>
        <v/>
      </c>
      <c r="AI430" s="34">
        <f>AA430*O430</f>
        <v/>
      </c>
      <c r="AJ430" s="34">
        <f>AA430*P430</f>
        <v/>
      </c>
      <c r="AK430" s="34">
        <f>I430*AA430*P430</f>
        <v/>
      </c>
      <c r="AL430" s="34">
        <f>AJ430-AK430</f>
        <v/>
      </c>
      <c r="AM430" s="34">
        <f>Q430*K430</f>
        <v/>
      </c>
      <c r="AN430" s="34">
        <f>AH430+AL430+AM430</f>
        <v/>
      </c>
      <c r="AO430" s="34">
        <f>(AG430-AA430)*O430</f>
        <v/>
      </c>
      <c r="AP430" s="34">
        <f>W430*N430</f>
        <v/>
      </c>
      <c r="AQ430" s="34">
        <f>T430*N430</f>
        <v/>
      </c>
      <c r="AR430" s="34">
        <f>Z430*J431+0.5*Z430*(O430+P430)</f>
        <v/>
      </c>
      <c r="AS430" s="30">
        <f>(1+InflationRate)^(A430/12)</f>
        <v/>
      </c>
      <c r="AT430" s="29">
        <f>ExpenseAcq*M430+N430*ExpenseMaint/12*AS430</f>
        <v/>
      </c>
      <c r="AU430" s="29">
        <f>CommissionRate*AE430</f>
        <v/>
      </c>
      <c r="AV430" s="34">
        <f>AB431-AB430</f>
        <v/>
      </c>
      <c r="AW430" s="34">
        <f>AE430+AR430-AN430-AT430-AU430-AV430</f>
        <v/>
      </c>
      <c r="AX430" s="29">
        <f>LoadPremRate*E430*N430+AK430+AQ430-AU430-AT430</f>
        <v/>
      </c>
      <c r="AY430" s="34">
        <f>AP430-AO430</f>
        <v/>
      </c>
      <c r="AZ430" s="37">
        <f>(AW430-AX430-AY430)/MAX(1,ABS(AW430),ABS(AX430),ABS(AY430))</f>
        <v/>
      </c>
      <c r="BA430" s="37">
        <f>IF(OR(K430&gt;0,K431&gt;0),0,(AC431-(AC430+AF430-AQ430-AP430+AR430-AI430-AJ430-AM430))/MAX(1,ABS(AC430),ABS(AC431)))</f>
        <v/>
      </c>
      <c r="BB430" s="35">
        <f>(1+INDEX(DiscRateAnn,INT(A430/12)+1))^(1/12)-1</f>
        <v/>
      </c>
      <c r="BC430" s="31">
        <f>(1+BB430)^-A430</f>
        <v/>
      </c>
      <c r="BD430" s="34">
        <f>AW430*BC430</f>
        <v/>
      </c>
    </row>
    <row r="431">
      <c r="A431" s="27">
        <f>A430+1</f>
        <v/>
      </c>
      <c r="B431" s="28">
        <f>Duration0+A431</f>
        <v/>
      </c>
      <c r="C431" s="27">
        <f>INT(B431/12)</f>
        <v/>
      </c>
      <c r="D431" s="28">
        <f>AgeAtEntry+C431</f>
        <v/>
      </c>
      <c r="E431" s="29">
        <f>IF(PremiumType="SINGLE",IF(B431=0,PremiumPPInput,0),IF(B431&lt;12*PolicyTerm,PremiumPPInput,0))</f>
        <v/>
      </c>
      <c r="F431" s="30">
        <f>INDEX(MortRates,MATCH(MIN(D431,120),MortAges,0),MAX(MIN(C431,5),0)+1)</f>
        <v/>
      </c>
      <c r="G431" s="31">
        <f>1-(1-F431)^(1/12)</f>
        <v/>
      </c>
      <c r="H431" s="32">
        <f>MAX(LapseBase-LapseStep*C431,LapseFloor)</f>
        <v/>
      </c>
      <c r="I431" s="32">
        <f>IF(HasSurrCharge,INDEX(SurrRates,MIN(C431,SurrDurMax)+1,MATCH(SurrChargeID,SurrTypes,0)),0)</f>
        <v/>
      </c>
      <c r="J431" s="33">
        <f>N430-P430-O430</f>
        <v/>
      </c>
      <c r="K431" s="30">
        <f>IF(B431=12*PolicyTerm,J431,0)</f>
        <v/>
      </c>
      <c r="L431" s="33">
        <f>J431-K431</f>
        <v/>
      </c>
      <c r="M431" s="30">
        <f>IF(B431=0,PolicyCount,0)</f>
        <v/>
      </c>
      <c r="N431" s="33">
        <f>L431+M431</f>
        <v/>
      </c>
      <c r="O431" s="31">
        <f>N431*G431</f>
        <v/>
      </c>
      <c r="P431" s="33">
        <f>(N431-O431)*(1-(1-H431)^(1/12))</f>
        <v/>
      </c>
      <c r="Q431" s="34">
        <f>X430+Z430</f>
        <v/>
      </c>
      <c r="R431" s="29">
        <f>(1-LoadPremRate)*E431</f>
        <v/>
      </c>
      <c r="S431" s="34">
        <f>Q431+R431</f>
        <v/>
      </c>
      <c r="T431" s="29">
        <f>MaintFeeRateAnn/12*S431</f>
        <v/>
      </c>
      <c r="U431" s="29">
        <f>MAX(SumAssured-S431,0)</f>
        <v/>
      </c>
      <c r="V431" s="35">
        <f>CoiMultiple*G431</f>
        <v/>
      </c>
      <c r="W431" s="34">
        <f>V431*U431</f>
        <v/>
      </c>
      <c r="X431" s="34">
        <f>S431-T431-W431</f>
        <v/>
      </c>
      <c r="Y431" s="36">
        <f>EXP((Mu-0.5*Sigma^2)/12+Sigma*SQRT(1/12)*INDEX(NormRand,ScenID,A431+1))-1</f>
        <v/>
      </c>
      <c r="Z431" s="34">
        <f>Y431*X431</f>
        <v/>
      </c>
      <c r="AA431" s="34">
        <f>X431+0.5*Z431</f>
        <v/>
      </c>
      <c r="AB431" s="34">
        <f>Q431*J431</f>
        <v/>
      </c>
      <c r="AC431" s="34">
        <f>Q431*L431</f>
        <v/>
      </c>
      <c r="AD431" s="34">
        <f>S431*N431</f>
        <v/>
      </c>
      <c r="AE431" s="34">
        <f>E431*N431</f>
        <v/>
      </c>
      <c r="AF431" s="34">
        <f>R431*N431</f>
        <v/>
      </c>
      <c r="AG431" s="29">
        <f>MAX(SumAssured,AA431)</f>
        <v/>
      </c>
      <c r="AH431" s="34">
        <f>AG431*O431</f>
        <v/>
      </c>
      <c r="AI431" s="34">
        <f>AA431*O431</f>
        <v/>
      </c>
      <c r="AJ431" s="34">
        <f>AA431*P431</f>
        <v/>
      </c>
      <c r="AK431" s="34">
        <f>I431*AA431*P431</f>
        <v/>
      </c>
      <c r="AL431" s="34">
        <f>AJ431-AK431</f>
        <v/>
      </c>
      <c r="AM431" s="34">
        <f>Q431*K431</f>
        <v/>
      </c>
      <c r="AN431" s="34">
        <f>AH431+AL431+AM431</f>
        <v/>
      </c>
      <c r="AO431" s="34">
        <f>(AG431-AA431)*O431</f>
        <v/>
      </c>
      <c r="AP431" s="34">
        <f>W431*N431</f>
        <v/>
      </c>
      <c r="AQ431" s="34">
        <f>T431*N431</f>
        <v/>
      </c>
      <c r="AR431" s="34">
        <f>Z431*J432+0.5*Z431*(O431+P431)</f>
        <v/>
      </c>
      <c r="AS431" s="30">
        <f>(1+InflationRate)^(A431/12)</f>
        <v/>
      </c>
      <c r="AT431" s="29">
        <f>ExpenseAcq*M431+N431*ExpenseMaint/12*AS431</f>
        <v/>
      </c>
      <c r="AU431" s="29">
        <f>CommissionRate*AE431</f>
        <v/>
      </c>
      <c r="AV431" s="34">
        <f>AB432-AB431</f>
        <v/>
      </c>
      <c r="AW431" s="34">
        <f>AE431+AR431-AN431-AT431-AU431-AV431</f>
        <v/>
      </c>
      <c r="AX431" s="29">
        <f>LoadPremRate*E431*N431+AK431+AQ431-AU431-AT431</f>
        <v/>
      </c>
      <c r="AY431" s="34">
        <f>AP431-AO431</f>
        <v/>
      </c>
      <c r="AZ431" s="37">
        <f>(AW431-AX431-AY431)/MAX(1,ABS(AW431),ABS(AX431),ABS(AY431))</f>
        <v/>
      </c>
      <c r="BA431" s="37">
        <f>IF(OR(K431&gt;0,K432&gt;0),0,(AC432-(AC431+AF431-AQ431-AP431+AR431-AI431-AJ431-AM431))/MAX(1,ABS(AC431),ABS(AC432)))</f>
        <v/>
      </c>
      <c r="BB431" s="35">
        <f>(1+INDEX(DiscRateAnn,INT(A431/12)+1))^(1/12)-1</f>
        <v/>
      </c>
      <c r="BC431" s="31">
        <f>(1+BB431)^-A431</f>
        <v/>
      </c>
      <c r="BD431" s="34">
        <f>AW431*BC431</f>
        <v/>
      </c>
    </row>
    <row r="432">
      <c r="A432" s="27">
        <f>A431+1</f>
        <v/>
      </c>
      <c r="B432" s="28">
        <f>Duration0+A432</f>
        <v/>
      </c>
      <c r="C432" s="27">
        <f>INT(B432/12)</f>
        <v/>
      </c>
      <c r="D432" s="28">
        <f>AgeAtEntry+C432</f>
        <v/>
      </c>
      <c r="E432" s="29">
        <f>IF(PremiumType="SINGLE",IF(B432=0,PremiumPPInput,0),IF(B432&lt;12*PolicyTerm,PremiumPPInput,0))</f>
        <v/>
      </c>
      <c r="F432" s="30">
        <f>INDEX(MortRates,MATCH(MIN(D432,120),MortAges,0),MAX(MIN(C432,5),0)+1)</f>
        <v/>
      </c>
      <c r="G432" s="31">
        <f>1-(1-F432)^(1/12)</f>
        <v/>
      </c>
      <c r="H432" s="32">
        <f>MAX(LapseBase-LapseStep*C432,LapseFloor)</f>
        <v/>
      </c>
      <c r="I432" s="32">
        <f>IF(HasSurrCharge,INDEX(SurrRates,MIN(C432,SurrDurMax)+1,MATCH(SurrChargeID,SurrTypes,0)),0)</f>
        <v/>
      </c>
      <c r="J432" s="33">
        <f>N431-P431-O431</f>
        <v/>
      </c>
      <c r="K432" s="30">
        <f>IF(B432=12*PolicyTerm,J432,0)</f>
        <v/>
      </c>
      <c r="L432" s="33">
        <f>J432-K432</f>
        <v/>
      </c>
      <c r="M432" s="30">
        <f>IF(B432=0,PolicyCount,0)</f>
        <v/>
      </c>
      <c r="N432" s="33">
        <f>L432+M432</f>
        <v/>
      </c>
      <c r="O432" s="31">
        <f>N432*G432</f>
        <v/>
      </c>
      <c r="P432" s="33">
        <f>(N432-O432)*(1-(1-H432)^(1/12))</f>
        <v/>
      </c>
      <c r="Q432" s="34">
        <f>X431+Z431</f>
        <v/>
      </c>
      <c r="R432" s="29">
        <f>(1-LoadPremRate)*E432</f>
        <v/>
      </c>
      <c r="S432" s="34">
        <f>Q432+R432</f>
        <v/>
      </c>
      <c r="T432" s="29">
        <f>MaintFeeRateAnn/12*S432</f>
        <v/>
      </c>
      <c r="U432" s="29">
        <f>MAX(SumAssured-S432,0)</f>
        <v/>
      </c>
      <c r="V432" s="35">
        <f>CoiMultiple*G432</f>
        <v/>
      </c>
      <c r="W432" s="34">
        <f>V432*U432</f>
        <v/>
      </c>
      <c r="X432" s="34">
        <f>S432-T432-W432</f>
        <v/>
      </c>
      <c r="Y432" s="36">
        <f>EXP((Mu-0.5*Sigma^2)/12+Sigma*SQRT(1/12)*INDEX(NormRand,ScenID,A432+1))-1</f>
        <v/>
      </c>
      <c r="Z432" s="34">
        <f>Y432*X432</f>
        <v/>
      </c>
      <c r="AA432" s="34">
        <f>X432+0.5*Z432</f>
        <v/>
      </c>
      <c r="AB432" s="34">
        <f>Q432*J432</f>
        <v/>
      </c>
      <c r="AC432" s="34">
        <f>Q432*L432</f>
        <v/>
      </c>
      <c r="AD432" s="34">
        <f>S432*N432</f>
        <v/>
      </c>
      <c r="AE432" s="34">
        <f>E432*N432</f>
        <v/>
      </c>
      <c r="AF432" s="34">
        <f>R432*N432</f>
        <v/>
      </c>
      <c r="AG432" s="29">
        <f>MAX(SumAssured,AA432)</f>
        <v/>
      </c>
      <c r="AH432" s="34">
        <f>AG432*O432</f>
        <v/>
      </c>
      <c r="AI432" s="34">
        <f>AA432*O432</f>
        <v/>
      </c>
      <c r="AJ432" s="34">
        <f>AA432*P432</f>
        <v/>
      </c>
      <c r="AK432" s="34">
        <f>I432*AA432*P432</f>
        <v/>
      </c>
      <c r="AL432" s="34">
        <f>AJ432-AK432</f>
        <v/>
      </c>
      <c r="AM432" s="34">
        <f>Q432*K432</f>
        <v/>
      </c>
      <c r="AN432" s="34">
        <f>AH432+AL432+AM432</f>
        <v/>
      </c>
      <c r="AO432" s="34">
        <f>(AG432-AA432)*O432</f>
        <v/>
      </c>
      <c r="AP432" s="34">
        <f>W432*N432</f>
        <v/>
      </c>
      <c r="AQ432" s="34">
        <f>T432*N432</f>
        <v/>
      </c>
      <c r="AR432" s="34">
        <f>Z432*J433+0.5*Z432*(O432+P432)</f>
        <v/>
      </c>
      <c r="AS432" s="30">
        <f>(1+InflationRate)^(A432/12)</f>
        <v/>
      </c>
      <c r="AT432" s="29">
        <f>ExpenseAcq*M432+N432*ExpenseMaint/12*AS432</f>
        <v/>
      </c>
      <c r="AU432" s="29">
        <f>CommissionRate*AE432</f>
        <v/>
      </c>
      <c r="AV432" s="34">
        <f>AB433-AB432</f>
        <v/>
      </c>
      <c r="AW432" s="34">
        <f>AE432+AR432-AN432-AT432-AU432-AV432</f>
        <v/>
      </c>
      <c r="AX432" s="29">
        <f>LoadPremRate*E432*N432+AK432+AQ432-AU432-AT432</f>
        <v/>
      </c>
      <c r="AY432" s="34">
        <f>AP432-AO432</f>
        <v/>
      </c>
      <c r="AZ432" s="37">
        <f>(AW432-AX432-AY432)/MAX(1,ABS(AW432),ABS(AX432),ABS(AY432))</f>
        <v/>
      </c>
      <c r="BA432" s="37">
        <f>IF(OR(K432&gt;0,K433&gt;0),0,(AC433-(AC432+AF432-AQ432-AP432+AR432-AI432-AJ432-AM432))/MAX(1,ABS(AC432),ABS(AC433)))</f>
        <v/>
      </c>
      <c r="BB432" s="35">
        <f>(1+INDEX(DiscRateAnn,INT(A432/12)+1))^(1/12)-1</f>
        <v/>
      </c>
      <c r="BC432" s="31">
        <f>(1+BB432)^-A432</f>
        <v/>
      </c>
      <c r="BD432" s="34">
        <f>AW432*BC432</f>
        <v/>
      </c>
    </row>
    <row r="433">
      <c r="A433" s="27">
        <f>A432+1</f>
        <v/>
      </c>
      <c r="B433" s="28">
        <f>Duration0+A433</f>
        <v/>
      </c>
      <c r="C433" s="27">
        <f>INT(B433/12)</f>
        <v/>
      </c>
      <c r="D433" s="28">
        <f>AgeAtEntry+C433</f>
        <v/>
      </c>
      <c r="E433" s="29">
        <f>IF(PremiumType="SINGLE",IF(B433=0,PremiumPPInput,0),IF(B433&lt;12*PolicyTerm,PremiumPPInput,0))</f>
        <v/>
      </c>
      <c r="F433" s="30">
        <f>INDEX(MortRates,MATCH(MIN(D433,120),MortAges,0),MAX(MIN(C433,5),0)+1)</f>
        <v/>
      </c>
      <c r="G433" s="31">
        <f>1-(1-F433)^(1/12)</f>
        <v/>
      </c>
      <c r="H433" s="32">
        <f>MAX(LapseBase-LapseStep*C433,LapseFloor)</f>
        <v/>
      </c>
      <c r="I433" s="32">
        <f>IF(HasSurrCharge,INDEX(SurrRates,MIN(C433,SurrDurMax)+1,MATCH(SurrChargeID,SurrTypes,0)),0)</f>
        <v/>
      </c>
      <c r="J433" s="33">
        <f>N432-P432-O432</f>
        <v/>
      </c>
      <c r="K433" s="30">
        <f>IF(B433=12*PolicyTerm,J433,0)</f>
        <v/>
      </c>
      <c r="L433" s="33">
        <f>J433-K433</f>
        <v/>
      </c>
      <c r="M433" s="30">
        <f>IF(B433=0,PolicyCount,0)</f>
        <v/>
      </c>
      <c r="N433" s="33">
        <f>L433+M433</f>
        <v/>
      </c>
      <c r="O433" s="31">
        <f>N433*G433</f>
        <v/>
      </c>
      <c r="P433" s="33">
        <f>(N433-O433)*(1-(1-H433)^(1/12))</f>
        <v/>
      </c>
      <c r="Q433" s="34">
        <f>X432+Z432</f>
        <v/>
      </c>
      <c r="R433" s="29">
        <f>(1-LoadPremRate)*E433</f>
        <v/>
      </c>
      <c r="S433" s="34">
        <f>Q433+R433</f>
        <v/>
      </c>
      <c r="T433" s="29">
        <f>MaintFeeRateAnn/12*S433</f>
        <v/>
      </c>
      <c r="U433" s="29">
        <f>MAX(SumAssured-S433,0)</f>
        <v/>
      </c>
      <c r="V433" s="35">
        <f>CoiMultiple*G433</f>
        <v/>
      </c>
      <c r="W433" s="34">
        <f>V433*U433</f>
        <v/>
      </c>
      <c r="X433" s="34">
        <f>S433-T433-W433</f>
        <v/>
      </c>
      <c r="Y433" s="36">
        <f>EXP((Mu-0.5*Sigma^2)/12+Sigma*SQRT(1/12)*INDEX(NormRand,ScenID,A433+1))-1</f>
        <v/>
      </c>
      <c r="Z433" s="34">
        <f>Y433*X433</f>
        <v/>
      </c>
      <c r="AA433" s="34">
        <f>X433+0.5*Z433</f>
        <v/>
      </c>
      <c r="AB433" s="34">
        <f>Q433*J433</f>
        <v/>
      </c>
      <c r="AC433" s="34">
        <f>Q433*L433</f>
        <v/>
      </c>
      <c r="AD433" s="34">
        <f>S433*N433</f>
        <v/>
      </c>
      <c r="AE433" s="34">
        <f>E433*N433</f>
        <v/>
      </c>
      <c r="AF433" s="34">
        <f>R433*N433</f>
        <v/>
      </c>
      <c r="AG433" s="29">
        <f>MAX(SumAssured,AA433)</f>
        <v/>
      </c>
      <c r="AH433" s="34">
        <f>AG433*O433</f>
        <v/>
      </c>
      <c r="AI433" s="34">
        <f>AA433*O433</f>
        <v/>
      </c>
      <c r="AJ433" s="34">
        <f>AA433*P433</f>
        <v/>
      </c>
      <c r="AK433" s="34">
        <f>I433*AA433*P433</f>
        <v/>
      </c>
      <c r="AL433" s="34">
        <f>AJ433-AK433</f>
        <v/>
      </c>
      <c r="AM433" s="34">
        <f>Q433*K433</f>
        <v/>
      </c>
      <c r="AN433" s="34">
        <f>AH433+AL433+AM433</f>
        <v/>
      </c>
      <c r="AO433" s="34">
        <f>(AG433-AA433)*O433</f>
        <v/>
      </c>
      <c r="AP433" s="34">
        <f>W433*N433</f>
        <v/>
      </c>
      <c r="AQ433" s="34">
        <f>T433*N433</f>
        <v/>
      </c>
      <c r="AR433" s="34">
        <f>Z433*J434+0.5*Z433*(O433+P433)</f>
        <v/>
      </c>
      <c r="AS433" s="30">
        <f>(1+InflationRate)^(A433/12)</f>
        <v/>
      </c>
      <c r="AT433" s="29">
        <f>ExpenseAcq*M433+N433*ExpenseMaint/12*AS433</f>
        <v/>
      </c>
      <c r="AU433" s="29">
        <f>CommissionRate*AE433</f>
        <v/>
      </c>
      <c r="AV433" s="34">
        <f>AB434-AB433</f>
        <v/>
      </c>
      <c r="AW433" s="34">
        <f>AE433+AR433-AN433-AT433-AU433-AV433</f>
        <v/>
      </c>
      <c r="AX433" s="29">
        <f>LoadPremRate*E433*N433+AK433+AQ433-AU433-AT433</f>
        <v/>
      </c>
      <c r="AY433" s="34">
        <f>AP433-AO433</f>
        <v/>
      </c>
      <c r="AZ433" s="37">
        <f>(AW433-AX433-AY433)/MAX(1,ABS(AW433),ABS(AX433),ABS(AY433))</f>
        <v/>
      </c>
      <c r="BA433" s="37">
        <f>IF(OR(K433&gt;0,K434&gt;0),0,(AC434-(AC433+AF433-AQ433-AP433+AR433-AI433-AJ433-AM433))/MAX(1,ABS(AC433),ABS(AC434)))</f>
        <v/>
      </c>
      <c r="BB433" s="35">
        <f>(1+INDEX(DiscRateAnn,INT(A433/12)+1))^(1/12)-1</f>
        <v/>
      </c>
      <c r="BC433" s="31">
        <f>(1+BB433)^-A433</f>
        <v/>
      </c>
      <c r="BD433" s="34">
        <f>AW433*BC433</f>
        <v/>
      </c>
    </row>
    <row r="434">
      <c r="A434" s="27">
        <f>A433+1</f>
        <v/>
      </c>
      <c r="B434" s="28">
        <f>Duration0+A434</f>
        <v/>
      </c>
      <c r="C434" s="27">
        <f>INT(B434/12)</f>
        <v/>
      </c>
      <c r="D434" s="28">
        <f>AgeAtEntry+C434</f>
        <v/>
      </c>
      <c r="E434" s="29">
        <f>IF(PremiumType="SINGLE",IF(B434=0,PremiumPPInput,0),IF(B434&lt;12*PolicyTerm,PremiumPPInput,0))</f>
        <v/>
      </c>
      <c r="F434" s="30">
        <f>INDEX(MortRates,MATCH(MIN(D434,120),MortAges,0),MAX(MIN(C434,5),0)+1)</f>
        <v/>
      </c>
      <c r="G434" s="31">
        <f>1-(1-F434)^(1/12)</f>
        <v/>
      </c>
      <c r="H434" s="32">
        <f>MAX(LapseBase-LapseStep*C434,LapseFloor)</f>
        <v/>
      </c>
      <c r="I434" s="32">
        <f>IF(HasSurrCharge,INDEX(SurrRates,MIN(C434,SurrDurMax)+1,MATCH(SurrChargeID,SurrTypes,0)),0)</f>
        <v/>
      </c>
      <c r="J434" s="33">
        <f>N433-P433-O433</f>
        <v/>
      </c>
      <c r="K434" s="30">
        <f>IF(B434=12*PolicyTerm,J434,0)</f>
        <v/>
      </c>
      <c r="L434" s="33">
        <f>J434-K434</f>
        <v/>
      </c>
      <c r="M434" s="30">
        <f>IF(B434=0,PolicyCount,0)</f>
        <v/>
      </c>
      <c r="N434" s="33">
        <f>L434+M434</f>
        <v/>
      </c>
      <c r="O434" s="31">
        <f>N434*G434</f>
        <v/>
      </c>
      <c r="P434" s="33">
        <f>(N434-O434)*(1-(1-H434)^(1/12))</f>
        <v/>
      </c>
      <c r="Q434" s="34">
        <f>X433+Z433</f>
        <v/>
      </c>
      <c r="R434" s="29">
        <f>(1-LoadPremRate)*E434</f>
        <v/>
      </c>
      <c r="S434" s="34">
        <f>Q434+R434</f>
        <v/>
      </c>
      <c r="T434" s="29">
        <f>MaintFeeRateAnn/12*S434</f>
        <v/>
      </c>
      <c r="U434" s="29">
        <f>MAX(SumAssured-S434,0)</f>
        <v/>
      </c>
      <c r="V434" s="35">
        <f>CoiMultiple*G434</f>
        <v/>
      </c>
      <c r="W434" s="34">
        <f>V434*U434</f>
        <v/>
      </c>
      <c r="X434" s="34">
        <f>S434-T434-W434</f>
        <v/>
      </c>
      <c r="Y434" s="36">
        <f>EXP((Mu-0.5*Sigma^2)/12+Sigma*SQRT(1/12)*INDEX(NormRand,ScenID,A434+1))-1</f>
        <v/>
      </c>
      <c r="Z434" s="34">
        <f>Y434*X434</f>
        <v/>
      </c>
      <c r="AA434" s="34">
        <f>X434+0.5*Z434</f>
        <v/>
      </c>
      <c r="AB434" s="34">
        <f>Q434*J434</f>
        <v/>
      </c>
      <c r="AC434" s="34">
        <f>Q434*L434</f>
        <v/>
      </c>
      <c r="AD434" s="34">
        <f>S434*N434</f>
        <v/>
      </c>
      <c r="AE434" s="34">
        <f>E434*N434</f>
        <v/>
      </c>
      <c r="AF434" s="34">
        <f>R434*N434</f>
        <v/>
      </c>
      <c r="AG434" s="29">
        <f>MAX(SumAssured,AA434)</f>
        <v/>
      </c>
      <c r="AH434" s="34">
        <f>AG434*O434</f>
        <v/>
      </c>
      <c r="AI434" s="34">
        <f>AA434*O434</f>
        <v/>
      </c>
      <c r="AJ434" s="34">
        <f>AA434*P434</f>
        <v/>
      </c>
      <c r="AK434" s="34">
        <f>I434*AA434*P434</f>
        <v/>
      </c>
      <c r="AL434" s="34">
        <f>AJ434-AK434</f>
        <v/>
      </c>
      <c r="AM434" s="34">
        <f>Q434*K434</f>
        <v/>
      </c>
      <c r="AN434" s="34">
        <f>AH434+AL434+AM434</f>
        <v/>
      </c>
      <c r="AO434" s="34">
        <f>(AG434-AA434)*O434</f>
        <v/>
      </c>
      <c r="AP434" s="34">
        <f>W434*N434</f>
        <v/>
      </c>
      <c r="AQ434" s="34">
        <f>T434*N434</f>
        <v/>
      </c>
      <c r="AR434" s="34">
        <f>Z434*J435+0.5*Z434*(O434+P434)</f>
        <v/>
      </c>
      <c r="AS434" s="30">
        <f>(1+InflationRate)^(A434/12)</f>
        <v/>
      </c>
      <c r="AT434" s="29">
        <f>ExpenseAcq*M434+N434*ExpenseMaint/12*AS434</f>
        <v/>
      </c>
      <c r="AU434" s="29">
        <f>CommissionRate*AE434</f>
        <v/>
      </c>
      <c r="AV434" s="34">
        <f>AB435-AB434</f>
        <v/>
      </c>
      <c r="AW434" s="34">
        <f>AE434+AR434-AN434-AT434-AU434-AV434</f>
        <v/>
      </c>
      <c r="AX434" s="29">
        <f>LoadPremRate*E434*N434+AK434+AQ434-AU434-AT434</f>
        <v/>
      </c>
      <c r="AY434" s="34">
        <f>AP434-AO434</f>
        <v/>
      </c>
      <c r="AZ434" s="37">
        <f>(AW434-AX434-AY434)/MAX(1,ABS(AW434),ABS(AX434),ABS(AY434))</f>
        <v/>
      </c>
      <c r="BA434" s="37">
        <f>IF(OR(K434&gt;0,K435&gt;0),0,(AC435-(AC434+AF434-AQ434-AP434+AR434-AI434-AJ434-AM434))/MAX(1,ABS(AC434),ABS(AC435)))</f>
        <v/>
      </c>
      <c r="BB434" s="35">
        <f>(1+INDEX(DiscRateAnn,INT(A434/12)+1))^(1/12)-1</f>
        <v/>
      </c>
      <c r="BC434" s="31">
        <f>(1+BB434)^-A434</f>
        <v/>
      </c>
      <c r="BD434" s="34">
        <f>AW434*BC434</f>
        <v/>
      </c>
    </row>
    <row r="435">
      <c r="A435" s="27">
        <f>A434+1</f>
        <v/>
      </c>
      <c r="B435" s="28">
        <f>Duration0+A435</f>
        <v/>
      </c>
      <c r="C435" s="27">
        <f>INT(B435/12)</f>
        <v/>
      </c>
      <c r="D435" s="28">
        <f>AgeAtEntry+C435</f>
        <v/>
      </c>
      <c r="E435" s="29">
        <f>IF(PremiumType="SINGLE",IF(B435=0,PremiumPPInput,0),IF(B435&lt;12*PolicyTerm,PremiumPPInput,0))</f>
        <v/>
      </c>
      <c r="F435" s="30">
        <f>INDEX(MortRates,MATCH(MIN(D435,120),MortAges,0),MAX(MIN(C435,5),0)+1)</f>
        <v/>
      </c>
      <c r="G435" s="31">
        <f>1-(1-F435)^(1/12)</f>
        <v/>
      </c>
      <c r="H435" s="32">
        <f>MAX(LapseBase-LapseStep*C435,LapseFloor)</f>
        <v/>
      </c>
      <c r="I435" s="32">
        <f>IF(HasSurrCharge,INDEX(SurrRates,MIN(C435,SurrDurMax)+1,MATCH(SurrChargeID,SurrTypes,0)),0)</f>
        <v/>
      </c>
      <c r="J435" s="33">
        <f>N434-P434-O434</f>
        <v/>
      </c>
      <c r="K435" s="30">
        <f>IF(B435=12*PolicyTerm,J435,0)</f>
        <v/>
      </c>
      <c r="L435" s="33">
        <f>J435-K435</f>
        <v/>
      </c>
      <c r="M435" s="30">
        <f>IF(B435=0,PolicyCount,0)</f>
        <v/>
      </c>
      <c r="N435" s="33">
        <f>L435+M435</f>
        <v/>
      </c>
      <c r="O435" s="31">
        <f>N435*G435</f>
        <v/>
      </c>
      <c r="P435" s="33">
        <f>(N435-O435)*(1-(1-H435)^(1/12))</f>
        <v/>
      </c>
      <c r="Q435" s="34">
        <f>X434+Z434</f>
        <v/>
      </c>
      <c r="R435" s="29">
        <f>(1-LoadPremRate)*E435</f>
        <v/>
      </c>
      <c r="S435" s="34">
        <f>Q435+R435</f>
        <v/>
      </c>
      <c r="T435" s="29">
        <f>MaintFeeRateAnn/12*S435</f>
        <v/>
      </c>
      <c r="U435" s="29">
        <f>MAX(SumAssured-S435,0)</f>
        <v/>
      </c>
      <c r="V435" s="35">
        <f>CoiMultiple*G435</f>
        <v/>
      </c>
      <c r="W435" s="34">
        <f>V435*U435</f>
        <v/>
      </c>
      <c r="X435" s="34">
        <f>S435-T435-W435</f>
        <v/>
      </c>
      <c r="Y435" s="36">
        <f>EXP((Mu-0.5*Sigma^2)/12+Sigma*SQRT(1/12)*INDEX(NormRand,ScenID,A435+1))-1</f>
        <v/>
      </c>
      <c r="Z435" s="34">
        <f>Y435*X435</f>
        <v/>
      </c>
      <c r="AA435" s="34">
        <f>X435+0.5*Z435</f>
        <v/>
      </c>
      <c r="AB435" s="34">
        <f>Q435*J435</f>
        <v/>
      </c>
      <c r="AC435" s="34">
        <f>Q435*L435</f>
        <v/>
      </c>
      <c r="AD435" s="34">
        <f>S435*N435</f>
        <v/>
      </c>
      <c r="AE435" s="34">
        <f>E435*N435</f>
        <v/>
      </c>
      <c r="AF435" s="34">
        <f>R435*N435</f>
        <v/>
      </c>
      <c r="AG435" s="29">
        <f>MAX(SumAssured,AA435)</f>
        <v/>
      </c>
      <c r="AH435" s="34">
        <f>AG435*O435</f>
        <v/>
      </c>
      <c r="AI435" s="34">
        <f>AA435*O435</f>
        <v/>
      </c>
      <c r="AJ435" s="34">
        <f>AA435*P435</f>
        <v/>
      </c>
      <c r="AK435" s="34">
        <f>I435*AA435*P435</f>
        <v/>
      </c>
      <c r="AL435" s="34">
        <f>AJ435-AK435</f>
        <v/>
      </c>
      <c r="AM435" s="34">
        <f>Q435*K435</f>
        <v/>
      </c>
      <c r="AN435" s="34">
        <f>AH435+AL435+AM435</f>
        <v/>
      </c>
      <c r="AO435" s="34">
        <f>(AG435-AA435)*O435</f>
        <v/>
      </c>
      <c r="AP435" s="34">
        <f>W435*N435</f>
        <v/>
      </c>
      <c r="AQ435" s="34">
        <f>T435*N435</f>
        <v/>
      </c>
      <c r="AR435" s="34">
        <f>Z435*J436+0.5*Z435*(O435+P435)</f>
        <v/>
      </c>
      <c r="AS435" s="30">
        <f>(1+InflationRate)^(A435/12)</f>
        <v/>
      </c>
      <c r="AT435" s="29">
        <f>ExpenseAcq*M435+N435*ExpenseMaint/12*AS435</f>
        <v/>
      </c>
      <c r="AU435" s="29">
        <f>CommissionRate*AE435</f>
        <v/>
      </c>
      <c r="AV435" s="34">
        <f>AB436-AB435</f>
        <v/>
      </c>
      <c r="AW435" s="34">
        <f>AE435+AR435-AN435-AT435-AU435-AV435</f>
        <v/>
      </c>
      <c r="AX435" s="29">
        <f>LoadPremRate*E435*N435+AK435+AQ435-AU435-AT435</f>
        <v/>
      </c>
      <c r="AY435" s="34">
        <f>AP435-AO435</f>
        <v/>
      </c>
      <c r="AZ435" s="37">
        <f>(AW435-AX435-AY435)/MAX(1,ABS(AW435),ABS(AX435),ABS(AY435))</f>
        <v/>
      </c>
      <c r="BA435" s="37">
        <f>IF(OR(K435&gt;0,K436&gt;0),0,(AC436-(AC435+AF435-AQ435-AP435+AR435-AI435-AJ435-AM435))/MAX(1,ABS(AC435),ABS(AC436)))</f>
        <v/>
      </c>
      <c r="BB435" s="35">
        <f>(1+INDEX(DiscRateAnn,INT(A435/12)+1))^(1/12)-1</f>
        <v/>
      </c>
      <c r="BC435" s="31">
        <f>(1+BB435)^-A435</f>
        <v/>
      </c>
      <c r="BD435" s="34">
        <f>AW435*BC435</f>
        <v/>
      </c>
    </row>
    <row r="436">
      <c r="A436" s="27">
        <f>A435+1</f>
        <v/>
      </c>
      <c r="B436" s="28">
        <f>Duration0+A436</f>
        <v/>
      </c>
      <c r="C436" s="27">
        <f>INT(B436/12)</f>
        <v/>
      </c>
      <c r="D436" s="28">
        <f>AgeAtEntry+C436</f>
        <v/>
      </c>
      <c r="E436" s="29">
        <f>IF(PremiumType="SINGLE",IF(B436=0,PremiumPPInput,0),IF(B436&lt;12*PolicyTerm,PremiumPPInput,0))</f>
        <v/>
      </c>
      <c r="F436" s="30">
        <f>INDEX(MortRates,MATCH(MIN(D436,120),MortAges,0),MAX(MIN(C436,5),0)+1)</f>
        <v/>
      </c>
      <c r="G436" s="31">
        <f>1-(1-F436)^(1/12)</f>
        <v/>
      </c>
      <c r="H436" s="32">
        <f>MAX(LapseBase-LapseStep*C436,LapseFloor)</f>
        <v/>
      </c>
      <c r="I436" s="32">
        <f>IF(HasSurrCharge,INDEX(SurrRates,MIN(C436,SurrDurMax)+1,MATCH(SurrChargeID,SurrTypes,0)),0)</f>
        <v/>
      </c>
      <c r="J436" s="33">
        <f>N435-P435-O435</f>
        <v/>
      </c>
      <c r="K436" s="30">
        <f>IF(B436=12*PolicyTerm,J436,0)</f>
        <v/>
      </c>
      <c r="L436" s="33">
        <f>J436-K436</f>
        <v/>
      </c>
      <c r="M436" s="30">
        <f>IF(B436=0,PolicyCount,0)</f>
        <v/>
      </c>
      <c r="N436" s="33">
        <f>L436+M436</f>
        <v/>
      </c>
      <c r="O436" s="31">
        <f>N436*G436</f>
        <v/>
      </c>
      <c r="P436" s="33">
        <f>(N436-O436)*(1-(1-H436)^(1/12))</f>
        <v/>
      </c>
      <c r="Q436" s="34">
        <f>X435+Z435</f>
        <v/>
      </c>
      <c r="R436" s="29">
        <f>(1-LoadPremRate)*E436</f>
        <v/>
      </c>
      <c r="S436" s="34">
        <f>Q436+R436</f>
        <v/>
      </c>
      <c r="T436" s="29">
        <f>MaintFeeRateAnn/12*S436</f>
        <v/>
      </c>
      <c r="U436" s="29">
        <f>MAX(SumAssured-S436,0)</f>
        <v/>
      </c>
      <c r="V436" s="35">
        <f>CoiMultiple*G436</f>
        <v/>
      </c>
      <c r="W436" s="34">
        <f>V436*U436</f>
        <v/>
      </c>
      <c r="X436" s="34">
        <f>S436-T436-W436</f>
        <v/>
      </c>
      <c r="Y436" s="36">
        <f>EXP((Mu-0.5*Sigma^2)/12+Sigma*SQRT(1/12)*INDEX(NormRand,ScenID,A436+1))-1</f>
        <v/>
      </c>
      <c r="Z436" s="34">
        <f>Y436*X436</f>
        <v/>
      </c>
      <c r="AA436" s="34">
        <f>X436+0.5*Z436</f>
        <v/>
      </c>
      <c r="AB436" s="34">
        <f>Q436*J436</f>
        <v/>
      </c>
      <c r="AC436" s="34">
        <f>Q436*L436</f>
        <v/>
      </c>
      <c r="AD436" s="34">
        <f>S436*N436</f>
        <v/>
      </c>
      <c r="AE436" s="34">
        <f>E436*N436</f>
        <v/>
      </c>
      <c r="AF436" s="34">
        <f>R436*N436</f>
        <v/>
      </c>
      <c r="AG436" s="29">
        <f>MAX(SumAssured,AA436)</f>
        <v/>
      </c>
      <c r="AH436" s="34">
        <f>AG436*O436</f>
        <v/>
      </c>
      <c r="AI436" s="34">
        <f>AA436*O436</f>
        <v/>
      </c>
      <c r="AJ436" s="34">
        <f>AA436*P436</f>
        <v/>
      </c>
      <c r="AK436" s="34">
        <f>I436*AA436*P436</f>
        <v/>
      </c>
      <c r="AL436" s="34">
        <f>AJ436-AK436</f>
        <v/>
      </c>
      <c r="AM436" s="34">
        <f>Q436*K436</f>
        <v/>
      </c>
      <c r="AN436" s="34">
        <f>AH436+AL436+AM436</f>
        <v/>
      </c>
      <c r="AO436" s="34">
        <f>(AG436-AA436)*O436</f>
        <v/>
      </c>
      <c r="AP436" s="34">
        <f>W436*N436</f>
        <v/>
      </c>
      <c r="AQ436" s="34">
        <f>T436*N436</f>
        <v/>
      </c>
      <c r="AR436" s="34">
        <f>Z436*J437+0.5*Z436*(O436+P436)</f>
        <v/>
      </c>
      <c r="AS436" s="30">
        <f>(1+InflationRate)^(A436/12)</f>
        <v/>
      </c>
      <c r="AT436" s="29">
        <f>ExpenseAcq*M436+N436*ExpenseMaint/12*AS436</f>
        <v/>
      </c>
      <c r="AU436" s="29">
        <f>CommissionRate*AE436</f>
        <v/>
      </c>
      <c r="AV436" s="34">
        <f>AB437-AB436</f>
        <v/>
      </c>
      <c r="AW436" s="34">
        <f>AE436+AR436-AN436-AT436-AU436-AV436</f>
        <v/>
      </c>
      <c r="AX436" s="29">
        <f>LoadPremRate*E436*N436+AK436+AQ436-AU436-AT436</f>
        <v/>
      </c>
      <c r="AY436" s="34">
        <f>AP436-AO436</f>
        <v/>
      </c>
      <c r="AZ436" s="37">
        <f>(AW436-AX436-AY436)/MAX(1,ABS(AW436),ABS(AX436),ABS(AY436))</f>
        <v/>
      </c>
      <c r="BA436" s="37">
        <f>IF(OR(K436&gt;0,K437&gt;0),0,(AC437-(AC436+AF436-AQ436-AP436+AR436-AI436-AJ436-AM436))/MAX(1,ABS(AC436),ABS(AC437)))</f>
        <v/>
      </c>
      <c r="BB436" s="35">
        <f>(1+INDEX(DiscRateAnn,INT(A436/12)+1))^(1/12)-1</f>
        <v/>
      </c>
      <c r="BC436" s="31">
        <f>(1+BB436)^-A436</f>
        <v/>
      </c>
      <c r="BD436" s="34">
        <f>AW436*BC436</f>
        <v/>
      </c>
    </row>
    <row r="437">
      <c r="A437" s="27">
        <f>A436+1</f>
        <v/>
      </c>
      <c r="B437" s="28">
        <f>Duration0+A437</f>
        <v/>
      </c>
      <c r="C437" s="27">
        <f>INT(B437/12)</f>
        <v/>
      </c>
      <c r="D437" s="28">
        <f>AgeAtEntry+C437</f>
        <v/>
      </c>
      <c r="E437" s="29">
        <f>IF(PremiumType="SINGLE",IF(B437=0,PremiumPPInput,0),IF(B437&lt;12*PolicyTerm,PremiumPPInput,0))</f>
        <v/>
      </c>
      <c r="F437" s="30">
        <f>INDEX(MortRates,MATCH(MIN(D437,120),MortAges,0),MAX(MIN(C437,5),0)+1)</f>
        <v/>
      </c>
      <c r="G437" s="31">
        <f>1-(1-F437)^(1/12)</f>
        <v/>
      </c>
      <c r="H437" s="32">
        <f>MAX(LapseBase-LapseStep*C437,LapseFloor)</f>
        <v/>
      </c>
      <c r="I437" s="32">
        <f>IF(HasSurrCharge,INDEX(SurrRates,MIN(C437,SurrDurMax)+1,MATCH(SurrChargeID,SurrTypes,0)),0)</f>
        <v/>
      </c>
      <c r="J437" s="33">
        <f>N436-P436-O436</f>
        <v/>
      </c>
      <c r="K437" s="30">
        <f>IF(B437=12*PolicyTerm,J437,0)</f>
        <v/>
      </c>
      <c r="L437" s="33">
        <f>J437-K437</f>
        <v/>
      </c>
      <c r="M437" s="30">
        <f>IF(B437=0,PolicyCount,0)</f>
        <v/>
      </c>
      <c r="N437" s="33">
        <f>L437+M437</f>
        <v/>
      </c>
      <c r="O437" s="31">
        <f>N437*G437</f>
        <v/>
      </c>
      <c r="P437" s="33">
        <f>(N437-O437)*(1-(1-H437)^(1/12))</f>
        <v/>
      </c>
      <c r="Q437" s="34">
        <f>X436+Z436</f>
        <v/>
      </c>
      <c r="R437" s="29">
        <f>(1-LoadPremRate)*E437</f>
        <v/>
      </c>
      <c r="S437" s="34">
        <f>Q437+R437</f>
        <v/>
      </c>
      <c r="T437" s="29">
        <f>MaintFeeRateAnn/12*S437</f>
        <v/>
      </c>
      <c r="U437" s="29">
        <f>MAX(SumAssured-S437,0)</f>
        <v/>
      </c>
      <c r="V437" s="35">
        <f>CoiMultiple*G437</f>
        <v/>
      </c>
      <c r="W437" s="34">
        <f>V437*U437</f>
        <v/>
      </c>
      <c r="X437" s="34">
        <f>S437-T437-W437</f>
        <v/>
      </c>
      <c r="Y437" s="36">
        <f>EXP((Mu-0.5*Sigma^2)/12+Sigma*SQRT(1/12)*INDEX(NormRand,ScenID,A437+1))-1</f>
        <v/>
      </c>
      <c r="Z437" s="34">
        <f>Y437*X437</f>
        <v/>
      </c>
      <c r="AA437" s="34">
        <f>X437+0.5*Z437</f>
        <v/>
      </c>
      <c r="AB437" s="34">
        <f>Q437*J437</f>
        <v/>
      </c>
      <c r="AC437" s="34">
        <f>Q437*L437</f>
        <v/>
      </c>
      <c r="AD437" s="34">
        <f>S437*N437</f>
        <v/>
      </c>
      <c r="AE437" s="34">
        <f>E437*N437</f>
        <v/>
      </c>
      <c r="AF437" s="34">
        <f>R437*N437</f>
        <v/>
      </c>
      <c r="AG437" s="29">
        <f>MAX(SumAssured,AA437)</f>
        <v/>
      </c>
      <c r="AH437" s="34">
        <f>AG437*O437</f>
        <v/>
      </c>
      <c r="AI437" s="34">
        <f>AA437*O437</f>
        <v/>
      </c>
      <c r="AJ437" s="34">
        <f>AA437*P437</f>
        <v/>
      </c>
      <c r="AK437" s="34">
        <f>I437*AA437*P437</f>
        <v/>
      </c>
      <c r="AL437" s="34">
        <f>AJ437-AK437</f>
        <v/>
      </c>
      <c r="AM437" s="34">
        <f>Q437*K437</f>
        <v/>
      </c>
      <c r="AN437" s="34">
        <f>AH437+AL437+AM437</f>
        <v/>
      </c>
      <c r="AO437" s="34">
        <f>(AG437-AA437)*O437</f>
        <v/>
      </c>
      <c r="AP437" s="34">
        <f>W437*N437</f>
        <v/>
      </c>
      <c r="AQ437" s="34">
        <f>T437*N437</f>
        <v/>
      </c>
      <c r="AR437" s="34">
        <f>Z437*J438+0.5*Z437*(O437+P437)</f>
        <v/>
      </c>
      <c r="AS437" s="30">
        <f>(1+InflationRate)^(A437/12)</f>
        <v/>
      </c>
      <c r="AT437" s="29">
        <f>ExpenseAcq*M437+N437*ExpenseMaint/12*AS437</f>
        <v/>
      </c>
      <c r="AU437" s="29">
        <f>CommissionRate*AE437</f>
        <v/>
      </c>
      <c r="AV437" s="34">
        <f>AB438-AB437</f>
        <v/>
      </c>
      <c r="AW437" s="34">
        <f>AE437+AR437-AN437-AT437-AU437-AV437</f>
        <v/>
      </c>
      <c r="AX437" s="29">
        <f>LoadPremRate*E437*N437+AK437+AQ437-AU437-AT437</f>
        <v/>
      </c>
      <c r="AY437" s="34">
        <f>AP437-AO437</f>
        <v/>
      </c>
      <c r="AZ437" s="37">
        <f>(AW437-AX437-AY437)/MAX(1,ABS(AW437),ABS(AX437),ABS(AY437))</f>
        <v/>
      </c>
      <c r="BA437" s="37">
        <f>IF(OR(K437&gt;0,K438&gt;0),0,(AC438-(AC437+AF437-AQ437-AP437+AR437-AI437-AJ437-AM437))/MAX(1,ABS(AC437),ABS(AC438)))</f>
        <v/>
      </c>
      <c r="BB437" s="35">
        <f>(1+INDEX(DiscRateAnn,INT(A437/12)+1))^(1/12)-1</f>
        <v/>
      </c>
      <c r="BC437" s="31">
        <f>(1+BB437)^-A437</f>
        <v/>
      </c>
      <c r="BD437" s="34">
        <f>AW437*BC437</f>
        <v/>
      </c>
    </row>
    <row r="438">
      <c r="A438" s="27">
        <f>A437+1</f>
        <v/>
      </c>
      <c r="B438" s="28">
        <f>Duration0+A438</f>
        <v/>
      </c>
      <c r="C438" s="27">
        <f>INT(B438/12)</f>
        <v/>
      </c>
      <c r="D438" s="28">
        <f>AgeAtEntry+C438</f>
        <v/>
      </c>
      <c r="E438" s="29">
        <f>IF(PremiumType="SINGLE",IF(B438=0,PremiumPPInput,0),IF(B438&lt;12*PolicyTerm,PremiumPPInput,0))</f>
        <v/>
      </c>
      <c r="F438" s="30">
        <f>INDEX(MortRates,MATCH(MIN(D438,120),MortAges,0),MAX(MIN(C438,5),0)+1)</f>
        <v/>
      </c>
      <c r="G438" s="31">
        <f>1-(1-F438)^(1/12)</f>
        <v/>
      </c>
      <c r="H438" s="32">
        <f>MAX(LapseBase-LapseStep*C438,LapseFloor)</f>
        <v/>
      </c>
      <c r="I438" s="32">
        <f>IF(HasSurrCharge,INDEX(SurrRates,MIN(C438,SurrDurMax)+1,MATCH(SurrChargeID,SurrTypes,0)),0)</f>
        <v/>
      </c>
      <c r="J438" s="33">
        <f>N437-P437-O437</f>
        <v/>
      </c>
      <c r="K438" s="30">
        <f>IF(B438=12*PolicyTerm,J438,0)</f>
        <v/>
      </c>
      <c r="L438" s="33">
        <f>J438-K438</f>
        <v/>
      </c>
      <c r="M438" s="30">
        <f>IF(B438=0,PolicyCount,0)</f>
        <v/>
      </c>
      <c r="N438" s="33">
        <f>L438+M438</f>
        <v/>
      </c>
      <c r="O438" s="31">
        <f>N438*G438</f>
        <v/>
      </c>
      <c r="P438" s="33">
        <f>(N438-O438)*(1-(1-H438)^(1/12))</f>
        <v/>
      </c>
      <c r="Q438" s="34">
        <f>X437+Z437</f>
        <v/>
      </c>
      <c r="R438" s="29">
        <f>(1-LoadPremRate)*E438</f>
        <v/>
      </c>
      <c r="S438" s="34">
        <f>Q438+R438</f>
        <v/>
      </c>
      <c r="T438" s="29">
        <f>MaintFeeRateAnn/12*S438</f>
        <v/>
      </c>
      <c r="U438" s="29">
        <f>MAX(SumAssured-S438,0)</f>
        <v/>
      </c>
      <c r="V438" s="35">
        <f>CoiMultiple*G438</f>
        <v/>
      </c>
      <c r="W438" s="34">
        <f>V438*U438</f>
        <v/>
      </c>
      <c r="X438" s="34">
        <f>S438-T438-W438</f>
        <v/>
      </c>
      <c r="Y438" s="36">
        <f>EXP((Mu-0.5*Sigma^2)/12+Sigma*SQRT(1/12)*INDEX(NormRand,ScenID,A438+1))-1</f>
        <v/>
      </c>
      <c r="Z438" s="34">
        <f>Y438*X438</f>
        <v/>
      </c>
      <c r="AA438" s="34">
        <f>X438+0.5*Z438</f>
        <v/>
      </c>
      <c r="AB438" s="34">
        <f>Q438*J438</f>
        <v/>
      </c>
      <c r="AC438" s="34">
        <f>Q438*L438</f>
        <v/>
      </c>
      <c r="AD438" s="34">
        <f>S438*N438</f>
        <v/>
      </c>
      <c r="AE438" s="34">
        <f>E438*N438</f>
        <v/>
      </c>
      <c r="AF438" s="34">
        <f>R438*N438</f>
        <v/>
      </c>
      <c r="AG438" s="29">
        <f>MAX(SumAssured,AA438)</f>
        <v/>
      </c>
      <c r="AH438" s="34">
        <f>AG438*O438</f>
        <v/>
      </c>
      <c r="AI438" s="34">
        <f>AA438*O438</f>
        <v/>
      </c>
      <c r="AJ438" s="34">
        <f>AA438*P438</f>
        <v/>
      </c>
      <c r="AK438" s="34">
        <f>I438*AA438*P438</f>
        <v/>
      </c>
      <c r="AL438" s="34">
        <f>AJ438-AK438</f>
        <v/>
      </c>
      <c r="AM438" s="34">
        <f>Q438*K438</f>
        <v/>
      </c>
      <c r="AN438" s="34">
        <f>AH438+AL438+AM438</f>
        <v/>
      </c>
      <c r="AO438" s="34">
        <f>(AG438-AA438)*O438</f>
        <v/>
      </c>
      <c r="AP438" s="34">
        <f>W438*N438</f>
        <v/>
      </c>
      <c r="AQ438" s="34">
        <f>T438*N438</f>
        <v/>
      </c>
      <c r="AR438" s="34">
        <f>Z438*J439+0.5*Z438*(O438+P438)</f>
        <v/>
      </c>
      <c r="AS438" s="30">
        <f>(1+InflationRate)^(A438/12)</f>
        <v/>
      </c>
      <c r="AT438" s="29">
        <f>ExpenseAcq*M438+N438*ExpenseMaint/12*AS438</f>
        <v/>
      </c>
      <c r="AU438" s="29">
        <f>CommissionRate*AE438</f>
        <v/>
      </c>
      <c r="AV438" s="34">
        <f>AB439-AB438</f>
        <v/>
      </c>
      <c r="AW438" s="34">
        <f>AE438+AR438-AN438-AT438-AU438-AV438</f>
        <v/>
      </c>
      <c r="AX438" s="29">
        <f>LoadPremRate*E438*N438+AK438+AQ438-AU438-AT438</f>
        <v/>
      </c>
      <c r="AY438" s="34">
        <f>AP438-AO438</f>
        <v/>
      </c>
      <c r="AZ438" s="37">
        <f>(AW438-AX438-AY438)/MAX(1,ABS(AW438),ABS(AX438),ABS(AY438))</f>
        <v/>
      </c>
      <c r="BA438" s="37">
        <f>IF(OR(K438&gt;0,K439&gt;0),0,(AC439-(AC438+AF438-AQ438-AP438+AR438-AI438-AJ438-AM438))/MAX(1,ABS(AC438),ABS(AC439)))</f>
        <v/>
      </c>
      <c r="BB438" s="35">
        <f>(1+INDEX(DiscRateAnn,INT(A438/12)+1))^(1/12)-1</f>
        <v/>
      </c>
      <c r="BC438" s="31">
        <f>(1+BB438)^-A438</f>
        <v/>
      </c>
      <c r="BD438" s="34">
        <f>AW438*BC438</f>
        <v/>
      </c>
    </row>
    <row r="439">
      <c r="A439" s="27">
        <f>A438+1</f>
        <v/>
      </c>
      <c r="B439" s="28">
        <f>Duration0+A439</f>
        <v/>
      </c>
      <c r="C439" s="27">
        <f>INT(B439/12)</f>
        <v/>
      </c>
      <c r="D439" s="28">
        <f>AgeAtEntry+C439</f>
        <v/>
      </c>
      <c r="E439" s="29">
        <f>IF(PremiumType="SINGLE",IF(B439=0,PremiumPPInput,0),IF(B439&lt;12*PolicyTerm,PremiumPPInput,0))</f>
        <v/>
      </c>
      <c r="F439" s="30">
        <f>INDEX(MortRates,MATCH(MIN(D439,120),MortAges,0),MAX(MIN(C439,5),0)+1)</f>
        <v/>
      </c>
      <c r="G439" s="31">
        <f>1-(1-F439)^(1/12)</f>
        <v/>
      </c>
      <c r="H439" s="32">
        <f>MAX(LapseBase-LapseStep*C439,LapseFloor)</f>
        <v/>
      </c>
      <c r="I439" s="32">
        <f>IF(HasSurrCharge,INDEX(SurrRates,MIN(C439,SurrDurMax)+1,MATCH(SurrChargeID,SurrTypes,0)),0)</f>
        <v/>
      </c>
      <c r="J439" s="33">
        <f>N438-P438-O438</f>
        <v/>
      </c>
      <c r="K439" s="30">
        <f>IF(B439=12*PolicyTerm,J439,0)</f>
        <v/>
      </c>
      <c r="L439" s="33">
        <f>J439-K439</f>
        <v/>
      </c>
      <c r="M439" s="30">
        <f>IF(B439=0,PolicyCount,0)</f>
        <v/>
      </c>
      <c r="N439" s="33">
        <f>L439+M439</f>
        <v/>
      </c>
      <c r="O439" s="31">
        <f>N439*G439</f>
        <v/>
      </c>
      <c r="P439" s="33">
        <f>(N439-O439)*(1-(1-H439)^(1/12))</f>
        <v/>
      </c>
      <c r="Q439" s="34">
        <f>X438+Z438</f>
        <v/>
      </c>
      <c r="R439" s="29">
        <f>(1-LoadPremRate)*E439</f>
        <v/>
      </c>
      <c r="S439" s="34">
        <f>Q439+R439</f>
        <v/>
      </c>
      <c r="T439" s="29">
        <f>MaintFeeRateAnn/12*S439</f>
        <v/>
      </c>
      <c r="U439" s="29">
        <f>MAX(SumAssured-S439,0)</f>
        <v/>
      </c>
      <c r="V439" s="35">
        <f>CoiMultiple*G439</f>
        <v/>
      </c>
      <c r="W439" s="34">
        <f>V439*U439</f>
        <v/>
      </c>
      <c r="X439" s="34">
        <f>S439-T439-W439</f>
        <v/>
      </c>
      <c r="Y439" s="36">
        <f>EXP((Mu-0.5*Sigma^2)/12+Sigma*SQRT(1/12)*INDEX(NormRand,ScenID,A439+1))-1</f>
        <v/>
      </c>
      <c r="Z439" s="34">
        <f>Y439*X439</f>
        <v/>
      </c>
      <c r="AA439" s="34">
        <f>X439+0.5*Z439</f>
        <v/>
      </c>
      <c r="AB439" s="34">
        <f>Q439*J439</f>
        <v/>
      </c>
      <c r="AC439" s="34">
        <f>Q439*L439</f>
        <v/>
      </c>
      <c r="AD439" s="34">
        <f>S439*N439</f>
        <v/>
      </c>
      <c r="AE439" s="34">
        <f>E439*N439</f>
        <v/>
      </c>
      <c r="AF439" s="34">
        <f>R439*N439</f>
        <v/>
      </c>
      <c r="AG439" s="29">
        <f>MAX(SumAssured,AA439)</f>
        <v/>
      </c>
      <c r="AH439" s="34">
        <f>AG439*O439</f>
        <v/>
      </c>
      <c r="AI439" s="34">
        <f>AA439*O439</f>
        <v/>
      </c>
      <c r="AJ439" s="34">
        <f>AA439*P439</f>
        <v/>
      </c>
      <c r="AK439" s="34">
        <f>I439*AA439*P439</f>
        <v/>
      </c>
      <c r="AL439" s="34">
        <f>AJ439-AK439</f>
        <v/>
      </c>
      <c r="AM439" s="34">
        <f>Q439*K439</f>
        <v/>
      </c>
      <c r="AN439" s="34">
        <f>AH439+AL439+AM439</f>
        <v/>
      </c>
      <c r="AO439" s="34">
        <f>(AG439-AA439)*O439</f>
        <v/>
      </c>
      <c r="AP439" s="34">
        <f>W439*N439</f>
        <v/>
      </c>
      <c r="AQ439" s="34">
        <f>T439*N439</f>
        <v/>
      </c>
      <c r="AR439" s="34">
        <f>Z439*J440+0.5*Z439*(O439+P439)</f>
        <v/>
      </c>
      <c r="AS439" s="30">
        <f>(1+InflationRate)^(A439/12)</f>
        <v/>
      </c>
      <c r="AT439" s="29">
        <f>ExpenseAcq*M439+N439*ExpenseMaint/12*AS439</f>
        <v/>
      </c>
      <c r="AU439" s="29">
        <f>CommissionRate*AE439</f>
        <v/>
      </c>
      <c r="AV439" s="34">
        <f>AB440-AB439</f>
        <v/>
      </c>
      <c r="AW439" s="34">
        <f>AE439+AR439-AN439-AT439-AU439-AV439</f>
        <v/>
      </c>
      <c r="AX439" s="29">
        <f>LoadPremRate*E439*N439+AK439+AQ439-AU439-AT439</f>
        <v/>
      </c>
      <c r="AY439" s="34">
        <f>AP439-AO439</f>
        <v/>
      </c>
      <c r="AZ439" s="37">
        <f>(AW439-AX439-AY439)/MAX(1,ABS(AW439),ABS(AX439),ABS(AY439))</f>
        <v/>
      </c>
      <c r="BA439" s="37">
        <f>IF(OR(K439&gt;0,K440&gt;0),0,(AC440-(AC439+AF439-AQ439-AP439+AR439-AI439-AJ439-AM439))/MAX(1,ABS(AC439),ABS(AC440)))</f>
        <v/>
      </c>
      <c r="BB439" s="35">
        <f>(1+INDEX(DiscRateAnn,INT(A439/12)+1))^(1/12)-1</f>
        <v/>
      </c>
      <c r="BC439" s="31">
        <f>(1+BB439)^-A439</f>
        <v/>
      </c>
      <c r="BD439" s="34">
        <f>AW439*BC439</f>
        <v/>
      </c>
    </row>
    <row r="440">
      <c r="A440" s="27">
        <f>A439+1</f>
        <v/>
      </c>
      <c r="B440" s="28">
        <f>Duration0+A440</f>
        <v/>
      </c>
      <c r="C440" s="27">
        <f>INT(B440/12)</f>
        <v/>
      </c>
      <c r="D440" s="28">
        <f>AgeAtEntry+C440</f>
        <v/>
      </c>
      <c r="E440" s="29">
        <f>IF(PremiumType="SINGLE",IF(B440=0,PremiumPPInput,0),IF(B440&lt;12*PolicyTerm,PremiumPPInput,0))</f>
        <v/>
      </c>
      <c r="F440" s="30">
        <f>INDEX(MortRates,MATCH(MIN(D440,120),MortAges,0),MAX(MIN(C440,5),0)+1)</f>
        <v/>
      </c>
      <c r="G440" s="31">
        <f>1-(1-F440)^(1/12)</f>
        <v/>
      </c>
      <c r="H440" s="32">
        <f>MAX(LapseBase-LapseStep*C440,LapseFloor)</f>
        <v/>
      </c>
      <c r="I440" s="32">
        <f>IF(HasSurrCharge,INDEX(SurrRates,MIN(C440,SurrDurMax)+1,MATCH(SurrChargeID,SurrTypes,0)),0)</f>
        <v/>
      </c>
      <c r="J440" s="33">
        <f>N439-P439-O439</f>
        <v/>
      </c>
      <c r="K440" s="30">
        <f>IF(B440=12*PolicyTerm,J440,0)</f>
        <v/>
      </c>
      <c r="L440" s="33">
        <f>J440-K440</f>
        <v/>
      </c>
      <c r="M440" s="30">
        <f>IF(B440=0,PolicyCount,0)</f>
        <v/>
      </c>
      <c r="N440" s="33">
        <f>L440+M440</f>
        <v/>
      </c>
      <c r="O440" s="31">
        <f>N440*G440</f>
        <v/>
      </c>
      <c r="P440" s="33">
        <f>(N440-O440)*(1-(1-H440)^(1/12))</f>
        <v/>
      </c>
      <c r="Q440" s="34">
        <f>X439+Z439</f>
        <v/>
      </c>
      <c r="R440" s="29">
        <f>(1-LoadPremRate)*E440</f>
        <v/>
      </c>
      <c r="S440" s="34">
        <f>Q440+R440</f>
        <v/>
      </c>
      <c r="T440" s="29">
        <f>MaintFeeRateAnn/12*S440</f>
        <v/>
      </c>
      <c r="U440" s="29">
        <f>MAX(SumAssured-S440,0)</f>
        <v/>
      </c>
      <c r="V440" s="35">
        <f>CoiMultiple*G440</f>
        <v/>
      </c>
      <c r="W440" s="34">
        <f>V440*U440</f>
        <v/>
      </c>
      <c r="X440" s="34">
        <f>S440-T440-W440</f>
        <v/>
      </c>
      <c r="Y440" s="36">
        <f>EXP((Mu-0.5*Sigma^2)/12+Sigma*SQRT(1/12)*INDEX(NormRand,ScenID,A440+1))-1</f>
        <v/>
      </c>
      <c r="Z440" s="34">
        <f>Y440*X440</f>
        <v/>
      </c>
      <c r="AA440" s="34">
        <f>X440+0.5*Z440</f>
        <v/>
      </c>
      <c r="AB440" s="34">
        <f>Q440*J440</f>
        <v/>
      </c>
      <c r="AC440" s="34">
        <f>Q440*L440</f>
        <v/>
      </c>
      <c r="AD440" s="34">
        <f>S440*N440</f>
        <v/>
      </c>
      <c r="AE440" s="34">
        <f>E440*N440</f>
        <v/>
      </c>
      <c r="AF440" s="34">
        <f>R440*N440</f>
        <v/>
      </c>
      <c r="AG440" s="29">
        <f>MAX(SumAssured,AA440)</f>
        <v/>
      </c>
      <c r="AH440" s="34">
        <f>AG440*O440</f>
        <v/>
      </c>
      <c r="AI440" s="34">
        <f>AA440*O440</f>
        <v/>
      </c>
      <c r="AJ440" s="34">
        <f>AA440*P440</f>
        <v/>
      </c>
      <c r="AK440" s="34">
        <f>I440*AA440*P440</f>
        <v/>
      </c>
      <c r="AL440" s="34">
        <f>AJ440-AK440</f>
        <v/>
      </c>
      <c r="AM440" s="34">
        <f>Q440*K440</f>
        <v/>
      </c>
      <c r="AN440" s="34">
        <f>AH440+AL440+AM440</f>
        <v/>
      </c>
      <c r="AO440" s="34">
        <f>(AG440-AA440)*O440</f>
        <v/>
      </c>
      <c r="AP440" s="34">
        <f>W440*N440</f>
        <v/>
      </c>
      <c r="AQ440" s="34">
        <f>T440*N440</f>
        <v/>
      </c>
      <c r="AR440" s="34">
        <f>Z440*J441+0.5*Z440*(O440+P440)</f>
        <v/>
      </c>
      <c r="AS440" s="30">
        <f>(1+InflationRate)^(A440/12)</f>
        <v/>
      </c>
      <c r="AT440" s="29">
        <f>ExpenseAcq*M440+N440*ExpenseMaint/12*AS440</f>
        <v/>
      </c>
      <c r="AU440" s="29">
        <f>CommissionRate*AE440</f>
        <v/>
      </c>
      <c r="AV440" s="34">
        <f>AB441-AB440</f>
        <v/>
      </c>
      <c r="AW440" s="34">
        <f>AE440+AR440-AN440-AT440-AU440-AV440</f>
        <v/>
      </c>
      <c r="AX440" s="29">
        <f>LoadPremRate*E440*N440+AK440+AQ440-AU440-AT440</f>
        <v/>
      </c>
      <c r="AY440" s="34">
        <f>AP440-AO440</f>
        <v/>
      </c>
      <c r="AZ440" s="37">
        <f>(AW440-AX440-AY440)/MAX(1,ABS(AW440),ABS(AX440),ABS(AY440))</f>
        <v/>
      </c>
      <c r="BA440" s="37">
        <f>IF(OR(K440&gt;0,K441&gt;0),0,(AC441-(AC440+AF440-AQ440-AP440+AR440-AI440-AJ440-AM440))/MAX(1,ABS(AC440),ABS(AC441)))</f>
        <v/>
      </c>
      <c r="BB440" s="35">
        <f>(1+INDEX(DiscRateAnn,INT(A440/12)+1))^(1/12)-1</f>
        <v/>
      </c>
      <c r="BC440" s="31">
        <f>(1+BB440)^-A440</f>
        <v/>
      </c>
      <c r="BD440" s="34">
        <f>AW440*BC440</f>
        <v/>
      </c>
    </row>
    <row r="441">
      <c r="A441" s="27">
        <f>A440+1</f>
        <v/>
      </c>
      <c r="B441" s="28">
        <f>Duration0+A441</f>
        <v/>
      </c>
      <c r="C441" s="27">
        <f>INT(B441/12)</f>
        <v/>
      </c>
      <c r="D441" s="28">
        <f>AgeAtEntry+C441</f>
        <v/>
      </c>
      <c r="E441" s="29">
        <f>IF(PremiumType="SINGLE",IF(B441=0,PremiumPPInput,0),IF(B441&lt;12*PolicyTerm,PremiumPPInput,0))</f>
        <v/>
      </c>
      <c r="F441" s="30">
        <f>INDEX(MortRates,MATCH(MIN(D441,120),MortAges,0),MAX(MIN(C441,5),0)+1)</f>
        <v/>
      </c>
      <c r="G441" s="31">
        <f>1-(1-F441)^(1/12)</f>
        <v/>
      </c>
      <c r="H441" s="32">
        <f>MAX(LapseBase-LapseStep*C441,LapseFloor)</f>
        <v/>
      </c>
      <c r="I441" s="32">
        <f>IF(HasSurrCharge,INDEX(SurrRates,MIN(C441,SurrDurMax)+1,MATCH(SurrChargeID,SurrTypes,0)),0)</f>
        <v/>
      </c>
      <c r="J441" s="33">
        <f>N440-P440-O440</f>
        <v/>
      </c>
      <c r="K441" s="30">
        <f>IF(B441=12*PolicyTerm,J441,0)</f>
        <v/>
      </c>
      <c r="L441" s="33">
        <f>J441-K441</f>
        <v/>
      </c>
      <c r="M441" s="30">
        <f>IF(B441=0,PolicyCount,0)</f>
        <v/>
      </c>
      <c r="N441" s="33">
        <f>L441+M441</f>
        <v/>
      </c>
      <c r="O441" s="31">
        <f>N441*G441</f>
        <v/>
      </c>
      <c r="P441" s="33">
        <f>(N441-O441)*(1-(1-H441)^(1/12))</f>
        <v/>
      </c>
      <c r="Q441" s="34">
        <f>X440+Z440</f>
        <v/>
      </c>
      <c r="R441" s="29">
        <f>(1-LoadPremRate)*E441</f>
        <v/>
      </c>
      <c r="S441" s="34">
        <f>Q441+R441</f>
        <v/>
      </c>
      <c r="T441" s="29">
        <f>MaintFeeRateAnn/12*S441</f>
        <v/>
      </c>
      <c r="U441" s="29">
        <f>MAX(SumAssured-S441,0)</f>
        <v/>
      </c>
      <c r="V441" s="35">
        <f>CoiMultiple*G441</f>
        <v/>
      </c>
      <c r="W441" s="34">
        <f>V441*U441</f>
        <v/>
      </c>
      <c r="X441" s="34">
        <f>S441-T441-W441</f>
        <v/>
      </c>
      <c r="Y441" s="36">
        <f>EXP((Mu-0.5*Sigma^2)/12+Sigma*SQRT(1/12)*INDEX(NormRand,ScenID,A441+1))-1</f>
        <v/>
      </c>
      <c r="Z441" s="34">
        <f>Y441*X441</f>
        <v/>
      </c>
      <c r="AA441" s="34">
        <f>X441+0.5*Z441</f>
        <v/>
      </c>
      <c r="AB441" s="34">
        <f>Q441*J441</f>
        <v/>
      </c>
      <c r="AC441" s="34">
        <f>Q441*L441</f>
        <v/>
      </c>
      <c r="AD441" s="34">
        <f>S441*N441</f>
        <v/>
      </c>
      <c r="AE441" s="34">
        <f>E441*N441</f>
        <v/>
      </c>
      <c r="AF441" s="34">
        <f>R441*N441</f>
        <v/>
      </c>
      <c r="AG441" s="29">
        <f>MAX(SumAssured,AA441)</f>
        <v/>
      </c>
      <c r="AH441" s="34">
        <f>AG441*O441</f>
        <v/>
      </c>
      <c r="AI441" s="34">
        <f>AA441*O441</f>
        <v/>
      </c>
      <c r="AJ441" s="34">
        <f>AA441*P441</f>
        <v/>
      </c>
      <c r="AK441" s="34">
        <f>I441*AA441*P441</f>
        <v/>
      </c>
      <c r="AL441" s="34">
        <f>AJ441-AK441</f>
        <v/>
      </c>
      <c r="AM441" s="34">
        <f>Q441*K441</f>
        <v/>
      </c>
      <c r="AN441" s="34">
        <f>AH441+AL441+AM441</f>
        <v/>
      </c>
      <c r="AO441" s="34">
        <f>(AG441-AA441)*O441</f>
        <v/>
      </c>
      <c r="AP441" s="34">
        <f>W441*N441</f>
        <v/>
      </c>
      <c r="AQ441" s="34">
        <f>T441*N441</f>
        <v/>
      </c>
      <c r="AR441" s="34">
        <f>Z441*J442+0.5*Z441*(O441+P441)</f>
        <v/>
      </c>
      <c r="AS441" s="30">
        <f>(1+InflationRate)^(A441/12)</f>
        <v/>
      </c>
      <c r="AT441" s="29">
        <f>ExpenseAcq*M441+N441*ExpenseMaint/12*AS441</f>
        <v/>
      </c>
      <c r="AU441" s="29">
        <f>CommissionRate*AE441</f>
        <v/>
      </c>
      <c r="AV441" s="34">
        <f>AB442-AB441</f>
        <v/>
      </c>
      <c r="AW441" s="34">
        <f>AE441+AR441-AN441-AT441-AU441-AV441</f>
        <v/>
      </c>
      <c r="AX441" s="29">
        <f>LoadPremRate*E441*N441+AK441+AQ441-AU441-AT441</f>
        <v/>
      </c>
      <c r="AY441" s="34">
        <f>AP441-AO441</f>
        <v/>
      </c>
      <c r="AZ441" s="37">
        <f>(AW441-AX441-AY441)/MAX(1,ABS(AW441),ABS(AX441),ABS(AY441))</f>
        <v/>
      </c>
      <c r="BA441" s="37">
        <f>IF(OR(K441&gt;0,K442&gt;0),0,(AC442-(AC441+AF441-AQ441-AP441+AR441-AI441-AJ441-AM441))/MAX(1,ABS(AC441),ABS(AC442)))</f>
        <v/>
      </c>
      <c r="BB441" s="35">
        <f>(1+INDEX(DiscRateAnn,INT(A441/12)+1))^(1/12)-1</f>
        <v/>
      </c>
      <c r="BC441" s="31">
        <f>(1+BB441)^-A441</f>
        <v/>
      </c>
      <c r="BD441" s="34">
        <f>AW441*BC441</f>
        <v/>
      </c>
    </row>
    <row r="442">
      <c r="A442" s="27">
        <f>A441+1</f>
        <v/>
      </c>
      <c r="B442" s="28">
        <f>Duration0+A442</f>
        <v/>
      </c>
      <c r="C442" s="27">
        <f>INT(B442/12)</f>
        <v/>
      </c>
      <c r="D442" s="28">
        <f>AgeAtEntry+C442</f>
        <v/>
      </c>
      <c r="E442" s="29">
        <f>IF(PremiumType="SINGLE",IF(B442=0,PremiumPPInput,0),IF(B442&lt;12*PolicyTerm,PremiumPPInput,0))</f>
        <v/>
      </c>
      <c r="F442" s="30">
        <f>INDEX(MortRates,MATCH(MIN(D442,120),MortAges,0),MAX(MIN(C442,5),0)+1)</f>
        <v/>
      </c>
      <c r="G442" s="31">
        <f>1-(1-F442)^(1/12)</f>
        <v/>
      </c>
      <c r="H442" s="32">
        <f>MAX(LapseBase-LapseStep*C442,LapseFloor)</f>
        <v/>
      </c>
      <c r="I442" s="32">
        <f>IF(HasSurrCharge,INDEX(SurrRates,MIN(C442,SurrDurMax)+1,MATCH(SurrChargeID,SurrTypes,0)),0)</f>
        <v/>
      </c>
      <c r="J442" s="33">
        <f>N441-P441-O441</f>
        <v/>
      </c>
      <c r="K442" s="30">
        <f>IF(B442=12*PolicyTerm,J442,0)</f>
        <v/>
      </c>
      <c r="L442" s="33">
        <f>J442-K442</f>
        <v/>
      </c>
      <c r="M442" s="30">
        <f>IF(B442=0,PolicyCount,0)</f>
        <v/>
      </c>
      <c r="N442" s="33">
        <f>L442+M442</f>
        <v/>
      </c>
      <c r="O442" s="31">
        <f>N442*G442</f>
        <v/>
      </c>
      <c r="P442" s="33">
        <f>(N442-O442)*(1-(1-H442)^(1/12))</f>
        <v/>
      </c>
      <c r="Q442" s="34">
        <f>X441+Z441</f>
        <v/>
      </c>
      <c r="R442" s="29">
        <f>(1-LoadPremRate)*E442</f>
        <v/>
      </c>
      <c r="S442" s="34">
        <f>Q442+R442</f>
        <v/>
      </c>
      <c r="T442" s="29">
        <f>MaintFeeRateAnn/12*S442</f>
        <v/>
      </c>
      <c r="U442" s="29">
        <f>MAX(SumAssured-S442,0)</f>
        <v/>
      </c>
      <c r="V442" s="35">
        <f>CoiMultiple*G442</f>
        <v/>
      </c>
      <c r="W442" s="34">
        <f>V442*U442</f>
        <v/>
      </c>
      <c r="X442" s="34">
        <f>S442-T442-W442</f>
        <v/>
      </c>
      <c r="Y442" s="36">
        <f>EXP((Mu-0.5*Sigma^2)/12+Sigma*SQRT(1/12)*INDEX(NormRand,ScenID,A442+1))-1</f>
        <v/>
      </c>
      <c r="Z442" s="34">
        <f>Y442*X442</f>
        <v/>
      </c>
      <c r="AA442" s="34">
        <f>X442+0.5*Z442</f>
        <v/>
      </c>
      <c r="AB442" s="34">
        <f>Q442*J442</f>
        <v/>
      </c>
      <c r="AC442" s="34">
        <f>Q442*L442</f>
        <v/>
      </c>
      <c r="AD442" s="34">
        <f>S442*N442</f>
        <v/>
      </c>
      <c r="AE442" s="34">
        <f>E442*N442</f>
        <v/>
      </c>
      <c r="AF442" s="34">
        <f>R442*N442</f>
        <v/>
      </c>
      <c r="AG442" s="29">
        <f>MAX(SumAssured,AA442)</f>
        <v/>
      </c>
      <c r="AH442" s="34">
        <f>AG442*O442</f>
        <v/>
      </c>
      <c r="AI442" s="34">
        <f>AA442*O442</f>
        <v/>
      </c>
      <c r="AJ442" s="34">
        <f>AA442*P442</f>
        <v/>
      </c>
      <c r="AK442" s="34">
        <f>I442*AA442*P442</f>
        <v/>
      </c>
      <c r="AL442" s="34">
        <f>AJ442-AK442</f>
        <v/>
      </c>
      <c r="AM442" s="34">
        <f>Q442*K442</f>
        <v/>
      </c>
      <c r="AN442" s="34">
        <f>AH442+AL442+AM442</f>
        <v/>
      </c>
      <c r="AO442" s="34">
        <f>(AG442-AA442)*O442</f>
        <v/>
      </c>
      <c r="AP442" s="34">
        <f>W442*N442</f>
        <v/>
      </c>
      <c r="AQ442" s="34">
        <f>T442*N442</f>
        <v/>
      </c>
      <c r="AR442" s="34">
        <f>Z442*J443+0.5*Z442*(O442+P442)</f>
        <v/>
      </c>
      <c r="AS442" s="30">
        <f>(1+InflationRate)^(A442/12)</f>
        <v/>
      </c>
      <c r="AT442" s="29">
        <f>ExpenseAcq*M442+N442*ExpenseMaint/12*AS442</f>
        <v/>
      </c>
      <c r="AU442" s="29">
        <f>CommissionRate*AE442</f>
        <v/>
      </c>
      <c r="AV442" s="34">
        <f>AB443-AB442</f>
        <v/>
      </c>
      <c r="AW442" s="34">
        <f>AE442+AR442-AN442-AT442-AU442-AV442</f>
        <v/>
      </c>
      <c r="AX442" s="29">
        <f>LoadPremRate*E442*N442+AK442+AQ442-AU442-AT442</f>
        <v/>
      </c>
      <c r="AY442" s="34">
        <f>AP442-AO442</f>
        <v/>
      </c>
      <c r="AZ442" s="37">
        <f>(AW442-AX442-AY442)/MAX(1,ABS(AW442),ABS(AX442),ABS(AY442))</f>
        <v/>
      </c>
      <c r="BA442" s="37">
        <f>IF(OR(K442&gt;0,K443&gt;0),0,(AC443-(AC442+AF442-AQ442-AP442+AR442-AI442-AJ442-AM442))/MAX(1,ABS(AC442),ABS(AC443)))</f>
        <v/>
      </c>
      <c r="BB442" s="35">
        <f>(1+INDEX(DiscRateAnn,INT(A442/12)+1))^(1/12)-1</f>
        <v/>
      </c>
      <c r="BC442" s="31">
        <f>(1+BB442)^-A442</f>
        <v/>
      </c>
      <c r="BD442" s="34">
        <f>AW442*BC442</f>
        <v/>
      </c>
    </row>
    <row r="443">
      <c r="A443" s="27">
        <f>A442+1</f>
        <v/>
      </c>
      <c r="B443" s="28">
        <f>Duration0+A443</f>
        <v/>
      </c>
      <c r="C443" s="27">
        <f>INT(B443/12)</f>
        <v/>
      </c>
      <c r="D443" s="28">
        <f>AgeAtEntry+C443</f>
        <v/>
      </c>
      <c r="E443" s="29">
        <f>IF(PremiumType="SINGLE",IF(B443=0,PremiumPPInput,0),IF(B443&lt;12*PolicyTerm,PremiumPPInput,0))</f>
        <v/>
      </c>
      <c r="F443" s="30">
        <f>INDEX(MortRates,MATCH(MIN(D443,120),MortAges,0),MAX(MIN(C443,5),0)+1)</f>
        <v/>
      </c>
      <c r="G443" s="31">
        <f>1-(1-F443)^(1/12)</f>
        <v/>
      </c>
      <c r="H443" s="32">
        <f>MAX(LapseBase-LapseStep*C443,LapseFloor)</f>
        <v/>
      </c>
      <c r="I443" s="32">
        <f>IF(HasSurrCharge,INDEX(SurrRates,MIN(C443,SurrDurMax)+1,MATCH(SurrChargeID,SurrTypes,0)),0)</f>
        <v/>
      </c>
      <c r="J443" s="33">
        <f>N442-P442-O442</f>
        <v/>
      </c>
      <c r="K443" s="30">
        <f>IF(B443=12*PolicyTerm,J443,0)</f>
        <v/>
      </c>
      <c r="L443" s="33">
        <f>J443-K443</f>
        <v/>
      </c>
      <c r="M443" s="30">
        <f>IF(B443=0,PolicyCount,0)</f>
        <v/>
      </c>
      <c r="N443" s="33">
        <f>L443+M443</f>
        <v/>
      </c>
      <c r="O443" s="31">
        <f>N443*G443</f>
        <v/>
      </c>
      <c r="P443" s="33">
        <f>(N443-O443)*(1-(1-H443)^(1/12))</f>
        <v/>
      </c>
      <c r="Q443" s="34">
        <f>X442+Z442</f>
        <v/>
      </c>
      <c r="R443" s="29">
        <f>(1-LoadPremRate)*E443</f>
        <v/>
      </c>
      <c r="S443" s="34">
        <f>Q443+R443</f>
        <v/>
      </c>
      <c r="T443" s="29">
        <f>MaintFeeRateAnn/12*S443</f>
        <v/>
      </c>
      <c r="U443" s="29">
        <f>MAX(SumAssured-S443,0)</f>
        <v/>
      </c>
      <c r="V443" s="35">
        <f>CoiMultiple*G443</f>
        <v/>
      </c>
      <c r="W443" s="34">
        <f>V443*U443</f>
        <v/>
      </c>
      <c r="X443" s="34">
        <f>S443-T443-W443</f>
        <v/>
      </c>
      <c r="Y443" s="36">
        <f>EXP((Mu-0.5*Sigma^2)/12+Sigma*SQRT(1/12)*INDEX(NormRand,ScenID,A443+1))-1</f>
        <v/>
      </c>
      <c r="Z443" s="34">
        <f>Y443*X443</f>
        <v/>
      </c>
      <c r="AA443" s="34">
        <f>X443+0.5*Z443</f>
        <v/>
      </c>
      <c r="AB443" s="34">
        <f>Q443*J443</f>
        <v/>
      </c>
      <c r="AC443" s="34">
        <f>Q443*L443</f>
        <v/>
      </c>
      <c r="AD443" s="34">
        <f>S443*N443</f>
        <v/>
      </c>
      <c r="AE443" s="34">
        <f>E443*N443</f>
        <v/>
      </c>
      <c r="AF443" s="34">
        <f>R443*N443</f>
        <v/>
      </c>
      <c r="AG443" s="29">
        <f>MAX(SumAssured,AA443)</f>
        <v/>
      </c>
      <c r="AH443" s="34">
        <f>AG443*O443</f>
        <v/>
      </c>
      <c r="AI443" s="34">
        <f>AA443*O443</f>
        <v/>
      </c>
      <c r="AJ443" s="34">
        <f>AA443*P443</f>
        <v/>
      </c>
      <c r="AK443" s="34">
        <f>I443*AA443*P443</f>
        <v/>
      </c>
      <c r="AL443" s="34">
        <f>AJ443-AK443</f>
        <v/>
      </c>
      <c r="AM443" s="34">
        <f>Q443*K443</f>
        <v/>
      </c>
      <c r="AN443" s="34">
        <f>AH443+AL443+AM443</f>
        <v/>
      </c>
      <c r="AO443" s="34">
        <f>(AG443-AA443)*O443</f>
        <v/>
      </c>
      <c r="AP443" s="34">
        <f>W443*N443</f>
        <v/>
      </c>
      <c r="AQ443" s="34">
        <f>T443*N443</f>
        <v/>
      </c>
      <c r="AR443" s="34">
        <f>Z443*J444+0.5*Z443*(O443+P443)</f>
        <v/>
      </c>
      <c r="AS443" s="30">
        <f>(1+InflationRate)^(A443/12)</f>
        <v/>
      </c>
      <c r="AT443" s="29">
        <f>ExpenseAcq*M443+N443*ExpenseMaint/12*AS443</f>
        <v/>
      </c>
      <c r="AU443" s="29">
        <f>CommissionRate*AE443</f>
        <v/>
      </c>
      <c r="AV443" s="34">
        <f>AB444-AB443</f>
        <v/>
      </c>
      <c r="AW443" s="34">
        <f>AE443+AR443-AN443-AT443-AU443-AV443</f>
        <v/>
      </c>
      <c r="AX443" s="29">
        <f>LoadPremRate*E443*N443+AK443+AQ443-AU443-AT443</f>
        <v/>
      </c>
      <c r="AY443" s="34">
        <f>AP443-AO443</f>
        <v/>
      </c>
      <c r="AZ443" s="37">
        <f>(AW443-AX443-AY443)/MAX(1,ABS(AW443),ABS(AX443),ABS(AY443))</f>
        <v/>
      </c>
      <c r="BA443" s="37">
        <f>IF(OR(K443&gt;0,K444&gt;0),0,(AC444-(AC443+AF443-AQ443-AP443+AR443-AI443-AJ443-AM443))/MAX(1,ABS(AC443),ABS(AC444)))</f>
        <v/>
      </c>
      <c r="BB443" s="35">
        <f>(1+INDEX(DiscRateAnn,INT(A443/12)+1))^(1/12)-1</f>
        <v/>
      </c>
      <c r="BC443" s="31">
        <f>(1+BB443)^-A443</f>
        <v/>
      </c>
      <c r="BD443" s="34">
        <f>AW443*BC443</f>
        <v/>
      </c>
    </row>
    <row r="444">
      <c r="A444" s="27">
        <f>A443+1</f>
        <v/>
      </c>
      <c r="B444" s="28">
        <f>Duration0+A444</f>
        <v/>
      </c>
      <c r="C444" s="27">
        <f>INT(B444/12)</f>
        <v/>
      </c>
      <c r="D444" s="28">
        <f>AgeAtEntry+C444</f>
        <v/>
      </c>
      <c r="E444" s="29">
        <f>IF(PremiumType="SINGLE",IF(B444=0,PremiumPPInput,0),IF(B444&lt;12*PolicyTerm,PremiumPPInput,0))</f>
        <v/>
      </c>
      <c r="F444" s="30">
        <f>INDEX(MortRates,MATCH(MIN(D444,120),MortAges,0),MAX(MIN(C444,5),0)+1)</f>
        <v/>
      </c>
      <c r="G444" s="31">
        <f>1-(1-F444)^(1/12)</f>
        <v/>
      </c>
      <c r="H444" s="32">
        <f>MAX(LapseBase-LapseStep*C444,LapseFloor)</f>
        <v/>
      </c>
      <c r="I444" s="32">
        <f>IF(HasSurrCharge,INDEX(SurrRates,MIN(C444,SurrDurMax)+1,MATCH(SurrChargeID,SurrTypes,0)),0)</f>
        <v/>
      </c>
      <c r="J444" s="33">
        <f>N443-P443-O443</f>
        <v/>
      </c>
      <c r="K444" s="30">
        <f>IF(B444=12*PolicyTerm,J444,0)</f>
        <v/>
      </c>
      <c r="L444" s="33">
        <f>J444-K444</f>
        <v/>
      </c>
      <c r="M444" s="30">
        <f>IF(B444=0,PolicyCount,0)</f>
        <v/>
      </c>
      <c r="N444" s="33">
        <f>L444+M444</f>
        <v/>
      </c>
      <c r="O444" s="31">
        <f>N444*G444</f>
        <v/>
      </c>
      <c r="P444" s="33">
        <f>(N444-O444)*(1-(1-H444)^(1/12))</f>
        <v/>
      </c>
      <c r="Q444" s="34">
        <f>X443+Z443</f>
        <v/>
      </c>
      <c r="R444" s="29">
        <f>(1-LoadPremRate)*E444</f>
        <v/>
      </c>
      <c r="S444" s="34">
        <f>Q444+R444</f>
        <v/>
      </c>
      <c r="T444" s="29">
        <f>MaintFeeRateAnn/12*S444</f>
        <v/>
      </c>
      <c r="U444" s="29">
        <f>MAX(SumAssured-S444,0)</f>
        <v/>
      </c>
      <c r="V444" s="35">
        <f>CoiMultiple*G444</f>
        <v/>
      </c>
      <c r="W444" s="34">
        <f>V444*U444</f>
        <v/>
      </c>
      <c r="X444" s="34">
        <f>S444-T444-W444</f>
        <v/>
      </c>
      <c r="Y444" s="36">
        <f>EXP((Mu-0.5*Sigma^2)/12+Sigma*SQRT(1/12)*INDEX(NormRand,ScenID,A444+1))-1</f>
        <v/>
      </c>
      <c r="Z444" s="34">
        <f>Y444*X444</f>
        <v/>
      </c>
      <c r="AA444" s="34">
        <f>X444+0.5*Z444</f>
        <v/>
      </c>
      <c r="AB444" s="34">
        <f>Q444*J444</f>
        <v/>
      </c>
      <c r="AC444" s="34">
        <f>Q444*L444</f>
        <v/>
      </c>
      <c r="AD444" s="34">
        <f>S444*N444</f>
        <v/>
      </c>
      <c r="AE444" s="34">
        <f>E444*N444</f>
        <v/>
      </c>
      <c r="AF444" s="34">
        <f>R444*N444</f>
        <v/>
      </c>
      <c r="AG444" s="29">
        <f>MAX(SumAssured,AA444)</f>
        <v/>
      </c>
      <c r="AH444" s="34">
        <f>AG444*O444</f>
        <v/>
      </c>
      <c r="AI444" s="34">
        <f>AA444*O444</f>
        <v/>
      </c>
      <c r="AJ444" s="34">
        <f>AA444*P444</f>
        <v/>
      </c>
      <c r="AK444" s="34">
        <f>I444*AA444*P444</f>
        <v/>
      </c>
      <c r="AL444" s="34">
        <f>AJ444-AK444</f>
        <v/>
      </c>
      <c r="AM444" s="34">
        <f>Q444*K444</f>
        <v/>
      </c>
      <c r="AN444" s="34">
        <f>AH444+AL444+AM444</f>
        <v/>
      </c>
      <c r="AO444" s="34">
        <f>(AG444-AA444)*O444</f>
        <v/>
      </c>
      <c r="AP444" s="34">
        <f>W444*N444</f>
        <v/>
      </c>
      <c r="AQ444" s="34">
        <f>T444*N444</f>
        <v/>
      </c>
      <c r="AR444" s="34">
        <f>Z444*J445+0.5*Z444*(O444+P444)</f>
        <v/>
      </c>
      <c r="AS444" s="30">
        <f>(1+InflationRate)^(A444/12)</f>
        <v/>
      </c>
      <c r="AT444" s="29">
        <f>ExpenseAcq*M444+N444*ExpenseMaint/12*AS444</f>
        <v/>
      </c>
      <c r="AU444" s="29">
        <f>CommissionRate*AE444</f>
        <v/>
      </c>
      <c r="AV444" s="34">
        <f>AB445-AB444</f>
        <v/>
      </c>
      <c r="AW444" s="34">
        <f>AE444+AR444-AN444-AT444-AU444-AV444</f>
        <v/>
      </c>
      <c r="AX444" s="29">
        <f>LoadPremRate*E444*N444+AK444+AQ444-AU444-AT444</f>
        <v/>
      </c>
      <c r="AY444" s="34">
        <f>AP444-AO444</f>
        <v/>
      </c>
      <c r="AZ444" s="37">
        <f>(AW444-AX444-AY444)/MAX(1,ABS(AW444),ABS(AX444),ABS(AY444))</f>
        <v/>
      </c>
      <c r="BA444" s="37">
        <f>IF(OR(K444&gt;0,K445&gt;0),0,(AC445-(AC444+AF444-AQ444-AP444+AR444-AI444-AJ444-AM444))/MAX(1,ABS(AC444),ABS(AC445)))</f>
        <v/>
      </c>
      <c r="BB444" s="35">
        <f>(1+INDEX(DiscRateAnn,INT(A444/12)+1))^(1/12)-1</f>
        <v/>
      </c>
      <c r="BC444" s="31">
        <f>(1+BB444)^-A444</f>
        <v/>
      </c>
      <c r="BD444" s="34">
        <f>AW444*BC444</f>
        <v/>
      </c>
    </row>
    <row r="445">
      <c r="A445" s="27">
        <f>A444+1</f>
        <v/>
      </c>
      <c r="B445" s="28">
        <f>Duration0+A445</f>
        <v/>
      </c>
      <c r="C445" s="27">
        <f>INT(B445/12)</f>
        <v/>
      </c>
      <c r="D445" s="28">
        <f>AgeAtEntry+C445</f>
        <v/>
      </c>
      <c r="E445" s="29">
        <f>IF(PremiumType="SINGLE",IF(B445=0,PremiumPPInput,0),IF(B445&lt;12*PolicyTerm,PremiumPPInput,0))</f>
        <v/>
      </c>
      <c r="F445" s="30">
        <f>INDEX(MortRates,MATCH(MIN(D445,120),MortAges,0),MAX(MIN(C445,5),0)+1)</f>
        <v/>
      </c>
      <c r="G445" s="31">
        <f>1-(1-F445)^(1/12)</f>
        <v/>
      </c>
      <c r="H445" s="32">
        <f>MAX(LapseBase-LapseStep*C445,LapseFloor)</f>
        <v/>
      </c>
      <c r="I445" s="32">
        <f>IF(HasSurrCharge,INDEX(SurrRates,MIN(C445,SurrDurMax)+1,MATCH(SurrChargeID,SurrTypes,0)),0)</f>
        <v/>
      </c>
      <c r="J445" s="33">
        <f>N444-P444-O444</f>
        <v/>
      </c>
      <c r="K445" s="30">
        <f>IF(B445=12*PolicyTerm,J445,0)</f>
        <v/>
      </c>
      <c r="L445" s="33">
        <f>J445-K445</f>
        <v/>
      </c>
      <c r="M445" s="30">
        <f>IF(B445=0,PolicyCount,0)</f>
        <v/>
      </c>
      <c r="N445" s="33">
        <f>L445+M445</f>
        <v/>
      </c>
      <c r="O445" s="31">
        <f>N445*G445</f>
        <v/>
      </c>
      <c r="P445" s="33">
        <f>(N445-O445)*(1-(1-H445)^(1/12))</f>
        <v/>
      </c>
      <c r="Q445" s="34">
        <f>X444+Z444</f>
        <v/>
      </c>
      <c r="R445" s="29">
        <f>(1-LoadPremRate)*E445</f>
        <v/>
      </c>
      <c r="S445" s="34">
        <f>Q445+R445</f>
        <v/>
      </c>
      <c r="T445" s="29">
        <f>MaintFeeRateAnn/12*S445</f>
        <v/>
      </c>
      <c r="U445" s="29">
        <f>MAX(SumAssured-S445,0)</f>
        <v/>
      </c>
      <c r="V445" s="35">
        <f>CoiMultiple*G445</f>
        <v/>
      </c>
      <c r="W445" s="34">
        <f>V445*U445</f>
        <v/>
      </c>
      <c r="X445" s="34">
        <f>S445-T445-W445</f>
        <v/>
      </c>
      <c r="Y445" s="36">
        <f>EXP((Mu-0.5*Sigma^2)/12+Sigma*SQRT(1/12)*INDEX(NormRand,ScenID,A445+1))-1</f>
        <v/>
      </c>
      <c r="Z445" s="34">
        <f>Y445*X445</f>
        <v/>
      </c>
      <c r="AA445" s="34">
        <f>X445+0.5*Z445</f>
        <v/>
      </c>
      <c r="AB445" s="34">
        <f>Q445*J445</f>
        <v/>
      </c>
      <c r="AC445" s="34">
        <f>Q445*L445</f>
        <v/>
      </c>
      <c r="AD445" s="34">
        <f>S445*N445</f>
        <v/>
      </c>
      <c r="AE445" s="34">
        <f>E445*N445</f>
        <v/>
      </c>
      <c r="AF445" s="34">
        <f>R445*N445</f>
        <v/>
      </c>
      <c r="AG445" s="29">
        <f>MAX(SumAssured,AA445)</f>
        <v/>
      </c>
      <c r="AH445" s="34">
        <f>AG445*O445</f>
        <v/>
      </c>
      <c r="AI445" s="34">
        <f>AA445*O445</f>
        <v/>
      </c>
      <c r="AJ445" s="34">
        <f>AA445*P445</f>
        <v/>
      </c>
      <c r="AK445" s="34">
        <f>I445*AA445*P445</f>
        <v/>
      </c>
      <c r="AL445" s="34">
        <f>AJ445-AK445</f>
        <v/>
      </c>
      <c r="AM445" s="34">
        <f>Q445*K445</f>
        <v/>
      </c>
      <c r="AN445" s="34">
        <f>AH445+AL445+AM445</f>
        <v/>
      </c>
      <c r="AO445" s="34">
        <f>(AG445-AA445)*O445</f>
        <v/>
      </c>
      <c r="AP445" s="34">
        <f>W445*N445</f>
        <v/>
      </c>
      <c r="AQ445" s="34">
        <f>T445*N445</f>
        <v/>
      </c>
      <c r="AR445" s="34">
        <f>Z445*J446+0.5*Z445*(O445+P445)</f>
        <v/>
      </c>
      <c r="AS445" s="30">
        <f>(1+InflationRate)^(A445/12)</f>
        <v/>
      </c>
      <c r="AT445" s="29">
        <f>ExpenseAcq*M445+N445*ExpenseMaint/12*AS445</f>
        <v/>
      </c>
      <c r="AU445" s="29">
        <f>CommissionRate*AE445</f>
        <v/>
      </c>
      <c r="AV445" s="34">
        <f>AB446-AB445</f>
        <v/>
      </c>
      <c r="AW445" s="34">
        <f>AE445+AR445-AN445-AT445-AU445-AV445</f>
        <v/>
      </c>
      <c r="AX445" s="29">
        <f>LoadPremRate*E445*N445+AK445+AQ445-AU445-AT445</f>
        <v/>
      </c>
      <c r="AY445" s="34">
        <f>AP445-AO445</f>
        <v/>
      </c>
      <c r="AZ445" s="37">
        <f>(AW445-AX445-AY445)/MAX(1,ABS(AW445),ABS(AX445),ABS(AY445))</f>
        <v/>
      </c>
      <c r="BA445" s="37">
        <f>IF(OR(K445&gt;0,K446&gt;0),0,(AC446-(AC445+AF445-AQ445-AP445+AR445-AI445-AJ445-AM445))/MAX(1,ABS(AC445),ABS(AC446)))</f>
        <v/>
      </c>
      <c r="BB445" s="35">
        <f>(1+INDEX(DiscRateAnn,INT(A445/12)+1))^(1/12)-1</f>
        <v/>
      </c>
      <c r="BC445" s="31">
        <f>(1+BB445)^-A445</f>
        <v/>
      </c>
      <c r="BD445" s="34">
        <f>AW445*BC445</f>
        <v/>
      </c>
    </row>
    <row r="446">
      <c r="A446" s="27">
        <f>A445+1</f>
        <v/>
      </c>
      <c r="B446" s="28">
        <f>Duration0+A446</f>
        <v/>
      </c>
      <c r="C446" s="27">
        <f>INT(B446/12)</f>
        <v/>
      </c>
      <c r="D446" s="28">
        <f>AgeAtEntry+C446</f>
        <v/>
      </c>
      <c r="E446" s="29">
        <f>IF(PremiumType="SINGLE",IF(B446=0,PremiumPPInput,0),IF(B446&lt;12*PolicyTerm,PremiumPPInput,0))</f>
        <v/>
      </c>
      <c r="F446" s="30">
        <f>INDEX(MortRates,MATCH(MIN(D446,120),MortAges,0),MAX(MIN(C446,5),0)+1)</f>
        <v/>
      </c>
      <c r="G446" s="31">
        <f>1-(1-F446)^(1/12)</f>
        <v/>
      </c>
      <c r="H446" s="32">
        <f>MAX(LapseBase-LapseStep*C446,LapseFloor)</f>
        <v/>
      </c>
      <c r="I446" s="32">
        <f>IF(HasSurrCharge,INDEX(SurrRates,MIN(C446,SurrDurMax)+1,MATCH(SurrChargeID,SurrTypes,0)),0)</f>
        <v/>
      </c>
      <c r="J446" s="33">
        <f>N445-P445-O445</f>
        <v/>
      </c>
      <c r="K446" s="30">
        <f>IF(B446=12*PolicyTerm,J446,0)</f>
        <v/>
      </c>
      <c r="L446" s="33">
        <f>J446-K446</f>
        <v/>
      </c>
      <c r="M446" s="30">
        <f>IF(B446=0,PolicyCount,0)</f>
        <v/>
      </c>
      <c r="N446" s="33">
        <f>L446+M446</f>
        <v/>
      </c>
      <c r="O446" s="31">
        <f>N446*G446</f>
        <v/>
      </c>
      <c r="P446" s="33">
        <f>(N446-O446)*(1-(1-H446)^(1/12))</f>
        <v/>
      </c>
      <c r="Q446" s="34">
        <f>X445+Z445</f>
        <v/>
      </c>
      <c r="R446" s="29">
        <f>(1-LoadPremRate)*E446</f>
        <v/>
      </c>
      <c r="S446" s="34">
        <f>Q446+R446</f>
        <v/>
      </c>
      <c r="T446" s="29">
        <f>MaintFeeRateAnn/12*S446</f>
        <v/>
      </c>
      <c r="U446" s="29">
        <f>MAX(SumAssured-S446,0)</f>
        <v/>
      </c>
      <c r="V446" s="35">
        <f>CoiMultiple*G446</f>
        <v/>
      </c>
      <c r="W446" s="34">
        <f>V446*U446</f>
        <v/>
      </c>
      <c r="X446" s="34">
        <f>S446-T446-W446</f>
        <v/>
      </c>
      <c r="Y446" s="36">
        <f>EXP((Mu-0.5*Sigma^2)/12+Sigma*SQRT(1/12)*INDEX(NormRand,ScenID,A446+1))-1</f>
        <v/>
      </c>
      <c r="Z446" s="34">
        <f>Y446*X446</f>
        <v/>
      </c>
      <c r="AA446" s="34">
        <f>X446+0.5*Z446</f>
        <v/>
      </c>
      <c r="AB446" s="34">
        <f>Q446*J446</f>
        <v/>
      </c>
      <c r="AC446" s="34">
        <f>Q446*L446</f>
        <v/>
      </c>
      <c r="AD446" s="34">
        <f>S446*N446</f>
        <v/>
      </c>
      <c r="AE446" s="34">
        <f>E446*N446</f>
        <v/>
      </c>
      <c r="AF446" s="34">
        <f>R446*N446</f>
        <v/>
      </c>
      <c r="AG446" s="29">
        <f>MAX(SumAssured,AA446)</f>
        <v/>
      </c>
      <c r="AH446" s="34">
        <f>AG446*O446</f>
        <v/>
      </c>
      <c r="AI446" s="34">
        <f>AA446*O446</f>
        <v/>
      </c>
      <c r="AJ446" s="34">
        <f>AA446*P446</f>
        <v/>
      </c>
      <c r="AK446" s="34">
        <f>I446*AA446*P446</f>
        <v/>
      </c>
      <c r="AL446" s="34">
        <f>AJ446-AK446</f>
        <v/>
      </c>
      <c r="AM446" s="34">
        <f>Q446*K446</f>
        <v/>
      </c>
      <c r="AN446" s="34">
        <f>AH446+AL446+AM446</f>
        <v/>
      </c>
      <c r="AO446" s="34">
        <f>(AG446-AA446)*O446</f>
        <v/>
      </c>
      <c r="AP446" s="34">
        <f>W446*N446</f>
        <v/>
      </c>
      <c r="AQ446" s="34">
        <f>T446*N446</f>
        <v/>
      </c>
      <c r="AR446" s="34">
        <f>Z446*J447+0.5*Z446*(O446+P446)</f>
        <v/>
      </c>
      <c r="AS446" s="30">
        <f>(1+InflationRate)^(A446/12)</f>
        <v/>
      </c>
      <c r="AT446" s="29">
        <f>ExpenseAcq*M446+N446*ExpenseMaint/12*AS446</f>
        <v/>
      </c>
      <c r="AU446" s="29">
        <f>CommissionRate*AE446</f>
        <v/>
      </c>
      <c r="AV446" s="34">
        <f>AB447-AB446</f>
        <v/>
      </c>
      <c r="AW446" s="34">
        <f>AE446+AR446-AN446-AT446-AU446-AV446</f>
        <v/>
      </c>
      <c r="AX446" s="29">
        <f>LoadPremRate*E446*N446+AK446+AQ446-AU446-AT446</f>
        <v/>
      </c>
      <c r="AY446" s="34">
        <f>AP446-AO446</f>
        <v/>
      </c>
      <c r="AZ446" s="37">
        <f>(AW446-AX446-AY446)/MAX(1,ABS(AW446),ABS(AX446),ABS(AY446))</f>
        <v/>
      </c>
      <c r="BA446" s="37">
        <f>IF(OR(K446&gt;0,K447&gt;0),0,(AC447-(AC446+AF446-AQ446-AP446+AR446-AI446-AJ446-AM446))/MAX(1,ABS(AC446),ABS(AC447)))</f>
        <v/>
      </c>
      <c r="BB446" s="35">
        <f>(1+INDEX(DiscRateAnn,INT(A446/12)+1))^(1/12)-1</f>
        <v/>
      </c>
      <c r="BC446" s="31">
        <f>(1+BB446)^-A446</f>
        <v/>
      </c>
      <c r="BD446" s="34">
        <f>AW446*BC446</f>
        <v/>
      </c>
    </row>
    <row r="447">
      <c r="A447" s="27">
        <f>A446+1</f>
        <v/>
      </c>
      <c r="B447" s="28">
        <f>Duration0+A447</f>
        <v/>
      </c>
      <c r="C447" s="27">
        <f>INT(B447/12)</f>
        <v/>
      </c>
      <c r="D447" s="28">
        <f>AgeAtEntry+C447</f>
        <v/>
      </c>
      <c r="E447" s="29">
        <f>IF(PremiumType="SINGLE",IF(B447=0,PremiumPPInput,0),IF(B447&lt;12*PolicyTerm,PremiumPPInput,0))</f>
        <v/>
      </c>
      <c r="F447" s="30">
        <f>INDEX(MortRates,MATCH(MIN(D447,120),MortAges,0),MAX(MIN(C447,5),0)+1)</f>
        <v/>
      </c>
      <c r="G447" s="31">
        <f>1-(1-F447)^(1/12)</f>
        <v/>
      </c>
      <c r="H447" s="32">
        <f>MAX(LapseBase-LapseStep*C447,LapseFloor)</f>
        <v/>
      </c>
      <c r="I447" s="32">
        <f>IF(HasSurrCharge,INDEX(SurrRates,MIN(C447,SurrDurMax)+1,MATCH(SurrChargeID,SurrTypes,0)),0)</f>
        <v/>
      </c>
      <c r="J447" s="33">
        <f>N446-P446-O446</f>
        <v/>
      </c>
      <c r="K447" s="30">
        <f>IF(B447=12*PolicyTerm,J447,0)</f>
        <v/>
      </c>
      <c r="L447" s="33">
        <f>J447-K447</f>
        <v/>
      </c>
      <c r="M447" s="30">
        <f>IF(B447=0,PolicyCount,0)</f>
        <v/>
      </c>
      <c r="N447" s="33">
        <f>L447+M447</f>
        <v/>
      </c>
      <c r="O447" s="31">
        <f>N447*G447</f>
        <v/>
      </c>
      <c r="P447" s="33">
        <f>(N447-O447)*(1-(1-H447)^(1/12))</f>
        <v/>
      </c>
      <c r="Q447" s="34">
        <f>X446+Z446</f>
        <v/>
      </c>
      <c r="R447" s="29">
        <f>(1-LoadPremRate)*E447</f>
        <v/>
      </c>
      <c r="S447" s="34">
        <f>Q447+R447</f>
        <v/>
      </c>
      <c r="T447" s="29">
        <f>MaintFeeRateAnn/12*S447</f>
        <v/>
      </c>
      <c r="U447" s="29">
        <f>MAX(SumAssured-S447,0)</f>
        <v/>
      </c>
      <c r="V447" s="35">
        <f>CoiMultiple*G447</f>
        <v/>
      </c>
      <c r="W447" s="34">
        <f>V447*U447</f>
        <v/>
      </c>
      <c r="X447" s="34">
        <f>S447-T447-W447</f>
        <v/>
      </c>
      <c r="Y447" s="36">
        <f>EXP((Mu-0.5*Sigma^2)/12+Sigma*SQRT(1/12)*INDEX(NormRand,ScenID,A447+1))-1</f>
        <v/>
      </c>
      <c r="Z447" s="34">
        <f>Y447*X447</f>
        <v/>
      </c>
      <c r="AA447" s="34">
        <f>X447+0.5*Z447</f>
        <v/>
      </c>
      <c r="AB447" s="34">
        <f>Q447*J447</f>
        <v/>
      </c>
      <c r="AC447" s="34">
        <f>Q447*L447</f>
        <v/>
      </c>
      <c r="AD447" s="34">
        <f>S447*N447</f>
        <v/>
      </c>
      <c r="AE447" s="34">
        <f>E447*N447</f>
        <v/>
      </c>
      <c r="AF447" s="34">
        <f>R447*N447</f>
        <v/>
      </c>
      <c r="AG447" s="29">
        <f>MAX(SumAssured,AA447)</f>
        <v/>
      </c>
      <c r="AH447" s="34">
        <f>AG447*O447</f>
        <v/>
      </c>
      <c r="AI447" s="34">
        <f>AA447*O447</f>
        <v/>
      </c>
      <c r="AJ447" s="34">
        <f>AA447*P447</f>
        <v/>
      </c>
      <c r="AK447" s="34">
        <f>I447*AA447*P447</f>
        <v/>
      </c>
      <c r="AL447" s="34">
        <f>AJ447-AK447</f>
        <v/>
      </c>
      <c r="AM447" s="34">
        <f>Q447*K447</f>
        <v/>
      </c>
      <c r="AN447" s="34">
        <f>AH447+AL447+AM447</f>
        <v/>
      </c>
      <c r="AO447" s="34">
        <f>(AG447-AA447)*O447</f>
        <v/>
      </c>
      <c r="AP447" s="34">
        <f>W447*N447</f>
        <v/>
      </c>
      <c r="AQ447" s="34">
        <f>T447*N447</f>
        <v/>
      </c>
      <c r="AR447" s="34">
        <f>Z447*J448+0.5*Z447*(O447+P447)</f>
        <v/>
      </c>
      <c r="AS447" s="30">
        <f>(1+InflationRate)^(A447/12)</f>
        <v/>
      </c>
      <c r="AT447" s="29">
        <f>ExpenseAcq*M447+N447*ExpenseMaint/12*AS447</f>
        <v/>
      </c>
      <c r="AU447" s="29">
        <f>CommissionRate*AE447</f>
        <v/>
      </c>
      <c r="AV447" s="34">
        <f>AB448-AB447</f>
        <v/>
      </c>
      <c r="AW447" s="34">
        <f>AE447+AR447-AN447-AT447-AU447-AV447</f>
        <v/>
      </c>
      <c r="AX447" s="29">
        <f>LoadPremRate*E447*N447+AK447+AQ447-AU447-AT447</f>
        <v/>
      </c>
      <c r="AY447" s="34">
        <f>AP447-AO447</f>
        <v/>
      </c>
      <c r="AZ447" s="37">
        <f>(AW447-AX447-AY447)/MAX(1,ABS(AW447),ABS(AX447),ABS(AY447))</f>
        <v/>
      </c>
      <c r="BA447" s="37">
        <f>IF(OR(K447&gt;0,K448&gt;0),0,(AC448-(AC447+AF447-AQ447-AP447+AR447-AI447-AJ447-AM447))/MAX(1,ABS(AC447),ABS(AC448)))</f>
        <v/>
      </c>
      <c r="BB447" s="35">
        <f>(1+INDEX(DiscRateAnn,INT(A447/12)+1))^(1/12)-1</f>
        <v/>
      </c>
      <c r="BC447" s="31">
        <f>(1+BB447)^-A447</f>
        <v/>
      </c>
      <c r="BD447" s="34">
        <f>AW447*BC447</f>
        <v/>
      </c>
    </row>
    <row r="448">
      <c r="A448" s="27">
        <f>A447+1</f>
        <v/>
      </c>
      <c r="B448" s="28">
        <f>Duration0+A448</f>
        <v/>
      </c>
      <c r="C448" s="27">
        <f>INT(B448/12)</f>
        <v/>
      </c>
      <c r="D448" s="28">
        <f>AgeAtEntry+C448</f>
        <v/>
      </c>
      <c r="E448" s="29">
        <f>IF(PremiumType="SINGLE",IF(B448=0,PremiumPPInput,0),IF(B448&lt;12*PolicyTerm,PremiumPPInput,0))</f>
        <v/>
      </c>
      <c r="F448" s="30">
        <f>INDEX(MortRates,MATCH(MIN(D448,120),MortAges,0),MAX(MIN(C448,5),0)+1)</f>
        <v/>
      </c>
      <c r="G448" s="31">
        <f>1-(1-F448)^(1/12)</f>
        <v/>
      </c>
      <c r="H448" s="32">
        <f>MAX(LapseBase-LapseStep*C448,LapseFloor)</f>
        <v/>
      </c>
      <c r="I448" s="32">
        <f>IF(HasSurrCharge,INDEX(SurrRates,MIN(C448,SurrDurMax)+1,MATCH(SurrChargeID,SurrTypes,0)),0)</f>
        <v/>
      </c>
      <c r="J448" s="33">
        <f>N447-P447-O447</f>
        <v/>
      </c>
      <c r="K448" s="30">
        <f>IF(B448=12*PolicyTerm,J448,0)</f>
        <v/>
      </c>
      <c r="L448" s="33">
        <f>J448-K448</f>
        <v/>
      </c>
      <c r="M448" s="30">
        <f>IF(B448=0,PolicyCount,0)</f>
        <v/>
      </c>
      <c r="N448" s="33">
        <f>L448+M448</f>
        <v/>
      </c>
      <c r="O448" s="31">
        <f>N448*G448</f>
        <v/>
      </c>
      <c r="P448" s="33">
        <f>(N448-O448)*(1-(1-H448)^(1/12))</f>
        <v/>
      </c>
      <c r="Q448" s="34">
        <f>X447+Z447</f>
        <v/>
      </c>
      <c r="R448" s="29">
        <f>(1-LoadPremRate)*E448</f>
        <v/>
      </c>
      <c r="S448" s="34">
        <f>Q448+R448</f>
        <v/>
      </c>
      <c r="T448" s="29">
        <f>MaintFeeRateAnn/12*S448</f>
        <v/>
      </c>
      <c r="U448" s="29">
        <f>MAX(SumAssured-S448,0)</f>
        <v/>
      </c>
      <c r="V448" s="35">
        <f>CoiMultiple*G448</f>
        <v/>
      </c>
      <c r="W448" s="34">
        <f>V448*U448</f>
        <v/>
      </c>
      <c r="X448" s="34">
        <f>S448-T448-W448</f>
        <v/>
      </c>
      <c r="Y448" s="36">
        <f>EXP((Mu-0.5*Sigma^2)/12+Sigma*SQRT(1/12)*INDEX(NormRand,ScenID,A448+1))-1</f>
        <v/>
      </c>
      <c r="Z448" s="34">
        <f>Y448*X448</f>
        <v/>
      </c>
      <c r="AA448" s="34">
        <f>X448+0.5*Z448</f>
        <v/>
      </c>
      <c r="AB448" s="34">
        <f>Q448*J448</f>
        <v/>
      </c>
      <c r="AC448" s="34">
        <f>Q448*L448</f>
        <v/>
      </c>
      <c r="AD448" s="34">
        <f>S448*N448</f>
        <v/>
      </c>
      <c r="AE448" s="34">
        <f>E448*N448</f>
        <v/>
      </c>
      <c r="AF448" s="34">
        <f>R448*N448</f>
        <v/>
      </c>
      <c r="AG448" s="29">
        <f>MAX(SumAssured,AA448)</f>
        <v/>
      </c>
      <c r="AH448" s="34">
        <f>AG448*O448</f>
        <v/>
      </c>
      <c r="AI448" s="34">
        <f>AA448*O448</f>
        <v/>
      </c>
      <c r="AJ448" s="34">
        <f>AA448*P448</f>
        <v/>
      </c>
      <c r="AK448" s="34">
        <f>I448*AA448*P448</f>
        <v/>
      </c>
      <c r="AL448" s="34">
        <f>AJ448-AK448</f>
        <v/>
      </c>
      <c r="AM448" s="34">
        <f>Q448*K448</f>
        <v/>
      </c>
      <c r="AN448" s="34">
        <f>AH448+AL448+AM448</f>
        <v/>
      </c>
      <c r="AO448" s="34">
        <f>(AG448-AA448)*O448</f>
        <v/>
      </c>
      <c r="AP448" s="34">
        <f>W448*N448</f>
        <v/>
      </c>
      <c r="AQ448" s="34">
        <f>T448*N448</f>
        <v/>
      </c>
      <c r="AR448" s="34">
        <f>Z448*J449+0.5*Z448*(O448+P448)</f>
        <v/>
      </c>
      <c r="AS448" s="30">
        <f>(1+InflationRate)^(A448/12)</f>
        <v/>
      </c>
      <c r="AT448" s="29">
        <f>ExpenseAcq*M448+N448*ExpenseMaint/12*AS448</f>
        <v/>
      </c>
      <c r="AU448" s="29">
        <f>CommissionRate*AE448</f>
        <v/>
      </c>
      <c r="AV448" s="34">
        <f>AB449-AB448</f>
        <v/>
      </c>
      <c r="AW448" s="34">
        <f>AE448+AR448-AN448-AT448-AU448-AV448</f>
        <v/>
      </c>
      <c r="AX448" s="29">
        <f>LoadPremRate*E448*N448+AK448+AQ448-AU448-AT448</f>
        <v/>
      </c>
      <c r="AY448" s="34">
        <f>AP448-AO448</f>
        <v/>
      </c>
      <c r="AZ448" s="37">
        <f>(AW448-AX448-AY448)/MAX(1,ABS(AW448),ABS(AX448),ABS(AY448))</f>
        <v/>
      </c>
      <c r="BA448" s="37">
        <f>IF(OR(K448&gt;0,K449&gt;0),0,(AC449-(AC448+AF448-AQ448-AP448+AR448-AI448-AJ448-AM448))/MAX(1,ABS(AC448),ABS(AC449)))</f>
        <v/>
      </c>
      <c r="BB448" s="35">
        <f>(1+INDEX(DiscRateAnn,INT(A448/12)+1))^(1/12)-1</f>
        <v/>
      </c>
      <c r="BC448" s="31">
        <f>(1+BB448)^-A448</f>
        <v/>
      </c>
      <c r="BD448" s="34">
        <f>AW448*BC448</f>
        <v/>
      </c>
    </row>
    <row r="449">
      <c r="A449" s="27">
        <f>A448+1</f>
        <v/>
      </c>
      <c r="B449" s="28">
        <f>Duration0+A449</f>
        <v/>
      </c>
      <c r="C449" s="27">
        <f>INT(B449/12)</f>
        <v/>
      </c>
      <c r="D449" s="28">
        <f>AgeAtEntry+C449</f>
        <v/>
      </c>
      <c r="E449" s="29">
        <f>IF(PremiumType="SINGLE",IF(B449=0,PremiumPPInput,0),IF(B449&lt;12*PolicyTerm,PremiumPPInput,0))</f>
        <v/>
      </c>
      <c r="F449" s="30">
        <f>INDEX(MortRates,MATCH(MIN(D449,120),MortAges,0),MAX(MIN(C449,5),0)+1)</f>
        <v/>
      </c>
      <c r="G449" s="31">
        <f>1-(1-F449)^(1/12)</f>
        <v/>
      </c>
      <c r="H449" s="32">
        <f>MAX(LapseBase-LapseStep*C449,LapseFloor)</f>
        <v/>
      </c>
      <c r="I449" s="32">
        <f>IF(HasSurrCharge,INDEX(SurrRates,MIN(C449,SurrDurMax)+1,MATCH(SurrChargeID,SurrTypes,0)),0)</f>
        <v/>
      </c>
      <c r="J449" s="33">
        <f>N448-P448-O448</f>
        <v/>
      </c>
      <c r="K449" s="30">
        <f>IF(B449=12*PolicyTerm,J449,0)</f>
        <v/>
      </c>
      <c r="L449" s="33">
        <f>J449-K449</f>
        <v/>
      </c>
      <c r="M449" s="30">
        <f>IF(B449=0,PolicyCount,0)</f>
        <v/>
      </c>
      <c r="N449" s="33">
        <f>L449+M449</f>
        <v/>
      </c>
      <c r="O449" s="31">
        <f>N449*G449</f>
        <v/>
      </c>
      <c r="P449" s="33">
        <f>(N449-O449)*(1-(1-H449)^(1/12))</f>
        <v/>
      </c>
      <c r="Q449" s="34">
        <f>X448+Z448</f>
        <v/>
      </c>
      <c r="R449" s="29">
        <f>(1-LoadPremRate)*E449</f>
        <v/>
      </c>
      <c r="S449" s="34">
        <f>Q449+R449</f>
        <v/>
      </c>
      <c r="T449" s="29">
        <f>MaintFeeRateAnn/12*S449</f>
        <v/>
      </c>
      <c r="U449" s="29">
        <f>MAX(SumAssured-S449,0)</f>
        <v/>
      </c>
      <c r="V449" s="35">
        <f>CoiMultiple*G449</f>
        <v/>
      </c>
      <c r="W449" s="34">
        <f>V449*U449</f>
        <v/>
      </c>
      <c r="X449" s="34">
        <f>S449-T449-W449</f>
        <v/>
      </c>
      <c r="Y449" s="36">
        <f>EXP((Mu-0.5*Sigma^2)/12+Sigma*SQRT(1/12)*INDEX(NormRand,ScenID,A449+1))-1</f>
        <v/>
      </c>
      <c r="Z449" s="34">
        <f>Y449*X449</f>
        <v/>
      </c>
      <c r="AA449" s="34">
        <f>X449+0.5*Z449</f>
        <v/>
      </c>
      <c r="AB449" s="34">
        <f>Q449*J449</f>
        <v/>
      </c>
      <c r="AC449" s="34">
        <f>Q449*L449</f>
        <v/>
      </c>
      <c r="AD449" s="34">
        <f>S449*N449</f>
        <v/>
      </c>
      <c r="AE449" s="34">
        <f>E449*N449</f>
        <v/>
      </c>
      <c r="AF449" s="34">
        <f>R449*N449</f>
        <v/>
      </c>
      <c r="AG449" s="29">
        <f>MAX(SumAssured,AA449)</f>
        <v/>
      </c>
      <c r="AH449" s="34">
        <f>AG449*O449</f>
        <v/>
      </c>
      <c r="AI449" s="34">
        <f>AA449*O449</f>
        <v/>
      </c>
      <c r="AJ449" s="34">
        <f>AA449*P449</f>
        <v/>
      </c>
      <c r="AK449" s="34">
        <f>I449*AA449*P449</f>
        <v/>
      </c>
      <c r="AL449" s="34">
        <f>AJ449-AK449</f>
        <v/>
      </c>
      <c r="AM449" s="34">
        <f>Q449*K449</f>
        <v/>
      </c>
      <c r="AN449" s="34">
        <f>AH449+AL449+AM449</f>
        <v/>
      </c>
      <c r="AO449" s="34">
        <f>(AG449-AA449)*O449</f>
        <v/>
      </c>
      <c r="AP449" s="34">
        <f>W449*N449</f>
        <v/>
      </c>
      <c r="AQ449" s="34">
        <f>T449*N449</f>
        <v/>
      </c>
      <c r="AR449" s="34">
        <f>Z449*J450+0.5*Z449*(O449+P449)</f>
        <v/>
      </c>
      <c r="AS449" s="30">
        <f>(1+InflationRate)^(A449/12)</f>
        <v/>
      </c>
      <c r="AT449" s="29">
        <f>ExpenseAcq*M449+N449*ExpenseMaint/12*AS449</f>
        <v/>
      </c>
      <c r="AU449" s="29">
        <f>CommissionRate*AE449</f>
        <v/>
      </c>
      <c r="AV449" s="34">
        <f>AB450-AB449</f>
        <v/>
      </c>
      <c r="AW449" s="34">
        <f>AE449+AR449-AN449-AT449-AU449-AV449</f>
        <v/>
      </c>
      <c r="AX449" s="29">
        <f>LoadPremRate*E449*N449+AK449+AQ449-AU449-AT449</f>
        <v/>
      </c>
      <c r="AY449" s="34">
        <f>AP449-AO449</f>
        <v/>
      </c>
      <c r="AZ449" s="37">
        <f>(AW449-AX449-AY449)/MAX(1,ABS(AW449),ABS(AX449),ABS(AY449))</f>
        <v/>
      </c>
      <c r="BA449" s="37">
        <f>IF(OR(K449&gt;0,K450&gt;0),0,(AC450-(AC449+AF449-AQ449-AP449+AR449-AI449-AJ449-AM449))/MAX(1,ABS(AC449),ABS(AC450)))</f>
        <v/>
      </c>
      <c r="BB449" s="35">
        <f>(1+INDEX(DiscRateAnn,INT(A449/12)+1))^(1/12)-1</f>
        <v/>
      </c>
      <c r="BC449" s="31">
        <f>(1+BB449)^-A449</f>
        <v/>
      </c>
      <c r="BD449" s="34">
        <f>AW449*BC449</f>
        <v/>
      </c>
    </row>
    <row r="450">
      <c r="A450" s="27">
        <f>A449+1</f>
        <v/>
      </c>
      <c r="B450" s="28">
        <f>Duration0+A450</f>
        <v/>
      </c>
      <c r="C450" s="27">
        <f>INT(B450/12)</f>
        <v/>
      </c>
      <c r="D450" s="28">
        <f>AgeAtEntry+C450</f>
        <v/>
      </c>
      <c r="E450" s="29">
        <f>IF(PremiumType="SINGLE",IF(B450=0,PremiumPPInput,0),IF(B450&lt;12*PolicyTerm,PremiumPPInput,0))</f>
        <v/>
      </c>
      <c r="F450" s="30">
        <f>INDEX(MortRates,MATCH(MIN(D450,120),MortAges,0),MAX(MIN(C450,5),0)+1)</f>
        <v/>
      </c>
      <c r="G450" s="31">
        <f>1-(1-F450)^(1/12)</f>
        <v/>
      </c>
      <c r="H450" s="32">
        <f>MAX(LapseBase-LapseStep*C450,LapseFloor)</f>
        <v/>
      </c>
      <c r="I450" s="32">
        <f>IF(HasSurrCharge,INDEX(SurrRates,MIN(C450,SurrDurMax)+1,MATCH(SurrChargeID,SurrTypes,0)),0)</f>
        <v/>
      </c>
      <c r="J450" s="33">
        <f>N449-P449-O449</f>
        <v/>
      </c>
      <c r="K450" s="30">
        <f>IF(B450=12*PolicyTerm,J450,0)</f>
        <v/>
      </c>
      <c r="L450" s="33">
        <f>J450-K450</f>
        <v/>
      </c>
      <c r="M450" s="30">
        <f>IF(B450=0,PolicyCount,0)</f>
        <v/>
      </c>
      <c r="N450" s="33">
        <f>L450+M450</f>
        <v/>
      </c>
      <c r="O450" s="31">
        <f>N450*G450</f>
        <v/>
      </c>
      <c r="P450" s="33">
        <f>(N450-O450)*(1-(1-H450)^(1/12))</f>
        <v/>
      </c>
      <c r="Q450" s="34">
        <f>X449+Z449</f>
        <v/>
      </c>
      <c r="R450" s="29">
        <f>(1-LoadPremRate)*E450</f>
        <v/>
      </c>
      <c r="S450" s="34">
        <f>Q450+R450</f>
        <v/>
      </c>
      <c r="T450" s="29">
        <f>MaintFeeRateAnn/12*S450</f>
        <v/>
      </c>
      <c r="U450" s="29">
        <f>MAX(SumAssured-S450,0)</f>
        <v/>
      </c>
      <c r="V450" s="35">
        <f>CoiMultiple*G450</f>
        <v/>
      </c>
      <c r="W450" s="34">
        <f>V450*U450</f>
        <v/>
      </c>
      <c r="X450" s="34">
        <f>S450-T450-W450</f>
        <v/>
      </c>
      <c r="Y450" s="36">
        <f>EXP((Mu-0.5*Sigma^2)/12+Sigma*SQRT(1/12)*INDEX(NormRand,ScenID,A450+1))-1</f>
        <v/>
      </c>
      <c r="Z450" s="34">
        <f>Y450*X450</f>
        <v/>
      </c>
      <c r="AA450" s="34">
        <f>X450+0.5*Z450</f>
        <v/>
      </c>
      <c r="AB450" s="34">
        <f>Q450*J450</f>
        <v/>
      </c>
      <c r="AC450" s="34">
        <f>Q450*L450</f>
        <v/>
      </c>
      <c r="AD450" s="34">
        <f>S450*N450</f>
        <v/>
      </c>
      <c r="AE450" s="34">
        <f>E450*N450</f>
        <v/>
      </c>
      <c r="AF450" s="34">
        <f>R450*N450</f>
        <v/>
      </c>
      <c r="AG450" s="29">
        <f>MAX(SumAssured,AA450)</f>
        <v/>
      </c>
      <c r="AH450" s="34">
        <f>AG450*O450</f>
        <v/>
      </c>
      <c r="AI450" s="34">
        <f>AA450*O450</f>
        <v/>
      </c>
      <c r="AJ450" s="34">
        <f>AA450*P450</f>
        <v/>
      </c>
      <c r="AK450" s="34">
        <f>I450*AA450*P450</f>
        <v/>
      </c>
      <c r="AL450" s="34">
        <f>AJ450-AK450</f>
        <v/>
      </c>
      <c r="AM450" s="34">
        <f>Q450*K450</f>
        <v/>
      </c>
      <c r="AN450" s="34">
        <f>AH450+AL450+AM450</f>
        <v/>
      </c>
      <c r="AO450" s="34">
        <f>(AG450-AA450)*O450</f>
        <v/>
      </c>
      <c r="AP450" s="34">
        <f>W450*N450</f>
        <v/>
      </c>
      <c r="AQ450" s="34">
        <f>T450*N450</f>
        <v/>
      </c>
      <c r="AR450" s="34">
        <f>Z450*J451+0.5*Z450*(O450+P450)</f>
        <v/>
      </c>
      <c r="AS450" s="30">
        <f>(1+InflationRate)^(A450/12)</f>
        <v/>
      </c>
      <c r="AT450" s="29">
        <f>ExpenseAcq*M450+N450*ExpenseMaint/12*AS450</f>
        <v/>
      </c>
      <c r="AU450" s="29">
        <f>CommissionRate*AE450</f>
        <v/>
      </c>
      <c r="AV450" s="34">
        <f>AB451-AB450</f>
        <v/>
      </c>
      <c r="AW450" s="34">
        <f>AE450+AR450-AN450-AT450-AU450-AV450</f>
        <v/>
      </c>
      <c r="AX450" s="29">
        <f>LoadPremRate*E450*N450+AK450+AQ450-AU450-AT450</f>
        <v/>
      </c>
      <c r="AY450" s="34">
        <f>AP450-AO450</f>
        <v/>
      </c>
      <c r="AZ450" s="37">
        <f>(AW450-AX450-AY450)/MAX(1,ABS(AW450),ABS(AX450),ABS(AY450))</f>
        <v/>
      </c>
      <c r="BA450" s="37">
        <f>IF(OR(K450&gt;0,K451&gt;0),0,(AC451-(AC450+AF450-AQ450-AP450+AR450-AI450-AJ450-AM450))/MAX(1,ABS(AC450),ABS(AC451)))</f>
        <v/>
      </c>
      <c r="BB450" s="35">
        <f>(1+INDEX(DiscRateAnn,INT(A450/12)+1))^(1/12)-1</f>
        <v/>
      </c>
      <c r="BC450" s="31">
        <f>(1+BB450)^-A450</f>
        <v/>
      </c>
      <c r="BD450" s="34">
        <f>AW450*BC450</f>
        <v/>
      </c>
    </row>
    <row r="451">
      <c r="A451" s="27">
        <f>A450+1</f>
        <v/>
      </c>
      <c r="B451" s="28">
        <f>Duration0+A451</f>
        <v/>
      </c>
      <c r="C451" s="27">
        <f>INT(B451/12)</f>
        <v/>
      </c>
      <c r="D451" s="28">
        <f>AgeAtEntry+C451</f>
        <v/>
      </c>
      <c r="E451" s="29">
        <f>IF(PremiumType="SINGLE",IF(B451=0,PremiumPPInput,0),IF(B451&lt;12*PolicyTerm,PremiumPPInput,0))</f>
        <v/>
      </c>
      <c r="F451" s="30">
        <f>INDEX(MortRates,MATCH(MIN(D451,120),MortAges,0),MAX(MIN(C451,5),0)+1)</f>
        <v/>
      </c>
      <c r="G451" s="31">
        <f>1-(1-F451)^(1/12)</f>
        <v/>
      </c>
      <c r="H451" s="32">
        <f>MAX(LapseBase-LapseStep*C451,LapseFloor)</f>
        <v/>
      </c>
      <c r="I451" s="32">
        <f>IF(HasSurrCharge,INDEX(SurrRates,MIN(C451,SurrDurMax)+1,MATCH(SurrChargeID,SurrTypes,0)),0)</f>
        <v/>
      </c>
      <c r="J451" s="33">
        <f>N450-P450-O450</f>
        <v/>
      </c>
      <c r="K451" s="30">
        <f>IF(B451=12*PolicyTerm,J451,0)</f>
        <v/>
      </c>
      <c r="L451" s="33">
        <f>J451-K451</f>
        <v/>
      </c>
      <c r="M451" s="30">
        <f>IF(B451=0,PolicyCount,0)</f>
        <v/>
      </c>
      <c r="N451" s="33">
        <f>L451+M451</f>
        <v/>
      </c>
      <c r="O451" s="31">
        <f>N451*G451</f>
        <v/>
      </c>
      <c r="P451" s="33">
        <f>(N451-O451)*(1-(1-H451)^(1/12))</f>
        <v/>
      </c>
      <c r="Q451" s="34">
        <f>X450+Z450</f>
        <v/>
      </c>
      <c r="R451" s="29">
        <f>(1-LoadPremRate)*E451</f>
        <v/>
      </c>
      <c r="S451" s="34">
        <f>Q451+R451</f>
        <v/>
      </c>
      <c r="T451" s="29">
        <f>MaintFeeRateAnn/12*S451</f>
        <v/>
      </c>
      <c r="U451" s="29">
        <f>MAX(SumAssured-S451,0)</f>
        <v/>
      </c>
      <c r="V451" s="35">
        <f>CoiMultiple*G451</f>
        <v/>
      </c>
      <c r="W451" s="34">
        <f>V451*U451</f>
        <v/>
      </c>
      <c r="X451" s="34">
        <f>S451-T451-W451</f>
        <v/>
      </c>
      <c r="Y451" s="36">
        <f>EXP((Mu-0.5*Sigma^2)/12+Sigma*SQRT(1/12)*INDEX(NormRand,ScenID,A451+1))-1</f>
        <v/>
      </c>
      <c r="Z451" s="34">
        <f>Y451*X451</f>
        <v/>
      </c>
      <c r="AA451" s="34">
        <f>X451+0.5*Z451</f>
        <v/>
      </c>
      <c r="AB451" s="34">
        <f>Q451*J451</f>
        <v/>
      </c>
      <c r="AC451" s="34">
        <f>Q451*L451</f>
        <v/>
      </c>
      <c r="AD451" s="34">
        <f>S451*N451</f>
        <v/>
      </c>
      <c r="AE451" s="34">
        <f>E451*N451</f>
        <v/>
      </c>
      <c r="AF451" s="34">
        <f>R451*N451</f>
        <v/>
      </c>
      <c r="AG451" s="29">
        <f>MAX(SumAssured,AA451)</f>
        <v/>
      </c>
      <c r="AH451" s="34">
        <f>AG451*O451</f>
        <v/>
      </c>
      <c r="AI451" s="34">
        <f>AA451*O451</f>
        <v/>
      </c>
      <c r="AJ451" s="34">
        <f>AA451*P451</f>
        <v/>
      </c>
      <c r="AK451" s="34">
        <f>I451*AA451*P451</f>
        <v/>
      </c>
      <c r="AL451" s="34">
        <f>AJ451-AK451</f>
        <v/>
      </c>
      <c r="AM451" s="34">
        <f>Q451*K451</f>
        <v/>
      </c>
      <c r="AN451" s="34">
        <f>AH451+AL451+AM451</f>
        <v/>
      </c>
      <c r="AO451" s="34">
        <f>(AG451-AA451)*O451</f>
        <v/>
      </c>
      <c r="AP451" s="34">
        <f>W451*N451</f>
        <v/>
      </c>
      <c r="AQ451" s="34">
        <f>T451*N451</f>
        <v/>
      </c>
      <c r="AR451" s="34">
        <f>Z451*J452+0.5*Z451*(O451+P451)</f>
        <v/>
      </c>
      <c r="AS451" s="30">
        <f>(1+InflationRate)^(A451/12)</f>
        <v/>
      </c>
      <c r="AT451" s="29">
        <f>ExpenseAcq*M451+N451*ExpenseMaint/12*AS451</f>
        <v/>
      </c>
      <c r="AU451" s="29">
        <f>CommissionRate*AE451</f>
        <v/>
      </c>
      <c r="AV451" s="34">
        <f>AB452-AB451</f>
        <v/>
      </c>
      <c r="AW451" s="34">
        <f>AE451+AR451-AN451-AT451-AU451-AV451</f>
        <v/>
      </c>
      <c r="AX451" s="29">
        <f>LoadPremRate*E451*N451+AK451+AQ451-AU451-AT451</f>
        <v/>
      </c>
      <c r="AY451" s="34">
        <f>AP451-AO451</f>
        <v/>
      </c>
      <c r="AZ451" s="37">
        <f>(AW451-AX451-AY451)/MAX(1,ABS(AW451),ABS(AX451),ABS(AY451))</f>
        <v/>
      </c>
      <c r="BA451" s="37">
        <f>IF(OR(K451&gt;0,K452&gt;0),0,(AC452-(AC451+AF451-AQ451-AP451+AR451-AI451-AJ451-AM451))/MAX(1,ABS(AC451),ABS(AC452)))</f>
        <v/>
      </c>
      <c r="BB451" s="35">
        <f>(1+INDEX(DiscRateAnn,INT(A451/12)+1))^(1/12)-1</f>
        <v/>
      </c>
      <c r="BC451" s="31">
        <f>(1+BB451)^-A451</f>
        <v/>
      </c>
      <c r="BD451" s="34">
        <f>AW451*BC451</f>
        <v/>
      </c>
    </row>
    <row r="452">
      <c r="A452" s="27">
        <f>A451+1</f>
        <v/>
      </c>
      <c r="B452" s="28">
        <f>Duration0+A452</f>
        <v/>
      </c>
      <c r="C452" s="27">
        <f>INT(B452/12)</f>
        <v/>
      </c>
      <c r="D452" s="28">
        <f>AgeAtEntry+C452</f>
        <v/>
      </c>
      <c r="E452" s="29">
        <f>IF(PremiumType="SINGLE",IF(B452=0,PremiumPPInput,0),IF(B452&lt;12*PolicyTerm,PremiumPPInput,0))</f>
        <v/>
      </c>
      <c r="F452" s="30">
        <f>INDEX(MortRates,MATCH(MIN(D452,120),MortAges,0),MAX(MIN(C452,5),0)+1)</f>
        <v/>
      </c>
      <c r="G452" s="31">
        <f>1-(1-F452)^(1/12)</f>
        <v/>
      </c>
      <c r="H452" s="32">
        <f>MAX(LapseBase-LapseStep*C452,LapseFloor)</f>
        <v/>
      </c>
      <c r="I452" s="32">
        <f>IF(HasSurrCharge,INDEX(SurrRates,MIN(C452,SurrDurMax)+1,MATCH(SurrChargeID,SurrTypes,0)),0)</f>
        <v/>
      </c>
      <c r="J452" s="33">
        <f>N451-P451-O451</f>
        <v/>
      </c>
      <c r="K452" s="30">
        <f>IF(B452=12*PolicyTerm,J452,0)</f>
        <v/>
      </c>
      <c r="L452" s="33">
        <f>J452-K452</f>
        <v/>
      </c>
      <c r="M452" s="30">
        <f>IF(B452=0,PolicyCount,0)</f>
        <v/>
      </c>
      <c r="N452" s="33">
        <f>L452+M452</f>
        <v/>
      </c>
      <c r="O452" s="31">
        <f>N452*G452</f>
        <v/>
      </c>
      <c r="P452" s="33">
        <f>(N452-O452)*(1-(1-H452)^(1/12))</f>
        <v/>
      </c>
      <c r="Q452" s="34">
        <f>X451+Z451</f>
        <v/>
      </c>
      <c r="R452" s="29">
        <f>(1-LoadPremRate)*E452</f>
        <v/>
      </c>
      <c r="S452" s="34">
        <f>Q452+R452</f>
        <v/>
      </c>
      <c r="T452" s="29">
        <f>MaintFeeRateAnn/12*S452</f>
        <v/>
      </c>
      <c r="U452" s="29">
        <f>MAX(SumAssured-S452,0)</f>
        <v/>
      </c>
      <c r="V452" s="35">
        <f>CoiMultiple*G452</f>
        <v/>
      </c>
      <c r="W452" s="34">
        <f>V452*U452</f>
        <v/>
      </c>
      <c r="X452" s="34">
        <f>S452-T452-W452</f>
        <v/>
      </c>
      <c r="Y452" s="36">
        <f>EXP((Mu-0.5*Sigma^2)/12+Sigma*SQRT(1/12)*INDEX(NormRand,ScenID,A452+1))-1</f>
        <v/>
      </c>
      <c r="Z452" s="34">
        <f>Y452*X452</f>
        <v/>
      </c>
      <c r="AA452" s="34">
        <f>X452+0.5*Z452</f>
        <v/>
      </c>
      <c r="AB452" s="34">
        <f>Q452*J452</f>
        <v/>
      </c>
      <c r="AC452" s="34">
        <f>Q452*L452</f>
        <v/>
      </c>
      <c r="AD452" s="34">
        <f>S452*N452</f>
        <v/>
      </c>
      <c r="AE452" s="34">
        <f>E452*N452</f>
        <v/>
      </c>
      <c r="AF452" s="34">
        <f>R452*N452</f>
        <v/>
      </c>
      <c r="AG452" s="29">
        <f>MAX(SumAssured,AA452)</f>
        <v/>
      </c>
      <c r="AH452" s="34">
        <f>AG452*O452</f>
        <v/>
      </c>
      <c r="AI452" s="34">
        <f>AA452*O452</f>
        <v/>
      </c>
      <c r="AJ452" s="34">
        <f>AA452*P452</f>
        <v/>
      </c>
      <c r="AK452" s="34">
        <f>I452*AA452*P452</f>
        <v/>
      </c>
      <c r="AL452" s="34">
        <f>AJ452-AK452</f>
        <v/>
      </c>
      <c r="AM452" s="34">
        <f>Q452*K452</f>
        <v/>
      </c>
      <c r="AN452" s="34">
        <f>AH452+AL452+AM452</f>
        <v/>
      </c>
      <c r="AO452" s="34">
        <f>(AG452-AA452)*O452</f>
        <v/>
      </c>
      <c r="AP452" s="34">
        <f>W452*N452</f>
        <v/>
      </c>
      <c r="AQ452" s="34">
        <f>T452*N452</f>
        <v/>
      </c>
      <c r="AR452" s="34">
        <f>Z452*J453+0.5*Z452*(O452+P452)</f>
        <v/>
      </c>
      <c r="AS452" s="30">
        <f>(1+InflationRate)^(A452/12)</f>
        <v/>
      </c>
      <c r="AT452" s="29">
        <f>ExpenseAcq*M452+N452*ExpenseMaint/12*AS452</f>
        <v/>
      </c>
      <c r="AU452" s="29">
        <f>CommissionRate*AE452</f>
        <v/>
      </c>
      <c r="AV452" s="34">
        <f>AB453-AB452</f>
        <v/>
      </c>
      <c r="AW452" s="34">
        <f>AE452+AR452-AN452-AT452-AU452-AV452</f>
        <v/>
      </c>
      <c r="AX452" s="29">
        <f>LoadPremRate*E452*N452+AK452+AQ452-AU452-AT452</f>
        <v/>
      </c>
      <c r="AY452" s="34">
        <f>AP452-AO452</f>
        <v/>
      </c>
      <c r="AZ452" s="37">
        <f>(AW452-AX452-AY452)/MAX(1,ABS(AW452),ABS(AX452),ABS(AY452))</f>
        <v/>
      </c>
      <c r="BA452" s="37">
        <f>IF(OR(K452&gt;0,K453&gt;0),0,(AC453-(AC452+AF452-AQ452-AP452+AR452-AI452-AJ452-AM452))/MAX(1,ABS(AC452),ABS(AC453)))</f>
        <v/>
      </c>
      <c r="BB452" s="35">
        <f>(1+INDEX(DiscRateAnn,INT(A452/12)+1))^(1/12)-1</f>
        <v/>
      </c>
      <c r="BC452" s="31">
        <f>(1+BB452)^-A452</f>
        <v/>
      </c>
      <c r="BD452" s="34">
        <f>AW452*BC452</f>
        <v/>
      </c>
    </row>
    <row r="453">
      <c r="A453" s="27">
        <f>A452+1</f>
        <v/>
      </c>
      <c r="B453" s="28">
        <f>Duration0+A453</f>
        <v/>
      </c>
      <c r="C453" s="27">
        <f>INT(B453/12)</f>
        <v/>
      </c>
      <c r="D453" s="28">
        <f>AgeAtEntry+C453</f>
        <v/>
      </c>
      <c r="E453" s="29">
        <f>IF(PremiumType="SINGLE",IF(B453=0,PremiumPPInput,0),IF(B453&lt;12*PolicyTerm,PremiumPPInput,0))</f>
        <v/>
      </c>
      <c r="F453" s="30">
        <f>INDEX(MortRates,MATCH(MIN(D453,120),MortAges,0),MAX(MIN(C453,5),0)+1)</f>
        <v/>
      </c>
      <c r="G453" s="31">
        <f>1-(1-F453)^(1/12)</f>
        <v/>
      </c>
      <c r="H453" s="32">
        <f>MAX(LapseBase-LapseStep*C453,LapseFloor)</f>
        <v/>
      </c>
      <c r="I453" s="32">
        <f>IF(HasSurrCharge,INDEX(SurrRates,MIN(C453,SurrDurMax)+1,MATCH(SurrChargeID,SurrTypes,0)),0)</f>
        <v/>
      </c>
      <c r="J453" s="33">
        <f>N452-P452-O452</f>
        <v/>
      </c>
      <c r="K453" s="30">
        <f>IF(B453=12*PolicyTerm,J453,0)</f>
        <v/>
      </c>
      <c r="L453" s="33">
        <f>J453-K453</f>
        <v/>
      </c>
      <c r="M453" s="30">
        <f>IF(B453=0,PolicyCount,0)</f>
        <v/>
      </c>
      <c r="N453" s="33">
        <f>L453+M453</f>
        <v/>
      </c>
      <c r="O453" s="31">
        <f>N453*G453</f>
        <v/>
      </c>
      <c r="P453" s="33">
        <f>(N453-O453)*(1-(1-H453)^(1/12))</f>
        <v/>
      </c>
      <c r="Q453" s="34">
        <f>X452+Z452</f>
        <v/>
      </c>
      <c r="R453" s="29">
        <f>(1-LoadPremRate)*E453</f>
        <v/>
      </c>
      <c r="S453" s="34">
        <f>Q453+R453</f>
        <v/>
      </c>
      <c r="T453" s="29">
        <f>MaintFeeRateAnn/12*S453</f>
        <v/>
      </c>
      <c r="U453" s="29">
        <f>MAX(SumAssured-S453,0)</f>
        <v/>
      </c>
      <c r="V453" s="35">
        <f>CoiMultiple*G453</f>
        <v/>
      </c>
      <c r="W453" s="34">
        <f>V453*U453</f>
        <v/>
      </c>
      <c r="X453" s="34">
        <f>S453-T453-W453</f>
        <v/>
      </c>
      <c r="Y453" s="36">
        <f>EXP((Mu-0.5*Sigma^2)/12+Sigma*SQRT(1/12)*INDEX(NormRand,ScenID,A453+1))-1</f>
        <v/>
      </c>
      <c r="Z453" s="34">
        <f>Y453*X453</f>
        <v/>
      </c>
      <c r="AA453" s="34">
        <f>X453+0.5*Z453</f>
        <v/>
      </c>
      <c r="AB453" s="34">
        <f>Q453*J453</f>
        <v/>
      </c>
      <c r="AC453" s="34">
        <f>Q453*L453</f>
        <v/>
      </c>
      <c r="AD453" s="34">
        <f>S453*N453</f>
        <v/>
      </c>
      <c r="AE453" s="34">
        <f>E453*N453</f>
        <v/>
      </c>
      <c r="AF453" s="34">
        <f>R453*N453</f>
        <v/>
      </c>
      <c r="AG453" s="29">
        <f>MAX(SumAssured,AA453)</f>
        <v/>
      </c>
      <c r="AH453" s="34">
        <f>AG453*O453</f>
        <v/>
      </c>
      <c r="AI453" s="34">
        <f>AA453*O453</f>
        <v/>
      </c>
      <c r="AJ453" s="34">
        <f>AA453*P453</f>
        <v/>
      </c>
      <c r="AK453" s="34">
        <f>I453*AA453*P453</f>
        <v/>
      </c>
      <c r="AL453" s="34">
        <f>AJ453-AK453</f>
        <v/>
      </c>
      <c r="AM453" s="34">
        <f>Q453*K453</f>
        <v/>
      </c>
      <c r="AN453" s="34">
        <f>AH453+AL453+AM453</f>
        <v/>
      </c>
      <c r="AO453" s="34">
        <f>(AG453-AA453)*O453</f>
        <v/>
      </c>
      <c r="AP453" s="34">
        <f>W453*N453</f>
        <v/>
      </c>
      <c r="AQ453" s="34">
        <f>T453*N453</f>
        <v/>
      </c>
      <c r="AR453" s="34">
        <f>Z453*J454+0.5*Z453*(O453+P453)</f>
        <v/>
      </c>
      <c r="AS453" s="30">
        <f>(1+InflationRate)^(A453/12)</f>
        <v/>
      </c>
      <c r="AT453" s="29">
        <f>ExpenseAcq*M453+N453*ExpenseMaint/12*AS453</f>
        <v/>
      </c>
      <c r="AU453" s="29">
        <f>CommissionRate*AE453</f>
        <v/>
      </c>
      <c r="AV453" s="34">
        <f>AB454-AB453</f>
        <v/>
      </c>
      <c r="AW453" s="34">
        <f>AE453+AR453-AN453-AT453-AU453-AV453</f>
        <v/>
      </c>
      <c r="AX453" s="29">
        <f>LoadPremRate*E453*N453+AK453+AQ453-AU453-AT453</f>
        <v/>
      </c>
      <c r="AY453" s="34">
        <f>AP453-AO453</f>
        <v/>
      </c>
      <c r="AZ453" s="37">
        <f>(AW453-AX453-AY453)/MAX(1,ABS(AW453),ABS(AX453),ABS(AY453))</f>
        <v/>
      </c>
      <c r="BA453" s="37">
        <f>IF(OR(K453&gt;0,K454&gt;0),0,(AC454-(AC453+AF453-AQ453-AP453+AR453-AI453-AJ453-AM453))/MAX(1,ABS(AC453),ABS(AC454)))</f>
        <v/>
      </c>
      <c r="BB453" s="35">
        <f>(1+INDEX(DiscRateAnn,INT(A453/12)+1))^(1/12)-1</f>
        <v/>
      </c>
      <c r="BC453" s="31">
        <f>(1+BB453)^-A453</f>
        <v/>
      </c>
      <c r="BD453" s="34">
        <f>AW453*BC453</f>
        <v/>
      </c>
    </row>
    <row r="454">
      <c r="A454" s="27">
        <f>A453+1</f>
        <v/>
      </c>
      <c r="B454" s="28">
        <f>Duration0+A454</f>
        <v/>
      </c>
      <c r="C454" s="27">
        <f>INT(B454/12)</f>
        <v/>
      </c>
      <c r="D454" s="28">
        <f>AgeAtEntry+C454</f>
        <v/>
      </c>
      <c r="E454" s="29">
        <f>IF(PremiumType="SINGLE",IF(B454=0,PremiumPPInput,0),IF(B454&lt;12*PolicyTerm,PremiumPPInput,0))</f>
        <v/>
      </c>
      <c r="F454" s="30">
        <f>INDEX(MortRates,MATCH(MIN(D454,120),MortAges,0),MAX(MIN(C454,5),0)+1)</f>
        <v/>
      </c>
      <c r="G454" s="31">
        <f>1-(1-F454)^(1/12)</f>
        <v/>
      </c>
      <c r="H454" s="32">
        <f>MAX(LapseBase-LapseStep*C454,LapseFloor)</f>
        <v/>
      </c>
      <c r="I454" s="32">
        <f>IF(HasSurrCharge,INDEX(SurrRates,MIN(C454,SurrDurMax)+1,MATCH(SurrChargeID,SurrTypes,0)),0)</f>
        <v/>
      </c>
      <c r="J454" s="33">
        <f>N453-P453-O453</f>
        <v/>
      </c>
      <c r="K454" s="30">
        <f>IF(B454=12*PolicyTerm,J454,0)</f>
        <v/>
      </c>
      <c r="L454" s="33">
        <f>J454-K454</f>
        <v/>
      </c>
      <c r="M454" s="30">
        <f>IF(B454=0,PolicyCount,0)</f>
        <v/>
      </c>
      <c r="N454" s="33">
        <f>L454+M454</f>
        <v/>
      </c>
      <c r="O454" s="31">
        <f>N454*G454</f>
        <v/>
      </c>
      <c r="P454" s="33">
        <f>(N454-O454)*(1-(1-H454)^(1/12))</f>
        <v/>
      </c>
      <c r="Q454" s="34">
        <f>X453+Z453</f>
        <v/>
      </c>
      <c r="R454" s="29">
        <f>(1-LoadPremRate)*E454</f>
        <v/>
      </c>
      <c r="S454" s="34">
        <f>Q454+R454</f>
        <v/>
      </c>
      <c r="T454" s="29">
        <f>MaintFeeRateAnn/12*S454</f>
        <v/>
      </c>
      <c r="U454" s="29">
        <f>MAX(SumAssured-S454,0)</f>
        <v/>
      </c>
      <c r="V454" s="35">
        <f>CoiMultiple*G454</f>
        <v/>
      </c>
      <c r="W454" s="34">
        <f>V454*U454</f>
        <v/>
      </c>
      <c r="X454" s="34">
        <f>S454-T454-W454</f>
        <v/>
      </c>
      <c r="Y454" s="36">
        <f>EXP((Mu-0.5*Sigma^2)/12+Sigma*SQRT(1/12)*INDEX(NormRand,ScenID,A454+1))-1</f>
        <v/>
      </c>
      <c r="Z454" s="34">
        <f>Y454*X454</f>
        <v/>
      </c>
      <c r="AA454" s="34">
        <f>X454+0.5*Z454</f>
        <v/>
      </c>
      <c r="AB454" s="34">
        <f>Q454*J454</f>
        <v/>
      </c>
      <c r="AC454" s="34">
        <f>Q454*L454</f>
        <v/>
      </c>
      <c r="AD454" s="34">
        <f>S454*N454</f>
        <v/>
      </c>
      <c r="AE454" s="34">
        <f>E454*N454</f>
        <v/>
      </c>
      <c r="AF454" s="34">
        <f>R454*N454</f>
        <v/>
      </c>
      <c r="AG454" s="29">
        <f>MAX(SumAssured,AA454)</f>
        <v/>
      </c>
      <c r="AH454" s="34">
        <f>AG454*O454</f>
        <v/>
      </c>
      <c r="AI454" s="34">
        <f>AA454*O454</f>
        <v/>
      </c>
      <c r="AJ454" s="34">
        <f>AA454*P454</f>
        <v/>
      </c>
      <c r="AK454" s="34">
        <f>I454*AA454*P454</f>
        <v/>
      </c>
      <c r="AL454" s="34">
        <f>AJ454-AK454</f>
        <v/>
      </c>
      <c r="AM454" s="34">
        <f>Q454*K454</f>
        <v/>
      </c>
      <c r="AN454" s="34">
        <f>AH454+AL454+AM454</f>
        <v/>
      </c>
      <c r="AO454" s="34">
        <f>(AG454-AA454)*O454</f>
        <v/>
      </c>
      <c r="AP454" s="34">
        <f>W454*N454</f>
        <v/>
      </c>
      <c r="AQ454" s="34">
        <f>T454*N454</f>
        <v/>
      </c>
      <c r="AR454" s="34">
        <f>Z454*J455+0.5*Z454*(O454+P454)</f>
        <v/>
      </c>
      <c r="AS454" s="30">
        <f>(1+InflationRate)^(A454/12)</f>
        <v/>
      </c>
      <c r="AT454" s="29">
        <f>ExpenseAcq*M454+N454*ExpenseMaint/12*AS454</f>
        <v/>
      </c>
      <c r="AU454" s="29">
        <f>CommissionRate*AE454</f>
        <v/>
      </c>
      <c r="AV454" s="34">
        <f>AB455-AB454</f>
        <v/>
      </c>
      <c r="AW454" s="34">
        <f>AE454+AR454-AN454-AT454-AU454-AV454</f>
        <v/>
      </c>
      <c r="AX454" s="29">
        <f>LoadPremRate*E454*N454+AK454+AQ454-AU454-AT454</f>
        <v/>
      </c>
      <c r="AY454" s="34">
        <f>AP454-AO454</f>
        <v/>
      </c>
      <c r="AZ454" s="37">
        <f>(AW454-AX454-AY454)/MAX(1,ABS(AW454),ABS(AX454),ABS(AY454))</f>
        <v/>
      </c>
      <c r="BA454" s="37">
        <f>IF(OR(K454&gt;0,K455&gt;0),0,(AC455-(AC454+AF454-AQ454-AP454+AR454-AI454-AJ454-AM454))/MAX(1,ABS(AC454),ABS(AC455)))</f>
        <v/>
      </c>
      <c r="BB454" s="35">
        <f>(1+INDEX(DiscRateAnn,INT(A454/12)+1))^(1/12)-1</f>
        <v/>
      </c>
      <c r="BC454" s="31">
        <f>(1+BB454)^-A454</f>
        <v/>
      </c>
      <c r="BD454" s="34">
        <f>AW454*BC454</f>
        <v/>
      </c>
    </row>
    <row r="455">
      <c r="A455" s="27">
        <f>A454+1</f>
        <v/>
      </c>
      <c r="B455" s="28">
        <f>Duration0+A455</f>
        <v/>
      </c>
      <c r="C455" s="27">
        <f>INT(B455/12)</f>
        <v/>
      </c>
      <c r="D455" s="28">
        <f>AgeAtEntry+C455</f>
        <v/>
      </c>
      <c r="E455" s="29">
        <f>IF(PremiumType="SINGLE",IF(B455=0,PremiumPPInput,0),IF(B455&lt;12*PolicyTerm,PremiumPPInput,0))</f>
        <v/>
      </c>
      <c r="F455" s="30">
        <f>INDEX(MortRates,MATCH(MIN(D455,120),MortAges,0),MAX(MIN(C455,5),0)+1)</f>
        <v/>
      </c>
      <c r="G455" s="31">
        <f>1-(1-F455)^(1/12)</f>
        <v/>
      </c>
      <c r="H455" s="32">
        <f>MAX(LapseBase-LapseStep*C455,LapseFloor)</f>
        <v/>
      </c>
      <c r="I455" s="32">
        <f>IF(HasSurrCharge,INDEX(SurrRates,MIN(C455,SurrDurMax)+1,MATCH(SurrChargeID,SurrTypes,0)),0)</f>
        <v/>
      </c>
      <c r="J455" s="33">
        <f>N454-P454-O454</f>
        <v/>
      </c>
      <c r="K455" s="30">
        <f>IF(B455=12*PolicyTerm,J455,0)</f>
        <v/>
      </c>
      <c r="L455" s="33">
        <f>J455-K455</f>
        <v/>
      </c>
      <c r="M455" s="30">
        <f>IF(B455=0,PolicyCount,0)</f>
        <v/>
      </c>
      <c r="N455" s="33">
        <f>L455+M455</f>
        <v/>
      </c>
      <c r="O455" s="31">
        <f>N455*G455</f>
        <v/>
      </c>
      <c r="P455" s="33">
        <f>(N455-O455)*(1-(1-H455)^(1/12))</f>
        <v/>
      </c>
      <c r="Q455" s="34">
        <f>X454+Z454</f>
        <v/>
      </c>
      <c r="R455" s="29">
        <f>(1-LoadPremRate)*E455</f>
        <v/>
      </c>
      <c r="S455" s="34">
        <f>Q455+R455</f>
        <v/>
      </c>
      <c r="T455" s="29">
        <f>MaintFeeRateAnn/12*S455</f>
        <v/>
      </c>
      <c r="U455" s="29">
        <f>MAX(SumAssured-S455,0)</f>
        <v/>
      </c>
      <c r="V455" s="35">
        <f>CoiMultiple*G455</f>
        <v/>
      </c>
      <c r="W455" s="34">
        <f>V455*U455</f>
        <v/>
      </c>
      <c r="X455" s="34">
        <f>S455-T455-W455</f>
        <v/>
      </c>
      <c r="Y455" s="36">
        <f>EXP((Mu-0.5*Sigma^2)/12+Sigma*SQRT(1/12)*INDEX(NormRand,ScenID,A455+1))-1</f>
        <v/>
      </c>
      <c r="Z455" s="34">
        <f>Y455*X455</f>
        <v/>
      </c>
      <c r="AA455" s="34">
        <f>X455+0.5*Z455</f>
        <v/>
      </c>
      <c r="AB455" s="34">
        <f>Q455*J455</f>
        <v/>
      </c>
      <c r="AC455" s="34">
        <f>Q455*L455</f>
        <v/>
      </c>
      <c r="AD455" s="34">
        <f>S455*N455</f>
        <v/>
      </c>
      <c r="AE455" s="34">
        <f>E455*N455</f>
        <v/>
      </c>
      <c r="AF455" s="34">
        <f>R455*N455</f>
        <v/>
      </c>
      <c r="AG455" s="29">
        <f>MAX(SumAssured,AA455)</f>
        <v/>
      </c>
      <c r="AH455" s="34">
        <f>AG455*O455</f>
        <v/>
      </c>
      <c r="AI455" s="34">
        <f>AA455*O455</f>
        <v/>
      </c>
      <c r="AJ455" s="34">
        <f>AA455*P455</f>
        <v/>
      </c>
      <c r="AK455" s="34">
        <f>I455*AA455*P455</f>
        <v/>
      </c>
      <c r="AL455" s="34">
        <f>AJ455-AK455</f>
        <v/>
      </c>
      <c r="AM455" s="34">
        <f>Q455*K455</f>
        <v/>
      </c>
      <c r="AN455" s="34">
        <f>AH455+AL455+AM455</f>
        <v/>
      </c>
      <c r="AO455" s="34">
        <f>(AG455-AA455)*O455</f>
        <v/>
      </c>
      <c r="AP455" s="34">
        <f>W455*N455</f>
        <v/>
      </c>
      <c r="AQ455" s="34">
        <f>T455*N455</f>
        <v/>
      </c>
      <c r="AR455" s="34">
        <f>Z455*J456+0.5*Z455*(O455+P455)</f>
        <v/>
      </c>
      <c r="AS455" s="30">
        <f>(1+InflationRate)^(A455/12)</f>
        <v/>
      </c>
      <c r="AT455" s="29">
        <f>ExpenseAcq*M455+N455*ExpenseMaint/12*AS455</f>
        <v/>
      </c>
      <c r="AU455" s="29">
        <f>CommissionRate*AE455</f>
        <v/>
      </c>
      <c r="AV455" s="34">
        <f>AB456-AB455</f>
        <v/>
      </c>
      <c r="AW455" s="34">
        <f>AE455+AR455-AN455-AT455-AU455-AV455</f>
        <v/>
      </c>
      <c r="AX455" s="29">
        <f>LoadPremRate*E455*N455+AK455+AQ455-AU455-AT455</f>
        <v/>
      </c>
      <c r="AY455" s="34">
        <f>AP455-AO455</f>
        <v/>
      </c>
      <c r="AZ455" s="37">
        <f>(AW455-AX455-AY455)/MAX(1,ABS(AW455),ABS(AX455),ABS(AY455))</f>
        <v/>
      </c>
      <c r="BA455" s="37">
        <f>IF(OR(K455&gt;0,K456&gt;0),0,(AC456-(AC455+AF455-AQ455-AP455+AR455-AI455-AJ455-AM455))/MAX(1,ABS(AC455),ABS(AC456)))</f>
        <v/>
      </c>
      <c r="BB455" s="35">
        <f>(1+INDEX(DiscRateAnn,INT(A455/12)+1))^(1/12)-1</f>
        <v/>
      </c>
      <c r="BC455" s="31">
        <f>(1+BB455)^-A455</f>
        <v/>
      </c>
      <c r="BD455" s="34">
        <f>AW455*BC455</f>
        <v/>
      </c>
    </row>
    <row r="456">
      <c r="A456" s="27">
        <f>A455+1</f>
        <v/>
      </c>
      <c r="B456" s="28">
        <f>Duration0+A456</f>
        <v/>
      </c>
      <c r="C456" s="27">
        <f>INT(B456/12)</f>
        <v/>
      </c>
      <c r="D456" s="28">
        <f>AgeAtEntry+C456</f>
        <v/>
      </c>
      <c r="E456" s="29">
        <f>IF(PremiumType="SINGLE",IF(B456=0,PremiumPPInput,0),IF(B456&lt;12*PolicyTerm,PremiumPPInput,0))</f>
        <v/>
      </c>
      <c r="F456" s="30">
        <f>INDEX(MortRates,MATCH(MIN(D456,120),MortAges,0),MAX(MIN(C456,5),0)+1)</f>
        <v/>
      </c>
      <c r="G456" s="31">
        <f>1-(1-F456)^(1/12)</f>
        <v/>
      </c>
      <c r="H456" s="32">
        <f>MAX(LapseBase-LapseStep*C456,LapseFloor)</f>
        <v/>
      </c>
      <c r="I456" s="32">
        <f>IF(HasSurrCharge,INDEX(SurrRates,MIN(C456,SurrDurMax)+1,MATCH(SurrChargeID,SurrTypes,0)),0)</f>
        <v/>
      </c>
      <c r="J456" s="33">
        <f>N455-P455-O455</f>
        <v/>
      </c>
      <c r="K456" s="30">
        <f>IF(B456=12*PolicyTerm,J456,0)</f>
        <v/>
      </c>
      <c r="L456" s="33">
        <f>J456-K456</f>
        <v/>
      </c>
      <c r="M456" s="30">
        <f>IF(B456=0,PolicyCount,0)</f>
        <v/>
      </c>
      <c r="N456" s="33">
        <f>L456+M456</f>
        <v/>
      </c>
      <c r="O456" s="31">
        <f>N456*G456</f>
        <v/>
      </c>
      <c r="P456" s="33">
        <f>(N456-O456)*(1-(1-H456)^(1/12))</f>
        <v/>
      </c>
      <c r="Q456" s="34">
        <f>X455+Z455</f>
        <v/>
      </c>
      <c r="R456" s="29">
        <f>(1-LoadPremRate)*E456</f>
        <v/>
      </c>
      <c r="S456" s="34">
        <f>Q456+R456</f>
        <v/>
      </c>
      <c r="T456" s="29">
        <f>MaintFeeRateAnn/12*S456</f>
        <v/>
      </c>
      <c r="U456" s="29">
        <f>MAX(SumAssured-S456,0)</f>
        <v/>
      </c>
      <c r="V456" s="35">
        <f>CoiMultiple*G456</f>
        <v/>
      </c>
      <c r="W456" s="34">
        <f>V456*U456</f>
        <v/>
      </c>
      <c r="X456" s="34">
        <f>S456-T456-W456</f>
        <v/>
      </c>
      <c r="Y456" s="36">
        <f>EXP((Mu-0.5*Sigma^2)/12+Sigma*SQRT(1/12)*INDEX(NormRand,ScenID,A456+1))-1</f>
        <v/>
      </c>
      <c r="Z456" s="34">
        <f>Y456*X456</f>
        <v/>
      </c>
      <c r="AA456" s="34">
        <f>X456+0.5*Z456</f>
        <v/>
      </c>
      <c r="AB456" s="34">
        <f>Q456*J456</f>
        <v/>
      </c>
      <c r="AC456" s="34">
        <f>Q456*L456</f>
        <v/>
      </c>
      <c r="AD456" s="34">
        <f>S456*N456</f>
        <v/>
      </c>
      <c r="AE456" s="34">
        <f>E456*N456</f>
        <v/>
      </c>
      <c r="AF456" s="34">
        <f>R456*N456</f>
        <v/>
      </c>
      <c r="AG456" s="29">
        <f>MAX(SumAssured,AA456)</f>
        <v/>
      </c>
      <c r="AH456" s="34">
        <f>AG456*O456</f>
        <v/>
      </c>
      <c r="AI456" s="34">
        <f>AA456*O456</f>
        <v/>
      </c>
      <c r="AJ456" s="34">
        <f>AA456*P456</f>
        <v/>
      </c>
      <c r="AK456" s="34">
        <f>I456*AA456*P456</f>
        <v/>
      </c>
      <c r="AL456" s="34">
        <f>AJ456-AK456</f>
        <v/>
      </c>
      <c r="AM456" s="34">
        <f>Q456*K456</f>
        <v/>
      </c>
      <c r="AN456" s="34">
        <f>AH456+AL456+AM456</f>
        <v/>
      </c>
      <c r="AO456" s="34">
        <f>(AG456-AA456)*O456</f>
        <v/>
      </c>
      <c r="AP456" s="34">
        <f>W456*N456</f>
        <v/>
      </c>
      <c r="AQ456" s="34">
        <f>T456*N456</f>
        <v/>
      </c>
      <c r="AR456" s="34">
        <f>Z456*J457+0.5*Z456*(O456+P456)</f>
        <v/>
      </c>
      <c r="AS456" s="30">
        <f>(1+InflationRate)^(A456/12)</f>
        <v/>
      </c>
      <c r="AT456" s="29">
        <f>ExpenseAcq*M456+N456*ExpenseMaint/12*AS456</f>
        <v/>
      </c>
      <c r="AU456" s="29">
        <f>CommissionRate*AE456</f>
        <v/>
      </c>
      <c r="AV456" s="34">
        <f>AB457-AB456</f>
        <v/>
      </c>
      <c r="AW456" s="34">
        <f>AE456+AR456-AN456-AT456-AU456-AV456</f>
        <v/>
      </c>
      <c r="AX456" s="29">
        <f>LoadPremRate*E456*N456+AK456+AQ456-AU456-AT456</f>
        <v/>
      </c>
      <c r="AY456" s="34">
        <f>AP456-AO456</f>
        <v/>
      </c>
      <c r="AZ456" s="37">
        <f>(AW456-AX456-AY456)/MAX(1,ABS(AW456),ABS(AX456),ABS(AY456))</f>
        <v/>
      </c>
      <c r="BA456" s="37">
        <f>IF(OR(K456&gt;0,K457&gt;0),0,(AC457-(AC456+AF456-AQ456-AP456+AR456-AI456-AJ456-AM456))/MAX(1,ABS(AC456),ABS(AC457)))</f>
        <v/>
      </c>
      <c r="BB456" s="35">
        <f>(1+INDEX(DiscRateAnn,INT(A456/12)+1))^(1/12)-1</f>
        <v/>
      </c>
      <c r="BC456" s="31">
        <f>(1+BB456)^-A456</f>
        <v/>
      </c>
      <c r="BD456" s="34">
        <f>AW456*BC456</f>
        <v/>
      </c>
    </row>
    <row r="457">
      <c r="A457" s="27">
        <f>A456+1</f>
        <v/>
      </c>
      <c r="B457" s="28">
        <f>Duration0+A457</f>
        <v/>
      </c>
      <c r="C457" s="27">
        <f>INT(B457/12)</f>
        <v/>
      </c>
      <c r="D457" s="28">
        <f>AgeAtEntry+C457</f>
        <v/>
      </c>
      <c r="E457" s="29">
        <f>IF(PremiumType="SINGLE",IF(B457=0,PremiumPPInput,0),IF(B457&lt;12*PolicyTerm,PremiumPPInput,0))</f>
        <v/>
      </c>
      <c r="F457" s="30">
        <f>INDEX(MortRates,MATCH(MIN(D457,120),MortAges,0),MAX(MIN(C457,5),0)+1)</f>
        <v/>
      </c>
      <c r="G457" s="31">
        <f>1-(1-F457)^(1/12)</f>
        <v/>
      </c>
      <c r="H457" s="32">
        <f>MAX(LapseBase-LapseStep*C457,LapseFloor)</f>
        <v/>
      </c>
      <c r="I457" s="32">
        <f>IF(HasSurrCharge,INDEX(SurrRates,MIN(C457,SurrDurMax)+1,MATCH(SurrChargeID,SurrTypes,0)),0)</f>
        <v/>
      </c>
      <c r="J457" s="33">
        <f>N456-P456-O456</f>
        <v/>
      </c>
      <c r="K457" s="30">
        <f>IF(B457=12*PolicyTerm,J457,0)</f>
        <v/>
      </c>
      <c r="L457" s="33">
        <f>J457-K457</f>
        <v/>
      </c>
      <c r="M457" s="30">
        <f>IF(B457=0,PolicyCount,0)</f>
        <v/>
      </c>
      <c r="N457" s="33">
        <f>L457+M457</f>
        <v/>
      </c>
      <c r="O457" s="31">
        <f>N457*G457</f>
        <v/>
      </c>
      <c r="P457" s="33">
        <f>(N457-O457)*(1-(1-H457)^(1/12))</f>
        <v/>
      </c>
      <c r="Q457" s="34">
        <f>X456+Z456</f>
        <v/>
      </c>
      <c r="R457" s="29">
        <f>(1-LoadPremRate)*E457</f>
        <v/>
      </c>
      <c r="S457" s="34">
        <f>Q457+R457</f>
        <v/>
      </c>
      <c r="T457" s="29">
        <f>MaintFeeRateAnn/12*S457</f>
        <v/>
      </c>
      <c r="U457" s="29">
        <f>MAX(SumAssured-S457,0)</f>
        <v/>
      </c>
      <c r="V457" s="35">
        <f>CoiMultiple*G457</f>
        <v/>
      </c>
      <c r="W457" s="34">
        <f>V457*U457</f>
        <v/>
      </c>
      <c r="X457" s="34">
        <f>S457-T457-W457</f>
        <v/>
      </c>
      <c r="Y457" s="36">
        <f>EXP((Mu-0.5*Sigma^2)/12+Sigma*SQRT(1/12)*INDEX(NormRand,ScenID,A457+1))-1</f>
        <v/>
      </c>
      <c r="Z457" s="34">
        <f>Y457*X457</f>
        <v/>
      </c>
      <c r="AA457" s="34">
        <f>X457+0.5*Z457</f>
        <v/>
      </c>
      <c r="AB457" s="34">
        <f>Q457*J457</f>
        <v/>
      </c>
      <c r="AC457" s="34">
        <f>Q457*L457</f>
        <v/>
      </c>
      <c r="AD457" s="34">
        <f>S457*N457</f>
        <v/>
      </c>
      <c r="AE457" s="34">
        <f>E457*N457</f>
        <v/>
      </c>
      <c r="AF457" s="34">
        <f>R457*N457</f>
        <v/>
      </c>
      <c r="AG457" s="29">
        <f>MAX(SumAssured,AA457)</f>
        <v/>
      </c>
      <c r="AH457" s="34">
        <f>AG457*O457</f>
        <v/>
      </c>
      <c r="AI457" s="34">
        <f>AA457*O457</f>
        <v/>
      </c>
      <c r="AJ457" s="34">
        <f>AA457*P457</f>
        <v/>
      </c>
      <c r="AK457" s="34">
        <f>I457*AA457*P457</f>
        <v/>
      </c>
      <c r="AL457" s="34">
        <f>AJ457-AK457</f>
        <v/>
      </c>
      <c r="AM457" s="34">
        <f>Q457*K457</f>
        <v/>
      </c>
      <c r="AN457" s="34">
        <f>AH457+AL457+AM457</f>
        <v/>
      </c>
      <c r="AO457" s="34">
        <f>(AG457-AA457)*O457</f>
        <v/>
      </c>
      <c r="AP457" s="34">
        <f>W457*N457</f>
        <v/>
      </c>
      <c r="AQ457" s="34">
        <f>T457*N457</f>
        <v/>
      </c>
      <c r="AR457" s="34">
        <f>Z457*J458+0.5*Z457*(O457+P457)</f>
        <v/>
      </c>
      <c r="AS457" s="30">
        <f>(1+InflationRate)^(A457/12)</f>
        <v/>
      </c>
      <c r="AT457" s="29">
        <f>ExpenseAcq*M457+N457*ExpenseMaint/12*AS457</f>
        <v/>
      </c>
      <c r="AU457" s="29">
        <f>CommissionRate*AE457</f>
        <v/>
      </c>
      <c r="AV457" s="34">
        <f>AB458-AB457</f>
        <v/>
      </c>
      <c r="AW457" s="34">
        <f>AE457+AR457-AN457-AT457-AU457-AV457</f>
        <v/>
      </c>
      <c r="AX457" s="29">
        <f>LoadPremRate*E457*N457+AK457+AQ457-AU457-AT457</f>
        <v/>
      </c>
      <c r="AY457" s="34">
        <f>AP457-AO457</f>
        <v/>
      </c>
      <c r="AZ457" s="37">
        <f>(AW457-AX457-AY457)/MAX(1,ABS(AW457),ABS(AX457),ABS(AY457))</f>
        <v/>
      </c>
      <c r="BA457" s="37">
        <f>IF(OR(K457&gt;0,K458&gt;0),0,(AC458-(AC457+AF457-AQ457-AP457+AR457-AI457-AJ457-AM457))/MAX(1,ABS(AC457),ABS(AC458)))</f>
        <v/>
      </c>
      <c r="BB457" s="35">
        <f>(1+INDEX(DiscRateAnn,INT(A457/12)+1))^(1/12)-1</f>
        <v/>
      </c>
      <c r="BC457" s="31">
        <f>(1+BB457)^-A457</f>
        <v/>
      </c>
      <c r="BD457" s="34">
        <f>AW457*BC457</f>
        <v/>
      </c>
    </row>
    <row r="458">
      <c r="A458" s="27">
        <f>A457+1</f>
        <v/>
      </c>
      <c r="B458" s="28">
        <f>Duration0+A458</f>
        <v/>
      </c>
      <c r="C458" s="27">
        <f>INT(B458/12)</f>
        <v/>
      </c>
      <c r="D458" s="28">
        <f>AgeAtEntry+C458</f>
        <v/>
      </c>
      <c r="E458" s="29">
        <f>IF(PremiumType="SINGLE",IF(B458=0,PremiumPPInput,0),IF(B458&lt;12*PolicyTerm,PremiumPPInput,0))</f>
        <v/>
      </c>
      <c r="F458" s="30">
        <f>INDEX(MortRates,MATCH(MIN(D458,120),MortAges,0),MAX(MIN(C458,5),0)+1)</f>
        <v/>
      </c>
      <c r="G458" s="31">
        <f>1-(1-F458)^(1/12)</f>
        <v/>
      </c>
      <c r="H458" s="32">
        <f>MAX(LapseBase-LapseStep*C458,LapseFloor)</f>
        <v/>
      </c>
      <c r="I458" s="32">
        <f>IF(HasSurrCharge,INDEX(SurrRates,MIN(C458,SurrDurMax)+1,MATCH(SurrChargeID,SurrTypes,0)),0)</f>
        <v/>
      </c>
      <c r="J458" s="33">
        <f>N457-P457-O457</f>
        <v/>
      </c>
      <c r="K458" s="30">
        <f>IF(B458=12*PolicyTerm,J458,0)</f>
        <v/>
      </c>
      <c r="L458" s="33">
        <f>J458-K458</f>
        <v/>
      </c>
      <c r="M458" s="30">
        <f>IF(B458=0,PolicyCount,0)</f>
        <v/>
      </c>
      <c r="N458" s="33">
        <f>L458+M458</f>
        <v/>
      </c>
      <c r="O458" s="31">
        <f>N458*G458</f>
        <v/>
      </c>
      <c r="P458" s="33">
        <f>(N458-O458)*(1-(1-H458)^(1/12))</f>
        <v/>
      </c>
      <c r="Q458" s="34">
        <f>X457+Z457</f>
        <v/>
      </c>
      <c r="R458" s="29">
        <f>(1-LoadPremRate)*E458</f>
        <v/>
      </c>
      <c r="S458" s="34">
        <f>Q458+R458</f>
        <v/>
      </c>
      <c r="T458" s="29">
        <f>MaintFeeRateAnn/12*S458</f>
        <v/>
      </c>
      <c r="U458" s="29">
        <f>MAX(SumAssured-S458,0)</f>
        <v/>
      </c>
      <c r="V458" s="35">
        <f>CoiMultiple*G458</f>
        <v/>
      </c>
      <c r="W458" s="34">
        <f>V458*U458</f>
        <v/>
      </c>
      <c r="X458" s="34">
        <f>S458-T458-W458</f>
        <v/>
      </c>
      <c r="Y458" s="36">
        <f>EXP((Mu-0.5*Sigma^2)/12+Sigma*SQRT(1/12)*INDEX(NormRand,ScenID,A458+1))-1</f>
        <v/>
      </c>
      <c r="Z458" s="34">
        <f>Y458*X458</f>
        <v/>
      </c>
      <c r="AA458" s="34">
        <f>X458+0.5*Z458</f>
        <v/>
      </c>
      <c r="AB458" s="34">
        <f>Q458*J458</f>
        <v/>
      </c>
      <c r="AC458" s="34">
        <f>Q458*L458</f>
        <v/>
      </c>
      <c r="AD458" s="34">
        <f>S458*N458</f>
        <v/>
      </c>
      <c r="AE458" s="34">
        <f>E458*N458</f>
        <v/>
      </c>
      <c r="AF458" s="34">
        <f>R458*N458</f>
        <v/>
      </c>
      <c r="AG458" s="29">
        <f>MAX(SumAssured,AA458)</f>
        <v/>
      </c>
      <c r="AH458" s="34">
        <f>AG458*O458</f>
        <v/>
      </c>
      <c r="AI458" s="34">
        <f>AA458*O458</f>
        <v/>
      </c>
      <c r="AJ458" s="34">
        <f>AA458*P458</f>
        <v/>
      </c>
      <c r="AK458" s="34">
        <f>I458*AA458*P458</f>
        <v/>
      </c>
      <c r="AL458" s="34">
        <f>AJ458-AK458</f>
        <v/>
      </c>
      <c r="AM458" s="34">
        <f>Q458*K458</f>
        <v/>
      </c>
      <c r="AN458" s="34">
        <f>AH458+AL458+AM458</f>
        <v/>
      </c>
      <c r="AO458" s="34">
        <f>(AG458-AA458)*O458</f>
        <v/>
      </c>
      <c r="AP458" s="34">
        <f>W458*N458</f>
        <v/>
      </c>
      <c r="AQ458" s="34">
        <f>T458*N458</f>
        <v/>
      </c>
      <c r="AR458" s="34">
        <f>Z458*J459+0.5*Z458*(O458+P458)</f>
        <v/>
      </c>
      <c r="AS458" s="30">
        <f>(1+InflationRate)^(A458/12)</f>
        <v/>
      </c>
      <c r="AT458" s="29">
        <f>ExpenseAcq*M458+N458*ExpenseMaint/12*AS458</f>
        <v/>
      </c>
      <c r="AU458" s="29">
        <f>CommissionRate*AE458</f>
        <v/>
      </c>
      <c r="AV458" s="34">
        <f>AB459-AB458</f>
        <v/>
      </c>
      <c r="AW458" s="34">
        <f>AE458+AR458-AN458-AT458-AU458-AV458</f>
        <v/>
      </c>
      <c r="AX458" s="29">
        <f>LoadPremRate*E458*N458+AK458+AQ458-AU458-AT458</f>
        <v/>
      </c>
      <c r="AY458" s="34">
        <f>AP458-AO458</f>
        <v/>
      </c>
      <c r="AZ458" s="37">
        <f>(AW458-AX458-AY458)/MAX(1,ABS(AW458),ABS(AX458),ABS(AY458))</f>
        <v/>
      </c>
      <c r="BA458" s="37">
        <f>IF(OR(K458&gt;0,K459&gt;0),0,(AC459-(AC458+AF458-AQ458-AP458+AR458-AI458-AJ458-AM458))/MAX(1,ABS(AC458),ABS(AC459)))</f>
        <v/>
      </c>
      <c r="BB458" s="35">
        <f>(1+INDEX(DiscRateAnn,INT(A458/12)+1))^(1/12)-1</f>
        <v/>
      </c>
      <c r="BC458" s="31">
        <f>(1+BB458)^-A458</f>
        <v/>
      </c>
      <c r="BD458" s="34">
        <f>AW458*BC458</f>
        <v/>
      </c>
    </row>
    <row r="459">
      <c r="A459" s="27">
        <f>A458+1</f>
        <v/>
      </c>
      <c r="B459" s="28">
        <f>Duration0+A459</f>
        <v/>
      </c>
      <c r="C459" s="27">
        <f>INT(B459/12)</f>
        <v/>
      </c>
      <c r="D459" s="28">
        <f>AgeAtEntry+C459</f>
        <v/>
      </c>
      <c r="E459" s="29">
        <f>IF(PremiumType="SINGLE",IF(B459=0,PremiumPPInput,0),IF(B459&lt;12*PolicyTerm,PremiumPPInput,0))</f>
        <v/>
      </c>
      <c r="F459" s="30">
        <f>INDEX(MortRates,MATCH(MIN(D459,120),MortAges,0),MAX(MIN(C459,5),0)+1)</f>
        <v/>
      </c>
      <c r="G459" s="31">
        <f>1-(1-F459)^(1/12)</f>
        <v/>
      </c>
      <c r="H459" s="32">
        <f>MAX(LapseBase-LapseStep*C459,LapseFloor)</f>
        <v/>
      </c>
      <c r="I459" s="32">
        <f>IF(HasSurrCharge,INDEX(SurrRates,MIN(C459,SurrDurMax)+1,MATCH(SurrChargeID,SurrTypes,0)),0)</f>
        <v/>
      </c>
      <c r="J459" s="33">
        <f>N458-P458-O458</f>
        <v/>
      </c>
      <c r="K459" s="30">
        <f>IF(B459=12*PolicyTerm,J459,0)</f>
        <v/>
      </c>
      <c r="L459" s="33">
        <f>J459-K459</f>
        <v/>
      </c>
      <c r="M459" s="30">
        <f>IF(B459=0,PolicyCount,0)</f>
        <v/>
      </c>
      <c r="N459" s="33">
        <f>L459+M459</f>
        <v/>
      </c>
      <c r="O459" s="31">
        <f>N459*G459</f>
        <v/>
      </c>
      <c r="P459" s="33">
        <f>(N459-O459)*(1-(1-H459)^(1/12))</f>
        <v/>
      </c>
      <c r="Q459" s="34">
        <f>X458+Z458</f>
        <v/>
      </c>
      <c r="R459" s="29">
        <f>(1-LoadPremRate)*E459</f>
        <v/>
      </c>
      <c r="S459" s="34">
        <f>Q459+R459</f>
        <v/>
      </c>
      <c r="T459" s="29">
        <f>MaintFeeRateAnn/12*S459</f>
        <v/>
      </c>
      <c r="U459" s="29">
        <f>MAX(SumAssured-S459,0)</f>
        <v/>
      </c>
      <c r="V459" s="35">
        <f>CoiMultiple*G459</f>
        <v/>
      </c>
      <c r="W459" s="34">
        <f>V459*U459</f>
        <v/>
      </c>
      <c r="X459" s="34">
        <f>S459-T459-W459</f>
        <v/>
      </c>
      <c r="Y459" s="36">
        <f>EXP((Mu-0.5*Sigma^2)/12+Sigma*SQRT(1/12)*INDEX(NormRand,ScenID,A459+1))-1</f>
        <v/>
      </c>
      <c r="Z459" s="34">
        <f>Y459*X459</f>
        <v/>
      </c>
      <c r="AA459" s="34">
        <f>X459+0.5*Z459</f>
        <v/>
      </c>
      <c r="AB459" s="34">
        <f>Q459*J459</f>
        <v/>
      </c>
      <c r="AC459" s="34">
        <f>Q459*L459</f>
        <v/>
      </c>
      <c r="AD459" s="34">
        <f>S459*N459</f>
        <v/>
      </c>
      <c r="AE459" s="34">
        <f>E459*N459</f>
        <v/>
      </c>
      <c r="AF459" s="34">
        <f>R459*N459</f>
        <v/>
      </c>
      <c r="AG459" s="29">
        <f>MAX(SumAssured,AA459)</f>
        <v/>
      </c>
      <c r="AH459" s="34">
        <f>AG459*O459</f>
        <v/>
      </c>
      <c r="AI459" s="34">
        <f>AA459*O459</f>
        <v/>
      </c>
      <c r="AJ459" s="34">
        <f>AA459*P459</f>
        <v/>
      </c>
      <c r="AK459" s="34">
        <f>I459*AA459*P459</f>
        <v/>
      </c>
      <c r="AL459" s="34">
        <f>AJ459-AK459</f>
        <v/>
      </c>
      <c r="AM459" s="34">
        <f>Q459*K459</f>
        <v/>
      </c>
      <c r="AN459" s="34">
        <f>AH459+AL459+AM459</f>
        <v/>
      </c>
      <c r="AO459" s="34">
        <f>(AG459-AA459)*O459</f>
        <v/>
      </c>
      <c r="AP459" s="34">
        <f>W459*N459</f>
        <v/>
      </c>
      <c r="AQ459" s="34">
        <f>T459*N459</f>
        <v/>
      </c>
      <c r="AR459" s="34">
        <f>Z459*J460+0.5*Z459*(O459+P459)</f>
        <v/>
      </c>
      <c r="AS459" s="30">
        <f>(1+InflationRate)^(A459/12)</f>
        <v/>
      </c>
      <c r="AT459" s="29">
        <f>ExpenseAcq*M459+N459*ExpenseMaint/12*AS459</f>
        <v/>
      </c>
      <c r="AU459" s="29">
        <f>CommissionRate*AE459</f>
        <v/>
      </c>
      <c r="AV459" s="34">
        <f>AB460-AB459</f>
        <v/>
      </c>
      <c r="AW459" s="34">
        <f>AE459+AR459-AN459-AT459-AU459-AV459</f>
        <v/>
      </c>
      <c r="AX459" s="29">
        <f>LoadPremRate*E459*N459+AK459+AQ459-AU459-AT459</f>
        <v/>
      </c>
      <c r="AY459" s="34">
        <f>AP459-AO459</f>
        <v/>
      </c>
      <c r="AZ459" s="37">
        <f>(AW459-AX459-AY459)/MAX(1,ABS(AW459),ABS(AX459),ABS(AY459))</f>
        <v/>
      </c>
      <c r="BA459" s="37">
        <f>IF(OR(K459&gt;0,K460&gt;0),0,(AC460-(AC459+AF459-AQ459-AP459+AR459-AI459-AJ459-AM459))/MAX(1,ABS(AC459),ABS(AC460)))</f>
        <v/>
      </c>
      <c r="BB459" s="35">
        <f>(1+INDEX(DiscRateAnn,INT(A459/12)+1))^(1/12)-1</f>
        <v/>
      </c>
      <c r="BC459" s="31">
        <f>(1+BB459)^-A459</f>
        <v/>
      </c>
      <c r="BD459" s="34">
        <f>AW459*BC459</f>
        <v/>
      </c>
    </row>
    <row r="460">
      <c r="A460" s="27">
        <f>A459+1</f>
        <v/>
      </c>
      <c r="B460" s="28">
        <f>Duration0+A460</f>
        <v/>
      </c>
      <c r="C460" s="27">
        <f>INT(B460/12)</f>
        <v/>
      </c>
      <c r="D460" s="28">
        <f>AgeAtEntry+C460</f>
        <v/>
      </c>
      <c r="E460" s="29">
        <f>IF(PremiumType="SINGLE",IF(B460=0,PremiumPPInput,0),IF(B460&lt;12*PolicyTerm,PremiumPPInput,0))</f>
        <v/>
      </c>
      <c r="F460" s="30">
        <f>INDEX(MortRates,MATCH(MIN(D460,120),MortAges,0),MAX(MIN(C460,5),0)+1)</f>
        <v/>
      </c>
      <c r="G460" s="31">
        <f>1-(1-F460)^(1/12)</f>
        <v/>
      </c>
      <c r="H460" s="32">
        <f>MAX(LapseBase-LapseStep*C460,LapseFloor)</f>
        <v/>
      </c>
      <c r="I460" s="32">
        <f>IF(HasSurrCharge,INDEX(SurrRates,MIN(C460,SurrDurMax)+1,MATCH(SurrChargeID,SurrTypes,0)),0)</f>
        <v/>
      </c>
      <c r="J460" s="33">
        <f>N459-P459-O459</f>
        <v/>
      </c>
      <c r="K460" s="30">
        <f>IF(B460=12*PolicyTerm,J460,0)</f>
        <v/>
      </c>
      <c r="L460" s="33">
        <f>J460-K460</f>
        <v/>
      </c>
      <c r="M460" s="30">
        <f>IF(B460=0,PolicyCount,0)</f>
        <v/>
      </c>
      <c r="N460" s="33">
        <f>L460+M460</f>
        <v/>
      </c>
      <c r="O460" s="31">
        <f>N460*G460</f>
        <v/>
      </c>
      <c r="P460" s="33">
        <f>(N460-O460)*(1-(1-H460)^(1/12))</f>
        <v/>
      </c>
      <c r="Q460" s="34">
        <f>X459+Z459</f>
        <v/>
      </c>
      <c r="R460" s="29">
        <f>(1-LoadPremRate)*E460</f>
        <v/>
      </c>
      <c r="S460" s="34">
        <f>Q460+R460</f>
        <v/>
      </c>
      <c r="T460" s="29">
        <f>MaintFeeRateAnn/12*S460</f>
        <v/>
      </c>
      <c r="U460" s="29">
        <f>MAX(SumAssured-S460,0)</f>
        <v/>
      </c>
      <c r="V460" s="35">
        <f>CoiMultiple*G460</f>
        <v/>
      </c>
      <c r="W460" s="34">
        <f>V460*U460</f>
        <v/>
      </c>
      <c r="X460" s="34">
        <f>S460-T460-W460</f>
        <v/>
      </c>
      <c r="Y460" s="36">
        <f>EXP((Mu-0.5*Sigma^2)/12+Sigma*SQRT(1/12)*INDEX(NormRand,ScenID,A460+1))-1</f>
        <v/>
      </c>
      <c r="Z460" s="34">
        <f>Y460*X460</f>
        <v/>
      </c>
      <c r="AA460" s="34">
        <f>X460+0.5*Z460</f>
        <v/>
      </c>
      <c r="AB460" s="34">
        <f>Q460*J460</f>
        <v/>
      </c>
      <c r="AC460" s="34">
        <f>Q460*L460</f>
        <v/>
      </c>
      <c r="AD460" s="34">
        <f>S460*N460</f>
        <v/>
      </c>
      <c r="AE460" s="34">
        <f>E460*N460</f>
        <v/>
      </c>
      <c r="AF460" s="34">
        <f>R460*N460</f>
        <v/>
      </c>
      <c r="AG460" s="29">
        <f>MAX(SumAssured,AA460)</f>
        <v/>
      </c>
      <c r="AH460" s="34">
        <f>AG460*O460</f>
        <v/>
      </c>
      <c r="AI460" s="34">
        <f>AA460*O460</f>
        <v/>
      </c>
      <c r="AJ460" s="34">
        <f>AA460*P460</f>
        <v/>
      </c>
      <c r="AK460" s="34">
        <f>I460*AA460*P460</f>
        <v/>
      </c>
      <c r="AL460" s="34">
        <f>AJ460-AK460</f>
        <v/>
      </c>
      <c r="AM460" s="34">
        <f>Q460*K460</f>
        <v/>
      </c>
      <c r="AN460" s="34">
        <f>AH460+AL460+AM460</f>
        <v/>
      </c>
      <c r="AO460" s="34">
        <f>(AG460-AA460)*O460</f>
        <v/>
      </c>
      <c r="AP460" s="34">
        <f>W460*N460</f>
        <v/>
      </c>
      <c r="AQ460" s="34">
        <f>T460*N460</f>
        <v/>
      </c>
      <c r="AR460" s="34">
        <f>Z460*J461+0.5*Z460*(O460+P460)</f>
        <v/>
      </c>
      <c r="AS460" s="30">
        <f>(1+InflationRate)^(A460/12)</f>
        <v/>
      </c>
      <c r="AT460" s="29">
        <f>ExpenseAcq*M460+N460*ExpenseMaint/12*AS460</f>
        <v/>
      </c>
      <c r="AU460" s="29">
        <f>CommissionRate*AE460</f>
        <v/>
      </c>
      <c r="AV460" s="34">
        <f>AB461-AB460</f>
        <v/>
      </c>
      <c r="AW460" s="34">
        <f>AE460+AR460-AN460-AT460-AU460-AV460</f>
        <v/>
      </c>
      <c r="AX460" s="29">
        <f>LoadPremRate*E460*N460+AK460+AQ460-AU460-AT460</f>
        <v/>
      </c>
      <c r="AY460" s="34">
        <f>AP460-AO460</f>
        <v/>
      </c>
      <c r="AZ460" s="37">
        <f>(AW460-AX460-AY460)/MAX(1,ABS(AW460),ABS(AX460),ABS(AY460))</f>
        <v/>
      </c>
      <c r="BA460" s="37">
        <f>IF(OR(K460&gt;0,K461&gt;0),0,(AC461-(AC460+AF460-AQ460-AP460+AR460-AI460-AJ460-AM460))/MAX(1,ABS(AC460),ABS(AC461)))</f>
        <v/>
      </c>
      <c r="BB460" s="35">
        <f>(1+INDEX(DiscRateAnn,INT(A460/12)+1))^(1/12)-1</f>
        <v/>
      </c>
      <c r="BC460" s="31">
        <f>(1+BB460)^-A460</f>
        <v/>
      </c>
      <c r="BD460" s="34">
        <f>AW460*BC460</f>
        <v/>
      </c>
    </row>
    <row r="461">
      <c r="A461" s="27">
        <f>A460+1</f>
        <v/>
      </c>
      <c r="B461" s="28">
        <f>Duration0+A461</f>
        <v/>
      </c>
      <c r="C461" s="27">
        <f>INT(B461/12)</f>
        <v/>
      </c>
      <c r="D461" s="28">
        <f>AgeAtEntry+C461</f>
        <v/>
      </c>
      <c r="E461" s="29">
        <f>IF(PremiumType="SINGLE",IF(B461=0,PremiumPPInput,0),IF(B461&lt;12*PolicyTerm,PremiumPPInput,0))</f>
        <v/>
      </c>
      <c r="F461" s="30">
        <f>INDEX(MortRates,MATCH(MIN(D461,120),MortAges,0),MAX(MIN(C461,5),0)+1)</f>
        <v/>
      </c>
      <c r="G461" s="31">
        <f>1-(1-F461)^(1/12)</f>
        <v/>
      </c>
      <c r="H461" s="32">
        <f>MAX(LapseBase-LapseStep*C461,LapseFloor)</f>
        <v/>
      </c>
      <c r="I461" s="32">
        <f>IF(HasSurrCharge,INDEX(SurrRates,MIN(C461,SurrDurMax)+1,MATCH(SurrChargeID,SurrTypes,0)),0)</f>
        <v/>
      </c>
      <c r="J461" s="33">
        <f>N460-P460-O460</f>
        <v/>
      </c>
      <c r="K461" s="30">
        <f>IF(B461=12*PolicyTerm,J461,0)</f>
        <v/>
      </c>
      <c r="L461" s="33">
        <f>J461-K461</f>
        <v/>
      </c>
      <c r="M461" s="30">
        <f>IF(B461=0,PolicyCount,0)</f>
        <v/>
      </c>
      <c r="N461" s="33">
        <f>L461+M461</f>
        <v/>
      </c>
      <c r="O461" s="31">
        <f>N461*G461</f>
        <v/>
      </c>
      <c r="P461" s="33">
        <f>(N461-O461)*(1-(1-H461)^(1/12))</f>
        <v/>
      </c>
      <c r="Q461" s="34">
        <f>X460+Z460</f>
        <v/>
      </c>
      <c r="R461" s="29">
        <f>(1-LoadPremRate)*E461</f>
        <v/>
      </c>
      <c r="S461" s="34">
        <f>Q461+R461</f>
        <v/>
      </c>
      <c r="T461" s="29">
        <f>MaintFeeRateAnn/12*S461</f>
        <v/>
      </c>
      <c r="U461" s="29">
        <f>MAX(SumAssured-S461,0)</f>
        <v/>
      </c>
      <c r="V461" s="35">
        <f>CoiMultiple*G461</f>
        <v/>
      </c>
      <c r="W461" s="34">
        <f>V461*U461</f>
        <v/>
      </c>
      <c r="X461" s="34">
        <f>S461-T461-W461</f>
        <v/>
      </c>
      <c r="Y461" s="36">
        <f>EXP((Mu-0.5*Sigma^2)/12+Sigma*SQRT(1/12)*INDEX(NormRand,ScenID,A461+1))-1</f>
        <v/>
      </c>
      <c r="Z461" s="34">
        <f>Y461*X461</f>
        <v/>
      </c>
      <c r="AA461" s="34">
        <f>X461+0.5*Z461</f>
        <v/>
      </c>
      <c r="AB461" s="34">
        <f>Q461*J461</f>
        <v/>
      </c>
      <c r="AC461" s="34">
        <f>Q461*L461</f>
        <v/>
      </c>
      <c r="AD461" s="34">
        <f>S461*N461</f>
        <v/>
      </c>
      <c r="AE461" s="34">
        <f>E461*N461</f>
        <v/>
      </c>
      <c r="AF461" s="34">
        <f>R461*N461</f>
        <v/>
      </c>
      <c r="AG461" s="29">
        <f>MAX(SumAssured,AA461)</f>
        <v/>
      </c>
      <c r="AH461" s="34">
        <f>AG461*O461</f>
        <v/>
      </c>
      <c r="AI461" s="34">
        <f>AA461*O461</f>
        <v/>
      </c>
      <c r="AJ461" s="34">
        <f>AA461*P461</f>
        <v/>
      </c>
      <c r="AK461" s="34">
        <f>I461*AA461*P461</f>
        <v/>
      </c>
      <c r="AL461" s="34">
        <f>AJ461-AK461</f>
        <v/>
      </c>
      <c r="AM461" s="34">
        <f>Q461*K461</f>
        <v/>
      </c>
      <c r="AN461" s="34">
        <f>AH461+AL461+AM461</f>
        <v/>
      </c>
      <c r="AO461" s="34">
        <f>(AG461-AA461)*O461</f>
        <v/>
      </c>
      <c r="AP461" s="34">
        <f>W461*N461</f>
        <v/>
      </c>
      <c r="AQ461" s="34">
        <f>T461*N461</f>
        <v/>
      </c>
      <c r="AR461" s="34">
        <f>Z461*J462+0.5*Z461*(O461+P461)</f>
        <v/>
      </c>
      <c r="AS461" s="30">
        <f>(1+InflationRate)^(A461/12)</f>
        <v/>
      </c>
      <c r="AT461" s="29">
        <f>ExpenseAcq*M461+N461*ExpenseMaint/12*AS461</f>
        <v/>
      </c>
      <c r="AU461" s="29">
        <f>CommissionRate*AE461</f>
        <v/>
      </c>
      <c r="AV461" s="34">
        <f>AB462-AB461</f>
        <v/>
      </c>
      <c r="AW461" s="34">
        <f>AE461+AR461-AN461-AT461-AU461-AV461</f>
        <v/>
      </c>
      <c r="AX461" s="29">
        <f>LoadPremRate*E461*N461+AK461+AQ461-AU461-AT461</f>
        <v/>
      </c>
      <c r="AY461" s="34">
        <f>AP461-AO461</f>
        <v/>
      </c>
      <c r="AZ461" s="37">
        <f>(AW461-AX461-AY461)/MAX(1,ABS(AW461),ABS(AX461),ABS(AY461))</f>
        <v/>
      </c>
      <c r="BA461" s="37">
        <f>IF(OR(K461&gt;0,K462&gt;0),0,(AC462-(AC461+AF461-AQ461-AP461+AR461-AI461-AJ461-AM461))/MAX(1,ABS(AC461),ABS(AC462)))</f>
        <v/>
      </c>
      <c r="BB461" s="35">
        <f>(1+INDEX(DiscRateAnn,INT(A461/12)+1))^(1/12)-1</f>
        <v/>
      </c>
      <c r="BC461" s="31">
        <f>(1+BB461)^-A461</f>
        <v/>
      </c>
      <c r="BD461" s="34">
        <f>AW461*BC461</f>
        <v/>
      </c>
    </row>
    <row r="462">
      <c r="A462" s="27">
        <f>A461+1</f>
        <v/>
      </c>
      <c r="B462" s="28">
        <f>Duration0+A462</f>
        <v/>
      </c>
      <c r="C462" s="27">
        <f>INT(B462/12)</f>
        <v/>
      </c>
      <c r="D462" s="28">
        <f>AgeAtEntry+C462</f>
        <v/>
      </c>
      <c r="E462" s="29">
        <f>IF(PremiumType="SINGLE",IF(B462=0,PremiumPPInput,0),IF(B462&lt;12*PolicyTerm,PremiumPPInput,0))</f>
        <v/>
      </c>
      <c r="F462" s="30">
        <f>INDEX(MortRates,MATCH(MIN(D462,120),MortAges,0),MAX(MIN(C462,5),0)+1)</f>
        <v/>
      </c>
      <c r="G462" s="31">
        <f>1-(1-F462)^(1/12)</f>
        <v/>
      </c>
      <c r="H462" s="32">
        <f>MAX(LapseBase-LapseStep*C462,LapseFloor)</f>
        <v/>
      </c>
      <c r="I462" s="32">
        <f>IF(HasSurrCharge,INDEX(SurrRates,MIN(C462,SurrDurMax)+1,MATCH(SurrChargeID,SurrTypes,0)),0)</f>
        <v/>
      </c>
      <c r="J462" s="33">
        <f>N461-P461-O461</f>
        <v/>
      </c>
      <c r="K462" s="30">
        <f>IF(B462=12*PolicyTerm,J462,0)</f>
        <v/>
      </c>
      <c r="L462" s="33">
        <f>J462-K462</f>
        <v/>
      </c>
      <c r="M462" s="30">
        <f>IF(B462=0,PolicyCount,0)</f>
        <v/>
      </c>
      <c r="N462" s="33">
        <f>L462+M462</f>
        <v/>
      </c>
      <c r="O462" s="31">
        <f>N462*G462</f>
        <v/>
      </c>
      <c r="P462" s="33">
        <f>(N462-O462)*(1-(1-H462)^(1/12))</f>
        <v/>
      </c>
      <c r="Q462" s="34">
        <f>X461+Z461</f>
        <v/>
      </c>
      <c r="R462" s="29">
        <f>(1-LoadPremRate)*E462</f>
        <v/>
      </c>
      <c r="S462" s="34">
        <f>Q462+R462</f>
        <v/>
      </c>
      <c r="T462" s="29">
        <f>MaintFeeRateAnn/12*S462</f>
        <v/>
      </c>
      <c r="U462" s="29">
        <f>MAX(SumAssured-S462,0)</f>
        <v/>
      </c>
      <c r="V462" s="35">
        <f>CoiMultiple*G462</f>
        <v/>
      </c>
      <c r="W462" s="34">
        <f>V462*U462</f>
        <v/>
      </c>
      <c r="X462" s="34">
        <f>S462-T462-W462</f>
        <v/>
      </c>
      <c r="Y462" s="36">
        <f>EXP((Mu-0.5*Sigma^2)/12+Sigma*SQRT(1/12)*INDEX(NormRand,ScenID,A462+1))-1</f>
        <v/>
      </c>
      <c r="Z462" s="34">
        <f>Y462*X462</f>
        <v/>
      </c>
      <c r="AA462" s="34">
        <f>X462+0.5*Z462</f>
        <v/>
      </c>
      <c r="AB462" s="34">
        <f>Q462*J462</f>
        <v/>
      </c>
      <c r="AC462" s="34">
        <f>Q462*L462</f>
        <v/>
      </c>
      <c r="AD462" s="34">
        <f>S462*N462</f>
        <v/>
      </c>
      <c r="AE462" s="34">
        <f>E462*N462</f>
        <v/>
      </c>
      <c r="AF462" s="34">
        <f>R462*N462</f>
        <v/>
      </c>
      <c r="AG462" s="29">
        <f>MAX(SumAssured,AA462)</f>
        <v/>
      </c>
      <c r="AH462" s="34">
        <f>AG462*O462</f>
        <v/>
      </c>
      <c r="AI462" s="34">
        <f>AA462*O462</f>
        <v/>
      </c>
      <c r="AJ462" s="34">
        <f>AA462*P462</f>
        <v/>
      </c>
      <c r="AK462" s="34">
        <f>I462*AA462*P462</f>
        <v/>
      </c>
      <c r="AL462" s="34">
        <f>AJ462-AK462</f>
        <v/>
      </c>
      <c r="AM462" s="34">
        <f>Q462*K462</f>
        <v/>
      </c>
      <c r="AN462" s="34">
        <f>AH462+AL462+AM462</f>
        <v/>
      </c>
      <c r="AO462" s="34">
        <f>(AG462-AA462)*O462</f>
        <v/>
      </c>
      <c r="AP462" s="34">
        <f>W462*N462</f>
        <v/>
      </c>
      <c r="AQ462" s="34">
        <f>T462*N462</f>
        <v/>
      </c>
      <c r="AR462" s="34">
        <f>Z462*J463+0.5*Z462*(O462+P462)</f>
        <v/>
      </c>
      <c r="AS462" s="30">
        <f>(1+InflationRate)^(A462/12)</f>
        <v/>
      </c>
      <c r="AT462" s="29">
        <f>ExpenseAcq*M462+N462*ExpenseMaint/12*AS462</f>
        <v/>
      </c>
      <c r="AU462" s="29">
        <f>CommissionRate*AE462</f>
        <v/>
      </c>
      <c r="AV462" s="34">
        <f>AB463-AB462</f>
        <v/>
      </c>
      <c r="AW462" s="34">
        <f>AE462+AR462-AN462-AT462-AU462-AV462</f>
        <v/>
      </c>
      <c r="AX462" s="29">
        <f>LoadPremRate*E462*N462+AK462+AQ462-AU462-AT462</f>
        <v/>
      </c>
      <c r="AY462" s="34">
        <f>AP462-AO462</f>
        <v/>
      </c>
      <c r="AZ462" s="37">
        <f>(AW462-AX462-AY462)/MAX(1,ABS(AW462),ABS(AX462),ABS(AY462))</f>
        <v/>
      </c>
      <c r="BA462" s="37">
        <f>IF(OR(K462&gt;0,K463&gt;0),0,(AC463-(AC462+AF462-AQ462-AP462+AR462-AI462-AJ462-AM462))/MAX(1,ABS(AC462),ABS(AC463)))</f>
        <v/>
      </c>
      <c r="BB462" s="35">
        <f>(1+INDEX(DiscRateAnn,INT(A462/12)+1))^(1/12)-1</f>
        <v/>
      </c>
      <c r="BC462" s="31">
        <f>(1+BB462)^-A462</f>
        <v/>
      </c>
      <c r="BD462" s="34">
        <f>AW462*BC462</f>
        <v/>
      </c>
    </row>
    <row r="463">
      <c r="A463" s="27">
        <f>A462+1</f>
        <v/>
      </c>
      <c r="B463" s="28">
        <f>Duration0+A463</f>
        <v/>
      </c>
      <c r="C463" s="27">
        <f>INT(B463/12)</f>
        <v/>
      </c>
      <c r="D463" s="28">
        <f>AgeAtEntry+C463</f>
        <v/>
      </c>
      <c r="E463" s="29">
        <f>IF(PremiumType="SINGLE",IF(B463=0,PremiumPPInput,0),IF(B463&lt;12*PolicyTerm,PremiumPPInput,0))</f>
        <v/>
      </c>
      <c r="F463" s="30">
        <f>INDEX(MortRates,MATCH(MIN(D463,120),MortAges,0),MAX(MIN(C463,5),0)+1)</f>
        <v/>
      </c>
      <c r="G463" s="31">
        <f>1-(1-F463)^(1/12)</f>
        <v/>
      </c>
      <c r="H463" s="32">
        <f>MAX(LapseBase-LapseStep*C463,LapseFloor)</f>
        <v/>
      </c>
      <c r="I463" s="32">
        <f>IF(HasSurrCharge,INDEX(SurrRates,MIN(C463,SurrDurMax)+1,MATCH(SurrChargeID,SurrTypes,0)),0)</f>
        <v/>
      </c>
      <c r="J463" s="33">
        <f>N462-P462-O462</f>
        <v/>
      </c>
      <c r="K463" s="30">
        <f>IF(B463=12*PolicyTerm,J463,0)</f>
        <v/>
      </c>
      <c r="L463" s="33">
        <f>J463-K463</f>
        <v/>
      </c>
      <c r="M463" s="30">
        <f>IF(B463=0,PolicyCount,0)</f>
        <v/>
      </c>
      <c r="N463" s="33">
        <f>L463+M463</f>
        <v/>
      </c>
      <c r="O463" s="31">
        <f>N463*G463</f>
        <v/>
      </c>
      <c r="P463" s="33">
        <f>(N463-O463)*(1-(1-H463)^(1/12))</f>
        <v/>
      </c>
      <c r="Q463" s="34">
        <f>X462+Z462</f>
        <v/>
      </c>
      <c r="R463" s="29">
        <f>(1-LoadPremRate)*E463</f>
        <v/>
      </c>
      <c r="S463" s="34">
        <f>Q463+R463</f>
        <v/>
      </c>
      <c r="T463" s="29">
        <f>MaintFeeRateAnn/12*S463</f>
        <v/>
      </c>
      <c r="U463" s="29">
        <f>MAX(SumAssured-S463,0)</f>
        <v/>
      </c>
      <c r="V463" s="35">
        <f>CoiMultiple*G463</f>
        <v/>
      </c>
      <c r="W463" s="34">
        <f>V463*U463</f>
        <v/>
      </c>
      <c r="X463" s="34">
        <f>S463-T463-W463</f>
        <v/>
      </c>
      <c r="Y463" s="36">
        <f>EXP((Mu-0.5*Sigma^2)/12+Sigma*SQRT(1/12)*INDEX(NormRand,ScenID,A463+1))-1</f>
        <v/>
      </c>
      <c r="Z463" s="34">
        <f>Y463*X463</f>
        <v/>
      </c>
      <c r="AA463" s="34">
        <f>X463+0.5*Z463</f>
        <v/>
      </c>
      <c r="AB463" s="34">
        <f>Q463*J463</f>
        <v/>
      </c>
      <c r="AC463" s="34">
        <f>Q463*L463</f>
        <v/>
      </c>
      <c r="AD463" s="34">
        <f>S463*N463</f>
        <v/>
      </c>
      <c r="AE463" s="34">
        <f>E463*N463</f>
        <v/>
      </c>
      <c r="AF463" s="34">
        <f>R463*N463</f>
        <v/>
      </c>
      <c r="AG463" s="29">
        <f>MAX(SumAssured,AA463)</f>
        <v/>
      </c>
      <c r="AH463" s="34">
        <f>AG463*O463</f>
        <v/>
      </c>
      <c r="AI463" s="34">
        <f>AA463*O463</f>
        <v/>
      </c>
      <c r="AJ463" s="34">
        <f>AA463*P463</f>
        <v/>
      </c>
      <c r="AK463" s="34">
        <f>I463*AA463*P463</f>
        <v/>
      </c>
      <c r="AL463" s="34">
        <f>AJ463-AK463</f>
        <v/>
      </c>
      <c r="AM463" s="34">
        <f>Q463*K463</f>
        <v/>
      </c>
      <c r="AN463" s="34">
        <f>AH463+AL463+AM463</f>
        <v/>
      </c>
      <c r="AO463" s="34">
        <f>(AG463-AA463)*O463</f>
        <v/>
      </c>
      <c r="AP463" s="34">
        <f>W463*N463</f>
        <v/>
      </c>
      <c r="AQ463" s="34">
        <f>T463*N463</f>
        <v/>
      </c>
      <c r="AR463" s="34">
        <f>Z463*J464+0.5*Z463*(O463+P463)</f>
        <v/>
      </c>
      <c r="AS463" s="30">
        <f>(1+InflationRate)^(A463/12)</f>
        <v/>
      </c>
      <c r="AT463" s="29">
        <f>ExpenseAcq*M463+N463*ExpenseMaint/12*AS463</f>
        <v/>
      </c>
      <c r="AU463" s="29">
        <f>CommissionRate*AE463</f>
        <v/>
      </c>
      <c r="AV463" s="34">
        <f>AB464-AB463</f>
        <v/>
      </c>
      <c r="AW463" s="34">
        <f>AE463+AR463-AN463-AT463-AU463-AV463</f>
        <v/>
      </c>
      <c r="AX463" s="29">
        <f>LoadPremRate*E463*N463+AK463+AQ463-AU463-AT463</f>
        <v/>
      </c>
      <c r="AY463" s="34">
        <f>AP463-AO463</f>
        <v/>
      </c>
      <c r="AZ463" s="37">
        <f>(AW463-AX463-AY463)/MAX(1,ABS(AW463),ABS(AX463),ABS(AY463))</f>
        <v/>
      </c>
      <c r="BA463" s="37">
        <f>IF(OR(K463&gt;0,K464&gt;0),0,(AC464-(AC463+AF463-AQ463-AP463+AR463-AI463-AJ463-AM463))/MAX(1,ABS(AC463),ABS(AC464)))</f>
        <v/>
      </c>
      <c r="BB463" s="35">
        <f>(1+INDEX(DiscRateAnn,INT(A463/12)+1))^(1/12)-1</f>
        <v/>
      </c>
      <c r="BC463" s="31">
        <f>(1+BB463)^-A463</f>
        <v/>
      </c>
      <c r="BD463" s="34">
        <f>AW463*BC463</f>
        <v/>
      </c>
    </row>
    <row r="464">
      <c r="A464" s="27">
        <f>A463+1</f>
        <v/>
      </c>
      <c r="B464" s="28">
        <f>Duration0+A464</f>
        <v/>
      </c>
      <c r="C464" s="27">
        <f>INT(B464/12)</f>
        <v/>
      </c>
      <c r="D464" s="28">
        <f>AgeAtEntry+C464</f>
        <v/>
      </c>
      <c r="E464" s="29">
        <f>IF(PremiumType="SINGLE",IF(B464=0,PremiumPPInput,0),IF(B464&lt;12*PolicyTerm,PremiumPPInput,0))</f>
        <v/>
      </c>
      <c r="F464" s="30">
        <f>INDEX(MortRates,MATCH(MIN(D464,120),MortAges,0),MAX(MIN(C464,5),0)+1)</f>
        <v/>
      </c>
      <c r="G464" s="31">
        <f>1-(1-F464)^(1/12)</f>
        <v/>
      </c>
      <c r="H464" s="32">
        <f>MAX(LapseBase-LapseStep*C464,LapseFloor)</f>
        <v/>
      </c>
      <c r="I464" s="32">
        <f>IF(HasSurrCharge,INDEX(SurrRates,MIN(C464,SurrDurMax)+1,MATCH(SurrChargeID,SurrTypes,0)),0)</f>
        <v/>
      </c>
      <c r="J464" s="33">
        <f>N463-P463-O463</f>
        <v/>
      </c>
      <c r="K464" s="30">
        <f>IF(B464=12*PolicyTerm,J464,0)</f>
        <v/>
      </c>
      <c r="L464" s="33">
        <f>J464-K464</f>
        <v/>
      </c>
      <c r="M464" s="30">
        <f>IF(B464=0,PolicyCount,0)</f>
        <v/>
      </c>
      <c r="N464" s="33">
        <f>L464+M464</f>
        <v/>
      </c>
      <c r="O464" s="31">
        <f>N464*G464</f>
        <v/>
      </c>
      <c r="P464" s="33">
        <f>(N464-O464)*(1-(1-H464)^(1/12))</f>
        <v/>
      </c>
      <c r="Q464" s="34">
        <f>X463+Z463</f>
        <v/>
      </c>
      <c r="R464" s="29">
        <f>(1-LoadPremRate)*E464</f>
        <v/>
      </c>
      <c r="S464" s="34">
        <f>Q464+R464</f>
        <v/>
      </c>
      <c r="T464" s="29">
        <f>MaintFeeRateAnn/12*S464</f>
        <v/>
      </c>
      <c r="U464" s="29">
        <f>MAX(SumAssured-S464,0)</f>
        <v/>
      </c>
      <c r="V464" s="35">
        <f>CoiMultiple*G464</f>
        <v/>
      </c>
      <c r="W464" s="34">
        <f>V464*U464</f>
        <v/>
      </c>
      <c r="X464" s="34">
        <f>S464-T464-W464</f>
        <v/>
      </c>
      <c r="Y464" s="36">
        <f>EXP((Mu-0.5*Sigma^2)/12+Sigma*SQRT(1/12)*INDEX(NormRand,ScenID,A464+1))-1</f>
        <v/>
      </c>
      <c r="Z464" s="34">
        <f>Y464*X464</f>
        <v/>
      </c>
      <c r="AA464" s="34">
        <f>X464+0.5*Z464</f>
        <v/>
      </c>
      <c r="AB464" s="34">
        <f>Q464*J464</f>
        <v/>
      </c>
      <c r="AC464" s="34">
        <f>Q464*L464</f>
        <v/>
      </c>
      <c r="AD464" s="34">
        <f>S464*N464</f>
        <v/>
      </c>
      <c r="AE464" s="34">
        <f>E464*N464</f>
        <v/>
      </c>
      <c r="AF464" s="34">
        <f>R464*N464</f>
        <v/>
      </c>
      <c r="AG464" s="29">
        <f>MAX(SumAssured,AA464)</f>
        <v/>
      </c>
      <c r="AH464" s="34">
        <f>AG464*O464</f>
        <v/>
      </c>
      <c r="AI464" s="34">
        <f>AA464*O464</f>
        <v/>
      </c>
      <c r="AJ464" s="34">
        <f>AA464*P464</f>
        <v/>
      </c>
      <c r="AK464" s="34">
        <f>I464*AA464*P464</f>
        <v/>
      </c>
      <c r="AL464" s="34">
        <f>AJ464-AK464</f>
        <v/>
      </c>
      <c r="AM464" s="34">
        <f>Q464*K464</f>
        <v/>
      </c>
      <c r="AN464" s="34">
        <f>AH464+AL464+AM464</f>
        <v/>
      </c>
      <c r="AO464" s="34">
        <f>(AG464-AA464)*O464</f>
        <v/>
      </c>
      <c r="AP464" s="34">
        <f>W464*N464</f>
        <v/>
      </c>
      <c r="AQ464" s="34">
        <f>T464*N464</f>
        <v/>
      </c>
      <c r="AR464" s="34">
        <f>Z464*J465+0.5*Z464*(O464+P464)</f>
        <v/>
      </c>
      <c r="AS464" s="30">
        <f>(1+InflationRate)^(A464/12)</f>
        <v/>
      </c>
      <c r="AT464" s="29">
        <f>ExpenseAcq*M464+N464*ExpenseMaint/12*AS464</f>
        <v/>
      </c>
      <c r="AU464" s="29">
        <f>CommissionRate*AE464</f>
        <v/>
      </c>
      <c r="AV464" s="34">
        <f>AB465-AB464</f>
        <v/>
      </c>
      <c r="AW464" s="34">
        <f>AE464+AR464-AN464-AT464-AU464-AV464</f>
        <v/>
      </c>
      <c r="AX464" s="29">
        <f>LoadPremRate*E464*N464+AK464+AQ464-AU464-AT464</f>
        <v/>
      </c>
      <c r="AY464" s="34">
        <f>AP464-AO464</f>
        <v/>
      </c>
      <c r="AZ464" s="37">
        <f>(AW464-AX464-AY464)/MAX(1,ABS(AW464),ABS(AX464),ABS(AY464))</f>
        <v/>
      </c>
      <c r="BA464" s="37">
        <f>IF(OR(K464&gt;0,K465&gt;0),0,(AC465-(AC464+AF464-AQ464-AP464+AR464-AI464-AJ464-AM464))/MAX(1,ABS(AC464),ABS(AC465)))</f>
        <v/>
      </c>
      <c r="BB464" s="35">
        <f>(1+INDEX(DiscRateAnn,INT(A464/12)+1))^(1/12)-1</f>
        <v/>
      </c>
      <c r="BC464" s="31">
        <f>(1+BB464)^-A464</f>
        <v/>
      </c>
      <c r="BD464" s="34">
        <f>AW464*BC464</f>
        <v/>
      </c>
    </row>
    <row r="465">
      <c r="A465" s="27">
        <f>A464+1</f>
        <v/>
      </c>
      <c r="B465" s="28">
        <f>Duration0+A465</f>
        <v/>
      </c>
      <c r="C465" s="27">
        <f>INT(B465/12)</f>
        <v/>
      </c>
      <c r="D465" s="28">
        <f>AgeAtEntry+C465</f>
        <v/>
      </c>
      <c r="E465" s="29">
        <f>IF(PremiumType="SINGLE",IF(B465=0,PremiumPPInput,0),IF(B465&lt;12*PolicyTerm,PremiumPPInput,0))</f>
        <v/>
      </c>
      <c r="F465" s="30">
        <f>INDEX(MortRates,MATCH(MIN(D465,120),MortAges,0),MAX(MIN(C465,5),0)+1)</f>
        <v/>
      </c>
      <c r="G465" s="31">
        <f>1-(1-F465)^(1/12)</f>
        <v/>
      </c>
      <c r="H465" s="32">
        <f>MAX(LapseBase-LapseStep*C465,LapseFloor)</f>
        <v/>
      </c>
      <c r="I465" s="32">
        <f>IF(HasSurrCharge,INDEX(SurrRates,MIN(C465,SurrDurMax)+1,MATCH(SurrChargeID,SurrTypes,0)),0)</f>
        <v/>
      </c>
      <c r="J465" s="33">
        <f>N464-P464-O464</f>
        <v/>
      </c>
      <c r="K465" s="30">
        <f>IF(B465=12*PolicyTerm,J465,0)</f>
        <v/>
      </c>
      <c r="L465" s="33">
        <f>J465-K465</f>
        <v/>
      </c>
      <c r="M465" s="30">
        <f>IF(B465=0,PolicyCount,0)</f>
        <v/>
      </c>
      <c r="N465" s="33">
        <f>L465+M465</f>
        <v/>
      </c>
      <c r="O465" s="31">
        <f>N465*G465</f>
        <v/>
      </c>
      <c r="P465" s="33">
        <f>(N465-O465)*(1-(1-H465)^(1/12))</f>
        <v/>
      </c>
      <c r="Q465" s="34">
        <f>X464+Z464</f>
        <v/>
      </c>
      <c r="R465" s="29">
        <f>(1-LoadPremRate)*E465</f>
        <v/>
      </c>
      <c r="S465" s="34">
        <f>Q465+R465</f>
        <v/>
      </c>
      <c r="T465" s="29">
        <f>MaintFeeRateAnn/12*S465</f>
        <v/>
      </c>
      <c r="U465" s="29">
        <f>MAX(SumAssured-S465,0)</f>
        <v/>
      </c>
      <c r="V465" s="35">
        <f>CoiMultiple*G465</f>
        <v/>
      </c>
      <c r="W465" s="34">
        <f>V465*U465</f>
        <v/>
      </c>
      <c r="X465" s="34">
        <f>S465-T465-W465</f>
        <v/>
      </c>
      <c r="Y465" s="36">
        <f>EXP((Mu-0.5*Sigma^2)/12+Sigma*SQRT(1/12)*INDEX(NormRand,ScenID,A465+1))-1</f>
        <v/>
      </c>
      <c r="Z465" s="34">
        <f>Y465*X465</f>
        <v/>
      </c>
      <c r="AA465" s="34">
        <f>X465+0.5*Z465</f>
        <v/>
      </c>
      <c r="AB465" s="34">
        <f>Q465*J465</f>
        <v/>
      </c>
      <c r="AC465" s="34">
        <f>Q465*L465</f>
        <v/>
      </c>
      <c r="AD465" s="34">
        <f>S465*N465</f>
        <v/>
      </c>
      <c r="AE465" s="34">
        <f>E465*N465</f>
        <v/>
      </c>
      <c r="AF465" s="34">
        <f>R465*N465</f>
        <v/>
      </c>
      <c r="AG465" s="29">
        <f>MAX(SumAssured,AA465)</f>
        <v/>
      </c>
      <c r="AH465" s="34">
        <f>AG465*O465</f>
        <v/>
      </c>
      <c r="AI465" s="34">
        <f>AA465*O465</f>
        <v/>
      </c>
      <c r="AJ465" s="34">
        <f>AA465*P465</f>
        <v/>
      </c>
      <c r="AK465" s="34">
        <f>I465*AA465*P465</f>
        <v/>
      </c>
      <c r="AL465" s="34">
        <f>AJ465-AK465</f>
        <v/>
      </c>
      <c r="AM465" s="34">
        <f>Q465*K465</f>
        <v/>
      </c>
      <c r="AN465" s="34">
        <f>AH465+AL465+AM465</f>
        <v/>
      </c>
      <c r="AO465" s="34">
        <f>(AG465-AA465)*O465</f>
        <v/>
      </c>
      <c r="AP465" s="34">
        <f>W465*N465</f>
        <v/>
      </c>
      <c r="AQ465" s="34">
        <f>T465*N465</f>
        <v/>
      </c>
      <c r="AR465" s="34">
        <f>Z465*J466+0.5*Z465*(O465+P465)</f>
        <v/>
      </c>
      <c r="AS465" s="30">
        <f>(1+InflationRate)^(A465/12)</f>
        <v/>
      </c>
      <c r="AT465" s="29">
        <f>ExpenseAcq*M465+N465*ExpenseMaint/12*AS465</f>
        <v/>
      </c>
      <c r="AU465" s="29">
        <f>CommissionRate*AE465</f>
        <v/>
      </c>
      <c r="AV465" s="34">
        <f>AB466-AB465</f>
        <v/>
      </c>
      <c r="AW465" s="34">
        <f>AE465+AR465-AN465-AT465-AU465-AV465</f>
        <v/>
      </c>
      <c r="AX465" s="29">
        <f>LoadPremRate*E465*N465+AK465+AQ465-AU465-AT465</f>
        <v/>
      </c>
      <c r="AY465" s="34">
        <f>AP465-AO465</f>
        <v/>
      </c>
      <c r="AZ465" s="37">
        <f>(AW465-AX465-AY465)/MAX(1,ABS(AW465),ABS(AX465),ABS(AY465))</f>
        <v/>
      </c>
      <c r="BA465" s="37">
        <f>IF(OR(K465&gt;0,K466&gt;0),0,(AC466-(AC465+AF465-AQ465-AP465+AR465-AI465-AJ465-AM465))/MAX(1,ABS(AC465),ABS(AC466)))</f>
        <v/>
      </c>
      <c r="BB465" s="35">
        <f>(1+INDEX(DiscRateAnn,INT(A465/12)+1))^(1/12)-1</f>
        <v/>
      </c>
      <c r="BC465" s="31">
        <f>(1+BB465)^-A465</f>
        <v/>
      </c>
      <c r="BD465" s="34">
        <f>AW465*BC465</f>
        <v/>
      </c>
    </row>
    <row r="466">
      <c r="A466" s="27">
        <f>A465+1</f>
        <v/>
      </c>
      <c r="B466" s="28">
        <f>Duration0+A466</f>
        <v/>
      </c>
      <c r="C466" s="27">
        <f>INT(B466/12)</f>
        <v/>
      </c>
      <c r="D466" s="28">
        <f>AgeAtEntry+C466</f>
        <v/>
      </c>
      <c r="E466" s="29">
        <f>IF(PremiumType="SINGLE",IF(B466=0,PremiumPPInput,0),IF(B466&lt;12*PolicyTerm,PremiumPPInput,0))</f>
        <v/>
      </c>
      <c r="F466" s="30">
        <f>INDEX(MortRates,MATCH(MIN(D466,120),MortAges,0),MAX(MIN(C466,5),0)+1)</f>
        <v/>
      </c>
      <c r="G466" s="31">
        <f>1-(1-F466)^(1/12)</f>
        <v/>
      </c>
      <c r="H466" s="32">
        <f>MAX(LapseBase-LapseStep*C466,LapseFloor)</f>
        <v/>
      </c>
      <c r="I466" s="32">
        <f>IF(HasSurrCharge,INDEX(SurrRates,MIN(C466,SurrDurMax)+1,MATCH(SurrChargeID,SurrTypes,0)),0)</f>
        <v/>
      </c>
      <c r="J466" s="33">
        <f>N465-P465-O465</f>
        <v/>
      </c>
      <c r="K466" s="30">
        <f>IF(B466=12*PolicyTerm,J466,0)</f>
        <v/>
      </c>
      <c r="L466" s="33">
        <f>J466-K466</f>
        <v/>
      </c>
      <c r="M466" s="30">
        <f>IF(B466=0,PolicyCount,0)</f>
        <v/>
      </c>
      <c r="N466" s="33">
        <f>L466+M466</f>
        <v/>
      </c>
      <c r="O466" s="31">
        <f>N466*G466</f>
        <v/>
      </c>
      <c r="P466" s="33">
        <f>(N466-O466)*(1-(1-H466)^(1/12))</f>
        <v/>
      </c>
      <c r="Q466" s="34">
        <f>X465+Z465</f>
        <v/>
      </c>
      <c r="R466" s="29">
        <f>(1-LoadPremRate)*E466</f>
        <v/>
      </c>
      <c r="S466" s="34">
        <f>Q466+R466</f>
        <v/>
      </c>
      <c r="T466" s="29">
        <f>MaintFeeRateAnn/12*S466</f>
        <v/>
      </c>
      <c r="U466" s="29">
        <f>MAX(SumAssured-S466,0)</f>
        <v/>
      </c>
      <c r="V466" s="35">
        <f>CoiMultiple*G466</f>
        <v/>
      </c>
      <c r="W466" s="34">
        <f>V466*U466</f>
        <v/>
      </c>
      <c r="X466" s="34">
        <f>S466-T466-W466</f>
        <v/>
      </c>
      <c r="Y466" s="36">
        <f>EXP((Mu-0.5*Sigma^2)/12+Sigma*SQRT(1/12)*INDEX(NormRand,ScenID,A466+1))-1</f>
        <v/>
      </c>
      <c r="Z466" s="34">
        <f>Y466*X466</f>
        <v/>
      </c>
      <c r="AA466" s="34">
        <f>X466+0.5*Z466</f>
        <v/>
      </c>
      <c r="AB466" s="34">
        <f>Q466*J466</f>
        <v/>
      </c>
      <c r="AC466" s="34">
        <f>Q466*L466</f>
        <v/>
      </c>
      <c r="AD466" s="34">
        <f>S466*N466</f>
        <v/>
      </c>
      <c r="AE466" s="34">
        <f>E466*N466</f>
        <v/>
      </c>
      <c r="AF466" s="34">
        <f>R466*N466</f>
        <v/>
      </c>
      <c r="AG466" s="29">
        <f>MAX(SumAssured,AA466)</f>
        <v/>
      </c>
      <c r="AH466" s="34">
        <f>AG466*O466</f>
        <v/>
      </c>
      <c r="AI466" s="34">
        <f>AA466*O466</f>
        <v/>
      </c>
      <c r="AJ466" s="34">
        <f>AA466*P466</f>
        <v/>
      </c>
      <c r="AK466" s="34">
        <f>I466*AA466*P466</f>
        <v/>
      </c>
      <c r="AL466" s="34">
        <f>AJ466-AK466</f>
        <v/>
      </c>
      <c r="AM466" s="34">
        <f>Q466*K466</f>
        <v/>
      </c>
      <c r="AN466" s="34">
        <f>AH466+AL466+AM466</f>
        <v/>
      </c>
      <c r="AO466" s="34">
        <f>(AG466-AA466)*O466</f>
        <v/>
      </c>
      <c r="AP466" s="34">
        <f>W466*N466</f>
        <v/>
      </c>
      <c r="AQ466" s="34">
        <f>T466*N466</f>
        <v/>
      </c>
      <c r="AR466" s="34">
        <f>Z466*J467+0.5*Z466*(O466+P466)</f>
        <v/>
      </c>
      <c r="AS466" s="30">
        <f>(1+InflationRate)^(A466/12)</f>
        <v/>
      </c>
      <c r="AT466" s="29">
        <f>ExpenseAcq*M466+N466*ExpenseMaint/12*AS466</f>
        <v/>
      </c>
      <c r="AU466" s="29">
        <f>CommissionRate*AE466</f>
        <v/>
      </c>
      <c r="AV466" s="34">
        <f>AB467-AB466</f>
        <v/>
      </c>
      <c r="AW466" s="34">
        <f>AE466+AR466-AN466-AT466-AU466-AV466</f>
        <v/>
      </c>
      <c r="AX466" s="29">
        <f>LoadPremRate*E466*N466+AK466+AQ466-AU466-AT466</f>
        <v/>
      </c>
      <c r="AY466" s="34">
        <f>AP466-AO466</f>
        <v/>
      </c>
      <c r="AZ466" s="37">
        <f>(AW466-AX466-AY466)/MAX(1,ABS(AW466),ABS(AX466),ABS(AY466))</f>
        <v/>
      </c>
      <c r="BA466" s="37">
        <f>IF(OR(K466&gt;0,K467&gt;0),0,(AC467-(AC466+AF466-AQ466-AP466+AR466-AI466-AJ466-AM466))/MAX(1,ABS(AC466),ABS(AC467)))</f>
        <v/>
      </c>
      <c r="BB466" s="35">
        <f>(1+INDEX(DiscRateAnn,INT(A466/12)+1))^(1/12)-1</f>
        <v/>
      </c>
      <c r="BC466" s="31">
        <f>(1+BB466)^-A466</f>
        <v/>
      </c>
      <c r="BD466" s="34">
        <f>AW466*BC466</f>
        <v/>
      </c>
    </row>
    <row r="467">
      <c r="A467" s="27">
        <f>A466+1</f>
        <v/>
      </c>
      <c r="B467" s="28">
        <f>Duration0+A467</f>
        <v/>
      </c>
      <c r="C467" s="27">
        <f>INT(B467/12)</f>
        <v/>
      </c>
      <c r="D467" s="28">
        <f>AgeAtEntry+C467</f>
        <v/>
      </c>
      <c r="E467" s="29">
        <f>IF(PremiumType="SINGLE",IF(B467=0,PremiumPPInput,0),IF(B467&lt;12*PolicyTerm,PremiumPPInput,0))</f>
        <v/>
      </c>
      <c r="F467" s="30">
        <f>INDEX(MortRates,MATCH(MIN(D467,120),MortAges,0),MAX(MIN(C467,5),0)+1)</f>
        <v/>
      </c>
      <c r="G467" s="31">
        <f>1-(1-F467)^(1/12)</f>
        <v/>
      </c>
      <c r="H467" s="32">
        <f>MAX(LapseBase-LapseStep*C467,LapseFloor)</f>
        <v/>
      </c>
      <c r="I467" s="32">
        <f>IF(HasSurrCharge,INDEX(SurrRates,MIN(C467,SurrDurMax)+1,MATCH(SurrChargeID,SurrTypes,0)),0)</f>
        <v/>
      </c>
      <c r="J467" s="33">
        <f>N466-P466-O466</f>
        <v/>
      </c>
      <c r="K467" s="30">
        <f>IF(B467=12*PolicyTerm,J467,0)</f>
        <v/>
      </c>
      <c r="L467" s="33">
        <f>J467-K467</f>
        <v/>
      </c>
      <c r="M467" s="30">
        <f>IF(B467=0,PolicyCount,0)</f>
        <v/>
      </c>
      <c r="N467" s="33">
        <f>L467+M467</f>
        <v/>
      </c>
      <c r="O467" s="31">
        <f>N467*G467</f>
        <v/>
      </c>
      <c r="P467" s="33">
        <f>(N467-O467)*(1-(1-H467)^(1/12))</f>
        <v/>
      </c>
      <c r="Q467" s="34">
        <f>X466+Z466</f>
        <v/>
      </c>
      <c r="R467" s="29">
        <f>(1-LoadPremRate)*E467</f>
        <v/>
      </c>
      <c r="S467" s="34">
        <f>Q467+R467</f>
        <v/>
      </c>
      <c r="T467" s="29">
        <f>MaintFeeRateAnn/12*S467</f>
        <v/>
      </c>
      <c r="U467" s="29">
        <f>MAX(SumAssured-S467,0)</f>
        <v/>
      </c>
      <c r="V467" s="35">
        <f>CoiMultiple*G467</f>
        <v/>
      </c>
      <c r="W467" s="34">
        <f>V467*U467</f>
        <v/>
      </c>
      <c r="X467" s="34">
        <f>S467-T467-W467</f>
        <v/>
      </c>
      <c r="Y467" s="36">
        <f>EXP((Mu-0.5*Sigma^2)/12+Sigma*SQRT(1/12)*INDEX(NormRand,ScenID,A467+1))-1</f>
        <v/>
      </c>
      <c r="Z467" s="34">
        <f>Y467*X467</f>
        <v/>
      </c>
      <c r="AA467" s="34">
        <f>X467+0.5*Z467</f>
        <v/>
      </c>
      <c r="AB467" s="34">
        <f>Q467*J467</f>
        <v/>
      </c>
      <c r="AC467" s="34">
        <f>Q467*L467</f>
        <v/>
      </c>
      <c r="AD467" s="34">
        <f>S467*N467</f>
        <v/>
      </c>
      <c r="AE467" s="34">
        <f>E467*N467</f>
        <v/>
      </c>
      <c r="AF467" s="34">
        <f>R467*N467</f>
        <v/>
      </c>
      <c r="AG467" s="29">
        <f>MAX(SumAssured,AA467)</f>
        <v/>
      </c>
      <c r="AH467" s="34">
        <f>AG467*O467</f>
        <v/>
      </c>
      <c r="AI467" s="34">
        <f>AA467*O467</f>
        <v/>
      </c>
      <c r="AJ467" s="34">
        <f>AA467*P467</f>
        <v/>
      </c>
      <c r="AK467" s="34">
        <f>I467*AA467*P467</f>
        <v/>
      </c>
      <c r="AL467" s="34">
        <f>AJ467-AK467</f>
        <v/>
      </c>
      <c r="AM467" s="34">
        <f>Q467*K467</f>
        <v/>
      </c>
      <c r="AN467" s="34">
        <f>AH467+AL467+AM467</f>
        <v/>
      </c>
      <c r="AO467" s="34">
        <f>(AG467-AA467)*O467</f>
        <v/>
      </c>
      <c r="AP467" s="34">
        <f>W467*N467</f>
        <v/>
      </c>
      <c r="AQ467" s="34">
        <f>T467*N467</f>
        <v/>
      </c>
      <c r="AR467" s="34">
        <f>Z467*J468+0.5*Z467*(O467+P467)</f>
        <v/>
      </c>
      <c r="AS467" s="30">
        <f>(1+InflationRate)^(A467/12)</f>
        <v/>
      </c>
      <c r="AT467" s="29">
        <f>ExpenseAcq*M467+N467*ExpenseMaint/12*AS467</f>
        <v/>
      </c>
      <c r="AU467" s="29">
        <f>CommissionRate*AE467</f>
        <v/>
      </c>
      <c r="AV467" s="34">
        <f>AB468-AB467</f>
        <v/>
      </c>
      <c r="AW467" s="34">
        <f>AE467+AR467-AN467-AT467-AU467-AV467</f>
        <v/>
      </c>
      <c r="AX467" s="29">
        <f>LoadPremRate*E467*N467+AK467+AQ467-AU467-AT467</f>
        <v/>
      </c>
      <c r="AY467" s="34">
        <f>AP467-AO467</f>
        <v/>
      </c>
      <c r="AZ467" s="37">
        <f>(AW467-AX467-AY467)/MAX(1,ABS(AW467),ABS(AX467),ABS(AY467))</f>
        <v/>
      </c>
      <c r="BA467" s="37">
        <f>IF(OR(K467&gt;0,K468&gt;0),0,(AC468-(AC467+AF467-AQ467-AP467+AR467-AI467-AJ467-AM467))/MAX(1,ABS(AC467),ABS(AC468)))</f>
        <v/>
      </c>
      <c r="BB467" s="35">
        <f>(1+INDEX(DiscRateAnn,INT(A467/12)+1))^(1/12)-1</f>
        <v/>
      </c>
      <c r="BC467" s="31">
        <f>(1+BB467)^-A467</f>
        <v/>
      </c>
      <c r="BD467" s="34">
        <f>AW467*BC467</f>
        <v/>
      </c>
    </row>
    <row r="468">
      <c r="A468" s="27">
        <f>A467+1</f>
        <v/>
      </c>
      <c r="B468" s="28">
        <f>Duration0+A468</f>
        <v/>
      </c>
      <c r="C468" s="27">
        <f>INT(B468/12)</f>
        <v/>
      </c>
      <c r="D468" s="28">
        <f>AgeAtEntry+C468</f>
        <v/>
      </c>
      <c r="E468" s="29">
        <f>IF(PremiumType="SINGLE",IF(B468=0,PremiumPPInput,0),IF(B468&lt;12*PolicyTerm,PremiumPPInput,0))</f>
        <v/>
      </c>
      <c r="F468" s="30">
        <f>INDEX(MortRates,MATCH(MIN(D468,120),MortAges,0),MAX(MIN(C468,5),0)+1)</f>
        <v/>
      </c>
      <c r="G468" s="31">
        <f>1-(1-F468)^(1/12)</f>
        <v/>
      </c>
      <c r="H468" s="32">
        <f>MAX(LapseBase-LapseStep*C468,LapseFloor)</f>
        <v/>
      </c>
      <c r="I468" s="32">
        <f>IF(HasSurrCharge,INDEX(SurrRates,MIN(C468,SurrDurMax)+1,MATCH(SurrChargeID,SurrTypes,0)),0)</f>
        <v/>
      </c>
      <c r="J468" s="33">
        <f>N467-P467-O467</f>
        <v/>
      </c>
      <c r="K468" s="30">
        <f>IF(B468=12*PolicyTerm,J468,0)</f>
        <v/>
      </c>
      <c r="L468" s="33">
        <f>J468-K468</f>
        <v/>
      </c>
      <c r="M468" s="30">
        <f>IF(B468=0,PolicyCount,0)</f>
        <v/>
      </c>
      <c r="N468" s="33">
        <f>L468+M468</f>
        <v/>
      </c>
      <c r="O468" s="31">
        <f>N468*G468</f>
        <v/>
      </c>
      <c r="P468" s="33">
        <f>(N468-O468)*(1-(1-H468)^(1/12))</f>
        <v/>
      </c>
      <c r="Q468" s="34">
        <f>X467+Z467</f>
        <v/>
      </c>
      <c r="R468" s="29">
        <f>(1-LoadPremRate)*E468</f>
        <v/>
      </c>
      <c r="S468" s="34">
        <f>Q468+R468</f>
        <v/>
      </c>
      <c r="T468" s="29">
        <f>MaintFeeRateAnn/12*S468</f>
        <v/>
      </c>
      <c r="U468" s="29">
        <f>MAX(SumAssured-S468,0)</f>
        <v/>
      </c>
      <c r="V468" s="35">
        <f>CoiMultiple*G468</f>
        <v/>
      </c>
      <c r="W468" s="34">
        <f>V468*U468</f>
        <v/>
      </c>
      <c r="X468" s="34">
        <f>S468-T468-W468</f>
        <v/>
      </c>
      <c r="Y468" s="36">
        <f>EXP((Mu-0.5*Sigma^2)/12+Sigma*SQRT(1/12)*INDEX(NormRand,ScenID,A468+1))-1</f>
        <v/>
      </c>
      <c r="Z468" s="34">
        <f>Y468*X468</f>
        <v/>
      </c>
      <c r="AA468" s="34">
        <f>X468+0.5*Z468</f>
        <v/>
      </c>
      <c r="AB468" s="34">
        <f>Q468*J468</f>
        <v/>
      </c>
      <c r="AC468" s="34">
        <f>Q468*L468</f>
        <v/>
      </c>
      <c r="AD468" s="34">
        <f>S468*N468</f>
        <v/>
      </c>
      <c r="AE468" s="34">
        <f>E468*N468</f>
        <v/>
      </c>
      <c r="AF468" s="34">
        <f>R468*N468</f>
        <v/>
      </c>
      <c r="AG468" s="29">
        <f>MAX(SumAssured,AA468)</f>
        <v/>
      </c>
      <c r="AH468" s="34">
        <f>AG468*O468</f>
        <v/>
      </c>
      <c r="AI468" s="34">
        <f>AA468*O468</f>
        <v/>
      </c>
      <c r="AJ468" s="34">
        <f>AA468*P468</f>
        <v/>
      </c>
      <c r="AK468" s="34">
        <f>I468*AA468*P468</f>
        <v/>
      </c>
      <c r="AL468" s="34">
        <f>AJ468-AK468</f>
        <v/>
      </c>
      <c r="AM468" s="34">
        <f>Q468*K468</f>
        <v/>
      </c>
      <c r="AN468" s="34">
        <f>AH468+AL468+AM468</f>
        <v/>
      </c>
      <c r="AO468" s="34">
        <f>(AG468-AA468)*O468</f>
        <v/>
      </c>
      <c r="AP468" s="34">
        <f>W468*N468</f>
        <v/>
      </c>
      <c r="AQ468" s="34">
        <f>T468*N468</f>
        <v/>
      </c>
      <c r="AR468" s="34">
        <f>Z468*J469+0.5*Z468*(O468+P468)</f>
        <v/>
      </c>
      <c r="AS468" s="30">
        <f>(1+InflationRate)^(A468/12)</f>
        <v/>
      </c>
      <c r="AT468" s="29">
        <f>ExpenseAcq*M468+N468*ExpenseMaint/12*AS468</f>
        <v/>
      </c>
      <c r="AU468" s="29">
        <f>CommissionRate*AE468</f>
        <v/>
      </c>
      <c r="AV468" s="34">
        <f>AB469-AB468</f>
        <v/>
      </c>
      <c r="AW468" s="34">
        <f>AE468+AR468-AN468-AT468-AU468-AV468</f>
        <v/>
      </c>
      <c r="AX468" s="29">
        <f>LoadPremRate*E468*N468+AK468+AQ468-AU468-AT468</f>
        <v/>
      </c>
      <c r="AY468" s="34">
        <f>AP468-AO468</f>
        <v/>
      </c>
      <c r="AZ468" s="37">
        <f>(AW468-AX468-AY468)/MAX(1,ABS(AW468),ABS(AX468),ABS(AY468))</f>
        <v/>
      </c>
      <c r="BA468" s="37">
        <f>IF(OR(K468&gt;0,K469&gt;0),0,(AC469-(AC468+AF468-AQ468-AP468+AR468-AI468-AJ468-AM468))/MAX(1,ABS(AC468),ABS(AC469)))</f>
        <v/>
      </c>
      <c r="BB468" s="35">
        <f>(1+INDEX(DiscRateAnn,INT(A468/12)+1))^(1/12)-1</f>
        <v/>
      </c>
      <c r="BC468" s="31">
        <f>(1+BB468)^-A468</f>
        <v/>
      </c>
      <c r="BD468" s="34">
        <f>AW468*BC468</f>
        <v/>
      </c>
    </row>
    <row r="469">
      <c r="A469" s="27">
        <f>A468+1</f>
        <v/>
      </c>
      <c r="B469" s="28">
        <f>Duration0+A469</f>
        <v/>
      </c>
      <c r="C469" s="27">
        <f>INT(B469/12)</f>
        <v/>
      </c>
      <c r="D469" s="28">
        <f>AgeAtEntry+C469</f>
        <v/>
      </c>
      <c r="E469" s="29">
        <f>IF(PremiumType="SINGLE",IF(B469=0,PremiumPPInput,0),IF(B469&lt;12*PolicyTerm,PremiumPPInput,0))</f>
        <v/>
      </c>
      <c r="F469" s="30">
        <f>INDEX(MortRates,MATCH(MIN(D469,120),MortAges,0),MAX(MIN(C469,5),0)+1)</f>
        <v/>
      </c>
      <c r="G469" s="31">
        <f>1-(1-F469)^(1/12)</f>
        <v/>
      </c>
      <c r="H469" s="32">
        <f>MAX(LapseBase-LapseStep*C469,LapseFloor)</f>
        <v/>
      </c>
      <c r="I469" s="32">
        <f>IF(HasSurrCharge,INDEX(SurrRates,MIN(C469,SurrDurMax)+1,MATCH(SurrChargeID,SurrTypes,0)),0)</f>
        <v/>
      </c>
      <c r="J469" s="33">
        <f>N468-P468-O468</f>
        <v/>
      </c>
      <c r="K469" s="30">
        <f>IF(B469=12*PolicyTerm,J469,0)</f>
        <v/>
      </c>
      <c r="L469" s="33">
        <f>J469-K469</f>
        <v/>
      </c>
      <c r="M469" s="30">
        <f>IF(B469=0,PolicyCount,0)</f>
        <v/>
      </c>
      <c r="N469" s="33">
        <f>L469+M469</f>
        <v/>
      </c>
      <c r="O469" s="31">
        <f>N469*G469</f>
        <v/>
      </c>
      <c r="P469" s="33">
        <f>(N469-O469)*(1-(1-H469)^(1/12))</f>
        <v/>
      </c>
      <c r="Q469" s="34">
        <f>X468+Z468</f>
        <v/>
      </c>
      <c r="R469" s="29">
        <f>(1-LoadPremRate)*E469</f>
        <v/>
      </c>
      <c r="S469" s="34">
        <f>Q469+R469</f>
        <v/>
      </c>
      <c r="T469" s="29">
        <f>MaintFeeRateAnn/12*S469</f>
        <v/>
      </c>
      <c r="U469" s="29">
        <f>MAX(SumAssured-S469,0)</f>
        <v/>
      </c>
      <c r="V469" s="35">
        <f>CoiMultiple*G469</f>
        <v/>
      </c>
      <c r="W469" s="34">
        <f>V469*U469</f>
        <v/>
      </c>
      <c r="X469" s="34">
        <f>S469-T469-W469</f>
        <v/>
      </c>
      <c r="Y469" s="36">
        <f>EXP((Mu-0.5*Sigma^2)/12+Sigma*SQRT(1/12)*INDEX(NormRand,ScenID,A469+1))-1</f>
        <v/>
      </c>
      <c r="Z469" s="34">
        <f>Y469*X469</f>
        <v/>
      </c>
      <c r="AA469" s="34">
        <f>X469+0.5*Z469</f>
        <v/>
      </c>
      <c r="AB469" s="34">
        <f>Q469*J469</f>
        <v/>
      </c>
      <c r="AC469" s="34">
        <f>Q469*L469</f>
        <v/>
      </c>
      <c r="AD469" s="34">
        <f>S469*N469</f>
        <v/>
      </c>
      <c r="AE469" s="34">
        <f>E469*N469</f>
        <v/>
      </c>
      <c r="AF469" s="34">
        <f>R469*N469</f>
        <v/>
      </c>
      <c r="AG469" s="29">
        <f>MAX(SumAssured,AA469)</f>
        <v/>
      </c>
      <c r="AH469" s="34">
        <f>AG469*O469</f>
        <v/>
      </c>
      <c r="AI469" s="34">
        <f>AA469*O469</f>
        <v/>
      </c>
      <c r="AJ469" s="34">
        <f>AA469*P469</f>
        <v/>
      </c>
      <c r="AK469" s="34">
        <f>I469*AA469*P469</f>
        <v/>
      </c>
      <c r="AL469" s="34">
        <f>AJ469-AK469</f>
        <v/>
      </c>
      <c r="AM469" s="34">
        <f>Q469*K469</f>
        <v/>
      </c>
      <c r="AN469" s="34">
        <f>AH469+AL469+AM469</f>
        <v/>
      </c>
      <c r="AO469" s="34">
        <f>(AG469-AA469)*O469</f>
        <v/>
      </c>
      <c r="AP469" s="34">
        <f>W469*N469</f>
        <v/>
      </c>
      <c r="AQ469" s="34">
        <f>T469*N469</f>
        <v/>
      </c>
      <c r="AR469" s="34">
        <f>Z469*J470+0.5*Z469*(O469+P469)</f>
        <v/>
      </c>
      <c r="AS469" s="30">
        <f>(1+InflationRate)^(A469/12)</f>
        <v/>
      </c>
      <c r="AT469" s="29">
        <f>ExpenseAcq*M469+N469*ExpenseMaint/12*AS469</f>
        <v/>
      </c>
      <c r="AU469" s="29">
        <f>CommissionRate*AE469</f>
        <v/>
      </c>
      <c r="AV469" s="34">
        <f>AB470-AB469</f>
        <v/>
      </c>
      <c r="AW469" s="34">
        <f>AE469+AR469-AN469-AT469-AU469-AV469</f>
        <v/>
      </c>
      <c r="AX469" s="29">
        <f>LoadPremRate*E469*N469+AK469+AQ469-AU469-AT469</f>
        <v/>
      </c>
      <c r="AY469" s="34">
        <f>AP469-AO469</f>
        <v/>
      </c>
      <c r="AZ469" s="37">
        <f>(AW469-AX469-AY469)/MAX(1,ABS(AW469),ABS(AX469),ABS(AY469))</f>
        <v/>
      </c>
      <c r="BA469" s="37">
        <f>IF(OR(K469&gt;0,K470&gt;0),0,(AC470-(AC469+AF469-AQ469-AP469+AR469-AI469-AJ469-AM469))/MAX(1,ABS(AC469),ABS(AC470)))</f>
        <v/>
      </c>
      <c r="BB469" s="35">
        <f>(1+INDEX(DiscRateAnn,INT(A469/12)+1))^(1/12)-1</f>
        <v/>
      </c>
      <c r="BC469" s="31">
        <f>(1+BB469)^-A469</f>
        <v/>
      </c>
      <c r="BD469" s="34">
        <f>AW469*BC469</f>
        <v/>
      </c>
    </row>
    <row r="470">
      <c r="A470" s="27">
        <f>A469+1</f>
        <v/>
      </c>
      <c r="B470" s="28">
        <f>Duration0+A470</f>
        <v/>
      </c>
      <c r="C470" s="27">
        <f>INT(B470/12)</f>
        <v/>
      </c>
      <c r="D470" s="28">
        <f>AgeAtEntry+C470</f>
        <v/>
      </c>
      <c r="E470" s="29">
        <f>IF(PremiumType="SINGLE",IF(B470=0,PremiumPPInput,0),IF(B470&lt;12*PolicyTerm,PremiumPPInput,0))</f>
        <v/>
      </c>
      <c r="F470" s="30">
        <f>INDEX(MortRates,MATCH(MIN(D470,120),MortAges,0),MAX(MIN(C470,5),0)+1)</f>
        <v/>
      </c>
      <c r="G470" s="31">
        <f>1-(1-F470)^(1/12)</f>
        <v/>
      </c>
      <c r="H470" s="32">
        <f>MAX(LapseBase-LapseStep*C470,LapseFloor)</f>
        <v/>
      </c>
      <c r="I470" s="32">
        <f>IF(HasSurrCharge,INDEX(SurrRates,MIN(C470,SurrDurMax)+1,MATCH(SurrChargeID,SurrTypes,0)),0)</f>
        <v/>
      </c>
      <c r="J470" s="33">
        <f>N469-P469-O469</f>
        <v/>
      </c>
      <c r="K470" s="30">
        <f>IF(B470=12*PolicyTerm,J470,0)</f>
        <v/>
      </c>
      <c r="L470" s="33">
        <f>J470-K470</f>
        <v/>
      </c>
      <c r="M470" s="30">
        <f>IF(B470=0,PolicyCount,0)</f>
        <v/>
      </c>
      <c r="N470" s="33">
        <f>L470+M470</f>
        <v/>
      </c>
      <c r="O470" s="31">
        <f>N470*G470</f>
        <v/>
      </c>
      <c r="P470" s="33">
        <f>(N470-O470)*(1-(1-H470)^(1/12))</f>
        <v/>
      </c>
      <c r="Q470" s="34">
        <f>X469+Z469</f>
        <v/>
      </c>
      <c r="R470" s="29">
        <f>(1-LoadPremRate)*E470</f>
        <v/>
      </c>
      <c r="S470" s="34">
        <f>Q470+R470</f>
        <v/>
      </c>
      <c r="T470" s="29">
        <f>MaintFeeRateAnn/12*S470</f>
        <v/>
      </c>
      <c r="U470" s="29">
        <f>MAX(SumAssured-S470,0)</f>
        <v/>
      </c>
      <c r="V470" s="35">
        <f>CoiMultiple*G470</f>
        <v/>
      </c>
      <c r="W470" s="34">
        <f>V470*U470</f>
        <v/>
      </c>
      <c r="X470" s="34">
        <f>S470-T470-W470</f>
        <v/>
      </c>
      <c r="Y470" s="36">
        <f>EXP((Mu-0.5*Sigma^2)/12+Sigma*SQRT(1/12)*INDEX(NormRand,ScenID,A470+1))-1</f>
        <v/>
      </c>
      <c r="Z470" s="34">
        <f>Y470*X470</f>
        <v/>
      </c>
      <c r="AA470" s="34">
        <f>X470+0.5*Z470</f>
        <v/>
      </c>
      <c r="AB470" s="34">
        <f>Q470*J470</f>
        <v/>
      </c>
      <c r="AC470" s="34">
        <f>Q470*L470</f>
        <v/>
      </c>
      <c r="AD470" s="34">
        <f>S470*N470</f>
        <v/>
      </c>
      <c r="AE470" s="34">
        <f>E470*N470</f>
        <v/>
      </c>
      <c r="AF470" s="34">
        <f>R470*N470</f>
        <v/>
      </c>
      <c r="AG470" s="29">
        <f>MAX(SumAssured,AA470)</f>
        <v/>
      </c>
      <c r="AH470" s="34">
        <f>AG470*O470</f>
        <v/>
      </c>
      <c r="AI470" s="34">
        <f>AA470*O470</f>
        <v/>
      </c>
      <c r="AJ470" s="34">
        <f>AA470*P470</f>
        <v/>
      </c>
      <c r="AK470" s="34">
        <f>I470*AA470*P470</f>
        <v/>
      </c>
      <c r="AL470" s="34">
        <f>AJ470-AK470</f>
        <v/>
      </c>
      <c r="AM470" s="34">
        <f>Q470*K470</f>
        <v/>
      </c>
      <c r="AN470" s="34">
        <f>AH470+AL470+AM470</f>
        <v/>
      </c>
      <c r="AO470" s="34">
        <f>(AG470-AA470)*O470</f>
        <v/>
      </c>
      <c r="AP470" s="34">
        <f>W470*N470</f>
        <v/>
      </c>
      <c r="AQ470" s="34">
        <f>T470*N470</f>
        <v/>
      </c>
      <c r="AR470" s="34">
        <f>Z470*J471+0.5*Z470*(O470+P470)</f>
        <v/>
      </c>
      <c r="AS470" s="30">
        <f>(1+InflationRate)^(A470/12)</f>
        <v/>
      </c>
      <c r="AT470" s="29">
        <f>ExpenseAcq*M470+N470*ExpenseMaint/12*AS470</f>
        <v/>
      </c>
      <c r="AU470" s="29">
        <f>CommissionRate*AE470</f>
        <v/>
      </c>
      <c r="AV470" s="34">
        <f>AB471-AB470</f>
        <v/>
      </c>
      <c r="AW470" s="34">
        <f>AE470+AR470-AN470-AT470-AU470-AV470</f>
        <v/>
      </c>
      <c r="AX470" s="29">
        <f>LoadPremRate*E470*N470+AK470+AQ470-AU470-AT470</f>
        <v/>
      </c>
      <c r="AY470" s="34">
        <f>AP470-AO470</f>
        <v/>
      </c>
      <c r="AZ470" s="37">
        <f>(AW470-AX470-AY470)/MAX(1,ABS(AW470),ABS(AX470),ABS(AY470))</f>
        <v/>
      </c>
      <c r="BA470" s="37">
        <f>IF(OR(K470&gt;0,K471&gt;0),0,(AC471-(AC470+AF470-AQ470-AP470+AR470-AI470-AJ470-AM470))/MAX(1,ABS(AC470),ABS(AC471)))</f>
        <v/>
      </c>
      <c r="BB470" s="35">
        <f>(1+INDEX(DiscRateAnn,INT(A470/12)+1))^(1/12)-1</f>
        <v/>
      </c>
      <c r="BC470" s="31">
        <f>(1+BB470)^-A470</f>
        <v/>
      </c>
      <c r="BD470" s="34">
        <f>AW470*BC470</f>
        <v/>
      </c>
    </row>
    <row r="471">
      <c r="A471" s="27">
        <f>A470+1</f>
        <v/>
      </c>
      <c r="B471" s="28">
        <f>Duration0+A471</f>
        <v/>
      </c>
      <c r="C471" s="27">
        <f>INT(B471/12)</f>
        <v/>
      </c>
      <c r="D471" s="28">
        <f>AgeAtEntry+C471</f>
        <v/>
      </c>
      <c r="E471" s="29">
        <f>IF(PremiumType="SINGLE",IF(B471=0,PremiumPPInput,0),IF(B471&lt;12*PolicyTerm,PremiumPPInput,0))</f>
        <v/>
      </c>
      <c r="F471" s="30">
        <f>INDEX(MortRates,MATCH(MIN(D471,120),MortAges,0),MAX(MIN(C471,5),0)+1)</f>
        <v/>
      </c>
      <c r="G471" s="31">
        <f>1-(1-F471)^(1/12)</f>
        <v/>
      </c>
      <c r="H471" s="32">
        <f>MAX(LapseBase-LapseStep*C471,LapseFloor)</f>
        <v/>
      </c>
      <c r="I471" s="32">
        <f>IF(HasSurrCharge,INDEX(SurrRates,MIN(C471,SurrDurMax)+1,MATCH(SurrChargeID,SurrTypes,0)),0)</f>
        <v/>
      </c>
      <c r="J471" s="33">
        <f>N470-P470-O470</f>
        <v/>
      </c>
      <c r="K471" s="30">
        <f>IF(B471=12*PolicyTerm,J471,0)</f>
        <v/>
      </c>
      <c r="L471" s="33">
        <f>J471-K471</f>
        <v/>
      </c>
      <c r="M471" s="30">
        <f>IF(B471=0,PolicyCount,0)</f>
        <v/>
      </c>
      <c r="N471" s="33">
        <f>L471+M471</f>
        <v/>
      </c>
      <c r="O471" s="31">
        <f>N471*G471</f>
        <v/>
      </c>
      <c r="P471" s="33">
        <f>(N471-O471)*(1-(1-H471)^(1/12))</f>
        <v/>
      </c>
      <c r="Q471" s="34">
        <f>X470+Z470</f>
        <v/>
      </c>
      <c r="R471" s="29">
        <f>(1-LoadPremRate)*E471</f>
        <v/>
      </c>
      <c r="S471" s="34">
        <f>Q471+R471</f>
        <v/>
      </c>
      <c r="T471" s="29">
        <f>MaintFeeRateAnn/12*S471</f>
        <v/>
      </c>
      <c r="U471" s="29">
        <f>MAX(SumAssured-S471,0)</f>
        <v/>
      </c>
      <c r="V471" s="35">
        <f>CoiMultiple*G471</f>
        <v/>
      </c>
      <c r="W471" s="34">
        <f>V471*U471</f>
        <v/>
      </c>
      <c r="X471" s="34">
        <f>S471-T471-W471</f>
        <v/>
      </c>
      <c r="Y471" s="36">
        <f>EXP((Mu-0.5*Sigma^2)/12+Sigma*SQRT(1/12)*INDEX(NormRand,ScenID,A471+1))-1</f>
        <v/>
      </c>
      <c r="Z471" s="34">
        <f>Y471*X471</f>
        <v/>
      </c>
      <c r="AA471" s="34">
        <f>X471+0.5*Z471</f>
        <v/>
      </c>
      <c r="AB471" s="34">
        <f>Q471*J471</f>
        <v/>
      </c>
      <c r="AC471" s="34">
        <f>Q471*L471</f>
        <v/>
      </c>
      <c r="AD471" s="34">
        <f>S471*N471</f>
        <v/>
      </c>
      <c r="AE471" s="34">
        <f>E471*N471</f>
        <v/>
      </c>
      <c r="AF471" s="34">
        <f>R471*N471</f>
        <v/>
      </c>
      <c r="AG471" s="29">
        <f>MAX(SumAssured,AA471)</f>
        <v/>
      </c>
      <c r="AH471" s="34">
        <f>AG471*O471</f>
        <v/>
      </c>
      <c r="AI471" s="34">
        <f>AA471*O471</f>
        <v/>
      </c>
      <c r="AJ471" s="34">
        <f>AA471*P471</f>
        <v/>
      </c>
      <c r="AK471" s="34">
        <f>I471*AA471*P471</f>
        <v/>
      </c>
      <c r="AL471" s="34">
        <f>AJ471-AK471</f>
        <v/>
      </c>
      <c r="AM471" s="34">
        <f>Q471*K471</f>
        <v/>
      </c>
      <c r="AN471" s="34">
        <f>AH471+AL471+AM471</f>
        <v/>
      </c>
      <c r="AO471" s="34">
        <f>(AG471-AA471)*O471</f>
        <v/>
      </c>
      <c r="AP471" s="34">
        <f>W471*N471</f>
        <v/>
      </c>
      <c r="AQ471" s="34">
        <f>T471*N471</f>
        <v/>
      </c>
      <c r="AR471" s="34">
        <f>Z471*J472+0.5*Z471*(O471+P471)</f>
        <v/>
      </c>
      <c r="AS471" s="30">
        <f>(1+InflationRate)^(A471/12)</f>
        <v/>
      </c>
      <c r="AT471" s="29">
        <f>ExpenseAcq*M471+N471*ExpenseMaint/12*AS471</f>
        <v/>
      </c>
      <c r="AU471" s="29">
        <f>CommissionRate*AE471</f>
        <v/>
      </c>
      <c r="AV471" s="34">
        <f>AB472-AB471</f>
        <v/>
      </c>
      <c r="AW471" s="34">
        <f>AE471+AR471-AN471-AT471-AU471-AV471</f>
        <v/>
      </c>
      <c r="AX471" s="29">
        <f>LoadPremRate*E471*N471+AK471+AQ471-AU471-AT471</f>
        <v/>
      </c>
      <c r="AY471" s="34">
        <f>AP471-AO471</f>
        <v/>
      </c>
      <c r="AZ471" s="37">
        <f>(AW471-AX471-AY471)/MAX(1,ABS(AW471),ABS(AX471),ABS(AY471))</f>
        <v/>
      </c>
      <c r="BA471" s="37">
        <f>IF(OR(K471&gt;0,K472&gt;0),0,(AC472-(AC471+AF471-AQ471-AP471+AR471-AI471-AJ471-AM471))/MAX(1,ABS(AC471),ABS(AC472)))</f>
        <v/>
      </c>
      <c r="BB471" s="35">
        <f>(1+INDEX(DiscRateAnn,INT(A471/12)+1))^(1/12)-1</f>
        <v/>
      </c>
      <c r="BC471" s="31">
        <f>(1+BB471)^-A471</f>
        <v/>
      </c>
      <c r="BD471" s="34">
        <f>AW471*BC471</f>
        <v/>
      </c>
    </row>
    <row r="472">
      <c r="A472" s="27">
        <f>A471+1</f>
        <v/>
      </c>
      <c r="B472" s="28">
        <f>Duration0+A472</f>
        <v/>
      </c>
      <c r="C472" s="27">
        <f>INT(B472/12)</f>
        <v/>
      </c>
      <c r="D472" s="28">
        <f>AgeAtEntry+C472</f>
        <v/>
      </c>
      <c r="E472" s="29">
        <f>IF(PremiumType="SINGLE",IF(B472=0,PremiumPPInput,0),IF(B472&lt;12*PolicyTerm,PremiumPPInput,0))</f>
        <v/>
      </c>
      <c r="F472" s="30">
        <f>INDEX(MortRates,MATCH(MIN(D472,120),MortAges,0),MAX(MIN(C472,5),0)+1)</f>
        <v/>
      </c>
      <c r="G472" s="31">
        <f>1-(1-F472)^(1/12)</f>
        <v/>
      </c>
      <c r="H472" s="32">
        <f>MAX(LapseBase-LapseStep*C472,LapseFloor)</f>
        <v/>
      </c>
      <c r="I472" s="32">
        <f>IF(HasSurrCharge,INDEX(SurrRates,MIN(C472,SurrDurMax)+1,MATCH(SurrChargeID,SurrTypes,0)),0)</f>
        <v/>
      </c>
      <c r="J472" s="33">
        <f>N471-P471-O471</f>
        <v/>
      </c>
      <c r="K472" s="30">
        <f>IF(B472=12*PolicyTerm,J472,0)</f>
        <v/>
      </c>
      <c r="L472" s="33">
        <f>J472-K472</f>
        <v/>
      </c>
      <c r="M472" s="30">
        <f>IF(B472=0,PolicyCount,0)</f>
        <v/>
      </c>
      <c r="N472" s="33">
        <f>L472+M472</f>
        <v/>
      </c>
      <c r="O472" s="31">
        <f>N472*G472</f>
        <v/>
      </c>
      <c r="P472" s="33">
        <f>(N472-O472)*(1-(1-H472)^(1/12))</f>
        <v/>
      </c>
      <c r="Q472" s="34">
        <f>X471+Z471</f>
        <v/>
      </c>
      <c r="R472" s="29">
        <f>(1-LoadPremRate)*E472</f>
        <v/>
      </c>
      <c r="S472" s="34">
        <f>Q472+R472</f>
        <v/>
      </c>
      <c r="T472" s="29">
        <f>MaintFeeRateAnn/12*S472</f>
        <v/>
      </c>
      <c r="U472" s="29">
        <f>MAX(SumAssured-S472,0)</f>
        <v/>
      </c>
      <c r="V472" s="35">
        <f>CoiMultiple*G472</f>
        <v/>
      </c>
      <c r="W472" s="34">
        <f>V472*U472</f>
        <v/>
      </c>
      <c r="X472" s="34">
        <f>S472-T472-W472</f>
        <v/>
      </c>
      <c r="Y472" s="36">
        <f>EXP((Mu-0.5*Sigma^2)/12+Sigma*SQRT(1/12)*INDEX(NormRand,ScenID,A472+1))-1</f>
        <v/>
      </c>
      <c r="Z472" s="34">
        <f>Y472*X472</f>
        <v/>
      </c>
      <c r="AA472" s="34">
        <f>X472+0.5*Z472</f>
        <v/>
      </c>
      <c r="AB472" s="34">
        <f>Q472*J472</f>
        <v/>
      </c>
      <c r="AC472" s="34">
        <f>Q472*L472</f>
        <v/>
      </c>
      <c r="AD472" s="34">
        <f>S472*N472</f>
        <v/>
      </c>
      <c r="AE472" s="34">
        <f>E472*N472</f>
        <v/>
      </c>
      <c r="AF472" s="34">
        <f>R472*N472</f>
        <v/>
      </c>
      <c r="AG472" s="29">
        <f>MAX(SumAssured,AA472)</f>
        <v/>
      </c>
      <c r="AH472" s="34">
        <f>AG472*O472</f>
        <v/>
      </c>
      <c r="AI472" s="34">
        <f>AA472*O472</f>
        <v/>
      </c>
      <c r="AJ472" s="34">
        <f>AA472*P472</f>
        <v/>
      </c>
      <c r="AK472" s="34">
        <f>I472*AA472*P472</f>
        <v/>
      </c>
      <c r="AL472" s="34">
        <f>AJ472-AK472</f>
        <v/>
      </c>
      <c r="AM472" s="34">
        <f>Q472*K472</f>
        <v/>
      </c>
      <c r="AN472" s="34">
        <f>AH472+AL472+AM472</f>
        <v/>
      </c>
      <c r="AO472" s="34">
        <f>(AG472-AA472)*O472</f>
        <v/>
      </c>
      <c r="AP472" s="34">
        <f>W472*N472</f>
        <v/>
      </c>
      <c r="AQ472" s="34">
        <f>T472*N472</f>
        <v/>
      </c>
      <c r="AR472" s="34">
        <f>Z472*J473+0.5*Z472*(O472+P472)</f>
        <v/>
      </c>
      <c r="AS472" s="30">
        <f>(1+InflationRate)^(A472/12)</f>
        <v/>
      </c>
      <c r="AT472" s="29">
        <f>ExpenseAcq*M472+N472*ExpenseMaint/12*AS472</f>
        <v/>
      </c>
      <c r="AU472" s="29">
        <f>CommissionRate*AE472</f>
        <v/>
      </c>
      <c r="AV472" s="34">
        <f>AB473-AB472</f>
        <v/>
      </c>
      <c r="AW472" s="34">
        <f>AE472+AR472-AN472-AT472-AU472-AV472</f>
        <v/>
      </c>
      <c r="AX472" s="29">
        <f>LoadPremRate*E472*N472+AK472+AQ472-AU472-AT472</f>
        <v/>
      </c>
      <c r="AY472" s="34">
        <f>AP472-AO472</f>
        <v/>
      </c>
      <c r="AZ472" s="37">
        <f>(AW472-AX472-AY472)/MAX(1,ABS(AW472),ABS(AX472),ABS(AY472))</f>
        <v/>
      </c>
      <c r="BA472" s="37">
        <f>IF(OR(K472&gt;0,K473&gt;0),0,(AC473-(AC472+AF472-AQ472-AP472+AR472-AI472-AJ472-AM472))/MAX(1,ABS(AC472),ABS(AC473)))</f>
        <v/>
      </c>
      <c r="BB472" s="35">
        <f>(1+INDEX(DiscRateAnn,INT(A472/12)+1))^(1/12)-1</f>
        <v/>
      </c>
      <c r="BC472" s="31">
        <f>(1+BB472)^-A472</f>
        <v/>
      </c>
      <c r="BD472" s="34">
        <f>AW472*BC472</f>
        <v/>
      </c>
    </row>
    <row r="473">
      <c r="A473" s="27">
        <f>A472+1</f>
        <v/>
      </c>
      <c r="B473" s="28">
        <f>Duration0+A473</f>
        <v/>
      </c>
      <c r="C473" s="27">
        <f>INT(B473/12)</f>
        <v/>
      </c>
      <c r="D473" s="28">
        <f>AgeAtEntry+C473</f>
        <v/>
      </c>
      <c r="E473" s="29">
        <f>IF(PremiumType="SINGLE",IF(B473=0,PremiumPPInput,0),IF(B473&lt;12*PolicyTerm,PremiumPPInput,0))</f>
        <v/>
      </c>
      <c r="F473" s="30">
        <f>INDEX(MortRates,MATCH(MIN(D473,120),MortAges,0),MAX(MIN(C473,5),0)+1)</f>
        <v/>
      </c>
      <c r="G473" s="31">
        <f>1-(1-F473)^(1/12)</f>
        <v/>
      </c>
      <c r="H473" s="32">
        <f>MAX(LapseBase-LapseStep*C473,LapseFloor)</f>
        <v/>
      </c>
      <c r="I473" s="32">
        <f>IF(HasSurrCharge,INDEX(SurrRates,MIN(C473,SurrDurMax)+1,MATCH(SurrChargeID,SurrTypes,0)),0)</f>
        <v/>
      </c>
      <c r="J473" s="33">
        <f>N472-P472-O472</f>
        <v/>
      </c>
      <c r="K473" s="30">
        <f>IF(B473=12*PolicyTerm,J473,0)</f>
        <v/>
      </c>
      <c r="L473" s="33">
        <f>J473-K473</f>
        <v/>
      </c>
      <c r="M473" s="30">
        <f>IF(B473=0,PolicyCount,0)</f>
        <v/>
      </c>
      <c r="N473" s="33">
        <f>L473+M473</f>
        <v/>
      </c>
      <c r="O473" s="31">
        <f>N473*G473</f>
        <v/>
      </c>
      <c r="P473" s="33">
        <f>(N473-O473)*(1-(1-H473)^(1/12))</f>
        <v/>
      </c>
      <c r="Q473" s="34">
        <f>X472+Z472</f>
        <v/>
      </c>
      <c r="R473" s="29">
        <f>(1-LoadPremRate)*E473</f>
        <v/>
      </c>
      <c r="S473" s="34">
        <f>Q473+R473</f>
        <v/>
      </c>
      <c r="T473" s="29">
        <f>MaintFeeRateAnn/12*S473</f>
        <v/>
      </c>
      <c r="U473" s="29">
        <f>MAX(SumAssured-S473,0)</f>
        <v/>
      </c>
      <c r="V473" s="35">
        <f>CoiMultiple*G473</f>
        <v/>
      </c>
      <c r="W473" s="34">
        <f>V473*U473</f>
        <v/>
      </c>
      <c r="X473" s="34">
        <f>S473-T473-W473</f>
        <v/>
      </c>
      <c r="Y473" s="36">
        <f>EXP((Mu-0.5*Sigma^2)/12+Sigma*SQRT(1/12)*INDEX(NormRand,ScenID,A473+1))-1</f>
        <v/>
      </c>
      <c r="Z473" s="34">
        <f>Y473*X473</f>
        <v/>
      </c>
      <c r="AA473" s="34">
        <f>X473+0.5*Z473</f>
        <v/>
      </c>
      <c r="AB473" s="34">
        <f>Q473*J473</f>
        <v/>
      </c>
      <c r="AC473" s="34">
        <f>Q473*L473</f>
        <v/>
      </c>
      <c r="AD473" s="34">
        <f>S473*N473</f>
        <v/>
      </c>
      <c r="AE473" s="34">
        <f>E473*N473</f>
        <v/>
      </c>
      <c r="AF473" s="34">
        <f>R473*N473</f>
        <v/>
      </c>
      <c r="AG473" s="29">
        <f>MAX(SumAssured,AA473)</f>
        <v/>
      </c>
      <c r="AH473" s="34">
        <f>AG473*O473</f>
        <v/>
      </c>
      <c r="AI473" s="34">
        <f>AA473*O473</f>
        <v/>
      </c>
      <c r="AJ473" s="34">
        <f>AA473*P473</f>
        <v/>
      </c>
      <c r="AK473" s="34">
        <f>I473*AA473*P473</f>
        <v/>
      </c>
      <c r="AL473" s="34">
        <f>AJ473-AK473</f>
        <v/>
      </c>
      <c r="AM473" s="34">
        <f>Q473*K473</f>
        <v/>
      </c>
      <c r="AN473" s="34">
        <f>AH473+AL473+AM473</f>
        <v/>
      </c>
      <c r="AO473" s="34">
        <f>(AG473-AA473)*O473</f>
        <v/>
      </c>
      <c r="AP473" s="34">
        <f>W473*N473</f>
        <v/>
      </c>
      <c r="AQ473" s="34">
        <f>T473*N473</f>
        <v/>
      </c>
      <c r="AR473" s="34">
        <f>Z473*J474+0.5*Z473*(O473+P473)</f>
        <v/>
      </c>
      <c r="AS473" s="30">
        <f>(1+InflationRate)^(A473/12)</f>
        <v/>
      </c>
      <c r="AT473" s="29">
        <f>ExpenseAcq*M473+N473*ExpenseMaint/12*AS473</f>
        <v/>
      </c>
      <c r="AU473" s="29">
        <f>CommissionRate*AE473</f>
        <v/>
      </c>
      <c r="AV473" s="34">
        <f>AB474-AB473</f>
        <v/>
      </c>
      <c r="AW473" s="34">
        <f>AE473+AR473-AN473-AT473-AU473-AV473</f>
        <v/>
      </c>
      <c r="AX473" s="29">
        <f>LoadPremRate*E473*N473+AK473+AQ473-AU473-AT473</f>
        <v/>
      </c>
      <c r="AY473" s="34">
        <f>AP473-AO473</f>
        <v/>
      </c>
      <c r="AZ473" s="37">
        <f>(AW473-AX473-AY473)/MAX(1,ABS(AW473),ABS(AX473),ABS(AY473))</f>
        <v/>
      </c>
      <c r="BA473" s="37">
        <f>IF(OR(K473&gt;0,K474&gt;0),0,(AC474-(AC473+AF473-AQ473-AP473+AR473-AI473-AJ473-AM473))/MAX(1,ABS(AC473),ABS(AC474)))</f>
        <v/>
      </c>
      <c r="BB473" s="35">
        <f>(1+INDEX(DiscRateAnn,INT(A473/12)+1))^(1/12)-1</f>
        <v/>
      </c>
      <c r="BC473" s="31">
        <f>(1+BB473)^-A473</f>
        <v/>
      </c>
      <c r="BD473" s="34">
        <f>AW473*BC473</f>
        <v/>
      </c>
    </row>
    <row r="474">
      <c r="A474" s="27">
        <f>A473+1</f>
        <v/>
      </c>
      <c r="B474" s="28">
        <f>Duration0+A474</f>
        <v/>
      </c>
      <c r="C474" s="27">
        <f>INT(B474/12)</f>
        <v/>
      </c>
      <c r="D474" s="28">
        <f>AgeAtEntry+C474</f>
        <v/>
      </c>
      <c r="E474" s="29">
        <f>IF(PremiumType="SINGLE",IF(B474=0,PremiumPPInput,0),IF(B474&lt;12*PolicyTerm,PremiumPPInput,0))</f>
        <v/>
      </c>
      <c r="F474" s="30">
        <f>INDEX(MortRates,MATCH(MIN(D474,120),MortAges,0),MAX(MIN(C474,5),0)+1)</f>
        <v/>
      </c>
      <c r="G474" s="31">
        <f>1-(1-F474)^(1/12)</f>
        <v/>
      </c>
      <c r="H474" s="32">
        <f>MAX(LapseBase-LapseStep*C474,LapseFloor)</f>
        <v/>
      </c>
      <c r="I474" s="32">
        <f>IF(HasSurrCharge,INDEX(SurrRates,MIN(C474,SurrDurMax)+1,MATCH(SurrChargeID,SurrTypes,0)),0)</f>
        <v/>
      </c>
      <c r="J474" s="33">
        <f>N473-P473-O473</f>
        <v/>
      </c>
      <c r="K474" s="30">
        <f>IF(B474=12*PolicyTerm,J474,0)</f>
        <v/>
      </c>
      <c r="L474" s="33">
        <f>J474-K474</f>
        <v/>
      </c>
      <c r="M474" s="30">
        <f>IF(B474=0,PolicyCount,0)</f>
        <v/>
      </c>
      <c r="N474" s="33">
        <f>L474+M474</f>
        <v/>
      </c>
      <c r="O474" s="31">
        <f>N474*G474</f>
        <v/>
      </c>
      <c r="P474" s="33">
        <f>(N474-O474)*(1-(1-H474)^(1/12))</f>
        <v/>
      </c>
      <c r="Q474" s="34">
        <f>X473+Z473</f>
        <v/>
      </c>
      <c r="R474" s="29">
        <f>(1-LoadPremRate)*E474</f>
        <v/>
      </c>
      <c r="S474" s="34">
        <f>Q474+R474</f>
        <v/>
      </c>
      <c r="T474" s="29">
        <f>MaintFeeRateAnn/12*S474</f>
        <v/>
      </c>
      <c r="U474" s="29">
        <f>MAX(SumAssured-S474,0)</f>
        <v/>
      </c>
      <c r="V474" s="35">
        <f>CoiMultiple*G474</f>
        <v/>
      </c>
      <c r="W474" s="34">
        <f>V474*U474</f>
        <v/>
      </c>
      <c r="X474" s="34">
        <f>S474-T474-W474</f>
        <v/>
      </c>
      <c r="Y474" s="36">
        <f>EXP((Mu-0.5*Sigma^2)/12+Sigma*SQRT(1/12)*INDEX(NormRand,ScenID,A474+1))-1</f>
        <v/>
      </c>
      <c r="Z474" s="34">
        <f>Y474*X474</f>
        <v/>
      </c>
      <c r="AA474" s="34">
        <f>X474+0.5*Z474</f>
        <v/>
      </c>
      <c r="AB474" s="34">
        <f>Q474*J474</f>
        <v/>
      </c>
      <c r="AC474" s="34">
        <f>Q474*L474</f>
        <v/>
      </c>
      <c r="AD474" s="34">
        <f>S474*N474</f>
        <v/>
      </c>
      <c r="AE474" s="34">
        <f>E474*N474</f>
        <v/>
      </c>
      <c r="AF474" s="34">
        <f>R474*N474</f>
        <v/>
      </c>
      <c r="AG474" s="29">
        <f>MAX(SumAssured,AA474)</f>
        <v/>
      </c>
      <c r="AH474" s="34">
        <f>AG474*O474</f>
        <v/>
      </c>
      <c r="AI474" s="34">
        <f>AA474*O474</f>
        <v/>
      </c>
      <c r="AJ474" s="34">
        <f>AA474*P474</f>
        <v/>
      </c>
      <c r="AK474" s="34">
        <f>I474*AA474*P474</f>
        <v/>
      </c>
      <c r="AL474" s="34">
        <f>AJ474-AK474</f>
        <v/>
      </c>
      <c r="AM474" s="34">
        <f>Q474*K474</f>
        <v/>
      </c>
      <c r="AN474" s="34">
        <f>AH474+AL474+AM474</f>
        <v/>
      </c>
      <c r="AO474" s="34">
        <f>(AG474-AA474)*O474</f>
        <v/>
      </c>
      <c r="AP474" s="34">
        <f>W474*N474</f>
        <v/>
      </c>
      <c r="AQ474" s="34">
        <f>T474*N474</f>
        <v/>
      </c>
      <c r="AR474" s="34">
        <f>Z474*J475+0.5*Z474*(O474+P474)</f>
        <v/>
      </c>
      <c r="AS474" s="30">
        <f>(1+InflationRate)^(A474/12)</f>
        <v/>
      </c>
      <c r="AT474" s="29">
        <f>ExpenseAcq*M474+N474*ExpenseMaint/12*AS474</f>
        <v/>
      </c>
      <c r="AU474" s="29">
        <f>CommissionRate*AE474</f>
        <v/>
      </c>
      <c r="AV474" s="34">
        <f>AB475-AB474</f>
        <v/>
      </c>
      <c r="AW474" s="34">
        <f>AE474+AR474-AN474-AT474-AU474-AV474</f>
        <v/>
      </c>
      <c r="AX474" s="29">
        <f>LoadPremRate*E474*N474+AK474+AQ474-AU474-AT474</f>
        <v/>
      </c>
      <c r="AY474" s="34">
        <f>AP474-AO474</f>
        <v/>
      </c>
      <c r="AZ474" s="37">
        <f>(AW474-AX474-AY474)/MAX(1,ABS(AW474),ABS(AX474),ABS(AY474))</f>
        <v/>
      </c>
      <c r="BA474" s="37">
        <f>IF(OR(K474&gt;0,K475&gt;0),0,(AC475-(AC474+AF474-AQ474-AP474+AR474-AI474-AJ474-AM474))/MAX(1,ABS(AC474),ABS(AC475)))</f>
        <v/>
      </c>
      <c r="BB474" s="35">
        <f>(1+INDEX(DiscRateAnn,INT(A474/12)+1))^(1/12)-1</f>
        <v/>
      </c>
      <c r="BC474" s="31">
        <f>(1+BB474)^-A474</f>
        <v/>
      </c>
      <c r="BD474" s="34">
        <f>AW474*BC474</f>
        <v/>
      </c>
    </row>
    <row r="475">
      <c r="A475" s="27">
        <f>A474+1</f>
        <v/>
      </c>
      <c r="B475" s="28">
        <f>Duration0+A475</f>
        <v/>
      </c>
      <c r="C475" s="27">
        <f>INT(B475/12)</f>
        <v/>
      </c>
      <c r="D475" s="28">
        <f>AgeAtEntry+C475</f>
        <v/>
      </c>
      <c r="E475" s="29">
        <f>IF(PremiumType="SINGLE",IF(B475=0,PremiumPPInput,0),IF(B475&lt;12*PolicyTerm,PremiumPPInput,0))</f>
        <v/>
      </c>
      <c r="F475" s="30">
        <f>INDEX(MortRates,MATCH(MIN(D475,120),MortAges,0),MAX(MIN(C475,5),0)+1)</f>
        <v/>
      </c>
      <c r="G475" s="31">
        <f>1-(1-F475)^(1/12)</f>
        <v/>
      </c>
      <c r="H475" s="32">
        <f>MAX(LapseBase-LapseStep*C475,LapseFloor)</f>
        <v/>
      </c>
      <c r="I475" s="32">
        <f>IF(HasSurrCharge,INDEX(SurrRates,MIN(C475,SurrDurMax)+1,MATCH(SurrChargeID,SurrTypes,0)),0)</f>
        <v/>
      </c>
      <c r="J475" s="33">
        <f>N474-P474-O474</f>
        <v/>
      </c>
      <c r="K475" s="30">
        <f>IF(B475=12*PolicyTerm,J475,0)</f>
        <v/>
      </c>
      <c r="L475" s="33">
        <f>J475-K475</f>
        <v/>
      </c>
      <c r="M475" s="30">
        <f>IF(B475=0,PolicyCount,0)</f>
        <v/>
      </c>
      <c r="N475" s="33">
        <f>L475+M475</f>
        <v/>
      </c>
      <c r="O475" s="31">
        <f>N475*G475</f>
        <v/>
      </c>
      <c r="P475" s="33">
        <f>(N475-O475)*(1-(1-H475)^(1/12))</f>
        <v/>
      </c>
      <c r="Q475" s="34">
        <f>X474+Z474</f>
        <v/>
      </c>
      <c r="R475" s="29">
        <f>(1-LoadPremRate)*E475</f>
        <v/>
      </c>
      <c r="S475" s="34">
        <f>Q475+R475</f>
        <v/>
      </c>
      <c r="T475" s="29">
        <f>MaintFeeRateAnn/12*S475</f>
        <v/>
      </c>
      <c r="U475" s="29">
        <f>MAX(SumAssured-S475,0)</f>
        <v/>
      </c>
      <c r="V475" s="35">
        <f>CoiMultiple*G475</f>
        <v/>
      </c>
      <c r="W475" s="34">
        <f>V475*U475</f>
        <v/>
      </c>
      <c r="X475" s="34">
        <f>S475-T475-W475</f>
        <v/>
      </c>
      <c r="Y475" s="36">
        <f>EXP((Mu-0.5*Sigma^2)/12+Sigma*SQRT(1/12)*INDEX(NormRand,ScenID,A475+1))-1</f>
        <v/>
      </c>
      <c r="Z475" s="34">
        <f>Y475*X475</f>
        <v/>
      </c>
      <c r="AA475" s="34">
        <f>X475+0.5*Z475</f>
        <v/>
      </c>
      <c r="AB475" s="34">
        <f>Q475*J475</f>
        <v/>
      </c>
      <c r="AC475" s="34">
        <f>Q475*L475</f>
        <v/>
      </c>
      <c r="AD475" s="34">
        <f>S475*N475</f>
        <v/>
      </c>
      <c r="AE475" s="34">
        <f>E475*N475</f>
        <v/>
      </c>
      <c r="AF475" s="34">
        <f>R475*N475</f>
        <v/>
      </c>
      <c r="AG475" s="29">
        <f>MAX(SumAssured,AA475)</f>
        <v/>
      </c>
      <c r="AH475" s="34">
        <f>AG475*O475</f>
        <v/>
      </c>
      <c r="AI475" s="34">
        <f>AA475*O475</f>
        <v/>
      </c>
      <c r="AJ475" s="34">
        <f>AA475*P475</f>
        <v/>
      </c>
      <c r="AK475" s="34">
        <f>I475*AA475*P475</f>
        <v/>
      </c>
      <c r="AL475" s="34">
        <f>AJ475-AK475</f>
        <v/>
      </c>
      <c r="AM475" s="34">
        <f>Q475*K475</f>
        <v/>
      </c>
      <c r="AN475" s="34">
        <f>AH475+AL475+AM475</f>
        <v/>
      </c>
      <c r="AO475" s="34">
        <f>(AG475-AA475)*O475</f>
        <v/>
      </c>
      <c r="AP475" s="34">
        <f>W475*N475</f>
        <v/>
      </c>
      <c r="AQ475" s="34">
        <f>T475*N475</f>
        <v/>
      </c>
      <c r="AR475" s="34">
        <f>Z475*J476+0.5*Z475*(O475+P475)</f>
        <v/>
      </c>
      <c r="AS475" s="30">
        <f>(1+InflationRate)^(A475/12)</f>
        <v/>
      </c>
      <c r="AT475" s="29">
        <f>ExpenseAcq*M475+N475*ExpenseMaint/12*AS475</f>
        <v/>
      </c>
      <c r="AU475" s="29">
        <f>CommissionRate*AE475</f>
        <v/>
      </c>
      <c r="AV475" s="34">
        <f>AB476-AB475</f>
        <v/>
      </c>
      <c r="AW475" s="34">
        <f>AE475+AR475-AN475-AT475-AU475-AV475</f>
        <v/>
      </c>
      <c r="AX475" s="29">
        <f>LoadPremRate*E475*N475+AK475+AQ475-AU475-AT475</f>
        <v/>
      </c>
      <c r="AY475" s="34">
        <f>AP475-AO475</f>
        <v/>
      </c>
      <c r="AZ475" s="37">
        <f>(AW475-AX475-AY475)/MAX(1,ABS(AW475),ABS(AX475),ABS(AY475))</f>
        <v/>
      </c>
      <c r="BA475" s="37">
        <f>IF(OR(K475&gt;0,K476&gt;0),0,(AC476-(AC475+AF475-AQ475-AP475+AR475-AI475-AJ475-AM475))/MAX(1,ABS(AC475),ABS(AC476)))</f>
        <v/>
      </c>
      <c r="BB475" s="35">
        <f>(1+INDEX(DiscRateAnn,INT(A475/12)+1))^(1/12)-1</f>
        <v/>
      </c>
      <c r="BC475" s="31">
        <f>(1+BB475)^-A475</f>
        <v/>
      </c>
      <c r="BD475" s="34">
        <f>AW475*BC475</f>
        <v/>
      </c>
    </row>
    <row r="476">
      <c r="A476" s="27">
        <f>A475+1</f>
        <v/>
      </c>
      <c r="B476" s="28">
        <f>Duration0+A476</f>
        <v/>
      </c>
      <c r="C476" s="27">
        <f>INT(B476/12)</f>
        <v/>
      </c>
      <c r="D476" s="28">
        <f>AgeAtEntry+C476</f>
        <v/>
      </c>
      <c r="E476" s="29">
        <f>IF(PremiumType="SINGLE",IF(B476=0,PremiumPPInput,0),IF(B476&lt;12*PolicyTerm,PremiumPPInput,0))</f>
        <v/>
      </c>
      <c r="F476" s="30">
        <f>INDEX(MortRates,MATCH(MIN(D476,120),MortAges,0),MAX(MIN(C476,5),0)+1)</f>
        <v/>
      </c>
      <c r="G476" s="31">
        <f>1-(1-F476)^(1/12)</f>
        <v/>
      </c>
      <c r="H476" s="32">
        <f>MAX(LapseBase-LapseStep*C476,LapseFloor)</f>
        <v/>
      </c>
      <c r="I476" s="32">
        <f>IF(HasSurrCharge,INDEX(SurrRates,MIN(C476,SurrDurMax)+1,MATCH(SurrChargeID,SurrTypes,0)),0)</f>
        <v/>
      </c>
      <c r="J476" s="33">
        <f>N475-P475-O475</f>
        <v/>
      </c>
      <c r="K476" s="30">
        <f>IF(B476=12*PolicyTerm,J476,0)</f>
        <v/>
      </c>
      <c r="L476" s="33">
        <f>J476-K476</f>
        <v/>
      </c>
      <c r="M476" s="30">
        <f>IF(B476=0,PolicyCount,0)</f>
        <v/>
      </c>
      <c r="N476" s="33">
        <f>L476+M476</f>
        <v/>
      </c>
      <c r="O476" s="31">
        <f>N476*G476</f>
        <v/>
      </c>
      <c r="P476" s="33">
        <f>(N476-O476)*(1-(1-H476)^(1/12))</f>
        <v/>
      </c>
      <c r="Q476" s="34">
        <f>X475+Z475</f>
        <v/>
      </c>
      <c r="R476" s="29">
        <f>(1-LoadPremRate)*E476</f>
        <v/>
      </c>
      <c r="S476" s="34">
        <f>Q476+R476</f>
        <v/>
      </c>
      <c r="T476" s="29">
        <f>MaintFeeRateAnn/12*S476</f>
        <v/>
      </c>
      <c r="U476" s="29">
        <f>MAX(SumAssured-S476,0)</f>
        <v/>
      </c>
      <c r="V476" s="35">
        <f>CoiMultiple*G476</f>
        <v/>
      </c>
      <c r="W476" s="34">
        <f>V476*U476</f>
        <v/>
      </c>
      <c r="X476" s="34">
        <f>S476-T476-W476</f>
        <v/>
      </c>
      <c r="Y476" s="36">
        <f>EXP((Mu-0.5*Sigma^2)/12+Sigma*SQRT(1/12)*INDEX(NormRand,ScenID,A476+1))-1</f>
        <v/>
      </c>
      <c r="Z476" s="34">
        <f>Y476*X476</f>
        <v/>
      </c>
      <c r="AA476" s="34">
        <f>X476+0.5*Z476</f>
        <v/>
      </c>
      <c r="AB476" s="34">
        <f>Q476*J476</f>
        <v/>
      </c>
      <c r="AC476" s="34">
        <f>Q476*L476</f>
        <v/>
      </c>
      <c r="AD476" s="34">
        <f>S476*N476</f>
        <v/>
      </c>
      <c r="AE476" s="34">
        <f>E476*N476</f>
        <v/>
      </c>
      <c r="AF476" s="34">
        <f>R476*N476</f>
        <v/>
      </c>
      <c r="AG476" s="29">
        <f>MAX(SumAssured,AA476)</f>
        <v/>
      </c>
      <c r="AH476" s="34">
        <f>AG476*O476</f>
        <v/>
      </c>
      <c r="AI476" s="34">
        <f>AA476*O476</f>
        <v/>
      </c>
      <c r="AJ476" s="34">
        <f>AA476*P476</f>
        <v/>
      </c>
      <c r="AK476" s="34">
        <f>I476*AA476*P476</f>
        <v/>
      </c>
      <c r="AL476" s="34">
        <f>AJ476-AK476</f>
        <v/>
      </c>
      <c r="AM476" s="34">
        <f>Q476*K476</f>
        <v/>
      </c>
      <c r="AN476" s="34">
        <f>AH476+AL476+AM476</f>
        <v/>
      </c>
      <c r="AO476" s="34">
        <f>(AG476-AA476)*O476</f>
        <v/>
      </c>
      <c r="AP476" s="34">
        <f>W476*N476</f>
        <v/>
      </c>
      <c r="AQ476" s="34">
        <f>T476*N476</f>
        <v/>
      </c>
      <c r="AR476" s="34">
        <f>Z476*J477+0.5*Z476*(O476+P476)</f>
        <v/>
      </c>
      <c r="AS476" s="30">
        <f>(1+InflationRate)^(A476/12)</f>
        <v/>
      </c>
      <c r="AT476" s="29">
        <f>ExpenseAcq*M476+N476*ExpenseMaint/12*AS476</f>
        <v/>
      </c>
      <c r="AU476" s="29">
        <f>CommissionRate*AE476</f>
        <v/>
      </c>
      <c r="AV476" s="34">
        <f>AB477-AB476</f>
        <v/>
      </c>
      <c r="AW476" s="34">
        <f>AE476+AR476-AN476-AT476-AU476-AV476</f>
        <v/>
      </c>
      <c r="AX476" s="29">
        <f>LoadPremRate*E476*N476+AK476+AQ476-AU476-AT476</f>
        <v/>
      </c>
      <c r="AY476" s="34">
        <f>AP476-AO476</f>
        <v/>
      </c>
      <c r="AZ476" s="37">
        <f>(AW476-AX476-AY476)/MAX(1,ABS(AW476),ABS(AX476),ABS(AY476))</f>
        <v/>
      </c>
      <c r="BA476" s="37">
        <f>IF(OR(K476&gt;0,K477&gt;0),0,(AC477-(AC476+AF476-AQ476-AP476+AR476-AI476-AJ476-AM476))/MAX(1,ABS(AC476),ABS(AC477)))</f>
        <v/>
      </c>
      <c r="BB476" s="35">
        <f>(1+INDEX(DiscRateAnn,INT(A476/12)+1))^(1/12)-1</f>
        <v/>
      </c>
      <c r="BC476" s="31">
        <f>(1+BB476)^-A476</f>
        <v/>
      </c>
      <c r="BD476" s="34">
        <f>AW476*BC476</f>
        <v/>
      </c>
    </row>
    <row r="477">
      <c r="A477" s="27">
        <f>A476+1</f>
        <v/>
      </c>
      <c r="B477" s="28">
        <f>Duration0+A477</f>
        <v/>
      </c>
      <c r="C477" s="27">
        <f>INT(B477/12)</f>
        <v/>
      </c>
      <c r="D477" s="28">
        <f>AgeAtEntry+C477</f>
        <v/>
      </c>
      <c r="E477" s="29">
        <f>IF(PremiumType="SINGLE",IF(B477=0,PremiumPPInput,0),IF(B477&lt;12*PolicyTerm,PremiumPPInput,0))</f>
        <v/>
      </c>
      <c r="F477" s="30">
        <f>INDEX(MortRates,MATCH(MIN(D477,120),MortAges,0),MAX(MIN(C477,5),0)+1)</f>
        <v/>
      </c>
      <c r="G477" s="31">
        <f>1-(1-F477)^(1/12)</f>
        <v/>
      </c>
      <c r="H477" s="32">
        <f>MAX(LapseBase-LapseStep*C477,LapseFloor)</f>
        <v/>
      </c>
      <c r="I477" s="32">
        <f>IF(HasSurrCharge,INDEX(SurrRates,MIN(C477,SurrDurMax)+1,MATCH(SurrChargeID,SurrTypes,0)),0)</f>
        <v/>
      </c>
      <c r="J477" s="33">
        <f>N476-P476-O476</f>
        <v/>
      </c>
      <c r="K477" s="30">
        <f>IF(B477=12*PolicyTerm,J477,0)</f>
        <v/>
      </c>
      <c r="L477" s="33">
        <f>J477-K477</f>
        <v/>
      </c>
      <c r="M477" s="30">
        <f>IF(B477=0,PolicyCount,0)</f>
        <v/>
      </c>
      <c r="N477" s="33">
        <f>L477+M477</f>
        <v/>
      </c>
      <c r="O477" s="31">
        <f>N477*G477</f>
        <v/>
      </c>
      <c r="P477" s="33">
        <f>(N477-O477)*(1-(1-H477)^(1/12))</f>
        <v/>
      </c>
      <c r="Q477" s="34">
        <f>X476+Z476</f>
        <v/>
      </c>
      <c r="R477" s="29">
        <f>(1-LoadPremRate)*E477</f>
        <v/>
      </c>
      <c r="S477" s="34">
        <f>Q477+R477</f>
        <v/>
      </c>
      <c r="T477" s="29">
        <f>MaintFeeRateAnn/12*S477</f>
        <v/>
      </c>
      <c r="U477" s="29">
        <f>MAX(SumAssured-S477,0)</f>
        <v/>
      </c>
      <c r="V477" s="35">
        <f>CoiMultiple*G477</f>
        <v/>
      </c>
      <c r="W477" s="34">
        <f>V477*U477</f>
        <v/>
      </c>
      <c r="X477" s="34">
        <f>S477-T477-W477</f>
        <v/>
      </c>
      <c r="Y477" s="36">
        <f>EXP((Mu-0.5*Sigma^2)/12+Sigma*SQRT(1/12)*INDEX(NormRand,ScenID,A477+1))-1</f>
        <v/>
      </c>
      <c r="Z477" s="34">
        <f>Y477*X477</f>
        <v/>
      </c>
      <c r="AA477" s="34">
        <f>X477+0.5*Z477</f>
        <v/>
      </c>
      <c r="AB477" s="34">
        <f>Q477*J477</f>
        <v/>
      </c>
      <c r="AC477" s="34">
        <f>Q477*L477</f>
        <v/>
      </c>
      <c r="AD477" s="34">
        <f>S477*N477</f>
        <v/>
      </c>
      <c r="AE477" s="34">
        <f>E477*N477</f>
        <v/>
      </c>
      <c r="AF477" s="34">
        <f>R477*N477</f>
        <v/>
      </c>
      <c r="AG477" s="29">
        <f>MAX(SumAssured,AA477)</f>
        <v/>
      </c>
      <c r="AH477" s="34">
        <f>AG477*O477</f>
        <v/>
      </c>
      <c r="AI477" s="34">
        <f>AA477*O477</f>
        <v/>
      </c>
      <c r="AJ477" s="34">
        <f>AA477*P477</f>
        <v/>
      </c>
      <c r="AK477" s="34">
        <f>I477*AA477*P477</f>
        <v/>
      </c>
      <c r="AL477" s="34">
        <f>AJ477-AK477</f>
        <v/>
      </c>
      <c r="AM477" s="34">
        <f>Q477*K477</f>
        <v/>
      </c>
      <c r="AN477" s="34">
        <f>AH477+AL477+AM477</f>
        <v/>
      </c>
      <c r="AO477" s="34">
        <f>(AG477-AA477)*O477</f>
        <v/>
      </c>
      <c r="AP477" s="34">
        <f>W477*N477</f>
        <v/>
      </c>
      <c r="AQ477" s="34">
        <f>T477*N477</f>
        <v/>
      </c>
      <c r="AR477" s="34">
        <f>Z477*J478+0.5*Z477*(O477+P477)</f>
        <v/>
      </c>
      <c r="AS477" s="30">
        <f>(1+InflationRate)^(A477/12)</f>
        <v/>
      </c>
      <c r="AT477" s="29">
        <f>ExpenseAcq*M477+N477*ExpenseMaint/12*AS477</f>
        <v/>
      </c>
      <c r="AU477" s="29">
        <f>CommissionRate*AE477</f>
        <v/>
      </c>
      <c r="AV477" s="34">
        <f>AB478-AB477</f>
        <v/>
      </c>
      <c r="AW477" s="34">
        <f>AE477+AR477-AN477-AT477-AU477-AV477</f>
        <v/>
      </c>
      <c r="AX477" s="29">
        <f>LoadPremRate*E477*N477+AK477+AQ477-AU477-AT477</f>
        <v/>
      </c>
      <c r="AY477" s="34">
        <f>AP477-AO477</f>
        <v/>
      </c>
      <c r="AZ477" s="37">
        <f>(AW477-AX477-AY477)/MAX(1,ABS(AW477),ABS(AX477),ABS(AY477))</f>
        <v/>
      </c>
      <c r="BA477" s="37">
        <f>IF(OR(K477&gt;0,K478&gt;0),0,(AC478-(AC477+AF477-AQ477-AP477+AR477-AI477-AJ477-AM477))/MAX(1,ABS(AC477),ABS(AC478)))</f>
        <v/>
      </c>
      <c r="BB477" s="35">
        <f>(1+INDEX(DiscRateAnn,INT(A477/12)+1))^(1/12)-1</f>
        <v/>
      </c>
      <c r="BC477" s="31">
        <f>(1+BB477)^-A477</f>
        <v/>
      </c>
      <c r="BD477" s="34">
        <f>AW477*BC477</f>
        <v/>
      </c>
    </row>
    <row r="478">
      <c r="A478" s="27">
        <f>A477+1</f>
        <v/>
      </c>
      <c r="B478" s="28">
        <f>Duration0+A478</f>
        <v/>
      </c>
      <c r="C478" s="27">
        <f>INT(B478/12)</f>
        <v/>
      </c>
      <c r="D478" s="28">
        <f>AgeAtEntry+C478</f>
        <v/>
      </c>
      <c r="E478" s="29">
        <f>IF(PremiumType="SINGLE",IF(B478=0,PremiumPPInput,0),IF(B478&lt;12*PolicyTerm,PremiumPPInput,0))</f>
        <v/>
      </c>
      <c r="F478" s="30">
        <f>INDEX(MortRates,MATCH(MIN(D478,120),MortAges,0),MAX(MIN(C478,5),0)+1)</f>
        <v/>
      </c>
      <c r="G478" s="31">
        <f>1-(1-F478)^(1/12)</f>
        <v/>
      </c>
      <c r="H478" s="32">
        <f>MAX(LapseBase-LapseStep*C478,LapseFloor)</f>
        <v/>
      </c>
      <c r="I478" s="32">
        <f>IF(HasSurrCharge,INDEX(SurrRates,MIN(C478,SurrDurMax)+1,MATCH(SurrChargeID,SurrTypes,0)),0)</f>
        <v/>
      </c>
      <c r="J478" s="33">
        <f>N477-P477-O477</f>
        <v/>
      </c>
      <c r="K478" s="30">
        <f>IF(B478=12*PolicyTerm,J478,0)</f>
        <v/>
      </c>
      <c r="L478" s="33">
        <f>J478-K478</f>
        <v/>
      </c>
      <c r="M478" s="30">
        <f>IF(B478=0,PolicyCount,0)</f>
        <v/>
      </c>
      <c r="N478" s="33">
        <f>L478+M478</f>
        <v/>
      </c>
      <c r="O478" s="31">
        <f>N478*G478</f>
        <v/>
      </c>
      <c r="P478" s="33">
        <f>(N478-O478)*(1-(1-H478)^(1/12))</f>
        <v/>
      </c>
      <c r="Q478" s="34">
        <f>X477+Z477</f>
        <v/>
      </c>
      <c r="R478" s="29">
        <f>(1-LoadPremRate)*E478</f>
        <v/>
      </c>
      <c r="S478" s="34">
        <f>Q478+R478</f>
        <v/>
      </c>
      <c r="T478" s="29">
        <f>MaintFeeRateAnn/12*S478</f>
        <v/>
      </c>
      <c r="U478" s="29">
        <f>MAX(SumAssured-S478,0)</f>
        <v/>
      </c>
      <c r="V478" s="35">
        <f>CoiMultiple*G478</f>
        <v/>
      </c>
      <c r="W478" s="34">
        <f>V478*U478</f>
        <v/>
      </c>
      <c r="X478" s="34">
        <f>S478-T478-W478</f>
        <v/>
      </c>
      <c r="Y478" s="36">
        <f>EXP((Mu-0.5*Sigma^2)/12+Sigma*SQRT(1/12)*INDEX(NormRand,ScenID,A478+1))-1</f>
        <v/>
      </c>
      <c r="Z478" s="34">
        <f>Y478*X478</f>
        <v/>
      </c>
      <c r="AA478" s="34">
        <f>X478+0.5*Z478</f>
        <v/>
      </c>
      <c r="AB478" s="34">
        <f>Q478*J478</f>
        <v/>
      </c>
      <c r="AC478" s="34">
        <f>Q478*L478</f>
        <v/>
      </c>
      <c r="AD478" s="34">
        <f>S478*N478</f>
        <v/>
      </c>
      <c r="AE478" s="34">
        <f>E478*N478</f>
        <v/>
      </c>
      <c r="AF478" s="34">
        <f>R478*N478</f>
        <v/>
      </c>
      <c r="AG478" s="29">
        <f>MAX(SumAssured,AA478)</f>
        <v/>
      </c>
      <c r="AH478" s="34">
        <f>AG478*O478</f>
        <v/>
      </c>
      <c r="AI478" s="34">
        <f>AA478*O478</f>
        <v/>
      </c>
      <c r="AJ478" s="34">
        <f>AA478*P478</f>
        <v/>
      </c>
      <c r="AK478" s="34">
        <f>I478*AA478*P478</f>
        <v/>
      </c>
      <c r="AL478" s="34">
        <f>AJ478-AK478</f>
        <v/>
      </c>
      <c r="AM478" s="34">
        <f>Q478*K478</f>
        <v/>
      </c>
      <c r="AN478" s="34">
        <f>AH478+AL478+AM478</f>
        <v/>
      </c>
      <c r="AO478" s="34">
        <f>(AG478-AA478)*O478</f>
        <v/>
      </c>
      <c r="AP478" s="34">
        <f>W478*N478</f>
        <v/>
      </c>
      <c r="AQ478" s="34">
        <f>T478*N478</f>
        <v/>
      </c>
      <c r="AR478" s="34">
        <f>Z478*J479+0.5*Z478*(O478+P478)</f>
        <v/>
      </c>
      <c r="AS478" s="30">
        <f>(1+InflationRate)^(A478/12)</f>
        <v/>
      </c>
      <c r="AT478" s="29">
        <f>ExpenseAcq*M478+N478*ExpenseMaint/12*AS478</f>
        <v/>
      </c>
      <c r="AU478" s="29">
        <f>CommissionRate*AE478</f>
        <v/>
      </c>
      <c r="AV478" s="34">
        <f>AB479-AB478</f>
        <v/>
      </c>
      <c r="AW478" s="34">
        <f>AE478+AR478-AN478-AT478-AU478-AV478</f>
        <v/>
      </c>
      <c r="AX478" s="29">
        <f>LoadPremRate*E478*N478+AK478+AQ478-AU478-AT478</f>
        <v/>
      </c>
      <c r="AY478" s="34">
        <f>AP478-AO478</f>
        <v/>
      </c>
      <c r="AZ478" s="37">
        <f>(AW478-AX478-AY478)/MAX(1,ABS(AW478),ABS(AX478),ABS(AY478))</f>
        <v/>
      </c>
      <c r="BA478" s="37">
        <f>IF(OR(K478&gt;0,K479&gt;0),0,(AC479-(AC478+AF478-AQ478-AP478+AR478-AI478-AJ478-AM478))/MAX(1,ABS(AC478),ABS(AC479)))</f>
        <v/>
      </c>
      <c r="BB478" s="35">
        <f>(1+INDEX(DiscRateAnn,INT(A478/12)+1))^(1/12)-1</f>
        <v/>
      </c>
      <c r="BC478" s="31">
        <f>(1+BB478)^-A478</f>
        <v/>
      </c>
      <c r="BD478" s="34">
        <f>AW478*BC478</f>
        <v/>
      </c>
    </row>
    <row r="479">
      <c r="A479" s="27">
        <f>A478+1</f>
        <v/>
      </c>
      <c r="B479" s="28">
        <f>Duration0+A479</f>
        <v/>
      </c>
      <c r="C479" s="27">
        <f>INT(B479/12)</f>
        <v/>
      </c>
      <c r="D479" s="28">
        <f>AgeAtEntry+C479</f>
        <v/>
      </c>
      <c r="E479" s="29">
        <f>IF(PremiumType="SINGLE",IF(B479=0,PremiumPPInput,0),IF(B479&lt;12*PolicyTerm,PremiumPPInput,0))</f>
        <v/>
      </c>
      <c r="F479" s="30">
        <f>INDEX(MortRates,MATCH(MIN(D479,120),MortAges,0),MAX(MIN(C479,5),0)+1)</f>
        <v/>
      </c>
      <c r="G479" s="31">
        <f>1-(1-F479)^(1/12)</f>
        <v/>
      </c>
      <c r="H479" s="32">
        <f>MAX(LapseBase-LapseStep*C479,LapseFloor)</f>
        <v/>
      </c>
      <c r="I479" s="32">
        <f>IF(HasSurrCharge,INDEX(SurrRates,MIN(C479,SurrDurMax)+1,MATCH(SurrChargeID,SurrTypes,0)),0)</f>
        <v/>
      </c>
      <c r="J479" s="33">
        <f>N478-P478-O478</f>
        <v/>
      </c>
      <c r="K479" s="30">
        <f>IF(B479=12*PolicyTerm,J479,0)</f>
        <v/>
      </c>
      <c r="L479" s="33">
        <f>J479-K479</f>
        <v/>
      </c>
      <c r="M479" s="30">
        <f>IF(B479=0,PolicyCount,0)</f>
        <v/>
      </c>
      <c r="N479" s="33">
        <f>L479+M479</f>
        <v/>
      </c>
      <c r="O479" s="31">
        <f>N479*G479</f>
        <v/>
      </c>
      <c r="P479" s="33">
        <f>(N479-O479)*(1-(1-H479)^(1/12))</f>
        <v/>
      </c>
      <c r="Q479" s="34">
        <f>X478+Z478</f>
        <v/>
      </c>
      <c r="R479" s="29">
        <f>(1-LoadPremRate)*E479</f>
        <v/>
      </c>
      <c r="S479" s="34">
        <f>Q479+R479</f>
        <v/>
      </c>
      <c r="T479" s="29">
        <f>MaintFeeRateAnn/12*S479</f>
        <v/>
      </c>
      <c r="U479" s="29">
        <f>MAX(SumAssured-S479,0)</f>
        <v/>
      </c>
      <c r="V479" s="35">
        <f>CoiMultiple*G479</f>
        <v/>
      </c>
      <c r="W479" s="34">
        <f>V479*U479</f>
        <v/>
      </c>
      <c r="X479" s="34">
        <f>S479-T479-W479</f>
        <v/>
      </c>
      <c r="Y479" s="36">
        <f>EXP((Mu-0.5*Sigma^2)/12+Sigma*SQRT(1/12)*INDEX(NormRand,ScenID,A479+1))-1</f>
        <v/>
      </c>
      <c r="Z479" s="34">
        <f>Y479*X479</f>
        <v/>
      </c>
      <c r="AA479" s="34">
        <f>X479+0.5*Z479</f>
        <v/>
      </c>
      <c r="AB479" s="34">
        <f>Q479*J479</f>
        <v/>
      </c>
      <c r="AC479" s="34">
        <f>Q479*L479</f>
        <v/>
      </c>
      <c r="AD479" s="34">
        <f>S479*N479</f>
        <v/>
      </c>
      <c r="AE479" s="34">
        <f>E479*N479</f>
        <v/>
      </c>
      <c r="AF479" s="34">
        <f>R479*N479</f>
        <v/>
      </c>
      <c r="AG479" s="29">
        <f>MAX(SumAssured,AA479)</f>
        <v/>
      </c>
      <c r="AH479" s="34">
        <f>AG479*O479</f>
        <v/>
      </c>
      <c r="AI479" s="34">
        <f>AA479*O479</f>
        <v/>
      </c>
      <c r="AJ479" s="34">
        <f>AA479*P479</f>
        <v/>
      </c>
      <c r="AK479" s="34">
        <f>I479*AA479*P479</f>
        <v/>
      </c>
      <c r="AL479" s="34">
        <f>AJ479-AK479</f>
        <v/>
      </c>
      <c r="AM479" s="34">
        <f>Q479*K479</f>
        <v/>
      </c>
      <c r="AN479" s="34">
        <f>AH479+AL479+AM479</f>
        <v/>
      </c>
      <c r="AO479" s="34">
        <f>(AG479-AA479)*O479</f>
        <v/>
      </c>
      <c r="AP479" s="34">
        <f>W479*N479</f>
        <v/>
      </c>
      <c r="AQ479" s="34">
        <f>T479*N479</f>
        <v/>
      </c>
      <c r="AR479" s="34">
        <f>Z479*J480+0.5*Z479*(O479+P479)</f>
        <v/>
      </c>
      <c r="AS479" s="30">
        <f>(1+InflationRate)^(A479/12)</f>
        <v/>
      </c>
      <c r="AT479" s="29">
        <f>ExpenseAcq*M479+N479*ExpenseMaint/12*AS479</f>
        <v/>
      </c>
      <c r="AU479" s="29">
        <f>CommissionRate*AE479</f>
        <v/>
      </c>
      <c r="AV479" s="34">
        <f>AB480-AB479</f>
        <v/>
      </c>
      <c r="AW479" s="34">
        <f>AE479+AR479-AN479-AT479-AU479-AV479</f>
        <v/>
      </c>
      <c r="AX479" s="29">
        <f>LoadPremRate*E479*N479+AK479+AQ479-AU479-AT479</f>
        <v/>
      </c>
      <c r="AY479" s="34">
        <f>AP479-AO479</f>
        <v/>
      </c>
      <c r="AZ479" s="37">
        <f>(AW479-AX479-AY479)/MAX(1,ABS(AW479),ABS(AX479),ABS(AY479))</f>
        <v/>
      </c>
      <c r="BA479" s="37">
        <f>IF(OR(K479&gt;0,K480&gt;0),0,(AC480-(AC479+AF479-AQ479-AP479+AR479-AI479-AJ479-AM479))/MAX(1,ABS(AC479),ABS(AC480)))</f>
        <v/>
      </c>
      <c r="BB479" s="35">
        <f>(1+INDEX(DiscRateAnn,INT(A479/12)+1))^(1/12)-1</f>
        <v/>
      </c>
      <c r="BC479" s="31">
        <f>(1+BB479)^-A479</f>
        <v/>
      </c>
      <c r="BD479" s="34">
        <f>AW479*BC479</f>
        <v/>
      </c>
    </row>
    <row r="480">
      <c r="A480" s="27">
        <f>A479+1</f>
        <v/>
      </c>
      <c r="B480" s="28">
        <f>Duration0+A480</f>
        <v/>
      </c>
      <c r="C480" s="27">
        <f>INT(B480/12)</f>
        <v/>
      </c>
      <c r="D480" s="28">
        <f>AgeAtEntry+C480</f>
        <v/>
      </c>
      <c r="E480" s="29">
        <f>IF(PremiumType="SINGLE",IF(B480=0,PremiumPPInput,0),IF(B480&lt;12*PolicyTerm,PremiumPPInput,0))</f>
        <v/>
      </c>
      <c r="F480" s="30">
        <f>INDEX(MortRates,MATCH(MIN(D480,120),MortAges,0),MAX(MIN(C480,5),0)+1)</f>
        <v/>
      </c>
      <c r="G480" s="31">
        <f>1-(1-F480)^(1/12)</f>
        <v/>
      </c>
      <c r="H480" s="32">
        <f>MAX(LapseBase-LapseStep*C480,LapseFloor)</f>
        <v/>
      </c>
      <c r="I480" s="32">
        <f>IF(HasSurrCharge,INDEX(SurrRates,MIN(C480,SurrDurMax)+1,MATCH(SurrChargeID,SurrTypes,0)),0)</f>
        <v/>
      </c>
      <c r="J480" s="33">
        <f>N479-P479-O479</f>
        <v/>
      </c>
      <c r="K480" s="30">
        <f>IF(B480=12*PolicyTerm,J480,0)</f>
        <v/>
      </c>
      <c r="L480" s="33">
        <f>J480-K480</f>
        <v/>
      </c>
      <c r="M480" s="30">
        <f>IF(B480=0,PolicyCount,0)</f>
        <v/>
      </c>
      <c r="N480" s="33">
        <f>L480+M480</f>
        <v/>
      </c>
      <c r="O480" s="31">
        <f>N480*G480</f>
        <v/>
      </c>
      <c r="P480" s="33">
        <f>(N480-O480)*(1-(1-H480)^(1/12))</f>
        <v/>
      </c>
      <c r="Q480" s="34">
        <f>X479+Z479</f>
        <v/>
      </c>
      <c r="R480" s="29">
        <f>(1-LoadPremRate)*E480</f>
        <v/>
      </c>
      <c r="S480" s="34">
        <f>Q480+R480</f>
        <v/>
      </c>
      <c r="T480" s="29">
        <f>MaintFeeRateAnn/12*S480</f>
        <v/>
      </c>
      <c r="U480" s="29">
        <f>MAX(SumAssured-S480,0)</f>
        <v/>
      </c>
      <c r="V480" s="35">
        <f>CoiMultiple*G480</f>
        <v/>
      </c>
      <c r="W480" s="34">
        <f>V480*U480</f>
        <v/>
      </c>
      <c r="X480" s="34">
        <f>S480-T480-W480</f>
        <v/>
      </c>
      <c r="Y480" s="36">
        <f>EXP((Mu-0.5*Sigma^2)/12+Sigma*SQRT(1/12)*INDEX(NormRand,ScenID,A480+1))-1</f>
        <v/>
      </c>
      <c r="Z480" s="34">
        <f>Y480*X480</f>
        <v/>
      </c>
      <c r="AA480" s="34">
        <f>X480+0.5*Z480</f>
        <v/>
      </c>
      <c r="AB480" s="34">
        <f>Q480*J480</f>
        <v/>
      </c>
      <c r="AC480" s="34">
        <f>Q480*L480</f>
        <v/>
      </c>
      <c r="AD480" s="34">
        <f>S480*N480</f>
        <v/>
      </c>
      <c r="AE480" s="34">
        <f>E480*N480</f>
        <v/>
      </c>
      <c r="AF480" s="34">
        <f>R480*N480</f>
        <v/>
      </c>
      <c r="AG480" s="29">
        <f>MAX(SumAssured,AA480)</f>
        <v/>
      </c>
      <c r="AH480" s="34">
        <f>AG480*O480</f>
        <v/>
      </c>
      <c r="AI480" s="34">
        <f>AA480*O480</f>
        <v/>
      </c>
      <c r="AJ480" s="34">
        <f>AA480*P480</f>
        <v/>
      </c>
      <c r="AK480" s="34">
        <f>I480*AA480*P480</f>
        <v/>
      </c>
      <c r="AL480" s="34">
        <f>AJ480-AK480</f>
        <v/>
      </c>
      <c r="AM480" s="34">
        <f>Q480*K480</f>
        <v/>
      </c>
      <c r="AN480" s="34">
        <f>AH480+AL480+AM480</f>
        <v/>
      </c>
      <c r="AO480" s="34">
        <f>(AG480-AA480)*O480</f>
        <v/>
      </c>
      <c r="AP480" s="34">
        <f>W480*N480</f>
        <v/>
      </c>
      <c r="AQ480" s="34">
        <f>T480*N480</f>
        <v/>
      </c>
      <c r="AR480" s="34">
        <f>Z480*J481+0.5*Z480*(O480+P480)</f>
        <v/>
      </c>
      <c r="AS480" s="30">
        <f>(1+InflationRate)^(A480/12)</f>
        <v/>
      </c>
      <c r="AT480" s="29">
        <f>ExpenseAcq*M480+N480*ExpenseMaint/12*AS480</f>
        <v/>
      </c>
      <c r="AU480" s="29">
        <f>CommissionRate*AE480</f>
        <v/>
      </c>
      <c r="AV480" s="34">
        <f>AB481-AB480</f>
        <v/>
      </c>
      <c r="AW480" s="34">
        <f>AE480+AR480-AN480-AT480-AU480-AV480</f>
        <v/>
      </c>
      <c r="AX480" s="29">
        <f>LoadPremRate*E480*N480+AK480+AQ480-AU480-AT480</f>
        <v/>
      </c>
      <c r="AY480" s="34">
        <f>AP480-AO480</f>
        <v/>
      </c>
      <c r="AZ480" s="37">
        <f>(AW480-AX480-AY480)/MAX(1,ABS(AW480),ABS(AX480),ABS(AY480))</f>
        <v/>
      </c>
      <c r="BA480" s="37">
        <f>IF(OR(K480&gt;0,K481&gt;0),0,(AC481-(AC480+AF480-AQ480-AP480+AR480-AI480-AJ480-AM480))/MAX(1,ABS(AC480),ABS(AC481)))</f>
        <v/>
      </c>
      <c r="BB480" s="35">
        <f>(1+INDEX(DiscRateAnn,INT(A480/12)+1))^(1/12)-1</f>
        <v/>
      </c>
      <c r="BC480" s="31">
        <f>(1+BB480)^-A480</f>
        <v/>
      </c>
      <c r="BD480" s="34">
        <f>AW480*BC480</f>
        <v/>
      </c>
    </row>
    <row r="481">
      <c r="A481" s="27">
        <f>A480+1</f>
        <v/>
      </c>
      <c r="B481" s="28">
        <f>Duration0+A481</f>
        <v/>
      </c>
      <c r="C481" s="27">
        <f>INT(B481/12)</f>
        <v/>
      </c>
      <c r="D481" s="28">
        <f>AgeAtEntry+C481</f>
        <v/>
      </c>
      <c r="E481" s="29">
        <f>IF(PremiumType="SINGLE",IF(B481=0,PremiumPPInput,0),IF(B481&lt;12*PolicyTerm,PremiumPPInput,0))</f>
        <v/>
      </c>
      <c r="F481" s="30">
        <f>INDEX(MortRates,MATCH(MIN(D481,120),MortAges,0),MAX(MIN(C481,5),0)+1)</f>
        <v/>
      </c>
      <c r="G481" s="31">
        <f>1-(1-F481)^(1/12)</f>
        <v/>
      </c>
      <c r="H481" s="32">
        <f>MAX(LapseBase-LapseStep*C481,LapseFloor)</f>
        <v/>
      </c>
      <c r="I481" s="32">
        <f>IF(HasSurrCharge,INDEX(SurrRates,MIN(C481,SurrDurMax)+1,MATCH(SurrChargeID,SurrTypes,0)),0)</f>
        <v/>
      </c>
      <c r="J481" s="33">
        <f>N480-P480-O480</f>
        <v/>
      </c>
      <c r="K481" s="30">
        <f>IF(B481=12*PolicyTerm,J481,0)</f>
        <v/>
      </c>
      <c r="L481" s="33">
        <f>J481-K481</f>
        <v/>
      </c>
      <c r="M481" s="30">
        <f>IF(B481=0,PolicyCount,0)</f>
        <v/>
      </c>
      <c r="N481" s="33">
        <f>L481+M481</f>
        <v/>
      </c>
      <c r="O481" s="31">
        <f>N481*G481</f>
        <v/>
      </c>
      <c r="P481" s="33">
        <f>(N481-O481)*(1-(1-H481)^(1/12))</f>
        <v/>
      </c>
      <c r="Q481" s="34">
        <f>X480+Z480</f>
        <v/>
      </c>
      <c r="R481" s="29">
        <f>(1-LoadPremRate)*E481</f>
        <v/>
      </c>
      <c r="S481" s="34">
        <f>Q481+R481</f>
        <v/>
      </c>
      <c r="T481" s="29">
        <f>MaintFeeRateAnn/12*S481</f>
        <v/>
      </c>
      <c r="U481" s="29">
        <f>MAX(SumAssured-S481,0)</f>
        <v/>
      </c>
      <c r="V481" s="35">
        <f>CoiMultiple*G481</f>
        <v/>
      </c>
      <c r="W481" s="34">
        <f>V481*U481</f>
        <v/>
      </c>
      <c r="X481" s="34">
        <f>S481-T481-W481</f>
        <v/>
      </c>
      <c r="Y481" s="36">
        <f>EXP((Mu-0.5*Sigma^2)/12+Sigma*SQRT(1/12)*INDEX(NormRand,ScenID,A481+1))-1</f>
        <v/>
      </c>
      <c r="Z481" s="34">
        <f>Y481*X481</f>
        <v/>
      </c>
      <c r="AA481" s="34">
        <f>X481+0.5*Z481</f>
        <v/>
      </c>
      <c r="AB481" s="34">
        <f>Q481*J481</f>
        <v/>
      </c>
      <c r="AC481" s="34">
        <f>Q481*L481</f>
        <v/>
      </c>
      <c r="AD481" s="34">
        <f>S481*N481</f>
        <v/>
      </c>
      <c r="AE481" s="34">
        <f>E481*N481</f>
        <v/>
      </c>
      <c r="AF481" s="34">
        <f>R481*N481</f>
        <v/>
      </c>
      <c r="AG481" s="29">
        <f>MAX(SumAssured,AA481)</f>
        <v/>
      </c>
      <c r="AH481" s="34">
        <f>AG481*O481</f>
        <v/>
      </c>
      <c r="AI481" s="34">
        <f>AA481*O481</f>
        <v/>
      </c>
      <c r="AJ481" s="34">
        <f>AA481*P481</f>
        <v/>
      </c>
      <c r="AK481" s="34">
        <f>I481*AA481*P481</f>
        <v/>
      </c>
      <c r="AL481" s="34">
        <f>AJ481-AK481</f>
        <v/>
      </c>
      <c r="AM481" s="34">
        <f>Q481*K481</f>
        <v/>
      </c>
      <c r="AN481" s="34">
        <f>AH481+AL481+AM481</f>
        <v/>
      </c>
      <c r="AO481" s="34">
        <f>(AG481-AA481)*O481</f>
        <v/>
      </c>
      <c r="AP481" s="34">
        <f>W481*N481</f>
        <v/>
      </c>
      <c r="AQ481" s="34">
        <f>T481*N481</f>
        <v/>
      </c>
      <c r="AR481" s="34">
        <f>Z481*J482+0.5*Z481*(O481+P481)</f>
        <v/>
      </c>
      <c r="AS481" s="30">
        <f>(1+InflationRate)^(A481/12)</f>
        <v/>
      </c>
      <c r="AT481" s="29">
        <f>ExpenseAcq*M481+N481*ExpenseMaint/12*AS481</f>
        <v/>
      </c>
      <c r="AU481" s="29">
        <f>CommissionRate*AE481</f>
        <v/>
      </c>
      <c r="AV481" s="34">
        <f>AB482-AB481</f>
        <v/>
      </c>
      <c r="AW481" s="34">
        <f>AE481+AR481-AN481-AT481-AU481-AV481</f>
        <v/>
      </c>
      <c r="AX481" s="29">
        <f>LoadPremRate*E481*N481+AK481+AQ481-AU481-AT481</f>
        <v/>
      </c>
      <c r="AY481" s="34">
        <f>AP481-AO481</f>
        <v/>
      </c>
      <c r="AZ481" s="37">
        <f>(AW481-AX481-AY481)/MAX(1,ABS(AW481),ABS(AX481),ABS(AY481))</f>
        <v/>
      </c>
      <c r="BA481" s="37">
        <f>IF(OR(K481&gt;0,K482&gt;0),0,(AC482-(AC481+AF481-AQ481-AP481+AR481-AI481-AJ481-AM481))/MAX(1,ABS(AC481),ABS(AC482)))</f>
        <v/>
      </c>
      <c r="BB481" s="35">
        <f>(1+INDEX(DiscRateAnn,INT(A481/12)+1))^(1/12)-1</f>
        <v/>
      </c>
      <c r="BC481" s="31">
        <f>(1+BB481)^-A481</f>
        <v/>
      </c>
      <c r="BD481" s="34">
        <f>AW481*BC481</f>
        <v/>
      </c>
    </row>
    <row r="482">
      <c r="A482" s="27">
        <f>A481+1</f>
        <v/>
      </c>
      <c r="B482" s="28">
        <f>Duration0+A482</f>
        <v/>
      </c>
      <c r="C482" s="27">
        <f>INT(B482/12)</f>
        <v/>
      </c>
      <c r="D482" s="28">
        <f>AgeAtEntry+C482</f>
        <v/>
      </c>
      <c r="E482" s="29">
        <f>IF(PremiumType="SINGLE",IF(B482=0,PremiumPPInput,0),IF(B482&lt;12*PolicyTerm,PremiumPPInput,0))</f>
        <v/>
      </c>
      <c r="F482" s="30">
        <f>INDEX(MortRates,MATCH(MIN(D482,120),MortAges,0),MAX(MIN(C482,5),0)+1)</f>
        <v/>
      </c>
      <c r="G482" s="31">
        <f>1-(1-F482)^(1/12)</f>
        <v/>
      </c>
      <c r="H482" s="32">
        <f>MAX(LapseBase-LapseStep*C482,LapseFloor)</f>
        <v/>
      </c>
      <c r="I482" s="32">
        <f>IF(HasSurrCharge,INDEX(SurrRates,MIN(C482,SurrDurMax)+1,MATCH(SurrChargeID,SurrTypes,0)),0)</f>
        <v/>
      </c>
      <c r="J482" s="33">
        <f>N481-P481-O481</f>
        <v/>
      </c>
      <c r="K482" s="30">
        <f>IF(B482=12*PolicyTerm,J482,0)</f>
        <v/>
      </c>
      <c r="L482" s="33">
        <f>J482-K482</f>
        <v/>
      </c>
      <c r="M482" s="30">
        <f>IF(B482=0,PolicyCount,0)</f>
        <v/>
      </c>
      <c r="N482" s="33">
        <f>L482+M482</f>
        <v/>
      </c>
      <c r="O482" s="31">
        <f>N482*G482</f>
        <v/>
      </c>
      <c r="P482" s="33">
        <f>(N482-O482)*(1-(1-H482)^(1/12))</f>
        <v/>
      </c>
      <c r="Q482" s="34">
        <f>X481+Z481</f>
        <v/>
      </c>
      <c r="R482" s="29">
        <f>(1-LoadPremRate)*E482</f>
        <v/>
      </c>
      <c r="S482" s="34">
        <f>Q482+R482</f>
        <v/>
      </c>
      <c r="T482" s="29">
        <f>MaintFeeRateAnn/12*S482</f>
        <v/>
      </c>
      <c r="U482" s="29">
        <f>MAX(SumAssured-S482,0)</f>
        <v/>
      </c>
      <c r="V482" s="35">
        <f>CoiMultiple*G482</f>
        <v/>
      </c>
      <c r="W482" s="34">
        <f>V482*U482</f>
        <v/>
      </c>
      <c r="X482" s="34">
        <f>S482-T482-W482</f>
        <v/>
      </c>
      <c r="Y482" s="36">
        <f>EXP((Mu-0.5*Sigma^2)/12+Sigma*SQRT(1/12)*INDEX(NormRand,ScenID,A482+1))-1</f>
        <v/>
      </c>
      <c r="Z482" s="34">
        <f>Y482*X482</f>
        <v/>
      </c>
      <c r="AA482" s="34">
        <f>X482+0.5*Z482</f>
        <v/>
      </c>
      <c r="AB482" s="34">
        <f>Q482*J482</f>
        <v/>
      </c>
      <c r="AC482" s="34">
        <f>Q482*L482</f>
        <v/>
      </c>
      <c r="AD482" s="34">
        <f>S482*N482</f>
        <v/>
      </c>
      <c r="AE482" s="34">
        <f>E482*N482</f>
        <v/>
      </c>
      <c r="AF482" s="34">
        <f>R482*N482</f>
        <v/>
      </c>
      <c r="AG482" s="29">
        <f>MAX(SumAssured,AA482)</f>
        <v/>
      </c>
      <c r="AH482" s="34">
        <f>AG482*O482</f>
        <v/>
      </c>
      <c r="AI482" s="34">
        <f>AA482*O482</f>
        <v/>
      </c>
      <c r="AJ482" s="34">
        <f>AA482*P482</f>
        <v/>
      </c>
      <c r="AK482" s="34">
        <f>I482*AA482*P482</f>
        <v/>
      </c>
      <c r="AL482" s="34">
        <f>AJ482-AK482</f>
        <v/>
      </c>
      <c r="AM482" s="34">
        <f>Q482*K482</f>
        <v/>
      </c>
      <c r="AN482" s="34">
        <f>AH482+AL482+AM482</f>
        <v/>
      </c>
      <c r="AO482" s="34">
        <f>(AG482-AA482)*O482</f>
        <v/>
      </c>
      <c r="AP482" s="34">
        <f>W482*N482</f>
        <v/>
      </c>
      <c r="AQ482" s="34">
        <f>T482*N482</f>
        <v/>
      </c>
      <c r="AR482" s="34">
        <f>Z482*J483+0.5*Z482*(O482+P482)</f>
        <v/>
      </c>
      <c r="AS482" s="30">
        <f>(1+InflationRate)^(A482/12)</f>
        <v/>
      </c>
      <c r="AT482" s="29">
        <f>ExpenseAcq*M482+N482*ExpenseMaint/12*AS482</f>
        <v/>
      </c>
      <c r="AU482" s="29">
        <f>CommissionRate*AE482</f>
        <v/>
      </c>
      <c r="AV482" s="34">
        <f>AB483-AB482</f>
        <v/>
      </c>
      <c r="AW482" s="34">
        <f>AE482+AR482-AN482-AT482-AU482-AV482</f>
        <v/>
      </c>
      <c r="AX482" s="29">
        <f>LoadPremRate*E482*N482+AK482+AQ482-AU482-AT482</f>
        <v/>
      </c>
      <c r="AY482" s="34">
        <f>AP482-AO482</f>
        <v/>
      </c>
      <c r="AZ482" s="37">
        <f>(AW482-AX482-AY482)/MAX(1,ABS(AW482),ABS(AX482),ABS(AY482))</f>
        <v/>
      </c>
      <c r="BA482" s="37">
        <f>IF(OR(K482&gt;0,K483&gt;0),0,(AC483-(AC482+AF482-AQ482-AP482+AR482-AI482-AJ482-AM482))/MAX(1,ABS(AC482),ABS(AC483)))</f>
        <v/>
      </c>
      <c r="BB482" s="35">
        <f>(1+INDEX(DiscRateAnn,INT(A482/12)+1))^(1/12)-1</f>
        <v/>
      </c>
      <c r="BC482" s="31">
        <f>(1+BB482)^-A482</f>
        <v/>
      </c>
      <c r="BD482" s="34">
        <f>AW482*BC482</f>
        <v/>
      </c>
    </row>
    <row r="483">
      <c r="A483" s="27">
        <f>A482+1</f>
        <v/>
      </c>
      <c r="B483" s="28">
        <f>Duration0+A483</f>
        <v/>
      </c>
      <c r="C483" s="27">
        <f>INT(B483/12)</f>
        <v/>
      </c>
      <c r="D483" s="28">
        <f>AgeAtEntry+C483</f>
        <v/>
      </c>
      <c r="E483" s="29">
        <f>IF(PremiumType="SINGLE",IF(B483=0,PremiumPPInput,0),IF(B483&lt;12*PolicyTerm,PremiumPPInput,0))</f>
        <v/>
      </c>
      <c r="F483" s="30">
        <f>INDEX(MortRates,MATCH(MIN(D483,120),MortAges,0),MAX(MIN(C483,5),0)+1)</f>
        <v/>
      </c>
      <c r="G483" s="31">
        <f>1-(1-F483)^(1/12)</f>
        <v/>
      </c>
      <c r="H483" s="32">
        <f>MAX(LapseBase-LapseStep*C483,LapseFloor)</f>
        <v/>
      </c>
      <c r="I483" s="32">
        <f>IF(HasSurrCharge,INDEX(SurrRates,MIN(C483,SurrDurMax)+1,MATCH(SurrChargeID,SurrTypes,0)),0)</f>
        <v/>
      </c>
      <c r="J483" s="33">
        <f>N482-P482-O482</f>
        <v/>
      </c>
      <c r="K483" s="30">
        <f>IF(B483=12*PolicyTerm,J483,0)</f>
        <v/>
      </c>
      <c r="L483" s="33">
        <f>J483-K483</f>
        <v/>
      </c>
      <c r="M483" s="30">
        <f>IF(B483=0,PolicyCount,0)</f>
        <v/>
      </c>
      <c r="N483" s="33">
        <f>L483+M483</f>
        <v/>
      </c>
      <c r="O483" s="31">
        <f>N483*G483</f>
        <v/>
      </c>
      <c r="P483" s="33">
        <f>(N483-O483)*(1-(1-H483)^(1/12))</f>
        <v/>
      </c>
      <c r="Q483" s="34">
        <f>X482+Z482</f>
        <v/>
      </c>
      <c r="R483" s="29">
        <f>(1-LoadPremRate)*E483</f>
        <v/>
      </c>
      <c r="S483" s="34">
        <f>Q483+R483</f>
        <v/>
      </c>
      <c r="T483" s="29">
        <f>MaintFeeRateAnn/12*S483</f>
        <v/>
      </c>
      <c r="U483" s="29">
        <f>MAX(SumAssured-S483,0)</f>
        <v/>
      </c>
      <c r="V483" s="35">
        <f>CoiMultiple*G483</f>
        <v/>
      </c>
      <c r="W483" s="34">
        <f>V483*U483</f>
        <v/>
      </c>
      <c r="X483" s="34">
        <f>S483-T483-W483</f>
        <v/>
      </c>
      <c r="Y483" s="36">
        <f>EXP((Mu-0.5*Sigma^2)/12+Sigma*SQRT(1/12)*INDEX(NormRand,ScenID,A483+1))-1</f>
        <v/>
      </c>
      <c r="Z483" s="34">
        <f>Y483*X483</f>
        <v/>
      </c>
      <c r="AA483" s="34">
        <f>X483+0.5*Z483</f>
        <v/>
      </c>
      <c r="AB483" s="34">
        <f>Q483*J483</f>
        <v/>
      </c>
      <c r="AC483" s="34">
        <f>Q483*L483</f>
        <v/>
      </c>
      <c r="AD483" s="34">
        <f>S483*N483</f>
        <v/>
      </c>
      <c r="AE483" s="34">
        <f>E483*N483</f>
        <v/>
      </c>
      <c r="AF483" s="34">
        <f>R483*N483</f>
        <v/>
      </c>
      <c r="AG483" s="29">
        <f>MAX(SumAssured,AA483)</f>
        <v/>
      </c>
      <c r="AH483" s="34">
        <f>AG483*O483</f>
        <v/>
      </c>
      <c r="AI483" s="34">
        <f>AA483*O483</f>
        <v/>
      </c>
      <c r="AJ483" s="34">
        <f>AA483*P483</f>
        <v/>
      </c>
      <c r="AK483" s="34">
        <f>I483*AA483*P483</f>
        <v/>
      </c>
      <c r="AL483" s="34">
        <f>AJ483-AK483</f>
        <v/>
      </c>
      <c r="AM483" s="34">
        <f>Q483*K483</f>
        <v/>
      </c>
      <c r="AN483" s="34">
        <f>AH483+AL483+AM483</f>
        <v/>
      </c>
      <c r="AO483" s="34">
        <f>(AG483-AA483)*O483</f>
        <v/>
      </c>
      <c r="AP483" s="34">
        <f>W483*N483</f>
        <v/>
      </c>
      <c r="AQ483" s="34">
        <f>T483*N483</f>
        <v/>
      </c>
      <c r="AR483" s="34">
        <f>Z483*J484+0.5*Z483*(O483+P483)</f>
        <v/>
      </c>
      <c r="AS483" s="30">
        <f>(1+InflationRate)^(A483/12)</f>
        <v/>
      </c>
      <c r="AT483" s="29">
        <f>ExpenseAcq*M483+N483*ExpenseMaint/12*AS483</f>
        <v/>
      </c>
      <c r="AU483" s="29">
        <f>CommissionRate*AE483</f>
        <v/>
      </c>
      <c r="AV483" s="34">
        <f>AB484-AB483</f>
        <v/>
      </c>
      <c r="AW483" s="34">
        <f>AE483+AR483-AN483-AT483-AU483-AV483</f>
        <v/>
      </c>
      <c r="AX483" s="29">
        <f>LoadPremRate*E483*N483+AK483+AQ483-AU483-AT483</f>
        <v/>
      </c>
      <c r="AY483" s="34">
        <f>AP483-AO483</f>
        <v/>
      </c>
      <c r="AZ483" s="37">
        <f>(AW483-AX483-AY483)/MAX(1,ABS(AW483),ABS(AX483),ABS(AY483))</f>
        <v/>
      </c>
      <c r="BA483" s="37">
        <f>IF(OR(K483&gt;0,K484&gt;0),0,(AC484-(AC483+AF483-AQ483-AP483+AR483-AI483-AJ483-AM483))/MAX(1,ABS(AC483),ABS(AC484)))</f>
        <v/>
      </c>
      <c r="BB483" s="35">
        <f>(1+INDEX(DiscRateAnn,INT(A483/12)+1))^(1/12)-1</f>
        <v/>
      </c>
      <c r="BC483" s="31">
        <f>(1+BB483)^-A483</f>
        <v/>
      </c>
      <c r="BD483" s="34">
        <f>AW483*BC483</f>
        <v/>
      </c>
    </row>
    <row r="484">
      <c r="A484" s="27">
        <f>A483+1</f>
        <v/>
      </c>
      <c r="B484" s="28">
        <f>Duration0+A484</f>
        <v/>
      </c>
      <c r="C484" s="27">
        <f>INT(B484/12)</f>
        <v/>
      </c>
      <c r="D484" s="28">
        <f>AgeAtEntry+C484</f>
        <v/>
      </c>
      <c r="E484" s="29">
        <f>IF(PremiumType="SINGLE",IF(B484=0,PremiumPPInput,0),IF(B484&lt;12*PolicyTerm,PremiumPPInput,0))</f>
        <v/>
      </c>
      <c r="F484" s="30">
        <f>INDEX(MortRates,MATCH(MIN(D484,120),MortAges,0),MAX(MIN(C484,5),0)+1)</f>
        <v/>
      </c>
      <c r="G484" s="31">
        <f>1-(1-F484)^(1/12)</f>
        <v/>
      </c>
      <c r="H484" s="32">
        <f>MAX(LapseBase-LapseStep*C484,LapseFloor)</f>
        <v/>
      </c>
      <c r="I484" s="32">
        <f>IF(HasSurrCharge,INDEX(SurrRates,MIN(C484,SurrDurMax)+1,MATCH(SurrChargeID,SurrTypes,0)),0)</f>
        <v/>
      </c>
      <c r="J484" s="33">
        <f>N483-P483-O483</f>
        <v/>
      </c>
      <c r="K484" s="30">
        <f>IF(B484=12*PolicyTerm,J484,0)</f>
        <v/>
      </c>
      <c r="L484" s="33">
        <f>J484-K484</f>
        <v/>
      </c>
      <c r="M484" s="30">
        <f>IF(B484=0,PolicyCount,0)</f>
        <v/>
      </c>
      <c r="N484" s="33">
        <f>L484+M484</f>
        <v/>
      </c>
      <c r="O484" s="31">
        <f>N484*G484</f>
        <v/>
      </c>
      <c r="P484" s="33">
        <f>(N484-O484)*(1-(1-H484)^(1/12))</f>
        <v/>
      </c>
      <c r="Q484" s="34">
        <f>X483+Z483</f>
        <v/>
      </c>
      <c r="R484" s="29">
        <f>(1-LoadPremRate)*E484</f>
        <v/>
      </c>
      <c r="S484" s="34">
        <f>Q484+R484</f>
        <v/>
      </c>
      <c r="T484" s="29">
        <f>MaintFeeRateAnn/12*S484</f>
        <v/>
      </c>
      <c r="U484" s="29">
        <f>MAX(SumAssured-S484,0)</f>
        <v/>
      </c>
      <c r="V484" s="35">
        <f>CoiMultiple*G484</f>
        <v/>
      </c>
      <c r="W484" s="34">
        <f>V484*U484</f>
        <v/>
      </c>
      <c r="X484" s="34">
        <f>S484-T484-W484</f>
        <v/>
      </c>
      <c r="Y484" s="36">
        <f>EXP((Mu-0.5*Sigma^2)/12+Sigma*SQRT(1/12)*INDEX(NormRand,ScenID,A484+1))-1</f>
        <v/>
      </c>
      <c r="Z484" s="34">
        <f>Y484*X484</f>
        <v/>
      </c>
      <c r="AA484" s="34">
        <f>X484+0.5*Z484</f>
        <v/>
      </c>
      <c r="AB484" s="34">
        <f>Q484*J484</f>
        <v/>
      </c>
      <c r="AC484" s="34">
        <f>Q484*L484</f>
        <v/>
      </c>
      <c r="AD484" s="34">
        <f>S484*N484</f>
        <v/>
      </c>
      <c r="AE484" s="34">
        <f>E484*N484</f>
        <v/>
      </c>
      <c r="AF484" s="34">
        <f>R484*N484</f>
        <v/>
      </c>
      <c r="AG484" s="29">
        <f>MAX(SumAssured,AA484)</f>
        <v/>
      </c>
      <c r="AH484" s="34">
        <f>AG484*O484</f>
        <v/>
      </c>
      <c r="AI484" s="34">
        <f>AA484*O484</f>
        <v/>
      </c>
      <c r="AJ484" s="34">
        <f>AA484*P484</f>
        <v/>
      </c>
      <c r="AK484" s="34">
        <f>I484*AA484*P484</f>
        <v/>
      </c>
      <c r="AL484" s="34">
        <f>AJ484-AK484</f>
        <v/>
      </c>
      <c r="AM484" s="34">
        <f>Q484*K484</f>
        <v/>
      </c>
      <c r="AN484" s="34">
        <f>AH484+AL484+AM484</f>
        <v/>
      </c>
      <c r="AO484" s="34">
        <f>(AG484-AA484)*O484</f>
        <v/>
      </c>
      <c r="AP484" s="34">
        <f>W484*N484</f>
        <v/>
      </c>
      <c r="AQ484" s="34">
        <f>T484*N484</f>
        <v/>
      </c>
      <c r="AR484" s="34">
        <f>Z484*J485+0.5*Z484*(O484+P484)</f>
        <v/>
      </c>
      <c r="AS484" s="30">
        <f>(1+InflationRate)^(A484/12)</f>
        <v/>
      </c>
      <c r="AT484" s="29">
        <f>ExpenseAcq*M484+N484*ExpenseMaint/12*AS484</f>
        <v/>
      </c>
      <c r="AU484" s="29">
        <f>CommissionRate*AE484</f>
        <v/>
      </c>
      <c r="AV484" s="34">
        <f>AB485-AB484</f>
        <v/>
      </c>
      <c r="AW484" s="34">
        <f>AE484+AR484-AN484-AT484-AU484-AV484</f>
        <v/>
      </c>
      <c r="AX484" s="29">
        <f>LoadPremRate*E484*N484+AK484+AQ484-AU484-AT484</f>
        <v/>
      </c>
      <c r="AY484" s="34">
        <f>AP484-AO484</f>
        <v/>
      </c>
      <c r="AZ484" s="37">
        <f>(AW484-AX484-AY484)/MAX(1,ABS(AW484),ABS(AX484),ABS(AY484))</f>
        <v/>
      </c>
      <c r="BA484" s="37">
        <f>IF(OR(K484&gt;0,K485&gt;0),0,(AC485-(AC484+AF484-AQ484-AP484+AR484-AI484-AJ484-AM484))/MAX(1,ABS(AC484),ABS(AC485)))</f>
        <v/>
      </c>
      <c r="BB484" s="35">
        <f>(1+INDEX(DiscRateAnn,INT(A484/12)+1))^(1/12)-1</f>
        <v/>
      </c>
      <c r="BC484" s="31">
        <f>(1+BB484)^-A484</f>
        <v/>
      </c>
      <c r="BD484" s="34">
        <f>AW484*BC484</f>
        <v/>
      </c>
    </row>
    <row r="485">
      <c r="A485" s="27">
        <f>A484+1</f>
        <v/>
      </c>
      <c r="B485" s="28">
        <f>Duration0+A485</f>
        <v/>
      </c>
      <c r="C485" s="27">
        <f>INT(B485/12)</f>
        <v/>
      </c>
      <c r="D485" s="28">
        <f>AgeAtEntry+C485</f>
        <v/>
      </c>
      <c r="E485" s="29">
        <f>IF(PremiumType="SINGLE",IF(B485=0,PremiumPPInput,0),IF(B485&lt;12*PolicyTerm,PremiumPPInput,0))</f>
        <v/>
      </c>
      <c r="F485" s="30">
        <f>INDEX(MortRates,MATCH(MIN(D485,120),MortAges,0),MAX(MIN(C485,5),0)+1)</f>
        <v/>
      </c>
      <c r="G485" s="31">
        <f>1-(1-F485)^(1/12)</f>
        <v/>
      </c>
      <c r="H485" s="32">
        <f>MAX(LapseBase-LapseStep*C485,LapseFloor)</f>
        <v/>
      </c>
      <c r="I485" s="32">
        <f>IF(HasSurrCharge,INDEX(SurrRates,MIN(C485,SurrDurMax)+1,MATCH(SurrChargeID,SurrTypes,0)),0)</f>
        <v/>
      </c>
      <c r="J485" s="33">
        <f>N484-P484-O484</f>
        <v/>
      </c>
      <c r="K485" s="30">
        <f>IF(B485=12*PolicyTerm,J485,0)</f>
        <v/>
      </c>
      <c r="L485" s="33">
        <f>J485-K485</f>
        <v/>
      </c>
      <c r="M485" s="30">
        <f>IF(B485=0,PolicyCount,0)</f>
        <v/>
      </c>
      <c r="N485" s="33">
        <f>L485+M485</f>
        <v/>
      </c>
      <c r="O485" s="31">
        <f>N485*G485</f>
        <v/>
      </c>
      <c r="P485" s="33">
        <f>(N485-O485)*(1-(1-H485)^(1/12))</f>
        <v/>
      </c>
      <c r="Q485" s="34">
        <f>X484+Z484</f>
        <v/>
      </c>
      <c r="R485" s="29">
        <f>(1-LoadPremRate)*E485</f>
        <v/>
      </c>
      <c r="S485" s="34">
        <f>Q485+R485</f>
        <v/>
      </c>
      <c r="T485" s="29">
        <f>MaintFeeRateAnn/12*S485</f>
        <v/>
      </c>
      <c r="U485" s="29">
        <f>MAX(SumAssured-S485,0)</f>
        <v/>
      </c>
      <c r="V485" s="35">
        <f>CoiMultiple*G485</f>
        <v/>
      </c>
      <c r="W485" s="34">
        <f>V485*U485</f>
        <v/>
      </c>
      <c r="X485" s="34">
        <f>S485-T485-W485</f>
        <v/>
      </c>
      <c r="Y485" s="36">
        <f>EXP((Mu-0.5*Sigma^2)/12+Sigma*SQRT(1/12)*INDEX(NormRand,ScenID,A485+1))-1</f>
        <v/>
      </c>
      <c r="Z485" s="34">
        <f>Y485*X485</f>
        <v/>
      </c>
      <c r="AA485" s="34">
        <f>X485+0.5*Z485</f>
        <v/>
      </c>
      <c r="AB485" s="34">
        <f>Q485*J485</f>
        <v/>
      </c>
      <c r="AC485" s="34">
        <f>Q485*L485</f>
        <v/>
      </c>
      <c r="AD485" s="34">
        <f>S485*N485</f>
        <v/>
      </c>
      <c r="AE485" s="34">
        <f>E485*N485</f>
        <v/>
      </c>
      <c r="AF485" s="34">
        <f>R485*N485</f>
        <v/>
      </c>
      <c r="AG485" s="29">
        <f>MAX(SumAssured,AA485)</f>
        <v/>
      </c>
      <c r="AH485" s="34">
        <f>AG485*O485</f>
        <v/>
      </c>
      <c r="AI485" s="34">
        <f>AA485*O485</f>
        <v/>
      </c>
      <c r="AJ485" s="34">
        <f>AA485*P485</f>
        <v/>
      </c>
      <c r="AK485" s="34">
        <f>I485*AA485*P485</f>
        <v/>
      </c>
      <c r="AL485" s="34">
        <f>AJ485-AK485</f>
        <v/>
      </c>
      <c r="AM485" s="34">
        <f>Q485*K485</f>
        <v/>
      </c>
      <c r="AN485" s="34">
        <f>AH485+AL485+AM485</f>
        <v/>
      </c>
      <c r="AO485" s="34">
        <f>(AG485-AA485)*O485</f>
        <v/>
      </c>
      <c r="AP485" s="34">
        <f>W485*N485</f>
        <v/>
      </c>
      <c r="AQ485" s="34">
        <f>T485*N485</f>
        <v/>
      </c>
      <c r="AR485" s="34">
        <f>Z485*J486+0.5*Z485*(O485+P485)</f>
        <v/>
      </c>
      <c r="AS485" s="30">
        <f>(1+InflationRate)^(A485/12)</f>
        <v/>
      </c>
      <c r="AT485" s="29">
        <f>ExpenseAcq*M485+N485*ExpenseMaint/12*AS485</f>
        <v/>
      </c>
      <c r="AU485" s="29">
        <f>CommissionRate*AE485</f>
        <v/>
      </c>
      <c r="AV485" s="34">
        <f>AB486-AB485</f>
        <v/>
      </c>
      <c r="AW485" s="34">
        <f>AE485+AR485-AN485-AT485-AU485-AV485</f>
        <v/>
      </c>
      <c r="AX485" s="29">
        <f>LoadPremRate*E485*N485+AK485+AQ485-AU485-AT485</f>
        <v/>
      </c>
      <c r="AY485" s="34">
        <f>AP485-AO485</f>
        <v/>
      </c>
      <c r="AZ485" s="37">
        <f>(AW485-AX485-AY485)/MAX(1,ABS(AW485),ABS(AX485),ABS(AY485))</f>
        <v/>
      </c>
      <c r="BA485" s="37">
        <f>IF(OR(K485&gt;0,K486&gt;0),0,(AC486-(AC485+AF485-AQ485-AP485+AR485-AI485-AJ485-AM485))/MAX(1,ABS(AC485),ABS(AC486)))</f>
        <v/>
      </c>
      <c r="BB485" s="35">
        <f>(1+INDEX(DiscRateAnn,INT(A485/12)+1))^(1/12)-1</f>
        <v/>
      </c>
      <c r="BC485" s="31">
        <f>(1+BB485)^-A485</f>
        <v/>
      </c>
      <c r="BD485" s="34">
        <f>AW485*BC485</f>
        <v/>
      </c>
    </row>
    <row r="486">
      <c r="A486" s="27">
        <f>A485+1</f>
        <v/>
      </c>
      <c r="B486" s="28">
        <f>Duration0+A486</f>
        <v/>
      </c>
      <c r="C486" s="27">
        <f>INT(B486/12)</f>
        <v/>
      </c>
      <c r="D486" s="28">
        <f>AgeAtEntry+C486</f>
        <v/>
      </c>
      <c r="E486" s="29">
        <f>IF(PremiumType="SINGLE",IF(B486=0,PremiumPPInput,0),IF(B486&lt;12*PolicyTerm,PremiumPPInput,0))</f>
        <v/>
      </c>
      <c r="F486" s="30">
        <f>INDEX(MortRates,MATCH(MIN(D486,120),MortAges,0),MAX(MIN(C486,5),0)+1)</f>
        <v/>
      </c>
      <c r="G486" s="31">
        <f>1-(1-F486)^(1/12)</f>
        <v/>
      </c>
      <c r="H486" s="32">
        <f>MAX(LapseBase-LapseStep*C486,LapseFloor)</f>
        <v/>
      </c>
      <c r="I486" s="32">
        <f>IF(HasSurrCharge,INDEX(SurrRates,MIN(C486,SurrDurMax)+1,MATCH(SurrChargeID,SurrTypes,0)),0)</f>
        <v/>
      </c>
      <c r="J486" s="33">
        <f>N485-P485-O485</f>
        <v/>
      </c>
      <c r="K486" s="30">
        <f>IF(B486=12*PolicyTerm,J486,0)</f>
        <v/>
      </c>
      <c r="L486" s="33">
        <f>J486-K486</f>
        <v/>
      </c>
      <c r="M486" s="30">
        <f>IF(B486=0,PolicyCount,0)</f>
        <v/>
      </c>
      <c r="N486" s="33">
        <f>L486+M486</f>
        <v/>
      </c>
      <c r="O486" s="31">
        <f>N486*G486</f>
        <v/>
      </c>
      <c r="P486" s="33">
        <f>(N486-O486)*(1-(1-H486)^(1/12))</f>
        <v/>
      </c>
      <c r="Q486" s="34">
        <f>X485+Z485</f>
        <v/>
      </c>
      <c r="R486" s="29">
        <f>(1-LoadPremRate)*E486</f>
        <v/>
      </c>
      <c r="S486" s="34">
        <f>Q486+R486</f>
        <v/>
      </c>
      <c r="T486" s="29">
        <f>MaintFeeRateAnn/12*S486</f>
        <v/>
      </c>
      <c r="U486" s="29">
        <f>MAX(SumAssured-S486,0)</f>
        <v/>
      </c>
      <c r="V486" s="35">
        <f>CoiMultiple*G486</f>
        <v/>
      </c>
      <c r="W486" s="34">
        <f>V486*U486</f>
        <v/>
      </c>
      <c r="X486" s="34">
        <f>S486-T486-W486</f>
        <v/>
      </c>
      <c r="Y486" s="36">
        <f>EXP((Mu-0.5*Sigma^2)/12+Sigma*SQRT(1/12)*INDEX(NormRand,ScenID,A486+1))-1</f>
        <v/>
      </c>
      <c r="Z486" s="34">
        <f>Y486*X486</f>
        <v/>
      </c>
      <c r="AA486" s="34">
        <f>X486+0.5*Z486</f>
        <v/>
      </c>
      <c r="AB486" s="34">
        <f>Q486*J486</f>
        <v/>
      </c>
      <c r="AC486" s="34">
        <f>Q486*L486</f>
        <v/>
      </c>
      <c r="AD486" s="34">
        <f>S486*N486</f>
        <v/>
      </c>
      <c r="AE486" s="34">
        <f>E486*N486</f>
        <v/>
      </c>
      <c r="AF486" s="34">
        <f>R486*N486</f>
        <v/>
      </c>
      <c r="AG486" s="29">
        <f>MAX(SumAssured,AA486)</f>
        <v/>
      </c>
      <c r="AH486" s="34">
        <f>AG486*O486</f>
        <v/>
      </c>
      <c r="AI486" s="34">
        <f>AA486*O486</f>
        <v/>
      </c>
      <c r="AJ486" s="34">
        <f>AA486*P486</f>
        <v/>
      </c>
      <c r="AK486" s="34">
        <f>I486*AA486*P486</f>
        <v/>
      </c>
      <c r="AL486" s="34">
        <f>AJ486-AK486</f>
        <v/>
      </c>
      <c r="AM486" s="34">
        <f>Q486*K486</f>
        <v/>
      </c>
      <c r="AN486" s="34">
        <f>AH486+AL486+AM486</f>
        <v/>
      </c>
      <c r="AO486" s="34">
        <f>(AG486-AA486)*O486</f>
        <v/>
      </c>
      <c r="AP486" s="34">
        <f>W486*N486</f>
        <v/>
      </c>
      <c r="AQ486" s="34">
        <f>T486*N486</f>
        <v/>
      </c>
      <c r="AR486" s="34">
        <f>Z486*J487+0.5*Z486*(O486+P486)</f>
        <v/>
      </c>
      <c r="AS486" s="30">
        <f>(1+InflationRate)^(A486/12)</f>
        <v/>
      </c>
      <c r="AT486" s="29">
        <f>ExpenseAcq*M486+N486*ExpenseMaint/12*AS486</f>
        <v/>
      </c>
      <c r="AU486" s="29">
        <f>CommissionRate*AE486</f>
        <v/>
      </c>
      <c r="AV486" s="34">
        <f>AB487-AB486</f>
        <v/>
      </c>
      <c r="AW486" s="34">
        <f>AE486+AR486-AN486-AT486-AU486-AV486</f>
        <v/>
      </c>
      <c r="AX486" s="29">
        <f>LoadPremRate*E486*N486+AK486+AQ486-AU486-AT486</f>
        <v/>
      </c>
      <c r="AY486" s="34">
        <f>AP486-AO486</f>
        <v/>
      </c>
      <c r="AZ486" s="37">
        <f>(AW486-AX486-AY486)/MAX(1,ABS(AW486),ABS(AX486),ABS(AY486))</f>
        <v/>
      </c>
      <c r="BA486" s="37">
        <f>IF(OR(K486&gt;0,K487&gt;0),0,(AC487-(AC486+AF486-AQ486-AP486+AR486-AI486-AJ486-AM486))/MAX(1,ABS(AC486),ABS(AC487)))</f>
        <v/>
      </c>
      <c r="BB486" s="35">
        <f>(1+INDEX(DiscRateAnn,INT(A486/12)+1))^(1/12)-1</f>
        <v/>
      </c>
      <c r="BC486" s="31">
        <f>(1+BB486)^-A486</f>
        <v/>
      </c>
      <c r="BD486" s="34">
        <f>AW486*BC486</f>
        <v/>
      </c>
    </row>
    <row r="487">
      <c r="A487" s="27">
        <f>A486+1</f>
        <v/>
      </c>
      <c r="B487" s="28">
        <f>Duration0+A487</f>
        <v/>
      </c>
      <c r="C487" s="27">
        <f>INT(B487/12)</f>
        <v/>
      </c>
      <c r="D487" s="28">
        <f>AgeAtEntry+C487</f>
        <v/>
      </c>
      <c r="E487" s="29">
        <f>IF(PremiumType="SINGLE",IF(B487=0,PremiumPPInput,0),IF(B487&lt;12*PolicyTerm,PremiumPPInput,0))</f>
        <v/>
      </c>
      <c r="F487" s="30">
        <f>INDEX(MortRates,MATCH(MIN(D487,120),MortAges,0),MAX(MIN(C487,5),0)+1)</f>
        <v/>
      </c>
      <c r="G487" s="31">
        <f>1-(1-F487)^(1/12)</f>
        <v/>
      </c>
      <c r="H487" s="32">
        <f>MAX(LapseBase-LapseStep*C487,LapseFloor)</f>
        <v/>
      </c>
      <c r="I487" s="32">
        <f>IF(HasSurrCharge,INDEX(SurrRates,MIN(C487,SurrDurMax)+1,MATCH(SurrChargeID,SurrTypes,0)),0)</f>
        <v/>
      </c>
      <c r="J487" s="33">
        <f>N486-P486-O486</f>
        <v/>
      </c>
      <c r="K487" s="30">
        <f>IF(B487=12*PolicyTerm,J487,0)</f>
        <v/>
      </c>
      <c r="L487" s="33">
        <f>J487-K487</f>
        <v/>
      </c>
      <c r="M487" s="30">
        <f>IF(B487=0,PolicyCount,0)</f>
        <v/>
      </c>
      <c r="N487" s="33">
        <f>L487+M487</f>
        <v/>
      </c>
      <c r="O487" s="31">
        <f>N487*G487</f>
        <v/>
      </c>
      <c r="P487" s="33">
        <f>(N487-O487)*(1-(1-H487)^(1/12))</f>
        <v/>
      </c>
      <c r="Q487" s="34">
        <f>X486+Z486</f>
        <v/>
      </c>
      <c r="R487" s="29">
        <f>(1-LoadPremRate)*E487</f>
        <v/>
      </c>
      <c r="S487" s="34">
        <f>Q487+R487</f>
        <v/>
      </c>
      <c r="T487" s="29">
        <f>MaintFeeRateAnn/12*S487</f>
        <v/>
      </c>
      <c r="U487" s="29">
        <f>MAX(SumAssured-S487,0)</f>
        <v/>
      </c>
      <c r="V487" s="35">
        <f>CoiMultiple*G487</f>
        <v/>
      </c>
      <c r="W487" s="34">
        <f>V487*U487</f>
        <v/>
      </c>
      <c r="X487" s="34">
        <f>S487-T487-W487</f>
        <v/>
      </c>
      <c r="Y487" s="36">
        <f>EXP((Mu-0.5*Sigma^2)/12+Sigma*SQRT(1/12)*INDEX(NormRand,ScenID,A487+1))-1</f>
        <v/>
      </c>
      <c r="Z487" s="34">
        <f>Y487*X487</f>
        <v/>
      </c>
      <c r="AA487" s="34">
        <f>X487+0.5*Z487</f>
        <v/>
      </c>
      <c r="AB487" s="34">
        <f>Q487*J487</f>
        <v/>
      </c>
      <c r="AC487" s="34">
        <f>Q487*L487</f>
        <v/>
      </c>
      <c r="AD487" s="34">
        <f>S487*N487</f>
        <v/>
      </c>
      <c r="AE487" s="34">
        <f>E487*N487</f>
        <v/>
      </c>
      <c r="AF487" s="34">
        <f>R487*N487</f>
        <v/>
      </c>
      <c r="AG487" s="29">
        <f>MAX(SumAssured,AA487)</f>
        <v/>
      </c>
      <c r="AH487" s="34">
        <f>AG487*O487</f>
        <v/>
      </c>
      <c r="AI487" s="34">
        <f>AA487*O487</f>
        <v/>
      </c>
      <c r="AJ487" s="34">
        <f>AA487*P487</f>
        <v/>
      </c>
      <c r="AK487" s="34">
        <f>I487*AA487*P487</f>
        <v/>
      </c>
      <c r="AL487" s="34">
        <f>AJ487-AK487</f>
        <v/>
      </c>
      <c r="AM487" s="34">
        <f>Q487*K487</f>
        <v/>
      </c>
      <c r="AN487" s="34">
        <f>AH487+AL487+AM487</f>
        <v/>
      </c>
      <c r="AO487" s="34">
        <f>(AG487-AA487)*O487</f>
        <v/>
      </c>
      <c r="AP487" s="34">
        <f>W487*N487</f>
        <v/>
      </c>
      <c r="AQ487" s="34">
        <f>T487*N487</f>
        <v/>
      </c>
      <c r="AR487" s="34">
        <f>Z487*J488+0.5*Z487*(O487+P487)</f>
        <v/>
      </c>
      <c r="AS487" s="30">
        <f>(1+InflationRate)^(A487/12)</f>
        <v/>
      </c>
      <c r="AT487" s="29">
        <f>ExpenseAcq*M487+N487*ExpenseMaint/12*AS487</f>
        <v/>
      </c>
      <c r="AU487" s="29">
        <f>CommissionRate*AE487</f>
        <v/>
      </c>
      <c r="AV487" s="34">
        <f>AB488-AB487</f>
        <v/>
      </c>
      <c r="AW487" s="34">
        <f>AE487+AR487-AN487-AT487-AU487-AV487</f>
        <v/>
      </c>
      <c r="AX487" s="29">
        <f>LoadPremRate*E487*N487+AK487+AQ487-AU487-AT487</f>
        <v/>
      </c>
      <c r="AY487" s="34">
        <f>AP487-AO487</f>
        <v/>
      </c>
      <c r="AZ487" s="37">
        <f>(AW487-AX487-AY487)/MAX(1,ABS(AW487),ABS(AX487),ABS(AY487))</f>
        <v/>
      </c>
      <c r="BA487" s="37">
        <f>IF(OR(K487&gt;0,K488&gt;0),0,(AC488-(AC487+AF487-AQ487-AP487+AR487-AI487-AJ487-AM487))/MAX(1,ABS(AC487),ABS(AC488)))</f>
        <v/>
      </c>
      <c r="BB487" s="35">
        <f>(1+INDEX(DiscRateAnn,INT(A487/12)+1))^(1/12)-1</f>
        <v/>
      </c>
      <c r="BC487" s="31">
        <f>(1+BB487)^-A487</f>
        <v/>
      </c>
      <c r="BD487" s="34">
        <f>AW487*BC487</f>
        <v/>
      </c>
    </row>
    <row r="488">
      <c r="A488" s="27">
        <f>A487+1</f>
        <v/>
      </c>
      <c r="B488" s="28">
        <f>Duration0+A488</f>
        <v/>
      </c>
      <c r="C488" s="27">
        <f>INT(B488/12)</f>
        <v/>
      </c>
      <c r="D488" s="28">
        <f>AgeAtEntry+C488</f>
        <v/>
      </c>
      <c r="E488" s="29">
        <f>IF(PremiumType="SINGLE",IF(B488=0,PremiumPPInput,0),IF(B488&lt;12*PolicyTerm,PremiumPPInput,0))</f>
        <v/>
      </c>
      <c r="F488" s="30">
        <f>INDEX(MortRates,MATCH(MIN(D488,120),MortAges,0),MAX(MIN(C488,5),0)+1)</f>
        <v/>
      </c>
      <c r="G488" s="31">
        <f>1-(1-F488)^(1/12)</f>
        <v/>
      </c>
      <c r="H488" s="32">
        <f>MAX(LapseBase-LapseStep*C488,LapseFloor)</f>
        <v/>
      </c>
      <c r="I488" s="32">
        <f>IF(HasSurrCharge,INDEX(SurrRates,MIN(C488,SurrDurMax)+1,MATCH(SurrChargeID,SurrTypes,0)),0)</f>
        <v/>
      </c>
      <c r="J488" s="33">
        <f>N487-P487-O487</f>
        <v/>
      </c>
      <c r="K488" s="30">
        <f>IF(B488=12*PolicyTerm,J488,0)</f>
        <v/>
      </c>
      <c r="L488" s="33">
        <f>J488-K488</f>
        <v/>
      </c>
      <c r="M488" s="30">
        <f>IF(B488=0,PolicyCount,0)</f>
        <v/>
      </c>
      <c r="N488" s="33">
        <f>L488+M488</f>
        <v/>
      </c>
      <c r="O488" s="31">
        <f>N488*G488</f>
        <v/>
      </c>
      <c r="P488" s="33">
        <f>(N488-O488)*(1-(1-H488)^(1/12))</f>
        <v/>
      </c>
      <c r="Q488" s="34">
        <f>X487+Z487</f>
        <v/>
      </c>
      <c r="R488" s="29">
        <f>(1-LoadPremRate)*E488</f>
        <v/>
      </c>
      <c r="S488" s="34">
        <f>Q488+R488</f>
        <v/>
      </c>
      <c r="T488" s="29">
        <f>MaintFeeRateAnn/12*S488</f>
        <v/>
      </c>
      <c r="U488" s="29">
        <f>MAX(SumAssured-S488,0)</f>
        <v/>
      </c>
      <c r="V488" s="35">
        <f>CoiMultiple*G488</f>
        <v/>
      </c>
      <c r="W488" s="34">
        <f>V488*U488</f>
        <v/>
      </c>
      <c r="X488" s="34">
        <f>S488-T488-W488</f>
        <v/>
      </c>
      <c r="Y488" s="36">
        <f>EXP((Mu-0.5*Sigma^2)/12+Sigma*SQRT(1/12)*INDEX(NormRand,ScenID,A488+1))-1</f>
        <v/>
      </c>
      <c r="Z488" s="34">
        <f>Y488*X488</f>
        <v/>
      </c>
      <c r="AA488" s="34">
        <f>X488+0.5*Z488</f>
        <v/>
      </c>
      <c r="AB488" s="34">
        <f>Q488*J488</f>
        <v/>
      </c>
      <c r="AC488" s="34">
        <f>Q488*L488</f>
        <v/>
      </c>
      <c r="AD488" s="34">
        <f>S488*N488</f>
        <v/>
      </c>
      <c r="AE488" s="34">
        <f>E488*N488</f>
        <v/>
      </c>
      <c r="AF488" s="34">
        <f>R488*N488</f>
        <v/>
      </c>
      <c r="AG488" s="29">
        <f>MAX(SumAssured,AA488)</f>
        <v/>
      </c>
      <c r="AH488" s="34">
        <f>AG488*O488</f>
        <v/>
      </c>
      <c r="AI488" s="34">
        <f>AA488*O488</f>
        <v/>
      </c>
      <c r="AJ488" s="34">
        <f>AA488*P488</f>
        <v/>
      </c>
      <c r="AK488" s="34">
        <f>I488*AA488*P488</f>
        <v/>
      </c>
      <c r="AL488" s="34">
        <f>AJ488-AK488</f>
        <v/>
      </c>
      <c r="AM488" s="34">
        <f>Q488*K488</f>
        <v/>
      </c>
      <c r="AN488" s="34">
        <f>AH488+AL488+AM488</f>
        <v/>
      </c>
      <c r="AO488" s="34">
        <f>(AG488-AA488)*O488</f>
        <v/>
      </c>
      <c r="AP488" s="34">
        <f>W488*N488</f>
        <v/>
      </c>
      <c r="AQ488" s="34">
        <f>T488*N488</f>
        <v/>
      </c>
      <c r="AR488" s="34">
        <f>Z488*J489+0.5*Z488*(O488+P488)</f>
        <v/>
      </c>
      <c r="AS488" s="30">
        <f>(1+InflationRate)^(A488/12)</f>
        <v/>
      </c>
      <c r="AT488" s="29">
        <f>ExpenseAcq*M488+N488*ExpenseMaint/12*AS488</f>
        <v/>
      </c>
      <c r="AU488" s="29">
        <f>CommissionRate*AE488</f>
        <v/>
      </c>
      <c r="AV488" s="34">
        <f>AB489-AB488</f>
        <v/>
      </c>
      <c r="AW488" s="34">
        <f>AE488+AR488-AN488-AT488-AU488-AV488</f>
        <v/>
      </c>
      <c r="AX488" s="29">
        <f>LoadPremRate*E488*N488+AK488+AQ488-AU488-AT488</f>
        <v/>
      </c>
      <c r="AY488" s="34">
        <f>AP488-AO488</f>
        <v/>
      </c>
      <c r="AZ488" s="37">
        <f>(AW488-AX488-AY488)/MAX(1,ABS(AW488),ABS(AX488),ABS(AY488))</f>
        <v/>
      </c>
      <c r="BA488" s="37">
        <f>IF(OR(K488&gt;0,K489&gt;0),0,(AC489-(AC488+AF488-AQ488-AP488+AR488-AI488-AJ488-AM488))/MAX(1,ABS(AC488),ABS(AC489)))</f>
        <v/>
      </c>
      <c r="BB488" s="35">
        <f>(1+INDEX(DiscRateAnn,INT(A488/12)+1))^(1/12)-1</f>
        <v/>
      </c>
      <c r="BC488" s="31">
        <f>(1+BB488)^-A488</f>
        <v/>
      </c>
      <c r="BD488" s="34">
        <f>AW488*BC488</f>
        <v/>
      </c>
    </row>
    <row r="489">
      <c r="A489" s="27">
        <f>A488+1</f>
        <v/>
      </c>
      <c r="B489" s="28">
        <f>Duration0+A489</f>
        <v/>
      </c>
      <c r="C489" s="27">
        <f>INT(B489/12)</f>
        <v/>
      </c>
      <c r="D489" s="28">
        <f>AgeAtEntry+C489</f>
        <v/>
      </c>
      <c r="E489" s="29">
        <f>IF(PremiumType="SINGLE",IF(B489=0,PremiumPPInput,0),IF(B489&lt;12*PolicyTerm,PremiumPPInput,0))</f>
        <v/>
      </c>
      <c r="F489" s="30">
        <f>INDEX(MortRates,MATCH(MIN(D489,120),MortAges,0),MAX(MIN(C489,5),0)+1)</f>
        <v/>
      </c>
      <c r="G489" s="31">
        <f>1-(1-F489)^(1/12)</f>
        <v/>
      </c>
      <c r="H489" s="32">
        <f>MAX(LapseBase-LapseStep*C489,LapseFloor)</f>
        <v/>
      </c>
      <c r="I489" s="32">
        <f>IF(HasSurrCharge,INDEX(SurrRates,MIN(C489,SurrDurMax)+1,MATCH(SurrChargeID,SurrTypes,0)),0)</f>
        <v/>
      </c>
      <c r="J489" s="33">
        <f>N488-P488-O488</f>
        <v/>
      </c>
      <c r="K489" s="30">
        <f>IF(B489=12*PolicyTerm,J489,0)</f>
        <v/>
      </c>
      <c r="L489" s="33">
        <f>J489-K489</f>
        <v/>
      </c>
      <c r="M489" s="30">
        <f>IF(B489=0,PolicyCount,0)</f>
        <v/>
      </c>
      <c r="N489" s="33">
        <f>L489+M489</f>
        <v/>
      </c>
      <c r="O489" s="31">
        <f>N489*G489</f>
        <v/>
      </c>
      <c r="P489" s="33">
        <f>(N489-O489)*(1-(1-H489)^(1/12))</f>
        <v/>
      </c>
      <c r="Q489" s="34">
        <f>X488+Z488</f>
        <v/>
      </c>
      <c r="R489" s="29">
        <f>(1-LoadPremRate)*E489</f>
        <v/>
      </c>
      <c r="S489" s="34">
        <f>Q489+R489</f>
        <v/>
      </c>
      <c r="T489" s="29">
        <f>MaintFeeRateAnn/12*S489</f>
        <v/>
      </c>
      <c r="U489" s="29">
        <f>MAX(SumAssured-S489,0)</f>
        <v/>
      </c>
      <c r="V489" s="35">
        <f>CoiMultiple*G489</f>
        <v/>
      </c>
      <c r="W489" s="34">
        <f>V489*U489</f>
        <v/>
      </c>
      <c r="X489" s="34">
        <f>S489-T489-W489</f>
        <v/>
      </c>
      <c r="Y489" s="36">
        <f>EXP((Mu-0.5*Sigma^2)/12+Sigma*SQRT(1/12)*INDEX(NormRand,ScenID,A489+1))-1</f>
        <v/>
      </c>
      <c r="Z489" s="34">
        <f>Y489*X489</f>
        <v/>
      </c>
      <c r="AA489" s="34">
        <f>X489+0.5*Z489</f>
        <v/>
      </c>
      <c r="AB489" s="34">
        <f>Q489*J489</f>
        <v/>
      </c>
      <c r="AC489" s="34">
        <f>Q489*L489</f>
        <v/>
      </c>
      <c r="AD489" s="34">
        <f>S489*N489</f>
        <v/>
      </c>
      <c r="AE489" s="34">
        <f>E489*N489</f>
        <v/>
      </c>
      <c r="AF489" s="34">
        <f>R489*N489</f>
        <v/>
      </c>
      <c r="AG489" s="29">
        <f>MAX(SumAssured,AA489)</f>
        <v/>
      </c>
      <c r="AH489" s="34">
        <f>AG489*O489</f>
        <v/>
      </c>
      <c r="AI489" s="34">
        <f>AA489*O489</f>
        <v/>
      </c>
      <c r="AJ489" s="34">
        <f>AA489*P489</f>
        <v/>
      </c>
      <c r="AK489" s="34">
        <f>I489*AA489*P489</f>
        <v/>
      </c>
      <c r="AL489" s="34">
        <f>AJ489-AK489</f>
        <v/>
      </c>
      <c r="AM489" s="34">
        <f>Q489*K489</f>
        <v/>
      </c>
      <c r="AN489" s="34">
        <f>AH489+AL489+AM489</f>
        <v/>
      </c>
      <c r="AO489" s="34">
        <f>(AG489-AA489)*O489</f>
        <v/>
      </c>
      <c r="AP489" s="34">
        <f>W489*N489</f>
        <v/>
      </c>
      <c r="AQ489" s="34">
        <f>T489*N489</f>
        <v/>
      </c>
      <c r="AR489" s="34">
        <f>Z489*J490+0.5*Z489*(O489+P489)</f>
        <v/>
      </c>
      <c r="AS489" s="30">
        <f>(1+InflationRate)^(A489/12)</f>
        <v/>
      </c>
      <c r="AT489" s="29">
        <f>ExpenseAcq*M489+N489*ExpenseMaint/12*AS489</f>
        <v/>
      </c>
      <c r="AU489" s="29">
        <f>CommissionRate*AE489</f>
        <v/>
      </c>
      <c r="AV489" s="34">
        <f>AB490-AB489</f>
        <v/>
      </c>
      <c r="AW489" s="34">
        <f>AE489+AR489-AN489-AT489-AU489-AV489</f>
        <v/>
      </c>
      <c r="AX489" s="29">
        <f>LoadPremRate*E489*N489+AK489+AQ489-AU489-AT489</f>
        <v/>
      </c>
      <c r="AY489" s="34">
        <f>AP489-AO489</f>
        <v/>
      </c>
      <c r="AZ489" s="37">
        <f>(AW489-AX489-AY489)/MAX(1,ABS(AW489),ABS(AX489),ABS(AY489))</f>
        <v/>
      </c>
      <c r="BA489" s="37">
        <f>IF(OR(K489&gt;0,K490&gt;0),0,(AC490-(AC489+AF489-AQ489-AP489+AR489-AI489-AJ489-AM489))/MAX(1,ABS(AC489),ABS(AC490)))</f>
        <v/>
      </c>
      <c r="BB489" s="35">
        <f>(1+INDEX(DiscRateAnn,INT(A489/12)+1))^(1/12)-1</f>
        <v/>
      </c>
      <c r="BC489" s="31">
        <f>(1+BB489)^-A489</f>
        <v/>
      </c>
      <c r="BD489" s="34">
        <f>AW489*BC489</f>
        <v/>
      </c>
    </row>
    <row r="490">
      <c r="A490" s="27">
        <f>A489+1</f>
        <v/>
      </c>
      <c r="B490" s="28">
        <f>Duration0+A490</f>
        <v/>
      </c>
      <c r="C490" s="27">
        <f>INT(B490/12)</f>
        <v/>
      </c>
      <c r="D490" s="28">
        <f>AgeAtEntry+C490</f>
        <v/>
      </c>
      <c r="E490" s="29">
        <f>IF(PremiumType="SINGLE",IF(B490=0,PremiumPPInput,0),IF(B490&lt;12*PolicyTerm,PremiumPPInput,0))</f>
        <v/>
      </c>
      <c r="F490" s="30">
        <f>INDEX(MortRates,MATCH(MIN(D490,120),MortAges,0),MAX(MIN(C490,5),0)+1)</f>
        <v/>
      </c>
      <c r="G490" s="31">
        <f>1-(1-F490)^(1/12)</f>
        <v/>
      </c>
      <c r="H490" s="32">
        <f>MAX(LapseBase-LapseStep*C490,LapseFloor)</f>
        <v/>
      </c>
      <c r="I490" s="32">
        <f>IF(HasSurrCharge,INDEX(SurrRates,MIN(C490,SurrDurMax)+1,MATCH(SurrChargeID,SurrTypes,0)),0)</f>
        <v/>
      </c>
      <c r="J490" s="33">
        <f>N489-P489-O489</f>
        <v/>
      </c>
      <c r="K490" s="30">
        <f>IF(B490=12*PolicyTerm,J490,0)</f>
        <v/>
      </c>
      <c r="L490" s="33">
        <f>J490-K490</f>
        <v/>
      </c>
      <c r="M490" s="30">
        <f>IF(B490=0,PolicyCount,0)</f>
        <v/>
      </c>
      <c r="N490" s="33">
        <f>L490+M490</f>
        <v/>
      </c>
      <c r="O490" s="31">
        <f>N490*G490</f>
        <v/>
      </c>
      <c r="P490" s="33">
        <f>(N490-O490)*(1-(1-H490)^(1/12))</f>
        <v/>
      </c>
      <c r="Q490" s="34">
        <f>X489+Z489</f>
        <v/>
      </c>
      <c r="R490" s="29">
        <f>(1-LoadPremRate)*E490</f>
        <v/>
      </c>
      <c r="S490" s="34">
        <f>Q490+R490</f>
        <v/>
      </c>
      <c r="T490" s="29">
        <f>MaintFeeRateAnn/12*S490</f>
        <v/>
      </c>
      <c r="U490" s="29">
        <f>MAX(SumAssured-S490,0)</f>
        <v/>
      </c>
      <c r="V490" s="35">
        <f>CoiMultiple*G490</f>
        <v/>
      </c>
      <c r="W490" s="34">
        <f>V490*U490</f>
        <v/>
      </c>
      <c r="X490" s="34">
        <f>S490-T490-W490</f>
        <v/>
      </c>
      <c r="Y490" s="36">
        <f>EXP((Mu-0.5*Sigma^2)/12+Sigma*SQRT(1/12)*INDEX(NormRand,ScenID,A490+1))-1</f>
        <v/>
      </c>
      <c r="Z490" s="34">
        <f>Y490*X490</f>
        <v/>
      </c>
      <c r="AA490" s="34">
        <f>X490+0.5*Z490</f>
        <v/>
      </c>
      <c r="AB490" s="34">
        <f>Q490*J490</f>
        <v/>
      </c>
      <c r="AC490" s="34">
        <f>Q490*L490</f>
        <v/>
      </c>
      <c r="AD490" s="34">
        <f>S490*N490</f>
        <v/>
      </c>
      <c r="AE490" s="34">
        <f>E490*N490</f>
        <v/>
      </c>
      <c r="AF490" s="34">
        <f>R490*N490</f>
        <v/>
      </c>
      <c r="AG490" s="29">
        <f>MAX(SumAssured,AA490)</f>
        <v/>
      </c>
      <c r="AH490" s="34">
        <f>AG490*O490</f>
        <v/>
      </c>
      <c r="AI490" s="34">
        <f>AA490*O490</f>
        <v/>
      </c>
      <c r="AJ490" s="34">
        <f>AA490*P490</f>
        <v/>
      </c>
      <c r="AK490" s="34">
        <f>I490*AA490*P490</f>
        <v/>
      </c>
      <c r="AL490" s="34">
        <f>AJ490-AK490</f>
        <v/>
      </c>
      <c r="AM490" s="34">
        <f>Q490*K490</f>
        <v/>
      </c>
      <c r="AN490" s="34">
        <f>AH490+AL490+AM490</f>
        <v/>
      </c>
      <c r="AO490" s="34">
        <f>(AG490-AA490)*O490</f>
        <v/>
      </c>
      <c r="AP490" s="34">
        <f>W490*N490</f>
        <v/>
      </c>
      <c r="AQ490" s="34">
        <f>T490*N490</f>
        <v/>
      </c>
      <c r="AR490" s="34">
        <f>Z490*J491+0.5*Z490*(O490+P490)</f>
        <v/>
      </c>
      <c r="AS490" s="30">
        <f>(1+InflationRate)^(A490/12)</f>
        <v/>
      </c>
      <c r="AT490" s="29">
        <f>ExpenseAcq*M490+N490*ExpenseMaint/12*AS490</f>
        <v/>
      </c>
      <c r="AU490" s="29">
        <f>CommissionRate*AE490</f>
        <v/>
      </c>
      <c r="AV490" s="34">
        <f>AB491-AB490</f>
        <v/>
      </c>
      <c r="AW490" s="34">
        <f>AE490+AR490-AN490-AT490-AU490-AV490</f>
        <v/>
      </c>
      <c r="AX490" s="29">
        <f>LoadPremRate*E490*N490+AK490+AQ490-AU490-AT490</f>
        <v/>
      </c>
      <c r="AY490" s="34">
        <f>AP490-AO490</f>
        <v/>
      </c>
      <c r="AZ490" s="37">
        <f>(AW490-AX490-AY490)/MAX(1,ABS(AW490),ABS(AX490),ABS(AY490))</f>
        <v/>
      </c>
      <c r="BA490" s="37">
        <f>IF(OR(K490&gt;0,K491&gt;0),0,(AC491-(AC490+AF490-AQ490-AP490+AR490-AI490-AJ490-AM490))/MAX(1,ABS(AC490),ABS(AC491)))</f>
        <v/>
      </c>
      <c r="BB490" s="35">
        <f>(1+INDEX(DiscRateAnn,INT(A490/12)+1))^(1/12)-1</f>
        <v/>
      </c>
      <c r="BC490" s="31">
        <f>(1+BB490)^-A490</f>
        <v/>
      </c>
      <c r="BD490" s="34">
        <f>AW490*BC490</f>
        <v/>
      </c>
    </row>
    <row r="491">
      <c r="A491" s="27">
        <f>A490+1</f>
        <v/>
      </c>
      <c r="B491" s="28">
        <f>Duration0+A491</f>
        <v/>
      </c>
      <c r="C491" s="27">
        <f>INT(B491/12)</f>
        <v/>
      </c>
      <c r="D491" s="28">
        <f>AgeAtEntry+C491</f>
        <v/>
      </c>
      <c r="E491" s="29">
        <f>IF(PremiumType="SINGLE",IF(B491=0,PremiumPPInput,0),IF(B491&lt;12*PolicyTerm,PremiumPPInput,0))</f>
        <v/>
      </c>
      <c r="F491" s="30">
        <f>INDEX(MortRates,MATCH(MIN(D491,120),MortAges,0),MAX(MIN(C491,5),0)+1)</f>
        <v/>
      </c>
      <c r="G491" s="31">
        <f>1-(1-F491)^(1/12)</f>
        <v/>
      </c>
      <c r="H491" s="32">
        <f>MAX(LapseBase-LapseStep*C491,LapseFloor)</f>
        <v/>
      </c>
      <c r="I491" s="32">
        <f>IF(HasSurrCharge,INDEX(SurrRates,MIN(C491,SurrDurMax)+1,MATCH(SurrChargeID,SurrTypes,0)),0)</f>
        <v/>
      </c>
      <c r="J491" s="33">
        <f>N490-P490-O490</f>
        <v/>
      </c>
      <c r="K491" s="30">
        <f>IF(B491=12*PolicyTerm,J491,0)</f>
        <v/>
      </c>
      <c r="L491" s="33">
        <f>J491-K491</f>
        <v/>
      </c>
      <c r="M491" s="30">
        <f>IF(B491=0,PolicyCount,0)</f>
        <v/>
      </c>
      <c r="N491" s="33">
        <f>L491+M491</f>
        <v/>
      </c>
      <c r="O491" s="31">
        <f>N491*G491</f>
        <v/>
      </c>
      <c r="P491" s="33">
        <f>(N491-O491)*(1-(1-H491)^(1/12))</f>
        <v/>
      </c>
      <c r="Q491" s="34">
        <f>X490+Z490</f>
        <v/>
      </c>
      <c r="R491" s="29">
        <f>(1-LoadPremRate)*E491</f>
        <v/>
      </c>
      <c r="S491" s="34">
        <f>Q491+R491</f>
        <v/>
      </c>
      <c r="T491" s="29">
        <f>MaintFeeRateAnn/12*S491</f>
        <v/>
      </c>
      <c r="U491" s="29">
        <f>MAX(SumAssured-S491,0)</f>
        <v/>
      </c>
      <c r="V491" s="35">
        <f>CoiMultiple*G491</f>
        <v/>
      </c>
      <c r="W491" s="34">
        <f>V491*U491</f>
        <v/>
      </c>
      <c r="X491" s="34">
        <f>S491-T491-W491</f>
        <v/>
      </c>
      <c r="Y491" s="36">
        <f>EXP((Mu-0.5*Sigma^2)/12+Sigma*SQRT(1/12)*INDEX(NormRand,ScenID,A491+1))-1</f>
        <v/>
      </c>
      <c r="Z491" s="34">
        <f>Y491*X491</f>
        <v/>
      </c>
      <c r="AA491" s="34">
        <f>X491+0.5*Z491</f>
        <v/>
      </c>
      <c r="AB491" s="34">
        <f>Q491*J491</f>
        <v/>
      </c>
      <c r="AC491" s="34">
        <f>Q491*L491</f>
        <v/>
      </c>
      <c r="AD491" s="34">
        <f>S491*N491</f>
        <v/>
      </c>
      <c r="AE491" s="34">
        <f>E491*N491</f>
        <v/>
      </c>
      <c r="AF491" s="34">
        <f>R491*N491</f>
        <v/>
      </c>
      <c r="AG491" s="29">
        <f>MAX(SumAssured,AA491)</f>
        <v/>
      </c>
      <c r="AH491" s="34">
        <f>AG491*O491</f>
        <v/>
      </c>
      <c r="AI491" s="34">
        <f>AA491*O491</f>
        <v/>
      </c>
      <c r="AJ491" s="34">
        <f>AA491*P491</f>
        <v/>
      </c>
      <c r="AK491" s="34">
        <f>I491*AA491*P491</f>
        <v/>
      </c>
      <c r="AL491" s="34">
        <f>AJ491-AK491</f>
        <v/>
      </c>
      <c r="AM491" s="34">
        <f>Q491*K491</f>
        <v/>
      </c>
      <c r="AN491" s="34">
        <f>AH491+AL491+AM491</f>
        <v/>
      </c>
      <c r="AO491" s="34">
        <f>(AG491-AA491)*O491</f>
        <v/>
      </c>
      <c r="AP491" s="34">
        <f>W491*N491</f>
        <v/>
      </c>
      <c r="AQ491" s="34">
        <f>T491*N491</f>
        <v/>
      </c>
      <c r="AR491" s="34">
        <f>Z491*J492+0.5*Z491*(O491+P491)</f>
        <v/>
      </c>
      <c r="AS491" s="30">
        <f>(1+InflationRate)^(A491/12)</f>
        <v/>
      </c>
      <c r="AT491" s="29">
        <f>ExpenseAcq*M491+N491*ExpenseMaint/12*AS491</f>
        <v/>
      </c>
      <c r="AU491" s="29">
        <f>CommissionRate*AE491</f>
        <v/>
      </c>
      <c r="AV491" s="34">
        <f>AB492-AB491</f>
        <v/>
      </c>
      <c r="AW491" s="34">
        <f>AE491+AR491-AN491-AT491-AU491-AV491</f>
        <v/>
      </c>
      <c r="AX491" s="29">
        <f>LoadPremRate*E491*N491+AK491+AQ491-AU491-AT491</f>
        <v/>
      </c>
      <c r="AY491" s="34">
        <f>AP491-AO491</f>
        <v/>
      </c>
      <c r="AZ491" s="37">
        <f>(AW491-AX491-AY491)/MAX(1,ABS(AW491),ABS(AX491),ABS(AY491))</f>
        <v/>
      </c>
      <c r="BA491" s="37">
        <f>IF(OR(K491&gt;0,K492&gt;0),0,(AC492-(AC491+AF491-AQ491-AP491+AR491-AI491-AJ491-AM491))/MAX(1,ABS(AC491),ABS(AC492)))</f>
        <v/>
      </c>
      <c r="BB491" s="35">
        <f>(1+INDEX(DiscRateAnn,INT(A491/12)+1))^(1/12)-1</f>
        <v/>
      </c>
      <c r="BC491" s="31">
        <f>(1+BB491)^-A491</f>
        <v/>
      </c>
      <c r="BD491" s="34">
        <f>AW491*BC491</f>
        <v/>
      </c>
    </row>
    <row r="492">
      <c r="A492" s="27">
        <f>A491+1</f>
        <v/>
      </c>
      <c r="B492" s="28">
        <f>Duration0+A492</f>
        <v/>
      </c>
      <c r="C492" s="27">
        <f>INT(B492/12)</f>
        <v/>
      </c>
      <c r="D492" s="28">
        <f>AgeAtEntry+C492</f>
        <v/>
      </c>
      <c r="E492" s="29">
        <f>IF(PremiumType="SINGLE",IF(B492=0,PremiumPPInput,0),IF(B492&lt;12*PolicyTerm,PremiumPPInput,0))</f>
        <v/>
      </c>
      <c r="F492" s="30">
        <f>INDEX(MortRates,MATCH(MIN(D492,120),MortAges,0),MAX(MIN(C492,5),0)+1)</f>
        <v/>
      </c>
      <c r="G492" s="31">
        <f>1-(1-F492)^(1/12)</f>
        <v/>
      </c>
      <c r="H492" s="32">
        <f>MAX(LapseBase-LapseStep*C492,LapseFloor)</f>
        <v/>
      </c>
      <c r="I492" s="32">
        <f>IF(HasSurrCharge,INDEX(SurrRates,MIN(C492,SurrDurMax)+1,MATCH(SurrChargeID,SurrTypes,0)),0)</f>
        <v/>
      </c>
      <c r="J492" s="33">
        <f>N491-P491-O491</f>
        <v/>
      </c>
      <c r="K492" s="30">
        <f>IF(B492=12*PolicyTerm,J492,0)</f>
        <v/>
      </c>
      <c r="L492" s="33">
        <f>J492-K492</f>
        <v/>
      </c>
      <c r="M492" s="30">
        <f>IF(B492=0,PolicyCount,0)</f>
        <v/>
      </c>
      <c r="N492" s="33">
        <f>L492+M492</f>
        <v/>
      </c>
      <c r="O492" s="31">
        <f>N492*G492</f>
        <v/>
      </c>
      <c r="P492" s="33">
        <f>(N492-O492)*(1-(1-H492)^(1/12))</f>
        <v/>
      </c>
      <c r="Q492" s="34">
        <f>X491+Z491</f>
        <v/>
      </c>
      <c r="R492" s="29">
        <f>(1-LoadPremRate)*E492</f>
        <v/>
      </c>
      <c r="S492" s="34">
        <f>Q492+R492</f>
        <v/>
      </c>
      <c r="T492" s="29">
        <f>MaintFeeRateAnn/12*S492</f>
        <v/>
      </c>
      <c r="U492" s="29">
        <f>MAX(SumAssured-S492,0)</f>
        <v/>
      </c>
      <c r="V492" s="35">
        <f>CoiMultiple*G492</f>
        <v/>
      </c>
      <c r="W492" s="34">
        <f>V492*U492</f>
        <v/>
      </c>
      <c r="X492" s="34">
        <f>S492-T492-W492</f>
        <v/>
      </c>
      <c r="Y492" s="36">
        <f>EXP((Mu-0.5*Sigma^2)/12+Sigma*SQRT(1/12)*INDEX(NormRand,ScenID,A492+1))-1</f>
        <v/>
      </c>
      <c r="Z492" s="34">
        <f>Y492*X492</f>
        <v/>
      </c>
      <c r="AA492" s="34">
        <f>X492+0.5*Z492</f>
        <v/>
      </c>
      <c r="AB492" s="34">
        <f>Q492*J492</f>
        <v/>
      </c>
      <c r="AC492" s="34">
        <f>Q492*L492</f>
        <v/>
      </c>
      <c r="AD492" s="34">
        <f>S492*N492</f>
        <v/>
      </c>
      <c r="AE492" s="34">
        <f>E492*N492</f>
        <v/>
      </c>
      <c r="AF492" s="34">
        <f>R492*N492</f>
        <v/>
      </c>
      <c r="AG492" s="29">
        <f>MAX(SumAssured,AA492)</f>
        <v/>
      </c>
      <c r="AH492" s="34">
        <f>AG492*O492</f>
        <v/>
      </c>
      <c r="AI492" s="34">
        <f>AA492*O492</f>
        <v/>
      </c>
      <c r="AJ492" s="34">
        <f>AA492*P492</f>
        <v/>
      </c>
      <c r="AK492" s="34">
        <f>I492*AA492*P492</f>
        <v/>
      </c>
      <c r="AL492" s="34">
        <f>AJ492-AK492</f>
        <v/>
      </c>
      <c r="AM492" s="34">
        <f>Q492*K492</f>
        <v/>
      </c>
      <c r="AN492" s="34">
        <f>AH492+AL492+AM492</f>
        <v/>
      </c>
      <c r="AO492" s="34">
        <f>(AG492-AA492)*O492</f>
        <v/>
      </c>
      <c r="AP492" s="34">
        <f>W492*N492</f>
        <v/>
      </c>
      <c r="AQ492" s="34">
        <f>T492*N492</f>
        <v/>
      </c>
      <c r="AR492" s="34">
        <f>Z492*J493+0.5*Z492*(O492+P492)</f>
        <v/>
      </c>
      <c r="AS492" s="30">
        <f>(1+InflationRate)^(A492/12)</f>
        <v/>
      </c>
      <c r="AT492" s="29">
        <f>ExpenseAcq*M492+N492*ExpenseMaint/12*AS492</f>
        <v/>
      </c>
      <c r="AU492" s="29">
        <f>CommissionRate*AE492</f>
        <v/>
      </c>
      <c r="AV492" s="34">
        <f>AB493-AB492</f>
        <v/>
      </c>
      <c r="AW492" s="34">
        <f>AE492+AR492-AN492-AT492-AU492-AV492</f>
        <v/>
      </c>
      <c r="AX492" s="29">
        <f>LoadPremRate*E492*N492+AK492+AQ492-AU492-AT492</f>
        <v/>
      </c>
      <c r="AY492" s="34">
        <f>AP492-AO492</f>
        <v/>
      </c>
      <c r="AZ492" s="37">
        <f>(AW492-AX492-AY492)/MAX(1,ABS(AW492),ABS(AX492),ABS(AY492))</f>
        <v/>
      </c>
      <c r="BA492" s="37">
        <f>IF(OR(K492&gt;0,K493&gt;0),0,(AC493-(AC492+AF492-AQ492-AP492+AR492-AI492-AJ492-AM492))/MAX(1,ABS(AC492),ABS(AC493)))</f>
        <v/>
      </c>
      <c r="BB492" s="35">
        <f>(1+INDEX(DiscRateAnn,INT(A492/12)+1))^(1/12)-1</f>
        <v/>
      </c>
      <c r="BC492" s="31">
        <f>(1+BB492)^-A492</f>
        <v/>
      </c>
      <c r="BD492" s="34">
        <f>AW492*BC492</f>
        <v/>
      </c>
    </row>
    <row r="493">
      <c r="A493" s="27">
        <f>A492+1</f>
        <v/>
      </c>
      <c r="B493" s="28">
        <f>Duration0+A493</f>
        <v/>
      </c>
      <c r="C493" s="27">
        <f>INT(B493/12)</f>
        <v/>
      </c>
      <c r="D493" s="28">
        <f>AgeAtEntry+C493</f>
        <v/>
      </c>
      <c r="E493" s="29">
        <f>IF(PremiumType="SINGLE",IF(B493=0,PremiumPPInput,0),IF(B493&lt;12*PolicyTerm,PremiumPPInput,0))</f>
        <v/>
      </c>
      <c r="F493" s="30">
        <f>INDEX(MortRates,MATCH(MIN(D493,120),MortAges,0),MAX(MIN(C493,5),0)+1)</f>
        <v/>
      </c>
      <c r="G493" s="31">
        <f>1-(1-F493)^(1/12)</f>
        <v/>
      </c>
      <c r="H493" s="32">
        <f>MAX(LapseBase-LapseStep*C493,LapseFloor)</f>
        <v/>
      </c>
      <c r="I493" s="32">
        <f>IF(HasSurrCharge,INDEX(SurrRates,MIN(C493,SurrDurMax)+1,MATCH(SurrChargeID,SurrTypes,0)),0)</f>
        <v/>
      </c>
      <c r="J493" s="33">
        <f>N492-P492-O492</f>
        <v/>
      </c>
      <c r="K493" s="30">
        <f>IF(B493=12*PolicyTerm,J493,0)</f>
        <v/>
      </c>
      <c r="L493" s="33">
        <f>J493-K493</f>
        <v/>
      </c>
      <c r="M493" s="30">
        <f>IF(B493=0,PolicyCount,0)</f>
        <v/>
      </c>
      <c r="N493" s="33">
        <f>L493+M493</f>
        <v/>
      </c>
      <c r="O493" s="31">
        <f>N493*G493</f>
        <v/>
      </c>
      <c r="P493" s="33">
        <f>(N493-O493)*(1-(1-H493)^(1/12))</f>
        <v/>
      </c>
      <c r="Q493" s="34">
        <f>X492+Z492</f>
        <v/>
      </c>
      <c r="R493" s="29">
        <f>(1-LoadPremRate)*E493</f>
        <v/>
      </c>
      <c r="S493" s="34">
        <f>Q493+R493</f>
        <v/>
      </c>
      <c r="T493" s="29">
        <f>MaintFeeRateAnn/12*S493</f>
        <v/>
      </c>
      <c r="U493" s="29">
        <f>MAX(SumAssured-S493,0)</f>
        <v/>
      </c>
      <c r="V493" s="35">
        <f>CoiMultiple*G493</f>
        <v/>
      </c>
      <c r="W493" s="34">
        <f>V493*U493</f>
        <v/>
      </c>
      <c r="X493" s="34">
        <f>S493-T493-W493</f>
        <v/>
      </c>
      <c r="Y493" s="36">
        <f>EXP((Mu-0.5*Sigma^2)/12+Sigma*SQRT(1/12)*INDEX(NormRand,ScenID,A493+1))-1</f>
        <v/>
      </c>
      <c r="Z493" s="34">
        <f>Y493*X493</f>
        <v/>
      </c>
      <c r="AA493" s="34">
        <f>X493+0.5*Z493</f>
        <v/>
      </c>
      <c r="AB493" s="34">
        <f>Q493*J493</f>
        <v/>
      </c>
      <c r="AC493" s="34">
        <f>Q493*L493</f>
        <v/>
      </c>
      <c r="AD493" s="34">
        <f>S493*N493</f>
        <v/>
      </c>
      <c r="AE493" s="34">
        <f>E493*N493</f>
        <v/>
      </c>
      <c r="AF493" s="34">
        <f>R493*N493</f>
        <v/>
      </c>
      <c r="AG493" s="29">
        <f>MAX(SumAssured,AA493)</f>
        <v/>
      </c>
      <c r="AH493" s="34">
        <f>AG493*O493</f>
        <v/>
      </c>
      <c r="AI493" s="34">
        <f>AA493*O493</f>
        <v/>
      </c>
      <c r="AJ493" s="34">
        <f>AA493*P493</f>
        <v/>
      </c>
      <c r="AK493" s="34">
        <f>I493*AA493*P493</f>
        <v/>
      </c>
      <c r="AL493" s="34">
        <f>AJ493-AK493</f>
        <v/>
      </c>
      <c r="AM493" s="34">
        <f>Q493*K493</f>
        <v/>
      </c>
      <c r="AN493" s="34">
        <f>AH493+AL493+AM493</f>
        <v/>
      </c>
      <c r="AO493" s="34">
        <f>(AG493-AA493)*O493</f>
        <v/>
      </c>
      <c r="AP493" s="34">
        <f>W493*N493</f>
        <v/>
      </c>
      <c r="AQ493" s="34">
        <f>T493*N493</f>
        <v/>
      </c>
      <c r="AR493" s="34">
        <f>Z493*J494+0.5*Z493*(O493+P493)</f>
        <v/>
      </c>
      <c r="AS493" s="30">
        <f>(1+InflationRate)^(A493/12)</f>
        <v/>
      </c>
      <c r="AT493" s="29">
        <f>ExpenseAcq*M493+N493*ExpenseMaint/12*AS493</f>
        <v/>
      </c>
      <c r="AU493" s="29">
        <f>CommissionRate*AE493</f>
        <v/>
      </c>
      <c r="AV493" s="34">
        <f>AB494-AB493</f>
        <v/>
      </c>
      <c r="AW493" s="34">
        <f>AE493+AR493-AN493-AT493-AU493-AV493</f>
        <v/>
      </c>
      <c r="AX493" s="29">
        <f>LoadPremRate*E493*N493+AK493+AQ493-AU493-AT493</f>
        <v/>
      </c>
      <c r="AY493" s="34">
        <f>AP493-AO493</f>
        <v/>
      </c>
      <c r="AZ493" s="37">
        <f>(AW493-AX493-AY493)/MAX(1,ABS(AW493),ABS(AX493),ABS(AY493))</f>
        <v/>
      </c>
      <c r="BA493" s="37">
        <f>IF(OR(K493&gt;0,K494&gt;0),0,(AC494-(AC493+AF493-AQ493-AP493+AR493-AI493-AJ493-AM493))/MAX(1,ABS(AC493),ABS(AC494)))</f>
        <v/>
      </c>
      <c r="BB493" s="35">
        <f>(1+INDEX(DiscRateAnn,INT(A493/12)+1))^(1/12)-1</f>
        <v/>
      </c>
      <c r="BC493" s="31">
        <f>(1+BB493)^-A493</f>
        <v/>
      </c>
      <c r="BD493" s="34">
        <f>AW493*BC493</f>
        <v/>
      </c>
    </row>
    <row r="494">
      <c r="A494" s="27">
        <f>A493+1</f>
        <v/>
      </c>
      <c r="B494" s="28">
        <f>Duration0+A494</f>
        <v/>
      </c>
      <c r="C494" s="27">
        <f>INT(B494/12)</f>
        <v/>
      </c>
      <c r="D494" s="28">
        <f>AgeAtEntry+C494</f>
        <v/>
      </c>
      <c r="E494" s="29">
        <f>IF(PremiumType="SINGLE",IF(B494=0,PremiumPPInput,0),IF(B494&lt;12*PolicyTerm,PremiumPPInput,0))</f>
        <v/>
      </c>
      <c r="F494" s="30">
        <f>INDEX(MortRates,MATCH(MIN(D494,120),MortAges,0),MAX(MIN(C494,5),0)+1)</f>
        <v/>
      </c>
      <c r="G494" s="31">
        <f>1-(1-F494)^(1/12)</f>
        <v/>
      </c>
      <c r="H494" s="32">
        <f>MAX(LapseBase-LapseStep*C494,LapseFloor)</f>
        <v/>
      </c>
      <c r="I494" s="32">
        <f>IF(HasSurrCharge,INDEX(SurrRates,MIN(C494,SurrDurMax)+1,MATCH(SurrChargeID,SurrTypes,0)),0)</f>
        <v/>
      </c>
      <c r="J494" s="33">
        <f>N493-P493-O493</f>
        <v/>
      </c>
      <c r="K494" s="30">
        <f>IF(B494=12*PolicyTerm,J494,0)</f>
        <v/>
      </c>
      <c r="L494" s="33">
        <f>J494-K494</f>
        <v/>
      </c>
      <c r="M494" s="30">
        <f>IF(B494=0,PolicyCount,0)</f>
        <v/>
      </c>
      <c r="N494" s="33">
        <f>L494+M494</f>
        <v/>
      </c>
      <c r="O494" s="31">
        <f>N494*G494</f>
        <v/>
      </c>
      <c r="P494" s="33">
        <f>(N494-O494)*(1-(1-H494)^(1/12))</f>
        <v/>
      </c>
      <c r="Q494" s="34">
        <f>X493+Z493</f>
        <v/>
      </c>
      <c r="R494" s="29">
        <f>(1-LoadPremRate)*E494</f>
        <v/>
      </c>
      <c r="S494" s="34">
        <f>Q494+R494</f>
        <v/>
      </c>
      <c r="T494" s="29">
        <f>MaintFeeRateAnn/12*S494</f>
        <v/>
      </c>
      <c r="U494" s="29">
        <f>MAX(SumAssured-S494,0)</f>
        <v/>
      </c>
      <c r="V494" s="35">
        <f>CoiMultiple*G494</f>
        <v/>
      </c>
      <c r="W494" s="34">
        <f>V494*U494</f>
        <v/>
      </c>
      <c r="X494" s="34">
        <f>S494-T494-W494</f>
        <v/>
      </c>
      <c r="Y494" s="36">
        <f>EXP((Mu-0.5*Sigma^2)/12+Sigma*SQRT(1/12)*INDEX(NormRand,ScenID,A494+1))-1</f>
        <v/>
      </c>
      <c r="Z494" s="34">
        <f>Y494*X494</f>
        <v/>
      </c>
      <c r="AA494" s="34">
        <f>X494+0.5*Z494</f>
        <v/>
      </c>
      <c r="AB494" s="34">
        <f>Q494*J494</f>
        <v/>
      </c>
      <c r="AC494" s="34">
        <f>Q494*L494</f>
        <v/>
      </c>
      <c r="AD494" s="34">
        <f>S494*N494</f>
        <v/>
      </c>
      <c r="AE494" s="34">
        <f>E494*N494</f>
        <v/>
      </c>
      <c r="AF494" s="34">
        <f>R494*N494</f>
        <v/>
      </c>
      <c r="AG494" s="29">
        <f>MAX(SumAssured,AA494)</f>
        <v/>
      </c>
      <c r="AH494" s="34">
        <f>AG494*O494</f>
        <v/>
      </c>
      <c r="AI494" s="34">
        <f>AA494*O494</f>
        <v/>
      </c>
      <c r="AJ494" s="34">
        <f>AA494*P494</f>
        <v/>
      </c>
      <c r="AK494" s="34">
        <f>I494*AA494*P494</f>
        <v/>
      </c>
      <c r="AL494" s="34">
        <f>AJ494-AK494</f>
        <v/>
      </c>
      <c r="AM494" s="34">
        <f>Q494*K494</f>
        <v/>
      </c>
      <c r="AN494" s="34">
        <f>AH494+AL494+AM494</f>
        <v/>
      </c>
      <c r="AO494" s="34">
        <f>(AG494-AA494)*O494</f>
        <v/>
      </c>
      <c r="AP494" s="34">
        <f>W494*N494</f>
        <v/>
      </c>
      <c r="AQ494" s="34">
        <f>T494*N494</f>
        <v/>
      </c>
      <c r="AR494" s="34">
        <f>Z494*J495+0.5*Z494*(O494+P494)</f>
        <v/>
      </c>
      <c r="AS494" s="30">
        <f>(1+InflationRate)^(A494/12)</f>
        <v/>
      </c>
      <c r="AT494" s="29">
        <f>ExpenseAcq*M494+N494*ExpenseMaint/12*AS494</f>
        <v/>
      </c>
      <c r="AU494" s="29">
        <f>CommissionRate*AE494</f>
        <v/>
      </c>
      <c r="AV494" s="34">
        <f>AB495-AB494</f>
        <v/>
      </c>
      <c r="AW494" s="34">
        <f>AE494+AR494-AN494-AT494-AU494-AV494</f>
        <v/>
      </c>
      <c r="AX494" s="29">
        <f>LoadPremRate*E494*N494+AK494+AQ494-AU494-AT494</f>
        <v/>
      </c>
      <c r="AY494" s="34">
        <f>AP494-AO494</f>
        <v/>
      </c>
      <c r="AZ494" s="37">
        <f>(AW494-AX494-AY494)/MAX(1,ABS(AW494),ABS(AX494),ABS(AY494))</f>
        <v/>
      </c>
      <c r="BA494" s="37">
        <f>IF(OR(K494&gt;0,K495&gt;0),0,(AC495-(AC494+AF494-AQ494-AP494+AR494-AI494-AJ494-AM494))/MAX(1,ABS(AC494),ABS(AC495)))</f>
        <v/>
      </c>
      <c r="BB494" s="35">
        <f>(1+INDEX(DiscRateAnn,INT(A494/12)+1))^(1/12)-1</f>
        <v/>
      </c>
      <c r="BC494" s="31">
        <f>(1+BB494)^-A494</f>
        <v/>
      </c>
      <c r="BD494" s="34">
        <f>AW494*BC494</f>
        <v/>
      </c>
    </row>
    <row r="495">
      <c r="A495" s="27">
        <f>A494+1</f>
        <v/>
      </c>
      <c r="B495" s="28">
        <f>Duration0+A495</f>
        <v/>
      </c>
      <c r="C495" s="27">
        <f>INT(B495/12)</f>
        <v/>
      </c>
      <c r="D495" s="28">
        <f>AgeAtEntry+C495</f>
        <v/>
      </c>
      <c r="E495" s="29">
        <f>IF(PremiumType="SINGLE",IF(B495=0,PremiumPPInput,0),IF(B495&lt;12*PolicyTerm,PremiumPPInput,0))</f>
        <v/>
      </c>
      <c r="F495" s="30">
        <f>INDEX(MortRates,MATCH(MIN(D495,120),MortAges,0),MAX(MIN(C495,5),0)+1)</f>
        <v/>
      </c>
      <c r="G495" s="31">
        <f>1-(1-F495)^(1/12)</f>
        <v/>
      </c>
      <c r="H495" s="32">
        <f>MAX(LapseBase-LapseStep*C495,LapseFloor)</f>
        <v/>
      </c>
      <c r="I495" s="32">
        <f>IF(HasSurrCharge,INDEX(SurrRates,MIN(C495,SurrDurMax)+1,MATCH(SurrChargeID,SurrTypes,0)),0)</f>
        <v/>
      </c>
      <c r="J495" s="33">
        <f>N494-P494-O494</f>
        <v/>
      </c>
      <c r="K495" s="30">
        <f>IF(B495=12*PolicyTerm,J495,0)</f>
        <v/>
      </c>
      <c r="L495" s="33">
        <f>J495-K495</f>
        <v/>
      </c>
      <c r="M495" s="30">
        <f>IF(B495=0,PolicyCount,0)</f>
        <v/>
      </c>
      <c r="N495" s="33">
        <f>L495+M495</f>
        <v/>
      </c>
      <c r="O495" s="31">
        <f>N495*G495</f>
        <v/>
      </c>
      <c r="P495" s="33">
        <f>(N495-O495)*(1-(1-H495)^(1/12))</f>
        <v/>
      </c>
      <c r="Q495" s="34">
        <f>X494+Z494</f>
        <v/>
      </c>
      <c r="R495" s="29">
        <f>(1-LoadPremRate)*E495</f>
        <v/>
      </c>
      <c r="S495" s="34">
        <f>Q495+R495</f>
        <v/>
      </c>
      <c r="T495" s="29">
        <f>MaintFeeRateAnn/12*S495</f>
        <v/>
      </c>
      <c r="U495" s="29">
        <f>MAX(SumAssured-S495,0)</f>
        <v/>
      </c>
      <c r="V495" s="35">
        <f>CoiMultiple*G495</f>
        <v/>
      </c>
      <c r="W495" s="34">
        <f>V495*U495</f>
        <v/>
      </c>
      <c r="X495" s="34">
        <f>S495-T495-W495</f>
        <v/>
      </c>
      <c r="Y495" s="36">
        <f>EXP((Mu-0.5*Sigma^2)/12+Sigma*SQRT(1/12)*INDEX(NormRand,ScenID,A495+1))-1</f>
        <v/>
      </c>
      <c r="Z495" s="34">
        <f>Y495*X495</f>
        <v/>
      </c>
      <c r="AA495" s="34">
        <f>X495+0.5*Z495</f>
        <v/>
      </c>
      <c r="AB495" s="34">
        <f>Q495*J495</f>
        <v/>
      </c>
      <c r="AC495" s="34">
        <f>Q495*L495</f>
        <v/>
      </c>
      <c r="AD495" s="34">
        <f>S495*N495</f>
        <v/>
      </c>
      <c r="AE495" s="34">
        <f>E495*N495</f>
        <v/>
      </c>
      <c r="AF495" s="34">
        <f>R495*N495</f>
        <v/>
      </c>
      <c r="AG495" s="29">
        <f>MAX(SumAssured,AA495)</f>
        <v/>
      </c>
      <c r="AH495" s="34">
        <f>AG495*O495</f>
        <v/>
      </c>
      <c r="AI495" s="34">
        <f>AA495*O495</f>
        <v/>
      </c>
      <c r="AJ495" s="34">
        <f>AA495*P495</f>
        <v/>
      </c>
      <c r="AK495" s="34">
        <f>I495*AA495*P495</f>
        <v/>
      </c>
      <c r="AL495" s="34">
        <f>AJ495-AK495</f>
        <v/>
      </c>
      <c r="AM495" s="34">
        <f>Q495*K495</f>
        <v/>
      </c>
      <c r="AN495" s="34">
        <f>AH495+AL495+AM495</f>
        <v/>
      </c>
      <c r="AO495" s="34">
        <f>(AG495-AA495)*O495</f>
        <v/>
      </c>
      <c r="AP495" s="34">
        <f>W495*N495</f>
        <v/>
      </c>
      <c r="AQ495" s="34">
        <f>T495*N495</f>
        <v/>
      </c>
      <c r="AR495" s="34">
        <f>Z495*J496+0.5*Z495*(O495+P495)</f>
        <v/>
      </c>
      <c r="AS495" s="30">
        <f>(1+InflationRate)^(A495/12)</f>
        <v/>
      </c>
      <c r="AT495" s="29">
        <f>ExpenseAcq*M495+N495*ExpenseMaint/12*AS495</f>
        <v/>
      </c>
      <c r="AU495" s="29">
        <f>CommissionRate*AE495</f>
        <v/>
      </c>
      <c r="AV495" s="34">
        <f>AB496-AB495</f>
        <v/>
      </c>
      <c r="AW495" s="34">
        <f>AE495+AR495-AN495-AT495-AU495-AV495</f>
        <v/>
      </c>
      <c r="AX495" s="29">
        <f>LoadPremRate*E495*N495+AK495+AQ495-AU495-AT495</f>
        <v/>
      </c>
      <c r="AY495" s="34">
        <f>AP495-AO495</f>
        <v/>
      </c>
      <c r="AZ495" s="37">
        <f>(AW495-AX495-AY495)/MAX(1,ABS(AW495),ABS(AX495),ABS(AY495))</f>
        <v/>
      </c>
      <c r="BA495" s="37">
        <f>IF(OR(K495&gt;0,K496&gt;0),0,(AC496-(AC495+AF495-AQ495-AP495+AR495-AI495-AJ495-AM495))/MAX(1,ABS(AC495),ABS(AC496)))</f>
        <v/>
      </c>
      <c r="BB495" s="35">
        <f>(1+INDEX(DiscRateAnn,INT(A495/12)+1))^(1/12)-1</f>
        <v/>
      </c>
      <c r="BC495" s="31">
        <f>(1+BB495)^-A495</f>
        <v/>
      </c>
      <c r="BD495" s="34">
        <f>AW495*BC495</f>
        <v/>
      </c>
    </row>
    <row r="496">
      <c r="A496" s="27">
        <f>A495+1</f>
        <v/>
      </c>
      <c r="B496" s="28">
        <f>Duration0+A496</f>
        <v/>
      </c>
      <c r="C496" s="27">
        <f>INT(B496/12)</f>
        <v/>
      </c>
      <c r="D496" s="28">
        <f>AgeAtEntry+C496</f>
        <v/>
      </c>
      <c r="E496" s="29">
        <f>IF(PremiumType="SINGLE",IF(B496=0,PremiumPPInput,0),IF(B496&lt;12*PolicyTerm,PremiumPPInput,0))</f>
        <v/>
      </c>
      <c r="F496" s="30">
        <f>INDEX(MortRates,MATCH(MIN(D496,120),MortAges,0),MAX(MIN(C496,5),0)+1)</f>
        <v/>
      </c>
      <c r="G496" s="31">
        <f>1-(1-F496)^(1/12)</f>
        <v/>
      </c>
      <c r="H496" s="32">
        <f>MAX(LapseBase-LapseStep*C496,LapseFloor)</f>
        <v/>
      </c>
      <c r="I496" s="32">
        <f>IF(HasSurrCharge,INDEX(SurrRates,MIN(C496,SurrDurMax)+1,MATCH(SurrChargeID,SurrTypes,0)),0)</f>
        <v/>
      </c>
      <c r="J496" s="33">
        <f>N495-P495-O495</f>
        <v/>
      </c>
      <c r="K496" s="30">
        <f>IF(B496=12*PolicyTerm,J496,0)</f>
        <v/>
      </c>
      <c r="L496" s="33">
        <f>J496-K496</f>
        <v/>
      </c>
      <c r="M496" s="30">
        <f>IF(B496=0,PolicyCount,0)</f>
        <v/>
      </c>
      <c r="N496" s="33">
        <f>L496+M496</f>
        <v/>
      </c>
      <c r="O496" s="31">
        <f>N496*G496</f>
        <v/>
      </c>
      <c r="P496" s="33">
        <f>(N496-O496)*(1-(1-H496)^(1/12))</f>
        <v/>
      </c>
      <c r="Q496" s="34">
        <f>X495+Z495</f>
        <v/>
      </c>
      <c r="R496" s="29">
        <f>(1-LoadPremRate)*E496</f>
        <v/>
      </c>
      <c r="S496" s="34">
        <f>Q496+R496</f>
        <v/>
      </c>
      <c r="T496" s="29">
        <f>MaintFeeRateAnn/12*S496</f>
        <v/>
      </c>
      <c r="U496" s="29">
        <f>MAX(SumAssured-S496,0)</f>
        <v/>
      </c>
      <c r="V496" s="35">
        <f>CoiMultiple*G496</f>
        <v/>
      </c>
      <c r="W496" s="34">
        <f>V496*U496</f>
        <v/>
      </c>
      <c r="X496" s="34">
        <f>S496-T496-W496</f>
        <v/>
      </c>
      <c r="Y496" s="36">
        <f>EXP((Mu-0.5*Sigma^2)/12+Sigma*SQRT(1/12)*INDEX(NormRand,ScenID,A496+1))-1</f>
        <v/>
      </c>
      <c r="Z496" s="34">
        <f>Y496*X496</f>
        <v/>
      </c>
      <c r="AA496" s="34">
        <f>X496+0.5*Z496</f>
        <v/>
      </c>
      <c r="AB496" s="34">
        <f>Q496*J496</f>
        <v/>
      </c>
      <c r="AC496" s="34">
        <f>Q496*L496</f>
        <v/>
      </c>
      <c r="AD496" s="34">
        <f>S496*N496</f>
        <v/>
      </c>
      <c r="AE496" s="34">
        <f>E496*N496</f>
        <v/>
      </c>
      <c r="AF496" s="34">
        <f>R496*N496</f>
        <v/>
      </c>
      <c r="AG496" s="29">
        <f>MAX(SumAssured,AA496)</f>
        <v/>
      </c>
      <c r="AH496" s="34">
        <f>AG496*O496</f>
        <v/>
      </c>
      <c r="AI496" s="34">
        <f>AA496*O496</f>
        <v/>
      </c>
      <c r="AJ496" s="34">
        <f>AA496*P496</f>
        <v/>
      </c>
      <c r="AK496" s="34">
        <f>I496*AA496*P496</f>
        <v/>
      </c>
      <c r="AL496" s="34">
        <f>AJ496-AK496</f>
        <v/>
      </c>
      <c r="AM496" s="34">
        <f>Q496*K496</f>
        <v/>
      </c>
      <c r="AN496" s="34">
        <f>AH496+AL496+AM496</f>
        <v/>
      </c>
      <c r="AO496" s="34">
        <f>(AG496-AA496)*O496</f>
        <v/>
      </c>
      <c r="AP496" s="34">
        <f>W496*N496</f>
        <v/>
      </c>
      <c r="AQ496" s="34">
        <f>T496*N496</f>
        <v/>
      </c>
      <c r="AR496" s="34">
        <f>Z496*J497+0.5*Z496*(O496+P496)</f>
        <v/>
      </c>
      <c r="AS496" s="30">
        <f>(1+InflationRate)^(A496/12)</f>
        <v/>
      </c>
      <c r="AT496" s="29">
        <f>ExpenseAcq*M496+N496*ExpenseMaint/12*AS496</f>
        <v/>
      </c>
      <c r="AU496" s="29">
        <f>CommissionRate*AE496</f>
        <v/>
      </c>
      <c r="AV496" s="34">
        <f>AB497-AB496</f>
        <v/>
      </c>
      <c r="AW496" s="34">
        <f>AE496+AR496-AN496-AT496-AU496-AV496</f>
        <v/>
      </c>
      <c r="AX496" s="29">
        <f>LoadPremRate*E496*N496+AK496+AQ496-AU496-AT496</f>
        <v/>
      </c>
      <c r="AY496" s="34">
        <f>AP496-AO496</f>
        <v/>
      </c>
      <c r="AZ496" s="37">
        <f>(AW496-AX496-AY496)/MAX(1,ABS(AW496),ABS(AX496),ABS(AY496))</f>
        <v/>
      </c>
      <c r="BA496" s="37">
        <f>IF(OR(K496&gt;0,K497&gt;0),0,(AC497-(AC496+AF496-AQ496-AP496+AR496-AI496-AJ496-AM496))/MAX(1,ABS(AC496),ABS(AC497)))</f>
        <v/>
      </c>
      <c r="BB496" s="35">
        <f>(1+INDEX(DiscRateAnn,INT(A496/12)+1))^(1/12)-1</f>
        <v/>
      </c>
      <c r="BC496" s="31">
        <f>(1+BB496)^-A496</f>
        <v/>
      </c>
      <c r="BD496" s="34">
        <f>AW496*BC496</f>
        <v/>
      </c>
    </row>
    <row r="497">
      <c r="A497" s="27">
        <f>A496+1</f>
        <v/>
      </c>
      <c r="B497" s="28">
        <f>Duration0+A497</f>
        <v/>
      </c>
      <c r="C497" s="27">
        <f>INT(B497/12)</f>
        <v/>
      </c>
      <c r="D497" s="28">
        <f>AgeAtEntry+C497</f>
        <v/>
      </c>
      <c r="E497" s="29">
        <f>IF(PremiumType="SINGLE",IF(B497=0,PremiumPPInput,0),IF(B497&lt;12*PolicyTerm,PremiumPPInput,0))</f>
        <v/>
      </c>
      <c r="F497" s="30">
        <f>INDEX(MortRates,MATCH(MIN(D497,120),MortAges,0),MAX(MIN(C497,5),0)+1)</f>
        <v/>
      </c>
      <c r="G497" s="31">
        <f>1-(1-F497)^(1/12)</f>
        <v/>
      </c>
      <c r="H497" s="32">
        <f>MAX(LapseBase-LapseStep*C497,LapseFloor)</f>
        <v/>
      </c>
      <c r="I497" s="32">
        <f>IF(HasSurrCharge,INDEX(SurrRates,MIN(C497,SurrDurMax)+1,MATCH(SurrChargeID,SurrTypes,0)),0)</f>
        <v/>
      </c>
      <c r="J497" s="33">
        <f>N496-P496-O496</f>
        <v/>
      </c>
      <c r="K497" s="30">
        <f>IF(B497=12*PolicyTerm,J497,0)</f>
        <v/>
      </c>
      <c r="L497" s="33">
        <f>J497-K497</f>
        <v/>
      </c>
      <c r="M497" s="30">
        <f>IF(B497=0,PolicyCount,0)</f>
        <v/>
      </c>
      <c r="N497" s="33">
        <f>L497+M497</f>
        <v/>
      </c>
      <c r="O497" s="31">
        <f>N497*G497</f>
        <v/>
      </c>
      <c r="P497" s="33">
        <f>(N497-O497)*(1-(1-H497)^(1/12))</f>
        <v/>
      </c>
      <c r="Q497" s="34">
        <f>X496+Z496</f>
        <v/>
      </c>
      <c r="R497" s="29">
        <f>(1-LoadPremRate)*E497</f>
        <v/>
      </c>
      <c r="S497" s="34">
        <f>Q497+R497</f>
        <v/>
      </c>
      <c r="T497" s="29">
        <f>MaintFeeRateAnn/12*S497</f>
        <v/>
      </c>
      <c r="U497" s="29">
        <f>MAX(SumAssured-S497,0)</f>
        <v/>
      </c>
      <c r="V497" s="35">
        <f>CoiMultiple*G497</f>
        <v/>
      </c>
      <c r="W497" s="34">
        <f>V497*U497</f>
        <v/>
      </c>
      <c r="X497" s="34">
        <f>S497-T497-W497</f>
        <v/>
      </c>
      <c r="Y497" s="36">
        <f>EXP((Mu-0.5*Sigma^2)/12+Sigma*SQRT(1/12)*INDEX(NormRand,ScenID,A497+1))-1</f>
        <v/>
      </c>
      <c r="Z497" s="34">
        <f>Y497*X497</f>
        <v/>
      </c>
      <c r="AA497" s="34">
        <f>X497+0.5*Z497</f>
        <v/>
      </c>
      <c r="AB497" s="34">
        <f>Q497*J497</f>
        <v/>
      </c>
      <c r="AC497" s="34">
        <f>Q497*L497</f>
        <v/>
      </c>
      <c r="AD497" s="34">
        <f>S497*N497</f>
        <v/>
      </c>
      <c r="AE497" s="34">
        <f>E497*N497</f>
        <v/>
      </c>
      <c r="AF497" s="34">
        <f>R497*N497</f>
        <v/>
      </c>
      <c r="AG497" s="29">
        <f>MAX(SumAssured,AA497)</f>
        <v/>
      </c>
      <c r="AH497" s="34">
        <f>AG497*O497</f>
        <v/>
      </c>
      <c r="AI497" s="34">
        <f>AA497*O497</f>
        <v/>
      </c>
      <c r="AJ497" s="34">
        <f>AA497*P497</f>
        <v/>
      </c>
      <c r="AK497" s="34">
        <f>I497*AA497*P497</f>
        <v/>
      </c>
      <c r="AL497" s="34">
        <f>AJ497-AK497</f>
        <v/>
      </c>
      <c r="AM497" s="34">
        <f>Q497*K497</f>
        <v/>
      </c>
      <c r="AN497" s="34">
        <f>AH497+AL497+AM497</f>
        <v/>
      </c>
      <c r="AO497" s="34">
        <f>(AG497-AA497)*O497</f>
        <v/>
      </c>
      <c r="AP497" s="34">
        <f>W497*N497</f>
        <v/>
      </c>
      <c r="AQ497" s="34">
        <f>T497*N497</f>
        <v/>
      </c>
      <c r="AR497" s="34">
        <f>Z497*J498+0.5*Z497*(O497+P497)</f>
        <v/>
      </c>
      <c r="AS497" s="30">
        <f>(1+InflationRate)^(A497/12)</f>
        <v/>
      </c>
      <c r="AT497" s="29">
        <f>ExpenseAcq*M497+N497*ExpenseMaint/12*AS497</f>
        <v/>
      </c>
      <c r="AU497" s="29">
        <f>CommissionRate*AE497</f>
        <v/>
      </c>
      <c r="AV497" s="34">
        <f>AB498-AB497</f>
        <v/>
      </c>
      <c r="AW497" s="34">
        <f>AE497+AR497-AN497-AT497-AU497-AV497</f>
        <v/>
      </c>
      <c r="AX497" s="29">
        <f>LoadPremRate*E497*N497+AK497+AQ497-AU497-AT497</f>
        <v/>
      </c>
      <c r="AY497" s="34">
        <f>AP497-AO497</f>
        <v/>
      </c>
      <c r="AZ497" s="37">
        <f>(AW497-AX497-AY497)/MAX(1,ABS(AW497),ABS(AX497),ABS(AY497))</f>
        <v/>
      </c>
      <c r="BA497" s="37">
        <f>IF(OR(K497&gt;0,K498&gt;0),0,(AC498-(AC497+AF497-AQ497-AP497+AR497-AI497-AJ497-AM497))/MAX(1,ABS(AC497),ABS(AC498)))</f>
        <v/>
      </c>
      <c r="BB497" s="35">
        <f>(1+INDEX(DiscRateAnn,INT(A497/12)+1))^(1/12)-1</f>
        <v/>
      </c>
      <c r="BC497" s="31">
        <f>(1+BB497)^-A497</f>
        <v/>
      </c>
      <c r="BD497" s="34">
        <f>AW497*BC497</f>
        <v/>
      </c>
    </row>
    <row r="498">
      <c r="A498" s="27">
        <f>A497+1</f>
        <v/>
      </c>
      <c r="B498" s="28">
        <f>Duration0+A498</f>
        <v/>
      </c>
      <c r="C498" s="27">
        <f>INT(B498/12)</f>
        <v/>
      </c>
      <c r="D498" s="28">
        <f>AgeAtEntry+C498</f>
        <v/>
      </c>
      <c r="E498" s="29">
        <f>IF(PremiumType="SINGLE",IF(B498=0,PremiumPPInput,0),IF(B498&lt;12*PolicyTerm,PremiumPPInput,0))</f>
        <v/>
      </c>
      <c r="F498" s="30">
        <f>INDEX(MortRates,MATCH(MIN(D498,120),MortAges,0),MAX(MIN(C498,5),0)+1)</f>
        <v/>
      </c>
      <c r="G498" s="31">
        <f>1-(1-F498)^(1/12)</f>
        <v/>
      </c>
      <c r="H498" s="32">
        <f>MAX(LapseBase-LapseStep*C498,LapseFloor)</f>
        <v/>
      </c>
      <c r="I498" s="32">
        <f>IF(HasSurrCharge,INDEX(SurrRates,MIN(C498,SurrDurMax)+1,MATCH(SurrChargeID,SurrTypes,0)),0)</f>
        <v/>
      </c>
      <c r="J498" s="33">
        <f>N497-P497-O497</f>
        <v/>
      </c>
      <c r="K498" s="30">
        <f>IF(B498=12*PolicyTerm,J498,0)</f>
        <v/>
      </c>
      <c r="L498" s="33">
        <f>J498-K498</f>
        <v/>
      </c>
      <c r="M498" s="30">
        <f>IF(B498=0,PolicyCount,0)</f>
        <v/>
      </c>
      <c r="N498" s="33">
        <f>L498+M498</f>
        <v/>
      </c>
      <c r="O498" s="31">
        <f>N498*G498</f>
        <v/>
      </c>
      <c r="P498" s="33">
        <f>(N498-O498)*(1-(1-H498)^(1/12))</f>
        <v/>
      </c>
      <c r="Q498" s="34">
        <f>X497+Z497</f>
        <v/>
      </c>
      <c r="R498" s="29">
        <f>(1-LoadPremRate)*E498</f>
        <v/>
      </c>
      <c r="S498" s="34">
        <f>Q498+R498</f>
        <v/>
      </c>
      <c r="T498" s="29">
        <f>MaintFeeRateAnn/12*S498</f>
        <v/>
      </c>
      <c r="U498" s="29">
        <f>MAX(SumAssured-S498,0)</f>
        <v/>
      </c>
      <c r="V498" s="35">
        <f>CoiMultiple*G498</f>
        <v/>
      </c>
      <c r="W498" s="34">
        <f>V498*U498</f>
        <v/>
      </c>
      <c r="X498" s="34">
        <f>S498-T498-W498</f>
        <v/>
      </c>
      <c r="Y498" s="36">
        <f>EXP((Mu-0.5*Sigma^2)/12+Sigma*SQRT(1/12)*INDEX(NormRand,ScenID,A498+1))-1</f>
        <v/>
      </c>
      <c r="Z498" s="34">
        <f>Y498*X498</f>
        <v/>
      </c>
      <c r="AA498" s="34">
        <f>X498+0.5*Z498</f>
        <v/>
      </c>
      <c r="AB498" s="34">
        <f>Q498*J498</f>
        <v/>
      </c>
      <c r="AC498" s="34">
        <f>Q498*L498</f>
        <v/>
      </c>
      <c r="AD498" s="34">
        <f>S498*N498</f>
        <v/>
      </c>
      <c r="AE498" s="34">
        <f>E498*N498</f>
        <v/>
      </c>
      <c r="AF498" s="34">
        <f>R498*N498</f>
        <v/>
      </c>
      <c r="AG498" s="29">
        <f>MAX(SumAssured,AA498)</f>
        <v/>
      </c>
      <c r="AH498" s="34">
        <f>AG498*O498</f>
        <v/>
      </c>
      <c r="AI498" s="34">
        <f>AA498*O498</f>
        <v/>
      </c>
      <c r="AJ498" s="34">
        <f>AA498*P498</f>
        <v/>
      </c>
      <c r="AK498" s="34">
        <f>I498*AA498*P498</f>
        <v/>
      </c>
      <c r="AL498" s="34">
        <f>AJ498-AK498</f>
        <v/>
      </c>
      <c r="AM498" s="34">
        <f>Q498*K498</f>
        <v/>
      </c>
      <c r="AN498" s="34">
        <f>AH498+AL498+AM498</f>
        <v/>
      </c>
      <c r="AO498" s="34">
        <f>(AG498-AA498)*O498</f>
        <v/>
      </c>
      <c r="AP498" s="34">
        <f>W498*N498</f>
        <v/>
      </c>
      <c r="AQ498" s="34">
        <f>T498*N498</f>
        <v/>
      </c>
      <c r="AR498" s="34">
        <f>Z498*J499+0.5*Z498*(O498+P498)</f>
        <v/>
      </c>
      <c r="AS498" s="30">
        <f>(1+InflationRate)^(A498/12)</f>
        <v/>
      </c>
      <c r="AT498" s="29">
        <f>ExpenseAcq*M498+N498*ExpenseMaint/12*AS498</f>
        <v/>
      </c>
      <c r="AU498" s="29">
        <f>CommissionRate*AE498</f>
        <v/>
      </c>
      <c r="AV498" s="34">
        <f>AB499-AB498</f>
        <v/>
      </c>
      <c r="AW498" s="34">
        <f>AE498+AR498-AN498-AT498-AU498-AV498</f>
        <v/>
      </c>
      <c r="AX498" s="29">
        <f>LoadPremRate*E498*N498+AK498+AQ498-AU498-AT498</f>
        <v/>
      </c>
      <c r="AY498" s="34">
        <f>AP498-AO498</f>
        <v/>
      </c>
      <c r="AZ498" s="37">
        <f>(AW498-AX498-AY498)/MAX(1,ABS(AW498),ABS(AX498),ABS(AY498))</f>
        <v/>
      </c>
      <c r="BA498" s="37">
        <f>IF(OR(K498&gt;0,K499&gt;0),0,(AC499-(AC498+AF498-AQ498-AP498+AR498-AI498-AJ498-AM498))/MAX(1,ABS(AC498),ABS(AC499)))</f>
        <v/>
      </c>
      <c r="BB498" s="35">
        <f>(1+INDEX(DiscRateAnn,INT(A498/12)+1))^(1/12)-1</f>
        <v/>
      </c>
      <c r="BC498" s="31">
        <f>(1+BB498)^-A498</f>
        <v/>
      </c>
      <c r="BD498" s="34">
        <f>AW498*BC498</f>
        <v/>
      </c>
    </row>
    <row r="499">
      <c r="A499" s="27">
        <f>A498+1</f>
        <v/>
      </c>
      <c r="B499" s="28">
        <f>Duration0+A499</f>
        <v/>
      </c>
      <c r="C499" s="27">
        <f>INT(B499/12)</f>
        <v/>
      </c>
      <c r="D499" s="28">
        <f>AgeAtEntry+C499</f>
        <v/>
      </c>
      <c r="E499" s="29">
        <f>IF(PremiumType="SINGLE",IF(B499=0,PremiumPPInput,0),IF(B499&lt;12*PolicyTerm,PremiumPPInput,0))</f>
        <v/>
      </c>
      <c r="F499" s="30">
        <f>INDEX(MortRates,MATCH(MIN(D499,120),MortAges,0),MAX(MIN(C499,5),0)+1)</f>
        <v/>
      </c>
      <c r="G499" s="31">
        <f>1-(1-F499)^(1/12)</f>
        <v/>
      </c>
      <c r="H499" s="32">
        <f>MAX(LapseBase-LapseStep*C499,LapseFloor)</f>
        <v/>
      </c>
      <c r="I499" s="32">
        <f>IF(HasSurrCharge,INDEX(SurrRates,MIN(C499,SurrDurMax)+1,MATCH(SurrChargeID,SurrTypes,0)),0)</f>
        <v/>
      </c>
      <c r="J499" s="33">
        <f>N498-P498-O498</f>
        <v/>
      </c>
      <c r="K499" s="30">
        <f>IF(B499=12*PolicyTerm,J499,0)</f>
        <v/>
      </c>
      <c r="L499" s="33">
        <f>J499-K499</f>
        <v/>
      </c>
      <c r="M499" s="30">
        <f>IF(B499=0,PolicyCount,0)</f>
        <v/>
      </c>
      <c r="N499" s="33">
        <f>L499+M499</f>
        <v/>
      </c>
      <c r="O499" s="31">
        <f>N499*G499</f>
        <v/>
      </c>
      <c r="P499" s="33">
        <f>(N499-O499)*(1-(1-H499)^(1/12))</f>
        <v/>
      </c>
      <c r="Q499" s="34">
        <f>X498+Z498</f>
        <v/>
      </c>
      <c r="R499" s="29">
        <f>(1-LoadPremRate)*E499</f>
        <v/>
      </c>
      <c r="S499" s="34">
        <f>Q499+R499</f>
        <v/>
      </c>
      <c r="T499" s="29">
        <f>MaintFeeRateAnn/12*S499</f>
        <v/>
      </c>
      <c r="U499" s="29">
        <f>MAX(SumAssured-S499,0)</f>
        <v/>
      </c>
      <c r="V499" s="35">
        <f>CoiMultiple*G499</f>
        <v/>
      </c>
      <c r="W499" s="34">
        <f>V499*U499</f>
        <v/>
      </c>
      <c r="X499" s="34">
        <f>S499-T499-W499</f>
        <v/>
      </c>
      <c r="Y499" s="36">
        <f>EXP((Mu-0.5*Sigma^2)/12+Sigma*SQRT(1/12)*INDEX(NormRand,ScenID,A499+1))-1</f>
        <v/>
      </c>
      <c r="Z499" s="34">
        <f>Y499*X499</f>
        <v/>
      </c>
      <c r="AA499" s="34">
        <f>X499+0.5*Z499</f>
        <v/>
      </c>
      <c r="AB499" s="34">
        <f>Q499*J499</f>
        <v/>
      </c>
      <c r="AC499" s="34">
        <f>Q499*L499</f>
        <v/>
      </c>
      <c r="AD499" s="34">
        <f>S499*N499</f>
        <v/>
      </c>
      <c r="AE499" s="34">
        <f>E499*N499</f>
        <v/>
      </c>
      <c r="AF499" s="34">
        <f>R499*N499</f>
        <v/>
      </c>
      <c r="AG499" s="29">
        <f>MAX(SumAssured,AA499)</f>
        <v/>
      </c>
      <c r="AH499" s="34">
        <f>AG499*O499</f>
        <v/>
      </c>
      <c r="AI499" s="34">
        <f>AA499*O499</f>
        <v/>
      </c>
      <c r="AJ499" s="34">
        <f>AA499*P499</f>
        <v/>
      </c>
      <c r="AK499" s="34">
        <f>I499*AA499*P499</f>
        <v/>
      </c>
      <c r="AL499" s="34">
        <f>AJ499-AK499</f>
        <v/>
      </c>
      <c r="AM499" s="34">
        <f>Q499*K499</f>
        <v/>
      </c>
      <c r="AN499" s="34">
        <f>AH499+AL499+AM499</f>
        <v/>
      </c>
      <c r="AO499" s="34">
        <f>(AG499-AA499)*O499</f>
        <v/>
      </c>
      <c r="AP499" s="34">
        <f>W499*N499</f>
        <v/>
      </c>
      <c r="AQ499" s="34">
        <f>T499*N499</f>
        <v/>
      </c>
      <c r="AR499" s="34">
        <f>Z499*J500+0.5*Z499*(O499+P499)</f>
        <v/>
      </c>
      <c r="AS499" s="30">
        <f>(1+InflationRate)^(A499/12)</f>
        <v/>
      </c>
      <c r="AT499" s="29">
        <f>ExpenseAcq*M499+N499*ExpenseMaint/12*AS499</f>
        <v/>
      </c>
      <c r="AU499" s="29">
        <f>CommissionRate*AE499</f>
        <v/>
      </c>
      <c r="AV499" s="34">
        <f>AB500-AB499</f>
        <v/>
      </c>
      <c r="AW499" s="34">
        <f>AE499+AR499-AN499-AT499-AU499-AV499</f>
        <v/>
      </c>
      <c r="AX499" s="29">
        <f>LoadPremRate*E499*N499+AK499+AQ499-AU499-AT499</f>
        <v/>
      </c>
      <c r="AY499" s="34">
        <f>AP499-AO499</f>
        <v/>
      </c>
      <c r="AZ499" s="37">
        <f>(AW499-AX499-AY499)/MAX(1,ABS(AW499),ABS(AX499),ABS(AY499))</f>
        <v/>
      </c>
      <c r="BA499" s="37">
        <f>IF(OR(K499&gt;0,K500&gt;0),0,(AC500-(AC499+AF499-AQ499-AP499+AR499-AI499-AJ499-AM499))/MAX(1,ABS(AC499),ABS(AC500)))</f>
        <v/>
      </c>
      <c r="BB499" s="35">
        <f>(1+INDEX(DiscRateAnn,INT(A499/12)+1))^(1/12)-1</f>
        <v/>
      </c>
      <c r="BC499" s="31">
        <f>(1+BB499)^-A499</f>
        <v/>
      </c>
      <c r="BD499" s="34">
        <f>AW499*BC499</f>
        <v/>
      </c>
    </row>
    <row r="500">
      <c r="A500" s="27">
        <f>A499+1</f>
        <v/>
      </c>
      <c r="B500" s="28">
        <f>Duration0+A500</f>
        <v/>
      </c>
      <c r="C500" s="27">
        <f>INT(B500/12)</f>
        <v/>
      </c>
      <c r="D500" s="28">
        <f>AgeAtEntry+C500</f>
        <v/>
      </c>
      <c r="E500" s="29">
        <f>IF(PremiumType="SINGLE",IF(B500=0,PremiumPPInput,0),IF(B500&lt;12*PolicyTerm,PremiumPPInput,0))</f>
        <v/>
      </c>
      <c r="F500" s="30">
        <f>INDEX(MortRates,MATCH(MIN(D500,120),MortAges,0),MAX(MIN(C500,5),0)+1)</f>
        <v/>
      </c>
      <c r="G500" s="31">
        <f>1-(1-F500)^(1/12)</f>
        <v/>
      </c>
      <c r="H500" s="32">
        <f>MAX(LapseBase-LapseStep*C500,LapseFloor)</f>
        <v/>
      </c>
      <c r="I500" s="32">
        <f>IF(HasSurrCharge,INDEX(SurrRates,MIN(C500,SurrDurMax)+1,MATCH(SurrChargeID,SurrTypes,0)),0)</f>
        <v/>
      </c>
      <c r="J500" s="33">
        <f>N499-P499-O499</f>
        <v/>
      </c>
      <c r="K500" s="30">
        <f>IF(B500=12*PolicyTerm,J500,0)</f>
        <v/>
      </c>
      <c r="L500" s="33">
        <f>J500-K500</f>
        <v/>
      </c>
      <c r="M500" s="30">
        <f>IF(B500=0,PolicyCount,0)</f>
        <v/>
      </c>
      <c r="N500" s="33">
        <f>L500+M500</f>
        <v/>
      </c>
      <c r="O500" s="31">
        <f>N500*G500</f>
        <v/>
      </c>
      <c r="P500" s="33">
        <f>(N500-O500)*(1-(1-H500)^(1/12))</f>
        <v/>
      </c>
      <c r="Q500" s="34">
        <f>X499+Z499</f>
        <v/>
      </c>
      <c r="R500" s="29">
        <f>(1-LoadPremRate)*E500</f>
        <v/>
      </c>
      <c r="S500" s="34">
        <f>Q500+R500</f>
        <v/>
      </c>
      <c r="T500" s="29">
        <f>MaintFeeRateAnn/12*S500</f>
        <v/>
      </c>
      <c r="U500" s="29">
        <f>MAX(SumAssured-S500,0)</f>
        <v/>
      </c>
      <c r="V500" s="35">
        <f>CoiMultiple*G500</f>
        <v/>
      </c>
      <c r="W500" s="34">
        <f>V500*U500</f>
        <v/>
      </c>
      <c r="X500" s="34">
        <f>S500-T500-W500</f>
        <v/>
      </c>
      <c r="Y500" s="36">
        <f>EXP((Mu-0.5*Sigma^2)/12+Sigma*SQRT(1/12)*INDEX(NormRand,ScenID,A500+1))-1</f>
        <v/>
      </c>
      <c r="Z500" s="34">
        <f>Y500*X500</f>
        <v/>
      </c>
      <c r="AA500" s="34">
        <f>X500+0.5*Z500</f>
        <v/>
      </c>
      <c r="AB500" s="34">
        <f>Q500*J500</f>
        <v/>
      </c>
      <c r="AC500" s="34">
        <f>Q500*L500</f>
        <v/>
      </c>
      <c r="AD500" s="34">
        <f>S500*N500</f>
        <v/>
      </c>
      <c r="AE500" s="34">
        <f>E500*N500</f>
        <v/>
      </c>
      <c r="AF500" s="34">
        <f>R500*N500</f>
        <v/>
      </c>
      <c r="AG500" s="29">
        <f>MAX(SumAssured,AA500)</f>
        <v/>
      </c>
      <c r="AH500" s="34">
        <f>AG500*O500</f>
        <v/>
      </c>
      <c r="AI500" s="34">
        <f>AA500*O500</f>
        <v/>
      </c>
      <c r="AJ500" s="34">
        <f>AA500*P500</f>
        <v/>
      </c>
      <c r="AK500" s="34">
        <f>I500*AA500*P500</f>
        <v/>
      </c>
      <c r="AL500" s="34">
        <f>AJ500-AK500</f>
        <v/>
      </c>
      <c r="AM500" s="34">
        <f>Q500*K500</f>
        <v/>
      </c>
      <c r="AN500" s="34">
        <f>AH500+AL500+AM500</f>
        <v/>
      </c>
      <c r="AO500" s="34">
        <f>(AG500-AA500)*O500</f>
        <v/>
      </c>
      <c r="AP500" s="34">
        <f>W500*N500</f>
        <v/>
      </c>
      <c r="AQ500" s="34">
        <f>T500*N500</f>
        <v/>
      </c>
      <c r="AR500" s="34">
        <f>Z500*J501+0.5*Z500*(O500+P500)</f>
        <v/>
      </c>
      <c r="AS500" s="30">
        <f>(1+InflationRate)^(A500/12)</f>
        <v/>
      </c>
      <c r="AT500" s="29">
        <f>ExpenseAcq*M500+N500*ExpenseMaint/12*AS500</f>
        <v/>
      </c>
      <c r="AU500" s="29">
        <f>CommissionRate*AE500</f>
        <v/>
      </c>
      <c r="AV500" s="34">
        <f>AB501-AB500</f>
        <v/>
      </c>
      <c r="AW500" s="34">
        <f>AE500+AR500-AN500-AT500-AU500-AV500</f>
        <v/>
      </c>
      <c r="AX500" s="29">
        <f>LoadPremRate*E500*N500+AK500+AQ500-AU500-AT500</f>
        <v/>
      </c>
      <c r="AY500" s="34">
        <f>AP500-AO500</f>
        <v/>
      </c>
      <c r="AZ500" s="37">
        <f>(AW500-AX500-AY500)/MAX(1,ABS(AW500),ABS(AX500),ABS(AY500))</f>
        <v/>
      </c>
      <c r="BA500" s="37">
        <f>IF(OR(K500&gt;0,K501&gt;0),0,(AC501-(AC500+AF500-AQ500-AP500+AR500-AI500-AJ500-AM500))/MAX(1,ABS(AC500),ABS(AC501)))</f>
        <v/>
      </c>
      <c r="BB500" s="35">
        <f>(1+INDEX(DiscRateAnn,INT(A500/12)+1))^(1/12)-1</f>
        <v/>
      </c>
      <c r="BC500" s="31">
        <f>(1+BB500)^-A500</f>
        <v/>
      </c>
      <c r="BD500" s="34">
        <f>AW500*BC500</f>
        <v/>
      </c>
    </row>
    <row r="501">
      <c r="A501" s="27">
        <f>A500+1</f>
        <v/>
      </c>
      <c r="B501" s="28">
        <f>Duration0+A501</f>
        <v/>
      </c>
      <c r="C501" s="27">
        <f>INT(B501/12)</f>
        <v/>
      </c>
      <c r="D501" s="28">
        <f>AgeAtEntry+C501</f>
        <v/>
      </c>
      <c r="E501" s="29">
        <f>IF(PremiumType="SINGLE",IF(B501=0,PremiumPPInput,0),IF(B501&lt;12*PolicyTerm,PremiumPPInput,0))</f>
        <v/>
      </c>
      <c r="F501" s="30">
        <f>INDEX(MortRates,MATCH(MIN(D501,120),MortAges,0),MAX(MIN(C501,5),0)+1)</f>
        <v/>
      </c>
      <c r="G501" s="31">
        <f>1-(1-F501)^(1/12)</f>
        <v/>
      </c>
      <c r="H501" s="32">
        <f>MAX(LapseBase-LapseStep*C501,LapseFloor)</f>
        <v/>
      </c>
      <c r="I501" s="32">
        <f>IF(HasSurrCharge,INDEX(SurrRates,MIN(C501,SurrDurMax)+1,MATCH(SurrChargeID,SurrTypes,0)),0)</f>
        <v/>
      </c>
      <c r="J501" s="33">
        <f>N500-P500-O500</f>
        <v/>
      </c>
      <c r="K501" s="30">
        <f>IF(B501=12*PolicyTerm,J501,0)</f>
        <v/>
      </c>
      <c r="L501" s="33">
        <f>J501-K501</f>
        <v/>
      </c>
      <c r="M501" s="30">
        <f>IF(B501=0,PolicyCount,0)</f>
        <v/>
      </c>
      <c r="N501" s="33">
        <f>L501+M501</f>
        <v/>
      </c>
      <c r="O501" s="31">
        <f>N501*G501</f>
        <v/>
      </c>
      <c r="P501" s="33">
        <f>(N501-O501)*(1-(1-H501)^(1/12))</f>
        <v/>
      </c>
      <c r="Q501" s="34">
        <f>X500+Z500</f>
        <v/>
      </c>
      <c r="R501" s="29">
        <f>(1-LoadPremRate)*E501</f>
        <v/>
      </c>
      <c r="S501" s="34">
        <f>Q501+R501</f>
        <v/>
      </c>
      <c r="T501" s="29">
        <f>MaintFeeRateAnn/12*S501</f>
        <v/>
      </c>
      <c r="U501" s="29">
        <f>MAX(SumAssured-S501,0)</f>
        <v/>
      </c>
      <c r="V501" s="35">
        <f>CoiMultiple*G501</f>
        <v/>
      </c>
      <c r="W501" s="34">
        <f>V501*U501</f>
        <v/>
      </c>
      <c r="X501" s="34">
        <f>S501-T501-W501</f>
        <v/>
      </c>
      <c r="Y501" s="36">
        <f>EXP((Mu-0.5*Sigma^2)/12+Sigma*SQRT(1/12)*INDEX(NormRand,ScenID,A501+1))-1</f>
        <v/>
      </c>
      <c r="Z501" s="34">
        <f>Y501*X501</f>
        <v/>
      </c>
      <c r="AA501" s="34">
        <f>X501+0.5*Z501</f>
        <v/>
      </c>
      <c r="AB501" s="34">
        <f>Q501*J501</f>
        <v/>
      </c>
      <c r="AC501" s="34">
        <f>Q501*L501</f>
        <v/>
      </c>
      <c r="AD501" s="34">
        <f>S501*N501</f>
        <v/>
      </c>
      <c r="AE501" s="34">
        <f>E501*N501</f>
        <v/>
      </c>
      <c r="AF501" s="34">
        <f>R501*N501</f>
        <v/>
      </c>
      <c r="AG501" s="29">
        <f>MAX(SumAssured,AA501)</f>
        <v/>
      </c>
      <c r="AH501" s="34">
        <f>AG501*O501</f>
        <v/>
      </c>
      <c r="AI501" s="34">
        <f>AA501*O501</f>
        <v/>
      </c>
      <c r="AJ501" s="34">
        <f>AA501*P501</f>
        <v/>
      </c>
      <c r="AK501" s="34">
        <f>I501*AA501*P501</f>
        <v/>
      </c>
      <c r="AL501" s="34">
        <f>AJ501-AK501</f>
        <v/>
      </c>
      <c r="AM501" s="34">
        <f>Q501*K501</f>
        <v/>
      </c>
      <c r="AN501" s="34">
        <f>AH501+AL501+AM501</f>
        <v/>
      </c>
      <c r="AO501" s="34">
        <f>(AG501-AA501)*O501</f>
        <v/>
      </c>
      <c r="AP501" s="34">
        <f>W501*N501</f>
        <v/>
      </c>
      <c r="AQ501" s="34">
        <f>T501*N501</f>
        <v/>
      </c>
      <c r="AR501" s="34">
        <f>Z501*J502+0.5*Z501*(O501+P501)</f>
        <v/>
      </c>
      <c r="AS501" s="30">
        <f>(1+InflationRate)^(A501/12)</f>
        <v/>
      </c>
      <c r="AT501" s="29">
        <f>ExpenseAcq*M501+N501*ExpenseMaint/12*AS501</f>
        <v/>
      </c>
      <c r="AU501" s="29">
        <f>CommissionRate*AE501</f>
        <v/>
      </c>
      <c r="AV501" s="34">
        <f>AB502-AB501</f>
        <v/>
      </c>
      <c r="AW501" s="34">
        <f>AE501+AR501-AN501-AT501-AU501-AV501</f>
        <v/>
      </c>
      <c r="AX501" s="29">
        <f>LoadPremRate*E501*N501+AK501+AQ501-AU501-AT501</f>
        <v/>
      </c>
      <c r="AY501" s="34">
        <f>AP501-AO501</f>
        <v/>
      </c>
      <c r="AZ501" s="37">
        <f>(AW501-AX501-AY501)/MAX(1,ABS(AW501),ABS(AX501),ABS(AY501))</f>
        <v/>
      </c>
      <c r="BA501" s="37">
        <f>IF(OR(K501&gt;0,K502&gt;0),0,(AC502-(AC501+AF501-AQ501-AP501+AR501-AI501-AJ501-AM501))/MAX(1,ABS(AC501),ABS(AC502)))</f>
        <v/>
      </c>
      <c r="BB501" s="35">
        <f>(1+INDEX(DiscRateAnn,INT(A501/12)+1))^(1/12)-1</f>
        <v/>
      </c>
      <c r="BC501" s="31">
        <f>(1+BB501)^-A501</f>
        <v/>
      </c>
      <c r="BD501" s="34">
        <f>AW501*BC501</f>
        <v/>
      </c>
    </row>
    <row r="502">
      <c r="A502" s="27">
        <f>A501+1</f>
        <v/>
      </c>
      <c r="B502" s="28">
        <f>Duration0+A502</f>
        <v/>
      </c>
      <c r="C502" s="27">
        <f>INT(B502/12)</f>
        <v/>
      </c>
      <c r="D502" s="28">
        <f>AgeAtEntry+C502</f>
        <v/>
      </c>
      <c r="E502" s="29">
        <f>IF(PremiumType="SINGLE",IF(B502=0,PremiumPPInput,0),IF(B502&lt;12*PolicyTerm,PremiumPPInput,0))</f>
        <v/>
      </c>
      <c r="F502" s="30">
        <f>INDEX(MortRates,MATCH(MIN(D502,120),MortAges,0),MAX(MIN(C502,5),0)+1)</f>
        <v/>
      </c>
      <c r="G502" s="31">
        <f>1-(1-F502)^(1/12)</f>
        <v/>
      </c>
      <c r="H502" s="32">
        <f>MAX(LapseBase-LapseStep*C502,LapseFloor)</f>
        <v/>
      </c>
      <c r="I502" s="32">
        <f>IF(HasSurrCharge,INDEX(SurrRates,MIN(C502,SurrDurMax)+1,MATCH(SurrChargeID,SurrTypes,0)),0)</f>
        <v/>
      </c>
      <c r="J502" s="33">
        <f>N501-P501-O501</f>
        <v/>
      </c>
      <c r="K502" s="30">
        <f>IF(B502=12*PolicyTerm,J502,0)</f>
        <v/>
      </c>
      <c r="L502" s="33">
        <f>J502-K502</f>
        <v/>
      </c>
      <c r="M502" s="30">
        <f>IF(B502=0,PolicyCount,0)</f>
        <v/>
      </c>
      <c r="N502" s="33">
        <f>L502+M502</f>
        <v/>
      </c>
      <c r="O502" s="31">
        <f>N502*G502</f>
        <v/>
      </c>
      <c r="P502" s="33">
        <f>(N502-O502)*(1-(1-H502)^(1/12))</f>
        <v/>
      </c>
      <c r="Q502" s="34">
        <f>X501+Z501</f>
        <v/>
      </c>
      <c r="R502" s="29">
        <f>(1-LoadPremRate)*E502</f>
        <v/>
      </c>
      <c r="S502" s="34">
        <f>Q502+R502</f>
        <v/>
      </c>
      <c r="T502" s="29">
        <f>MaintFeeRateAnn/12*S502</f>
        <v/>
      </c>
      <c r="U502" s="29">
        <f>MAX(SumAssured-S502,0)</f>
        <v/>
      </c>
      <c r="V502" s="35">
        <f>CoiMultiple*G502</f>
        <v/>
      </c>
      <c r="W502" s="34">
        <f>V502*U502</f>
        <v/>
      </c>
      <c r="X502" s="34">
        <f>S502-T502-W502</f>
        <v/>
      </c>
      <c r="Y502" s="36">
        <f>EXP((Mu-0.5*Sigma^2)/12+Sigma*SQRT(1/12)*INDEX(NormRand,ScenID,A502+1))-1</f>
        <v/>
      </c>
      <c r="Z502" s="34">
        <f>Y502*X502</f>
        <v/>
      </c>
      <c r="AA502" s="34">
        <f>X502+0.5*Z502</f>
        <v/>
      </c>
      <c r="AB502" s="34">
        <f>Q502*J502</f>
        <v/>
      </c>
      <c r="AC502" s="34">
        <f>Q502*L502</f>
        <v/>
      </c>
      <c r="AD502" s="34">
        <f>S502*N502</f>
        <v/>
      </c>
      <c r="AE502" s="34">
        <f>E502*N502</f>
        <v/>
      </c>
      <c r="AF502" s="34">
        <f>R502*N502</f>
        <v/>
      </c>
      <c r="AG502" s="29">
        <f>MAX(SumAssured,AA502)</f>
        <v/>
      </c>
      <c r="AH502" s="34">
        <f>AG502*O502</f>
        <v/>
      </c>
      <c r="AI502" s="34">
        <f>AA502*O502</f>
        <v/>
      </c>
      <c r="AJ502" s="34">
        <f>AA502*P502</f>
        <v/>
      </c>
      <c r="AK502" s="34">
        <f>I502*AA502*P502</f>
        <v/>
      </c>
      <c r="AL502" s="34">
        <f>AJ502-AK502</f>
        <v/>
      </c>
      <c r="AM502" s="34">
        <f>Q502*K502</f>
        <v/>
      </c>
      <c r="AN502" s="34">
        <f>AH502+AL502+AM502</f>
        <v/>
      </c>
      <c r="AO502" s="34">
        <f>(AG502-AA502)*O502</f>
        <v/>
      </c>
      <c r="AP502" s="34">
        <f>W502*N502</f>
        <v/>
      </c>
      <c r="AQ502" s="34">
        <f>T502*N502</f>
        <v/>
      </c>
      <c r="AR502" s="34">
        <f>Z502*J503+0.5*Z502*(O502+P502)</f>
        <v/>
      </c>
      <c r="AS502" s="30">
        <f>(1+InflationRate)^(A502/12)</f>
        <v/>
      </c>
      <c r="AT502" s="29">
        <f>ExpenseAcq*M502+N502*ExpenseMaint/12*AS502</f>
        <v/>
      </c>
      <c r="AU502" s="29">
        <f>CommissionRate*AE502</f>
        <v/>
      </c>
      <c r="AV502" s="34">
        <f>AB503-AB502</f>
        <v/>
      </c>
      <c r="AW502" s="34">
        <f>AE502+AR502-AN502-AT502-AU502-AV502</f>
        <v/>
      </c>
      <c r="AX502" s="29">
        <f>LoadPremRate*E502*N502+AK502+AQ502-AU502-AT502</f>
        <v/>
      </c>
      <c r="AY502" s="34">
        <f>AP502-AO502</f>
        <v/>
      </c>
      <c r="AZ502" s="37">
        <f>(AW502-AX502-AY502)/MAX(1,ABS(AW502),ABS(AX502),ABS(AY502))</f>
        <v/>
      </c>
      <c r="BA502" s="37">
        <f>IF(OR(K502&gt;0,K503&gt;0),0,(AC503-(AC502+AF502-AQ502-AP502+AR502-AI502-AJ502-AM502))/MAX(1,ABS(AC502),ABS(AC503)))</f>
        <v/>
      </c>
      <c r="BB502" s="35">
        <f>(1+INDEX(DiscRateAnn,INT(A502/12)+1))^(1/12)-1</f>
        <v/>
      </c>
      <c r="BC502" s="31">
        <f>(1+BB502)^-A502</f>
        <v/>
      </c>
      <c r="BD502" s="34">
        <f>AW502*BC502</f>
        <v/>
      </c>
    </row>
    <row r="503">
      <c r="A503" s="27">
        <f>A502+1</f>
        <v/>
      </c>
      <c r="B503" s="28">
        <f>Duration0+A503</f>
        <v/>
      </c>
      <c r="C503" s="27">
        <f>INT(B503/12)</f>
        <v/>
      </c>
      <c r="D503" s="28">
        <f>AgeAtEntry+C503</f>
        <v/>
      </c>
      <c r="E503" s="29">
        <f>IF(PremiumType="SINGLE",IF(B503=0,PremiumPPInput,0),IF(B503&lt;12*PolicyTerm,PremiumPPInput,0))</f>
        <v/>
      </c>
      <c r="F503" s="30">
        <f>INDEX(MortRates,MATCH(MIN(D503,120),MortAges,0),MAX(MIN(C503,5),0)+1)</f>
        <v/>
      </c>
      <c r="G503" s="31">
        <f>1-(1-F503)^(1/12)</f>
        <v/>
      </c>
      <c r="H503" s="32">
        <f>MAX(LapseBase-LapseStep*C503,LapseFloor)</f>
        <v/>
      </c>
      <c r="I503" s="32">
        <f>IF(HasSurrCharge,INDEX(SurrRates,MIN(C503,SurrDurMax)+1,MATCH(SurrChargeID,SurrTypes,0)),0)</f>
        <v/>
      </c>
      <c r="J503" s="33">
        <f>N502-P502-O502</f>
        <v/>
      </c>
      <c r="K503" s="30">
        <f>IF(B503=12*PolicyTerm,J503,0)</f>
        <v/>
      </c>
      <c r="L503" s="33">
        <f>J503-K503</f>
        <v/>
      </c>
      <c r="M503" s="30">
        <f>IF(B503=0,PolicyCount,0)</f>
        <v/>
      </c>
      <c r="N503" s="33">
        <f>L503+M503</f>
        <v/>
      </c>
      <c r="O503" s="31">
        <f>N503*G503</f>
        <v/>
      </c>
      <c r="P503" s="33">
        <f>(N503-O503)*(1-(1-H503)^(1/12))</f>
        <v/>
      </c>
      <c r="Q503" s="34">
        <f>X502+Z502</f>
        <v/>
      </c>
      <c r="R503" s="29">
        <f>(1-LoadPremRate)*E503</f>
        <v/>
      </c>
      <c r="S503" s="34">
        <f>Q503+R503</f>
        <v/>
      </c>
      <c r="T503" s="29">
        <f>MaintFeeRateAnn/12*S503</f>
        <v/>
      </c>
      <c r="U503" s="29">
        <f>MAX(SumAssured-S503,0)</f>
        <v/>
      </c>
      <c r="V503" s="35">
        <f>CoiMultiple*G503</f>
        <v/>
      </c>
      <c r="W503" s="34">
        <f>V503*U503</f>
        <v/>
      </c>
      <c r="X503" s="34">
        <f>S503-T503-W503</f>
        <v/>
      </c>
      <c r="Y503" s="36">
        <f>EXP((Mu-0.5*Sigma^2)/12+Sigma*SQRT(1/12)*INDEX(NormRand,ScenID,A503+1))-1</f>
        <v/>
      </c>
      <c r="Z503" s="34">
        <f>Y503*X503</f>
        <v/>
      </c>
      <c r="AA503" s="34">
        <f>X503+0.5*Z503</f>
        <v/>
      </c>
      <c r="AB503" s="34">
        <f>Q503*J503</f>
        <v/>
      </c>
      <c r="AC503" s="34">
        <f>Q503*L503</f>
        <v/>
      </c>
      <c r="AD503" s="34">
        <f>S503*N503</f>
        <v/>
      </c>
      <c r="AE503" s="34">
        <f>E503*N503</f>
        <v/>
      </c>
      <c r="AF503" s="34">
        <f>R503*N503</f>
        <v/>
      </c>
      <c r="AG503" s="29">
        <f>MAX(SumAssured,AA503)</f>
        <v/>
      </c>
      <c r="AH503" s="34">
        <f>AG503*O503</f>
        <v/>
      </c>
      <c r="AI503" s="34">
        <f>AA503*O503</f>
        <v/>
      </c>
      <c r="AJ503" s="34">
        <f>AA503*P503</f>
        <v/>
      </c>
      <c r="AK503" s="34">
        <f>I503*AA503*P503</f>
        <v/>
      </c>
      <c r="AL503" s="34">
        <f>AJ503-AK503</f>
        <v/>
      </c>
      <c r="AM503" s="34">
        <f>Q503*K503</f>
        <v/>
      </c>
      <c r="AN503" s="34">
        <f>AH503+AL503+AM503</f>
        <v/>
      </c>
      <c r="AO503" s="34">
        <f>(AG503-AA503)*O503</f>
        <v/>
      </c>
      <c r="AP503" s="34">
        <f>W503*N503</f>
        <v/>
      </c>
      <c r="AQ503" s="34">
        <f>T503*N503</f>
        <v/>
      </c>
      <c r="AR503" s="34">
        <f>Z503*J504+0.5*Z503*(O503+P503)</f>
        <v/>
      </c>
      <c r="AS503" s="30">
        <f>(1+InflationRate)^(A503/12)</f>
        <v/>
      </c>
      <c r="AT503" s="29">
        <f>ExpenseAcq*M503+N503*ExpenseMaint/12*AS503</f>
        <v/>
      </c>
      <c r="AU503" s="29">
        <f>CommissionRate*AE503</f>
        <v/>
      </c>
      <c r="AV503" s="34">
        <f>AB504-AB503</f>
        <v/>
      </c>
      <c r="AW503" s="34">
        <f>AE503+AR503-AN503-AT503-AU503-AV503</f>
        <v/>
      </c>
      <c r="AX503" s="29">
        <f>LoadPremRate*E503*N503+AK503+AQ503-AU503-AT503</f>
        <v/>
      </c>
      <c r="AY503" s="34">
        <f>AP503-AO503</f>
        <v/>
      </c>
      <c r="AZ503" s="37">
        <f>(AW503-AX503-AY503)/MAX(1,ABS(AW503),ABS(AX503),ABS(AY503))</f>
        <v/>
      </c>
      <c r="BA503" s="37">
        <f>IF(OR(K503&gt;0,K504&gt;0),0,(AC504-(AC503+AF503-AQ503-AP503+AR503-AI503-AJ503-AM503))/MAX(1,ABS(AC503),ABS(AC504)))</f>
        <v/>
      </c>
      <c r="BB503" s="35">
        <f>(1+INDEX(DiscRateAnn,INT(A503/12)+1))^(1/12)-1</f>
        <v/>
      </c>
      <c r="BC503" s="31">
        <f>(1+BB503)^-A503</f>
        <v/>
      </c>
      <c r="BD503" s="34">
        <f>AW503*BC503</f>
        <v/>
      </c>
    </row>
    <row r="504">
      <c r="A504" s="27">
        <f>A503+1</f>
        <v/>
      </c>
      <c r="B504" s="28">
        <f>Duration0+A504</f>
        <v/>
      </c>
      <c r="C504" s="27">
        <f>INT(B504/12)</f>
        <v/>
      </c>
      <c r="D504" s="28">
        <f>AgeAtEntry+C504</f>
        <v/>
      </c>
      <c r="E504" s="29">
        <f>IF(PremiumType="SINGLE",IF(B504=0,PremiumPPInput,0),IF(B504&lt;12*PolicyTerm,PremiumPPInput,0))</f>
        <v/>
      </c>
      <c r="F504" s="30">
        <f>INDEX(MortRates,MATCH(MIN(D504,120),MortAges,0),MAX(MIN(C504,5),0)+1)</f>
        <v/>
      </c>
      <c r="G504" s="31">
        <f>1-(1-F504)^(1/12)</f>
        <v/>
      </c>
      <c r="H504" s="32">
        <f>MAX(LapseBase-LapseStep*C504,LapseFloor)</f>
        <v/>
      </c>
      <c r="I504" s="32">
        <f>IF(HasSurrCharge,INDEX(SurrRates,MIN(C504,SurrDurMax)+1,MATCH(SurrChargeID,SurrTypes,0)),0)</f>
        <v/>
      </c>
      <c r="J504" s="33">
        <f>N503-P503-O503</f>
        <v/>
      </c>
      <c r="K504" s="30">
        <f>IF(B504=12*PolicyTerm,J504,0)</f>
        <v/>
      </c>
      <c r="L504" s="33">
        <f>J504-K504</f>
        <v/>
      </c>
      <c r="M504" s="30">
        <f>IF(B504=0,PolicyCount,0)</f>
        <v/>
      </c>
      <c r="N504" s="33">
        <f>L504+M504</f>
        <v/>
      </c>
      <c r="O504" s="31">
        <f>N504*G504</f>
        <v/>
      </c>
      <c r="P504" s="33">
        <f>(N504-O504)*(1-(1-H504)^(1/12))</f>
        <v/>
      </c>
      <c r="Q504" s="34">
        <f>X503+Z503</f>
        <v/>
      </c>
      <c r="R504" s="29">
        <f>(1-LoadPremRate)*E504</f>
        <v/>
      </c>
      <c r="S504" s="34">
        <f>Q504+R504</f>
        <v/>
      </c>
      <c r="T504" s="29">
        <f>MaintFeeRateAnn/12*S504</f>
        <v/>
      </c>
      <c r="U504" s="29">
        <f>MAX(SumAssured-S504,0)</f>
        <v/>
      </c>
      <c r="V504" s="35">
        <f>CoiMultiple*G504</f>
        <v/>
      </c>
      <c r="W504" s="34">
        <f>V504*U504</f>
        <v/>
      </c>
      <c r="X504" s="34">
        <f>S504-T504-W504</f>
        <v/>
      </c>
      <c r="Y504" s="36">
        <f>EXP((Mu-0.5*Sigma^2)/12+Sigma*SQRT(1/12)*INDEX(NormRand,ScenID,A504+1))-1</f>
        <v/>
      </c>
      <c r="Z504" s="34">
        <f>Y504*X504</f>
        <v/>
      </c>
      <c r="AA504" s="34">
        <f>X504+0.5*Z504</f>
        <v/>
      </c>
      <c r="AB504" s="34">
        <f>Q504*J504</f>
        <v/>
      </c>
      <c r="AC504" s="34">
        <f>Q504*L504</f>
        <v/>
      </c>
      <c r="AD504" s="34">
        <f>S504*N504</f>
        <v/>
      </c>
      <c r="AE504" s="34">
        <f>E504*N504</f>
        <v/>
      </c>
      <c r="AF504" s="34">
        <f>R504*N504</f>
        <v/>
      </c>
      <c r="AG504" s="29">
        <f>MAX(SumAssured,AA504)</f>
        <v/>
      </c>
      <c r="AH504" s="34">
        <f>AG504*O504</f>
        <v/>
      </c>
      <c r="AI504" s="34">
        <f>AA504*O504</f>
        <v/>
      </c>
      <c r="AJ504" s="34">
        <f>AA504*P504</f>
        <v/>
      </c>
      <c r="AK504" s="34">
        <f>I504*AA504*P504</f>
        <v/>
      </c>
      <c r="AL504" s="34">
        <f>AJ504-AK504</f>
        <v/>
      </c>
      <c r="AM504" s="34">
        <f>Q504*K504</f>
        <v/>
      </c>
      <c r="AN504" s="34">
        <f>AH504+AL504+AM504</f>
        <v/>
      </c>
      <c r="AO504" s="34">
        <f>(AG504-AA504)*O504</f>
        <v/>
      </c>
      <c r="AP504" s="34">
        <f>W504*N504</f>
        <v/>
      </c>
      <c r="AQ504" s="34">
        <f>T504*N504</f>
        <v/>
      </c>
      <c r="AR504" s="34">
        <f>Z504*J505+0.5*Z504*(O504+P504)</f>
        <v/>
      </c>
      <c r="AS504" s="30">
        <f>(1+InflationRate)^(A504/12)</f>
        <v/>
      </c>
      <c r="AT504" s="29">
        <f>ExpenseAcq*M504+N504*ExpenseMaint/12*AS504</f>
        <v/>
      </c>
      <c r="AU504" s="29">
        <f>CommissionRate*AE504</f>
        <v/>
      </c>
      <c r="AV504" s="34">
        <f>AB505-AB504</f>
        <v/>
      </c>
      <c r="AW504" s="34">
        <f>AE504+AR504-AN504-AT504-AU504-AV504</f>
        <v/>
      </c>
      <c r="AX504" s="29">
        <f>LoadPremRate*E504*N504+AK504+AQ504-AU504-AT504</f>
        <v/>
      </c>
      <c r="AY504" s="34">
        <f>AP504-AO504</f>
        <v/>
      </c>
      <c r="AZ504" s="37">
        <f>(AW504-AX504-AY504)/MAX(1,ABS(AW504),ABS(AX504),ABS(AY504))</f>
        <v/>
      </c>
      <c r="BA504" s="37">
        <f>IF(OR(K504&gt;0,K505&gt;0),0,(AC505-(AC504+AF504-AQ504-AP504+AR504-AI504-AJ504-AM504))/MAX(1,ABS(AC504),ABS(AC505)))</f>
        <v/>
      </c>
      <c r="BB504" s="35">
        <f>(1+INDEX(DiscRateAnn,INT(A504/12)+1))^(1/12)-1</f>
        <v/>
      </c>
      <c r="BC504" s="31">
        <f>(1+BB504)^-A504</f>
        <v/>
      </c>
      <c r="BD504" s="34">
        <f>AW504*BC504</f>
        <v/>
      </c>
    </row>
    <row r="505">
      <c r="A505" s="27">
        <f>A504+1</f>
        <v/>
      </c>
      <c r="B505" s="28">
        <f>Duration0+A505</f>
        <v/>
      </c>
      <c r="C505" s="27">
        <f>INT(B505/12)</f>
        <v/>
      </c>
      <c r="D505" s="28">
        <f>AgeAtEntry+C505</f>
        <v/>
      </c>
      <c r="E505" s="29">
        <f>IF(PremiumType="SINGLE",IF(B505=0,PremiumPPInput,0),IF(B505&lt;12*PolicyTerm,PremiumPPInput,0))</f>
        <v/>
      </c>
      <c r="F505" s="30">
        <f>INDEX(MortRates,MATCH(MIN(D505,120),MortAges,0),MAX(MIN(C505,5),0)+1)</f>
        <v/>
      </c>
      <c r="G505" s="31">
        <f>1-(1-F505)^(1/12)</f>
        <v/>
      </c>
      <c r="H505" s="32">
        <f>MAX(LapseBase-LapseStep*C505,LapseFloor)</f>
        <v/>
      </c>
      <c r="I505" s="32">
        <f>IF(HasSurrCharge,INDEX(SurrRates,MIN(C505,SurrDurMax)+1,MATCH(SurrChargeID,SurrTypes,0)),0)</f>
        <v/>
      </c>
      <c r="J505" s="33">
        <f>N504-P504-O504</f>
        <v/>
      </c>
      <c r="K505" s="30">
        <f>IF(B505=12*PolicyTerm,J505,0)</f>
        <v/>
      </c>
      <c r="L505" s="33">
        <f>J505-K505</f>
        <v/>
      </c>
      <c r="M505" s="30">
        <f>IF(B505=0,PolicyCount,0)</f>
        <v/>
      </c>
      <c r="N505" s="33">
        <f>L505+M505</f>
        <v/>
      </c>
      <c r="O505" s="31">
        <f>N505*G505</f>
        <v/>
      </c>
      <c r="P505" s="33">
        <f>(N505-O505)*(1-(1-H505)^(1/12))</f>
        <v/>
      </c>
      <c r="Q505" s="34">
        <f>X504+Z504</f>
        <v/>
      </c>
      <c r="R505" s="29">
        <f>(1-LoadPremRate)*E505</f>
        <v/>
      </c>
      <c r="S505" s="34">
        <f>Q505+R505</f>
        <v/>
      </c>
      <c r="T505" s="29">
        <f>MaintFeeRateAnn/12*S505</f>
        <v/>
      </c>
      <c r="U505" s="29">
        <f>MAX(SumAssured-S505,0)</f>
        <v/>
      </c>
      <c r="V505" s="35">
        <f>CoiMultiple*G505</f>
        <v/>
      </c>
      <c r="W505" s="34">
        <f>V505*U505</f>
        <v/>
      </c>
      <c r="X505" s="34">
        <f>S505-T505-W505</f>
        <v/>
      </c>
      <c r="Y505" s="36">
        <f>EXP((Mu-0.5*Sigma^2)/12+Sigma*SQRT(1/12)*INDEX(NormRand,ScenID,A505+1))-1</f>
        <v/>
      </c>
      <c r="Z505" s="34">
        <f>Y505*X505</f>
        <v/>
      </c>
      <c r="AA505" s="34">
        <f>X505+0.5*Z505</f>
        <v/>
      </c>
      <c r="AB505" s="34">
        <f>Q505*J505</f>
        <v/>
      </c>
      <c r="AC505" s="34">
        <f>Q505*L505</f>
        <v/>
      </c>
      <c r="AD505" s="34">
        <f>S505*N505</f>
        <v/>
      </c>
      <c r="AE505" s="34">
        <f>E505*N505</f>
        <v/>
      </c>
      <c r="AF505" s="34">
        <f>R505*N505</f>
        <v/>
      </c>
      <c r="AG505" s="29">
        <f>MAX(SumAssured,AA505)</f>
        <v/>
      </c>
      <c r="AH505" s="34">
        <f>AG505*O505</f>
        <v/>
      </c>
      <c r="AI505" s="34">
        <f>AA505*O505</f>
        <v/>
      </c>
      <c r="AJ505" s="34">
        <f>AA505*P505</f>
        <v/>
      </c>
      <c r="AK505" s="34">
        <f>I505*AA505*P505</f>
        <v/>
      </c>
      <c r="AL505" s="34">
        <f>AJ505-AK505</f>
        <v/>
      </c>
      <c r="AM505" s="34">
        <f>Q505*K505</f>
        <v/>
      </c>
      <c r="AN505" s="34">
        <f>AH505+AL505+AM505</f>
        <v/>
      </c>
      <c r="AO505" s="34">
        <f>(AG505-AA505)*O505</f>
        <v/>
      </c>
      <c r="AP505" s="34">
        <f>W505*N505</f>
        <v/>
      </c>
      <c r="AQ505" s="34">
        <f>T505*N505</f>
        <v/>
      </c>
      <c r="AR505" s="34">
        <f>Z505*J506+0.5*Z505*(O505+P505)</f>
        <v/>
      </c>
      <c r="AS505" s="30">
        <f>(1+InflationRate)^(A505/12)</f>
        <v/>
      </c>
      <c r="AT505" s="29">
        <f>ExpenseAcq*M505+N505*ExpenseMaint/12*AS505</f>
        <v/>
      </c>
      <c r="AU505" s="29">
        <f>CommissionRate*AE505</f>
        <v/>
      </c>
      <c r="AV505" s="34">
        <f>AB506-AB505</f>
        <v/>
      </c>
      <c r="AW505" s="34">
        <f>AE505+AR505-AN505-AT505-AU505-AV505</f>
        <v/>
      </c>
      <c r="AX505" s="29">
        <f>LoadPremRate*E505*N505+AK505+AQ505-AU505-AT505</f>
        <v/>
      </c>
      <c r="AY505" s="34">
        <f>AP505-AO505</f>
        <v/>
      </c>
      <c r="AZ505" s="37">
        <f>(AW505-AX505-AY505)/MAX(1,ABS(AW505),ABS(AX505),ABS(AY505))</f>
        <v/>
      </c>
      <c r="BA505" s="37">
        <f>IF(OR(K505&gt;0,K506&gt;0),0,(AC506-(AC505+AF505-AQ505-AP505+AR505-AI505-AJ505-AM505))/MAX(1,ABS(AC505),ABS(AC506)))</f>
        <v/>
      </c>
      <c r="BB505" s="35">
        <f>(1+INDEX(DiscRateAnn,INT(A505/12)+1))^(1/12)-1</f>
        <v/>
      </c>
      <c r="BC505" s="31">
        <f>(1+BB505)^-A505</f>
        <v/>
      </c>
      <c r="BD505" s="34">
        <f>AW505*BC505</f>
        <v/>
      </c>
    </row>
    <row r="506">
      <c r="A506" s="27">
        <f>A505+1</f>
        <v/>
      </c>
      <c r="B506" s="28">
        <f>Duration0+A506</f>
        <v/>
      </c>
      <c r="C506" s="27">
        <f>INT(B506/12)</f>
        <v/>
      </c>
      <c r="D506" s="28">
        <f>AgeAtEntry+C506</f>
        <v/>
      </c>
      <c r="E506" s="29">
        <f>IF(PremiumType="SINGLE",IF(B506=0,PremiumPPInput,0),IF(B506&lt;12*PolicyTerm,PremiumPPInput,0))</f>
        <v/>
      </c>
      <c r="F506" s="30">
        <f>INDEX(MortRates,MATCH(MIN(D506,120),MortAges,0),MAX(MIN(C506,5),0)+1)</f>
        <v/>
      </c>
      <c r="G506" s="31">
        <f>1-(1-F506)^(1/12)</f>
        <v/>
      </c>
      <c r="H506" s="32">
        <f>MAX(LapseBase-LapseStep*C506,LapseFloor)</f>
        <v/>
      </c>
      <c r="I506" s="32">
        <f>IF(HasSurrCharge,INDEX(SurrRates,MIN(C506,SurrDurMax)+1,MATCH(SurrChargeID,SurrTypes,0)),0)</f>
        <v/>
      </c>
      <c r="J506" s="33">
        <f>N505-P505-O505</f>
        <v/>
      </c>
      <c r="K506" s="30">
        <f>IF(B506=12*PolicyTerm,J506,0)</f>
        <v/>
      </c>
      <c r="L506" s="33">
        <f>J506-K506</f>
        <v/>
      </c>
      <c r="M506" s="30">
        <f>IF(B506=0,PolicyCount,0)</f>
        <v/>
      </c>
      <c r="N506" s="33">
        <f>L506+M506</f>
        <v/>
      </c>
      <c r="O506" s="31">
        <f>N506*G506</f>
        <v/>
      </c>
      <c r="P506" s="33">
        <f>(N506-O506)*(1-(1-H506)^(1/12))</f>
        <v/>
      </c>
      <c r="Q506" s="34">
        <f>X505+Z505</f>
        <v/>
      </c>
      <c r="R506" s="29">
        <f>(1-LoadPremRate)*E506</f>
        <v/>
      </c>
      <c r="S506" s="34">
        <f>Q506+R506</f>
        <v/>
      </c>
      <c r="T506" s="29">
        <f>MaintFeeRateAnn/12*S506</f>
        <v/>
      </c>
      <c r="U506" s="29">
        <f>MAX(SumAssured-S506,0)</f>
        <v/>
      </c>
      <c r="V506" s="35">
        <f>CoiMultiple*G506</f>
        <v/>
      </c>
      <c r="W506" s="34">
        <f>V506*U506</f>
        <v/>
      </c>
      <c r="X506" s="34">
        <f>S506-T506-W506</f>
        <v/>
      </c>
      <c r="Y506" s="36">
        <f>EXP((Mu-0.5*Sigma^2)/12+Sigma*SQRT(1/12)*INDEX(NormRand,ScenID,A506+1))-1</f>
        <v/>
      </c>
      <c r="Z506" s="34">
        <f>Y506*X506</f>
        <v/>
      </c>
      <c r="AA506" s="34">
        <f>X506+0.5*Z506</f>
        <v/>
      </c>
      <c r="AB506" s="34">
        <f>Q506*J506</f>
        <v/>
      </c>
      <c r="AC506" s="34">
        <f>Q506*L506</f>
        <v/>
      </c>
      <c r="AD506" s="34">
        <f>S506*N506</f>
        <v/>
      </c>
      <c r="AE506" s="34">
        <f>E506*N506</f>
        <v/>
      </c>
      <c r="AF506" s="34">
        <f>R506*N506</f>
        <v/>
      </c>
      <c r="AG506" s="29">
        <f>MAX(SumAssured,AA506)</f>
        <v/>
      </c>
      <c r="AH506" s="34">
        <f>AG506*O506</f>
        <v/>
      </c>
      <c r="AI506" s="34">
        <f>AA506*O506</f>
        <v/>
      </c>
      <c r="AJ506" s="34">
        <f>AA506*P506</f>
        <v/>
      </c>
      <c r="AK506" s="34">
        <f>I506*AA506*P506</f>
        <v/>
      </c>
      <c r="AL506" s="34">
        <f>AJ506-AK506</f>
        <v/>
      </c>
      <c r="AM506" s="34">
        <f>Q506*K506</f>
        <v/>
      </c>
      <c r="AN506" s="34">
        <f>AH506+AL506+AM506</f>
        <v/>
      </c>
      <c r="AO506" s="34">
        <f>(AG506-AA506)*O506</f>
        <v/>
      </c>
      <c r="AP506" s="34">
        <f>W506*N506</f>
        <v/>
      </c>
      <c r="AQ506" s="34">
        <f>T506*N506</f>
        <v/>
      </c>
      <c r="AR506" s="34">
        <f>Z506*J507+0.5*Z506*(O506+P506)</f>
        <v/>
      </c>
      <c r="AS506" s="30">
        <f>(1+InflationRate)^(A506/12)</f>
        <v/>
      </c>
      <c r="AT506" s="29">
        <f>ExpenseAcq*M506+N506*ExpenseMaint/12*AS506</f>
        <v/>
      </c>
      <c r="AU506" s="29">
        <f>CommissionRate*AE506</f>
        <v/>
      </c>
      <c r="AV506" s="34">
        <f>AB507-AB506</f>
        <v/>
      </c>
      <c r="AW506" s="34">
        <f>AE506+AR506-AN506-AT506-AU506-AV506</f>
        <v/>
      </c>
      <c r="AX506" s="29">
        <f>LoadPremRate*E506*N506+AK506+AQ506-AU506-AT506</f>
        <v/>
      </c>
      <c r="AY506" s="34">
        <f>AP506-AO506</f>
        <v/>
      </c>
      <c r="AZ506" s="37">
        <f>(AW506-AX506-AY506)/MAX(1,ABS(AW506),ABS(AX506),ABS(AY506))</f>
        <v/>
      </c>
      <c r="BA506" s="37">
        <f>IF(OR(K506&gt;0,K507&gt;0),0,(AC507-(AC506+AF506-AQ506-AP506+AR506-AI506-AJ506-AM506))/MAX(1,ABS(AC506),ABS(AC507)))</f>
        <v/>
      </c>
      <c r="BB506" s="35">
        <f>(1+INDEX(DiscRateAnn,INT(A506/12)+1))^(1/12)-1</f>
        <v/>
      </c>
      <c r="BC506" s="31">
        <f>(1+BB506)^-A506</f>
        <v/>
      </c>
      <c r="BD506" s="34">
        <f>AW506*BC506</f>
        <v/>
      </c>
    </row>
    <row r="507">
      <c r="A507" s="27">
        <f>A506+1</f>
        <v/>
      </c>
      <c r="B507" s="28">
        <f>Duration0+A507</f>
        <v/>
      </c>
      <c r="C507" s="27">
        <f>INT(B507/12)</f>
        <v/>
      </c>
      <c r="D507" s="28">
        <f>AgeAtEntry+C507</f>
        <v/>
      </c>
      <c r="E507" s="29">
        <f>IF(PremiumType="SINGLE",IF(B507=0,PremiumPPInput,0),IF(B507&lt;12*PolicyTerm,PremiumPPInput,0))</f>
        <v/>
      </c>
      <c r="F507" s="30">
        <f>INDEX(MortRates,MATCH(MIN(D507,120),MortAges,0),MAX(MIN(C507,5),0)+1)</f>
        <v/>
      </c>
      <c r="G507" s="31">
        <f>1-(1-F507)^(1/12)</f>
        <v/>
      </c>
      <c r="H507" s="32">
        <f>MAX(LapseBase-LapseStep*C507,LapseFloor)</f>
        <v/>
      </c>
      <c r="I507" s="32">
        <f>IF(HasSurrCharge,INDEX(SurrRates,MIN(C507,SurrDurMax)+1,MATCH(SurrChargeID,SurrTypes,0)),0)</f>
        <v/>
      </c>
      <c r="J507" s="33">
        <f>N506-P506-O506</f>
        <v/>
      </c>
      <c r="K507" s="30">
        <f>IF(B507=12*PolicyTerm,J507,0)</f>
        <v/>
      </c>
      <c r="L507" s="33">
        <f>J507-K507</f>
        <v/>
      </c>
      <c r="M507" s="30">
        <f>IF(B507=0,PolicyCount,0)</f>
        <v/>
      </c>
      <c r="N507" s="33">
        <f>L507+M507</f>
        <v/>
      </c>
      <c r="O507" s="31">
        <f>N507*G507</f>
        <v/>
      </c>
      <c r="P507" s="33">
        <f>(N507-O507)*(1-(1-H507)^(1/12))</f>
        <v/>
      </c>
      <c r="Q507" s="34">
        <f>X506+Z506</f>
        <v/>
      </c>
      <c r="R507" s="29">
        <f>(1-LoadPremRate)*E507</f>
        <v/>
      </c>
      <c r="S507" s="34">
        <f>Q507+R507</f>
        <v/>
      </c>
      <c r="T507" s="29">
        <f>MaintFeeRateAnn/12*S507</f>
        <v/>
      </c>
      <c r="U507" s="29">
        <f>MAX(SumAssured-S507,0)</f>
        <v/>
      </c>
      <c r="V507" s="35">
        <f>CoiMultiple*G507</f>
        <v/>
      </c>
      <c r="W507" s="34">
        <f>V507*U507</f>
        <v/>
      </c>
      <c r="X507" s="34">
        <f>S507-T507-W507</f>
        <v/>
      </c>
      <c r="Y507" s="36">
        <f>EXP((Mu-0.5*Sigma^2)/12+Sigma*SQRT(1/12)*INDEX(NormRand,ScenID,A507+1))-1</f>
        <v/>
      </c>
      <c r="Z507" s="34">
        <f>Y507*X507</f>
        <v/>
      </c>
      <c r="AA507" s="34">
        <f>X507+0.5*Z507</f>
        <v/>
      </c>
      <c r="AB507" s="34">
        <f>Q507*J507</f>
        <v/>
      </c>
      <c r="AC507" s="34">
        <f>Q507*L507</f>
        <v/>
      </c>
      <c r="AD507" s="34">
        <f>S507*N507</f>
        <v/>
      </c>
      <c r="AE507" s="34">
        <f>E507*N507</f>
        <v/>
      </c>
      <c r="AF507" s="34">
        <f>R507*N507</f>
        <v/>
      </c>
      <c r="AG507" s="29">
        <f>MAX(SumAssured,AA507)</f>
        <v/>
      </c>
      <c r="AH507" s="34">
        <f>AG507*O507</f>
        <v/>
      </c>
      <c r="AI507" s="34">
        <f>AA507*O507</f>
        <v/>
      </c>
      <c r="AJ507" s="34">
        <f>AA507*P507</f>
        <v/>
      </c>
      <c r="AK507" s="34">
        <f>I507*AA507*P507</f>
        <v/>
      </c>
      <c r="AL507" s="34">
        <f>AJ507-AK507</f>
        <v/>
      </c>
      <c r="AM507" s="34">
        <f>Q507*K507</f>
        <v/>
      </c>
      <c r="AN507" s="34">
        <f>AH507+AL507+AM507</f>
        <v/>
      </c>
      <c r="AO507" s="34">
        <f>(AG507-AA507)*O507</f>
        <v/>
      </c>
      <c r="AP507" s="34">
        <f>W507*N507</f>
        <v/>
      </c>
      <c r="AQ507" s="34">
        <f>T507*N507</f>
        <v/>
      </c>
      <c r="AR507" s="34">
        <f>Z507*J508+0.5*Z507*(O507+P507)</f>
        <v/>
      </c>
      <c r="AS507" s="30">
        <f>(1+InflationRate)^(A507/12)</f>
        <v/>
      </c>
      <c r="AT507" s="29">
        <f>ExpenseAcq*M507+N507*ExpenseMaint/12*AS507</f>
        <v/>
      </c>
      <c r="AU507" s="29">
        <f>CommissionRate*AE507</f>
        <v/>
      </c>
      <c r="AV507" s="34">
        <f>AB508-AB507</f>
        <v/>
      </c>
      <c r="AW507" s="34">
        <f>AE507+AR507-AN507-AT507-AU507-AV507</f>
        <v/>
      </c>
      <c r="AX507" s="29">
        <f>LoadPremRate*E507*N507+AK507+AQ507-AU507-AT507</f>
        <v/>
      </c>
      <c r="AY507" s="34">
        <f>AP507-AO507</f>
        <v/>
      </c>
      <c r="AZ507" s="37">
        <f>(AW507-AX507-AY507)/MAX(1,ABS(AW507),ABS(AX507),ABS(AY507))</f>
        <v/>
      </c>
      <c r="BA507" s="37">
        <f>IF(OR(K507&gt;0,K508&gt;0),0,(AC508-(AC507+AF507-AQ507-AP507+AR507-AI507-AJ507-AM507))/MAX(1,ABS(AC507),ABS(AC508)))</f>
        <v/>
      </c>
      <c r="BB507" s="35">
        <f>(1+INDEX(DiscRateAnn,INT(A507/12)+1))^(1/12)-1</f>
        <v/>
      </c>
      <c r="BC507" s="31">
        <f>(1+BB507)^-A507</f>
        <v/>
      </c>
      <c r="BD507" s="34">
        <f>AW507*BC507</f>
        <v/>
      </c>
    </row>
    <row r="508">
      <c r="A508" s="27">
        <f>A507+1</f>
        <v/>
      </c>
      <c r="B508" s="28">
        <f>Duration0+A508</f>
        <v/>
      </c>
      <c r="C508" s="27">
        <f>INT(B508/12)</f>
        <v/>
      </c>
      <c r="D508" s="28">
        <f>AgeAtEntry+C508</f>
        <v/>
      </c>
      <c r="E508" s="29">
        <f>IF(PremiumType="SINGLE",IF(B508=0,PremiumPPInput,0),IF(B508&lt;12*PolicyTerm,PremiumPPInput,0))</f>
        <v/>
      </c>
      <c r="F508" s="30">
        <f>INDEX(MortRates,MATCH(MIN(D508,120),MortAges,0),MAX(MIN(C508,5),0)+1)</f>
        <v/>
      </c>
      <c r="G508" s="31">
        <f>1-(1-F508)^(1/12)</f>
        <v/>
      </c>
      <c r="H508" s="32">
        <f>MAX(LapseBase-LapseStep*C508,LapseFloor)</f>
        <v/>
      </c>
      <c r="I508" s="32">
        <f>IF(HasSurrCharge,INDEX(SurrRates,MIN(C508,SurrDurMax)+1,MATCH(SurrChargeID,SurrTypes,0)),0)</f>
        <v/>
      </c>
      <c r="J508" s="33">
        <f>N507-P507-O507</f>
        <v/>
      </c>
      <c r="K508" s="30">
        <f>IF(B508=12*PolicyTerm,J508,0)</f>
        <v/>
      </c>
      <c r="L508" s="33">
        <f>J508-K508</f>
        <v/>
      </c>
      <c r="M508" s="30">
        <f>IF(B508=0,PolicyCount,0)</f>
        <v/>
      </c>
      <c r="N508" s="33">
        <f>L508+M508</f>
        <v/>
      </c>
      <c r="O508" s="31">
        <f>N508*G508</f>
        <v/>
      </c>
      <c r="P508" s="33">
        <f>(N508-O508)*(1-(1-H508)^(1/12))</f>
        <v/>
      </c>
      <c r="Q508" s="34">
        <f>X507+Z507</f>
        <v/>
      </c>
      <c r="R508" s="29">
        <f>(1-LoadPremRate)*E508</f>
        <v/>
      </c>
      <c r="S508" s="34">
        <f>Q508+R508</f>
        <v/>
      </c>
      <c r="T508" s="29">
        <f>MaintFeeRateAnn/12*S508</f>
        <v/>
      </c>
      <c r="U508" s="29">
        <f>MAX(SumAssured-S508,0)</f>
        <v/>
      </c>
      <c r="V508" s="35">
        <f>CoiMultiple*G508</f>
        <v/>
      </c>
      <c r="W508" s="34">
        <f>V508*U508</f>
        <v/>
      </c>
      <c r="X508" s="34">
        <f>S508-T508-W508</f>
        <v/>
      </c>
      <c r="Y508" s="36">
        <f>EXP((Mu-0.5*Sigma^2)/12+Sigma*SQRT(1/12)*INDEX(NormRand,ScenID,A508+1))-1</f>
        <v/>
      </c>
      <c r="Z508" s="34">
        <f>Y508*X508</f>
        <v/>
      </c>
      <c r="AA508" s="34">
        <f>X508+0.5*Z508</f>
        <v/>
      </c>
      <c r="AB508" s="34">
        <f>Q508*J508</f>
        <v/>
      </c>
      <c r="AC508" s="34">
        <f>Q508*L508</f>
        <v/>
      </c>
      <c r="AD508" s="34">
        <f>S508*N508</f>
        <v/>
      </c>
      <c r="AE508" s="34">
        <f>E508*N508</f>
        <v/>
      </c>
      <c r="AF508" s="34">
        <f>R508*N508</f>
        <v/>
      </c>
      <c r="AG508" s="29">
        <f>MAX(SumAssured,AA508)</f>
        <v/>
      </c>
      <c r="AH508" s="34">
        <f>AG508*O508</f>
        <v/>
      </c>
      <c r="AI508" s="34">
        <f>AA508*O508</f>
        <v/>
      </c>
      <c r="AJ508" s="34">
        <f>AA508*P508</f>
        <v/>
      </c>
      <c r="AK508" s="34">
        <f>I508*AA508*P508</f>
        <v/>
      </c>
      <c r="AL508" s="34">
        <f>AJ508-AK508</f>
        <v/>
      </c>
      <c r="AM508" s="34">
        <f>Q508*K508</f>
        <v/>
      </c>
      <c r="AN508" s="34">
        <f>AH508+AL508+AM508</f>
        <v/>
      </c>
      <c r="AO508" s="34">
        <f>(AG508-AA508)*O508</f>
        <v/>
      </c>
      <c r="AP508" s="34">
        <f>W508*N508</f>
        <v/>
      </c>
      <c r="AQ508" s="34">
        <f>T508*N508</f>
        <v/>
      </c>
      <c r="AR508" s="34">
        <f>Z508*J509+0.5*Z508*(O508+P508)</f>
        <v/>
      </c>
      <c r="AS508" s="30">
        <f>(1+InflationRate)^(A508/12)</f>
        <v/>
      </c>
      <c r="AT508" s="29">
        <f>ExpenseAcq*M508+N508*ExpenseMaint/12*AS508</f>
        <v/>
      </c>
      <c r="AU508" s="29">
        <f>CommissionRate*AE508</f>
        <v/>
      </c>
      <c r="AV508" s="34">
        <f>AB509-AB508</f>
        <v/>
      </c>
      <c r="AW508" s="34">
        <f>AE508+AR508-AN508-AT508-AU508-AV508</f>
        <v/>
      </c>
      <c r="AX508" s="29">
        <f>LoadPremRate*E508*N508+AK508+AQ508-AU508-AT508</f>
        <v/>
      </c>
      <c r="AY508" s="34">
        <f>AP508-AO508</f>
        <v/>
      </c>
      <c r="AZ508" s="37">
        <f>(AW508-AX508-AY508)/MAX(1,ABS(AW508),ABS(AX508),ABS(AY508))</f>
        <v/>
      </c>
      <c r="BA508" s="37">
        <f>IF(OR(K508&gt;0,K509&gt;0),0,(AC509-(AC508+AF508-AQ508-AP508+AR508-AI508-AJ508-AM508))/MAX(1,ABS(AC508),ABS(AC509)))</f>
        <v/>
      </c>
      <c r="BB508" s="35">
        <f>(1+INDEX(DiscRateAnn,INT(A508/12)+1))^(1/12)-1</f>
        <v/>
      </c>
      <c r="BC508" s="31">
        <f>(1+BB508)^-A508</f>
        <v/>
      </c>
      <c r="BD508" s="34">
        <f>AW508*BC508</f>
        <v/>
      </c>
    </row>
    <row r="509">
      <c r="A509" s="27">
        <f>A508+1</f>
        <v/>
      </c>
      <c r="B509" s="28">
        <f>Duration0+A509</f>
        <v/>
      </c>
      <c r="C509" s="27">
        <f>INT(B509/12)</f>
        <v/>
      </c>
      <c r="D509" s="28">
        <f>AgeAtEntry+C509</f>
        <v/>
      </c>
      <c r="E509" s="29">
        <f>IF(PremiumType="SINGLE",IF(B509=0,PremiumPPInput,0),IF(B509&lt;12*PolicyTerm,PremiumPPInput,0))</f>
        <v/>
      </c>
      <c r="F509" s="30">
        <f>INDEX(MortRates,MATCH(MIN(D509,120),MortAges,0),MAX(MIN(C509,5),0)+1)</f>
        <v/>
      </c>
      <c r="G509" s="31">
        <f>1-(1-F509)^(1/12)</f>
        <v/>
      </c>
      <c r="H509" s="32">
        <f>MAX(LapseBase-LapseStep*C509,LapseFloor)</f>
        <v/>
      </c>
      <c r="I509" s="32">
        <f>IF(HasSurrCharge,INDEX(SurrRates,MIN(C509,SurrDurMax)+1,MATCH(SurrChargeID,SurrTypes,0)),0)</f>
        <v/>
      </c>
      <c r="J509" s="33">
        <f>N508-P508-O508</f>
        <v/>
      </c>
      <c r="K509" s="30">
        <f>IF(B509=12*PolicyTerm,J509,0)</f>
        <v/>
      </c>
      <c r="L509" s="33">
        <f>J509-K509</f>
        <v/>
      </c>
      <c r="M509" s="30">
        <f>IF(B509=0,PolicyCount,0)</f>
        <v/>
      </c>
      <c r="N509" s="33">
        <f>L509+M509</f>
        <v/>
      </c>
      <c r="O509" s="31">
        <f>N509*G509</f>
        <v/>
      </c>
      <c r="P509" s="33">
        <f>(N509-O509)*(1-(1-H509)^(1/12))</f>
        <v/>
      </c>
      <c r="Q509" s="34">
        <f>X508+Z508</f>
        <v/>
      </c>
      <c r="R509" s="29">
        <f>(1-LoadPremRate)*E509</f>
        <v/>
      </c>
      <c r="S509" s="34">
        <f>Q509+R509</f>
        <v/>
      </c>
      <c r="T509" s="29">
        <f>MaintFeeRateAnn/12*S509</f>
        <v/>
      </c>
      <c r="U509" s="29">
        <f>MAX(SumAssured-S509,0)</f>
        <v/>
      </c>
      <c r="V509" s="35">
        <f>CoiMultiple*G509</f>
        <v/>
      </c>
      <c r="W509" s="34">
        <f>V509*U509</f>
        <v/>
      </c>
      <c r="X509" s="34">
        <f>S509-T509-W509</f>
        <v/>
      </c>
      <c r="Y509" s="36">
        <f>EXP((Mu-0.5*Sigma^2)/12+Sigma*SQRT(1/12)*INDEX(NormRand,ScenID,A509+1))-1</f>
        <v/>
      </c>
      <c r="Z509" s="34">
        <f>Y509*X509</f>
        <v/>
      </c>
      <c r="AA509" s="34">
        <f>X509+0.5*Z509</f>
        <v/>
      </c>
      <c r="AB509" s="34">
        <f>Q509*J509</f>
        <v/>
      </c>
      <c r="AC509" s="34">
        <f>Q509*L509</f>
        <v/>
      </c>
      <c r="AD509" s="34">
        <f>S509*N509</f>
        <v/>
      </c>
      <c r="AE509" s="34">
        <f>E509*N509</f>
        <v/>
      </c>
      <c r="AF509" s="34">
        <f>R509*N509</f>
        <v/>
      </c>
      <c r="AG509" s="29">
        <f>MAX(SumAssured,AA509)</f>
        <v/>
      </c>
      <c r="AH509" s="34">
        <f>AG509*O509</f>
        <v/>
      </c>
      <c r="AI509" s="34">
        <f>AA509*O509</f>
        <v/>
      </c>
      <c r="AJ509" s="34">
        <f>AA509*P509</f>
        <v/>
      </c>
      <c r="AK509" s="34">
        <f>I509*AA509*P509</f>
        <v/>
      </c>
      <c r="AL509" s="34">
        <f>AJ509-AK509</f>
        <v/>
      </c>
      <c r="AM509" s="34">
        <f>Q509*K509</f>
        <v/>
      </c>
      <c r="AN509" s="34">
        <f>AH509+AL509+AM509</f>
        <v/>
      </c>
      <c r="AO509" s="34">
        <f>(AG509-AA509)*O509</f>
        <v/>
      </c>
      <c r="AP509" s="34">
        <f>W509*N509</f>
        <v/>
      </c>
      <c r="AQ509" s="34">
        <f>T509*N509</f>
        <v/>
      </c>
      <c r="AR509" s="34">
        <f>Z509*J510+0.5*Z509*(O509+P509)</f>
        <v/>
      </c>
      <c r="AS509" s="30">
        <f>(1+InflationRate)^(A509/12)</f>
        <v/>
      </c>
      <c r="AT509" s="29">
        <f>ExpenseAcq*M509+N509*ExpenseMaint/12*AS509</f>
        <v/>
      </c>
      <c r="AU509" s="29">
        <f>CommissionRate*AE509</f>
        <v/>
      </c>
      <c r="AV509" s="34">
        <f>AB510-AB509</f>
        <v/>
      </c>
      <c r="AW509" s="34">
        <f>AE509+AR509-AN509-AT509-AU509-AV509</f>
        <v/>
      </c>
      <c r="AX509" s="29">
        <f>LoadPremRate*E509*N509+AK509+AQ509-AU509-AT509</f>
        <v/>
      </c>
      <c r="AY509" s="34">
        <f>AP509-AO509</f>
        <v/>
      </c>
      <c r="AZ509" s="37">
        <f>(AW509-AX509-AY509)/MAX(1,ABS(AW509),ABS(AX509),ABS(AY509))</f>
        <v/>
      </c>
      <c r="BA509" s="37">
        <f>IF(OR(K509&gt;0,K510&gt;0),0,(AC510-(AC509+AF509-AQ509-AP509+AR509-AI509-AJ509-AM509))/MAX(1,ABS(AC509),ABS(AC510)))</f>
        <v/>
      </c>
      <c r="BB509" s="35">
        <f>(1+INDEX(DiscRateAnn,INT(A509/12)+1))^(1/12)-1</f>
        <v/>
      </c>
      <c r="BC509" s="31">
        <f>(1+BB509)^-A509</f>
        <v/>
      </c>
      <c r="BD509" s="34">
        <f>AW509*BC509</f>
        <v/>
      </c>
    </row>
    <row r="510">
      <c r="A510" s="27">
        <f>A509+1</f>
        <v/>
      </c>
      <c r="B510" s="28">
        <f>Duration0+A510</f>
        <v/>
      </c>
      <c r="C510" s="27">
        <f>INT(B510/12)</f>
        <v/>
      </c>
      <c r="D510" s="28">
        <f>AgeAtEntry+C510</f>
        <v/>
      </c>
      <c r="E510" s="29">
        <f>IF(PremiumType="SINGLE",IF(B510=0,PremiumPPInput,0),IF(B510&lt;12*PolicyTerm,PremiumPPInput,0))</f>
        <v/>
      </c>
      <c r="F510" s="30">
        <f>INDEX(MortRates,MATCH(MIN(D510,120),MortAges,0),MAX(MIN(C510,5),0)+1)</f>
        <v/>
      </c>
      <c r="G510" s="31">
        <f>1-(1-F510)^(1/12)</f>
        <v/>
      </c>
      <c r="H510" s="32">
        <f>MAX(LapseBase-LapseStep*C510,LapseFloor)</f>
        <v/>
      </c>
      <c r="I510" s="32">
        <f>IF(HasSurrCharge,INDEX(SurrRates,MIN(C510,SurrDurMax)+1,MATCH(SurrChargeID,SurrTypes,0)),0)</f>
        <v/>
      </c>
      <c r="J510" s="33">
        <f>N509-P509-O509</f>
        <v/>
      </c>
      <c r="K510" s="30">
        <f>IF(B510=12*PolicyTerm,J510,0)</f>
        <v/>
      </c>
      <c r="L510" s="33">
        <f>J510-K510</f>
        <v/>
      </c>
      <c r="M510" s="30">
        <f>IF(B510=0,PolicyCount,0)</f>
        <v/>
      </c>
      <c r="N510" s="33">
        <f>L510+M510</f>
        <v/>
      </c>
      <c r="O510" s="31">
        <f>N510*G510</f>
        <v/>
      </c>
      <c r="P510" s="33">
        <f>(N510-O510)*(1-(1-H510)^(1/12))</f>
        <v/>
      </c>
      <c r="Q510" s="34">
        <f>X509+Z509</f>
        <v/>
      </c>
      <c r="R510" s="29">
        <f>(1-LoadPremRate)*E510</f>
        <v/>
      </c>
      <c r="S510" s="34">
        <f>Q510+R510</f>
        <v/>
      </c>
      <c r="T510" s="29">
        <f>MaintFeeRateAnn/12*S510</f>
        <v/>
      </c>
      <c r="U510" s="29">
        <f>MAX(SumAssured-S510,0)</f>
        <v/>
      </c>
      <c r="V510" s="35">
        <f>CoiMultiple*G510</f>
        <v/>
      </c>
      <c r="W510" s="34">
        <f>V510*U510</f>
        <v/>
      </c>
      <c r="X510" s="34">
        <f>S510-T510-W510</f>
        <v/>
      </c>
      <c r="Y510" s="36">
        <f>EXP((Mu-0.5*Sigma^2)/12+Sigma*SQRT(1/12)*INDEX(NormRand,ScenID,A510+1))-1</f>
        <v/>
      </c>
      <c r="Z510" s="34">
        <f>Y510*X510</f>
        <v/>
      </c>
      <c r="AA510" s="34">
        <f>X510+0.5*Z510</f>
        <v/>
      </c>
      <c r="AB510" s="34">
        <f>Q510*J510</f>
        <v/>
      </c>
      <c r="AC510" s="34">
        <f>Q510*L510</f>
        <v/>
      </c>
      <c r="AD510" s="34">
        <f>S510*N510</f>
        <v/>
      </c>
      <c r="AE510" s="34">
        <f>E510*N510</f>
        <v/>
      </c>
      <c r="AF510" s="34">
        <f>R510*N510</f>
        <v/>
      </c>
      <c r="AG510" s="29">
        <f>MAX(SumAssured,AA510)</f>
        <v/>
      </c>
      <c r="AH510" s="34">
        <f>AG510*O510</f>
        <v/>
      </c>
      <c r="AI510" s="34">
        <f>AA510*O510</f>
        <v/>
      </c>
      <c r="AJ510" s="34">
        <f>AA510*P510</f>
        <v/>
      </c>
      <c r="AK510" s="34">
        <f>I510*AA510*P510</f>
        <v/>
      </c>
      <c r="AL510" s="34">
        <f>AJ510-AK510</f>
        <v/>
      </c>
      <c r="AM510" s="34">
        <f>Q510*K510</f>
        <v/>
      </c>
      <c r="AN510" s="34">
        <f>AH510+AL510+AM510</f>
        <v/>
      </c>
      <c r="AO510" s="34">
        <f>(AG510-AA510)*O510</f>
        <v/>
      </c>
      <c r="AP510" s="34">
        <f>W510*N510</f>
        <v/>
      </c>
      <c r="AQ510" s="34">
        <f>T510*N510</f>
        <v/>
      </c>
      <c r="AR510" s="34">
        <f>Z510*J511+0.5*Z510*(O510+P510)</f>
        <v/>
      </c>
      <c r="AS510" s="30">
        <f>(1+InflationRate)^(A510/12)</f>
        <v/>
      </c>
      <c r="AT510" s="29">
        <f>ExpenseAcq*M510+N510*ExpenseMaint/12*AS510</f>
        <v/>
      </c>
      <c r="AU510" s="29">
        <f>CommissionRate*AE510</f>
        <v/>
      </c>
      <c r="AV510" s="34">
        <f>AB511-AB510</f>
        <v/>
      </c>
      <c r="AW510" s="34">
        <f>AE510+AR510-AN510-AT510-AU510-AV510</f>
        <v/>
      </c>
      <c r="AX510" s="29">
        <f>LoadPremRate*E510*N510+AK510+AQ510-AU510-AT510</f>
        <v/>
      </c>
      <c r="AY510" s="34">
        <f>AP510-AO510</f>
        <v/>
      </c>
      <c r="AZ510" s="37">
        <f>(AW510-AX510-AY510)/MAX(1,ABS(AW510),ABS(AX510),ABS(AY510))</f>
        <v/>
      </c>
      <c r="BA510" s="37">
        <f>IF(OR(K510&gt;0,K511&gt;0),0,(AC511-(AC510+AF510-AQ510-AP510+AR510-AI510-AJ510-AM510))/MAX(1,ABS(AC510),ABS(AC511)))</f>
        <v/>
      </c>
      <c r="BB510" s="35">
        <f>(1+INDEX(DiscRateAnn,INT(A510/12)+1))^(1/12)-1</f>
        <v/>
      </c>
      <c r="BC510" s="31">
        <f>(1+BB510)^-A510</f>
        <v/>
      </c>
      <c r="BD510" s="34">
        <f>AW510*BC510</f>
        <v/>
      </c>
    </row>
    <row r="511">
      <c r="A511" s="27">
        <f>A510+1</f>
        <v/>
      </c>
      <c r="B511" s="28">
        <f>Duration0+A511</f>
        <v/>
      </c>
      <c r="C511" s="27">
        <f>INT(B511/12)</f>
        <v/>
      </c>
      <c r="D511" s="28">
        <f>AgeAtEntry+C511</f>
        <v/>
      </c>
      <c r="E511" s="29">
        <f>IF(PremiumType="SINGLE",IF(B511=0,PremiumPPInput,0),IF(B511&lt;12*PolicyTerm,PremiumPPInput,0))</f>
        <v/>
      </c>
      <c r="F511" s="30">
        <f>INDEX(MortRates,MATCH(MIN(D511,120),MortAges,0),MAX(MIN(C511,5),0)+1)</f>
        <v/>
      </c>
      <c r="G511" s="31">
        <f>1-(1-F511)^(1/12)</f>
        <v/>
      </c>
      <c r="H511" s="32">
        <f>MAX(LapseBase-LapseStep*C511,LapseFloor)</f>
        <v/>
      </c>
      <c r="I511" s="32">
        <f>IF(HasSurrCharge,INDEX(SurrRates,MIN(C511,SurrDurMax)+1,MATCH(SurrChargeID,SurrTypes,0)),0)</f>
        <v/>
      </c>
      <c r="J511" s="33">
        <f>N510-P510-O510</f>
        <v/>
      </c>
      <c r="K511" s="30">
        <f>IF(B511=12*PolicyTerm,J511,0)</f>
        <v/>
      </c>
      <c r="L511" s="33">
        <f>J511-K511</f>
        <v/>
      </c>
      <c r="M511" s="30">
        <f>IF(B511=0,PolicyCount,0)</f>
        <v/>
      </c>
      <c r="N511" s="33">
        <f>L511+M511</f>
        <v/>
      </c>
      <c r="O511" s="31">
        <f>N511*G511</f>
        <v/>
      </c>
      <c r="P511" s="33">
        <f>(N511-O511)*(1-(1-H511)^(1/12))</f>
        <v/>
      </c>
      <c r="Q511" s="34">
        <f>X510+Z510</f>
        <v/>
      </c>
      <c r="R511" s="29">
        <f>(1-LoadPremRate)*E511</f>
        <v/>
      </c>
      <c r="S511" s="34">
        <f>Q511+R511</f>
        <v/>
      </c>
      <c r="T511" s="29">
        <f>MaintFeeRateAnn/12*S511</f>
        <v/>
      </c>
      <c r="U511" s="29">
        <f>MAX(SumAssured-S511,0)</f>
        <v/>
      </c>
      <c r="V511" s="35">
        <f>CoiMultiple*G511</f>
        <v/>
      </c>
      <c r="W511" s="34">
        <f>V511*U511</f>
        <v/>
      </c>
      <c r="X511" s="34">
        <f>S511-T511-W511</f>
        <v/>
      </c>
      <c r="Y511" s="36">
        <f>EXP((Mu-0.5*Sigma^2)/12+Sigma*SQRT(1/12)*INDEX(NormRand,ScenID,A511+1))-1</f>
        <v/>
      </c>
      <c r="Z511" s="34">
        <f>Y511*X511</f>
        <v/>
      </c>
      <c r="AA511" s="34">
        <f>X511+0.5*Z511</f>
        <v/>
      </c>
      <c r="AB511" s="34">
        <f>Q511*J511</f>
        <v/>
      </c>
      <c r="AC511" s="34">
        <f>Q511*L511</f>
        <v/>
      </c>
      <c r="AD511" s="34">
        <f>S511*N511</f>
        <v/>
      </c>
      <c r="AE511" s="34">
        <f>E511*N511</f>
        <v/>
      </c>
      <c r="AF511" s="34">
        <f>R511*N511</f>
        <v/>
      </c>
      <c r="AG511" s="29">
        <f>MAX(SumAssured,AA511)</f>
        <v/>
      </c>
      <c r="AH511" s="34">
        <f>AG511*O511</f>
        <v/>
      </c>
      <c r="AI511" s="34">
        <f>AA511*O511</f>
        <v/>
      </c>
      <c r="AJ511" s="34">
        <f>AA511*P511</f>
        <v/>
      </c>
      <c r="AK511" s="34">
        <f>I511*AA511*P511</f>
        <v/>
      </c>
      <c r="AL511" s="34">
        <f>AJ511-AK511</f>
        <v/>
      </c>
      <c r="AM511" s="34">
        <f>Q511*K511</f>
        <v/>
      </c>
      <c r="AN511" s="34">
        <f>AH511+AL511+AM511</f>
        <v/>
      </c>
      <c r="AO511" s="34">
        <f>(AG511-AA511)*O511</f>
        <v/>
      </c>
      <c r="AP511" s="34">
        <f>W511*N511</f>
        <v/>
      </c>
      <c r="AQ511" s="34">
        <f>T511*N511</f>
        <v/>
      </c>
      <c r="AR511" s="34">
        <f>Z511*J512+0.5*Z511*(O511+P511)</f>
        <v/>
      </c>
      <c r="AS511" s="30">
        <f>(1+InflationRate)^(A511/12)</f>
        <v/>
      </c>
      <c r="AT511" s="29">
        <f>ExpenseAcq*M511+N511*ExpenseMaint/12*AS511</f>
        <v/>
      </c>
      <c r="AU511" s="29">
        <f>CommissionRate*AE511</f>
        <v/>
      </c>
      <c r="AV511" s="34">
        <f>AB512-AB511</f>
        <v/>
      </c>
      <c r="AW511" s="34">
        <f>AE511+AR511-AN511-AT511-AU511-AV511</f>
        <v/>
      </c>
      <c r="AX511" s="29">
        <f>LoadPremRate*E511*N511+AK511+AQ511-AU511-AT511</f>
        <v/>
      </c>
      <c r="AY511" s="34">
        <f>AP511-AO511</f>
        <v/>
      </c>
      <c r="AZ511" s="37">
        <f>(AW511-AX511-AY511)/MAX(1,ABS(AW511),ABS(AX511),ABS(AY511))</f>
        <v/>
      </c>
      <c r="BA511" s="37">
        <f>IF(OR(K511&gt;0,K512&gt;0),0,(AC512-(AC511+AF511-AQ511-AP511+AR511-AI511-AJ511-AM511))/MAX(1,ABS(AC511),ABS(AC512)))</f>
        <v/>
      </c>
      <c r="BB511" s="35">
        <f>(1+INDEX(DiscRateAnn,INT(A511/12)+1))^(1/12)-1</f>
        <v/>
      </c>
      <c r="BC511" s="31">
        <f>(1+BB511)^-A511</f>
        <v/>
      </c>
      <c r="BD511" s="34">
        <f>AW511*BC511</f>
        <v/>
      </c>
    </row>
    <row r="512">
      <c r="A512" s="27">
        <f>A511+1</f>
        <v/>
      </c>
      <c r="B512" s="28">
        <f>Duration0+A512</f>
        <v/>
      </c>
      <c r="C512" s="27">
        <f>INT(B512/12)</f>
        <v/>
      </c>
      <c r="D512" s="28">
        <f>AgeAtEntry+C512</f>
        <v/>
      </c>
      <c r="E512" s="29">
        <f>IF(PremiumType="SINGLE",IF(B512=0,PremiumPPInput,0),IF(B512&lt;12*PolicyTerm,PremiumPPInput,0))</f>
        <v/>
      </c>
      <c r="F512" s="30">
        <f>INDEX(MortRates,MATCH(MIN(D512,120),MortAges,0),MAX(MIN(C512,5),0)+1)</f>
        <v/>
      </c>
      <c r="G512" s="31">
        <f>1-(1-F512)^(1/12)</f>
        <v/>
      </c>
      <c r="H512" s="32">
        <f>MAX(LapseBase-LapseStep*C512,LapseFloor)</f>
        <v/>
      </c>
      <c r="I512" s="32">
        <f>IF(HasSurrCharge,INDEX(SurrRates,MIN(C512,SurrDurMax)+1,MATCH(SurrChargeID,SurrTypes,0)),0)</f>
        <v/>
      </c>
      <c r="J512" s="33">
        <f>N511-P511-O511</f>
        <v/>
      </c>
      <c r="K512" s="30">
        <f>IF(B512=12*PolicyTerm,J512,0)</f>
        <v/>
      </c>
      <c r="L512" s="33">
        <f>J512-K512</f>
        <v/>
      </c>
      <c r="M512" s="30">
        <f>IF(B512=0,PolicyCount,0)</f>
        <v/>
      </c>
      <c r="N512" s="33">
        <f>L512+M512</f>
        <v/>
      </c>
      <c r="O512" s="31">
        <f>N512*G512</f>
        <v/>
      </c>
      <c r="P512" s="33">
        <f>(N512-O512)*(1-(1-H512)^(1/12))</f>
        <v/>
      </c>
      <c r="Q512" s="34">
        <f>X511+Z511</f>
        <v/>
      </c>
      <c r="R512" s="29">
        <f>(1-LoadPremRate)*E512</f>
        <v/>
      </c>
      <c r="S512" s="34">
        <f>Q512+R512</f>
        <v/>
      </c>
      <c r="T512" s="29">
        <f>MaintFeeRateAnn/12*S512</f>
        <v/>
      </c>
      <c r="U512" s="29">
        <f>MAX(SumAssured-S512,0)</f>
        <v/>
      </c>
      <c r="V512" s="35">
        <f>CoiMultiple*G512</f>
        <v/>
      </c>
      <c r="W512" s="34">
        <f>V512*U512</f>
        <v/>
      </c>
      <c r="X512" s="34">
        <f>S512-T512-W512</f>
        <v/>
      </c>
      <c r="Y512" s="36">
        <f>EXP((Mu-0.5*Sigma^2)/12+Sigma*SQRT(1/12)*INDEX(NormRand,ScenID,A512+1))-1</f>
        <v/>
      </c>
      <c r="Z512" s="34">
        <f>Y512*X512</f>
        <v/>
      </c>
      <c r="AA512" s="34">
        <f>X512+0.5*Z512</f>
        <v/>
      </c>
      <c r="AB512" s="34">
        <f>Q512*J512</f>
        <v/>
      </c>
      <c r="AC512" s="34">
        <f>Q512*L512</f>
        <v/>
      </c>
      <c r="AD512" s="34">
        <f>S512*N512</f>
        <v/>
      </c>
      <c r="AE512" s="34">
        <f>E512*N512</f>
        <v/>
      </c>
      <c r="AF512" s="34">
        <f>R512*N512</f>
        <v/>
      </c>
      <c r="AG512" s="29">
        <f>MAX(SumAssured,AA512)</f>
        <v/>
      </c>
      <c r="AH512" s="34">
        <f>AG512*O512</f>
        <v/>
      </c>
      <c r="AI512" s="34">
        <f>AA512*O512</f>
        <v/>
      </c>
      <c r="AJ512" s="34">
        <f>AA512*P512</f>
        <v/>
      </c>
      <c r="AK512" s="34">
        <f>I512*AA512*P512</f>
        <v/>
      </c>
      <c r="AL512" s="34">
        <f>AJ512-AK512</f>
        <v/>
      </c>
      <c r="AM512" s="34">
        <f>Q512*K512</f>
        <v/>
      </c>
      <c r="AN512" s="34">
        <f>AH512+AL512+AM512</f>
        <v/>
      </c>
      <c r="AO512" s="34">
        <f>(AG512-AA512)*O512</f>
        <v/>
      </c>
      <c r="AP512" s="34">
        <f>W512*N512</f>
        <v/>
      </c>
      <c r="AQ512" s="34">
        <f>T512*N512</f>
        <v/>
      </c>
      <c r="AR512" s="34">
        <f>Z512*J513+0.5*Z512*(O512+P512)</f>
        <v/>
      </c>
      <c r="AS512" s="30">
        <f>(1+InflationRate)^(A512/12)</f>
        <v/>
      </c>
      <c r="AT512" s="29">
        <f>ExpenseAcq*M512+N512*ExpenseMaint/12*AS512</f>
        <v/>
      </c>
      <c r="AU512" s="29">
        <f>CommissionRate*AE512</f>
        <v/>
      </c>
      <c r="AV512" s="34">
        <f>AB513-AB512</f>
        <v/>
      </c>
      <c r="AW512" s="34">
        <f>AE512+AR512-AN512-AT512-AU512-AV512</f>
        <v/>
      </c>
      <c r="AX512" s="29">
        <f>LoadPremRate*E512*N512+AK512+AQ512-AU512-AT512</f>
        <v/>
      </c>
      <c r="AY512" s="34">
        <f>AP512-AO512</f>
        <v/>
      </c>
      <c r="AZ512" s="37">
        <f>(AW512-AX512-AY512)/MAX(1,ABS(AW512),ABS(AX512),ABS(AY512))</f>
        <v/>
      </c>
      <c r="BA512" s="37">
        <f>IF(OR(K512&gt;0,K513&gt;0),0,(AC513-(AC512+AF512-AQ512-AP512+AR512-AI512-AJ512-AM512))/MAX(1,ABS(AC512),ABS(AC513)))</f>
        <v/>
      </c>
      <c r="BB512" s="35">
        <f>(1+INDEX(DiscRateAnn,INT(A512/12)+1))^(1/12)-1</f>
        <v/>
      </c>
      <c r="BC512" s="31">
        <f>(1+BB512)^-A512</f>
        <v/>
      </c>
      <c r="BD512" s="34">
        <f>AW512*BC512</f>
        <v/>
      </c>
    </row>
    <row r="513">
      <c r="A513" s="27">
        <f>A512+1</f>
        <v/>
      </c>
      <c r="B513" s="28">
        <f>Duration0+A513</f>
        <v/>
      </c>
      <c r="C513" s="27">
        <f>INT(B513/12)</f>
        <v/>
      </c>
      <c r="D513" s="28">
        <f>AgeAtEntry+C513</f>
        <v/>
      </c>
      <c r="E513" s="29">
        <f>IF(PremiumType="SINGLE",IF(B513=0,PremiumPPInput,0),IF(B513&lt;12*PolicyTerm,PremiumPPInput,0))</f>
        <v/>
      </c>
      <c r="F513" s="30">
        <f>INDEX(MortRates,MATCH(MIN(D513,120),MortAges,0),MAX(MIN(C513,5),0)+1)</f>
        <v/>
      </c>
      <c r="G513" s="31">
        <f>1-(1-F513)^(1/12)</f>
        <v/>
      </c>
      <c r="H513" s="32">
        <f>MAX(LapseBase-LapseStep*C513,LapseFloor)</f>
        <v/>
      </c>
      <c r="I513" s="32">
        <f>IF(HasSurrCharge,INDEX(SurrRates,MIN(C513,SurrDurMax)+1,MATCH(SurrChargeID,SurrTypes,0)),0)</f>
        <v/>
      </c>
      <c r="J513" s="33">
        <f>N512-P512-O512</f>
        <v/>
      </c>
      <c r="K513" s="30">
        <f>IF(B513=12*PolicyTerm,J513,0)</f>
        <v/>
      </c>
      <c r="L513" s="33">
        <f>J513-K513</f>
        <v/>
      </c>
      <c r="M513" s="30">
        <f>IF(B513=0,PolicyCount,0)</f>
        <v/>
      </c>
      <c r="N513" s="33">
        <f>L513+M513</f>
        <v/>
      </c>
      <c r="O513" s="31">
        <f>N513*G513</f>
        <v/>
      </c>
      <c r="P513" s="33">
        <f>(N513-O513)*(1-(1-H513)^(1/12))</f>
        <v/>
      </c>
      <c r="Q513" s="34">
        <f>X512+Z512</f>
        <v/>
      </c>
      <c r="R513" s="29">
        <f>(1-LoadPremRate)*E513</f>
        <v/>
      </c>
      <c r="S513" s="34">
        <f>Q513+R513</f>
        <v/>
      </c>
      <c r="T513" s="29">
        <f>MaintFeeRateAnn/12*S513</f>
        <v/>
      </c>
      <c r="U513" s="29">
        <f>MAX(SumAssured-S513,0)</f>
        <v/>
      </c>
      <c r="V513" s="35">
        <f>CoiMultiple*G513</f>
        <v/>
      </c>
      <c r="W513" s="34">
        <f>V513*U513</f>
        <v/>
      </c>
      <c r="X513" s="34">
        <f>S513-T513-W513</f>
        <v/>
      </c>
      <c r="Y513" s="36">
        <f>EXP((Mu-0.5*Sigma^2)/12+Sigma*SQRT(1/12)*INDEX(NormRand,ScenID,A513+1))-1</f>
        <v/>
      </c>
      <c r="Z513" s="34">
        <f>Y513*X513</f>
        <v/>
      </c>
      <c r="AA513" s="34">
        <f>X513+0.5*Z513</f>
        <v/>
      </c>
      <c r="AB513" s="34">
        <f>Q513*J513</f>
        <v/>
      </c>
      <c r="AC513" s="34">
        <f>Q513*L513</f>
        <v/>
      </c>
      <c r="AD513" s="34">
        <f>S513*N513</f>
        <v/>
      </c>
      <c r="AE513" s="34">
        <f>E513*N513</f>
        <v/>
      </c>
      <c r="AF513" s="34">
        <f>R513*N513</f>
        <v/>
      </c>
      <c r="AG513" s="29">
        <f>MAX(SumAssured,AA513)</f>
        <v/>
      </c>
      <c r="AH513" s="34">
        <f>AG513*O513</f>
        <v/>
      </c>
      <c r="AI513" s="34">
        <f>AA513*O513</f>
        <v/>
      </c>
      <c r="AJ513" s="34">
        <f>AA513*P513</f>
        <v/>
      </c>
      <c r="AK513" s="34">
        <f>I513*AA513*P513</f>
        <v/>
      </c>
      <c r="AL513" s="34">
        <f>AJ513-AK513</f>
        <v/>
      </c>
      <c r="AM513" s="34">
        <f>Q513*K513</f>
        <v/>
      </c>
      <c r="AN513" s="34">
        <f>AH513+AL513+AM513</f>
        <v/>
      </c>
      <c r="AO513" s="34">
        <f>(AG513-AA513)*O513</f>
        <v/>
      </c>
      <c r="AP513" s="34">
        <f>W513*N513</f>
        <v/>
      </c>
      <c r="AQ513" s="34">
        <f>T513*N513</f>
        <v/>
      </c>
      <c r="AR513" s="34">
        <f>Z513*J514+0.5*Z513*(O513+P513)</f>
        <v/>
      </c>
      <c r="AS513" s="30">
        <f>(1+InflationRate)^(A513/12)</f>
        <v/>
      </c>
      <c r="AT513" s="29">
        <f>ExpenseAcq*M513+N513*ExpenseMaint/12*AS513</f>
        <v/>
      </c>
      <c r="AU513" s="29">
        <f>CommissionRate*AE513</f>
        <v/>
      </c>
      <c r="AV513" s="34">
        <f>AB514-AB513</f>
        <v/>
      </c>
      <c r="AW513" s="34">
        <f>AE513+AR513-AN513-AT513-AU513-AV513</f>
        <v/>
      </c>
      <c r="AX513" s="29">
        <f>LoadPremRate*E513*N513+AK513+AQ513-AU513-AT513</f>
        <v/>
      </c>
      <c r="AY513" s="34">
        <f>AP513-AO513</f>
        <v/>
      </c>
      <c r="AZ513" s="37">
        <f>(AW513-AX513-AY513)/MAX(1,ABS(AW513),ABS(AX513),ABS(AY513))</f>
        <v/>
      </c>
      <c r="BA513" s="37">
        <f>IF(OR(K513&gt;0,K514&gt;0),0,(AC514-(AC513+AF513-AQ513-AP513+AR513-AI513-AJ513-AM513))/MAX(1,ABS(AC513),ABS(AC514)))</f>
        <v/>
      </c>
      <c r="BB513" s="35">
        <f>(1+INDEX(DiscRateAnn,INT(A513/12)+1))^(1/12)-1</f>
        <v/>
      </c>
      <c r="BC513" s="31">
        <f>(1+BB513)^-A513</f>
        <v/>
      </c>
      <c r="BD513" s="34">
        <f>AW513*BC513</f>
        <v/>
      </c>
    </row>
    <row r="514">
      <c r="A514" s="27">
        <f>A513+1</f>
        <v/>
      </c>
      <c r="B514" s="28">
        <f>Duration0+A514</f>
        <v/>
      </c>
      <c r="C514" s="27">
        <f>INT(B514/12)</f>
        <v/>
      </c>
      <c r="D514" s="28">
        <f>AgeAtEntry+C514</f>
        <v/>
      </c>
      <c r="E514" s="29">
        <f>IF(PremiumType="SINGLE",IF(B514=0,PremiumPPInput,0),IF(B514&lt;12*PolicyTerm,PremiumPPInput,0))</f>
        <v/>
      </c>
      <c r="F514" s="30">
        <f>INDEX(MortRates,MATCH(MIN(D514,120),MortAges,0),MAX(MIN(C514,5),0)+1)</f>
        <v/>
      </c>
      <c r="G514" s="31">
        <f>1-(1-F514)^(1/12)</f>
        <v/>
      </c>
      <c r="H514" s="32">
        <f>MAX(LapseBase-LapseStep*C514,LapseFloor)</f>
        <v/>
      </c>
      <c r="I514" s="32">
        <f>IF(HasSurrCharge,INDEX(SurrRates,MIN(C514,SurrDurMax)+1,MATCH(SurrChargeID,SurrTypes,0)),0)</f>
        <v/>
      </c>
      <c r="J514" s="33">
        <f>N513-P513-O513</f>
        <v/>
      </c>
      <c r="K514" s="30">
        <f>IF(B514=12*PolicyTerm,J514,0)</f>
        <v/>
      </c>
      <c r="L514" s="33">
        <f>J514-K514</f>
        <v/>
      </c>
      <c r="M514" s="30">
        <f>IF(B514=0,PolicyCount,0)</f>
        <v/>
      </c>
      <c r="N514" s="33">
        <f>L514+M514</f>
        <v/>
      </c>
      <c r="O514" s="31">
        <f>N514*G514</f>
        <v/>
      </c>
      <c r="P514" s="33">
        <f>(N514-O514)*(1-(1-H514)^(1/12))</f>
        <v/>
      </c>
      <c r="Q514" s="34">
        <f>X513+Z513</f>
        <v/>
      </c>
      <c r="R514" s="29">
        <f>(1-LoadPremRate)*E514</f>
        <v/>
      </c>
      <c r="S514" s="34">
        <f>Q514+R514</f>
        <v/>
      </c>
      <c r="T514" s="29">
        <f>MaintFeeRateAnn/12*S514</f>
        <v/>
      </c>
      <c r="U514" s="29">
        <f>MAX(SumAssured-S514,0)</f>
        <v/>
      </c>
      <c r="V514" s="35">
        <f>CoiMultiple*G514</f>
        <v/>
      </c>
      <c r="W514" s="34">
        <f>V514*U514</f>
        <v/>
      </c>
      <c r="X514" s="34">
        <f>S514-T514-W514</f>
        <v/>
      </c>
      <c r="Y514" s="36">
        <f>EXP((Mu-0.5*Sigma^2)/12+Sigma*SQRT(1/12)*INDEX(NormRand,ScenID,A514+1))-1</f>
        <v/>
      </c>
      <c r="Z514" s="34">
        <f>Y514*X514</f>
        <v/>
      </c>
      <c r="AA514" s="34">
        <f>X514+0.5*Z514</f>
        <v/>
      </c>
      <c r="AB514" s="34">
        <f>Q514*J514</f>
        <v/>
      </c>
      <c r="AC514" s="34">
        <f>Q514*L514</f>
        <v/>
      </c>
      <c r="AD514" s="34">
        <f>S514*N514</f>
        <v/>
      </c>
      <c r="AE514" s="34">
        <f>E514*N514</f>
        <v/>
      </c>
      <c r="AF514" s="34">
        <f>R514*N514</f>
        <v/>
      </c>
      <c r="AG514" s="29">
        <f>MAX(SumAssured,AA514)</f>
        <v/>
      </c>
      <c r="AH514" s="34">
        <f>AG514*O514</f>
        <v/>
      </c>
      <c r="AI514" s="34">
        <f>AA514*O514</f>
        <v/>
      </c>
      <c r="AJ514" s="34">
        <f>AA514*P514</f>
        <v/>
      </c>
      <c r="AK514" s="34">
        <f>I514*AA514*P514</f>
        <v/>
      </c>
      <c r="AL514" s="34">
        <f>AJ514-AK514</f>
        <v/>
      </c>
      <c r="AM514" s="34">
        <f>Q514*K514</f>
        <v/>
      </c>
      <c r="AN514" s="34">
        <f>AH514+AL514+AM514</f>
        <v/>
      </c>
      <c r="AO514" s="34">
        <f>(AG514-AA514)*O514</f>
        <v/>
      </c>
      <c r="AP514" s="34">
        <f>W514*N514</f>
        <v/>
      </c>
      <c r="AQ514" s="34">
        <f>T514*N514</f>
        <v/>
      </c>
      <c r="AR514" s="34">
        <f>Z514*J515+0.5*Z514*(O514+P514)</f>
        <v/>
      </c>
      <c r="AS514" s="30">
        <f>(1+InflationRate)^(A514/12)</f>
        <v/>
      </c>
      <c r="AT514" s="29">
        <f>ExpenseAcq*M514+N514*ExpenseMaint/12*AS514</f>
        <v/>
      </c>
      <c r="AU514" s="29">
        <f>CommissionRate*AE514</f>
        <v/>
      </c>
      <c r="AV514" s="34">
        <f>AB515-AB514</f>
        <v/>
      </c>
      <c r="AW514" s="34">
        <f>AE514+AR514-AN514-AT514-AU514-AV514</f>
        <v/>
      </c>
      <c r="AX514" s="29">
        <f>LoadPremRate*E514*N514+AK514+AQ514-AU514-AT514</f>
        <v/>
      </c>
      <c r="AY514" s="34">
        <f>AP514-AO514</f>
        <v/>
      </c>
      <c r="AZ514" s="37">
        <f>(AW514-AX514-AY514)/MAX(1,ABS(AW514),ABS(AX514),ABS(AY514))</f>
        <v/>
      </c>
      <c r="BA514" s="37">
        <f>IF(OR(K514&gt;0,K515&gt;0),0,(AC515-(AC514+AF514-AQ514-AP514+AR514-AI514-AJ514-AM514))/MAX(1,ABS(AC514),ABS(AC515)))</f>
        <v/>
      </c>
      <c r="BB514" s="35">
        <f>(1+INDEX(DiscRateAnn,INT(A514/12)+1))^(1/12)-1</f>
        <v/>
      </c>
      <c r="BC514" s="31">
        <f>(1+BB514)^-A514</f>
        <v/>
      </c>
      <c r="BD514" s="34">
        <f>AW514*BC514</f>
        <v/>
      </c>
    </row>
    <row r="515">
      <c r="A515" s="27">
        <f>A514+1</f>
        <v/>
      </c>
      <c r="B515" s="28">
        <f>Duration0+A515</f>
        <v/>
      </c>
      <c r="C515" s="27">
        <f>INT(B515/12)</f>
        <v/>
      </c>
      <c r="D515" s="28">
        <f>AgeAtEntry+C515</f>
        <v/>
      </c>
      <c r="E515" s="29">
        <f>IF(PremiumType="SINGLE",IF(B515=0,PremiumPPInput,0),IF(B515&lt;12*PolicyTerm,PremiumPPInput,0))</f>
        <v/>
      </c>
      <c r="F515" s="30">
        <f>INDEX(MortRates,MATCH(MIN(D515,120),MortAges,0),MAX(MIN(C515,5),0)+1)</f>
        <v/>
      </c>
      <c r="G515" s="31">
        <f>1-(1-F515)^(1/12)</f>
        <v/>
      </c>
      <c r="H515" s="32">
        <f>MAX(LapseBase-LapseStep*C515,LapseFloor)</f>
        <v/>
      </c>
      <c r="I515" s="32">
        <f>IF(HasSurrCharge,INDEX(SurrRates,MIN(C515,SurrDurMax)+1,MATCH(SurrChargeID,SurrTypes,0)),0)</f>
        <v/>
      </c>
      <c r="J515" s="33">
        <f>N514-P514-O514</f>
        <v/>
      </c>
      <c r="K515" s="30">
        <f>IF(B515=12*PolicyTerm,J515,0)</f>
        <v/>
      </c>
      <c r="L515" s="33">
        <f>J515-K515</f>
        <v/>
      </c>
      <c r="M515" s="30">
        <f>IF(B515=0,PolicyCount,0)</f>
        <v/>
      </c>
      <c r="N515" s="33">
        <f>L515+M515</f>
        <v/>
      </c>
      <c r="O515" s="31">
        <f>N515*G515</f>
        <v/>
      </c>
      <c r="P515" s="33">
        <f>(N515-O515)*(1-(1-H515)^(1/12))</f>
        <v/>
      </c>
      <c r="Q515" s="34">
        <f>X514+Z514</f>
        <v/>
      </c>
      <c r="R515" s="29">
        <f>(1-LoadPremRate)*E515</f>
        <v/>
      </c>
      <c r="S515" s="34">
        <f>Q515+R515</f>
        <v/>
      </c>
      <c r="T515" s="29">
        <f>MaintFeeRateAnn/12*S515</f>
        <v/>
      </c>
      <c r="U515" s="29">
        <f>MAX(SumAssured-S515,0)</f>
        <v/>
      </c>
      <c r="V515" s="35">
        <f>CoiMultiple*G515</f>
        <v/>
      </c>
      <c r="W515" s="34">
        <f>V515*U515</f>
        <v/>
      </c>
      <c r="X515" s="34">
        <f>S515-T515-W515</f>
        <v/>
      </c>
      <c r="Y515" s="36">
        <f>EXP((Mu-0.5*Sigma^2)/12+Sigma*SQRT(1/12)*INDEX(NormRand,ScenID,A515+1))-1</f>
        <v/>
      </c>
      <c r="Z515" s="34">
        <f>Y515*X515</f>
        <v/>
      </c>
      <c r="AA515" s="34">
        <f>X515+0.5*Z515</f>
        <v/>
      </c>
      <c r="AB515" s="34">
        <f>Q515*J515</f>
        <v/>
      </c>
      <c r="AC515" s="34">
        <f>Q515*L515</f>
        <v/>
      </c>
      <c r="AD515" s="34">
        <f>S515*N515</f>
        <v/>
      </c>
      <c r="AE515" s="34">
        <f>E515*N515</f>
        <v/>
      </c>
      <c r="AF515" s="34">
        <f>R515*N515</f>
        <v/>
      </c>
      <c r="AG515" s="29">
        <f>MAX(SumAssured,AA515)</f>
        <v/>
      </c>
      <c r="AH515" s="34">
        <f>AG515*O515</f>
        <v/>
      </c>
      <c r="AI515" s="34">
        <f>AA515*O515</f>
        <v/>
      </c>
      <c r="AJ515" s="34">
        <f>AA515*P515</f>
        <v/>
      </c>
      <c r="AK515" s="34">
        <f>I515*AA515*P515</f>
        <v/>
      </c>
      <c r="AL515" s="34">
        <f>AJ515-AK515</f>
        <v/>
      </c>
      <c r="AM515" s="34">
        <f>Q515*K515</f>
        <v/>
      </c>
      <c r="AN515" s="34">
        <f>AH515+AL515+AM515</f>
        <v/>
      </c>
      <c r="AO515" s="34">
        <f>(AG515-AA515)*O515</f>
        <v/>
      </c>
      <c r="AP515" s="34">
        <f>W515*N515</f>
        <v/>
      </c>
      <c r="AQ515" s="34">
        <f>T515*N515</f>
        <v/>
      </c>
      <c r="AR515" s="34">
        <f>Z515*J516+0.5*Z515*(O515+P515)</f>
        <v/>
      </c>
      <c r="AS515" s="30">
        <f>(1+InflationRate)^(A515/12)</f>
        <v/>
      </c>
      <c r="AT515" s="29">
        <f>ExpenseAcq*M515+N515*ExpenseMaint/12*AS515</f>
        <v/>
      </c>
      <c r="AU515" s="29">
        <f>CommissionRate*AE515</f>
        <v/>
      </c>
      <c r="AV515" s="34">
        <f>AB516-AB515</f>
        <v/>
      </c>
      <c r="AW515" s="34">
        <f>AE515+AR515-AN515-AT515-AU515-AV515</f>
        <v/>
      </c>
      <c r="AX515" s="29">
        <f>LoadPremRate*E515*N515+AK515+AQ515-AU515-AT515</f>
        <v/>
      </c>
      <c r="AY515" s="34">
        <f>AP515-AO515</f>
        <v/>
      </c>
      <c r="AZ515" s="37">
        <f>(AW515-AX515-AY515)/MAX(1,ABS(AW515),ABS(AX515),ABS(AY515))</f>
        <v/>
      </c>
      <c r="BA515" s="37">
        <f>IF(OR(K515&gt;0,K516&gt;0),0,(AC516-(AC515+AF515-AQ515-AP515+AR515-AI515-AJ515-AM515))/MAX(1,ABS(AC515),ABS(AC516)))</f>
        <v/>
      </c>
      <c r="BB515" s="35">
        <f>(1+INDEX(DiscRateAnn,INT(A515/12)+1))^(1/12)-1</f>
        <v/>
      </c>
      <c r="BC515" s="31">
        <f>(1+BB515)^-A515</f>
        <v/>
      </c>
      <c r="BD515" s="34">
        <f>AW515*BC515</f>
        <v/>
      </c>
    </row>
    <row r="516">
      <c r="A516" s="27">
        <f>A515+1</f>
        <v/>
      </c>
      <c r="B516" s="28">
        <f>Duration0+A516</f>
        <v/>
      </c>
      <c r="C516" s="27">
        <f>INT(B516/12)</f>
        <v/>
      </c>
      <c r="D516" s="28">
        <f>AgeAtEntry+C516</f>
        <v/>
      </c>
      <c r="E516" s="29">
        <f>IF(PremiumType="SINGLE",IF(B516=0,PremiumPPInput,0),IF(B516&lt;12*PolicyTerm,PremiumPPInput,0))</f>
        <v/>
      </c>
      <c r="F516" s="30">
        <f>INDEX(MortRates,MATCH(MIN(D516,120),MortAges,0),MAX(MIN(C516,5),0)+1)</f>
        <v/>
      </c>
      <c r="G516" s="31">
        <f>1-(1-F516)^(1/12)</f>
        <v/>
      </c>
      <c r="H516" s="32">
        <f>MAX(LapseBase-LapseStep*C516,LapseFloor)</f>
        <v/>
      </c>
      <c r="I516" s="32">
        <f>IF(HasSurrCharge,INDEX(SurrRates,MIN(C516,SurrDurMax)+1,MATCH(SurrChargeID,SurrTypes,0)),0)</f>
        <v/>
      </c>
      <c r="J516" s="33">
        <f>N515-P515-O515</f>
        <v/>
      </c>
      <c r="K516" s="30">
        <f>IF(B516=12*PolicyTerm,J516,0)</f>
        <v/>
      </c>
      <c r="L516" s="33">
        <f>J516-K516</f>
        <v/>
      </c>
      <c r="M516" s="30">
        <f>IF(B516=0,PolicyCount,0)</f>
        <v/>
      </c>
      <c r="N516" s="33">
        <f>L516+M516</f>
        <v/>
      </c>
      <c r="O516" s="31">
        <f>N516*G516</f>
        <v/>
      </c>
      <c r="P516" s="33">
        <f>(N516-O516)*(1-(1-H516)^(1/12))</f>
        <v/>
      </c>
      <c r="Q516" s="34">
        <f>X515+Z515</f>
        <v/>
      </c>
      <c r="R516" s="29">
        <f>(1-LoadPremRate)*E516</f>
        <v/>
      </c>
      <c r="S516" s="34">
        <f>Q516+R516</f>
        <v/>
      </c>
      <c r="T516" s="29">
        <f>MaintFeeRateAnn/12*S516</f>
        <v/>
      </c>
      <c r="U516" s="29">
        <f>MAX(SumAssured-S516,0)</f>
        <v/>
      </c>
      <c r="V516" s="35">
        <f>CoiMultiple*G516</f>
        <v/>
      </c>
      <c r="W516" s="34">
        <f>V516*U516</f>
        <v/>
      </c>
      <c r="X516" s="34">
        <f>S516-T516-W516</f>
        <v/>
      </c>
      <c r="Y516" s="36">
        <f>EXP((Mu-0.5*Sigma^2)/12+Sigma*SQRT(1/12)*INDEX(NormRand,ScenID,A516+1))-1</f>
        <v/>
      </c>
      <c r="Z516" s="34">
        <f>Y516*X516</f>
        <v/>
      </c>
      <c r="AA516" s="34">
        <f>X516+0.5*Z516</f>
        <v/>
      </c>
      <c r="AB516" s="34">
        <f>Q516*J516</f>
        <v/>
      </c>
      <c r="AC516" s="34">
        <f>Q516*L516</f>
        <v/>
      </c>
      <c r="AD516" s="34">
        <f>S516*N516</f>
        <v/>
      </c>
      <c r="AE516" s="34">
        <f>E516*N516</f>
        <v/>
      </c>
      <c r="AF516" s="34">
        <f>R516*N516</f>
        <v/>
      </c>
      <c r="AG516" s="29">
        <f>MAX(SumAssured,AA516)</f>
        <v/>
      </c>
      <c r="AH516" s="34">
        <f>AG516*O516</f>
        <v/>
      </c>
      <c r="AI516" s="34">
        <f>AA516*O516</f>
        <v/>
      </c>
      <c r="AJ516" s="34">
        <f>AA516*P516</f>
        <v/>
      </c>
      <c r="AK516" s="34">
        <f>I516*AA516*P516</f>
        <v/>
      </c>
      <c r="AL516" s="34">
        <f>AJ516-AK516</f>
        <v/>
      </c>
      <c r="AM516" s="34">
        <f>Q516*K516</f>
        <v/>
      </c>
      <c r="AN516" s="34">
        <f>AH516+AL516+AM516</f>
        <v/>
      </c>
      <c r="AO516" s="34">
        <f>(AG516-AA516)*O516</f>
        <v/>
      </c>
      <c r="AP516" s="34">
        <f>W516*N516</f>
        <v/>
      </c>
      <c r="AQ516" s="34">
        <f>T516*N516</f>
        <v/>
      </c>
      <c r="AR516" s="34">
        <f>Z516*J517+0.5*Z516*(O516+P516)</f>
        <v/>
      </c>
      <c r="AS516" s="30">
        <f>(1+InflationRate)^(A516/12)</f>
        <v/>
      </c>
      <c r="AT516" s="29">
        <f>ExpenseAcq*M516+N516*ExpenseMaint/12*AS516</f>
        <v/>
      </c>
      <c r="AU516" s="29">
        <f>CommissionRate*AE516</f>
        <v/>
      </c>
      <c r="AV516" s="34">
        <f>AB517-AB516</f>
        <v/>
      </c>
      <c r="AW516" s="34">
        <f>AE516+AR516-AN516-AT516-AU516-AV516</f>
        <v/>
      </c>
      <c r="AX516" s="29">
        <f>LoadPremRate*E516*N516+AK516+AQ516-AU516-AT516</f>
        <v/>
      </c>
      <c r="AY516" s="34">
        <f>AP516-AO516</f>
        <v/>
      </c>
      <c r="AZ516" s="37">
        <f>(AW516-AX516-AY516)/MAX(1,ABS(AW516),ABS(AX516),ABS(AY516))</f>
        <v/>
      </c>
      <c r="BA516" s="37">
        <f>IF(OR(K516&gt;0,K517&gt;0),0,(AC517-(AC516+AF516-AQ516-AP516+AR516-AI516-AJ516-AM516))/MAX(1,ABS(AC516),ABS(AC517)))</f>
        <v/>
      </c>
      <c r="BB516" s="35">
        <f>(1+INDEX(DiscRateAnn,INT(A516/12)+1))^(1/12)-1</f>
        <v/>
      </c>
      <c r="BC516" s="31">
        <f>(1+BB516)^-A516</f>
        <v/>
      </c>
      <c r="BD516" s="34">
        <f>AW516*BC516</f>
        <v/>
      </c>
    </row>
    <row r="517">
      <c r="A517" s="27">
        <f>A516+1</f>
        <v/>
      </c>
      <c r="B517" s="28">
        <f>Duration0+A517</f>
        <v/>
      </c>
      <c r="C517" s="27">
        <f>INT(B517/12)</f>
        <v/>
      </c>
      <c r="D517" s="28">
        <f>AgeAtEntry+C517</f>
        <v/>
      </c>
      <c r="E517" s="29">
        <f>IF(PremiumType="SINGLE",IF(B517=0,PremiumPPInput,0),IF(B517&lt;12*PolicyTerm,PremiumPPInput,0))</f>
        <v/>
      </c>
      <c r="F517" s="30">
        <f>INDEX(MortRates,MATCH(MIN(D517,120),MortAges,0),MAX(MIN(C517,5),0)+1)</f>
        <v/>
      </c>
      <c r="G517" s="31">
        <f>1-(1-F517)^(1/12)</f>
        <v/>
      </c>
      <c r="H517" s="32">
        <f>MAX(LapseBase-LapseStep*C517,LapseFloor)</f>
        <v/>
      </c>
      <c r="I517" s="32">
        <f>IF(HasSurrCharge,INDEX(SurrRates,MIN(C517,SurrDurMax)+1,MATCH(SurrChargeID,SurrTypes,0)),0)</f>
        <v/>
      </c>
      <c r="J517" s="33">
        <f>N516-P516-O516</f>
        <v/>
      </c>
      <c r="K517" s="30">
        <f>IF(B517=12*PolicyTerm,J517,0)</f>
        <v/>
      </c>
      <c r="L517" s="33">
        <f>J517-K517</f>
        <v/>
      </c>
      <c r="M517" s="30">
        <f>IF(B517=0,PolicyCount,0)</f>
        <v/>
      </c>
      <c r="N517" s="33">
        <f>L517+M517</f>
        <v/>
      </c>
      <c r="O517" s="31">
        <f>N517*G517</f>
        <v/>
      </c>
      <c r="P517" s="33">
        <f>(N517-O517)*(1-(1-H517)^(1/12))</f>
        <v/>
      </c>
      <c r="Q517" s="34">
        <f>X516+Z516</f>
        <v/>
      </c>
      <c r="R517" s="29">
        <f>(1-LoadPremRate)*E517</f>
        <v/>
      </c>
      <c r="S517" s="34">
        <f>Q517+R517</f>
        <v/>
      </c>
      <c r="T517" s="29">
        <f>MaintFeeRateAnn/12*S517</f>
        <v/>
      </c>
      <c r="U517" s="29">
        <f>MAX(SumAssured-S517,0)</f>
        <v/>
      </c>
      <c r="V517" s="35">
        <f>CoiMultiple*G517</f>
        <v/>
      </c>
      <c r="W517" s="34">
        <f>V517*U517</f>
        <v/>
      </c>
      <c r="X517" s="34">
        <f>S517-T517-W517</f>
        <v/>
      </c>
      <c r="Y517" s="36">
        <f>EXP((Mu-0.5*Sigma^2)/12+Sigma*SQRT(1/12)*INDEX(NormRand,ScenID,A517+1))-1</f>
        <v/>
      </c>
      <c r="Z517" s="34">
        <f>Y517*X517</f>
        <v/>
      </c>
      <c r="AA517" s="34">
        <f>X517+0.5*Z517</f>
        <v/>
      </c>
      <c r="AB517" s="34">
        <f>Q517*J517</f>
        <v/>
      </c>
      <c r="AC517" s="34">
        <f>Q517*L517</f>
        <v/>
      </c>
      <c r="AD517" s="34">
        <f>S517*N517</f>
        <v/>
      </c>
      <c r="AE517" s="34">
        <f>E517*N517</f>
        <v/>
      </c>
      <c r="AF517" s="34">
        <f>R517*N517</f>
        <v/>
      </c>
      <c r="AG517" s="29">
        <f>MAX(SumAssured,AA517)</f>
        <v/>
      </c>
      <c r="AH517" s="34">
        <f>AG517*O517</f>
        <v/>
      </c>
      <c r="AI517" s="34">
        <f>AA517*O517</f>
        <v/>
      </c>
      <c r="AJ517" s="34">
        <f>AA517*P517</f>
        <v/>
      </c>
      <c r="AK517" s="34">
        <f>I517*AA517*P517</f>
        <v/>
      </c>
      <c r="AL517" s="34">
        <f>AJ517-AK517</f>
        <v/>
      </c>
      <c r="AM517" s="34">
        <f>Q517*K517</f>
        <v/>
      </c>
      <c r="AN517" s="34">
        <f>AH517+AL517+AM517</f>
        <v/>
      </c>
      <c r="AO517" s="34">
        <f>(AG517-AA517)*O517</f>
        <v/>
      </c>
      <c r="AP517" s="34">
        <f>W517*N517</f>
        <v/>
      </c>
      <c r="AQ517" s="34">
        <f>T517*N517</f>
        <v/>
      </c>
      <c r="AR517" s="34">
        <f>Z517*J518+0.5*Z517*(O517+P517)</f>
        <v/>
      </c>
      <c r="AS517" s="30">
        <f>(1+InflationRate)^(A517/12)</f>
        <v/>
      </c>
      <c r="AT517" s="29">
        <f>ExpenseAcq*M517+N517*ExpenseMaint/12*AS517</f>
        <v/>
      </c>
      <c r="AU517" s="29">
        <f>CommissionRate*AE517</f>
        <v/>
      </c>
      <c r="AV517" s="34">
        <f>AB518-AB517</f>
        <v/>
      </c>
      <c r="AW517" s="34">
        <f>AE517+AR517-AN517-AT517-AU517-AV517</f>
        <v/>
      </c>
      <c r="AX517" s="29">
        <f>LoadPremRate*E517*N517+AK517+AQ517-AU517-AT517</f>
        <v/>
      </c>
      <c r="AY517" s="34">
        <f>AP517-AO517</f>
        <v/>
      </c>
      <c r="AZ517" s="37">
        <f>(AW517-AX517-AY517)/MAX(1,ABS(AW517),ABS(AX517),ABS(AY517))</f>
        <v/>
      </c>
      <c r="BA517" s="37">
        <f>IF(OR(K517&gt;0,K518&gt;0),0,(AC518-(AC517+AF517-AQ517-AP517+AR517-AI517-AJ517-AM517))/MAX(1,ABS(AC517),ABS(AC518)))</f>
        <v/>
      </c>
      <c r="BB517" s="35">
        <f>(1+INDEX(DiscRateAnn,INT(A517/12)+1))^(1/12)-1</f>
        <v/>
      </c>
      <c r="BC517" s="31">
        <f>(1+BB517)^-A517</f>
        <v/>
      </c>
      <c r="BD517" s="34">
        <f>AW517*BC517</f>
        <v/>
      </c>
    </row>
    <row r="518">
      <c r="A518" s="27">
        <f>A517+1</f>
        <v/>
      </c>
      <c r="B518" s="28">
        <f>Duration0+A518</f>
        <v/>
      </c>
      <c r="C518" s="27">
        <f>INT(B518/12)</f>
        <v/>
      </c>
      <c r="D518" s="28">
        <f>AgeAtEntry+C518</f>
        <v/>
      </c>
      <c r="E518" s="29">
        <f>IF(PremiumType="SINGLE",IF(B518=0,PremiumPPInput,0),IF(B518&lt;12*PolicyTerm,PremiumPPInput,0))</f>
        <v/>
      </c>
      <c r="F518" s="30">
        <f>INDEX(MortRates,MATCH(MIN(D518,120),MortAges,0),MAX(MIN(C518,5),0)+1)</f>
        <v/>
      </c>
      <c r="G518" s="31">
        <f>1-(1-F518)^(1/12)</f>
        <v/>
      </c>
      <c r="H518" s="32">
        <f>MAX(LapseBase-LapseStep*C518,LapseFloor)</f>
        <v/>
      </c>
      <c r="I518" s="32">
        <f>IF(HasSurrCharge,INDEX(SurrRates,MIN(C518,SurrDurMax)+1,MATCH(SurrChargeID,SurrTypes,0)),0)</f>
        <v/>
      </c>
      <c r="J518" s="33">
        <f>N517-P517-O517</f>
        <v/>
      </c>
      <c r="K518" s="30">
        <f>IF(B518=12*PolicyTerm,J518,0)</f>
        <v/>
      </c>
      <c r="L518" s="33">
        <f>J518-K518</f>
        <v/>
      </c>
      <c r="M518" s="30">
        <f>IF(B518=0,PolicyCount,0)</f>
        <v/>
      </c>
      <c r="N518" s="33">
        <f>L518+M518</f>
        <v/>
      </c>
      <c r="O518" s="31">
        <f>N518*G518</f>
        <v/>
      </c>
      <c r="P518" s="33">
        <f>(N518-O518)*(1-(1-H518)^(1/12))</f>
        <v/>
      </c>
      <c r="Q518" s="34">
        <f>X517+Z517</f>
        <v/>
      </c>
      <c r="R518" s="29">
        <f>(1-LoadPremRate)*E518</f>
        <v/>
      </c>
      <c r="S518" s="34">
        <f>Q518+R518</f>
        <v/>
      </c>
      <c r="T518" s="29">
        <f>MaintFeeRateAnn/12*S518</f>
        <v/>
      </c>
      <c r="U518" s="29">
        <f>MAX(SumAssured-S518,0)</f>
        <v/>
      </c>
      <c r="V518" s="35">
        <f>CoiMultiple*G518</f>
        <v/>
      </c>
      <c r="W518" s="34">
        <f>V518*U518</f>
        <v/>
      </c>
      <c r="X518" s="34">
        <f>S518-T518-W518</f>
        <v/>
      </c>
      <c r="Y518" s="36">
        <f>EXP((Mu-0.5*Sigma^2)/12+Sigma*SQRT(1/12)*INDEX(NormRand,ScenID,A518+1))-1</f>
        <v/>
      </c>
      <c r="Z518" s="34">
        <f>Y518*X518</f>
        <v/>
      </c>
      <c r="AA518" s="34">
        <f>X518+0.5*Z518</f>
        <v/>
      </c>
      <c r="AB518" s="34">
        <f>Q518*J518</f>
        <v/>
      </c>
      <c r="AC518" s="34">
        <f>Q518*L518</f>
        <v/>
      </c>
      <c r="AD518" s="34">
        <f>S518*N518</f>
        <v/>
      </c>
      <c r="AE518" s="34">
        <f>E518*N518</f>
        <v/>
      </c>
      <c r="AF518" s="34">
        <f>R518*N518</f>
        <v/>
      </c>
      <c r="AG518" s="29">
        <f>MAX(SumAssured,AA518)</f>
        <v/>
      </c>
      <c r="AH518" s="34">
        <f>AG518*O518</f>
        <v/>
      </c>
      <c r="AI518" s="34">
        <f>AA518*O518</f>
        <v/>
      </c>
      <c r="AJ518" s="34">
        <f>AA518*P518</f>
        <v/>
      </c>
      <c r="AK518" s="34">
        <f>I518*AA518*P518</f>
        <v/>
      </c>
      <c r="AL518" s="34">
        <f>AJ518-AK518</f>
        <v/>
      </c>
      <c r="AM518" s="34">
        <f>Q518*K518</f>
        <v/>
      </c>
      <c r="AN518" s="34">
        <f>AH518+AL518+AM518</f>
        <v/>
      </c>
      <c r="AO518" s="34">
        <f>(AG518-AA518)*O518</f>
        <v/>
      </c>
      <c r="AP518" s="34">
        <f>W518*N518</f>
        <v/>
      </c>
      <c r="AQ518" s="34">
        <f>T518*N518</f>
        <v/>
      </c>
      <c r="AR518" s="34">
        <f>Z518*J519+0.5*Z518*(O518+P518)</f>
        <v/>
      </c>
      <c r="AS518" s="30">
        <f>(1+InflationRate)^(A518/12)</f>
        <v/>
      </c>
      <c r="AT518" s="29">
        <f>ExpenseAcq*M518+N518*ExpenseMaint/12*AS518</f>
        <v/>
      </c>
      <c r="AU518" s="29">
        <f>CommissionRate*AE518</f>
        <v/>
      </c>
      <c r="AV518" s="34">
        <f>AB519-AB518</f>
        <v/>
      </c>
      <c r="AW518" s="34">
        <f>AE518+AR518-AN518-AT518-AU518-AV518</f>
        <v/>
      </c>
      <c r="AX518" s="29">
        <f>LoadPremRate*E518*N518+AK518+AQ518-AU518-AT518</f>
        <v/>
      </c>
      <c r="AY518" s="34">
        <f>AP518-AO518</f>
        <v/>
      </c>
      <c r="AZ518" s="37">
        <f>(AW518-AX518-AY518)/MAX(1,ABS(AW518),ABS(AX518),ABS(AY518))</f>
        <v/>
      </c>
      <c r="BA518" s="37">
        <f>IF(OR(K518&gt;0,K519&gt;0),0,(AC519-(AC518+AF518-AQ518-AP518+AR518-AI518-AJ518-AM518))/MAX(1,ABS(AC518),ABS(AC519)))</f>
        <v/>
      </c>
      <c r="BB518" s="35">
        <f>(1+INDEX(DiscRateAnn,INT(A518/12)+1))^(1/12)-1</f>
        <v/>
      </c>
      <c r="BC518" s="31">
        <f>(1+BB518)^-A518</f>
        <v/>
      </c>
      <c r="BD518" s="34">
        <f>AW518*BC518</f>
        <v/>
      </c>
    </row>
    <row r="519">
      <c r="A519" s="27">
        <f>A518+1</f>
        <v/>
      </c>
      <c r="B519" s="28">
        <f>Duration0+A519</f>
        <v/>
      </c>
      <c r="C519" s="27">
        <f>INT(B519/12)</f>
        <v/>
      </c>
      <c r="D519" s="28">
        <f>AgeAtEntry+C519</f>
        <v/>
      </c>
      <c r="E519" s="29">
        <f>IF(PremiumType="SINGLE",IF(B519=0,PremiumPPInput,0),IF(B519&lt;12*PolicyTerm,PremiumPPInput,0))</f>
        <v/>
      </c>
      <c r="F519" s="30">
        <f>INDEX(MortRates,MATCH(MIN(D519,120),MortAges,0),MAX(MIN(C519,5),0)+1)</f>
        <v/>
      </c>
      <c r="G519" s="31">
        <f>1-(1-F519)^(1/12)</f>
        <v/>
      </c>
      <c r="H519" s="32">
        <f>MAX(LapseBase-LapseStep*C519,LapseFloor)</f>
        <v/>
      </c>
      <c r="I519" s="32">
        <f>IF(HasSurrCharge,INDEX(SurrRates,MIN(C519,SurrDurMax)+1,MATCH(SurrChargeID,SurrTypes,0)),0)</f>
        <v/>
      </c>
      <c r="J519" s="33">
        <f>N518-P518-O518</f>
        <v/>
      </c>
      <c r="K519" s="30">
        <f>IF(B519=12*PolicyTerm,J519,0)</f>
        <v/>
      </c>
      <c r="L519" s="33">
        <f>J519-K519</f>
        <v/>
      </c>
      <c r="M519" s="30">
        <f>IF(B519=0,PolicyCount,0)</f>
        <v/>
      </c>
      <c r="N519" s="33">
        <f>L519+M519</f>
        <v/>
      </c>
      <c r="O519" s="31">
        <f>N519*G519</f>
        <v/>
      </c>
      <c r="P519" s="33">
        <f>(N519-O519)*(1-(1-H519)^(1/12))</f>
        <v/>
      </c>
      <c r="Q519" s="34">
        <f>X518+Z518</f>
        <v/>
      </c>
      <c r="R519" s="29">
        <f>(1-LoadPremRate)*E519</f>
        <v/>
      </c>
      <c r="S519" s="34">
        <f>Q519+R519</f>
        <v/>
      </c>
      <c r="T519" s="29">
        <f>MaintFeeRateAnn/12*S519</f>
        <v/>
      </c>
      <c r="U519" s="29">
        <f>MAX(SumAssured-S519,0)</f>
        <v/>
      </c>
      <c r="V519" s="35">
        <f>CoiMultiple*G519</f>
        <v/>
      </c>
      <c r="W519" s="34">
        <f>V519*U519</f>
        <v/>
      </c>
      <c r="X519" s="34">
        <f>S519-T519-W519</f>
        <v/>
      </c>
      <c r="Y519" s="36">
        <f>EXP((Mu-0.5*Sigma^2)/12+Sigma*SQRT(1/12)*INDEX(NormRand,ScenID,A519+1))-1</f>
        <v/>
      </c>
      <c r="Z519" s="34">
        <f>Y519*X519</f>
        <v/>
      </c>
      <c r="AA519" s="34">
        <f>X519+0.5*Z519</f>
        <v/>
      </c>
      <c r="AB519" s="34">
        <f>Q519*J519</f>
        <v/>
      </c>
      <c r="AC519" s="34">
        <f>Q519*L519</f>
        <v/>
      </c>
      <c r="AD519" s="34">
        <f>S519*N519</f>
        <v/>
      </c>
      <c r="AE519" s="34">
        <f>E519*N519</f>
        <v/>
      </c>
      <c r="AF519" s="34">
        <f>R519*N519</f>
        <v/>
      </c>
      <c r="AG519" s="29">
        <f>MAX(SumAssured,AA519)</f>
        <v/>
      </c>
      <c r="AH519" s="34">
        <f>AG519*O519</f>
        <v/>
      </c>
      <c r="AI519" s="34">
        <f>AA519*O519</f>
        <v/>
      </c>
      <c r="AJ519" s="34">
        <f>AA519*P519</f>
        <v/>
      </c>
      <c r="AK519" s="34">
        <f>I519*AA519*P519</f>
        <v/>
      </c>
      <c r="AL519" s="34">
        <f>AJ519-AK519</f>
        <v/>
      </c>
      <c r="AM519" s="34">
        <f>Q519*K519</f>
        <v/>
      </c>
      <c r="AN519" s="34">
        <f>AH519+AL519+AM519</f>
        <v/>
      </c>
      <c r="AO519" s="34">
        <f>(AG519-AA519)*O519</f>
        <v/>
      </c>
      <c r="AP519" s="34">
        <f>W519*N519</f>
        <v/>
      </c>
      <c r="AQ519" s="34">
        <f>T519*N519</f>
        <v/>
      </c>
      <c r="AR519" s="34">
        <f>Z519*J520+0.5*Z519*(O519+P519)</f>
        <v/>
      </c>
      <c r="AS519" s="30">
        <f>(1+InflationRate)^(A519/12)</f>
        <v/>
      </c>
      <c r="AT519" s="29">
        <f>ExpenseAcq*M519+N519*ExpenseMaint/12*AS519</f>
        <v/>
      </c>
      <c r="AU519" s="29">
        <f>CommissionRate*AE519</f>
        <v/>
      </c>
      <c r="AV519" s="34">
        <f>AB520-AB519</f>
        <v/>
      </c>
      <c r="AW519" s="34">
        <f>AE519+AR519-AN519-AT519-AU519-AV519</f>
        <v/>
      </c>
      <c r="AX519" s="29">
        <f>LoadPremRate*E519*N519+AK519+AQ519-AU519-AT519</f>
        <v/>
      </c>
      <c r="AY519" s="34">
        <f>AP519-AO519</f>
        <v/>
      </c>
      <c r="AZ519" s="37">
        <f>(AW519-AX519-AY519)/MAX(1,ABS(AW519),ABS(AX519),ABS(AY519))</f>
        <v/>
      </c>
      <c r="BA519" s="37">
        <f>IF(OR(K519&gt;0,K520&gt;0),0,(AC520-(AC519+AF519-AQ519-AP519+AR519-AI519-AJ519-AM519))/MAX(1,ABS(AC519),ABS(AC520)))</f>
        <v/>
      </c>
      <c r="BB519" s="35">
        <f>(1+INDEX(DiscRateAnn,INT(A519/12)+1))^(1/12)-1</f>
        <v/>
      </c>
      <c r="BC519" s="31">
        <f>(1+BB519)^-A519</f>
        <v/>
      </c>
      <c r="BD519" s="34">
        <f>AW519*BC519</f>
        <v/>
      </c>
    </row>
    <row r="520">
      <c r="A520" s="27">
        <f>A519+1</f>
        <v/>
      </c>
      <c r="B520" s="28">
        <f>Duration0+A520</f>
        <v/>
      </c>
      <c r="C520" s="27">
        <f>INT(B520/12)</f>
        <v/>
      </c>
      <c r="D520" s="28">
        <f>AgeAtEntry+C520</f>
        <v/>
      </c>
      <c r="E520" s="29">
        <f>IF(PremiumType="SINGLE",IF(B520=0,PremiumPPInput,0),IF(B520&lt;12*PolicyTerm,PremiumPPInput,0))</f>
        <v/>
      </c>
      <c r="F520" s="30">
        <f>INDEX(MortRates,MATCH(MIN(D520,120),MortAges,0),MAX(MIN(C520,5),0)+1)</f>
        <v/>
      </c>
      <c r="G520" s="31">
        <f>1-(1-F520)^(1/12)</f>
        <v/>
      </c>
      <c r="H520" s="32">
        <f>MAX(LapseBase-LapseStep*C520,LapseFloor)</f>
        <v/>
      </c>
      <c r="I520" s="32">
        <f>IF(HasSurrCharge,INDEX(SurrRates,MIN(C520,SurrDurMax)+1,MATCH(SurrChargeID,SurrTypes,0)),0)</f>
        <v/>
      </c>
      <c r="J520" s="33">
        <f>N519-P519-O519</f>
        <v/>
      </c>
      <c r="K520" s="30">
        <f>IF(B520=12*PolicyTerm,J520,0)</f>
        <v/>
      </c>
      <c r="L520" s="33">
        <f>J520-K520</f>
        <v/>
      </c>
      <c r="M520" s="30">
        <f>IF(B520=0,PolicyCount,0)</f>
        <v/>
      </c>
      <c r="N520" s="33">
        <f>L520+M520</f>
        <v/>
      </c>
      <c r="O520" s="31">
        <f>N520*G520</f>
        <v/>
      </c>
      <c r="P520" s="33">
        <f>(N520-O520)*(1-(1-H520)^(1/12))</f>
        <v/>
      </c>
      <c r="Q520" s="34">
        <f>X519+Z519</f>
        <v/>
      </c>
      <c r="R520" s="29">
        <f>(1-LoadPremRate)*E520</f>
        <v/>
      </c>
      <c r="S520" s="34">
        <f>Q520+R520</f>
        <v/>
      </c>
      <c r="T520" s="29">
        <f>MaintFeeRateAnn/12*S520</f>
        <v/>
      </c>
      <c r="U520" s="29">
        <f>MAX(SumAssured-S520,0)</f>
        <v/>
      </c>
      <c r="V520" s="35">
        <f>CoiMultiple*G520</f>
        <v/>
      </c>
      <c r="W520" s="34">
        <f>V520*U520</f>
        <v/>
      </c>
      <c r="X520" s="34">
        <f>S520-T520-W520</f>
        <v/>
      </c>
      <c r="Y520" s="36">
        <f>EXP((Mu-0.5*Sigma^2)/12+Sigma*SQRT(1/12)*INDEX(NormRand,ScenID,A520+1))-1</f>
        <v/>
      </c>
      <c r="Z520" s="34">
        <f>Y520*X520</f>
        <v/>
      </c>
      <c r="AA520" s="34">
        <f>X520+0.5*Z520</f>
        <v/>
      </c>
      <c r="AB520" s="34">
        <f>Q520*J520</f>
        <v/>
      </c>
      <c r="AC520" s="34">
        <f>Q520*L520</f>
        <v/>
      </c>
      <c r="AD520" s="34">
        <f>S520*N520</f>
        <v/>
      </c>
      <c r="AE520" s="34">
        <f>E520*N520</f>
        <v/>
      </c>
      <c r="AF520" s="34">
        <f>R520*N520</f>
        <v/>
      </c>
      <c r="AG520" s="29">
        <f>MAX(SumAssured,AA520)</f>
        <v/>
      </c>
      <c r="AH520" s="34">
        <f>AG520*O520</f>
        <v/>
      </c>
      <c r="AI520" s="34">
        <f>AA520*O520</f>
        <v/>
      </c>
      <c r="AJ520" s="34">
        <f>AA520*P520</f>
        <v/>
      </c>
      <c r="AK520" s="34">
        <f>I520*AA520*P520</f>
        <v/>
      </c>
      <c r="AL520" s="34">
        <f>AJ520-AK520</f>
        <v/>
      </c>
      <c r="AM520" s="34">
        <f>Q520*K520</f>
        <v/>
      </c>
      <c r="AN520" s="34">
        <f>AH520+AL520+AM520</f>
        <v/>
      </c>
      <c r="AO520" s="34">
        <f>(AG520-AA520)*O520</f>
        <v/>
      </c>
      <c r="AP520" s="34">
        <f>W520*N520</f>
        <v/>
      </c>
      <c r="AQ520" s="34">
        <f>T520*N520</f>
        <v/>
      </c>
      <c r="AR520" s="34">
        <f>Z520*J521+0.5*Z520*(O520+P520)</f>
        <v/>
      </c>
      <c r="AS520" s="30">
        <f>(1+InflationRate)^(A520/12)</f>
        <v/>
      </c>
      <c r="AT520" s="29">
        <f>ExpenseAcq*M520+N520*ExpenseMaint/12*AS520</f>
        <v/>
      </c>
      <c r="AU520" s="29">
        <f>CommissionRate*AE520</f>
        <v/>
      </c>
      <c r="AV520" s="34">
        <f>AB521-AB520</f>
        <v/>
      </c>
      <c r="AW520" s="34">
        <f>AE520+AR520-AN520-AT520-AU520-AV520</f>
        <v/>
      </c>
      <c r="AX520" s="29">
        <f>LoadPremRate*E520*N520+AK520+AQ520-AU520-AT520</f>
        <v/>
      </c>
      <c r="AY520" s="34">
        <f>AP520-AO520</f>
        <v/>
      </c>
      <c r="AZ520" s="37">
        <f>(AW520-AX520-AY520)/MAX(1,ABS(AW520),ABS(AX520),ABS(AY520))</f>
        <v/>
      </c>
      <c r="BA520" s="37">
        <f>IF(OR(K520&gt;0,K521&gt;0),0,(AC521-(AC520+AF520-AQ520-AP520+AR520-AI520-AJ520-AM520))/MAX(1,ABS(AC520),ABS(AC521)))</f>
        <v/>
      </c>
      <c r="BB520" s="35">
        <f>(1+INDEX(DiscRateAnn,INT(A520/12)+1))^(1/12)-1</f>
        <v/>
      </c>
      <c r="BC520" s="31">
        <f>(1+BB520)^-A520</f>
        <v/>
      </c>
      <c r="BD520" s="34">
        <f>AW520*BC520</f>
        <v/>
      </c>
    </row>
    <row r="521">
      <c r="A521" s="27">
        <f>A520+1</f>
        <v/>
      </c>
      <c r="B521" s="28">
        <f>Duration0+A521</f>
        <v/>
      </c>
      <c r="C521" s="27">
        <f>INT(B521/12)</f>
        <v/>
      </c>
      <c r="D521" s="28">
        <f>AgeAtEntry+C521</f>
        <v/>
      </c>
      <c r="E521" s="29">
        <f>IF(PremiumType="SINGLE",IF(B521=0,PremiumPPInput,0),IF(B521&lt;12*PolicyTerm,PremiumPPInput,0))</f>
        <v/>
      </c>
      <c r="F521" s="30">
        <f>INDEX(MortRates,MATCH(MIN(D521,120),MortAges,0),MAX(MIN(C521,5),0)+1)</f>
        <v/>
      </c>
      <c r="G521" s="31">
        <f>1-(1-F521)^(1/12)</f>
        <v/>
      </c>
      <c r="H521" s="32">
        <f>MAX(LapseBase-LapseStep*C521,LapseFloor)</f>
        <v/>
      </c>
      <c r="I521" s="32">
        <f>IF(HasSurrCharge,INDEX(SurrRates,MIN(C521,SurrDurMax)+1,MATCH(SurrChargeID,SurrTypes,0)),0)</f>
        <v/>
      </c>
      <c r="J521" s="33">
        <f>N520-P520-O520</f>
        <v/>
      </c>
      <c r="K521" s="30">
        <f>IF(B521=12*PolicyTerm,J521,0)</f>
        <v/>
      </c>
      <c r="L521" s="33">
        <f>J521-K521</f>
        <v/>
      </c>
      <c r="M521" s="30">
        <f>IF(B521=0,PolicyCount,0)</f>
        <v/>
      </c>
      <c r="N521" s="33">
        <f>L521+M521</f>
        <v/>
      </c>
      <c r="O521" s="31">
        <f>N521*G521</f>
        <v/>
      </c>
      <c r="P521" s="33">
        <f>(N521-O521)*(1-(1-H521)^(1/12))</f>
        <v/>
      </c>
      <c r="Q521" s="34">
        <f>X520+Z520</f>
        <v/>
      </c>
      <c r="R521" s="29">
        <f>(1-LoadPremRate)*E521</f>
        <v/>
      </c>
      <c r="S521" s="34">
        <f>Q521+R521</f>
        <v/>
      </c>
      <c r="T521" s="29">
        <f>MaintFeeRateAnn/12*S521</f>
        <v/>
      </c>
      <c r="U521" s="29">
        <f>MAX(SumAssured-S521,0)</f>
        <v/>
      </c>
      <c r="V521" s="35">
        <f>CoiMultiple*G521</f>
        <v/>
      </c>
      <c r="W521" s="34">
        <f>V521*U521</f>
        <v/>
      </c>
      <c r="X521" s="34">
        <f>S521-T521-W521</f>
        <v/>
      </c>
      <c r="Y521" s="36">
        <f>EXP((Mu-0.5*Sigma^2)/12+Sigma*SQRT(1/12)*INDEX(NormRand,ScenID,A521+1))-1</f>
        <v/>
      </c>
      <c r="Z521" s="34">
        <f>Y521*X521</f>
        <v/>
      </c>
      <c r="AA521" s="34">
        <f>X521+0.5*Z521</f>
        <v/>
      </c>
      <c r="AB521" s="34">
        <f>Q521*J521</f>
        <v/>
      </c>
      <c r="AC521" s="34">
        <f>Q521*L521</f>
        <v/>
      </c>
      <c r="AD521" s="34">
        <f>S521*N521</f>
        <v/>
      </c>
      <c r="AE521" s="34">
        <f>E521*N521</f>
        <v/>
      </c>
      <c r="AF521" s="34">
        <f>R521*N521</f>
        <v/>
      </c>
      <c r="AG521" s="29">
        <f>MAX(SumAssured,AA521)</f>
        <v/>
      </c>
      <c r="AH521" s="34">
        <f>AG521*O521</f>
        <v/>
      </c>
      <c r="AI521" s="34">
        <f>AA521*O521</f>
        <v/>
      </c>
      <c r="AJ521" s="34">
        <f>AA521*P521</f>
        <v/>
      </c>
      <c r="AK521" s="34">
        <f>I521*AA521*P521</f>
        <v/>
      </c>
      <c r="AL521" s="34">
        <f>AJ521-AK521</f>
        <v/>
      </c>
      <c r="AM521" s="34">
        <f>Q521*K521</f>
        <v/>
      </c>
      <c r="AN521" s="34">
        <f>AH521+AL521+AM521</f>
        <v/>
      </c>
      <c r="AO521" s="34">
        <f>(AG521-AA521)*O521</f>
        <v/>
      </c>
      <c r="AP521" s="34">
        <f>W521*N521</f>
        <v/>
      </c>
      <c r="AQ521" s="34">
        <f>T521*N521</f>
        <v/>
      </c>
      <c r="AR521" s="34">
        <f>Z521*J522+0.5*Z521*(O521+P521)</f>
        <v/>
      </c>
      <c r="AS521" s="30">
        <f>(1+InflationRate)^(A521/12)</f>
        <v/>
      </c>
      <c r="AT521" s="29">
        <f>ExpenseAcq*M521+N521*ExpenseMaint/12*AS521</f>
        <v/>
      </c>
      <c r="AU521" s="29">
        <f>CommissionRate*AE521</f>
        <v/>
      </c>
      <c r="AV521" s="34">
        <f>AB522-AB521</f>
        <v/>
      </c>
      <c r="AW521" s="34">
        <f>AE521+AR521-AN521-AT521-AU521-AV521</f>
        <v/>
      </c>
      <c r="AX521" s="29">
        <f>LoadPremRate*E521*N521+AK521+AQ521-AU521-AT521</f>
        <v/>
      </c>
      <c r="AY521" s="34">
        <f>AP521-AO521</f>
        <v/>
      </c>
      <c r="AZ521" s="37">
        <f>(AW521-AX521-AY521)/MAX(1,ABS(AW521),ABS(AX521),ABS(AY521))</f>
        <v/>
      </c>
      <c r="BA521" s="37">
        <f>IF(OR(K521&gt;0,K522&gt;0),0,(AC522-(AC521+AF521-AQ521-AP521+AR521-AI521-AJ521-AM521))/MAX(1,ABS(AC521),ABS(AC522)))</f>
        <v/>
      </c>
      <c r="BB521" s="35">
        <f>(1+INDEX(DiscRateAnn,INT(A521/12)+1))^(1/12)-1</f>
        <v/>
      </c>
      <c r="BC521" s="31">
        <f>(1+BB521)^-A521</f>
        <v/>
      </c>
      <c r="BD521" s="34">
        <f>AW521*BC521</f>
        <v/>
      </c>
    </row>
    <row r="522">
      <c r="A522" s="27">
        <f>A521+1</f>
        <v/>
      </c>
      <c r="B522" s="28">
        <f>Duration0+A522</f>
        <v/>
      </c>
      <c r="C522" s="27">
        <f>INT(B522/12)</f>
        <v/>
      </c>
      <c r="D522" s="28">
        <f>AgeAtEntry+C522</f>
        <v/>
      </c>
      <c r="E522" s="29">
        <f>IF(PremiumType="SINGLE",IF(B522=0,PremiumPPInput,0),IF(B522&lt;12*PolicyTerm,PremiumPPInput,0))</f>
        <v/>
      </c>
      <c r="F522" s="30">
        <f>INDEX(MortRates,MATCH(MIN(D522,120),MortAges,0),MAX(MIN(C522,5),0)+1)</f>
        <v/>
      </c>
      <c r="G522" s="31">
        <f>1-(1-F522)^(1/12)</f>
        <v/>
      </c>
      <c r="H522" s="32">
        <f>MAX(LapseBase-LapseStep*C522,LapseFloor)</f>
        <v/>
      </c>
      <c r="I522" s="32">
        <f>IF(HasSurrCharge,INDEX(SurrRates,MIN(C522,SurrDurMax)+1,MATCH(SurrChargeID,SurrTypes,0)),0)</f>
        <v/>
      </c>
      <c r="J522" s="33">
        <f>N521-P521-O521</f>
        <v/>
      </c>
      <c r="K522" s="30">
        <f>IF(B522=12*PolicyTerm,J522,0)</f>
        <v/>
      </c>
      <c r="L522" s="33">
        <f>J522-K522</f>
        <v/>
      </c>
      <c r="M522" s="30">
        <f>IF(B522=0,PolicyCount,0)</f>
        <v/>
      </c>
      <c r="N522" s="33">
        <f>L522+M522</f>
        <v/>
      </c>
      <c r="O522" s="31">
        <f>N522*G522</f>
        <v/>
      </c>
      <c r="P522" s="33">
        <f>(N522-O522)*(1-(1-H522)^(1/12))</f>
        <v/>
      </c>
      <c r="Q522" s="34">
        <f>X521+Z521</f>
        <v/>
      </c>
      <c r="R522" s="29">
        <f>(1-LoadPremRate)*E522</f>
        <v/>
      </c>
      <c r="S522" s="34">
        <f>Q522+R522</f>
        <v/>
      </c>
      <c r="T522" s="29">
        <f>MaintFeeRateAnn/12*S522</f>
        <v/>
      </c>
      <c r="U522" s="29">
        <f>MAX(SumAssured-S522,0)</f>
        <v/>
      </c>
      <c r="V522" s="35">
        <f>CoiMultiple*G522</f>
        <v/>
      </c>
      <c r="W522" s="34">
        <f>V522*U522</f>
        <v/>
      </c>
      <c r="X522" s="34">
        <f>S522-T522-W522</f>
        <v/>
      </c>
      <c r="Y522" s="36">
        <f>EXP((Mu-0.5*Sigma^2)/12+Sigma*SQRT(1/12)*INDEX(NormRand,ScenID,A522+1))-1</f>
        <v/>
      </c>
      <c r="Z522" s="34">
        <f>Y522*X522</f>
        <v/>
      </c>
      <c r="AA522" s="34">
        <f>X522+0.5*Z522</f>
        <v/>
      </c>
      <c r="AB522" s="34">
        <f>Q522*J522</f>
        <v/>
      </c>
      <c r="AC522" s="34">
        <f>Q522*L522</f>
        <v/>
      </c>
      <c r="AD522" s="34">
        <f>S522*N522</f>
        <v/>
      </c>
      <c r="AE522" s="34">
        <f>E522*N522</f>
        <v/>
      </c>
      <c r="AF522" s="34">
        <f>R522*N522</f>
        <v/>
      </c>
      <c r="AG522" s="29">
        <f>MAX(SumAssured,AA522)</f>
        <v/>
      </c>
      <c r="AH522" s="34">
        <f>AG522*O522</f>
        <v/>
      </c>
      <c r="AI522" s="34">
        <f>AA522*O522</f>
        <v/>
      </c>
      <c r="AJ522" s="34">
        <f>AA522*P522</f>
        <v/>
      </c>
      <c r="AK522" s="34">
        <f>I522*AA522*P522</f>
        <v/>
      </c>
      <c r="AL522" s="34">
        <f>AJ522-AK522</f>
        <v/>
      </c>
      <c r="AM522" s="34">
        <f>Q522*K522</f>
        <v/>
      </c>
      <c r="AN522" s="34">
        <f>AH522+AL522+AM522</f>
        <v/>
      </c>
      <c r="AO522" s="34">
        <f>(AG522-AA522)*O522</f>
        <v/>
      </c>
      <c r="AP522" s="34">
        <f>W522*N522</f>
        <v/>
      </c>
      <c r="AQ522" s="34">
        <f>T522*N522</f>
        <v/>
      </c>
      <c r="AR522" s="34">
        <f>Z522*J523+0.5*Z522*(O522+P522)</f>
        <v/>
      </c>
      <c r="AS522" s="30">
        <f>(1+InflationRate)^(A522/12)</f>
        <v/>
      </c>
      <c r="AT522" s="29">
        <f>ExpenseAcq*M522+N522*ExpenseMaint/12*AS522</f>
        <v/>
      </c>
      <c r="AU522" s="29">
        <f>CommissionRate*AE522</f>
        <v/>
      </c>
      <c r="AV522" s="34">
        <f>AB523-AB522</f>
        <v/>
      </c>
      <c r="AW522" s="34">
        <f>AE522+AR522-AN522-AT522-AU522-AV522</f>
        <v/>
      </c>
      <c r="AX522" s="29">
        <f>LoadPremRate*E522*N522+AK522+AQ522-AU522-AT522</f>
        <v/>
      </c>
      <c r="AY522" s="34">
        <f>AP522-AO522</f>
        <v/>
      </c>
      <c r="AZ522" s="37">
        <f>(AW522-AX522-AY522)/MAX(1,ABS(AW522),ABS(AX522),ABS(AY522))</f>
        <v/>
      </c>
      <c r="BA522" s="37">
        <f>IF(OR(K522&gt;0,K523&gt;0),0,(AC523-(AC522+AF522-AQ522-AP522+AR522-AI522-AJ522-AM522))/MAX(1,ABS(AC522),ABS(AC523)))</f>
        <v/>
      </c>
      <c r="BB522" s="35">
        <f>(1+INDEX(DiscRateAnn,INT(A522/12)+1))^(1/12)-1</f>
        <v/>
      </c>
      <c r="BC522" s="31">
        <f>(1+BB522)^-A522</f>
        <v/>
      </c>
      <c r="BD522" s="34">
        <f>AW522*BC522</f>
        <v/>
      </c>
    </row>
    <row r="523">
      <c r="A523" s="27">
        <f>A522+1</f>
        <v/>
      </c>
      <c r="B523" s="28">
        <f>Duration0+A523</f>
        <v/>
      </c>
      <c r="C523" s="27">
        <f>INT(B523/12)</f>
        <v/>
      </c>
      <c r="D523" s="28">
        <f>AgeAtEntry+C523</f>
        <v/>
      </c>
      <c r="E523" s="29">
        <f>IF(PremiumType="SINGLE",IF(B523=0,PremiumPPInput,0),IF(B523&lt;12*PolicyTerm,PremiumPPInput,0))</f>
        <v/>
      </c>
      <c r="F523" s="30">
        <f>INDEX(MortRates,MATCH(MIN(D523,120),MortAges,0),MAX(MIN(C523,5),0)+1)</f>
        <v/>
      </c>
      <c r="G523" s="31">
        <f>1-(1-F523)^(1/12)</f>
        <v/>
      </c>
      <c r="H523" s="32">
        <f>MAX(LapseBase-LapseStep*C523,LapseFloor)</f>
        <v/>
      </c>
      <c r="I523" s="32">
        <f>IF(HasSurrCharge,INDEX(SurrRates,MIN(C523,SurrDurMax)+1,MATCH(SurrChargeID,SurrTypes,0)),0)</f>
        <v/>
      </c>
      <c r="J523" s="33">
        <f>N522-P522-O522</f>
        <v/>
      </c>
      <c r="K523" s="30">
        <f>IF(B523=12*PolicyTerm,J523,0)</f>
        <v/>
      </c>
      <c r="L523" s="33">
        <f>J523-K523</f>
        <v/>
      </c>
      <c r="M523" s="30">
        <f>IF(B523=0,PolicyCount,0)</f>
        <v/>
      </c>
      <c r="N523" s="33">
        <f>L523+M523</f>
        <v/>
      </c>
      <c r="O523" s="31">
        <f>N523*G523</f>
        <v/>
      </c>
      <c r="P523" s="33">
        <f>(N523-O523)*(1-(1-H523)^(1/12))</f>
        <v/>
      </c>
      <c r="Q523" s="34">
        <f>X522+Z522</f>
        <v/>
      </c>
      <c r="R523" s="29">
        <f>(1-LoadPremRate)*E523</f>
        <v/>
      </c>
      <c r="S523" s="34">
        <f>Q523+R523</f>
        <v/>
      </c>
      <c r="T523" s="29">
        <f>MaintFeeRateAnn/12*S523</f>
        <v/>
      </c>
      <c r="U523" s="29">
        <f>MAX(SumAssured-S523,0)</f>
        <v/>
      </c>
      <c r="V523" s="35">
        <f>CoiMultiple*G523</f>
        <v/>
      </c>
      <c r="W523" s="34">
        <f>V523*U523</f>
        <v/>
      </c>
      <c r="X523" s="34">
        <f>S523-T523-W523</f>
        <v/>
      </c>
      <c r="Y523" s="36">
        <f>EXP((Mu-0.5*Sigma^2)/12+Sigma*SQRT(1/12)*INDEX(NormRand,ScenID,A523+1))-1</f>
        <v/>
      </c>
      <c r="Z523" s="34">
        <f>Y523*X523</f>
        <v/>
      </c>
      <c r="AA523" s="34">
        <f>X523+0.5*Z523</f>
        <v/>
      </c>
      <c r="AB523" s="34">
        <f>Q523*J523</f>
        <v/>
      </c>
      <c r="AC523" s="34">
        <f>Q523*L523</f>
        <v/>
      </c>
      <c r="AD523" s="34">
        <f>S523*N523</f>
        <v/>
      </c>
      <c r="AE523" s="34">
        <f>E523*N523</f>
        <v/>
      </c>
      <c r="AF523" s="34">
        <f>R523*N523</f>
        <v/>
      </c>
      <c r="AG523" s="29">
        <f>MAX(SumAssured,AA523)</f>
        <v/>
      </c>
      <c r="AH523" s="34">
        <f>AG523*O523</f>
        <v/>
      </c>
      <c r="AI523" s="34">
        <f>AA523*O523</f>
        <v/>
      </c>
      <c r="AJ523" s="34">
        <f>AA523*P523</f>
        <v/>
      </c>
      <c r="AK523" s="34">
        <f>I523*AA523*P523</f>
        <v/>
      </c>
      <c r="AL523" s="34">
        <f>AJ523-AK523</f>
        <v/>
      </c>
      <c r="AM523" s="34">
        <f>Q523*K523</f>
        <v/>
      </c>
      <c r="AN523" s="34">
        <f>AH523+AL523+AM523</f>
        <v/>
      </c>
      <c r="AO523" s="34">
        <f>(AG523-AA523)*O523</f>
        <v/>
      </c>
      <c r="AP523" s="34">
        <f>W523*N523</f>
        <v/>
      </c>
      <c r="AQ523" s="34">
        <f>T523*N523</f>
        <v/>
      </c>
      <c r="AR523" s="34">
        <f>Z523*J524+0.5*Z523*(O523+P523)</f>
        <v/>
      </c>
      <c r="AS523" s="30">
        <f>(1+InflationRate)^(A523/12)</f>
        <v/>
      </c>
      <c r="AT523" s="29">
        <f>ExpenseAcq*M523+N523*ExpenseMaint/12*AS523</f>
        <v/>
      </c>
      <c r="AU523" s="29">
        <f>CommissionRate*AE523</f>
        <v/>
      </c>
      <c r="AV523" s="34">
        <f>AB524-AB523</f>
        <v/>
      </c>
      <c r="AW523" s="34">
        <f>AE523+AR523-AN523-AT523-AU523-AV523</f>
        <v/>
      </c>
      <c r="AX523" s="29">
        <f>LoadPremRate*E523*N523+AK523+AQ523-AU523-AT523</f>
        <v/>
      </c>
      <c r="AY523" s="34">
        <f>AP523-AO523</f>
        <v/>
      </c>
      <c r="AZ523" s="37">
        <f>(AW523-AX523-AY523)/MAX(1,ABS(AW523),ABS(AX523),ABS(AY523))</f>
        <v/>
      </c>
      <c r="BA523" s="37">
        <f>IF(OR(K523&gt;0,K524&gt;0),0,(AC524-(AC523+AF523-AQ523-AP523+AR523-AI523-AJ523-AM523))/MAX(1,ABS(AC523),ABS(AC524)))</f>
        <v/>
      </c>
      <c r="BB523" s="35">
        <f>(1+INDEX(DiscRateAnn,INT(A523/12)+1))^(1/12)-1</f>
        <v/>
      </c>
      <c r="BC523" s="31">
        <f>(1+BB523)^-A523</f>
        <v/>
      </c>
      <c r="BD523" s="34">
        <f>AW523*BC523</f>
        <v/>
      </c>
    </row>
    <row r="524">
      <c r="A524" s="27">
        <f>A523+1</f>
        <v/>
      </c>
      <c r="B524" s="28">
        <f>Duration0+A524</f>
        <v/>
      </c>
      <c r="C524" s="27">
        <f>INT(B524/12)</f>
        <v/>
      </c>
      <c r="D524" s="28">
        <f>AgeAtEntry+C524</f>
        <v/>
      </c>
      <c r="E524" s="29">
        <f>IF(PremiumType="SINGLE",IF(B524=0,PremiumPPInput,0),IF(B524&lt;12*PolicyTerm,PremiumPPInput,0))</f>
        <v/>
      </c>
      <c r="F524" s="30">
        <f>INDEX(MortRates,MATCH(MIN(D524,120),MortAges,0),MAX(MIN(C524,5),0)+1)</f>
        <v/>
      </c>
      <c r="G524" s="31">
        <f>1-(1-F524)^(1/12)</f>
        <v/>
      </c>
      <c r="H524" s="32">
        <f>MAX(LapseBase-LapseStep*C524,LapseFloor)</f>
        <v/>
      </c>
      <c r="I524" s="32">
        <f>IF(HasSurrCharge,INDEX(SurrRates,MIN(C524,SurrDurMax)+1,MATCH(SurrChargeID,SurrTypes,0)),0)</f>
        <v/>
      </c>
      <c r="J524" s="33">
        <f>N523-P523-O523</f>
        <v/>
      </c>
      <c r="K524" s="30">
        <f>IF(B524=12*PolicyTerm,J524,0)</f>
        <v/>
      </c>
      <c r="L524" s="33">
        <f>J524-K524</f>
        <v/>
      </c>
      <c r="M524" s="30">
        <f>IF(B524=0,PolicyCount,0)</f>
        <v/>
      </c>
      <c r="N524" s="33">
        <f>L524+M524</f>
        <v/>
      </c>
      <c r="O524" s="31">
        <f>N524*G524</f>
        <v/>
      </c>
      <c r="P524" s="33">
        <f>(N524-O524)*(1-(1-H524)^(1/12))</f>
        <v/>
      </c>
      <c r="Q524" s="34">
        <f>X523+Z523</f>
        <v/>
      </c>
      <c r="R524" s="29">
        <f>(1-LoadPremRate)*E524</f>
        <v/>
      </c>
      <c r="S524" s="34">
        <f>Q524+R524</f>
        <v/>
      </c>
      <c r="T524" s="29">
        <f>MaintFeeRateAnn/12*S524</f>
        <v/>
      </c>
      <c r="U524" s="29">
        <f>MAX(SumAssured-S524,0)</f>
        <v/>
      </c>
      <c r="V524" s="35">
        <f>CoiMultiple*G524</f>
        <v/>
      </c>
      <c r="W524" s="34">
        <f>V524*U524</f>
        <v/>
      </c>
      <c r="X524" s="34">
        <f>S524-T524-W524</f>
        <v/>
      </c>
      <c r="Y524" s="36">
        <f>EXP((Mu-0.5*Sigma^2)/12+Sigma*SQRT(1/12)*INDEX(NormRand,ScenID,A524+1))-1</f>
        <v/>
      </c>
      <c r="Z524" s="34">
        <f>Y524*X524</f>
        <v/>
      </c>
      <c r="AA524" s="34">
        <f>X524+0.5*Z524</f>
        <v/>
      </c>
      <c r="AB524" s="34">
        <f>Q524*J524</f>
        <v/>
      </c>
      <c r="AC524" s="34">
        <f>Q524*L524</f>
        <v/>
      </c>
      <c r="AD524" s="34">
        <f>S524*N524</f>
        <v/>
      </c>
      <c r="AE524" s="34">
        <f>E524*N524</f>
        <v/>
      </c>
      <c r="AF524" s="34">
        <f>R524*N524</f>
        <v/>
      </c>
      <c r="AG524" s="29">
        <f>MAX(SumAssured,AA524)</f>
        <v/>
      </c>
      <c r="AH524" s="34">
        <f>AG524*O524</f>
        <v/>
      </c>
      <c r="AI524" s="34">
        <f>AA524*O524</f>
        <v/>
      </c>
      <c r="AJ524" s="34">
        <f>AA524*P524</f>
        <v/>
      </c>
      <c r="AK524" s="34">
        <f>I524*AA524*P524</f>
        <v/>
      </c>
      <c r="AL524" s="34">
        <f>AJ524-AK524</f>
        <v/>
      </c>
      <c r="AM524" s="34">
        <f>Q524*K524</f>
        <v/>
      </c>
      <c r="AN524" s="34">
        <f>AH524+AL524+AM524</f>
        <v/>
      </c>
      <c r="AO524" s="34">
        <f>(AG524-AA524)*O524</f>
        <v/>
      </c>
      <c r="AP524" s="34">
        <f>W524*N524</f>
        <v/>
      </c>
      <c r="AQ524" s="34">
        <f>T524*N524</f>
        <v/>
      </c>
      <c r="AR524" s="34">
        <f>Z524*J525+0.5*Z524*(O524+P524)</f>
        <v/>
      </c>
      <c r="AS524" s="30">
        <f>(1+InflationRate)^(A524/12)</f>
        <v/>
      </c>
      <c r="AT524" s="29">
        <f>ExpenseAcq*M524+N524*ExpenseMaint/12*AS524</f>
        <v/>
      </c>
      <c r="AU524" s="29">
        <f>CommissionRate*AE524</f>
        <v/>
      </c>
      <c r="AV524" s="34">
        <f>AB525-AB524</f>
        <v/>
      </c>
      <c r="AW524" s="34">
        <f>AE524+AR524-AN524-AT524-AU524-AV524</f>
        <v/>
      </c>
      <c r="AX524" s="29">
        <f>LoadPremRate*E524*N524+AK524+AQ524-AU524-AT524</f>
        <v/>
      </c>
      <c r="AY524" s="34">
        <f>AP524-AO524</f>
        <v/>
      </c>
      <c r="AZ524" s="37">
        <f>(AW524-AX524-AY524)/MAX(1,ABS(AW524),ABS(AX524),ABS(AY524))</f>
        <v/>
      </c>
      <c r="BA524" s="37">
        <f>IF(OR(K524&gt;0,K525&gt;0),0,(AC525-(AC524+AF524-AQ524-AP524+AR524-AI524-AJ524-AM524))/MAX(1,ABS(AC524),ABS(AC525)))</f>
        <v/>
      </c>
      <c r="BB524" s="35">
        <f>(1+INDEX(DiscRateAnn,INT(A524/12)+1))^(1/12)-1</f>
        <v/>
      </c>
      <c r="BC524" s="31">
        <f>(1+BB524)^-A524</f>
        <v/>
      </c>
      <c r="BD524" s="34">
        <f>AW524*BC524</f>
        <v/>
      </c>
    </row>
    <row r="525">
      <c r="A525" s="27">
        <f>A524+1</f>
        <v/>
      </c>
      <c r="B525" s="28">
        <f>Duration0+A525</f>
        <v/>
      </c>
      <c r="C525" s="27">
        <f>INT(B525/12)</f>
        <v/>
      </c>
      <c r="D525" s="28">
        <f>AgeAtEntry+C525</f>
        <v/>
      </c>
      <c r="E525" s="29">
        <f>IF(PremiumType="SINGLE",IF(B525=0,PremiumPPInput,0),IF(B525&lt;12*PolicyTerm,PremiumPPInput,0))</f>
        <v/>
      </c>
      <c r="F525" s="30">
        <f>INDEX(MortRates,MATCH(MIN(D525,120),MortAges,0),MAX(MIN(C525,5),0)+1)</f>
        <v/>
      </c>
      <c r="G525" s="31">
        <f>1-(1-F525)^(1/12)</f>
        <v/>
      </c>
      <c r="H525" s="32">
        <f>MAX(LapseBase-LapseStep*C525,LapseFloor)</f>
        <v/>
      </c>
      <c r="I525" s="32">
        <f>IF(HasSurrCharge,INDEX(SurrRates,MIN(C525,SurrDurMax)+1,MATCH(SurrChargeID,SurrTypes,0)),0)</f>
        <v/>
      </c>
      <c r="J525" s="33">
        <f>N524-P524-O524</f>
        <v/>
      </c>
      <c r="K525" s="30">
        <f>IF(B525=12*PolicyTerm,J525,0)</f>
        <v/>
      </c>
      <c r="L525" s="33">
        <f>J525-K525</f>
        <v/>
      </c>
      <c r="M525" s="30">
        <f>IF(B525=0,PolicyCount,0)</f>
        <v/>
      </c>
      <c r="N525" s="33">
        <f>L525+M525</f>
        <v/>
      </c>
      <c r="O525" s="31">
        <f>N525*G525</f>
        <v/>
      </c>
      <c r="P525" s="33">
        <f>(N525-O525)*(1-(1-H525)^(1/12))</f>
        <v/>
      </c>
      <c r="Q525" s="34">
        <f>X524+Z524</f>
        <v/>
      </c>
      <c r="R525" s="29">
        <f>(1-LoadPremRate)*E525</f>
        <v/>
      </c>
      <c r="S525" s="34">
        <f>Q525+R525</f>
        <v/>
      </c>
      <c r="T525" s="29">
        <f>MaintFeeRateAnn/12*S525</f>
        <v/>
      </c>
      <c r="U525" s="29">
        <f>MAX(SumAssured-S525,0)</f>
        <v/>
      </c>
      <c r="V525" s="35">
        <f>CoiMultiple*G525</f>
        <v/>
      </c>
      <c r="W525" s="34">
        <f>V525*U525</f>
        <v/>
      </c>
      <c r="X525" s="34">
        <f>S525-T525-W525</f>
        <v/>
      </c>
      <c r="Y525" s="36">
        <f>EXP((Mu-0.5*Sigma^2)/12+Sigma*SQRT(1/12)*INDEX(NormRand,ScenID,A525+1))-1</f>
        <v/>
      </c>
      <c r="Z525" s="34">
        <f>Y525*X525</f>
        <v/>
      </c>
      <c r="AA525" s="34">
        <f>X525+0.5*Z525</f>
        <v/>
      </c>
      <c r="AB525" s="34">
        <f>Q525*J525</f>
        <v/>
      </c>
      <c r="AC525" s="34">
        <f>Q525*L525</f>
        <v/>
      </c>
      <c r="AD525" s="34">
        <f>S525*N525</f>
        <v/>
      </c>
      <c r="AE525" s="34">
        <f>E525*N525</f>
        <v/>
      </c>
      <c r="AF525" s="34">
        <f>R525*N525</f>
        <v/>
      </c>
      <c r="AG525" s="29">
        <f>MAX(SumAssured,AA525)</f>
        <v/>
      </c>
      <c r="AH525" s="34">
        <f>AG525*O525</f>
        <v/>
      </c>
      <c r="AI525" s="34">
        <f>AA525*O525</f>
        <v/>
      </c>
      <c r="AJ525" s="34">
        <f>AA525*P525</f>
        <v/>
      </c>
      <c r="AK525" s="34">
        <f>I525*AA525*P525</f>
        <v/>
      </c>
      <c r="AL525" s="34">
        <f>AJ525-AK525</f>
        <v/>
      </c>
      <c r="AM525" s="34">
        <f>Q525*K525</f>
        <v/>
      </c>
      <c r="AN525" s="34">
        <f>AH525+AL525+AM525</f>
        <v/>
      </c>
      <c r="AO525" s="34">
        <f>(AG525-AA525)*O525</f>
        <v/>
      </c>
      <c r="AP525" s="34">
        <f>W525*N525</f>
        <v/>
      </c>
      <c r="AQ525" s="34">
        <f>T525*N525</f>
        <v/>
      </c>
      <c r="AR525" s="34">
        <f>Z525*J526+0.5*Z525*(O525+P525)</f>
        <v/>
      </c>
      <c r="AS525" s="30">
        <f>(1+InflationRate)^(A525/12)</f>
        <v/>
      </c>
      <c r="AT525" s="29">
        <f>ExpenseAcq*M525+N525*ExpenseMaint/12*AS525</f>
        <v/>
      </c>
      <c r="AU525" s="29">
        <f>CommissionRate*AE525</f>
        <v/>
      </c>
      <c r="AV525" s="34">
        <f>AB526-AB525</f>
        <v/>
      </c>
      <c r="AW525" s="34">
        <f>AE525+AR525-AN525-AT525-AU525-AV525</f>
        <v/>
      </c>
      <c r="AX525" s="29">
        <f>LoadPremRate*E525*N525+AK525+AQ525-AU525-AT525</f>
        <v/>
      </c>
      <c r="AY525" s="34">
        <f>AP525-AO525</f>
        <v/>
      </c>
      <c r="AZ525" s="37">
        <f>(AW525-AX525-AY525)/MAX(1,ABS(AW525),ABS(AX525),ABS(AY525))</f>
        <v/>
      </c>
      <c r="BA525" s="37">
        <f>IF(OR(K525&gt;0,K526&gt;0),0,(AC526-(AC525+AF525-AQ525-AP525+AR525-AI525-AJ525-AM525))/MAX(1,ABS(AC525),ABS(AC526)))</f>
        <v/>
      </c>
      <c r="BB525" s="35">
        <f>(1+INDEX(DiscRateAnn,INT(A525/12)+1))^(1/12)-1</f>
        <v/>
      </c>
      <c r="BC525" s="31">
        <f>(1+BB525)^-A525</f>
        <v/>
      </c>
      <c r="BD525" s="34">
        <f>AW525*BC525</f>
        <v/>
      </c>
    </row>
    <row r="526">
      <c r="A526" s="27">
        <f>A525+1</f>
        <v/>
      </c>
      <c r="B526" s="28">
        <f>Duration0+A526</f>
        <v/>
      </c>
      <c r="C526" s="27">
        <f>INT(B526/12)</f>
        <v/>
      </c>
      <c r="D526" s="28">
        <f>AgeAtEntry+C526</f>
        <v/>
      </c>
      <c r="E526" s="29">
        <f>IF(PremiumType="SINGLE",IF(B526=0,PremiumPPInput,0),IF(B526&lt;12*PolicyTerm,PremiumPPInput,0))</f>
        <v/>
      </c>
      <c r="F526" s="30">
        <f>INDEX(MortRates,MATCH(MIN(D526,120),MortAges,0),MAX(MIN(C526,5),0)+1)</f>
        <v/>
      </c>
      <c r="G526" s="31">
        <f>1-(1-F526)^(1/12)</f>
        <v/>
      </c>
      <c r="H526" s="32">
        <f>MAX(LapseBase-LapseStep*C526,LapseFloor)</f>
        <v/>
      </c>
      <c r="I526" s="32">
        <f>IF(HasSurrCharge,INDEX(SurrRates,MIN(C526,SurrDurMax)+1,MATCH(SurrChargeID,SurrTypes,0)),0)</f>
        <v/>
      </c>
      <c r="J526" s="33">
        <f>N525-P525-O525</f>
        <v/>
      </c>
      <c r="K526" s="30">
        <f>IF(B526=12*PolicyTerm,J526,0)</f>
        <v/>
      </c>
      <c r="L526" s="33">
        <f>J526-K526</f>
        <v/>
      </c>
      <c r="M526" s="30">
        <f>IF(B526=0,PolicyCount,0)</f>
        <v/>
      </c>
      <c r="N526" s="33">
        <f>L526+M526</f>
        <v/>
      </c>
      <c r="O526" s="31">
        <f>N526*G526</f>
        <v/>
      </c>
      <c r="P526" s="33">
        <f>(N526-O526)*(1-(1-H526)^(1/12))</f>
        <v/>
      </c>
      <c r="Q526" s="34">
        <f>X525+Z525</f>
        <v/>
      </c>
      <c r="R526" s="29">
        <f>(1-LoadPremRate)*E526</f>
        <v/>
      </c>
      <c r="S526" s="34">
        <f>Q526+R526</f>
        <v/>
      </c>
      <c r="T526" s="29">
        <f>MaintFeeRateAnn/12*S526</f>
        <v/>
      </c>
      <c r="U526" s="29">
        <f>MAX(SumAssured-S526,0)</f>
        <v/>
      </c>
      <c r="V526" s="35">
        <f>CoiMultiple*G526</f>
        <v/>
      </c>
      <c r="W526" s="34">
        <f>V526*U526</f>
        <v/>
      </c>
      <c r="X526" s="34">
        <f>S526-T526-W526</f>
        <v/>
      </c>
      <c r="Y526" s="36">
        <f>EXP((Mu-0.5*Sigma^2)/12+Sigma*SQRT(1/12)*INDEX(NormRand,ScenID,A526+1))-1</f>
        <v/>
      </c>
      <c r="Z526" s="34">
        <f>Y526*X526</f>
        <v/>
      </c>
      <c r="AA526" s="34">
        <f>X526+0.5*Z526</f>
        <v/>
      </c>
      <c r="AB526" s="34">
        <f>Q526*J526</f>
        <v/>
      </c>
      <c r="AC526" s="34">
        <f>Q526*L526</f>
        <v/>
      </c>
      <c r="AD526" s="34">
        <f>S526*N526</f>
        <v/>
      </c>
      <c r="AE526" s="34">
        <f>E526*N526</f>
        <v/>
      </c>
      <c r="AF526" s="34">
        <f>R526*N526</f>
        <v/>
      </c>
      <c r="AG526" s="29">
        <f>MAX(SumAssured,AA526)</f>
        <v/>
      </c>
      <c r="AH526" s="34">
        <f>AG526*O526</f>
        <v/>
      </c>
      <c r="AI526" s="34">
        <f>AA526*O526</f>
        <v/>
      </c>
      <c r="AJ526" s="34">
        <f>AA526*P526</f>
        <v/>
      </c>
      <c r="AK526" s="34">
        <f>I526*AA526*P526</f>
        <v/>
      </c>
      <c r="AL526" s="34">
        <f>AJ526-AK526</f>
        <v/>
      </c>
      <c r="AM526" s="34">
        <f>Q526*K526</f>
        <v/>
      </c>
      <c r="AN526" s="34">
        <f>AH526+AL526+AM526</f>
        <v/>
      </c>
      <c r="AO526" s="34">
        <f>(AG526-AA526)*O526</f>
        <v/>
      </c>
      <c r="AP526" s="34">
        <f>W526*N526</f>
        <v/>
      </c>
      <c r="AQ526" s="34">
        <f>T526*N526</f>
        <v/>
      </c>
      <c r="AR526" s="34">
        <f>Z526*J527+0.5*Z526*(O526+P526)</f>
        <v/>
      </c>
      <c r="AS526" s="30">
        <f>(1+InflationRate)^(A526/12)</f>
        <v/>
      </c>
      <c r="AT526" s="29">
        <f>ExpenseAcq*M526+N526*ExpenseMaint/12*AS526</f>
        <v/>
      </c>
      <c r="AU526" s="29">
        <f>CommissionRate*AE526</f>
        <v/>
      </c>
      <c r="AV526" s="34">
        <f>AB527-AB526</f>
        <v/>
      </c>
      <c r="AW526" s="34">
        <f>AE526+AR526-AN526-AT526-AU526-AV526</f>
        <v/>
      </c>
      <c r="AX526" s="29">
        <f>LoadPremRate*E526*N526+AK526+AQ526-AU526-AT526</f>
        <v/>
      </c>
      <c r="AY526" s="34">
        <f>AP526-AO526</f>
        <v/>
      </c>
      <c r="AZ526" s="37">
        <f>(AW526-AX526-AY526)/MAX(1,ABS(AW526),ABS(AX526),ABS(AY526))</f>
        <v/>
      </c>
      <c r="BA526" s="37">
        <f>IF(OR(K526&gt;0,K527&gt;0),0,(AC527-(AC526+AF526-AQ526-AP526+AR526-AI526-AJ526-AM526))/MAX(1,ABS(AC526),ABS(AC527)))</f>
        <v/>
      </c>
      <c r="BB526" s="35">
        <f>(1+INDEX(DiscRateAnn,INT(A526/12)+1))^(1/12)-1</f>
        <v/>
      </c>
      <c r="BC526" s="31">
        <f>(1+BB526)^-A526</f>
        <v/>
      </c>
      <c r="BD526" s="34">
        <f>AW526*BC526</f>
        <v/>
      </c>
    </row>
    <row r="527">
      <c r="A527" s="27">
        <f>A526+1</f>
        <v/>
      </c>
      <c r="B527" s="28">
        <f>Duration0+A527</f>
        <v/>
      </c>
      <c r="C527" s="27">
        <f>INT(B527/12)</f>
        <v/>
      </c>
      <c r="D527" s="28">
        <f>AgeAtEntry+C527</f>
        <v/>
      </c>
      <c r="E527" s="29">
        <f>IF(PremiumType="SINGLE",IF(B527=0,PremiumPPInput,0),IF(B527&lt;12*PolicyTerm,PremiumPPInput,0))</f>
        <v/>
      </c>
      <c r="F527" s="30">
        <f>INDEX(MortRates,MATCH(MIN(D527,120),MortAges,0),MAX(MIN(C527,5),0)+1)</f>
        <v/>
      </c>
      <c r="G527" s="31">
        <f>1-(1-F527)^(1/12)</f>
        <v/>
      </c>
      <c r="H527" s="32">
        <f>MAX(LapseBase-LapseStep*C527,LapseFloor)</f>
        <v/>
      </c>
      <c r="I527" s="32">
        <f>IF(HasSurrCharge,INDEX(SurrRates,MIN(C527,SurrDurMax)+1,MATCH(SurrChargeID,SurrTypes,0)),0)</f>
        <v/>
      </c>
      <c r="J527" s="33">
        <f>N526-P526-O526</f>
        <v/>
      </c>
      <c r="K527" s="30">
        <f>IF(B527=12*PolicyTerm,J527,0)</f>
        <v/>
      </c>
      <c r="L527" s="33">
        <f>J527-K527</f>
        <v/>
      </c>
      <c r="M527" s="30">
        <f>IF(B527=0,PolicyCount,0)</f>
        <v/>
      </c>
      <c r="N527" s="33">
        <f>L527+M527</f>
        <v/>
      </c>
      <c r="O527" s="31">
        <f>N527*G527</f>
        <v/>
      </c>
      <c r="P527" s="33">
        <f>(N527-O527)*(1-(1-H527)^(1/12))</f>
        <v/>
      </c>
      <c r="Q527" s="34">
        <f>X526+Z526</f>
        <v/>
      </c>
      <c r="R527" s="29">
        <f>(1-LoadPremRate)*E527</f>
        <v/>
      </c>
      <c r="S527" s="34">
        <f>Q527+R527</f>
        <v/>
      </c>
      <c r="T527" s="29">
        <f>MaintFeeRateAnn/12*S527</f>
        <v/>
      </c>
      <c r="U527" s="29">
        <f>MAX(SumAssured-S527,0)</f>
        <v/>
      </c>
      <c r="V527" s="35">
        <f>CoiMultiple*G527</f>
        <v/>
      </c>
      <c r="W527" s="34">
        <f>V527*U527</f>
        <v/>
      </c>
      <c r="X527" s="34">
        <f>S527-T527-W527</f>
        <v/>
      </c>
      <c r="Y527" s="36">
        <f>EXP((Mu-0.5*Sigma^2)/12+Sigma*SQRT(1/12)*INDEX(NormRand,ScenID,A527+1))-1</f>
        <v/>
      </c>
      <c r="Z527" s="34">
        <f>Y527*X527</f>
        <v/>
      </c>
      <c r="AA527" s="34">
        <f>X527+0.5*Z527</f>
        <v/>
      </c>
      <c r="AB527" s="34">
        <f>Q527*J527</f>
        <v/>
      </c>
      <c r="AC527" s="34">
        <f>Q527*L527</f>
        <v/>
      </c>
      <c r="AD527" s="34">
        <f>S527*N527</f>
        <v/>
      </c>
      <c r="AE527" s="34">
        <f>E527*N527</f>
        <v/>
      </c>
      <c r="AF527" s="34">
        <f>R527*N527</f>
        <v/>
      </c>
      <c r="AG527" s="29">
        <f>MAX(SumAssured,AA527)</f>
        <v/>
      </c>
      <c r="AH527" s="34">
        <f>AG527*O527</f>
        <v/>
      </c>
      <c r="AI527" s="34">
        <f>AA527*O527</f>
        <v/>
      </c>
      <c r="AJ527" s="34">
        <f>AA527*P527</f>
        <v/>
      </c>
      <c r="AK527" s="34">
        <f>I527*AA527*P527</f>
        <v/>
      </c>
      <c r="AL527" s="34">
        <f>AJ527-AK527</f>
        <v/>
      </c>
      <c r="AM527" s="34">
        <f>Q527*K527</f>
        <v/>
      </c>
      <c r="AN527" s="34">
        <f>AH527+AL527+AM527</f>
        <v/>
      </c>
      <c r="AO527" s="34">
        <f>(AG527-AA527)*O527</f>
        <v/>
      </c>
      <c r="AP527" s="34">
        <f>W527*N527</f>
        <v/>
      </c>
      <c r="AQ527" s="34">
        <f>T527*N527</f>
        <v/>
      </c>
      <c r="AR527" s="34">
        <f>Z527*J528+0.5*Z527*(O527+P527)</f>
        <v/>
      </c>
      <c r="AS527" s="30">
        <f>(1+InflationRate)^(A527/12)</f>
        <v/>
      </c>
      <c r="AT527" s="29">
        <f>ExpenseAcq*M527+N527*ExpenseMaint/12*AS527</f>
        <v/>
      </c>
      <c r="AU527" s="29">
        <f>CommissionRate*AE527</f>
        <v/>
      </c>
      <c r="AV527" s="34">
        <f>AB528-AB527</f>
        <v/>
      </c>
      <c r="AW527" s="34">
        <f>AE527+AR527-AN527-AT527-AU527-AV527</f>
        <v/>
      </c>
      <c r="AX527" s="29">
        <f>LoadPremRate*E527*N527+AK527+AQ527-AU527-AT527</f>
        <v/>
      </c>
      <c r="AY527" s="34">
        <f>AP527-AO527</f>
        <v/>
      </c>
      <c r="AZ527" s="37">
        <f>(AW527-AX527-AY527)/MAX(1,ABS(AW527),ABS(AX527),ABS(AY527))</f>
        <v/>
      </c>
      <c r="BA527" s="37">
        <f>IF(OR(K527&gt;0,K528&gt;0),0,(AC528-(AC527+AF527-AQ527-AP527+AR527-AI527-AJ527-AM527))/MAX(1,ABS(AC527),ABS(AC528)))</f>
        <v/>
      </c>
      <c r="BB527" s="35">
        <f>(1+INDEX(DiscRateAnn,INT(A527/12)+1))^(1/12)-1</f>
        <v/>
      </c>
      <c r="BC527" s="31">
        <f>(1+BB527)^-A527</f>
        <v/>
      </c>
      <c r="BD527" s="34">
        <f>AW527*BC527</f>
        <v/>
      </c>
    </row>
    <row r="528">
      <c r="A528" s="27">
        <f>A527+1</f>
        <v/>
      </c>
      <c r="B528" s="28">
        <f>Duration0+A528</f>
        <v/>
      </c>
      <c r="C528" s="27">
        <f>INT(B528/12)</f>
        <v/>
      </c>
      <c r="D528" s="28">
        <f>AgeAtEntry+C528</f>
        <v/>
      </c>
      <c r="E528" s="29">
        <f>IF(PremiumType="SINGLE",IF(B528=0,PremiumPPInput,0),IF(B528&lt;12*PolicyTerm,PremiumPPInput,0))</f>
        <v/>
      </c>
      <c r="F528" s="30">
        <f>INDEX(MortRates,MATCH(MIN(D528,120),MortAges,0),MAX(MIN(C528,5),0)+1)</f>
        <v/>
      </c>
      <c r="G528" s="31">
        <f>1-(1-F528)^(1/12)</f>
        <v/>
      </c>
      <c r="H528" s="32">
        <f>MAX(LapseBase-LapseStep*C528,LapseFloor)</f>
        <v/>
      </c>
      <c r="I528" s="32">
        <f>IF(HasSurrCharge,INDEX(SurrRates,MIN(C528,SurrDurMax)+1,MATCH(SurrChargeID,SurrTypes,0)),0)</f>
        <v/>
      </c>
      <c r="J528" s="33">
        <f>N527-P527-O527</f>
        <v/>
      </c>
      <c r="K528" s="30">
        <f>IF(B528=12*PolicyTerm,J528,0)</f>
        <v/>
      </c>
      <c r="L528" s="33">
        <f>J528-K528</f>
        <v/>
      </c>
      <c r="M528" s="30">
        <f>IF(B528=0,PolicyCount,0)</f>
        <v/>
      </c>
      <c r="N528" s="33">
        <f>L528+M528</f>
        <v/>
      </c>
      <c r="O528" s="31">
        <f>N528*G528</f>
        <v/>
      </c>
      <c r="P528" s="33">
        <f>(N528-O528)*(1-(1-H528)^(1/12))</f>
        <v/>
      </c>
      <c r="Q528" s="34">
        <f>X527+Z527</f>
        <v/>
      </c>
      <c r="R528" s="29">
        <f>(1-LoadPremRate)*E528</f>
        <v/>
      </c>
      <c r="S528" s="34">
        <f>Q528+R528</f>
        <v/>
      </c>
      <c r="T528" s="29">
        <f>MaintFeeRateAnn/12*S528</f>
        <v/>
      </c>
      <c r="U528" s="29">
        <f>MAX(SumAssured-S528,0)</f>
        <v/>
      </c>
      <c r="V528" s="35">
        <f>CoiMultiple*G528</f>
        <v/>
      </c>
      <c r="W528" s="34">
        <f>V528*U528</f>
        <v/>
      </c>
      <c r="X528" s="34">
        <f>S528-T528-W528</f>
        <v/>
      </c>
      <c r="Y528" s="36">
        <f>EXP((Mu-0.5*Sigma^2)/12+Sigma*SQRT(1/12)*INDEX(NormRand,ScenID,A528+1))-1</f>
        <v/>
      </c>
      <c r="Z528" s="34">
        <f>Y528*X528</f>
        <v/>
      </c>
      <c r="AA528" s="34">
        <f>X528+0.5*Z528</f>
        <v/>
      </c>
      <c r="AB528" s="34">
        <f>Q528*J528</f>
        <v/>
      </c>
      <c r="AC528" s="34">
        <f>Q528*L528</f>
        <v/>
      </c>
      <c r="AD528" s="34">
        <f>S528*N528</f>
        <v/>
      </c>
      <c r="AE528" s="34">
        <f>E528*N528</f>
        <v/>
      </c>
      <c r="AF528" s="34">
        <f>R528*N528</f>
        <v/>
      </c>
      <c r="AG528" s="29">
        <f>MAX(SumAssured,AA528)</f>
        <v/>
      </c>
      <c r="AH528" s="34">
        <f>AG528*O528</f>
        <v/>
      </c>
      <c r="AI528" s="34">
        <f>AA528*O528</f>
        <v/>
      </c>
      <c r="AJ528" s="34">
        <f>AA528*P528</f>
        <v/>
      </c>
      <c r="AK528" s="34">
        <f>I528*AA528*P528</f>
        <v/>
      </c>
      <c r="AL528" s="34">
        <f>AJ528-AK528</f>
        <v/>
      </c>
      <c r="AM528" s="34">
        <f>Q528*K528</f>
        <v/>
      </c>
      <c r="AN528" s="34">
        <f>AH528+AL528+AM528</f>
        <v/>
      </c>
      <c r="AO528" s="34">
        <f>(AG528-AA528)*O528</f>
        <v/>
      </c>
      <c r="AP528" s="34">
        <f>W528*N528</f>
        <v/>
      </c>
      <c r="AQ528" s="34">
        <f>T528*N528</f>
        <v/>
      </c>
      <c r="AR528" s="34">
        <f>Z528*J529+0.5*Z528*(O528+P528)</f>
        <v/>
      </c>
      <c r="AS528" s="30">
        <f>(1+InflationRate)^(A528/12)</f>
        <v/>
      </c>
      <c r="AT528" s="29">
        <f>ExpenseAcq*M528+N528*ExpenseMaint/12*AS528</f>
        <v/>
      </c>
      <c r="AU528" s="29">
        <f>CommissionRate*AE528</f>
        <v/>
      </c>
      <c r="AV528" s="34">
        <f>AB529-AB528</f>
        <v/>
      </c>
      <c r="AW528" s="34">
        <f>AE528+AR528-AN528-AT528-AU528-AV528</f>
        <v/>
      </c>
      <c r="AX528" s="29">
        <f>LoadPremRate*E528*N528+AK528+AQ528-AU528-AT528</f>
        <v/>
      </c>
      <c r="AY528" s="34">
        <f>AP528-AO528</f>
        <v/>
      </c>
      <c r="AZ528" s="37">
        <f>(AW528-AX528-AY528)/MAX(1,ABS(AW528),ABS(AX528),ABS(AY528))</f>
        <v/>
      </c>
      <c r="BA528" s="37">
        <f>IF(OR(K528&gt;0,K529&gt;0),0,(AC529-(AC528+AF528-AQ528-AP528+AR528-AI528-AJ528-AM528))/MAX(1,ABS(AC528),ABS(AC529)))</f>
        <v/>
      </c>
      <c r="BB528" s="35">
        <f>(1+INDEX(DiscRateAnn,INT(A528/12)+1))^(1/12)-1</f>
        <v/>
      </c>
      <c r="BC528" s="31">
        <f>(1+BB528)^-A528</f>
        <v/>
      </c>
      <c r="BD528" s="34">
        <f>AW528*BC528</f>
        <v/>
      </c>
    </row>
    <row r="529">
      <c r="A529" s="27">
        <f>A528+1</f>
        <v/>
      </c>
      <c r="B529" s="28">
        <f>Duration0+A529</f>
        <v/>
      </c>
      <c r="C529" s="27">
        <f>INT(B529/12)</f>
        <v/>
      </c>
      <c r="D529" s="28">
        <f>AgeAtEntry+C529</f>
        <v/>
      </c>
      <c r="E529" s="29">
        <f>IF(PremiumType="SINGLE",IF(B529=0,PremiumPPInput,0),IF(B529&lt;12*PolicyTerm,PremiumPPInput,0))</f>
        <v/>
      </c>
      <c r="F529" s="30">
        <f>INDEX(MortRates,MATCH(MIN(D529,120),MortAges,0),MAX(MIN(C529,5),0)+1)</f>
        <v/>
      </c>
      <c r="G529" s="31">
        <f>1-(1-F529)^(1/12)</f>
        <v/>
      </c>
      <c r="H529" s="32">
        <f>MAX(LapseBase-LapseStep*C529,LapseFloor)</f>
        <v/>
      </c>
      <c r="I529" s="32">
        <f>IF(HasSurrCharge,INDEX(SurrRates,MIN(C529,SurrDurMax)+1,MATCH(SurrChargeID,SurrTypes,0)),0)</f>
        <v/>
      </c>
      <c r="J529" s="33">
        <f>N528-P528-O528</f>
        <v/>
      </c>
      <c r="K529" s="30">
        <f>IF(B529=12*PolicyTerm,J529,0)</f>
        <v/>
      </c>
      <c r="L529" s="33">
        <f>J529-K529</f>
        <v/>
      </c>
      <c r="M529" s="30">
        <f>IF(B529=0,PolicyCount,0)</f>
        <v/>
      </c>
      <c r="N529" s="33">
        <f>L529+M529</f>
        <v/>
      </c>
      <c r="O529" s="31">
        <f>N529*G529</f>
        <v/>
      </c>
      <c r="P529" s="33">
        <f>(N529-O529)*(1-(1-H529)^(1/12))</f>
        <v/>
      </c>
      <c r="Q529" s="34">
        <f>X528+Z528</f>
        <v/>
      </c>
      <c r="R529" s="29">
        <f>(1-LoadPremRate)*E529</f>
        <v/>
      </c>
      <c r="S529" s="34">
        <f>Q529+R529</f>
        <v/>
      </c>
      <c r="T529" s="29">
        <f>MaintFeeRateAnn/12*S529</f>
        <v/>
      </c>
      <c r="U529" s="29">
        <f>MAX(SumAssured-S529,0)</f>
        <v/>
      </c>
      <c r="V529" s="35">
        <f>CoiMultiple*G529</f>
        <v/>
      </c>
      <c r="W529" s="34">
        <f>V529*U529</f>
        <v/>
      </c>
      <c r="X529" s="34">
        <f>S529-T529-W529</f>
        <v/>
      </c>
      <c r="Y529" s="36">
        <f>EXP((Mu-0.5*Sigma^2)/12+Sigma*SQRT(1/12)*INDEX(NormRand,ScenID,A529+1))-1</f>
        <v/>
      </c>
      <c r="Z529" s="34">
        <f>Y529*X529</f>
        <v/>
      </c>
      <c r="AA529" s="34">
        <f>X529+0.5*Z529</f>
        <v/>
      </c>
      <c r="AB529" s="34">
        <f>Q529*J529</f>
        <v/>
      </c>
      <c r="AC529" s="34">
        <f>Q529*L529</f>
        <v/>
      </c>
      <c r="AD529" s="34">
        <f>S529*N529</f>
        <v/>
      </c>
      <c r="AE529" s="34">
        <f>E529*N529</f>
        <v/>
      </c>
      <c r="AF529" s="34">
        <f>R529*N529</f>
        <v/>
      </c>
      <c r="AG529" s="29">
        <f>MAX(SumAssured,AA529)</f>
        <v/>
      </c>
      <c r="AH529" s="34">
        <f>AG529*O529</f>
        <v/>
      </c>
      <c r="AI529" s="34">
        <f>AA529*O529</f>
        <v/>
      </c>
      <c r="AJ529" s="34">
        <f>AA529*P529</f>
        <v/>
      </c>
      <c r="AK529" s="34">
        <f>I529*AA529*P529</f>
        <v/>
      </c>
      <c r="AL529" s="34">
        <f>AJ529-AK529</f>
        <v/>
      </c>
      <c r="AM529" s="34">
        <f>Q529*K529</f>
        <v/>
      </c>
      <c r="AN529" s="34">
        <f>AH529+AL529+AM529</f>
        <v/>
      </c>
      <c r="AO529" s="34">
        <f>(AG529-AA529)*O529</f>
        <v/>
      </c>
      <c r="AP529" s="34">
        <f>W529*N529</f>
        <v/>
      </c>
      <c r="AQ529" s="34">
        <f>T529*N529</f>
        <v/>
      </c>
      <c r="AR529" s="34">
        <f>Z529*J530+0.5*Z529*(O529+P529)</f>
        <v/>
      </c>
      <c r="AS529" s="30">
        <f>(1+InflationRate)^(A529/12)</f>
        <v/>
      </c>
      <c r="AT529" s="29">
        <f>ExpenseAcq*M529+N529*ExpenseMaint/12*AS529</f>
        <v/>
      </c>
      <c r="AU529" s="29">
        <f>CommissionRate*AE529</f>
        <v/>
      </c>
      <c r="AV529" s="34">
        <f>AB530-AB529</f>
        <v/>
      </c>
      <c r="AW529" s="34">
        <f>AE529+AR529-AN529-AT529-AU529-AV529</f>
        <v/>
      </c>
      <c r="AX529" s="29">
        <f>LoadPremRate*E529*N529+AK529+AQ529-AU529-AT529</f>
        <v/>
      </c>
      <c r="AY529" s="34">
        <f>AP529-AO529</f>
        <v/>
      </c>
      <c r="AZ529" s="37">
        <f>(AW529-AX529-AY529)/MAX(1,ABS(AW529),ABS(AX529),ABS(AY529))</f>
        <v/>
      </c>
      <c r="BA529" s="37">
        <f>IF(OR(K529&gt;0,K530&gt;0),0,(AC530-(AC529+AF529-AQ529-AP529+AR529-AI529-AJ529-AM529))/MAX(1,ABS(AC529),ABS(AC530)))</f>
        <v/>
      </c>
      <c r="BB529" s="35">
        <f>(1+INDEX(DiscRateAnn,INT(A529/12)+1))^(1/12)-1</f>
        <v/>
      </c>
      <c r="BC529" s="31">
        <f>(1+BB529)^-A529</f>
        <v/>
      </c>
      <c r="BD529" s="34">
        <f>AW529*BC529</f>
        <v/>
      </c>
    </row>
    <row r="530">
      <c r="A530" s="27">
        <f>A529+1</f>
        <v/>
      </c>
      <c r="B530" s="28">
        <f>Duration0+A530</f>
        <v/>
      </c>
      <c r="C530" s="27">
        <f>INT(B530/12)</f>
        <v/>
      </c>
      <c r="D530" s="28">
        <f>AgeAtEntry+C530</f>
        <v/>
      </c>
      <c r="E530" s="29">
        <f>IF(PremiumType="SINGLE",IF(B530=0,PremiumPPInput,0),IF(B530&lt;12*PolicyTerm,PremiumPPInput,0))</f>
        <v/>
      </c>
      <c r="F530" s="30">
        <f>INDEX(MortRates,MATCH(MIN(D530,120),MortAges,0),MAX(MIN(C530,5),0)+1)</f>
        <v/>
      </c>
      <c r="G530" s="31">
        <f>1-(1-F530)^(1/12)</f>
        <v/>
      </c>
      <c r="H530" s="32">
        <f>MAX(LapseBase-LapseStep*C530,LapseFloor)</f>
        <v/>
      </c>
      <c r="I530" s="32">
        <f>IF(HasSurrCharge,INDEX(SurrRates,MIN(C530,SurrDurMax)+1,MATCH(SurrChargeID,SurrTypes,0)),0)</f>
        <v/>
      </c>
      <c r="J530" s="33">
        <f>N529-P529-O529</f>
        <v/>
      </c>
      <c r="K530" s="30">
        <f>IF(B530=12*PolicyTerm,J530,0)</f>
        <v/>
      </c>
      <c r="L530" s="33">
        <f>J530-K530</f>
        <v/>
      </c>
      <c r="M530" s="30">
        <f>IF(B530=0,PolicyCount,0)</f>
        <v/>
      </c>
      <c r="N530" s="33">
        <f>L530+M530</f>
        <v/>
      </c>
      <c r="O530" s="31">
        <f>N530*G530</f>
        <v/>
      </c>
      <c r="P530" s="33">
        <f>(N530-O530)*(1-(1-H530)^(1/12))</f>
        <v/>
      </c>
      <c r="Q530" s="34">
        <f>X529+Z529</f>
        <v/>
      </c>
      <c r="R530" s="29">
        <f>(1-LoadPremRate)*E530</f>
        <v/>
      </c>
      <c r="S530" s="34">
        <f>Q530+R530</f>
        <v/>
      </c>
      <c r="T530" s="29">
        <f>MaintFeeRateAnn/12*S530</f>
        <v/>
      </c>
      <c r="U530" s="29">
        <f>MAX(SumAssured-S530,0)</f>
        <v/>
      </c>
      <c r="V530" s="35">
        <f>CoiMultiple*G530</f>
        <v/>
      </c>
      <c r="W530" s="34">
        <f>V530*U530</f>
        <v/>
      </c>
      <c r="X530" s="34">
        <f>S530-T530-W530</f>
        <v/>
      </c>
      <c r="Y530" s="36">
        <f>EXP((Mu-0.5*Sigma^2)/12+Sigma*SQRT(1/12)*INDEX(NormRand,ScenID,A530+1))-1</f>
        <v/>
      </c>
      <c r="Z530" s="34">
        <f>Y530*X530</f>
        <v/>
      </c>
      <c r="AA530" s="34">
        <f>X530+0.5*Z530</f>
        <v/>
      </c>
      <c r="AB530" s="34">
        <f>Q530*J530</f>
        <v/>
      </c>
      <c r="AC530" s="34">
        <f>Q530*L530</f>
        <v/>
      </c>
      <c r="AD530" s="34">
        <f>S530*N530</f>
        <v/>
      </c>
      <c r="AE530" s="34">
        <f>E530*N530</f>
        <v/>
      </c>
      <c r="AF530" s="34">
        <f>R530*N530</f>
        <v/>
      </c>
      <c r="AG530" s="29">
        <f>MAX(SumAssured,AA530)</f>
        <v/>
      </c>
      <c r="AH530" s="34">
        <f>AG530*O530</f>
        <v/>
      </c>
      <c r="AI530" s="34">
        <f>AA530*O530</f>
        <v/>
      </c>
      <c r="AJ530" s="34">
        <f>AA530*P530</f>
        <v/>
      </c>
      <c r="AK530" s="34">
        <f>I530*AA530*P530</f>
        <v/>
      </c>
      <c r="AL530" s="34">
        <f>AJ530-AK530</f>
        <v/>
      </c>
      <c r="AM530" s="34">
        <f>Q530*K530</f>
        <v/>
      </c>
      <c r="AN530" s="34">
        <f>AH530+AL530+AM530</f>
        <v/>
      </c>
      <c r="AO530" s="34">
        <f>(AG530-AA530)*O530</f>
        <v/>
      </c>
      <c r="AP530" s="34">
        <f>W530*N530</f>
        <v/>
      </c>
      <c r="AQ530" s="34">
        <f>T530*N530</f>
        <v/>
      </c>
      <c r="AR530" s="34">
        <f>Z530*J531+0.5*Z530*(O530+P530)</f>
        <v/>
      </c>
      <c r="AS530" s="30">
        <f>(1+InflationRate)^(A530/12)</f>
        <v/>
      </c>
      <c r="AT530" s="29">
        <f>ExpenseAcq*M530+N530*ExpenseMaint/12*AS530</f>
        <v/>
      </c>
      <c r="AU530" s="29">
        <f>CommissionRate*AE530</f>
        <v/>
      </c>
      <c r="AV530" s="34">
        <f>AB531-AB530</f>
        <v/>
      </c>
      <c r="AW530" s="34">
        <f>AE530+AR530-AN530-AT530-AU530-AV530</f>
        <v/>
      </c>
      <c r="AX530" s="29">
        <f>LoadPremRate*E530*N530+AK530+AQ530-AU530-AT530</f>
        <v/>
      </c>
      <c r="AY530" s="34">
        <f>AP530-AO530</f>
        <v/>
      </c>
      <c r="AZ530" s="37">
        <f>(AW530-AX530-AY530)/MAX(1,ABS(AW530),ABS(AX530),ABS(AY530))</f>
        <v/>
      </c>
      <c r="BA530" s="37">
        <f>IF(OR(K530&gt;0,K531&gt;0),0,(AC531-(AC530+AF530-AQ530-AP530+AR530-AI530-AJ530-AM530))/MAX(1,ABS(AC530),ABS(AC531)))</f>
        <v/>
      </c>
      <c r="BB530" s="35">
        <f>(1+INDEX(DiscRateAnn,INT(A530/12)+1))^(1/12)-1</f>
        <v/>
      </c>
      <c r="BC530" s="31">
        <f>(1+BB530)^-A530</f>
        <v/>
      </c>
      <c r="BD530" s="34">
        <f>AW530*BC530</f>
        <v/>
      </c>
    </row>
    <row r="531">
      <c r="A531" s="27">
        <f>A530+1</f>
        <v/>
      </c>
      <c r="B531" s="28">
        <f>Duration0+A531</f>
        <v/>
      </c>
      <c r="C531" s="27">
        <f>INT(B531/12)</f>
        <v/>
      </c>
      <c r="D531" s="28">
        <f>AgeAtEntry+C531</f>
        <v/>
      </c>
      <c r="E531" s="29">
        <f>IF(PremiumType="SINGLE",IF(B531=0,PremiumPPInput,0),IF(B531&lt;12*PolicyTerm,PremiumPPInput,0))</f>
        <v/>
      </c>
      <c r="F531" s="30">
        <f>INDEX(MortRates,MATCH(MIN(D531,120),MortAges,0),MAX(MIN(C531,5),0)+1)</f>
        <v/>
      </c>
      <c r="G531" s="31">
        <f>1-(1-F531)^(1/12)</f>
        <v/>
      </c>
      <c r="H531" s="32">
        <f>MAX(LapseBase-LapseStep*C531,LapseFloor)</f>
        <v/>
      </c>
      <c r="I531" s="32">
        <f>IF(HasSurrCharge,INDEX(SurrRates,MIN(C531,SurrDurMax)+1,MATCH(SurrChargeID,SurrTypes,0)),0)</f>
        <v/>
      </c>
      <c r="J531" s="33">
        <f>N530-P530-O530</f>
        <v/>
      </c>
      <c r="K531" s="30">
        <f>IF(B531=12*PolicyTerm,J531,0)</f>
        <v/>
      </c>
      <c r="L531" s="33">
        <f>J531-K531</f>
        <v/>
      </c>
      <c r="M531" s="30">
        <f>IF(B531=0,PolicyCount,0)</f>
        <v/>
      </c>
      <c r="N531" s="33">
        <f>L531+M531</f>
        <v/>
      </c>
      <c r="O531" s="31">
        <f>N531*G531</f>
        <v/>
      </c>
      <c r="P531" s="33">
        <f>(N531-O531)*(1-(1-H531)^(1/12))</f>
        <v/>
      </c>
      <c r="Q531" s="34">
        <f>X530+Z530</f>
        <v/>
      </c>
      <c r="R531" s="29">
        <f>(1-LoadPremRate)*E531</f>
        <v/>
      </c>
      <c r="S531" s="34">
        <f>Q531+R531</f>
        <v/>
      </c>
      <c r="T531" s="29">
        <f>MaintFeeRateAnn/12*S531</f>
        <v/>
      </c>
      <c r="U531" s="29">
        <f>MAX(SumAssured-S531,0)</f>
        <v/>
      </c>
      <c r="V531" s="35">
        <f>CoiMultiple*G531</f>
        <v/>
      </c>
      <c r="W531" s="34">
        <f>V531*U531</f>
        <v/>
      </c>
      <c r="X531" s="34">
        <f>S531-T531-W531</f>
        <v/>
      </c>
      <c r="Y531" s="36">
        <f>EXP((Mu-0.5*Sigma^2)/12+Sigma*SQRT(1/12)*INDEX(NormRand,ScenID,A531+1))-1</f>
        <v/>
      </c>
      <c r="Z531" s="34">
        <f>Y531*X531</f>
        <v/>
      </c>
      <c r="AA531" s="34">
        <f>X531+0.5*Z531</f>
        <v/>
      </c>
      <c r="AB531" s="34">
        <f>Q531*J531</f>
        <v/>
      </c>
      <c r="AC531" s="34">
        <f>Q531*L531</f>
        <v/>
      </c>
      <c r="AD531" s="34">
        <f>S531*N531</f>
        <v/>
      </c>
      <c r="AE531" s="34">
        <f>E531*N531</f>
        <v/>
      </c>
      <c r="AF531" s="34">
        <f>R531*N531</f>
        <v/>
      </c>
      <c r="AG531" s="29">
        <f>MAX(SumAssured,AA531)</f>
        <v/>
      </c>
      <c r="AH531" s="34">
        <f>AG531*O531</f>
        <v/>
      </c>
      <c r="AI531" s="34">
        <f>AA531*O531</f>
        <v/>
      </c>
      <c r="AJ531" s="34">
        <f>AA531*P531</f>
        <v/>
      </c>
      <c r="AK531" s="34">
        <f>I531*AA531*P531</f>
        <v/>
      </c>
      <c r="AL531" s="34">
        <f>AJ531-AK531</f>
        <v/>
      </c>
      <c r="AM531" s="34">
        <f>Q531*K531</f>
        <v/>
      </c>
      <c r="AN531" s="34">
        <f>AH531+AL531+AM531</f>
        <v/>
      </c>
      <c r="AO531" s="34">
        <f>(AG531-AA531)*O531</f>
        <v/>
      </c>
      <c r="AP531" s="34">
        <f>W531*N531</f>
        <v/>
      </c>
      <c r="AQ531" s="34">
        <f>T531*N531</f>
        <v/>
      </c>
      <c r="AR531" s="34">
        <f>Z531*J532+0.5*Z531*(O531+P531)</f>
        <v/>
      </c>
      <c r="AS531" s="30">
        <f>(1+InflationRate)^(A531/12)</f>
        <v/>
      </c>
      <c r="AT531" s="29">
        <f>ExpenseAcq*M531+N531*ExpenseMaint/12*AS531</f>
        <v/>
      </c>
      <c r="AU531" s="29">
        <f>CommissionRate*AE531</f>
        <v/>
      </c>
      <c r="AV531" s="34">
        <f>AB532-AB531</f>
        <v/>
      </c>
      <c r="AW531" s="34">
        <f>AE531+AR531-AN531-AT531-AU531-AV531</f>
        <v/>
      </c>
      <c r="AX531" s="29">
        <f>LoadPremRate*E531*N531+AK531+AQ531-AU531-AT531</f>
        <v/>
      </c>
      <c r="AY531" s="34">
        <f>AP531-AO531</f>
        <v/>
      </c>
      <c r="AZ531" s="37">
        <f>(AW531-AX531-AY531)/MAX(1,ABS(AW531),ABS(AX531),ABS(AY531))</f>
        <v/>
      </c>
      <c r="BA531" s="37">
        <f>IF(OR(K531&gt;0,K532&gt;0),0,(AC532-(AC531+AF531-AQ531-AP531+AR531-AI531-AJ531-AM531))/MAX(1,ABS(AC531),ABS(AC532)))</f>
        <v/>
      </c>
      <c r="BB531" s="35">
        <f>(1+INDEX(DiscRateAnn,INT(A531/12)+1))^(1/12)-1</f>
        <v/>
      </c>
      <c r="BC531" s="31">
        <f>(1+BB531)^-A531</f>
        <v/>
      </c>
      <c r="BD531" s="34">
        <f>AW531*BC531</f>
        <v/>
      </c>
    </row>
    <row r="532">
      <c r="A532" s="27">
        <f>A531+1</f>
        <v/>
      </c>
      <c r="B532" s="28">
        <f>Duration0+A532</f>
        <v/>
      </c>
      <c r="C532" s="27">
        <f>INT(B532/12)</f>
        <v/>
      </c>
      <c r="D532" s="28">
        <f>AgeAtEntry+C532</f>
        <v/>
      </c>
      <c r="E532" s="29">
        <f>IF(PremiumType="SINGLE",IF(B532=0,PremiumPPInput,0),IF(B532&lt;12*PolicyTerm,PremiumPPInput,0))</f>
        <v/>
      </c>
      <c r="F532" s="30">
        <f>INDEX(MortRates,MATCH(MIN(D532,120),MortAges,0),MAX(MIN(C532,5),0)+1)</f>
        <v/>
      </c>
      <c r="G532" s="31">
        <f>1-(1-F532)^(1/12)</f>
        <v/>
      </c>
      <c r="H532" s="32">
        <f>MAX(LapseBase-LapseStep*C532,LapseFloor)</f>
        <v/>
      </c>
      <c r="I532" s="32">
        <f>IF(HasSurrCharge,INDEX(SurrRates,MIN(C532,SurrDurMax)+1,MATCH(SurrChargeID,SurrTypes,0)),0)</f>
        <v/>
      </c>
      <c r="J532" s="33">
        <f>N531-P531-O531</f>
        <v/>
      </c>
      <c r="K532" s="30">
        <f>IF(B532=12*PolicyTerm,J532,0)</f>
        <v/>
      </c>
      <c r="L532" s="33">
        <f>J532-K532</f>
        <v/>
      </c>
      <c r="M532" s="30">
        <f>IF(B532=0,PolicyCount,0)</f>
        <v/>
      </c>
      <c r="N532" s="33">
        <f>L532+M532</f>
        <v/>
      </c>
      <c r="O532" s="31">
        <f>N532*G532</f>
        <v/>
      </c>
      <c r="P532" s="33">
        <f>(N532-O532)*(1-(1-H532)^(1/12))</f>
        <v/>
      </c>
      <c r="Q532" s="34">
        <f>X531+Z531</f>
        <v/>
      </c>
      <c r="R532" s="29">
        <f>(1-LoadPremRate)*E532</f>
        <v/>
      </c>
      <c r="S532" s="34">
        <f>Q532+R532</f>
        <v/>
      </c>
      <c r="T532" s="29">
        <f>MaintFeeRateAnn/12*S532</f>
        <v/>
      </c>
      <c r="U532" s="29">
        <f>MAX(SumAssured-S532,0)</f>
        <v/>
      </c>
      <c r="V532" s="35">
        <f>CoiMultiple*G532</f>
        <v/>
      </c>
      <c r="W532" s="34">
        <f>V532*U532</f>
        <v/>
      </c>
      <c r="X532" s="34">
        <f>S532-T532-W532</f>
        <v/>
      </c>
      <c r="Y532" s="36">
        <f>EXP((Mu-0.5*Sigma^2)/12+Sigma*SQRT(1/12)*INDEX(NormRand,ScenID,A532+1))-1</f>
        <v/>
      </c>
      <c r="Z532" s="34">
        <f>Y532*X532</f>
        <v/>
      </c>
      <c r="AA532" s="34">
        <f>X532+0.5*Z532</f>
        <v/>
      </c>
      <c r="AB532" s="34">
        <f>Q532*J532</f>
        <v/>
      </c>
      <c r="AC532" s="34">
        <f>Q532*L532</f>
        <v/>
      </c>
      <c r="AD532" s="34">
        <f>S532*N532</f>
        <v/>
      </c>
      <c r="AE532" s="34">
        <f>E532*N532</f>
        <v/>
      </c>
      <c r="AF532" s="34">
        <f>R532*N532</f>
        <v/>
      </c>
      <c r="AG532" s="29">
        <f>MAX(SumAssured,AA532)</f>
        <v/>
      </c>
      <c r="AH532" s="34">
        <f>AG532*O532</f>
        <v/>
      </c>
      <c r="AI532" s="34">
        <f>AA532*O532</f>
        <v/>
      </c>
      <c r="AJ532" s="34">
        <f>AA532*P532</f>
        <v/>
      </c>
      <c r="AK532" s="34">
        <f>I532*AA532*P532</f>
        <v/>
      </c>
      <c r="AL532" s="34">
        <f>AJ532-AK532</f>
        <v/>
      </c>
      <c r="AM532" s="34">
        <f>Q532*K532</f>
        <v/>
      </c>
      <c r="AN532" s="34">
        <f>AH532+AL532+AM532</f>
        <v/>
      </c>
      <c r="AO532" s="34">
        <f>(AG532-AA532)*O532</f>
        <v/>
      </c>
      <c r="AP532" s="34">
        <f>W532*N532</f>
        <v/>
      </c>
      <c r="AQ532" s="34">
        <f>T532*N532</f>
        <v/>
      </c>
      <c r="AR532" s="34">
        <f>Z532*J533+0.5*Z532*(O532+P532)</f>
        <v/>
      </c>
      <c r="AS532" s="30">
        <f>(1+InflationRate)^(A532/12)</f>
        <v/>
      </c>
      <c r="AT532" s="29">
        <f>ExpenseAcq*M532+N532*ExpenseMaint/12*AS532</f>
        <v/>
      </c>
      <c r="AU532" s="29">
        <f>CommissionRate*AE532</f>
        <v/>
      </c>
      <c r="AV532" s="34">
        <f>AB533-AB532</f>
        <v/>
      </c>
      <c r="AW532" s="34">
        <f>AE532+AR532-AN532-AT532-AU532-AV532</f>
        <v/>
      </c>
      <c r="AX532" s="29">
        <f>LoadPremRate*E532*N532+AK532+AQ532-AU532-AT532</f>
        <v/>
      </c>
      <c r="AY532" s="34">
        <f>AP532-AO532</f>
        <v/>
      </c>
      <c r="AZ532" s="37">
        <f>(AW532-AX532-AY532)/MAX(1,ABS(AW532),ABS(AX532),ABS(AY532))</f>
        <v/>
      </c>
      <c r="BA532" s="37">
        <f>IF(OR(K532&gt;0,K533&gt;0),0,(AC533-(AC532+AF532-AQ532-AP532+AR532-AI532-AJ532-AM532))/MAX(1,ABS(AC532),ABS(AC533)))</f>
        <v/>
      </c>
      <c r="BB532" s="35">
        <f>(1+INDEX(DiscRateAnn,INT(A532/12)+1))^(1/12)-1</f>
        <v/>
      </c>
      <c r="BC532" s="31">
        <f>(1+BB532)^-A532</f>
        <v/>
      </c>
      <c r="BD532" s="34">
        <f>AW532*BC532</f>
        <v/>
      </c>
    </row>
    <row r="533">
      <c r="A533" s="27">
        <f>A532+1</f>
        <v/>
      </c>
      <c r="B533" s="28">
        <f>Duration0+A533</f>
        <v/>
      </c>
      <c r="C533" s="27">
        <f>INT(B533/12)</f>
        <v/>
      </c>
      <c r="D533" s="28">
        <f>AgeAtEntry+C533</f>
        <v/>
      </c>
      <c r="E533" s="29">
        <f>IF(PremiumType="SINGLE",IF(B533=0,PremiumPPInput,0),IF(B533&lt;12*PolicyTerm,PremiumPPInput,0))</f>
        <v/>
      </c>
      <c r="F533" s="30">
        <f>INDEX(MortRates,MATCH(MIN(D533,120),MortAges,0),MAX(MIN(C533,5),0)+1)</f>
        <v/>
      </c>
      <c r="G533" s="31">
        <f>1-(1-F533)^(1/12)</f>
        <v/>
      </c>
      <c r="H533" s="32">
        <f>MAX(LapseBase-LapseStep*C533,LapseFloor)</f>
        <v/>
      </c>
      <c r="I533" s="32">
        <f>IF(HasSurrCharge,INDEX(SurrRates,MIN(C533,SurrDurMax)+1,MATCH(SurrChargeID,SurrTypes,0)),0)</f>
        <v/>
      </c>
      <c r="J533" s="33">
        <f>N532-P532-O532</f>
        <v/>
      </c>
      <c r="K533" s="30">
        <f>IF(B533=12*PolicyTerm,J533,0)</f>
        <v/>
      </c>
      <c r="L533" s="33">
        <f>J533-K533</f>
        <v/>
      </c>
      <c r="M533" s="30">
        <f>IF(B533=0,PolicyCount,0)</f>
        <v/>
      </c>
      <c r="N533" s="33">
        <f>L533+M533</f>
        <v/>
      </c>
      <c r="O533" s="31">
        <f>N533*G533</f>
        <v/>
      </c>
      <c r="P533" s="33">
        <f>(N533-O533)*(1-(1-H533)^(1/12))</f>
        <v/>
      </c>
      <c r="Q533" s="34">
        <f>X532+Z532</f>
        <v/>
      </c>
      <c r="R533" s="29">
        <f>(1-LoadPremRate)*E533</f>
        <v/>
      </c>
      <c r="S533" s="34">
        <f>Q533+R533</f>
        <v/>
      </c>
      <c r="T533" s="29">
        <f>MaintFeeRateAnn/12*S533</f>
        <v/>
      </c>
      <c r="U533" s="29">
        <f>MAX(SumAssured-S533,0)</f>
        <v/>
      </c>
      <c r="V533" s="35">
        <f>CoiMultiple*G533</f>
        <v/>
      </c>
      <c r="W533" s="34">
        <f>V533*U533</f>
        <v/>
      </c>
      <c r="X533" s="34">
        <f>S533-T533-W533</f>
        <v/>
      </c>
      <c r="Y533" s="36">
        <f>EXP((Mu-0.5*Sigma^2)/12+Sigma*SQRT(1/12)*INDEX(NormRand,ScenID,A533+1))-1</f>
        <v/>
      </c>
      <c r="Z533" s="34">
        <f>Y533*X533</f>
        <v/>
      </c>
      <c r="AA533" s="34">
        <f>X533+0.5*Z533</f>
        <v/>
      </c>
      <c r="AB533" s="34">
        <f>Q533*J533</f>
        <v/>
      </c>
      <c r="AC533" s="34">
        <f>Q533*L533</f>
        <v/>
      </c>
      <c r="AD533" s="34">
        <f>S533*N533</f>
        <v/>
      </c>
      <c r="AE533" s="34">
        <f>E533*N533</f>
        <v/>
      </c>
      <c r="AF533" s="34">
        <f>R533*N533</f>
        <v/>
      </c>
      <c r="AG533" s="29">
        <f>MAX(SumAssured,AA533)</f>
        <v/>
      </c>
      <c r="AH533" s="34">
        <f>AG533*O533</f>
        <v/>
      </c>
      <c r="AI533" s="34">
        <f>AA533*O533</f>
        <v/>
      </c>
      <c r="AJ533" s="34">
        <f>AA533*P533</f>
        <v/>
      </c>
      <c r="AK533" s="34">
        <f>I533*AA533*P533</f>
        <v/>
      </c>
      <c r="AL533" s="34">
        <f>AJ533-AK533</f>
        <v/>
      </c>
      <c r="AM533" s="34">
        <f>Q533*K533</f>
        <v/>
      </c>
      <c r="AN533" s="34">
        <f>AH533+AL533+AM533</f>
        <v/>
      </c>
      <c r="AO533" s="34">
        <f>(AG533-AA533)*O533</f>
        <v/>
      </c>
      <c r="AP533" s="34">
        <f>W533*N533</f>
        <v/>
      </c>
      <c r="AQ533" s="34">
        <f>T533*N533</f>
        <v/>
      </c>
      <c r="AR533" s="34">
        <f>Z533*J534+0.5*Z533*(O533+P533)</f>
        <v/>
      </c>
      <c r="AS533" s="30">
        <f>(1+InflationRate)^(A533/12)</f>
        <v/>
      </c>
      <c r="AT533" s="29">
        <f>ExpenseAcq*M533+N533*ExpenseMaint/12*AS533</f>
        <v/>
      </c>
      <c r="AU533" s="29">
        <f>CommissionRate*AE533</f>
        <v/>
      </c>
      <c r="AV533" s="34">
        <f>AB534-AB533</f>
        <v/>
      </c>
      <c r="AW533" s="34">
        <f>AE533+AR533-AN533-AT533-AU533-AV533</f>
        <v/>
      </c>
      <c r="AX533" s="29">
        <f>LoadPremRate*E533*N533+AK533+AQ533-AU533-AT533</f>
        <v/>
      </c>
      <c r="AY533" s="34">
        <f>AP533-AO533</f>
        <v/>
      </c>
      <c r="AZ533" s="37">
        <f>(AW533-AX533-AY533)/MAX(1,ABS(AW533),ABS(AX533),ABS(AY533))</f>
        <v/>
      </c>
      <c r="BA533" s="37">
        <f>IF(OR(K533&gt;0,K534&gt;0),0,(AC534-(AC533+AF533-AQ533-AP533+AR533-AI533-AJ533-AM533))/MAX(1,ABS(AC533),ABS(AC534)))</f>
        <v/>
      </c>
      <c r="BB533" s="35">
        <f>(1+INDEX(DiscRateAnn,INT(A533/12)+1))^(1/12)-1</f>
        <v/>
      </c>
      <c r="BC533" s="31">
        <f>(1+BB533)^-A533</f>
        <v/>
      </c>
      <c r="BD533" s="34">
        <f>AW533*BC533</f>
        <v/>
      </c>
    </row>
    <row r="534">
      <c r="A534" s="27">
        <f>A533+1</f>
        <v/>
      </c>
      <c r="B534" s="28">
        <f>Duration0+A534</f>
        <v/>
      </c>
      <c r="C534" s="27">
        <f>INT(B534/12)</f>
        <v/>
      </c>
      <c r="D534" s="28">
        <f>AgeAtEntry+C534</f>
        <v/>
      </c>
      <c r="E534" s="29">
        <f>IF(PremiumType="SINGLE",IF(B534=0,PremiumPPInput,0),IF(B534&lt;12*PolicyTerm,PremiumPPInput,0))</f>
        <v/>
      </c>
      <c r="F534" s="30">
        <f>INDEX(MortRates,MATCH(MIN(D534,120),MortAges,0),MAX(MIN(C534,5),0)+1)</f>
        <v/>
      </c>
      <c r="G534" s="31">
        <f>1-(1-F534)^(1/12)</f>
        <v/>
      </c>
      <c r="H534" s="32">
        <f>MAX(LapseBase-LapseStep*C534,LapseFloor)</f>
        <v/>
      </c>
      <c r="I534" s="32">
        <f>IF(HasSurrCharge,INDEX(SurrRates,MIN(C534,SurrDurMax)+1,MATCH(SurrChargeID,SurrTypes,0)),0)</f>
        <v/>
      </c>
      <c r="J534" s="33">
        <f>N533-P533-O533</f>
        <v/>
      </c>
      <c r="K534" s="30">
        <f>IF(B534=12*PolicyTerm,J534,0)</f>
        <v/>
      </c>
      <c r="L534" s="33">
        <f>J534-K534</f>
        <v/>
      </c>
      <c r="M534" s="30">
        <f>IF(B534=0,PolicyCount,0)</f>
        <v/>
      </c>
      <c r="N534" s="33">
        <f>L534+M534</f>
        <v/>
      </c>
      <c r="O534" s="31">
        <f>N534*G534</f>
        <v/>
      </c>
      <c r="P534" s="33">
        <f>(N534-O534)*(1-(1-H534)^(1/12))</f>
        <v/>
      </c>
      <c r="Q534" s="34">
        <f>X533+Z533</f>
        <v/>
      </c>
      <c r="R534" s="29">
        <f>(1-LoadPremRate)*E534</f>
        <v/>
      </c>
      <c r="S534" s="34">
        <f>Q534+R534</f>
        <v/>
      </c>
      <c r="T534" s="29">
        <f>MaintFeeRateAnn/12*S534</f>
        <v/>
      </c>
      <c r="U534" s="29">
        <f>MAX(SumAssured-S534,0)</f>
        <v/>
      </c>
      <c r="V534" s="35">
        <f>CoiMultiple*G534</f>
        <v/>
      </c>
      <c r="W534" s="34">
        <f>V534*U534</f>
        <v/>
      </c>
      <c r="X534" s="34">
        <f>S534-T534-W534</f>
        <v/>
      </c>
      <c r="Y534" s="36">
        <f>EXP((Mu-0.5*Sigma^2)/12+Sigma*SQRT(1/12)*INDEX(NormRand,ScenID,A534+1))-1</f>
        <v/>
      </c>
      <c r="Z534" s="34">
        <f>Y534*X534</f>
        <v/>
      </c>
      <c r="AA534" s="34">
        <f>X534+0.5*Z534</f>
        <v/>
      </c>
      <c r="AB534" s="34">
        <f>Q534*J534</f>
        <v/>
      </c>
      <c r="AC534" s="34">
        <f>Q534*L534</f>
        <v/>
      </c>
      <c r="AD534" s="34">
        <f>S534*N534</f>
        <v/>
      </c>
      <c r="AE534" s="34">
        <f>E534*N534</f>
        <v/>
      </c>
      <c r="AF534" s="34">
        <f>R534*N534</f>
        <v/>
      </c>
      <c r="AG534" s="29">
        <f>MAX(SumAssured,AA534)</f>
        <v/>
      </c>
      <c r="AH534" s="34">
        <f>AG534*O534</f>
        <v/>
      </c>
      <c r="AI534" s="34">
        <f>AA534*O534</f>
        <v/>
      </c>
      <c r="AJ534" s="34">
        <f>AA534*P534</f>
        <v/>
      </c>
      <c r="AK534" s="34">
        <f>I534*AA534*P534</f>
        <v/>
      </c>
      <c r="AL534" s="34">
        <f>AJ534-AK534</f>
        <v/>
      </c>
      <c r="AM534" s="34">
        <f>Q534*K534</f>
        <v/>
      </c>
      <c r="AN534" s="34">
        <f>AH534+AL534+AM534</f>
        <v/>
      </c>
      <c r="AO534" s="34">
        <f>(AG534-AA534)*O534</f>
        <v/>
      </c>
      <c r="AP534" s="34">
        <f>W534*N534</f>
        <v/>
      </c>
      <c r="AQ534" s="34">
        <f>T534*N534</f>
        <v/>
      </c>
      <c r="AR534" s="34">
        <f>Z534*J535+0.5*Z534*(O534+P534)</f>
        <v/>
      </c>
      <c r="AS534" s="30">
        <f>(1+InflationRate)^(A534/12)</f>
        <v/>
      </c>
      <c r="AT534" s="29">
        <f>ExpenseAcq*M534+N534*ExpenseMaint/12*AS534</f>
        <v/>
      </c>
      <c r="AU534" s="29">
        <f>CommissionRate*AE534</f>
        <v/>
      </c>
      <c r="AV534" s="34">
        <f>AB535-AB534</f>
        <v/>
      </c>
      <c r="AW534" s="34">
        <f>AE534+AR534-AN534-AT534-AU534-AV534</f>
        <v/>
      </c>
      <c r="AX534" s="29">
        <f>LoadPremRate*E534*N534+AK534+AQ534-AU534-AT534</f>
        <v/>
      </c>
      <c r="AY534" s="34">
        <f>AP534-AO534</f>
        <v/>
      </c>
      <c r="AZ534" s="37">
        <f>(AW534-AX534-AY534)/MAX(1,ABS(AW534),ABS(AX534),ABS(AY534))</f>
        <v/>
      </c>
      <c r="BA534" s="37">
        <f>IF(OR(K534&gt;0,K535&gt;0),0,(AC535-(AC534+AF534-AQ534-AP534+AR534-AI534-AJ534-AM534))/MAX(1,ABS(AC534),ABS(AC535)))</f>
        <v/>
      </c>
      <c r="BB534" s="35">
        <f>(1+INDEX(DiscRateAnn,INT(A534/12)+1))^(1/12)-1</f>
        <v/>
      </c>
      <c r="BC534" s="31">
        <f>(1+BB534)^-A534</f>
        <v/>
      </c>
      <c r="BD534" s="34">
        <f>AW534*BC534</f>
        <v/>
      </c>
    </row>
    <row r="535">
      <c r="A535" s="27">
        <f>A534+1</f>
        <v/>
      </c>
      <c r="B535" s="28">
        <f>Duration0+A535</f>
        <v/>
      </c>
      <c r="C535" s="27">
        <f>INT(B535/12)</f>
        <v/>
      </c>
      <c r="D535" s="28">
        <f>AgeAtEntry+C535</f>
        <v/>
      </c>
      <c r="E535" s="29">
        <f>IF(PremiumType="SINGLE",IF(B535=0,PremiumPPInput,0),IF(B535&lt;12*PolicyTerm,PremiumPPInput,0))</f>
        <v/>
      </c>
      <c r="F535" s="30">
        <f>INDEX(MortRates,MATCH(MIN(D535,120),MortAges,0),MAX(MIN(C535,5),0)+1)</f>
        <v/>
      </c>
      <c r="G535" s="31">
        <f>1-(1-F535)^(1/12)</f>
        <v/>
      </c>
      <c r="H535" s="32">
        <f>MAX(LapseBase-LapseStep*C535,LapseFloor)</f>
        <v/>
      </c>
      <c r="I535" s="32">
        <f>IF(HasSurrCharge,INDEX(SurrRates,MIN(C535,SurrDurMax)+1,MATCH(SurrChargeID,SurrTypes,0)),0)</f>
        <v/>
      </c>
      <c r="J535" s="33">
        <f>N534-P534-O534</f>
        <v/>
      </c>
      <c r="K535" s="30">
        <f>IF(B535=12*PolicyTerm,J535,0)</f>
        <v/>
      </c>
      <c r="L535" s="33">
        <f>J535-K535</f>
        <v/>
      </c>
      <c r="M535" s="30">
        <f>IF(B535=0,PolicyCount,0)</f>
        <v/>
      </c>
      <c r="N535" s="33">
        <f>L535+M535</f>
        <v/>
      </c>
      <c r="O535" s="31">
        <f>N535*G535</f>
        <v/>
      </c>
      <c r="P535" s="33">
        <f>(N535-O535)*(1-(1-H535)^(1/12))</f>
        <v/>
      </c>
      <c r="Q535" s="34">
        <f>X534+Z534</f>
        <v/>
      </c>
      <c r="R535" s="29">
        <f>(1-LoadPremRate)*E535</f>
        <v/>
      </c>
      <c r="S535" s="34">
        <f>Q535+R535</f>
        <v/>
      </c>
      <c r="T535" s="29">
        <f>MaintFeeRateAnn/12*S535</f>
        <v/>
      </c>
      <c r="U535" s="29">
        <f>MAX(SumAssured-S535,0)</f>
        <v/>
      </c>
      <c r="V535" s="35">
        <f>CoiMultiple*G535</f>
        <v/>
      </c>
      <c r="W535" s="34">
        <f>V535*U535</f>
        <v/>
      </c>
      <c r="X535" s="34">
        <f>S535-T535-W535</f>
        <v/>
      </c>
      <c r="Y535" s="36">
        <f>EXP((Mu-0.5*Sigma^2)/12+Sigma*SQRT(1/12)*INDEX(NormRand,ScenID,A535+1))-1</f>
        <v/>
      </c>
      <c r="Z535" s="34">
        <f>Y535*X535</f>
        <v/>
      </c>
      <c r="AA535" s="34">
        <f>X535+0.5*Z535</f>
        <v/>
      </c>
      <c r="AB535" s="34">
        <f>Q535*J535</f>
        <v/>
      </c>
      <c r="AC535" s="34">
        <f>Q535*L535</f>
        <v/>
      </c>
      <c r="AD535" s="34">
        <f>S535*N535</f>
        <v/>
      </c>
      <c r="AE535" s="34">
        <f>E535*N535</f>
        <v/>
      </c>
      <c r="AF535" s="34">
        <f>R535*N535</f>
        <v/>
      </c>
      <c r="AG535" s="29">
        <f>MAX(SumAssured,AA535)</f>
        <v/>
      </c>
      <c r="AH535" s="34">
        <f>AG535*O535</f>
        <v/>
      </c>
      <c r="AI535" s="34">
        <f>AA535*O535</f>
        <v/>
      </c>
      <c r="AJ535" s="34">
        <f>AA535*P535</f>
        <v/>
      </c>
      <c r="AK535" s="34">
        <f>I535*AA535*P535</f>
        <v/>
      </c>
      <c r="AL535" s="34">
        <f>AJ535-AK535</f>
        <v/>
      </c>
      <c r="AM535" s="34">
        <f>Q535*K535</f>
        <v/>
      </c>
      <c r="AN535" s="34">
        <f>AH535+AL535+AM535</f>
        <v/>
      </c>
      <c r="AO535" s="34">
        <f>(AG535-AA535)*O535</f>
        <v/>
      </c>
      <c r="AP535" s="34">
        <f>W535*N535</f>
        <v/>
      </c>
      <c r="AQ535" s="34">
        <f>T535*N535</f>
        <v/>
      </c>
      <c r="AR535" s="34">
        <f>Z535*J536+0.5*Z535*(O535+P535)</f>
        <v/>
      </c>
      <c r="AS535" s="30">
        <f>(1+InflationRate)^(A535/12)</f>
        <v/>
      </c>
      <c r="AT535" s="29">
        <f>ExpenseAcq*M535+N535*ExpenseMaint/12*AS535</f>
        <v/>
      </c>
      <c r="AU535" s="29">
        <f>CommissionRate*AE535</f>
        <v/>
      </c>
      <c r="AV535" s="34">
        <f>AB536-AB535</f>
        <v/>
      </c>
      <c r="AW535" s="34">
        <f>AE535+AR535-AN535-AT535-AU535-AV535</f>
        <v/>
      </c>
      <c r="AX535" s="29">
        <f>LoadPremRate*E535*N535+AK535+AQ535-AU535-AT535</f>
        <v/>
      </c>
      <c r="AY535" s="34">
        <f>AP535-AO535</f>
        <v/>
      </c>
      <c r="AZ535" s="37">
        <f>(AW535-AX535-AY535)/MAX(1,ABS(AW535),ABS(AX535),ABS(AY535))</f>
        <v/>
      </c>
      <c r="BA535" s="37">
        <f>IF(OR(K535&gt;0,K536&gt;0),0,(AC536-(AC535+AF535-AQ535-AP535+AR535-AI535-AJ535-AM535))/MAX(1,ABS(AC535),ABS(AC536)))</f>
        <v/>
      </c>
      <c r="BB535" s="35">
        <f>(1+INDEX(DiscRateAnn,INT(A535/12)+1))^(1/12)-1</f>
        <v/>
      </c>
      <c r="BC535" s="31">
        <f>(1+BB535)^-A535</f>
        <v/>
      </c>
      <c r="BD535" s="34">
        <f>AW535*BC535</f>
        <v/>
      </c>
    </row>
    <row r="536">
      <c r="A536" s="27">
        <f>A535+1</f>
        <v/>
      </c>
      <c r="B536" s="28">
        <f>Duration0+A536</f>
        <v/>
      </c>
      <c r="C536" s="27">
        <f>INT(B536/12)</f>
        <v/>
      </c>
      <c r="D536" s="28">
        <f>AgeAtEntry+C536</f>
        <v/>
      </c>
      <c r="E536" s="29">
        <f>IF(PremiumType="SINGLE",IF(B536=0,PremiumPPInput,0),IF(B536&lt;12*PolicyTerm,PremiumPPInput,0))</f>
        <v/>
      </c>
      <c r="F536" s="30">
        <f>INDEX(MortRates,MATCH(MIN(D536,120),MortAges,0),MAX(MIN(C536,5),0)+1)</f>
        <v/>
      </c>
      <c r="G536" s="31">
        <f>1-(1-F536)^(1/12)</f>
        <v/>
      </c>
      <c r="H536" s="32">
        <f>MAX(LapseBase-LapseStep*C536,LapseFloor)</f>
        <v/>
      </c>
      <c r="I536" s="32">
        <f>IF(HasSurrCharge,INDEX(SurrRates,MIN(C536,SurrDurMax)+1,MATCH(SurrChargeID,SurrTypes,0)),0)</f>
        <v/>
      </c>
      <c r="J536" s="33">
        <f>N535-P535-O535</f>
        <v/>
      </c>
      <c r="K536" s="30">
        <f>IF(B536=12*PolicyTerm,J536,0)</f>
        <v/>
      </c>
      <c r="L536" s="33">
        <f>J536-K536</f>
        <v/>
      </c>
      <c r="M536" s="30">
        <f>IF(B536=0,PolicyCount,0)</f>
        <v/>
      </c>
      <c r="N536" s="33">
        <f>L536+M536</f>
        <v/>
      </c>
      <c r="O536" s="31">
        <f>N536*G536</f>
        <v/>
      </c>
      <c r="P536" s="33">
        <f>(N536-O536)*(1-(1-H536)^(1/12))</f>
        <v/>
      </c>
      <c r="Q536" s="34">
        <f>X535+Z535</f>
        <v/>
      </c>
      <c r="R536" s="29">
        <f>(1-LoadPremRate)*E536</f>
        <v/>
      </c>
      <c r="S536" s="34">
        <f>Q536+R536</f>
        <v/>
      </c>
      <c r="T536" s="29">
        <f>MaintFeeRateAnn/12*S536</f>
        <v/>
      </c>
      <c r="U536" s="29">
        <f>MAX(SumAssured-S536,0)</f>
        <v/>
      </c>
      <c r="V536" s="35">
        <f>CoiMultiple*G536</f>
        <v/>
      </c>
      <c r="W536" s="34">
        <f>V536*U536</f>
        <v/>
      </c>
      <c r="X536" s="34">
        <f>S536-T536-W536</f>
        <v/>
      </c>
      <c r="Y536" s="36">
        <f>EXP((Mu-0.5*Sigma^2)/12+Sigma*SQRT(1/12)*INDEX(NormRand,ScenID,A536+1))-1</f>
        <v/>
      </c>
      <c r="Z536" s="34">
        <f>Y536*X536</f>
        <v/>
      </c>
      <c r="AA536" s="34">
        <f>X536+0.5*Z536</f>
        <v/>
      </c>
      <c r="AB536" s="34">
        <f>Q536*J536</f>
        <v/>
      </c>
      <c r="AC536" s="34">
        <f>Q536*L536</f>
        <v/>
      </c>
      <c r="AD536" s="34">
        <f>S536*N536</f>
        <v/>
      </c>
      <c r="AE536" s="34">
        <f>E536*N536</f>
        <v/>
      </c>
      <c r="AF536" s="34">
        <f>R536*N536</f>
        <v/>
      </c>
      <c r="AG536" s="29">
        <f>MAX(SumAssured,AA536)</f>
        <v/>
      </c>
      <c r="AH536" s="34">
        <f>AG536*O536</f>
        <v/>
      </c>
      <c r="AI536" s="34">
        <f>AA536*O536</f>
        <v/>
      </c>
      <c r="AJ536" s="34">
        <f>AA536*P536</f>
        <v/>
      </c>
      <c r="AK536" s="34">
        <f>I536*AA536*P536</f>
        <v/>
      </c>
      <c r="AL536" s="34">
        <f>AJ536-AK536</f>
        <v/>
      </c>
      <c r="AM536" s="34">
        <f>Q536*K536</f>
        <v/>
      </c>
      <c r="AN536" s="34">
        <f>AH536+AL536+AM536</f>
        <v/>
      </c>
      <c r="AO536" s="34">
        <f>(AG536-AA536)*O536</f>
        <v/>
      </c>
      <c r="AP536" s="34">
        <f>W536*N536</f>
        <v/>
      </c>
      <c r="AQ536" s="34">
        <f>T536*N536</f>
        <v/>
      </c>
      <c r="AR536" s="34">
        <f>Z536*J537+0.5*Z536*(O536+P536)</f>
        <v/>
      </c>
      <c r="AS536" s="30">
        <f>(1+InflationRate)^(A536/12)</f>
        <v/>
      </c>
      <c r="AT536" s="29">
        <f>ExpenseAcq*M536+N536*ExpenseMaint/12*AS536</f>
        <v/>
      </c>
      <c r="AU536" s="29">
        <f>CommissionRate*AE536</f>
        <v/>
      </c>
      <c r="AV536" s="34">
        <f>AB537-AB536</f>
        <v/>
      </c>
      <c r="AW536" s="34">
        <f>AE536+AR536-AN536-AT536-AU536-AV536</f>
        <v/>
      </c>
      <c r="AX536" s="29">
        <f>LoadPremRate*E536*N536+AK536+AQ536-AU536-AT536</f>
        <v/>
      </c>
      <c r="AY536" s="34">
        <f>AP536-AO536</f>
        <v/>
      </c>
      <c r="AZ536" s="37">
        <f>(AW536-AX536-AY536)/MAX(1,ABS(AW536),ABS(AX536),ABS(AY536))</f>
        <v/>
      </c>
      <c r="BA536" s="37">
        <f>IF(OR(K536&gt;0,K537&gt;0),0,(AC537-(AC536+AF536-AQ536-AP536+AR536-AI536-AJ536-AM536))/MAX(1,ABS(AC536),ABS(AC537)))</f>
        <v/>
      </c>
      <c r="BB536" s="35">
        <f>(1+INDEX(DiscRateAnn,INT(A536/12)+1))^(1/12)-1</f>
        <v/>
      </c>
      <c r="BC536" s="31">
        <f>(1+BB536)^-A536</f>
        <v/>
      </c>
      <c r="BD536" s="34">
        <f>AW536*BC536</f>
        <v/>
      </c>
    </row>
    <row r="537">
      <c r="A537" s="27">
        <f>A536+1</f>
        <v/>
      </c>
      <c r="B537" s="28">
        <f>Duration0+A537</f>
        <v/>
      </c>
      <c r="C537" s="27">
        <f>INT(B537/12)</f>
        <v/>
      </c>
      <c r="D537" s="28">
        <f>AgeAtEntry+C537</f>
        <v/>
      </c>
      <c r="E537" s="29">
        <f>IF(PremiumType="SINGLE",IF(B537=0,PremiumPPInput,0),IF(B537&lt;12*PolicyTerm,PremiumPPInput,0))</f>
        <v/>
      </c>
      <c r="F537" s="30">
        <f>INDEX(MortRates,MATCH(MIN(D537,120),MortAges,0),MAX(MIN(C537,5),0)+1)</f>
        <v/>
      </c>
      <c r="G537" s="31">
        <f>1-(1-F537)^(1/12)</f>
        <v/>
      </c>
      <c r="H537" s="32">
        <f>MAX(LapseBase-LapseStep*C537,LapseFloor)</f>
        <v/>
      </c>
      <c r="I537" s="32">
        <f>IF(HasSurrCharge,INDEX(SurrRates,MIN(C537,SurrDurMax)+1,MATCH(SurrChargeID,SurrTypes,0)),0)</f>
        <v/>
      </c>
      <c r="J537" s="33">
        <f>N536-P536-O536</f>
        <v/>
      </c>
      <c r="K537" s="30">
        <f>IF(B537=12*PolicyTerm,J537,0)</f>
        <v/>
      </c>
      <c r="L537" s="33">
        <f>J537-K537</f>
        <v/>
      </c>
      <c r="M537" s="30">
        <f>IF(B537=0,PolicyCount,0)</f>
        <v/>
      </c>
      <c r="N537" s="33">
        <f>L537+M537</f>
        <v/>
      </c>
      <c r="O537" s="31">
        <f>N537*G537</f>
        <v/>
      </c>
      <c r="P537" s="33">
        <f>(N537-O537)*(1-(1-H537)^(1/12))</f>
        <v/>
      </c>
      <c r="Q537" s="34">
        <f>X536+Z536</f>
        <v/>
      </c>
      <c r="R537" s="29">
        <f>(1-LoadPremRate)*E537</f>
        <v/>
      </c>
      <c r="S537" s="34">
        <f>Q537+R537</f>
        <v/>
      </c>
      <c r="T537" s="29">
        <f>MaintFeeRateAnn/12*S537</f>
        <v/>
      </c>
      <c r="U537" s="29">
        <f>MAX(SumAssured-S537,0)</f>
        <v/>
      </c>
      <c r="V537" s="35">
        <f>CoiMultiple*G537</f>
        <v/>
      </c>
      <c r="W537" s="34">
        <f>V537*U537</f>
        <v/>
      </c>
      <c r="X537" s="34">
        <f>S537-T537-W537</f>
        <v/>
      </c>
      <c r="Y537" s="36">
        <f>EXP((Mu-0.5*Sigma^2)/12+Sigma*SQRT(1/12)*INDEX(NormRand,ScenID,A537+1))-1</f>
        <v/>
      </c>
      <c r="Z537" s="34">
        <f>Y537*X537</f>
        <v/>
      </c>
      <c r="AA537" s="34">
        <f>X537+0.5*Z537</f>
        <v/>
      </c>
      <c r="AB537" s="34">
        <f>Q537*J537</f>
        <v/>
      </c>
      <c r="AC537" s="34">
        <f>Q537*L537</f>
        <v/>
      </c>
      <c r="AD537" s="34">
        <f>S537*N537</f>
        <v/>
      </c>
      <c r="AE537" s="34">
        <f>E537*N537</f>
        <v/>
      </c>
      <c r="AF537" s="34">
        <f>R537*N537</f>
        <v/>
      </c>
      <c r="AG537" s="29">
        <f>MAX(SumAssured,AA537)</f>
        <v/>
      </c>
      <c r="AH537" s="34">
        <f>AG537*O537</f>
        <v/>
      </c>
      <c r="AI537" s="34">
        <f>AA537*O537</f>
        <v/>
      </c>
      <c r="AJ537" s="34">
        <f>AA537*P537</f>
        <v/>
      </c>
      <c r="AK537" s="34">
        <f>I537*AA537*P537</f>
        <v/>
      </c>
      <c r="AL537" s="34">
        <f>AJ537-AK537</f>
        <v/>
      </c>
      <c r="AM537" s="34">
        <f>Q537*K537</f>
        <v/>
      </c>
      <c r="AN537" s="34">
        <f>AH537+AL537+AM537</f>
        <v/>
      </c>
      <c r="AO537" s="34">
        <f>(AG537-AA537)*O537</f>
        <v/>
      </c>
      <c r="AP537" s="34">
        <f>W537*N537</f>
        <v/>
      </c>
      <c r="AQ537" s="34">
        <f>T537*N537</f>
        <v/>
      </c>
      <c r="AR537" s="34">
        <f>Z537*J538+0.5*Z537*(O537+P537)</f>
        <v/>
      </c>
      <c r="AS537" s="30">
        <f>(1+InflationRate)^(A537/12)</f>
        <v/>
      </c>
      <c r="AT537" s="29">
        <f>ExpenseAcq*M537+N537*ExpenseMaint/12*AS537</f>
        <v/>
      </c>
      <c r="AU537" s="29">
        <f>CommissionRate*AE537</f>
        <v/>
      </c>
      <c r="AV537" s="34">
        <f>AB538-AB537</f>
        <v/>
      </c>
      <c r="AW537" s="34">
        <f>AE537+AR537-AN537-AT537-AU537-AV537</f>
        <v/>
      </c>
      <c r="AX537" s="29">
        <f>LoadPremRate*E537*N537+AK537+AQ537-AU537-AT537</f>
        <v/>
      </c>
      <c r="AY537" s="34">
        <f>AP537-AO537</f>
        <v/>
      </c>
      <c r="AZ537" s="37">
        <f>(AW537-AX537-AY537)/MAX(1,ABS(AW537),ABS(AX537),ABS(AY537))</f>
        <v/>
      </c>
      <c r="BA537" s="37">
        <f>IF(OR(K537&gt;0,K538&gt;0),0,(AC538-(AC537+AF537-AQ537-AP537+AR537-AI537-AJ537-AM537))/MAX(1,ABS(AC537),ABS(AC538)))</f>
        <v/>
      </c>
      <c r="BB537" s="35">
        <f>(1+INDEX(DiscRateAnn,INT(A537/12)+1))^(1/12)-1</f>
        <v/>
      </c>
      <c r="BC537" s="31">
        <f>(1+BB537)^-A537</f>
        <v/>
      </c>
      <c r="BD537" s="34">
        <f>AW537*BC537</f>
        <v/>
      </c>
    </row>
    <row r="538">
      <c r="A538" s="27">
        <f>A537+1</f>
        <v/>
      </c>
      <c r="B538" s="28">
        <f>Duration0+A538</f>
        <v/>
      </c>
      <c r="C538" s="27">
        <f>INT(B538/12)</f>
        <v/>
      </c>
      <c r="D538" s="28">
        <f>AgeAtEntry+C538</f>
        <v/>
      </c>
      <c r="E538" s="29">
        <f>IF(PremiumType="SINGLE",IF(B538=0,PremiumPPInput,0),IF(B538&lt;12*PolicyTerm,PremiumPPInput,0))</f>
        <v/>
      </c>
      <c r="F538" s="30">
        <f>INDEX(MortRates,MATCH(MIN(D538,120),MortAges,0),MAX(MIN(C538,5),0)+1)</f>
        <v/>
      </c>
      <c r="G538" s="31">
        <f>1-(1-F538)^(1/12)</f>
        <v/>
      </c>
      <c r="H538" s="32">
        <f>MAX(LapseBase-LapseStep*C538,LapseFloor)</f>
        <v/>
      </c>
      <c r="I538" s="32">
        <f>IF(HasSurrCharge,INDEX(SurrRates,MIN(C538,SurrDurMax)+1,MATCH(SurrChargeID,SurrTypes,0)),0)</f>
        <v/>
      </c>
      <c r="J538" s="33">
        <f>N537-P537-O537</f>
        <v/>
      </c>
      <c r="K538" s="30">
        <f>IF(B538=12*PolicyTerm,J538,0)</f>
        <v/>
      </c>
      <c r="L538" s="33">
        <f>J538-K538</f>
        <v/>
      </c>
      <c r="M538" s="30">
        <f>IF(B538=0,PolicyCount,0)</f>
        <v/>
      </c>
      <c r="N538" s="33">
        <f>L538+M538</f>
        <v/>
      </c>
      <c r="O538" s="31">
        <f>N538*G538</f>
        <v/>
      </c>
      <c r="P538" s="33">
        <f>(N538-O538)*(1-(1-H538)^(1/12))</f>
        <v/>
      </c>
      <c r="Q538" s="34">
        <f>X537+Z537</f>
        <v/>
      </c>
      <c r="R538" s="29">
        <f>(1-LoadPremRate)*E538</f>
        <v/>
      </c>
      <c r="S538" s="34">
        <f>Q538+R538</f>
        <v/>
      </c>
      <c r="T538" s="29">
        <f>MaintFeeRateAnn/12*S538</f>
        <v/>
      </c>
      <c r="U538" s="29">
        <f>MAX(SumAssured-S538,0)</f>
        <v/>
      </c>
      <c r="V538" s="35">
        <f>CoiMultiple*G538</f>
        <v/>
      </c>
      <c r="W538" s="34">
        <f>V538*U538</f>
        <v/>
      </c>
      <c r="X538" s="34">
        <f>S538-T538-W538</f>
        <v/>
      </c>
      <c r="Y538" s="36">
        <f>EXP((Mu-0.5*Sigma^2)/12+Sigma*SQRT(1/12)*INDEX(NormRand,ScenID,A538+1))-1</f>
        <v/>
      </c>
      <c r="Z538" s="34">
        <f>Y538*X538</f>
        <v/>
      </c>
      <c r="AA538" s="34">
        <f>X538+0.5*Z538</f>
        <v/>
      </c>
      <c r="AB538" s="34">
        <f>Q538*J538</f>
        <v/>
      </c>
      <c r="AC538" s="34">
        <f>Q538*L538</f>
        <v/>
      </c>
      <c r="AD538" s="34">
        <f>S538*N538</f>
        <v/>
      </c>
      <c r="AE538" s="34">
        <f>E538*N538</f>
        <v/>
      </c>
      <c r="AF538" s="34">
        <f>R538*N538</f>
        <v/>
      </c>
      <c r="AG538" s="29">
        <f>MAX(SumAssured,AA538)</f>
        <v/>
      </c>
      <c r="AH538" s="34">
        <f>AG538*O538</f>
        <v/>
      </c>
      <c r="AI538" s="34">
        <f>AA538*O538</f>
        <v/>
      </c>
      <c r="AJ538" s="34">
        <f>AA538*P538</f>
        <v/>
      </c>
      <c r="AK538" s="34">
        <f>I538*AA538*P538</f>
        <v/>
      </c>
      <c r="AL538" s="34">
        <f>AJ538-AK538</f>
        <v/>
      </c>
      <c r="AM538" s="34">
        <f>Q538*K538</f>
        <v/>
      </c>
      <c r="AN538" s="34">
        <f>AH538+AL538+AM538</f>
        <v/>
      </c>
      <c r="AO538" s="34">
        <f>(AG538-AA538)*O538</f>
        <v/>
      </c>
      <c r="AP538" s="34">
        <f>W538*N538</f>
        <v/>
      </c>
      <c r="AQ538" s="34">
        <f>T538*N538</f>
        <v/>
      </c>
      <c r="AR538" s="34">
        <f>Z538*J539+0.5*Z538*(O538+P538)</f>
        <v/>
      </c>
      <c r="AS538" s="30">
        <f>(1+InflationRate)^(A538/12)</f>
        <v/>
      </c>
      <c r="AT538" s="29">
        <f>ExpenseAcq*M538+N538*ExpenseMaint/12*AS538</f>
        <v/>
      </c>
      <c r="AU538" s="29">
        <f>CommissionRate*AE538</f>
        <v/>
      </c>
      <c r="AV538" s="34">
        <f>AB539-AB538</f>
        <v/>
      </c>
      <c r="AW538" s="34">
        <f>AE538+AR538-AN538-AT538-AU538-AV538</f>
        <v/>
      </c>
      <c r="AX538" s="29">
        <f>LoadPremRate*E538*N538+AK538+AQ538-AU538-AT538</f>
        <v/>
      </c>
      <c r="AY538" s="34">
        <f>AP538-AO538</f>
        <v/>
      </c>
      <c r="AZ538" s="37">
        <f>(AW538-AX538-AY538)/MAX(1,ABS(AW538),ABS(AX538),ABS(AY538))</f>
        <v/>
      </c>
      <c r="BA538" s="37">
        <f>IF(OR(K538&gt;0,K539&gt;0),0,(AC539-(AC538+AF538-AQ538-AP538+AR538-AI538-AJ538-AM538))/MAX(1,ABS(AC538),ABS(AC539)))</f>
        <v/>
      </c>
      <c r="BB538" s="35">
        <f>(1+INDEX(DiscRateAnn,INT(A538/12)+1))^(1/12)-1</f>
        <v/>
      </c>
      <c r="BC538" s="31">
        <f>(1+BB538)^-A538</f>
        <v/>
      </c>
      <c r="BD538" s="34">
        <f>AW538*BC538</f>
        <v/>
      </c>
    </row>
    <row r="539">
      <c r="A539" s="27">
        <f>A538+1</f>
        <v/>
      </c>
      <c r="B539" s="28">
        <f>Duration0+A539</f>
        <v/>
      </c>
      <c r="C539" s="27">
        <f>INT(B539/12)</f>
        <v/>
      </c>
      <c r="D539" s="28">
        <f>AgeAtEntry+C539</f>
        <v/>
      </c>
      <c r="E539" s="29">
        <f>IF(PremiumType="SINGLE",IF(B539=0,PremiumPPInput,0),IF(B539&lt;12*PolicyTerm,PremiumPPInput,0))</f>
        <v/>
      </c>
      <c r="F539" s="30">
        <f>INDEX(MortRates,MATCH(MIN(D539,120),MortAges,0),MAX(MIN(C539,5),0)+1)</f>
        <v/>
      </c>
      <c r="G539" s="31">
        <f>1-(1-F539)^(1/12)</f>
        <v/>
      </c>
      <c r="H539" s="32">
        <f>MAX(LapseBase-LapseStep*C539,LapseFloor)</f>
        <v/>
      </c>
      <c r="I539" s="32">
        <f>IF(HasSurrCharge,INDEX(SurrRates,MIN(C539,SurrDurMax)+1,MATCH(SurrChargeID,SurrTypes,0)),0)</f>
        <v/>
      </c>
      <c r="J539" s="33">
        <f>N538-P538-O538</f>
        <v/>
      </c>
      <c r="K539" s="30">
        <f>IF(B539=12*PolicyTerm,J539,0)</f>
        <v/>
      </c>
      <c r="L539" s="33">
        <f>J539-K539</f>
        <v/>
      </c>
      <c r="M539" s="30">
        <f>IF(B539=0,PolicyCount,0)</f>
        <v/>
      </c>
      <c r="N539" s="33">
        <f>L539+M539</f>
        <v/>
      </c>
      <c r="O539" s="31">
        <f>N539*G539</f>
        <v/>
      </c>
      <c r="P539" s="33">
        <f>(N539-O539)*(1-(1-H539)^(1/12))</f>
        <v/>
      </c>
      <c r="Q539" s="34">
        <f>X538+Z538</f>
        <v/>
      </c>
      <c r="R539" s="29">
        <f>(1-LoadPremRate)*E539</f>
        <v/>
      </c>
      <c r="S539" s="34">
        <f>Q539+R539</f>
        <v/>
      </c>
      <c r="T539" s="29">
        <f>MaintFeeRateAnn/12*S539</f>
        <v/>
      </c>
      <c r="U539" s="29">
        <f>MAX(SumAssured-S539,0)</f>
        <v/>
      </c>
      <c r="V539" s="35">
        <f>CoiMultiple*G539</f>
        <v/>
      </c>
      <c r="W539" s="34">
        <f>V539*U539</f>
        <v/>
      </c>
      <c r="X539" s="34">
        <f>S539-T539-W539</f>
        <v/>
      </c>
      <c r="Y539" s="36">
        <f>EXP((Mu-0.5*Sigma^2)/12+Sigma*SQRT(1/12)*INDEX(NormRand,ScenID,A539+1))-1</f>
        <v/>
      </c>
      <c r="Z539" s="34">
        <f>Y539*X539</f>
        <v/>
      </c>
      <c r="AA539" s="34">
        <f>X539+0.5*Z539</f>
        <v/>
      </c>
      <c r="AB539" s="34">
        <f>Q539*J539</f>
        <v/>
      </c>
      <c r="AC539" s="34">
        <f>Q539*L539</f>
        <v/>
      </c>
      <c r="AD539" s="34">
        <f>S539*N539</f>
        <v/>
      </c>
      <c r="AE539" s="34">
        <f>E539*N539</f>
        <v/>
      </c>
      <c r="AF539" s="34">
        <f>R539*N539</f>
        <v/>
      </c>
      <c r="AG539" s="29">
        <f>MAX(SumAssured,AA539)</f>
        <v/>
      </c>
      <c r="AH539" s="34">
        <f>AG539*O539</f>
        <v/>
      </c>
      <c r="AI539" s="34">
        <f>AA539*O539</f>
        <v/>
      </c>
      <c r="AJ539" s="34">
        <f>AA539*P539</f>
        <v/>
      </c>
      <c r="AK539" s="34">
        <f>I539*AA539*P539</f>
        <v/>
      </c>
      <c r="AL539" s="34">
        <f>AJ539-AK539</f>
        <v/>
      </c>
      <c r="AM539" s="34">
        <f>Q539*K539</f>
        <v/>
      </c>
      <c r="AN539" s="34">
        <f>AH539+AL539+AM539</f>
        <v/>
      </c>
      <c r="AO539" s="34">
        <f>(AG539-AA539)*O539</f>
        <v/>
      </c>
      <c r="AP539" s="34">
        <f>W539*N539</f>
        <v/>
      </c>
      <c r="AQ539" s="34">
        <f>T539*N539</f>
        <v/>
      </c>
      <c r="AR539" s="34">
        <f>Z539*J540+0.5*Z539*(O539+P539)</f>
        <v/>
      </c>
      <c r="AS539" s="30">
        <f>(1+InflationRate)^(A539/12)</f>
        <v/>
      </c>
      <c r="AT539" s="29">
        <f>ExpenseAcq*M539+N539*ExpenseMaint/12*AS539</f>
        <v/>
      </c>
      <c r="AU539" s="29">
        <f>CommissionRate*AE539</f>
        <v/>
      </c>
      <c r="AV539" s="34">
        <f>AB540-AB539</f>
        <v/>
      </c>
      <c r="AW539" s="34">
        <f>AE539+AR539-AN539-AT539-AU539-AV539</f>
        <v/>
      </c>
      <c r="AX539" s="29">
        <f>LoadPremRate*E539*N539+AK539+AQ539-AU539-AT539</f>
        <v/>
      </c>
      <c r="AY539" s="34">
        <f>AP539-AO539</f>
        <v/>
      </c>
      <c r="AZ539" s="37">
        <f>(AW539-AX539-AY539)/MAX(1,ABS(AW539),ABS(AX539),ABS(AY539))</f>
        <v/>
      </c>
      <c r="BA539" s="37">
        <f>IF(OR(K539&gt;0,K540&gt;0),0,(AC540-(AC539+AF539-AQ539-AP539+AR539-AI539-AJ539-AM539))/MAX(1,ABS(AC539),ABS(AC540)))</f>
        <v/>
      </c>
      <c r="BB539" s="35">
        <f>(1+INDEX(DiscRateAnn,INT(A539/12)+1))^(1/12)-1</f>
        <v/>
      </c>
      <c r="BC539" s="31">
        <f>(1+BB539)^-A539</f>
        <v/>
      </c>
      <c r="BD539" s="34">
        <f>AW539*BC539</f>
        <v/>
      </c>
    </row>
    <row r="540">
      <c r="A540" s="27">
        <f>A539+1</f>
        <v/>
      </c>
      <c r="B540" s="28">
        <f>Duration0+A540</f>
        <v/>
      </c>
      <c r="C540" s="27">
        <f>INT(B540/12)</f>
        <v/>
      </c>
      <c r="D540" s="28">
        <f>AgeAtEntry+C540</f>
        <v/>
      </c>
      <c r="E540" s="29">
        <f>IF(PremiumType="SINGLE",IF(B540=0,PremiumPPInput,0),IF(B540&lt;12*PolicyTerm,PremiumPPInput,0))</f>
        <v/>
      </c>
      <c r="F540" s="30">
        <f>INDEX(MortRates,MATCH(MIN(D540,120),MortAges,0),MAX(MIN(C540,5),0)+1)</f>
        <v/>
      </c>
      <c r="G540" s="31">
        <f>1-(1-F540)^(1/12)</f>
        <v/>
      </c>
      <c r="H540" s="32">
        <f>MAX(LapseBase-LapseStep*C540,LapseFloor)</f>
        <v/>
      </c>
      <c r="I540" s="32">
        <f>IF(HasSurrCharge,INDEX(SurrRates,MIN(C540,SurrDurMax)+1,MATCH(SurrChargeID,SurrTypes,0)),0)</f>
        <v/>
      </c>
      <c r="J540" s="33">
        <f>N539-P539-O539</f>
        <v/>
      </c>
      <c r="K540" s="30">
        <f>IF(B540=12*PolicyTerm,J540,0)</f>
        <v/>
      </c>
      <c r="L540" s="33">
        <f>J540-K540</f>
        <v/>
      </c>
      <c r="M540" s="30">
        <f>IF(B540=0,PolicyCount,0)</f>
        <v/>
      </c>
      <c r="N540" s="33">
        <f>L540+M540</f>
        <v/>
      </c>
      <c r="O540" s="31">
        <f>N540*G540</f>
        <v/>
      </c>
      <c r="P540" s="33">
        <f>(N540-O540)*(1-(1-H540)^(1/12))</f>
        <v/>
      </c>
      <c r="Q540" s="34">
        <f>X539+Z539</f>
        <v/>
      </c>
      <c r="R540" s="29">
        <f>(1-LoadPremRate)*E540</f>
        <v/>
      </c>
      <c r="S540" s="34">
        <f>Q540+R540</f>
        <v/>
      </c>
      <c r="T540" s="29">
        <f>MaintFeeRateAnn/12*S540</f>
        <v/>
      </c>
      <c r="U540" s="29">
        <f>MAX(SumAssured-S540,0)</f>
        <v/>
      </c>
      <c r="V540" s="35">
        <f>CoiMultiple*G540</f>
        <v/>
      </c>
      <c r="W540" s="34">
        <f>V540*U540</f>
        <v/>
      </c>
      <c r="X540" s="34">
        <f>S540-T540-W540</f>
        <v/>
      </c>
      <c r="Y540" s="36">
        <f>EXP((Mu-0.5*Sigma^2)/12+Sigma*SQRT(1/12)*INDEX(NormRand,ScenID,A540+1))-1</f>
        <v/>
      </c>
      <c r="Z540" s="34">
        <f>Y540*X540</f>
        <v/>
      </c>
      <c r="AA540" s="34">
        <f>X540+0.5*Z540</f>
        <v/>
      </c>
      <c r="AB540" s="34">
        <f>Q540*J540</f>
        <v/>
      </c>
      <c r="AC540" s="34">
        <f>Q540*L540</f>
        <v/>
      </c>
      <c r="AD540" s="34">
        <f>S540*N540</f>
        <v/>
      </c>
      <c r="AE540" s="34">
        <f>E540*N540</f>
        <v/>
      </c>
      <c r="AF540" s="34">
        <f>R540*N540</f>
        <v/>
      </c>
      <c r="AG540" s="29">
        <f>MAX(SumAssured,AA540)</f>
        <v/>
      </c>
      <c r="AH540" s="34">
        <f>AG540*O540</f>
        <v/>
      </c>
      <c r="AI540" s="34">
        <f>AA540*O540</f>
        <v/>
      </c>
      <c r="AJ540" s="34">
        <f>AA540*P540</f>
        <v/>
      </c>
      <c r="AK540" s="34">
        <f>I540*AA540*P540</f>
        <v/>
      </c>
      <c r="AL540" s="34">
        <f>AJ540-AK540</f>
        <v/>
      </c>
      <c r="AM540" s="34">
        <f>Q540*K540</f>
        <v/>
      </c>
      <c r="AN540" s="34">
        <f>AH540+AL540+AM540</f>
        <v/>
      </c>
      <c r="AO540" s="34">
        <f>(AG540-AA540)*O540</f>
        <v/>
      </c>
      <c r="AP540" s="34">
        <f>W540*N540</f>
        <v/>
      </c>
      <c r="AQ540" s="34">
        <f>T540*N540</f>
        <v/>
      </c>
      <c r="AR540" s="34">
        <f>Z540*J541+0.5*Z540*(O540+P540)</f>
        <v/>
      </c>
      <c r="AS540" s="30">
        <f>(1+InflationRate)^(A540/12)</f>
        <v/>
      </c>
      <c r="AT540" s="29">
        <f>ExpenseAcq*M540+N540*ExpenseMaint/12*AS540</f>
        <v/>
      </c>
      <c r="AU540" s="29">
        <f>CommissionRate*AE540</f>
        <v/>
      </c>
      <c r="AV540" s="34">
        <f>AB541-AB540</f>
        <v/>
      </c>
      <c r="AW540" s="34">
        <f>AE540+AR540-AN540-AT540-AU540-AV540</f>
        <v/>
      </c>
      <c r="AX540" s="29">
        <f>LoadPremRate*E540*N540+AK540+AQ540-AU540-AT540</f>
        <v/>
      </c>
      <c r="AY540" s="34">
        <f>AP540-AO540</f>
        <v/>
      </c>
      <c r="AZ540" s="37">
        <f>(AW540-AX540-AY540)/MAX(1,ABS(AW540),ABS(AX540),ABS(AY540))</f>
        <v/>
      </c>
      <c r="BA540" s="37">
        <f>IF(OR(K540&gt;0,K541&gt;0),0,(AC541-(AC540+AF540-AQ540-AP540+AR540-AI540-AJ540-AM540))/MAX(1,ABS(AC540),ABS(AC541)))</f>
        <v/>
      </c>
      <c r="BB540" s="35">
        <f>(1+INDEX(DiscRateAnn,INT(A540/12)+1))^(1/12)-1</f>
        <v/>
      </c>
      <c r="BC540" s="31">
        <f>(1+BB540)^-A540</f>
        <v/>
      </c>
      <c r="BD540" s="34">
        <f>AW540*BC540</f>
        <v/>
      </c>
    </row>
    <row r="541">
      <c r="A541" s="27">
        <f>A540+1</f>
        <v/>
      </c>
      <c r="B541" s="28">
        <f>Duration0+A541</f>
        <v/>
      </c>
      <c r="C541" s="27">
        <f>INT(B541/12)</f>
        <v/>
      </c>
      <c r="D541" s="28">
        <f>AgeAtEntry+C541</f>
        <v/>
      </c>
      <c r="E541" s="29">
        <f>IF(PremiumType="SINGLE",IF(B541=0,PremiumPPInput,0),IF(B541&lt;12*PolicyTerm,PremiumPPInput,0))</f>
        <v/>
      </c>
      <c r="F541" s="30">
        <f>INDEX(MortRates,MATCH(MIN(D541,120),MortAges,0),MAX(MIN(C541,5),0)+1)</f>
        <v/>
      </c>
      <c r="G541" s="31">
        <f>1-(1-F541)^(1/12)</f>
        <v/>
      </c>
      <c r="H541" s="32">
        <f>MAX(LapseBase-LapseStep*C541,LapseFloor)</f>
        <v/>
      </c>
      <c r="I541" s="32">
        <f>IF(HasSurrCharge,INDEX(SurrRates,MIN(C541,SurrDurMax)+1,MATCH(SurrChargeID,SurrTypes,0)),0)</f>
        <v/>
      </c>
      <c r="J541" s="33">
        <f>N540-P540-O540</f>
        <v/>
      </c>
      <c r="K541" s="30">
        <f>IF(B541=12*PolicyTerm,J541,0)</f>
        <v/>
      </c>
      <c r="L541" s="33">
        <f>J541-K541</f>
        <v/>
      </c>
      <c r="M541" s="30">
        <f>IF(B541=0,PolicyCount,0)</f>
        <v/>
      </c>
      <c r="N541" s="33">
        <f>L541+M541</f>
        <v/>
      </c>
      <c r="O541" s="31">
        <f>N541*G541</f>
        <v/>
      </c>
      <c r="P541" s="33">
        <f>(N541-O541)*(1-(1-H541)^(1/12))</f>
        <v/>
      </c>
      <c r="Q541" s="34">
        <f>X540+Z540</f>
        <v/>
      </c>
      <c r="R541" s="29">
        <f>(1-LoadPremRate)*E541</f>
        <v/>
      </c>
      <c r="S541" s="34">
        <f>Q541+R541</f>
        <v/>
      </c>
      <c r="T541" s="29">
        <f>MaintFeeRateAnn/12*S541</f>
        <v/>
      </c>
      <c r="U541" s="29">
        <f>MAX(SumAssured-S541,0)</f>
        <v/>
      </c>
      <c r="V541" s="35">
        <f>CoiMultiple*G541</f>
        <v/>
      </c>
      <c r="W541" s="34">
        <f>V541*U541</f>
        <v/>
      </c>
      <c r="X541" s="34">
        <f>S541-T541-W541</f>
        <v/>
      </c>
      <c r="Y541" s="36">
        <f>EXP((Mu-0.5*Sigma^2)/12+Sigma*SQRT(1/12)*INDEX(NormRand,ScenID,A541+1))-1</f>
        <v/>
      </c>
      <c r="Z541" s="34">
        <f>Y541*X541</f>
        <v/>
      </c>
      <c r="AA541" s="34">
        <f>X541+0.5*Z541</f>
        <v/>
      </c>
      <c r="AB541" s="34">
        <f>Q541*J541</f>
        <v/>
      </c>
      <c r="AC541" s="34">
        <f>Q541*L541</f>
        <v/>
      </c>
      <c r="AD541" s="34">
        <f>S541*N541</f>
        <v/>
      </c>
      <c r="AE541" s="34">
        <f>E541*N541</f>
        <v/>
      </c>
      <c r="AF541" s="34">
        <f>R541*N541</f>
        <v/>
      </c>
      <c r="AG541" s="29">
        <f>MAX(SumAssured,AA541)</f>
        <v/>
      </c>
      <c r="AH541" s="34">
        <f>AG541*O541</f>
        <v/>
      </c>
      <c r="AI541" s="34">
        <f>AA541*O541</f>
        <v/>
      </c>
      <c r="AJ541" s="34">
        <f>AA541*P541</f>
        <v/>
      </c>
      <c r="AK541" s="34">
        <f>I541*AA541*P541</f>
        <v/>
      </c>
      <c r="AL541" s="34">
        <f>AJ541-AK541</f>
        <v/>
      </c>
      <c r="AM541" s="34">
        <f>Q541*K541</f>
        <v/>
      </c>
      <c r="AN541" s="34">
        <f>AH541+AL541+AM541</f>
        <v/>
      </c>
      <c r="AO541" s="34">
        <f>(AG541-AA541)*O541</f>
        <v/>
      </c>
      <c r="AP541" s="34">
        <f>W541*N541</f>
        <v/>
      </c>
      <c r="AQ541" s="34">
        <f>T541*N541</f>
        <v/>
      </c>
      <c r="AR541" s="34">
        <f>Z541*J542+0.5*Z541*(O541+P541)</f>
        <v/>
      </c>
      <c r="AS541" s="30">
        <f>(1+InflationRate)^(A541/12)</f>
        <v/>
      </c>
      <c r="AT541" s="29">
        <f>ExpenseAcq*M541+N541*ExpenseMaint/12*AS541</f>
        <v/>
      </c>
      <c r="AU541" s="29">
        <f>CommissionRate*AE541</f>
        <v/>
      </c>
      <c r="AV541" s="34">
        <f>AB542-AB541</f>
        <v/>
      </c>
      <c r="AW541" s="34">
        <f>AE541+AR541-AN541-AT541-AU541-AV541</f>
        <v/>
      </c>
      <c r="AX541" s="29">
        <f>LoadPremRate*E541*N541+AK541+AQ541-AU541-AT541</f>
        <v/>
      </c>
      <c r="AY541" s="34">
        <f>AP541-AO541</f>
        <v/>
      </c>
      <c r="AZ541" s="37">
        <f>(AW541-AX541-AY541)/MAX(1,ABS(AW541),ABS(AX541),ABS(AY541))</f>
        <v/>
      </c>
      <c r="BA541" s="37">
        <f>IF(OR(K541&gt;0,K542&gt;0),0,(AC542-(AC541+AF541-AQ541-AP541+AR541-AI541-AJ541-AM541))/MAX(1,ABS(AC541),ABS(AC542)))</f>
        <v/>
      </c>
      <c r="BB541" s="35">
        <f>(1+INDEX(DiscRateAnn,INT(A541/12)+1))^(1/12)-1</f>
        <v/>
      </c>
      <c r="BC541" s="31">
        <f>(1+BB541)^-A541</f>
        <v/>
      </c>
      <c r="BD541" s="34">
        <f>AW541*BC541</f>
        <v/>
      </c>
    </row>
    <row r="542">
      <c r="A542" s="27">
        <f>A541+1</f>
        <v/>
      </c>
      <c r="B542" s="28">
        <f>Duration0+A542</f>
        <v/>
      </c>
      <c r="C542" s="27">
        <f>INT(B542/12)</f>
        <v/>
      </c>
      <c r="D542" s="28">
        <f>AgeAtEntry+C542</f>
        <v/>
      </c>
      <c r="E542" s="29">
        <f>IF(PremiumType="SINGLE",IF(B542=0,PremiumPPInput,0),IF(B542&lt;12*PolicyTerm,PremiumPPInput,0))</f>
        <v/>
      </c>
      <c r="F542" s="30">
        <f>INDEX(MortRates,MATCH(MIN(D542,120),MortAges,0),MAX(MIN(C542,5),0)+1)</f>
        <v/>
      </c>
      <c r="G542" s="31">
        <f>1-(1-F542)^(1/12)</f>
        <v/>
      </c>
      <c r="H542" s="32">
        <f>MAX(LapseBase-LapseStep*C542,LapseFloor)</f>
        <v/>
      </c>
      <c r="I542" s="32">
        <f>IF(HasSurrCharge,INDEX(SurrRates,MIN(C542,SurrDurMax)+1,MATCH(SurrChargeID,SurrTypes,0)),0)</f>
        <v/>
      </c>
      <c r="J542" s="33">
        <f>N541-P541-O541</f>
        <v/>
      </c>
      <c r="K542" s="30">
        <f>IF(B542=12*PolicyTerm,J542,0)</f>
        <v/>
      </c>
      <c r="L542" s="33">
        <f>J542-K542</f>
        <v/>
      </c>
      <c r="M542" s="30">
        <f>IF(B542=0,PolicyCount,0)</f>
        <v/>
      </c>
      <c r="N542" s="33">
        <f>L542+M542</f>
        <v/>
      </c>
      <c r="O542" s="31">
        <f>N542*G542</f>
        <v/>
      </c>
      <c r="P542" s="33">
        <f>(N542-O542)*(1-(1-H542)^(1/12))</f>
        <v/>
      </c>
      <c r="Q542" s="34">
        <f>X541+Z541</f>
        <v/>
      </c>
      <c r="R542" s="29">
        <f>(1-LoadPremRate)*E542</f>
        <v/>
      </c>
      <c r="S542" s="34">
        <f>Q542+R542</f>
        <v/>
      </c>
      <c r="T542" s="29">
        <f>MaintFeeRateAnn/12*S542</f>
        <v/>
      </c>
      <c r="U542" s="29">
        <f>MAX(SumAssured-S542,0)</f>
        <v/>
      </c>
      <c r="V542" s="35">
        <f>CoiMultiple*G542</f>
        <v/>
      </c>
      <c r="W542" s="34">
        <f>V542*U542</f>
        <v/>
      </c>
      <c r="X542" s="34">
        <f>S542-T542-W542</f>
        <v/>
      </c>
      <c r="Y542" s="36">
        <f>EXP((Mu-0.5*Sigma^2)/12+Sigma*SQRT(1/12)*INDEX(NormRand,ScenID,A542+1))-1</f>
        <v/>
      </c>
      <c r="Z542" s="34">
        <f>Y542*X542</f>
        <v/>
      </c>
      <c r="AA542" s="34">
        <f>X542+0.5*Z542</f>
        <v/>
      </c>
      <c r="AB542" s="34">
        <f>Q542*J542</f>
        <v/>
      </c>
      <c r="AC542" s="34">
        <f>Q542*L542</f>
        <v/>
      </c>
      <c r="AD542" s="34">
        <f>S542*N542</f>
        <v/>
      </c>
      <c r="AE542" s="34">
        <f>E542*N542</f>
        <v/>
      </c>
      <c r="AF542" s="34">
        <f>R542*N542</f>
        <v/>
      </c>
      <c r="AG542" s="29">
        <f>MAX(SumAssured,AA542)</f>
        <v/>
      </c>
      <c r="AH542" s="34">
        <f>AG542*O542</f>
        <v/>
      </c>
      <c r="AI542" s="34">
        <f>AA542*O542</f>
        <v/>
      </c>
      <c r="AJ542" s="34">
        <f>AA542*P542</f>
        <v/>
      </c>
      <c r="AK542" s="34">
        <f>I542*AA542*P542</f>
        <v/>
      </c>
      <c r="AL542" s="34">
        <f>AJ542-AK542</f>
        <v/>
      </c>
      <c r="AM542" s="34">
        <f>Q542*K542</f>
        <v/>
      </c>
      <c r="AN542" s="34">
        <f>AH542+AL542+AM542</f>
        <v/>
      </c>
      <c r="AO542" s="34">
        <f>(AG542-AA542)*O542</f>
        <v/>
      </c>
      <c r="AP542" s="34">
        <f>W542*N542</f>
        <v/>
      </c>
      <c r="AQ542" s="34">
        <f>T542*N542</f>
        <v/>
      </c>
      <c r="AR542" s="34">
        <f>Z542*J543+0.5*Z542*(O542+P542)</f>
        <v/>
      </c>
      <c r="AS542" s="30">
        <f>(1+InflationRate)^(A542/12)</f>
        <v/>
      </c>
      <c r="AT542" s="29">
        <f>ExpenseAcq*M542+N542*ExpenseMaint/12*AS542</f>
        <v/>
      </c>
      <c r="AU542" s="29">
        <f>CommissionRate*AE542</f>
        <v/>
      </c>
      <c r="AV542" s="34">
        <f>AB543-AB542</f>
        <v/>
      </c>
      <c r="AW542" s="34">
        <f>AE542+AR542-AN542-AT542-AU542-AV542</f>
        <v/>
      </c>
      <c r="AX542" s="29">
        <f>LoadPremRate*E542*N542+AK542+AQ542-AU542-AT542</f>
        <v/>
      </c>
      <c r="AY542" s="34">
        <f>AP542-AO542</f>
        <v/>
      </c>
      <c r="AZ542" s="37">
        <f>(AW542-AX542-AY542)/MAX(1,ABS(AW542),ABS(AX542),ABS(AY542))</f>
        <v/>
      </c>
      <c r="BA542" s="37">
        <f>IF(OR(K542&gt;0,K543&gt;0),0,(AC543-(AC542+AF542-AQ542-AP542+AR542-AI542-AJ542-AM542))/MAX(1,ABS(AC542),ABS(AC543)))</f>
        <v/>
      </c>
      <c r="BB542" s="35">
        <f>(1+INDEX(DiscRateAnn,INT(A542/12)+1))^(1/12)-1</f>
        <v/>
      </c>
      <c r="BC542" s="31">
        <f>(1+BB542)^-A542</f>
        <v/>
      </c>
      <c r="BD542" s="34">
        <f>AW542*BC542</f>
        <v/>
      </c>
    </row>
    <row r="543">
      <c r="A543" s="27">
        <f>A542+1</f>
        <v/>
      </c>
      <c r="B543" s="28">
        <f>Duration0+A543</f>
        <v/>
      </c>
      <c r="C543" s="27">
        <f>INT(B543/12)</f>
        <v/>
      </c>
      <c r="D543" s="28">
        <f>AgeAtEntry+C543</f>
        <v/>
      </c>
      <c r="E543" s="29">
        <f>IF(PremiumType="SINGLE",IF(B543=0,PremiumPPInput,0),IF(B543&lt;12*PolicyTerm,PremiumPPInput,0))</f>
        <v/>
      </c>
      <c r="F543" s="30">
        <f>INDEX(MortRates,MATCH(MIN(D543,120),MortAges,0),MAX(MIN(C543,5),0)+1)</f>
        <v/>
      </c>
      <c r="G543" s="31">
        <f>1-(1-F543)^(1/12)</f>
        <v/>
      </c>
      <c r="H543" s="32">
        <f>MAX(LapseBase-LapseStep*C543,LapseFloor)</f>
        <v/>
      </c>
      <c r="I543" s="32">
        <f>IF(HasSurrCharge,INDEX(SurrRates,MIN(C543,SurrDurMax)+1,MATCH(SurrChargeID,SurrTypes,0)),0)</f>
        <v/>
      </c>
      <c r="J543" s="33">
        <f>N542-P542-O542</f>
        <v/>
      </c>
      <c r="K543" s="30">
        <f>IF(B543=12*PolicyTerm,J543,0)</f>
        <v/>
      </c>
      <c r="L543" s="33">
        <f>J543-K543</f>
        <v/>
      </c>
      <c r="M543" s="30">
        <f>IF(B543=0,PolicyCount,0)</f>
        <v/>
      </c>
      <c r="N543" s="33">
        <f>L543+M543</f>
        <v/>
      </c>
      <c r="O543" s="31">
        <f>N543*G543</f>
        <v/>
      </c>
      <c r="P543" s="33">
        <f>(N543-O543)*(1-(1-H543)^(1/12))</f>
        <v/>
      </c>
      <c r="Q543" s="34">
        <f>X542+Z542</f>
        <v/>
      </c>
      <c r="R543" s="29">
        <f>(1-LoadPremRate)*E543</f>
        <v/>
      </c>
      <c r="S543" s="34">
        <f>Q543+R543</f>
        <v/>
      </c>
      <c r="T543" s="29">
        <f>MaintFeeRateAnn/12*S543</f>
        <v/>
      </c>
      <c r="U543" s="29">
        <f>MAX(SumAssured-S543,0)</f>
        <v/>
      </c>
      <c r="V543" s="35">
        <f>CoiMultiple*G543</f>
        <v/>
      </c>
      <c r="W543" s="34">
        <f>V543*U543</f>
        <v/>
      </c>
      <c r="X543" s="34">
        <f>S543-T543-W543</f>
        <v/>
      </c>
      <c r="Y543" s="36">
        <f>EXP((Mu-0.5*Sigma^2)/12+Sigma*SQRT(1/12)*INDEX(NormRand,ScenID,A543+1))-1</f>
        <v/>
      </c>
      <c r="Z543" s="34">
        <f>Y543*X543</f>
        <v/>
      </c>
      <c r="AA543" s="34">
        <f>X543+0.5*Z543</f>
        <v/>
      </c>
      <c r="AB543" s="34">
        <f>Q543*J543</f>
        <v/>
      </c>
      <c r="AC543" s="34">
        <f>Q543*L543</f>
        <v/>
      </c>
      <c r="AD543" s="34">
        <f>S543*N543</f>
        <v/>
      </c>
      <c r="AE543" s="34">
        <f>E543*N543</f>
        <v/>
      </c>
      <c r="AF543" s="34">
        <f>R543*N543</f>
        <v/>
      </c>
      <c r="AG543" s="29">
        <f>MAX(SumAssured,AA543)</f>
        <v/>
      </c>
      <c r="AH543" s="34">
        <f>AG543*O543</f>
        <v/>
      </c>
      <c r="AI543" s="34">
        <f>AA543*O543</f>
        <v/>
      </c>
      <c r="AJ543" s="34">
        <f>AA543*P543</f>
        <v/>
      </c>
      <c r="AK543" s="34">
        <f>I543*AA543*P543</f>
        <v/>
      </c>
      <c r="AL543" s="34">
        <f>AJ543-AK543</f>
        <v/>
      </c>
      <c r="AM543" s="34">
        <f>Q543*K543</f>
        <v/>
      </c>
      <c r="AN543" s="34">
        <f>AH543+AL543+AM543</f>
        <v/>
      </c>
      <c r="AO543" s="34">
        <f>(AG543-AA543)*O543</f>
        <v/>
      </c>
      <c r="AP543" s="34">
        <f>W543*N543</f>
        <v/>
      </c>
      <c r="AQ543" s="34">
        <f>T543*N543</f>
        <v/>
      </c>
      <c r="AR543" s="34">
        <f>Z543*J544+0.5*Z543*(O543+P543)</f>
        <v/>
      </c>
      <c r="AS543" s="30">
        <f>(1+InflationRate)^(A543/12)</f>
        <v/>
      </c>
      <c r="AT543" s="29">
        <f>ExpenseAcq*M543+N543*ExpenseMaint/12*AS543</f>
        <v/>
      </c>
      <c r="AU543" s="29">
        <f>CommissionRate*AE543</f>
        <v/>
      </c>
      <c r="AV543" s="34">
        <f>AB544-AB543</f>
        <v/>
      </c>
      <c r="AW543" s="34">
        <f>AE543+AR543-AN543-AT543-AU543-AV543</f>
        <v/>
      </c>
      <c r="AX543" s="29">
        <f>LoadPremRate*E543*N543+AK543+AQ543-AU543-AT543</f>
        <v/>
      </c>
      <c r="AY543" s="34">
        <f>AP543-AO543</f>
        <v/>
      </c>
      <c r="AZ543" s="37">
        <f>(AW543-AX543-AY543)/MAX(1,ABS(AW543),ABS(AX543),ABS(AY543))</f>
        <v/>
      </c>
      <c r="BA543" s="37">
        <f>IF(OR(K543&gt;0,K544&gt;0),0,(AC544-(AC543+AF543-AQ543-AP543+AR543-AI543-AJ543-AM543))/MAX(1,ABS(AC543),ABS(AC544)))</f>
        <v/>
      </c>
      <c r="BB543" s="35">
        <f>(1+INDEX(DiscRateAnn,INT(A543/12)+1))^(1/12)-1</f>
        <v/>
      </c>
      <c r="BC543" s="31">
        <f>(1+BB543)^-A543</f>
        <v/>
      </c>
      <c r="BD543" s="34">
        <f>AW543*BC543</f>
        <v/>
      </c>
    </row>
    <row r="544">
      <c r="A544" s="27">
        <f>A543+1</f>
        <v/>
      </c>
      <c r="B544" s="28">
        <f>Duration0+A544</f>
        <v/>
      </c>
      <c r="C544" s="27">
        <f>INT(B544/12)</f>
        <v/>
      </c>
      <c r="D544" s="28">
        <f>AgeAtEntry+C544</f>
        <v/>
      </c>
      <c r="E544" s="29">
        <f>IF(PremiumType="SINGLE",IF(B544=0,PremiumPPInput,0),IF(B544&lt;12*PolicyTerm,PremiumPPInput,0))</f>
        <v/>
      </c>
      <c r="F544" s="30">
        <f>INDEX(MortRates,MATCH(MIN(D544,120),MortAges,0),MAX(MIN(C544,5),0)+1)</f>
        <v/>
      </c>
      <c r="G544" s="31">
        <f>1-(1-F544)^(1/12)</f>
        <v/>
      </c>
      <c r="H544" s="32">
        <f>MAX(LapseBase-LapseStep*C544,LapseFloor)</f>
        <v/>
      </c>
      <c r="I544" s="32">
        <f>IF(HasSurrCharge,INDEX(SurrRates,MIN(C544,SurrDurMax)+1,MATCH(SurrChargeID,SurrTypes,0)),0)</f>
        <v/>
      </c>
      <c r="J544" s="33">
        <f>N543-P543-O543</f>
        <v/>
      </c>
      <c r="K544" s="30">
        <f>IF(B544=12*PolicyTerm,J544,0)</f>
        <v/>
      </c>
      <c r="L544" s="33">
        <f>J544-K544</f>
        <v/>
      </c>
      <c r="M544" s="30">
        <f>IF(B544=0,PolicyCount,0)</f>
        <v/>
      </c>
      <c r="N544" s="33">
        <f>L544+M544</f>
        <v/>
      </c>
      <c r="O544" s="31">
        <f>N544*G544</f>
        <v/>
      </c>
      <c r="P544" s="33">
        <f>(N544-O544)*(1-(1-H544)^(1/12))</f>
        <v/>
      </c>
      <c r="Q544" s="34">
        <f>X543+Z543</f>
        <v/>
      </c>
      <c r="R544" s="29">
        <f>(1-LoadPremRate)*E544</f>
        <v/>
      </c>
      <c r="S544" s="34">
        <f>Q544+R544</f>
        <v/>
      </c>
      <c r="T544" s="29">
        <f>MaintFeeRateAnn/12*S544</f>
        <v/>
      </c>
      <c r="U544" s="29">
        <f>MAX(SumAssured-S544,0)</f>
        <v/>
      </c>
      <c r="V544" s="35">
        <f>CoiMultiple*G544</f>
        <v/>
      </c>
      <c r="W544" s="34">
        <f>V544*U544</f>
        <v/>
      </c>
      <c r="X544" s="34">
        <f>S544-T544-W544</f>
        <v/>
      </c>
      <c r="Y544" s="36">
        <f>EXP((Mu-0.5*Sigma^2)/12+Sigma*SQRT(1/12)*INDEX(NormRand,ScenID,A544+1))-1</f>
        <v/>
      </c>
      <c r="Z544" s="34">
        <f>Y544*X544</f>
        <v/>
      </c>
      <c r="AA544" s="34">
        <f>X544+0.5*Z544</f>
        <v/>
      </c>
      <c r="AB544" s="34">
        <f>Q544*J544</f>
        <v/>
      </c>
      <c r="AC544" s="34">
        <f>Q544*L544</f>
        <v/>
      </c>
      <c r="AD544" s="34">
        <f>S544*N544</f>
        <v/>
      </c>
      <c r="AE544" s="34">
        <f>E544*N544</f>
        <v/>
      </c>
      <c r="AF544" s="34">
        <f>R544*N544</f>
        <v/>
      </c>
      <c r="AG544" s="29">
        <f>MAX(SumAssured,AA544)</f>
        <v/>
      </c>
      <c r="AH544" s="34">
        <f>AG544*O544</f>
        <v/>
      </c>
      <c r="AI544" s="34">
        <f>AA544*O544</f>
        <v/>
      </c>
      <c r="AJ544" s="34">
        <f>AA544*P544</f>
        <v/>
      </c>
      <c r="AK544" s="34">
        <f>I544*AA544*P544</f>
        <v/>
      </c>
      <c r="AL544" s="34">
        <f>AJ544-AK544</f>
        <v/>
      </c>
      <c r="AM544" s="34">
        <f>Q544*K544</f>
        <v/>
      </c>
      <c r="AN544" s="34">
        <f>AH544+AL544+AM544</f>
        <v/>
      </c>
      <c r="AO544" s="34">
        <f>(AG544-AA544)*O544</f>
        <v/>
      </c>
      <c r="AP544" s="34">
        <f>W544*N544</f>
        <v/>
      </c>
      <c r="AQ544" s="34">
        <f>T544*N544</f>
        <v/>
      </c>
      <c r="AR544" s="34">
        <f>Z544*J545+0.5*Z544*(O544+P544)</f>
        <v/>
      </c>
      <c r="AS544" s="30">
        <f>(1+InflationRate)^(A544/12)</f>
        <v/>
      </c>
      <c r="AT544" s="29">
        <f>ExpenseAcq*M544+N544*ExpenseMaint/12*AS544</f>
        <v/>
      </c>
      <c r="AU544" s="29">
        <f>CommissionRate*AE544</f>
        <v/>
      </c>
      <c r="AV544" s="34">
        <f>AB545-AB544</f>
        <v/>
      </c>
      <c r="AW544" s="34">
        <f>AE544+AR544-AN544-AT544-AU544-AV544</f>
        <v/>
      </c>
      <c r="AX544" s="29">
        <f>LoadPremRate*E544*N544+AK544+AQ544-AU544-AT544</f>
        <v/>
      </c>
      <c r="AY544" s="34">
        <f>AP544-AO544</f>
        <v/>
      </c>
      <c r="AZ544" s="37">
        <f>(AW544-AX544-AY544)/MAX(1,ABS(AW544),ABS(AX544),ABS(AY544))</f>
        <v/>
      </c>
      <c r="BA544" s="37">
        <f>IF(OR(K544&gt;0,K545&gt;0),0,(AC545-(AC544+AF544-AQ544-AP544+AR544-AI544-AJ544-AM544))/MAX(1,ABS(AC544),ABS(AC545)))</f>
        <v/>
      </c>
      <c r="BB544" s="35">
        <f>(1+INDEX(DiscRateAnn,INT(A544/12)+1))^(1/12)-1</f>
        <v/>
      </c>
      <c r="BC544" s="31">
        <f>(1+BB544)^-A544</f>
        <v/>
      </c>
      <c r="BD544" s="34">
        <f>AW544*BC544</f>
        <v/>
      </c>
    </row>
    <row r="545">
      <c r="A545" s="27">
        <f>A544+1</f>
        <v/>
      </c>
      <c r="B545" s="28">
        <f>Duration0+A545</f>
        <v/>
      </c>
      <c r="C545" s="27">
        <f>INT(B545/12)</f>
        <v/>
      </c>
      <c r="D545" s="28">
        <f>AgeAtEntry+C545</f>
        <v/>
      </c>
      <c r="E545" s="29">
        <f>IF(PremiumType="SINGLE",IF(B545=0,PremiumPPInput,0),IF(B545&lt;12*PolicyTerm,PremiumPPInput,0))</f>
        <v/>
      </c>
      <c r="F545" s="30">
        <f>INDEX(MortRates,MATCH(MIN(D545,120),MortAges,0),MAX(MIN(C545,5),0)+1)</f>
        <v/>
      </c>
      <c r="G545" s="31">
        <f>1-(1-F545)^(1/12)</f>
        <v/>
      </c>
      <c r="H545" s="32">
        <f>MAX(LapseBase-LapseStep*C545,LapseFloor)</f>
        <v/>
      </c>
      <c r="I545" s="32">
        <f>IF(HasSurrCharge,INDEX(SurrRates,MIN(C545,SurrDurMax)+1,MATCH(SurrChargeID,SurrTypes,0)),0)</f>
        <v/>
      </c>
      <c r="J545" s="33">
        <f>N544-P544-O544</f>
        <v/>
      </c>
      <c r="K545" s="30">
        <f>IF(B545=12*PolicyTerm,J545,0)</f>
        <v/>
      </c>
      <c r="L545" s="33">
        <f>J545-K545</f>
        <v/>
      </c>
      <c r="M545" s="30">
        <f>IF(B545=0,PolicyCount,0)</f>
        <v/>
      </c>
      <c r="N545" s="33">
        <f>L545+M545</f>
        <v/>
      </c>
      <c r="O545" s="31">
        <f>N545*G545</f>
        <v/>
      </c>
      <c r="P545" s="33">
        <f>(N545-O545)*(1-(1-H545)^(1/12))</f>
        <v/>
      </c>
      <c r="Q545" s="34">
        <f>X544+Z544</f>
        <v/>
      </c>
      <c r="R545" s="29">
        <f>(1-LoadPremRate)*E545</f>
        <v/>
      </c>
      <c r="S545" s="34">
        <f>Q545+R545</f>
        <v/>
      </c>
      <c r="T545" s="29">
        <f>MaintFeeRateAnn/12*S545</f>
        <v/>
      </c>
      <c r="U545" s="29">
        <f>MAX(SumAssured-S545,0)</f>
        <v/>
      </c>
      <c r="V545" s="35">
        <f>CoiMultiple*G545</f>
        <v/>
      </c>
      <c r="W545" s="34">
        <f>V545*U545</f>
        <v/>
      </c>
      <c r="X545" s="34">
        <f>S545-T545-W545</f>
        <v/>
      </c>
      <c r="Y545" s="36">
        <f>EXP((Mu-0.5*Sigma^2)/12+Sigma*SQRT(1/12)*INDEX(NormRand,ScenID,A545+1))-1</f>
        <v/>
      </c>
      <c r="Z545" s="34">
        <f>Y545*X545</f>
        <v/>
      </c>
      <c r="AA545" s="34">
        <f>X545+0.5*Z545</f>
        <v/>
      </c>
      <c r="AB545" s="34">
        <f>Q545*J545</f>
        <v/>
      </c>
      <c r="AC545" s="34">
        <f>Q545*L545</f>
        <v/>
      </c>
      <c r="AD545" s="34">
        <f>S545*N545</f>
        <v/>
      </c>
      <c r="AE545" s="34">
        <f>E545*N545</f>
        <v/>
      </c>
      <c r="AF545" s="34">
        <f>R545*N545</f>
        <v/>
      </c>
      <c r="AG545" s="29">
        <f>MAX(SumAssured,AA545)</f>
        <v/>
      </c>
      <c r="AH545" s="34">
        <f>AG545*O545</f>
        <v/>
      </c>
      <c r="AI545" s="34">
        <f>AA545*O545</f>
        <v/>
      </c>
      <c r="AJ545" s="34">
        <f>AA545*P545</f>
        <v/>
      </c>
      <c r="AK545" s="34">
        <f>I545*AA545*P545</f>
        <v/>
      </c>
      <c r="AL545" s="34">
        <f>AJ545-AK545</f>
        <v/>
      </c>
      <c r="AM545" s="34">
        <f>Q545*K545</f>
        <v/>
      </c>
      <c r="AN545" s="34">
        <f>AH545+AL545+AM545</f>
        <v/>
      </c>
      <c r="AO545" s="34">
        <f>(AG545-AA545)*O545</f>
        <v/>
      </c>
      <c r="AP545" s="34">
        <f>W545*N545</f>
        <v/>
      </c>
      <c r="AQ545" s="34">
        <f>T545*N545</f>
        <v/>
      </c>
      <c r="AR545" s="34">
        <f>Z545*J546+0.5*Z545*(O545+P545)</f>
        <v/>
      </c>
      <c r="AS545" s="30">
        <f>(1+InflationRate)^(A545/12)</f>
        <v/>
      </c>
      <c r="AT545" s="29">
        <f>ExpenseAcq*M545+N545*ExpenseMaint/12*AS545</f>
        <v/>
      </c>
      <c r="AU545" s="29">
        <f>CommissionRate*AE545</f>
        <v/>
      </c>
      <c r="AV545" s="34">
        <f>AB546-AB545</f>
        <v/>
      </c>
      <c r="AW545" s="34">
        <f>AE545+AR545-AN545-AT545-AU545-AV545</f>
        <v/>
      </c>
      <c r="AX545" s="29">
        <f>LoadPremRate*E545*N545+AK545+AQ545-AU545-AT545</f>
        <v/>
      </c>
      <c r="AY545" s="34">
        <f>AP545-AO545</f>
        <v/>
      </c>
      <c r="AZ545" s="37">
        <f>(AW545-AX545-AY545)/MAX(1,ABS(AW545),ABS(AX545),ABS(AY545))</f>
        <v/>
      </c>
      <c r="BA545" s="37">
        <f>IF(OR(K545&gt;0,K546&gt;0),0,(AC546-(AC545+AF545-AQ545-AP545+AR545-AI545-AJ545-AM545))/MAX(1,ABS(AC545),ABS(AC546)))</f>
        <v/>
      </c>
      <c r="BB545" s="35">
        <f>(1+INDEX(DiscRateAnn,INT(A545/12)+1))^(1/12)-1</f>
        <v/>
      </c>
      <c r="BC545" s="31">
        <f>(1+BB545)^-A545</f>
        <v/>
      </c>
      <c r="BD545" s="34">
        <f>AW545*BC545</f>
        <v/>
      </c>
    </row>
    <row r="546">
      <c r="A546" s="27">
        <f>A545+1</f>
        <v/>
      </c>
      <c r="B546" s="28">
        <f>Duration0+A546</f>
        <v/>
      </c>
      <c r="C546" s="27">
        <f>INT(B546/12)</f>
        <v/>
      </c>
      <c r="D546" s="28">
        <f>AgeAtEntry+C546</f>
        <v/>
      </c>
      <c r="E546" s="29">
        <f>IF(PremiumType="SINGLE",IF(B546=0,PremiumPPInput,0),IF(B546&lt;12*PolicyTerm,PremiumPPInput,0))</f>
        <v/>
      </c>
      <c r="F546" s="30">
        <f>INDEX(MortRates,MATCH(MIN(D546,120),MortAges,0),MAX(MIN(C546,5),0)+1)</f>
        <v/>
      </c>
      <c r="G546" s="31">
        <f>1-(1-F546)^(1/12)</f>
        <v/>
      </c>
      <c r="H546" s="32">
        <f>MAX(LapseBase-LapseStep*C546,LapseFloor)</f>
        <v/>
      </c>
      <c r="I546" s="32">
        <f>IF(HasSurrCharge,INDEX(SurrRates,MIN(C546,SurrDurMax)+1,MATCH(SurrChargeID,SurrTypes,0)),0)</f>
        <v/>
      </c>
      <c r="J546" s="33">
        <f>N545-P545-O545</f>
        <v/>
      </c>
      <c r="K546" s="30">
        <f>IF(B546=12*PolicyTerm,J546,0)</f>
        <v/>
      </c>
      <c r="L546" s="33">
        <f>J546-K546</f>
        <v/>
      </c>
      <c r="M546" s="30">
        <f>IF(B546=0,PolicyCount,0)</f>
        <v/>
      </c>
      <c r="N546" s="33">
        <f>L546+M546</f>
        <v/>
      </c>
      <c r="O546" s="31">
        <f>N546*G546</f>
        <v/>
      </c>
      <c r="P546" s="33">
        <f>(N546-O546)*(1-(1-H546)^(1/12))</f>
        <v/>
      </c>
      <c r="Q546" s="34">
        <f>X545+Z545</f>
        <v/>
      </c>
      <c r="R546" s="29">
        <f>(1-LoadPremRate)*E546</f>
        <v/>
      </c>
      <c r="S546" s="34">
        <f>Q546+R546</f>
        <v/>
      </c>
      <c r="T546" s="29">
        <f>MaintFeeRateAnn/12*S546</f>
        <v/>
      </c>
      <c r="U546" s="29">
        <f>MAX(SumAssured-S546,0)</f>
        <v/>
      </c>
      <c r="V546" s="35">
        <f>CoiMultiple*G546</f>
        <v/>
      </c>
      <c r="W546" s="34">
        <f>V546*U546</f>
        <v/>
      </c>
      <c r="X546" s="34">
        <f>S546-T546-W546</f>
        <v/>
      </c>
      <c r="Y546" s="36">
        <f>EXP((Mu-0.5*Sigma^2)/12+Sigma*SQRT(1/12)*INDEX(NormRand,ScenID,A546+1))-1</f>
        <v/>
      </c>
      <c r="Z546" s="34">
        <f>Y546*X546</f>
        <v/>
      </c>
      <c r="AA546" s="34">
        <f>X546+0.5*Z546</f>
        <v/>
      </c>
      <c r="AB546" s="34">
        <f>Q546*J546</f>
        <v/>
      </c>
      <c r="AC546" s="34">
        <f>Q546*L546</f>
        <v/>
      </c>
      <c r="AD546" s="34">
        <f>S546*N546</f>
        <v/>
      </c>
      <c r="AE546" s="34">
        <f>E546*N546</f>
        <v/>
      </c>
      <c r="AF546" s="34">
        <f>R546*N546</f>
        <v/>
      </c>
      <c r="AG546" s="29">
        <f>MAX(SumAssured,AA546)</f>
        <v/>
      </c>
      <c r="AH546" s="34">
        <f>AG546*O546</f>
        <v/>
      </c>
      <c r="AI546" s="34">
        <f>AA546*O546</f>
        <v/>
      </c>
      <c r="AJ546" s="34">
        <f>AA546*P546</f>
        <v/>
      </c>
      <c r="AK546" s="34">
        <f>I546*AA546*P546</f>
        <v/>
      </c>
      <c r="AL546" s="34">
        <f>AJ546-AK546</f>
        <v/>
      </c>
      <c r="AM546" s="34">
        <f>Q546*K546</f>
        <v/>
      </c>
      <c r="AN546" s="34">
        <f>AH546+AL546+AM546</f>
        <v/>
      </c>
      <c r="AO546" s="34">
        <f>(AG546-AA546)*O546</f>
        <v/>
      </c>
      <c r="AP546" s="34">
        <f>W546*N546</f>
        <v/>
      </c>
      <c r="AQ546" s="34">
        <f>T546*N546</f>
        <v/>
      </c>
      <c r="AR546" s="34">
        <f>Z546*J547+0.5*Z546*(O546+P546)</f>
        <v/>
      </c>
      <c r="AS546" s="30">
        <f>(1+InflationRate)^(A546/12)</f>
        <v/>
      </c>
      <c r="AT546" s="29">
        <f>ExpenseAcq*M546+N546*ExpenseMaint/12*AS546</f>
        <v/>
      </c>
      <c r="AU546" s="29">
        <f>CommissionRate*AE546</f>
        <v/>
      </c>
      <c r="AV546" s="34">
        <f>AB547-AB546</f>
        <v/>
      </c>
      <c r="AW546" s="34">
        <f>AE546+AR546-AN546-AT546-AU546-AV546</f>
        <v/>
      </c>
      <c r="AX546" s="29">
        <f>LoadPremRate*E546*N546+AK546+AQ546-AU546-AT546</f>
        <v/>
      </c>
      <c r="AY546" s="34">
        <f>AP546-AO546</f>
        <v/>
      </c>
      <c r="AZ546" s="37">
        <f>(AW546-AX546-AY546)/MAX(1,ABS(AW546),ABS(AX546),ABS(AY546))</f>
        <v/>
      </c>
      <c r="BA546" s="37">
        <f>IF(OR(K546&gt;0,K547&gt;0),0,(AC547-(AC546+AF546-AQ546-AP546+AR546-AI546-AJ546-AM546))/MAX(1,ABS(AC546),ABS(AC547)))</f>
        <v/>
      </c>
      <c r="BB546" s="35">
        <f>(1+INDEX(DiscRateAnn,INT(A546/12)+1))^(1/12)-1</f>
        <v/>
      </c>
      <c r="BC546" s="31">
        <f>(1+BB546)^-A546</f>
        <v/>
      </c>
      <c r="BD546" s="34">
        <f>AW546*BC546</f>
        <v/>
      </c>
    </row>
    <row r="547">
      <c r="A547" s="27">
        <f>A546+1</f>
        <v/>
      </c>
      <c r="B547" s="28">
        <f>Duration0+A547</f>
        <v/>
      </c>
      <c r="C547" s="27">
        <f>INT(B547/12)</f>
        <v/>
      </c>
      <c r="D547" s="28">
        <f>AgeAtEntry+C547</f>
        <v/>
      </c>
      <c r="E547" s="29">
        <f>IF(PremiumType="SINGLE",IF(B547=0,PremiumPPInput,0),IF(B547&lt;12*PolicyTerm,PremiumPPInput,0))</f>
        <v/>
      </c>
      <c r="F547" s="30">
        <f>INDEX(MortRates,MATCH(MIN(D547,120),MortAges,0),MAX(MIN(C547,5),0)+1)</f>
        <v/>
      </c>
      <c r="G547" s="31">
        <f>1-(1-F547)^(1/12)</f>
        <v/>
      </c>
      <c r="H547" s="32">
        <f>MAX(LapseBase-LapseStep*C547,LapseFloor)</f>
        <v/>
      </c>
      <c r="I547" s="32">
        <f>IF(HasSurrCharge,INDEX(SurrRates,MIN(C547,SurrDurMax)+1,MATCH(SurrChargeID,SurrTypes,0)),0)</f>
        <v/>
      </c>
      <c r="J547" s="33">
        <f>N546-P546-O546</f>
        <v/>
      </c>
      <c r="K547" s="30">
        <f>IF(B547=12*PolicyTerm,J547,0)</f>
        <v/>
      </c>
      <c r="L547" s="33">
        <f>J547-K547</f>
        <v/>
      </c>
      <c r="M547" s="30">
        <f>IF(B547=0,PolicyCount,0)</f>
        <v/>
      </c>
      <c r="N547" s="33">
        <f>L547+M547</f>
        <v/>
      </c>
      <c r="O547" s="31">
        <f>N547*G547</f>
        <v/>
      </c>
      <c r="P547" s="33">
        <f>(N547-O547)*(1-(1-H547)^(1/12))</f>
        <v/>
      </c>
      <c r="Q547" s="34">
        <f>X546+Z546</f>
        <v/>
      </c>
      <c r="R547" s="29">
        <f>(1-LoadPremRate)*E547</f>
        <v/>
      </c>
      <c r="S547" s="34">
        <f>Q547+R547</f>
        <v/>
      </c>
      <c r="T547" s="29">
        <f>MaintFeeRateAnn/12*S547</f>
        <v/>
      </c>
      <c r="U547" s="29">
        <f>MAX(SumAssured-S547,0)</f>
        <v/>
      </c>
      <c r="V547" s="35">
        <f>CoiMultiple*G547</f>
        <v/>
      </c>
      <c r="W547" s="34">
        <f>V547*U547</f>
        <v/>
      </c>
      <c r="X547" s="34">
        <f>S547-T547-W547</f>
        <v/>
      </c>
      <c r="Y547" s="36">
        <f>EXP((Mu-0.5*Sigma^2)/12+Sigma*SQRT(1/12)*INDEX(NormRand,ScenID,A547+1))-1</f>
        <v/>
      </c>
      <c r="Z547" s="34">
        <f>Y547*X547</f>
        <v/>
      </c>
      <c r="AA547" s="34">
        <f>X547+0.5*Z547</f>
        <v/>
      </c>
      <c r="AB547" s="34">
        <f>Q547*J547</f>
        <v/>
      </c>
      <c r="AC547" s="34">
        <f>Q547*L547</f>
        <v/>
      </c>
      <c r="AD547" s="34">
        <f>S547*N547</f>
        <v/>
      </c>
      <c r="AE547" s="34">
        <f>E547*N547</f>
        <v/>
      </c>
      <c r="AF547" s="34">
        <f>R547*N547</f>
        <v/>
      </c>
      <c r="AG547" s="29">
        <f>MAX(SumAssured,AA547)</f>
        <v/>
      </c>
      <c r="AH547" s="34">
        <f>AG547*O547</f>
        <v/>
      </c>
      <c r="AI547" s="34">
        <f>AA547*O547</f>
        <v/>
      </c>
      <c r="AJ547" s="34">
        <f>AA547*P547</f>
        <v/>
      </c>
      <c r="AK547" s="34">
        <f>I547*AA547*P547</f>
        <v/>
      </c>
      <c r="AL547" s="34">
        <f>AJ547-AK547</f>
        <v/>
      </c>
      <c r="AM547" s="34">
        <f>Q547*K547</f>
        <v/>
      </c>
      <c r="AN547" s="34">
        <f>AH547+AL547+AM547</f>
        <v/>
      </c>
      <c r="AO547" s="34">
        <f>(AG547-AA547)*O547</f>
        <v/>
      </c>
      <c r="AP547" s="34">
        <f>W547*N547</f>
        <v/>
      </c>
      <c r="AQ547" s="34">
        <f>T547*N547</f>
        <v/>
      </c>
      <c r="AR547" s="34">
        <f>Z547*J548+0.5*Z547*(O547+P547)</f>
        <v/>
      </c>
      <c r="AS547" s="30">
        <f>(1+InflationRate)^(A547/12)</f>
        <v/>
      </c>
      <c r="AT547" s="29">
        <f>ExpenseAcq*M547+N547*ExpenseMaint/12*AS547</f>
        <v/>
      </c>
      <c r="AU547" s="29">
        <f>CommissionRate*AE547</f>
        <v/>
      </c>
      <c r="AV547" s="34">
        <f>AB548-AB547</f>
        <v/>
      </c>
      <c r="AW547" s="34">
        <f>AE547+AR547-AN547-AT547-AU547-AV547</f>
        <v/>
      </c>
      <c r="AX547" s="29">
        <f>LoadPremRate*E547*N547+AK547+AQ547-AU547-AT547</f>
        <v/>
      </c>
      <c r="AY547" s="34">
        <f>AP547-AO547</f>
        <v/>
      </c>
      <c r="AZ547" s="37">
        <f>(AW547-AX547-AY547)/MAX(1,ABS(AW547),ABS(AX547),ABS(AY547))</f>
        <v/>
      </c>
      <c r="BA547" s="37">
        <f>IF(OR(K547&gt;0,K548&gt;0),0,(AC548-(AC547+AF547-AQ547-AP547+AR547-AI547-AJ547-AM547))/MAX(1,ABS(AC547),ABS(AC548)))</f>
        <v/>
      </c>
      <c r="BB547" s="35">
        <f>(1+INDEX(DiscRateAnn,INT(A547/12)+1))^(1/12)-1</f>
        <v/>
      </c>
      <c r="BC547" s="31">
        <f>(1+BB547)^-A547</f>
        <v/>
      </c>
      <c r="BD547" s="34">
        <f>AW547*BC547</f>
        <v/>
      </c>
    </row>
    <row r="548">
      <c r="A548" s="27">
        <f>A547+1</f>
        <v/>
      </c>
      <c r="B548" s="28">
        <f>Duration0+A548</f>
        <v/>
      </c>
      <c r="C548" s="27">
        <f>INT(B548/12)</f>
        <v/>
      </c>
      <c r="D548" s="28">
        <f>AgeAtEntry+C548</f>
        <v/>
      </c>
      <c r="E548" s="29">
        <f>IF(PremiumType="SINGLE",IF(B548=0,PremiumPPInput,0),IF(B548&lt;12*PolicyTerm,PremiumPPInput,0))</f>
        <v/>
      </c>
      <c r="F548" s="30">
        <f>INDEX(MortRates,MATCH(MIN(D548,120),MortAges,0),MAX(MIN(C548,5),0)+1)</f>
        <v/>
      </c>
      <c r="G548" s="31">
        <f>1-(1-F548)^(1/12)</f>
        <v/>
      </c>
      <c r="H548" s="32">
        <f>MAX(LapseBase-LapseStep*C548,LapseFloor)</f>
        <v/>
      </c>
      <c r="I548" s="32">
        <f>IF(HasSurrCharge,INDEX(SurrRates,MIN(C548,SurrDurMax)+1,MATCH(SurrChargeID,SurrTypes,0)),0)</f>
        <v/>
      </c>
      <c r="J548" s="33">
        <f>N547-P547-O547</f>
        <v/>
      </c>
      <c r="K548" s="30">
        <f>IF(B548=12*PolicyTerm,J548,0)</f>
        <v/>
      </c>
      <c r="L548" s="33">
        <f>J548-K548</f>
        <v/>
      </c>
      <c r="M548" s="30">
        <f>IF(B548=0,PolicyCount,0)</f>
        <v/>
      </c>
      <c r="N548" s="33">
        <f>L548+M548</f>
        <v/>
      </c>
      <c r="O548" s="31">
        <f>N548*G548</f>
        <v/>
      </c>
      <c r="P548" s="33">
        <f>(N548-O548)*(1-(1-H548)^(1/12))</f>
        <v/>
      </c>
      <c r="Q548" s="34">
        <f>X547+Z547</f>
        <v/>
      </c>
      <c r="R548" s="29">
        <f>(1-LoadPremRate)*E548</f>
        <v/>
      </c>
      <c r="S548" s="34">
        <f>Q548+R548</f>
        <v/>
      </c>
      <c r="T548" s="29">
        <f>MaintFeeRateAnn/12*S548</f>
        <v/>
      </c>
      <c r="U548" s="29">
        <f>MAX(SumAssured-S548,0)</f>
        <v/>
      </c>
      <c r="V548" s="35">
        <f>CoiMultiple*G548</f>
        <v/>
      </c>
      <c r="W548" s="34">
        <f>V548*U548</f>
        <v/>
      </c>
      <c r="X548" s="34">
        <f>S548-T548-W548</f>
        <v/>
      </c>
      <c r="Y548" s="36">
        <f>EXP((Mu-0.5*Sigma^2)/12+Sigma*SQRT(1/12)*INDEX(NormRand,ScenID,A548+1))-1</f>
        <v/>
      </c>
      <c r="Z548" s="34">
        <f>Y548*X548</f>
        <v/>
      </c>
      <c r="AA548" s="34">
        <f>X548+0.5*Z548</f>
        <v/>
      </c>
      <c r="AB548" s="34">
        <f>Q548*J548</f>
        <v/>
      </c>
      <c r="AC548" s="34">
        <f>Q548*L548</f>
        <v/>
      </c>
      <c r="AD548" s="34">
        <f>S548*N548</f>
        <v/>
      </c>
      <c r="AE548" s="34">
        <f>E548*N548</f>
        <v/>
      </c>
      <c r="AF548" s="34">
        <f>R548*N548</f>
        <v/>
      </c>
      <c r="AG548" s="29">
        <f>MAX(SumAssured,AA548)</f>
        <v/>
      </c>
      <c r="AH548" s="34">
        <f>AG548*O548</f>
        <v/>
      </c>
      <c r="AI548" s="34">
        <f>AA548*O548</f>
        <v/>
      </c>
      <c r="AJ548" s="34">
        <f>AA548*P548</f>
        <v/>
      </c>
      <c r="AK548" s="34">
        <f>I548*AA548*P548</f>
        <v/>
      </c>
      <c r="AL548" s="34">
        <f>AJ548-AK548</f>
        <v/>
      </c>
      <c r="AM548" s="34">
        <f>Q548*K548</f>
        <v/>
      </c>
      <c r="AN548" s="34">
        <f>AH548+AL548+AM548</f>
        <v/>
      </c>
      <c r="AO548" s="34">
        <f>(AG548-AA548)*O548</f>
        <v/>
      </c>
      <c r="AP548" s="34">
        <f>W548*N548</f>
        <v/>
      </c>
      <c r="AQ548" s="34">
        <f>T548*N548</f>
        <v/>
      </c>
      <c r="AR548" s="34">
        <f>Z548*J549+0.5*Z548*(O548+P548)</f>
        <v/>
      </c>
      <c r="AS548" s="30">
        <f>(1+InflationRate)^(A548/12)</f>
        <v/>
      </c>
      <c r="AT548" s="29">
        <f>ExpenseAcq*M548+N548*ExpenseMaint/12*AS548</f>
        <v/>
      </c>
      <c r="AU548" s="29">
        <f>CommissionRate*AE548</f>
        <v/>
      </c>
      <c r="AV548" s="34">
        <f>AB549-AB548</f>
        <v/>
      </c>
      <c r="AW548" s="34">
        <f>AE548+AR548-AN548-AT548-AU548-AV548</f>
        <v/>
      </c>
      <c r="AX548" s="29">
        <f>LoadPremRate*E548*N548+AK548+AQ548-AU548-AT548</f>
        <v/>
      </c>
      <c r="AY548" s="34">
        <f>AP548-AO548</f>
        <v/>
      </c>
      <c r="AZ548" s="37">
        <f>(AW548-AX548-AY548)/MAX(1,ABS(AW548),ABS(AX548),ABS(AY548))</f>
        <v/>
      </c>
      <c r="BA548" s="37">
        <f>IF(OR(K548&gt;0,K549&gt;0),0,(AC549-(AC548+AF548-AQ548-AP548+AR548-AI548-AJ548-AM548))/MAX(1,ABS(AC548),ABS(AC549)))</f>
        <v/>
      </c>
      <c r="BB548" s="35">
        <f>(1+INDEX(DiscRateAnn,INT(A548/12)+1))^(1/12)-1</f>
        <v/>
      </c>
      <c r="BC548" s="31">
        <f>(1+BB548)^-A548</f>
        <v/>
      </c>
      <c r="BD548" s="34">
        <f>AW548*BC548</f>
        <v/>
      </c>
    </row>
    <row r="549">
      <c r="A549" s="27">
        <f>A548+1</f>
        <v/>
      </c>
      <c r="B549" s="28">
        <f>Duration0+A549</f>
        <v/>
      </c>
      <c r="C549" s="27">
        <f>INT(B549/12)</f>
        <v/>
      </c>
      <c r="D549" s="28">
        <f>AgeAtEntry+C549</f>
        <v/>
      </c>
      <c r="E549" s="29">
        <f>IF(PremiumType="SINGLE",IF(B549=0,PremiumPPInput,0),IF(B549&lt;12*PolicyTerm,PremiumPPInput,0))</f>
        <v/>
      </c>
      <c r="F549" s="30">
        <f>INDEX(MortRates,MATCH(MIN(D549,120),MortAges,0),MAX(MIN(C549,5),0)+1)</f>
        <v/>
      </c>
      <c r="G549" s="31">
        <f>1-(1-F549)^(1/12)</f>
        <v/>
      </c>
      <c r="H549" s="32">
        <f>MAX(LapseBase-LapseStep*C549,LapseFloor)</f>
        <v/>
      </c>
      <c r="I549" s="32">
        <f>IF(HasSurrCharge,INDEX(SurrRates,MIN(C549,SurrDurMax)+1,MATCH(SurrChargeID,SurrTypes,0)),0)</f>
        <v/>
      </c>
      <c r="J549" s="33">
        <f>N548-P548-O548</f>
        <v/>
      </c>
      <c r="K549" s="30">
        <f>IF(B549=12*PolicyTerm,J549,0)</f>
        <v/>
      </c>
      <c r="L549" s="33">
        <f>J549-K549</f>
        <v/>
      </c>
      <c r="M549" s="30">
        <f>IF(B549=0,PolicyCount,0)</f>
        <v/>
      </c>
      <c r="N549" s="33">
        <f>L549+M549</f>
        <v/>
      </c>
      <c r="O549" s="31">
        <f>N549*G549</f>
        <v/>
      </c>
      <c r="P549" s="33">
        <f>(N549-O549)*(1-(1-H549)^(1/12))</f>
        <v/>
      </c>
      <c r="Q549" s="34">
        <f>X548+Z548</f>
        <v/>
      </c>
      <c r="R549" s="29">
        <f>(1-LoadPremRate)*E549</f>
        <v/>
      </c>
      <c r="S549" s="34">
        <f>Q549+R549</f>
        <v/>
      </c>
      <c r="T549" s="29">
        <f>MaintFeeRateAnn/12*S549</f>
        <v/>
      </c>
      <c r="U549" s="29">
        <f>MAX(SumAssured-S549,0)</f>
        <v/>
      </c>
      <c r="V549" s="35">
        <f>CoiMultiple*G549</f>
        <v/>
      </c>
      <c r="W549" s="34">
        <f>V549*U549</f>
        <v/>
      </c>
      <c r="X549" s="34">
        <f>S549-T549-W549</f>
        <v/>
      </c>
      <c r="Y549" s="36">
        <f>EXP((Mu-0.5*Sigma^2)/12+Sigma*SQRT(1/12)*INDEX(NormRand,ScenID,A549+1))-1</f>
        <v/>
      </c>
      <c r="Z549" s="34">
        <f>Y549*X549</f>
        <v/>
      </c>
      <c r="AA549" s="34">
        <f>X549+0.5*Z549</f>
        <v/>
      </c>
      <c r="AB549" s="34">
        <f>Q549*J549</f>
        <v/>
      </c>
      <c r="AC549" s="34">
        <f>Q549*L549</f>
        <v/>
      </c>
      <c r="AD549" s="34">
        <f>S549*N549</f>
        <v/>
      </c>
      <c r="AE549" s="34">
        <f>E549*N549</f>
        <v/>
      </c>
      <c r="AF549" s="34">
        <f>R549*N549</f>
        <v/>
      </c>
      <c r="AG549" s="29">
        <f>MAX(SumAssured,AA549)</f>
        <v/>
      </c>
      <c r="AH549" s="34">
        <f>AG549*O549</f>
        <v/>
      </c>
      <c r="AI549" s="34">
        <f>AA549*O549</f>
        <v/>
      </c>
      <c r="AJ549" s="34">
        <f>AA549*P549</f>
        <v/>
      </c>
      <c r="AK549" s="34">
        <f>I549*AA549*P549</f>
        <v/>
      </c>
      <c r="AL549" s="34">
        <f>AJ549-AK549</f>
        <v/>
      </c>
      <c r="AM549" s="34">
        <f>Q549*K549</f>
        <v/>
      </c>
      <c r="AN549" s="34">
        <f>AH549+AL549+AM549</f>
        <v/>
      </c>
      <c r="AO549" s="34">
        <f>(AG549-AA549)*O549</f>
        <v/>
      </c>
      <c r="AP549" s="34">
        <f>W549*N549</f>
        <v/>
      </c>
      <c r="AQ549" s="34">
        <f>T549*N549</f>
        <v/>
      </c>
      <c r="AR549" s="34">
        <f>Z549*J550+0.5*Z549*(O549+P549)</f>
        <v/>
      </c>
      <c r="AS549" s="30">
        <f>(1+InflationRate)^(A549/12)</f>
        <v/>
      </c>
      <c r="AT549" s="29">
        <f>ExpenseAcq*M549+N549*ExpenseMaint/12*AS549</f>
        <v/>
      </c>
      <c r="AU549" s="29">
        <f>CommissionRate*AE549</f>
        <v/>
      </c>
      <c r="AV549" s="34">
        <f>AB550-AB549</f>
        <v/>
      </c>
      <c r="AW549" s="34">
        <f>AE549+AR549-AN549-AT549-AU549-AV549</f>
        <v/>
      </c>
      <c r="AX549" s="29">
        <f>LoadPremRate*E549*N549+AK549+AQ549-AU549-AT549</f>
        <v/>
      </c>
      <c r="AY549" s="34">
        <f>AP549-AO549</f>
        <v/>
      </c>
      <c r="AZ549" s="37">
        <f>(AW549-AX549-AY549)/MAX(1,ABS(AW549),ABS(AX549),ABS(AY549))</f>
        <v/>
      </c>
      <c r="BA549" s="37">
        <f>IF(OR(K549&gt;0,K550&gt;0),0,(AC550-(AC549+AF549-AQ549-AP549+AR549-AI549-AJ549-AM549))/MAX(1,ABS(AC549),ABS(AC550)))</f>
        <v/>
      </c>
      <c r="BB549" s="35">
        <f>(1+INDEX(DiscRateAnn,INT(A549/12)+1))^(1/12)-1</f>
        <v/>
      </c>
      <c r="BC549" s="31">
        <f>(1+BB549)^-A549</f>
        <v/>
      </c>
      <c r="BD549" s="34">
        <f>AW549*BC549</f>
        <v/>
      </c>
    </row>
    <row r="550">
      <c r="A550" s="27">
        <f>A549+1</f>
        <v/>
      </c>
      <c r="B550" s="28">
        <f>Duration0+A550</f>
        <v/>
      </c>
      <c r="C550" s="27">
        <f>INT(B550/12)</f>
        <v/>
      </c>
      <c r="D550" s="28">
        <f>AgeAtEntry+C550</f>
        <v/>
      </c>
      <c r="E550" s="29">
        <f>IF(PremiumType="SINGLE",IF(B550=0,PremiumPPInput,0),IF(B550&lt;12*PolicyTerm,PremiumPPInput,0))</f>
        <v/>
      </c>
      <c r="F550" s="30">
        <f>INDEX(MortRates,MATCH(MIN(D550,120),MortAges,0),MAX(MIN(C550,5),0)+1)</f>
        <v/>
      </c>
      <c r="G550" s="31">
        <f>1-(1-F550)^(1/12)</f>
        <v/>
      </c>
      <c r="H550" s="32">
        <f>MAX(LapseBase-LapseStep*C550,LapseFloor)</f>
        <v/>
      </c>
      <c r="I550" s="32">
        <f>IF(HasSurrCharge,INDEX(SurrRates,MIN(C550,SurrDurMax)+1,MATCH(SurrChargeID,SurrTypes,0)),0)</f>
        <v/>
      </c>
      <c r="J550" s="33">
        <f>N549-P549-O549</f>
        <v/>
      </c>
      <c r="K550" s="30">
        <f>IF(B550=12*PolicyTerm,J550,0)</f>
        <v/>
      </c>
      <c r="L550" s="33">
        <f>J550-K550</f>
        <v/>
      </c>
      <c r="M550" s="30">
        <f>IF(B550=0,PolicyCount,0)</f>
        <v/>
      </c>
      <c r="N550" s="33">
        <f>L550+M550</f>
        <v/>
      </c>
      <c r="O550" s="31">
        <f>N550*G550</f>
        <v/>
      </c>
      <c r="P550" s="33">
        <f>(N550-O550)*(1-(1-H550)^(1/12))</f>
        <v/>
      </c>
      <c r="Q550" s="34">
        <f>X549+Z549</f>
        <v/>
      </c>
      <c r="R550" s="29">
        <f>(1-LoadPremRate)*E550</f>
        <v/>
      </c>
      <c r="S550" s="34">
        <f>Q550+R550</f>
        <v/>
      </c>
      <c r="T550" s="29">
        <f>MaintFeeRateAnn/12*S550</f>
        <v/>
      </c>
      <c r="U550" s="29">
        <f>MAX(SumAssured-S550,0)</f>
        <v/>
      </c>
      <c r="V550" s="35">
        <f>CoiMultiple*G550</f>
        <v/>
      </c>
      <c r="W550" s="34">
        <f>V550*U550</f>
        <v/>
      </c>
      <c r="X550" s="34">
        <f>S550-T550-W550</f>
        <v/>
      </c>
      <c r="Y550" s="36">
        <f>EXP((Mu-0.5*Sigma^2)/12+Sigma*SQRT(1/12)*INDEX(NormRand,ScenID,A550+1))-1</f>
        <v/>
      </c>
      <c r="Z550" s="34">
        <f>Y550*X550</f>
        <v/>
      </c>
      <c r="AA550" s="34">
        <f>X550+0.5*Z550</f>
        <v/>
      </c>
      <c r="AB550" s="34">
        <f>Q550*J550</f>
        <v/>
      </c>
      <c r="AC550" s="34">
        <f>Q550*L550</f>
        <v/>
      </c>
      <c r="AD550" s="34">
        <f>S550*N550</f>
        <v/>
      </c>
      <c r="AE550" s="34">
        <f>E550*N550</f>
        <v/>
      </c>
      <c r="AF550" s="34">
        <f>R550*N550</f>
        <v/>
      </c>
      <c r="AG550" s="29">
        <f>MAX(SumAssured,AA550)</f>
        <v/>
      </c>
      <c r="AH550" s="34">
        <f>AG550*O550</f>
        <v/>
      </c>
      <c r="AI550" s="34">
        <f>AA550*O550</f>
        <v/>
      </c>
      <c r="AJ550" s="34">
        <f>AA550*P550</f>
        <v/>
      </c>
      <c r="AK550" s="34">
        <f>I550*AA550*P550</f>
        <v/>
      </c>
      <c r="AL550" s="34">
        <f>AJ550-AK550</f>
        <v/>
      </c>
      <c r="AM550" s="34">
        <f>Q550*K550</f>
        <v/>
      </c>
      <c r="AN550" s="34">
        <f>AH550+AL550+AM550</f>
        <v/>
      </c>
      <c r="AO550" s="34">
        <f>(AG550-AA550)*O550</f>
        <v/>
      </c>
      <c r="AP550" s="34">
        <f>W550*N550</f>
        <v/>
      </c>
      <c r="AQ550" s="34">
        <f>T550*N550</f>
        <v/>
      </c>
      <c r="AR550" s="34">
        <f>Z550*J551+0.5*Z550*(O550+P550)</f>
        <v/>
      </c>
      <c r="AS550" s="30">
        <f>(1+InflationRate)^(A550/12)</f>
        <v/>
      </c>
      <c r="AT550" s="29">
        <f>ExpenseAcq*M550+N550*ExpenseMaint/12*AS550</f>
        <v/>
      </c>
      <c r="AU550" s="29">
        <f>CommissionRate*AE550</f>
        <v/>
      </c>
      <c r="AV550" s="34">
        <f>AB551-AB550</f>
        <v/>
      </c>
      <c r="AW550" s="34">
        <f>AE550+AR550-AN550-AT550-AU550-AV550</f>
        <v/>
      </c>
      <c r="AX550" s="29">
        <f>LoadPremRate*E550*N550+AK550+AQ550-AU550-AT550</f>
        <v/>
      </c>
      <c r="AY550" s="34">
        <f>AP550-AO550</f>
        <v/>
      </c>
      <c r="AZ550" s="37">
        <f>(AW550-AX550-AY550)/MAX(1,ABS(AW550),ABS(AX550),ABS(AY550))</f>
        <v/>
      </c>
      <c r="BA550" s="37">
        <f>IF(OR(K550&gt;0,K551&gt;0),0,(AC551-(AC550+AF550-AQ550-AP550+AR550-AI550-AJ550-AM550))/MAX(1,ABS(AC550),ABS(AC551)))</f>
        <v/>
      </c>
      <c r="BB550" s="35">
        <f>(1+INDEX(DiscRateAnn,INT(A550/12)+1))^(1/12)-1</f>
        <v/>
      </c>
      <c r="BC550" s="31">
        <f>(1+BB550)^-A550</f>
        <v/>
      </c>
      <c r="BD550" s="34">
        <f>AW550*BC550</f>
        <v/>
      </c>
    </row>
    <row r="551">
      <c r="A551" s="27">
        <f>A550+1</f>
        <v/>
      </c>
      <c r="B551" s="28">
        <f>Duration0+A551</f>
        <v/>
      </c>
      <c r="C551" s="27">
        <f>INT(B551/12)</f>
        <v/>
      </c>
      <c r="D551" s="28">
        <f>AgeAtEntry+C551</f>
        <v/>
      </c>
      <c r="E551" s="29">
        <f>IF(PremiumType="SINGLE",IF(B551=0,PremiumPPInput,0),IF(B551&lt;12*PolicyTerm,PremiumPPInput,0))</f>
        <v/>
      </c>
      <c r="F551" s="30">
        <f>INDEX(MortRates,MATCH(MIN(D551,120),MortAges,0),MAX(MIN(C551,5),0)+1)</f>
        <v/>
      </c>
      <c r="G551" s="31">
        <f>1-(1-F551)^(1/12)</f>
        <v/>
      </c>
      <c r="H551" s="32">
        <f>MAX(LapseBase-LapseStep*C551,LapseFloor)</f>
        <v/>
      </c>
      <c r="I551" s="32">
        <f>IF(HasSurrCharge,INDEX(SurrRates,MIN(C551,SurrDurMax)+1,MATCH(SurrChargeID,SurrTypes,0)),0)</f>
        <v/>
      </c>
      <c r="J551" s="33">
        <f>N550-P550-O550</f>
        <v/>
      </c>
      <c r="K551" s="30">
        <f>IF(B551=12*PolicyTerm,J551,0)</f>
        <v/>
      </c>
      <c r="L551" s="33">
        <f>J551-K551</f>
        <v/>
      </c>
      <c r="M551" s="30">
        <f>IF(B551=0,PolicyCount,0)</f>
        <v/>
      </c>
      <c r="N551" s="33">
        <f>L551+M551</f>
        <v/>
      </c>
      <c r="O551" s="31">
        <f>N551*G551</f>
        <v/>
      </c>
      <c r="P551" s="33">
        <f>(N551-O551)*(1-(1-H551)^(1/12))</f>
        <v/>
      </c>
      <c r="Q551" s="34">
        <f>X550+Z550</f>
        <v/>
      </c>
      <c r="R551" s="29">
        <f>(1-LoadPremRate)*E551</f>
        <v/>
      </c>
      <c r="S551" s="34">
        <f>Q551+R551</f>
        <v/>
      </c>
      <c r="T551" s="29">
        <f>MaintFeeRateAnn/12*S551</f>
        <v/>
      </c>
      <c r="U551" s="29">
        <f>MAX(SumAssured-S551,0)</f>
        <v/>
      </c>
      <c r="V551" s="35">
        <f>CoiMultiple*G551</f>
        <v/>
      </c>
      <c r="W551" s="34">
        <f>V551*U551</f>
        <v/>
      </c>
      <c r="X551" s="34">
        <f>S551-T551-W551</f>
        <v/>
      </c>
      <c r="Y551" s="36">
        <f>EXP((Mu-0.5*Sigma^2)/12+Sigma*SQRT(1/12)*INDEX(NormRand,ScenID,A551+1))-1</f>
        <v/>
      </c>
      <c r="Z551" s="34">
        <f>Y551*X551</f>
        <v/>
      </c>
      <c r="AA551" s="34">
        <f>X551+0.5*Z551</f>
        <v/>
      </c>
      <c r="AB551" s="34">
        <f>Q551*J551</f>
        <v/>
      </c>
      <c r="AC551" s="34">
        <f>Q551*L551</f>
        <v/>
      </c>
      <c r="AD551" s="34">
        <f>S551*N551</f>
        <v/>
      </c>
      <c r="AE551" s="34">
        <f>E551*N551</f>
        <v/>
      </c>
      <c r="AF551" s="34">
        <f>R551*N551</f>
        <v/>
      </c>
      <c r="AG551" s="29">
        <f>MAX(SumAssured,AA551)</f>
        <v/>
      </c>
      <c r="AH551" s="34">
        <f>AG551*O551</f>
        <v/>
      </c>
      <c r="AI551" s="34">
        <f>AA551*O551</f>
        <v/>
      </c>
      <c r="AJ551" s="34">
        <f>AA551*P551</f>
        <v/>
      </c>
      <c r="AK551" s="34">
        <f>I551*AA551*P551</f>
        <v/>
      </c>
      <c r="AL551" s="34">
        <f>AJ551-AK551</f>
        <v/>
      </c>
      <c r="AM551" s="34">
        <f>Q551*K551</f>
        <v/>
      </c>
      <c r="AN551" s="34">
        <f>AH551+AL551+AM551</f>
        <v/>
      </c>
      <c r="AO551" s="34">
        <f>(AG551-AA551)*O551</f>
        <v/>
      </c>
      <c r="AP551" s="34">
        <f>W551*N551</f>
        <v/>
      </c>
      <c r="AQ551" s="34">
        <f>T551*N551</f>
        <v/>
      </c>
      <c r="AR551" s="34">
        <f>Z551*J552+0.5*Z551*(O551+P551)</f>
        <v/>
      </c>
      <c r="AS551" s="30">
        <f>(1+InflationRate)^(A551/12)</f>
        <v/>
      </c>
      <c r="AT551" s="29">
        <f>ExpenseAcq*M551+N551*ExpenseMaint/12*AS551</f>
        <v/>
      </c>
      <c r="AU551" s="29">
        <f>CommissionRate*AE551</f>
        <v/>
      </c>
      <c r="AV551" s="34">
        <f>AB552-AB551</f>
        <v/>
      </c>
      <c r="AW551" s="34">
        <f>AE551+AR551-AN551-AT551-AU551-AV551</f>
        <v/>
      </c>
      <c r="AX551" s="29">
        <f>LoadPremRate*E551*N551+AK551+AQ551-AU551-AT551</f>
        <v/>
      </c>
      <c r="AY551" s="34">
        <f>AP551-AO551</f>
        <v/>
      </c>
      <c r="AZ551" s="37">
        <f>(AW551-AX551-AY551)/MAX(1,ABS(AW551),ABS(AX551),ABS(AY551))</f>
        <v/>
      </c>
      <c r="BA551" s="37">
        <f>IF(OR(K551&gt;0,K552&gt;0),0,(AC552-(AC551+AF551-AQ551-AP551+AR551-AI551-AJ551-AM551))/MAX(1,ABS(AC551),ABS(AC552)))</f>
        <v/>
      </c>
      <c r="BB551" s="35">
        <f>(1+INDEX(DiscRateAnn,INT(A551/12)+1))^(1/12)-1</f>
        <v/>
      </c>
      <c r="BC551" s="31">
        <f>(1+BB551)^-A551</f>
        <v/>
      </c>
      <c r="BD551" s="34">
        <f>AW551*BC551</f>
        <v/>
      </c>
    </row>
    <row r="552">
      <c r="A552" s="27">
        <f>A551+1</f>
        <v/>
      </c>
      <c r="B552" s="28">
        <f>Duration0+A552</f>
        <v/>
      </c>
      <c r="C552" s="27">
        <f>INT(B552/12)</f>
        <v/>
      </c>
      <c r="D552" s="28">
        <f>AgeAtEntry+C552</f>
        <v/>
      </c>
      <c r="E552" s="29">
        <f>IF(PremiumType="SINGLE",IF(B552=0,PremiumPPInput,0),IF(B552&lt;12*PolicyTerm,PremiumPPInput,0))</f>
        <v/>
      </c>
      <c r="F552" s="30">
        <f>INDEX(MortRates,MATCH(MIN(D552,120),MortAges,0),MAX(MIN(C552,5),0)+1)</f>
        <v/>
      </c>
      <c r="G552" s="31">
        <f>1-(1-F552)^(1/12)</f>
        <v/>
      </c>
      <c r="H552" s="32">
        <f>MAX(LapseBase-LapseStep*C552,LapseFloor)</f>
        <v/>
      </c>
      <c r="I552" s="32">
        <f>IF(HasSurrCharge,INDEX(SurrRates,MIN(C552,SurrDurMax)+1,MATCH(SurrChargeID,SurrTypes,0)),0)</f>
        <v/>
      </c>
      <c r="J552" s="33">
        <f>N551-P551-O551</f>
        <v/>
      </c>
      <c r="K552" s="30">
        <f>IF(B552=12*PolicyTerm,J552,0)</f>
        <v/>
      </c>
      <c r="L552" s="33">
        <f>J552-K552</f>
        <v/>
      </c>
      <c r="M552" s="30">
        <f>IF(B552=0,PolicyCount,0)</f>
        <v/>
      </c>
      <c r="N552" s="33">
        <f>L552+M552</f>
        <v/>
      </c>
      <c r="O552" s="31">
        <f>N552*G552</f>
        <v/>
      </c>
      <c r="P552" s="33">
        <f>(N552-O552)*(1-(1-H552)^(1/12))</f>
        <v/>
      </c>
      <c r="Q552" s="34">
        <f>X551+Z551</f>
        <v/>
      </c>
      <c r="R552" s="29">
        <f>(1-LoadPremRate)*E552</f>
        <v/>
      </c>
      <c r="S552" s="34">
        <f>Q552+R552</f>
        <v/>
      </c>
      <c r="T552" s="29">
        <f>MaintFeeRateAnn/12*S552</f>
        <v/>
      </c>
      <c r="U552" s="29">
        <f>MAX(SumAssured-S552,0)</f>
        <v/>
      </c>
      <c r="V552" s="35">
        <f>CoiMultiple*G552</f>
        <v/>
      </c>
      <c r="W552" s="34">
        <f>V552*U552</f>
        <v/>
      </c>
      <c r="X552" s="34">
        <f>S552-T552-W552</f>
        <v/>
      </c>
      <c r="Y552" s="36">
        <f>EXP((Mu-0.5*Sigma^2)/12+Sigma*SQRT(1/12)*INDEX(NormRand,ScenID,A552+1))-1</f>
        <v/>
      </c>
      <c r="Z552" s="34">
        <f>Y552*X552</f>
        <v/>
      </c>
      <c r="AA552" s="34">
        <f>X552+0.5*Z552</f>
        <v/>
      </c>
      <c r="AB552" s="34">
        <f>Q552*J552</f>
        <v/>
      </c>
      <c r="AC552" s="34">
        <f>Q552*L552</f>
        <v/>
      </c>
      <c r="AD552" s="34">
        <f>S552*N552</f>
        <v/>
      </c>
      <c r="AE552" s="34">
        <f>E552*N552</f>
        <v/>
      </c>
      <c r="AF552" s="34">
        <f>R552*N552</f>
        <v/>
      </c>
      <c r="AG552" s="29">
        <f>MAX(SumAssured,AA552)</f>
        <v/>
      </c>
      <c r="AH552" s="34">
        <f>AG552*O552</f>
        <v/>
      </c>
      <c r="AI552" s="34">
        <f>AA552*O552</f>
        <v/>
      </c>
      <c r="AJ552" s="34">
        <f>AA552*P552</f>
        <v/>
      </c>
      <c r="AK552" s="34">
        <f>I552*AA552*P552</f>
        <v/>
      </c>
      <c r="AL552" s="34">
        <f>AJ552-AK552</f>
        <v/>
      </c>
      <c r="AM552" s="34">
        <f>Q552*K552</f>
        <v/>
      </c>
      <c r="AN552" s="34">
        <f>AH552+AL552+AM552</f>
        <v/>
      </c>
      <c r="AO552" s="34">
        <f>(AG552-AA552)*O552</f>
        <v/>
      </c>
      <c r="AP552" s="34">
        <f>W552*N552</f>
        <v/>
      </c>
      <c r="AQ552" s="34">
        <f>T552*N552</f>
        <v/>
      </c>
      <c r="AR552" s="34">
        <f>Z552*J553+0.5*Z552*(O552+P552)</f>
        <v/>
      </c>
      <c r="AS552" s="30">
        <f>(1+InflationRate)^(A552/12)</f>
        <v/>
      </c>
      <c r="AT552" s="29">
        <f>ExpenseAcq*M552+N552*ExpenseMaint/12*AS552</f>
        <v/>
      </c>
      <c r="AU552" s="29">
        <f>CommissionRate*AE552</f>
        <v/>
      </c>
      <c r="AV552" s="34">
        <f>AB553-AB552</f>
        <v/>
      </c>
      <c r="AW552" s="34">
        <f>AE552+AR552-AN552-AT552-AU552-AV552</f>
        <v/>
      </c>
      <c r="AX552" s="29">
        <f>LoadPremRate*E552*N552+AK552+AQ552-AU552-AT552</f>
        <v/>
      </c>
      <c r="AY552" s="34">
        <f>AP552-AO552</f>
        <v/>
      </c>
      <c r="AZ552" s="37">
        <f>(AW552-AX552-AY552)/MAX(1,ABS(AW552),ABS(AX552),ABS(AY552))</f>
        <v/>
      </c>
      <c r="BA552" s="37">
        <f>IF(OR(K552&gt;0,K553&gt;0),0,(AC553-(AC552+AF552-AQ552-AP552+AR552-AI552-AJ552-AM552))/MAX(1,ABS(AC552),ABS(AC553)))</f>
        <v/>
      </c>
      <c r="BB552" s="35">
        <f>(1+INDEX(DiscRateAnn,INT(A552/12)+1))^(1/12)-1</f>
        <v/>
      </c>
      <c r="BC552" s="31">
        <f>(1+BB552)^-A552</f>
        <v/>
      </c>
      <c r="BD552" s="34">
        <f>AW552*BC552</f>
        <v/>
      </c>
    </row>
    <row r="553">
      <c r="A553" s="27">
        <f>A552+1</f>
        <v/>
      </c>
      <c r="B553" s="28">
        <f>Duration0+A553</f>
        <v/>
      </c>
      <c r="C553" s="27">
        <f>INT(B553/12)</f>
        <v/>
      </c>
      <c r="D553" s="28">
        <f>AgeAtEntry+C553</f>
        <v/>
      </c>
      <c r="E553" s="29">
        <f>IF(PremiumType="SINGLE",IF(B553=0,PremiumPPInput,0),IF(B553&lt;12*PolicyTerm,PremiumPPInput,0))</f>
        <v/>
      </c>
      <c r="F553" s="30">
        <f>INDEX(MortRates,MATCH(MIN(D553,120),MortAges,0),MAX(MIN(C553,5),0)+1)</f>
        <v/>
      </c>
      <c r="G553" s="31">
        <f>1-(1-F553)^(1/12)</f>
        <v/>
      </c>
      <c r="H553" s="32">
        <f>MAX(LapseBase-LapseStep*C553,LapseFloor)</f>
        <v/>
      </c>
      <c r="I553" s="32">
        <f>IF(HasSurrCharge,INDEX(SurrRates,MIN(C553,SurrDurMax)+1,MATCH(SurrChargeID,SurrTypes,0)),0)</f>
        <v/>
      </c>
      <c r="J553" s="33">
        <f>N552-P552-O552</f>
        <v/>
      </c>
      <c r="K553" s="30">
        <f>IF(B553=12*PolicyTerm,J553,0)</f>
        <v/>
      </c>
      <c r="L553" s="33">
        <f>J553-K553</f>
        <v/>
      </c>
      <c r="M553" s="30">
        <f>IF(B553=0,PolicyCount,0)</f>
        <v/>
      </c>
      <c r="N553" s="33">
        <f>L553+M553</f>
        <v/>
      </c>
      <c r="O553" s="31">
        <f>N553*G553</f>
        <v/>
      </c>
      <c r="P553" s="33">
        <f>(N553-O553)*(1-(1-H553)^(1/12))</f>
        <v/>
      </c>
      <c r="Q553" s="34">
        <f>X552+Z552</f>
        <v/>
      </c>
      <c r="R553" s="29">
        <f>(1-LoadPremRate)*E553</f>
        <v/>
      </c>
      <c r="S553" s="34">
        <f>Q553+R553</f>
        <v/>
      </c>
      <c r="T553" s="29">
        <f>MaintFeeRateAnn/12*S553</f>
        <v/>
      </c>
      <c r="U553" s="29">
        <f>MAX(SumAssured-S553,0)</f>
        <v/>
      </c>
      <c r="V553" s="35">
        <f>CoiMultiple*G553</f>
        <v/>
      </c>
      <c r="W553" s="34">
        <f>V553*U553</f>
        <v/>
      </c>
      <c r="X553" s="34">
        <f>S553-T553-W553</f>
        <v/>
      </c>
      <c r="Y553" s="36">
        <f>EXP((Mu-0.5*Sigma^2)/12+Sigma*SQRT(1/12)*INDEX(NormRand,ScenID,A553+1))-1</f>
        <v/>
      </c>
      <c r="Z553" s="34">
        <f>Y553*X553</f>
        <v/>
      </c>
      <c r="AA553" s="34">
        <f>X553+0.5*Z553</f>
        <v/>
      </c>
      <c r="AB553" s="34">
        <f>Q553*J553</f>
        <v/>
      </c>
      <c r="AC553" s="34">
        <f>Q553*L553</f>
        <v/>
      </c>
      <c r="AD553" s="34">
        <f>S553*N553</f>
        <v/>
      </c>
      <c r="AE553" s="34">
        <f>E553*N553</f>
        <v/>
      </c>
      <c r="AF553" s="34">
        <f>R553*N553</f>
        <v/>
      </c>
      <c r="AG553" s="29">
        <f>MAX(SumAssured,AA553)</f>
        <v/>
      </c>
      <c r="AH553" s="34">
        <f>AG553*O553</f>
        <v/>
      </c>
      <c r="AI553" s="34">
        <f>AA553*O553</f>
        <v/>
      </c>
      <c r="AJ553" s="34">
        <f>AA553*P553</f>
        <v/>
      </c>
      <c r="AK553" s="34">
        <f>I553*AA553*P553</f>
        <v/>
      </c>
      <c r="AL553" s="34">
        <f>AJ553-AK553</f>
        <v/>
      </c>
      <c r="AM553" s="34">
        <f>Q553*K553</f>
        <v/>
      </c>
      <c r="AN553" s="34">
        <f>AH553+AL553+AM553</f>
        <v/>
      </c>
      <c r="AO553" s="34">
        <f>(AG553-AA553)*O553</f>
        <v/>
      </c>
      <c r="AP553" s="34">
        <f>W553*N553</f>
        <v/>
      </c>
      <c r="AQ553" s="34">
        <f>T553*N553</f>
        <v/>
      </c>
      <c r="AR553" s="34">
        <f>Z553*J554+0.5*Z553*(O553+P553)</f>
        <v/>
      </c>
      <c r="AS553" s="30">
        <f>(1+InflationRate)^(A553/12)</f>
        <v/>
      </c>
      <c r="AT553" s="29">
        <f>ExpenseAcq*M553+N553*ExpenseMaint/12*AS553</f>
        <v/>
      </c>
      <c r="AU553" s="29">
        <f>CommissionRate*AE553</f>
        <v/>
      </c>
      <c r="AV553" s="34">
        <f>AB554-AB553</f>
        <v/>
      </c>
      <c r="AW553" s="34">
        <f>AE553+AR553-AN553-AT553-AU553-AV553</f>
        <v/>
      </c>
      <c r="AX553" s="29">
        <f>LoadPremRate*E553*N553+AK553+AQ553-AU553-AT553</f>
        <v/>
      </c>
      <c r="AY553" s="34">
        <f>AP553-AO553</f>
        <v/>
      </c>
      <c r="AZ553" s="37">
        <f>(AW553-AX553-AY553)/MAX(1,ABS(AW553),ABS(AX553),ABS(AY553))</f>
        <v/>
      </c>
      <c r="BA553" s="37">
        <f>IF(OR(K553&gt;0,K554&gt;0),0,(AC554-(AC553+AF553-AQ553-AP553+AR553-AI553-AJ553-AM553))/MAX(1,ABS(AC553),ABS(AC554)))</f>
        <v/>
      </c>
      <c r="BB553" s="35">
        <f>(1+INDEX(DiscRateAnn,INT(A553/12)+1))^(1/12)-1</f>
        <v/>
      </c>
      <c r="BC553" s="31">
        <f>(1+BB553)^-A553</f>
        <v/>
      </c>
      <c r="BD553" s="34">
        <f>AW553*BC553</f>
        <v/>
      </c>
    </row>
    <row r="554">
      <c r="A554" s="27">
        <f>A553+1</f>
        <v/>
      </c>
      <c r="B554" s="28">
        <f>Duration0+A554</f>
        <v/>
      </c>
      <c r="C554" s="27">
        <f>INT(B554/12)</f>
        <v/>
      </c>
      <c r="D554" s="28">
        <f>AgeAtEntry+C554</f>
        <v/>
      </c>
      <c r="E554" s="29">
        <f>IF(PremiumType="SINGLE",IF(B554=0,PremiumPPInput,0),IF(B554&lt;12*PolicyTerm,PremiumPPInput,0))</f>
        <v/>
      </c>
      <c r="F554" s="30">
        <f>INDEX(MortRates,MATCH(MIN(D554,120),MortAges,0),MAX(MIN(C554,5),0)+1)</f>
        <v/>
      </c>
      <c r="G554" s="31">
        <f>1-(1-F554)^(1/12)</f>
        <v/>
      </c>
      <c r="H554" s="32">
        <f>MAX(LapseBase-LapseStep*C554,LapseFloor)</f>
        <v/>
      </c>
      <c r="I554" s="32">
        <f>IF(HasSurrCharge,INDEX(SurrRates,MIN(C554,SurrDurMax)+1,MATCH(SurrChargeID,SurrTypes,0)),0)</f>
        <v/>
      </c>
      <c r="J554" s="33">
        <f>N553-P553-O553</f>
        <v/>
      </c>
      <c r="K554" s="30">
        <f>IF(B554=12*PolicyTerm,J554,0)</f>
        <v/>
      </c>
      <c r="L554" s="33">
        <f>J554-K554</f>
        <v/>
      </c>
      <c r="M554" s="30">
        <f>IF(B554=0,PolicyCount,0)</f>
        <v/>
      </c>
      <c r="N554" s="33">
        <f>L554+M554</f>
        <v/>
      </c>
      <c r="O554" s="31">
        <f>N554*G554</f>
        <v/>
      </c>
      <c r="P554" s="33">
        <f>(N554-O554)*(1-(1-H554)^(1/12))</f>
        <v/>
      </c>
      <c r="Q554" s="34">
        <f>X553+Z553</f>
        <v/>
      </c>
      <c r="R554" s="29">
        <f>(1-LoadPremRate)*E554</f>
        <v/>
      </c>
      <c r="S554" s="34">
        <f>Q554+R554</f>
        <v/>
      </c>
      <c r="T554" s="29">
        <f>MaintFeeRateAnn/12*S554</f>
        <v/>
      </c>
      <c r="U554" s="29">
        <f>MAX(SumAssured-S554,0)</f>
        <v/>
      </c>
      <c r="V554" s="35">
        <f>CoiMultiple*G554</f>
        <v/>
      </c>
      <c r="W554" s="34">
        <f>V554*U554</f>
        <v/>
      </c>
      <c r="X554" s="34">
        <f>S554-T554-W554</f>
        <v/>
      </c>
      <c r="Y554" s="36">
        <f>EXP((Mu-0.5*Sigma^2)/12+Sigma*SQRT(1/12)*INDEX(NormRand,ScenID,A554+1))-1</f>
        <v/>
      </c>
      <c r="Z554" s="34">
        <f>Y554*X554</f>
        <v/>
      </c>
      <c r="AA554" s="34">
        <f>X554+0.5*Z554</f>
        <v/>
      </c>
      <c r="AB554" s="34">
        <f>Q554*J554</f>
        <v/>
      </c>
      <c r="AC554" s="34">
        <f>Q554*L554</f>
        <v/>
      </c>
      <c r="AD554" s="34">
        <f>S554*N554</f>
        <v/>
      </c>
      <c r="AE554" s="34">
        <f>E554*N554</f>
        <v/>
      </c>
      <c r="AF554" s="34">
        <f>R554*N554</f>
        <v/>
      </c>
      <c r="AG554" s="29">
        <f>MAX(SumAssured,AA554)</f>
        <v/>
      </c>
      <c r="AH554" s="34">
        <f>AG554*O554</f>
        <v/>
      </c>
      <c r="AI554" s="34">
        <f>AA554*O554</f>
        <v/>
      </c>
      <c r="AJ554" s="34">
        <f>AA554*P554</f>
        <v/>
      </c>
      <c r="AK554" s="34">
        <f>I554*AA554*P554</f>
        <v/>
      </c>
      <c r="AL554" s="34">
        <f>AJ554-AK554</f>
        <v/>
      </c>
      <c r="AM554" s="34">
        <f>Q554*K554</f>
        <v/>
      </c>
      <c r="AN554" s="34">
        <f>AH554+AL554+AM554</f>
        <v/>
      </c>
      <c r="AO554" s="34">
        <f>(AG554-AA554)*O554</f>
        <v/>
      </c>
      <c r="AP554" s="34">
        <f>W554*N554</f>
        <v/>
      </c>
      <c r="AQ554" s="34">
        <f>T554*N554</f>
        <v/>
      </c>
      <c r="AR554" s="34">
        <f>Z554*J555+0.5*Z554*(O554+P554)</f>
        <v/>
      </c>
      <c r="AS554" s="30">
        <f>(1+InflationRate)^(A554/12)</f>
        <v/>
      </c>
      <c r="AT554" s="29">
        <f>ExpenseAcq*M554+N554*ExpenseMaint/12*AS554</f>
        <v/>
      </c>
      <c r="AU554" s="29">
        <f>CommissionRate*AE554</f>
        <v/>
      </c>
      <c r="AV554" s="34">
        <f>AB555-AB554</f>
        <v/>
      </c>
      <c r="AW554" s="34">
        <f>AE554+AR554-AN554-AT554-AU554-AV554</f>
        <v/>
      </c>
      <c r="AX554" s="29">
        <f>LoadPremRate*E554*N554+AK554+AQ554-AU554-AT554</f>
        <v/>
      </c>
      <c r="AY554" s="34">
        <f>AP554-AO554</f>
        <v/>
      </c>
      <c r="AZ554" s="37">
        <f>(AW554-AX554-AY554)/MAX(1,ABS(AW554),ABS(AX554),ABS(AY554))</f>
        <v/>
      </c>
      <c r="BA554" s="37">
        <f>IF(OR(K554&gt;0,K555&gt;0),0,(AC555-(AC554+AF554-AQ554-AP554+AR554-AI554-AJ554-AM554))/MAX(1,ABS(AC554),ABS(AC555)))</f>
        <v/>
      </c>
      <c r="BB554" s="35">
        <f>(1+INDEX(DiscRateAnn,INT(A554/12)+1))^(1/12)-1</f>
        <v/>
      </c>
      <c r="BC554" s="31">
        <f>(1+BB554)^-A554</f>
        <v/>
      </c>
      <c r="BD554" s="34">
        <f>AW554*BC554</f>
        <v/>
      </c>
    </row>
    <row r="555">
      <c r="A555" s="27">
        <f>A554+1</f>
        <v/>
      </c>
      <c r="B555" s="28">
        <f>Duration0+A555</f>
        <v/>
      </c>
      <c r="C555" s="27">
        <f>INT(B555/12)</f>
        <v/>
      </c>
      <c r="D555" s="28">
        <f>AgeAtEntry+C555</f>
        <v/>
      </c>
      <c r="E555" s="29">
        <f>IF(PremiumType="SINGLE",IF(B555=0,PremiumPPInput,0),IF(B555&lt;12*PolicyTerm,PremiumPPInput,0))</f>
        <v/>
      </c>
      <c r="F555" s="30">
        <f>INDEX(MortRates,MATCH(MIN(D555,120),MortAges,0),MAX(MIN(C555,5),0)+1)</f>
        <v/>
      </c>
      <c r="G555" s="31">
        <f>1-(1-F555)^(1/12)</f>
        <v/>
      </c>
      <c r="H555" s="32">
        <f>MAX(LapseBase-LapseStep*C555,LapseFloor)</f>
        <v/>
      </c>
      <c r="I555" s="32">
        <f>IF(HasSurrCharge,INDEX(SurrRates,MIN(C555,SurrDurMax)+1,MATCH(SurrChargeID,SurrTypes,0)),0)</f>
        <v/>
      </c>
      <c r="J555" s="33">
        <f>N554-P554-O554</f>
        <v/>
      </c>
      <c r="K555" s="30">
        <f>IF(B555=12*PolicyTerm,J555,0)</f>
        <v/>
      </c>
      <c r="L555" s="33">
        <f>J555-K555</f>
        <v/>
      </c>
      <c r="M555" s="30">
        <f>IF(B555=0,PolicyCount,0)</f>
        <v/>
      </c>
      <c r="N555" s="33">
        <f>L555+M555</f>
        <v/>
      </c>
      <c r="O555" s="31">
        <f>N555*G555</f>
        <v/>
      </c>
      <c r="P555" s="33">
        <f>(N555-O555)*(1-(1-H555)^(1/12))</f>
        <v/>
      </c>
      <c r="Q555" s="34">
        <f>X554+Z554</f>
        <v/>
      </c>
      <c r="R555" s="29">
        <f>(1-LoadPremRate)*E555</f>
        <v/>
      </c>
      <c r="S555" s="34">
        <f>Q555+R555</f>
        <v/>
      </c>
      <c r="T555" s="29">
        <f>MaintFeeRateAnn/12*S555</f>
        <v/>
      </c>
      <c r="U555" s="29">
        <f>MAX(SumAssured-S555,0)</f>
        <v/>
      </c>
      <c r="V555" s="35">
        <f>CoiMultiple*G555</f>
        <v/>
      </c>
      <c r="W555" s="34">
        <f>V555*U555</f>
        <v/>
      </c>
      <c r="X555" s="34">
        <f>S555-T555-W555</f>
        <v/>
      </c>
      <c r="Y555" s="36">
        <f>EXP((Mu-0.5*Sigma^2)/12+Sigma*SQRT(1/12)*INDEX(NormRand,ScenID,A555+1))-1</f>
        <v/>
      </c>
      <c r="Z555" s="34">
        <f>Y555*X555</f>
        <v/>
      </c>
      <c r="AA555" s="34">
        <f>X555+0.5*Z555</f>
        <v/>
      </c>
      <c r="AB555" s="34">
        <f>Q555*J555</f>
        <v/>
      </c>
      <c r="AC555" s="34">
        <f>Q555*L555</f>
        <v/>
      </c>
      <c r="AD555" s="34">
        <f>S555*N555</f>
        <v/>
      </c>
      <c r="AE555" s="34">
        <f>E555*N555</f>
        <v/>
      </c>
      <c r="AF555" s="34">
        <f>R555*N555</f>
        <v/>
      </c>
      <c r="AG555" s="29">
        <f>MAX(SumAssured,AA555)</f>
        <v/>
      </c>
      <c r="AH555" s="34">
        <f>AG555*O555</f>
        <v/>
      </c>
      <c r="AI555" s="34">
        <f>AA555*O555</f>
        <v/>
      </c>
      <c r="AJ555" s="34">
        <f>AA555*P555</f>
        <v/>
      </c>
      <c r="AK555" s="34">
        <f>I555*AA555*P555</f>
        <v/>
      </c>
      <c r="AL555" s="34">
        <f>AJ555-AK555</f>
        <v/>
      </c>
      <c r="AM555" s="34">
        <f>Q555*K555</f>
        <v/>
      </c>
      <c r="AN555" s="34">
        <f>AH555+AL555+AM555</f>
        <v/>
      </c>
      <c r="AO555" s="34">
        <f>(AG555-AA555)*O555</f>
        <v/>
      </c>
      <c r="AP555" s="34">
        <f>W555*N555</f>
        <v/>
      </c>
      <c r="AQ555" s="34">
        <f>T555*N555</f>
        <v/>
      </c>
      <c r="AR555" s="34">
        <f>Z555*J556+0.5*Z555*(O555+P555)</f>
        <v/>
      </c>
      <c r="AS555" s="30">
        <f>(1+InflationRate)^(A555/12)</f>
        <v/>
      </c>
      <c r="AT555" s="29">
        <f>ExpenseAcq*M555+N555*ExpenseMaint/12*AS555</f>
        <v/>
      </c>
      <c r="AU555" s="29">
        <f>CommissionRate*AE555</f>
        <v/>
      </c>
      <c r="AV555" s="34">
        <f>AB556-AB555</f>
        <v/>
      </c>
      <c r="AW555" s="34">
        <f>AE555+AR555-AN555-AT555-AU555-AV555</f>
        <v/>
      </c>
      <c r="AX555" s="29">
        <f>LoadPremRate*E555*N555+AK555+AQ555-AU555-AT555</f>
        <v/>
      </c>
      <c r="AY555" s="34">
        <f>AP555-AO555</f>
        <v/>
      </c>
      <c r="AZ555" s="37">
        <f>(AW555-AX555-AY555)/MAX(1,ABS(AW555),ABS(AX555),ABS(AY555))</f>
        <v/>
      </c>
      <c r="BA555" s="37">
        <f>IF(OR(K555&gt;0,K556&gt;0),0,(AC556-(AC555+AF555-AQ555-AP555+AR555-AI555-AJ555-AM555))/MAX(1,ABS(AC555),ABS(AC556)))</f>
        <v/>
      </c>
      <c r="BB555" s="35">
        <f>(1+INDEX(DiscRateAnn,INT(A555/12)+1))^(1/12)-1</f>
        <v/>
      </c>
      <c r="BC555" s="31">
        <f>(1+BB555)^-A555</f>
        <v/>
      </c>
      <c r="BD555" s="34">
        <f>AW555*BC555</f>
        <v/>
      </c>
    </row>
    <row r="556">
      <c r="A556" s="27">
        <f>A555+1</f>
        <v/>
      </c>
      <c r="B556" s="28">
        <f>Duration0+A556</f>
        <v/>
      </c>
      <c r="C556" s="27">
        <f>INT(B556/12)</f>
        <v/>
      </c>
      <c r="D556" s="28">
        <f>AgeAtEntry+C556</f>
        <v/>
      </c>
      <c r="E556" s="29">
        <f>IF(PremiumType="SINGLE",IF(B556=0,PremiumPPInput,0),IF(B556&lt;12*PolicyTerm,PremiumPPInput,0))</f>
        <v/>
      </c>
      <c r="F556" s="30">
        <f>INDEX(MortRates,MATCH(MIN(D556,120),MortAges,0),MAX(MIN(C556,5),0)+1)</f>
        <v/>
      </c>
      <c r="G556" s="31">
        <f>1-(1-F556)^(1/12)</f>
        <v/>
      </c>
      <c r="H556" s="32">
        <f>MAX(LapseBase-LapseStep*C556,LapseFloor)</f>
        <v/>
      </c>
      <c r="I556" s="32">
        <f>IF(HasSurrCharge,INDEX(SurrRates,MIN(C556,SurrDurMax)+1,MATCH(SurrChargeID,SurrTypes,0)),0)</f>
        <v/>
      </c>
      <c r="J556" s="33">
        <f>N555-P555-O555</f>
        <v/>
      </c>
      <c r="K556" s="30">
        <f>IF(B556=12*PolicyTerm,J556,0)</f>
        <v/>
      </c>
      <c r="L556" s="33">
        <f>J556-K556</f>
        <v/>
      </c>
      <c r="M556" s="30">
        <f>IF(B556=0,PolicyCount,0)</f>
        <v/>
      </c>
      <c r="N556" s="33">
        <f>L556+M556</f>
        <v/>
      </c>
      <c r="O556" s="31">
        <f>N556*G556</f>
        <v/>
      </c>
      <c r="P556" s="33">
        <f>(N556-O556)*(1-(1-H556)^(1/12))</f>
        <v/>
      </c>
      <c r="Q556" s="34">
        <f>X555+Z555</f>
        <v/>
      </c>
      <c r="R556" s="29">
        <f>(1-LoadPremRate)*E556</f>
        <v/>
      </c>
      <c r="S556" s="34">
        <f>Q556+R556</f>
        <v/>
      </c>
      <c r="T556" s="29">
        <f>MaintFeeRateAnn/12*S556</f>
        <v/>
      </c>
      <c r="U556" s="29">
        <f>MAX(SumAssured-S556,0)</f>
        <v/>
      </c>
      <c r="V556" s="35">
        <f>CoiMultiple*G556</f>
        <v/>
      </c>
      <c r="W556" s="34">
        <f>V556*U556</f>
        <v/>
      </c>
      <c r="X556" s="34">
        <f>S556-T556-W556</f>
        <v/>
      </c>
      <c r="Y556" s="36">
        <f>EXP((Mu-0.5*Sigma^2)/12+Sigma*SQRT(1/12)*INDEX(NormRand,ScenID,A556+1))-1</f>
        <v/>
      </c>
      <c r="Z556" s="34">
        <f>Y556*X556</f>
        <v/>
      </c>
      <c r="AA556" s="34">
        <f>X556+0.5*Z556</f>
        <v/>
      </c>
      <c r="AB556" s="34">
        <f>Q556*J556</f>
        <v/>
      </c>
      <c r="AC556" s="34">
        <f>Q556*L556</f>
        <v/>
      </c>
      <c r="AD556" s="34">
        <f>S556*N556</f>
        <v/>
      </c>
      <c r="AE556" s="34">
        <f>E556*N556</f>
        <v/>
      </c>
      <c r="AF556" s="34">
        <f>R556*N556</f>
        <v/>
      </c>
      <c r="AG556" s="29">
        <f>MAX(SumAssured,AA556)</f>
        <v/>
      </c>
      <c r="AH556" s="34">
        <f>AG556*O556</f>
        <v/>
      </c>
      <c r="AI556" s="34">
        <f>AA556*O556</f>
        <v/>
      </c>
      <c r="AJ556" s="34">
        <f>AA556*P556</f>
        <v/>
      </c>
      <c r="AK556" s="34">
        <f>I556*AA556*P556</f>
        <v/>
      </c>
      <c r="AL556" s="34">
        <f>AJ556-AK556</f>
        <v/>
      </c>
      <c r="AM556" s="34">
        <f>Q556*K556</f>
        <v/>
      </c>
      <c r="AN556" s="34">
        <f>AH556+AL556+AM556</f>
        <v/>
      </c>
      <c r="AO556" s="34">
        <f>(AG556-AA556)*O556</f>
        <v/>
      </c>
      <c r="AP556" s="34">
        <f>W556*N556</f>
        <v/>
      </c>
      <c r="AQ556" s="34">
        <f>T556*N556</f>
        <v/>
      </c>
      <c r="AR556" s="34">
        <f>Z556*J557+0.5*Z556*(O556+P556)</f>
        <v/>
      </c>
      <c r="AS556" s="30">
        <f>(1+InflationRate)^(A556/12)</f>
        <v/>
      </c>
      <c r="AT556" s="29">
        <f>ExpenseAcq*M556+N556*ExpenseMaint/12*AS556</f>
        <v/>
      </c>
      <c r="AU556" s="29">
        <f>CommissionRate*AE556</f>
        <v/>
      </c>
      <c r="AV556" s="34">
        <f>AB557-AB556</f>
        <v/>
      </c>
      <c r="AW556" s="34">
        <f>AE556+AR556-AN556-AT556-AU556-AV556</f>
        <v/>
      </c>
      <c r="AX556" s="29">
        <f>LoadPremRate*E556*N556+AK556+AQ556-AU556-AT556</f>
        <v/>
      </c>
      <c r="AY556" s="34">
        <f>AP556-AO556</f>
        <v/>
      </c>
      <c r="AZ556" s="37">
        <f>(AW556-AX556-AY556)/MAX(1,ABS(AW556),ABS(AX556),ABS(AY556))</f>
        <v/>
      </c>
      <c r="BA556" s="37">
        <f>IF(OR(K556&gt;0,K557&gt;0),0,(AC557-(AC556+AF556-AQ556-AP556+AR556-AI556-AJ556-AM556))/MAX(1,ABS(AC556),ABS(AC557)))</f>
        <v/>
      </c>
      <c r="BB556" s="35">
        <f>(1+INDEX(DiscRateAnn,INT(A556/12)+1))^(1/12)-1</f>
        <v/>
      </c>
      <c r="BC556" s="31">
        <f>(1+BB556)^-A556</f>
        <v/>
      </c>
      <c r="BD556" s="34">
        <f>AW556*BC556</f>
        <v/>
      </c>
    </row>
    <row r="557">
      <c r="A557" s="27">
        <f>A556+1</f>
        <v/>
      </c>
      <c r="B557" s="28">
        <f>Duration0+A557</f>
        <v/>
      </c>
      <c r="C557" s="27">
        <f>INT(B557/12)</f>
        <v/>
      </c>
      <c r="D557" s="28">
        <f>AgeAtEntry+C557</f>
        <v/>
      </c>
      <c r="E557" s="29">
        <f>IF(PremiumType="SINGLE",IF(B557=0,PremiumPPInput,0),IF(B557&lt;12*PolicyTerm,PremiumPPInput,0))</f>
        <v/>
      </c>
      <c r="F557" s="30">
        <f>INDEX(MortRates,MATCH(MIN(D557,120),MortAges,0),MAX(MIN(C557,5),0)+1)</f>
        <v/>
      </c>
      <c r="G557" s="31">
        <f>1-(1-F557)^(1/12)</f>
        <v/>
      </c>
      <c r="H557" s="32">
        <f>MAX(LapseBase-LapseStep*C557,LapseFloor)</f>
        <v/>
      </c>
      <c r="I557" s="32">
        <f>IF(HasSurrCharge,INDEX(SurrRates,MIN(C557,SurrDurMax)+1,MATCH(SurrChargeID,SurrTypes,0)),0)</f>
        <v/>
      </c>
      <c r="J557" s="33">
        <f>N556-P556-O556</f>
        <v/>
      </c>
      <c r="K557" s="30">
        <f>IF(B557=12*PolicyTerm,J557,0)</f>
        <v/>
      </c>
      <c r="L557" s="33">
        <f>J557-K557</f>
        <v/>
      </c>
      <c r="M557" s="30">
        <f>IF(B557=0,PolicyCount,0)</f>
        <v/>
      </c>
      <c r="N557" s="33">
        <f>L557+M557</f>
        <v/>
      </c>
      <c r="O557" s="31">
        <f>N557*G557</f>
        <v/>
      </c>
      <c r="P557" s="33">
        <f>(N557-O557)*(1-(1-H557)^(1/12))</f>
        <v/>
      </c>
      <c r="Q557" s="34">
        <f>X556+Z556</f>
        <v/>
      </c>
      <c r="R557" s="29">
        <f>(1-LoadPremRate)*E557</f>
        <v/>
      </c>
      <c r="S557" s="34">
        <f>Q557+R557</f>
        <v/>
      </c>
      <c r="T557" s="29">
        <f>MaintFeeRateAnn/12*S557</f>
        <v/>
      </c>
      <c r="U557" s="29">
        <f>MAX(SumAssured-S557,0)</f>
        <v/>
      </c>
      <c r="V557" s="35">
        <f>CoiMultiple*G557</f>
        <v/>
      </c>
      <c r="W557" s="34">
        <f>V557*U557</f>
        <v/>
      </c>
      <c r="X557" s="34">
        <f>S557-T557-W557</f>
        <v/>
      </c>
      <c r="Y557" s="36">
        <f>EXP((Mu-0.5*Sigma^2)/12+Sigma*SQRT(1/12)*INDEX(NormRand,ScenID,A557+1))-1</f>
        <v/>
      </c>
      <c r="Z557" s="34">
        <f>Y557*X557</f>
        <v/>
      </c>
      <c r="AA557" s="34">
        <f>X557+0.5*Z557</f>
        <v/>
      </c>
      <c r="AB557" s="34">
        <f>Q557*J557</f>
        <v/>
      </c>
      <c r="AC557" s="34">
        <f>Q557*L557</f>
        <v/>
      </c>
      <c r="AD557" s="34">
        <f>S557*N557</f>
        <v/>
      </c>
      <c r="AE557" s="34">
        <f>E557*N557</f>
        <v/>
      </c>
      <c r="AF557" s="34">
        <f>R557*N557</f>
        <v/>
      </c>
      <c r="AG557" s="29">
        <f>MAX(SumAssured,AA557)</f>
        <v/>
      </c>
      <c r="AH557" s="34">
        <f>AG557*O557</f>
        <v/>
      </c>
      <c r="AI557" s="34">
        <f>AA557*O557</f>
        <v/>
      </c>
      <c r="AJ557" s="34">
        <f>AA557*P557</f>
        <v/>
      </c>
      <c r="AK557" s="34">
        <f>I557*AA557*P557</f>
        <v/>
      </c>
      <c r="AL557" s="34">
        <f>AJ557-AK557</f>
        <v/>
      </c>
      <c r="AM557" s="34">
        <f>Q557*K557</f>
        <v/>
      </c>
      <c r="AN557" s="34">
        <f>AH557+AL557+AM557</f>
        <v/>
      </c>
      <c r="AO557" s="34">
        <f>(AG557-AA557)*O557</f>
        <v/>
      </c>
      <c r="AP557" s="34">
        <f>W557*N557</f>
        <v/>
      </c>
      <c r="AQ557" s="34">
        <f>T557*N557</f>
        <v/>
      </c>
      <c r="AR557" s="34">
        <f>Z557*J558+0.5*Z557*(O557+P557)</f>
        <v/>
      </c>
      <c r="AS557" s="30">
        <f>(1+InflationRate)^(A557/12)</f>
        <v/>
      </c>
      <c r="AT557" s="29">
        <f>ExpenseAcq*M557+N557*ExpenseMaint/12*AS557</f>
        <v/>
      </c>
      <c r="AU557" s="29">
        <f>CommissionRate*AE557</f>
        <v/>
      </c>
      <c r="AV557" s="34">
        <f>AB558-AB557</f>
        <v/>
      </c>
      <c r="AW557" s="34">
        <f>AE557+AR557-AN557-AT557-AU557-AV557</f>
        <v/>
      </c>
      <c r="AX557" s="29">
        <f>LoadPremRate*E557*N557+AK557+AQ557-AU557-AT557</f>
        <v/>
      </c>
      <c r="AY557" s="34">
        <f>AP557-AO557</f>
        <v/>
      </c>
      <c r="AZ557" s="37">
        <f>(AW557-AX557-AY557)/MAX(1,ABS(AW557),ABS(AX557),ABS(AY557))</f>
        <v/>
      </c>
      <c r="BA557" s="37">
        <f>IF(OR(K557&gt;0,K558&gt;0),0,(AC558-(AC557+AF557-AQ557-AP557+AR557-AI557-AJ557-AM557))/MAX(1,ABS(AC557),ABS(AC558)))</f>
        <v/>
      </c>
      <c r="BB557" s="35">
        <f>(1+INDEX(DiscRateAnn,INT(A557/12)+1))^(1/12)-1</f>
        <v/>
      </c>
      <c r="BC557" s="31">
        <f>(1+BB557)^-A557</f>
        <v/>
      </c>
      <c r="BD557" s="34">
        <f>AW557*BC557</f>
        <v/>
      </c>
    </row>
    <row r="558">
      <c r="A558" s="27">
        <f>A557+1</f>
        <v/>
      </c>
      <c r="B558" s="28">
        <f>Duration0+A558</f>
        <v/>
      </c>
      <c r="C558" s="27">
        <f>INT(B558/12)</f>
        <v/>
      </c>
      <c r="D558" s="28">
        <f>AgeAtEntry+C558</f>
        <v/>
      </c>
      <c r="E558" s="29">
        <f>IF(PremiumType="SINGLE",IF(B558=0,PremiumPPInput,0),IF(B558&lt;12*PolicyTerm,PremiumPPInput,0))</f>
        <v/>
      </c>
      <c r="F558" s="30">
        <f>INDEX(MortRates,MATCH(MIN(D558,120),MortAges,0),MAX(MIN(C558,5),0)+1)</f>
        <v/>
      </c>
      <c r="G558" s="31">
        <f>1-(1-F558)^(1/12)</f>
        <v/>
      </c>
      <c r="H558" s="32">
        <f>MAX(LapseBase-LapseStep*C558,LapseFloor)</f>
        <v/>
      </c>
      <c r="I558" s="32">
        <f>IF(HasSurrCharge,INDEX(SurrRates,MIN(C558,SurrDurMax)+1,MATCH(SurrChargeID,SurrTypes,0)),0)</f>
        <v/>
      </c>
      <c r="J558" s="33">
        <f>N557-P557-O557</f>
        <v/>
      </c>
      <c r="K558" s="30">
        <f>IF(B558=12*PolicyTerm,J558,0)</f>
        <v/>
      </c>
      <c r="L558" s="33">
        <f>J558-K558</f>
        <v/>
      </c>
      <c r="M558" s="30">
        <f>IF(B558=0,PolicyCount,0)</f>
        <v/>
      </c>
      <c r="N558" s="33">
        <f>L558+M558</f>
        <v/>
      </c>
      <c r="O558" s="31">
        <f>N558*G558</f>
        <v/>
      </c>
      <c r="P558" s="33">
        <f>(N558-O558)*(1-(1-H558)^(1/12))</f>
        <v/>
      </c>
      <c r="Q558" s="34">
        <f>X557+Z557</f>
        <v/>
      </c>
      <c r="R558" s="29">
        <f>(1-LoadPremRate)*E558</f>
        <v/>
      </c>
      <c r="S558" s="34">
        <f>Q558+R558</f>
        <v/>
      </c>
      <c r="T558" s="29">
        <f>MaintFeeRateAnn/12*S558</f>
        <v/>
      </c>
      <c r="U558" s="29">
        <f>MAX(SumAssured-S558,0)</f>
        <v/>
      </c>
      <c r="V558" s="35">
        <f>CoiMultiple*G558</f>
        <v/>
      </c>
      <c r="W558" s="34">
        <f>V558*U558</f>
        <v/>
      </c>
      <c r="X558" s="34">
        <f>S558-T558-W558</f>
        <v/>
      </c>
      <c r="Y558" s="36">
        <f>EXP((Mu-0.5*Sigma^2)/12+Sigma*SQRT(1/12)*INDEX(NormRand,ScenID,A558+1))-1</f>
        <v/>
      </c>
      <c r="Z558" s="34">
        <f>Y558*X558</f>
        <v/>
      </c>
      <c r="AA558" s="34">
        <f>X558+0.5*Z558</f>
        <v/>
      </c>
      <c r="AB558" s="34">
        <f>Q558*J558</f>
        <v/>
      </c>
      <c r="AC558" s="34">
        <f>Q558*L558</f>
        <v/>
      </c>
      <c r="AD558" s="34">
        <f>S558*N558</f>
        <v/>
      </c>
      <c r="AE558" s="34">
        <f>E558*N558</f>
        <v/>
      </c>
      <c r="AF558" s="34">
        <f>R558*N558</f>
        <v/>
      </c>
      <c r="AG558" s="29">
        <f>MAX(SumAssured,AA558)</f>
        <v/>
      </c>
      <c r="AH558" s="34">
        <f>AG558*O558</f>
        <v/>
      </c>
      <c r="AI558" s="34">
        <f>AA558*O558</f>
        <v/>
      </c>
      <c r="AJ558" s="34">
        <f>AA558*P558</f>
        <v/>
      </c>
      <c r="AK558" s="34">
        <f>I558*AA558*P558</f>
        <v/>
      </c>
      <c r="AL558" s="34">
        <f>AJ558-AK558</f>
        <v/>
      </c>
      <c r="AM558" s="34">
        <f>Q558*K558</f>
        <v/>
      </c>
      <c r="AN558" s="34">
        <f>AH558+AL558+AM558</f>
        <v/>
      </c>
      <c r="AO558" s="34">
        <f>(AG558-AA558)*O558</f>
        <v/>
      </c>
      <c r="AP558" s="34">
        <f>W558*N558</f>
        <v/>
      </c>
      <c r="AQ558" s="34">
        <f>T558*N558</f>
        <v/>
      </c>
      <c r="AR558" s="34">
        <f>Z558*J559+0.5*Z558*(O558+P558)</f>
        <v/>
      </c>
      <c r="AS558" s="30">
        <f>(1+InflationRate)^(A558/12)</f>
        <v/>
      </c>
      <c r="AT558" s="29">
        <f>ExpenseAcq*M558+N558*ExpenseMaint/12*AS558</f>
        <v/>
      </c>
      <c r="AU558" s="29">
        <f>CommissionRate*AE558</f>
        <v/>
      </c>
      <c r="AV558" s="34">
        <f>AB559-AB558</f>
        <v/>
      </c>
      <c r="AW558" s="34">
        <f>AE558+AR558-AN558-AT558-AU558-AV558</f>
        <v/>
      </c>
      <c r="AX558" s="29">
        <f>LoadPremRate*E558*N558+AK558+AQ558-AU558-AT558</f>
        <v/>
      </c>
      <c r="AY558" s="34">
        <f>AP558-AO558</f>
        <v/>
      </c>
      <c r="AZ558" s="37">
        <f>(AW558-AX558-AY558)/MAX(1,ABS(AW558),ABS(AX558),ABS(AY558))</f>
        <v/>
      </c>
      <c r="BA558" s="37">
        <f>IF(OR(K558&gt;0,K559&gt;0),0,(AC559-(AC558+AF558-AQ558-AP558+AR558-AI558-AJ558-AM558))/MAX(1,ABS(AC558),ABS(AC559)))</f>
        <v/>
      </c>
      <c r="BB558" s="35">
        <f>(1+INDEX(DiscRateAnn,INT(A558/12)+1))^(1/12)-1</f>
        <v/>
      </c>
      <c r="BC558" s="31">
        <f>(1+BB558)^-A558</f>
        <v/>
      </c>
      <c r="BD558" s="34">
        <f>AW558*BC558</f>
        <v/>
      </c>
    </row>
    <row r="559">
      <c r="A559" s="27">
        <f>A558+1</f>
        <v/>
      </c>
      <c r="B559" s="28">
        <f>Duration0+A559</f>
        <v/>
      </c>
      <c r="C559" s="27">
        <f>INT(B559/12)</f>
        <v/>
      </c>
      <c r="D559" s="28">
        <f>AgeAtEntry+C559</f>
        <v/>
      </c>
      <c r="E559" s="29">
        <f>IF(PremiumType="SINGLE",IF(B559=0,PremiumPPInput,0),IF(B559&lt;12*PolicyTerm,PremiumPPInput,0))</f>
        <v/>
      </c>
      <c r="F559" s="30">
        <f>INDEX(MortRates,MATCH(MIN(D559,120),MortAges,0),MAX(MIN(C559,5),0)+1)</f>
        <v/>
      </c>
      <c r="G559" s="31">
        <f>1-(1-F559)^(1/12)</f>
        <v/>
      </c>
      <c r="H559" s="32">
        <f>MAX(LapseBase-LapseStep*C559,LapseFloor)</f>
        <v/>
      </c>
      <c r="I559" s="32">
        <f>IF(HasSurrCharge,INDEX(SurrRates,MIN(C559,SurrDurMax)+1,MATCH(SurrChargeID,SurrTypes,0)),0)</f>
        <v/>
      </c>
      <c r="J559" s="33">
        <f>N558-P558-O558</f>
        <v/>
      </c>
      <c r="K559" s="30">
        <f>IF(B559=12*PolicyTerm,J559,0)</f>
        <v/>
      </c>
      <c r="L559" s="33">
        <f>J559-K559</f>
        <v/>
      </c>
      <c r="M559" s="30">
        <f>IF(B559=0,PolicyCount,0)</f>
        <v/>
      </c>
      <c r="N559" s="33">
        <f>L559+M559</f>
        <v/>
      </c>
      <c r="O559" s="31">
        <f>N559*G559</f>
        <v/>
      </c>
      <c r="P559" s="33">
        <f>(N559-O559)*(1-(1-H559)^(1/12))</f>
        <v/>
      </c>
      <c r="Q559" s="34">
        <f>X558+Z558</f>
        <v/>
      </c>
      <c r="R559" s="29">
        <f>(1-LoadPremRate)*E559</f>
        <v/>
      </c>
      <c r="S559" s="34">
        <f>Q559+R559</f>
        <v/>
      </c>
      <c r="T559" s="29">
        <f>MaintFeeRateAnn/12*S559</f>
        <v/>
      </c>
      <c r="U559" s="29">
        <f>MAX(SumAssured-S559,0)</f>
        <v/>
      </c>
      <c r="V559" s="35">
        <f>CoiMultiple*G559</f>
        <v/>
      </c>
      <c r="W559" s="34">
        <f>V559*U559</f>
        <v/>
      </c>
      <c r="X559" s="34">
        <f>S559-T559-W559</f>
        <v/>
      </c>
      <c r="Y559" s="36">
        <f>EXP((Mu-0.5*Sigma^2)/12+Sigma*SQRT(1/12)*INDEX(NormRand,ScenID,A559+1))-1</f>
        <v/>
      </c>
      <c r="Z559" s="34">
        <f>Y559*X559</f>
        <v/>
      </c>
      <c r="AA559" s="34">
        <f>X559+0.5*Z559</f>
        <v/>
      </c>
      <c r="AB559" s="34">
        <f>Q559*J559</f>
        <v/>
      </c>
      <c r="AC559" s="34">
        <f>Q559*L559</f>
        <v/>
      </c>
      <c r="AD559" s="34">
        <f>S559*N559</f>
        <v/>
      </c>
      <c r="AE559" s="34">
        <f>E559*N559</f>
        <v/>
      </c>
      <c r="AF559" s="34">
        <f>R559*N559</f>
        <v/>
      </c>
      <c r="AG559" s="29">
        <f>MAX(SumAssured,AA559)</f>
        <v/>
      </c>
      <c r="AH559" s="34">
        <f>AG559*O559</f>
        <v/>
      </c>
      <c r="AI559" s="34">
        <f>AA559*O559</f>
        <v/>
      </c>
      <c r="AJ559" s="34">
        <f>AA559*P559</f>
        <v/>
      </c>
      <c r="AK559" s="34">
        <f>I559*AA559*P559</f>
        <v/>
      </c>
      <c r="AL559" s="34">
        <f>AJ559-AK559</f>
        <v/>
      </c>
      <c r="AM559" s="34">
        <f>Q559*K559</f>
        <v/>
      </c>
      <c r="AN559" s="34">
        <f>AH559+AL559+AM559</f>
        <v/>
      </c>
      <c r="AO559" s="34">
        <f>(AG559-AA559)*O559</f>
        <v/>
      </c>
      <c r="AP559" s="34">
        <f>W559*N559</f>
        <v/>
      </c>
      <c r="AQ559" s="34">
        <f>T559*N559</f>
        <v/>
      </c>
      <c r="AR559" s="34">
        <f>Z559*J560+0.5*Z559*(O559+P559)</f>
        <v/>
      </c>
      <c r="AS559" s="30">
        <f>(1+InflationRate)^(A559/12)</f>
        <v/>
      </c>
      <c r="AT559" s="29">
        <f>ExpenseAcq*M559+N559*ExpenseMaint/12*AS559</f>
        <v/>
      </c>
      <c r="AU559" s="29">
        <f>CommissionRate*AE559</f>
        <v/>
      </c>
      <c r="AV559" s="34">
        <f>AB560-AB559</f>
        <v/>
      </c>
      <c r="AW559" s="34">
        <f>AE559+AR559-AN559-AT559-AU559-AV559</f>
        <v/>
      </c>
      <c r="AX559" s="29">
        <f>LoadPremRate*E559*N559+AK559+AQ559-AU559-AT559</f>
        <v/>
      </c>
      <c r="AY559" s="34">
        <f>AP559-AO559</f>
        <v/>
      </c>
      <c r="AZ559" s="37">
        <f>(AW559-AX559-AY559)/MAX(1,ABS(AW559),ABS(AX559),ABS(AY559))</f>
        <v/>
      </c>
      <c r="BA559" s="37">
        <f>IF(OR(K559&gt;0,K560&gt;0),0,(AC560-(AC559+AF559-AQ559-AP559+AR559-AI559-AJ559-AM559))/MAX(1,ABS(AC559),ABS(AC560)))</f>
        <v/>
      </c>
      <c r="BB559" s="35">
        <f>(1+INDEX(DiscRateAnn,INT(A559/12)+1))^(1/12)-1</f>
        <v/>
      </c>
      <c r="BC559" s="31">
        <f>(1+BB559)^-A559</f>
        <v/>
      </c>
      <c r="BD559" s="34">
        <f>AW559*BC559</f>
        <v/>
      </c>
    </row>
    <row r="560">
      <c r="A560" s="27">
        <f>A559+1</f>
        <v/>
      </c>
      <c r="B560" s="28">
        <f>Duration0+A560</f>
        <v/>
      </c>
      <c r="C560" s="27">
        <f>INT(B560/12)</f>
        <v/>
      </c>
      <c r="D560" s="28">
        <f>AgeAtEntry+C560</f>
        <v/>
      </c>
      <c r="E560" s="29">
        <f>IF(PremiumType="SINGLE",IF(B560=0,PremiumPPInput,0),IF(B560&lt;12*PolicyTerm,PremiumPPInput,0))</f>
        <v/>
      </c>
      <c r="F560" s="30">
        <f>INDEX(MortRates,MATCH(MIN(D560,120),MortAges,0),MAX(MIN(C560,5),0)+1)</f>
        <v/>
      </c>
      <c r="G560" s="31">
        <f>1-(1-F560)^(1/12)</f>
        <v/>
      </c>
      <c r="H560" s="32">
        <f>MAX(LapseBase-LapseStep*C560,LapseFloor)</f>
        <v/>
      </c>
      <c r="I560" s="32">
        <f>IF(HasSurrCharge,INDEX(SurrRates,MIN(C560,SurrDurMax)+1,MATCH(SurrChargeID,SurrTypes,0)),0)</f>
        <v/>
      </c>
      <c r="J560" s="33">
        <f>N559-P559-O559</f>
        <v/>
      </c>
      <c r="K560" s="30">
        <f>IF(B560=12*PolicyTerm,J560,0)</f>
        <v/>
      </c>
      <c r="L560" s="33">
        <f>J560-K560</f>
        <v/>
      </c>
      <c r="M560" s="30">
        <f>IF(B560=0,PolicyCount,0)</f>
        <v/>
      </c>
      <c r="N560" s="33">
        <f>L560+M560</f>
        <v/>
      </c>
      <c r="O560" s="31">
        <f>N560*G560</f>
        <v/>
      </c>
      <c r="P560" s="33">
        <f>(N560-O560)*(1-(1-H560)^(1/12))</f>
        <v/>
      </c>
      <c r="Q560" s="34">
        <f>X559+Z559</f>
        <v/>
      </c>
      <c r="R560" s="29">
        <f>(1-LoadPremRate)*E560</f>
        <v/>
      </c>
      <c r="S560" s="34">
        <f>Q560+R560</f>
        <v/>
      </c>
      <c r="T560" s="29">
        <f>MaintFeeRateAnn/12*S560</f>
        <v/>
      </c>
      <c r="U560" s="29">
        <f>MAX(SumAssured-S560,0)</f>
        <v/>
      </c>
      <c r="V560" s="35">
        <f>CoiMultiple*G560</f>
        <v/>
      </c>
      <c r="W560" s="34">
        <f>V560*U560</f>
        <v/>
      </c>
      <c r="X560" s="34">
        <f>S560-T560-W560</f>
        <v/>
      </c>
      <c r="Y560" s="36">
        <f>EXP((Mu-0.5*Sigma^2)/12+Sigma*SQRT(1/12)*INDEX(NormRand,ScenID,A560+1))-1</f>
        <v/>
      </c>
      <c r="Z560" s="34">
        <f>Y560*X560</f>
        <v/>
      </c>
      <c r="AA560" s="34">
        <f>X560+0.5*Z560</f>
        <v/>
      </c>
      <c r="AB560" s="34">
        <f>Q560*J560</f>
        <v/>
      </c>
      <c r="AC560" s="34">
        <f>Q560*L560</f>
        <v/>
      </c>
      <c r="AD560" s="34">
        <f>S560*N560</f>
        <v/>
      </c>
      <c r="AE560" s="34">
        <f>E560*N560</f>
        <v/>
      </c>
      <c r="AF560" s="34">
        <f>R560*N560</f>
        <v/>
      </c>
      <c r="AG560" s="29">
        <f>MAX(SumAssured,AA560)</f>
        <v/>
      </c>
      <c r="AH560" s="34">
        <f>AG560*O560</f>
        <v/>
      </c>
      <c r="AI560" s="34">
        <f>AA560*O560</f>
        <v/>
      </c>
      <c r="AJ560" s="34">
        <f>AA560*P560</f>
        <v/>
      </c>
      <c r="AK560" s="34">
        <f>I560*AA560*P560</f>
        <v/>
      </c>
      <c r="AL560" s="34">
        <f>AJ560-AK560</f>
        <v/>
      </c>
      <c r="AM560" s="34">
        <f>Q560*K560</f>
        <v/>
      </c>
      <c r="AN560" s="34">
        <f>AH560+AL560+AM560</f>
        <v/>
      </c>
      <c r="AO560" s="34">
        <f>(AG560-AA560)*O560</f>
        <v/>
      </c>
      <c r="AP560" s="34">
        <f>W560*N560</f>
        <v/>
      </c>
      <c r="AQ560" s="34">
        <f>T560*N560</f>
        <v/>
      </c>
      <c r="AR560" s="34">
        <f>Z560*J561+0.5*Z560*(O560+P560)</f>
        <v/>
      </c>
      <c r="AS560" s="30">
        <f>(1+InflationRate)^(A560/12)</f>
        <v/>
      </c>
      <c r="AT560" s="29">
        <f>ExpenseAcq*M560+N560*ExpenseMaint/12*AS560</f>
        <v/>
      </c>
      <c r="AU560" s="29">
        <f>CommissionRate*AE560</f>
        <v/>
      </c>
      <c r="AV560" s="34">
        <f>AB561-AB560</f>
        <v/>
      </c>
      <c r="AW560" s="34">
        <f>AE560+AR560-AN560-AT560-AU560-AV560</f>
        <v/>
      </c>
      <c r="AX560" s="29">
        <f>LoadPremRate*E560*N560+AK560+AQ560-AU560-AT560</f>
        <v/>
      </c>
      <c r="AY560" s="34">
        <f>AP560-AO560</f>
        <v/>
      </c>
      <c r="AZ560" s="37">
        <f>(AW560-AX560-AY560)/MAX(1,ABS(AW560),ABS(AX560),ABS(AY560))</f>
        <v/>
      </c>
      <c r="BA560" s="37">
        <f>IF(OR(K560&gt;0,K561&gt;0),0,(AC561-(AC560+AF560-AQ560-AP560+AR560-AI560-AJ560-AM560))/MAX(1,ABS(AC560),ABS(AC561)))</f>
        <v/>
      </c>
      <c r="BB560" s="35">
        <f>(1+INDEX(DiscRateAnn,INT(A560/12)+1))^(1/12)-1</f>
        <v/>
      </c>
      <c r="BC560" s="31">
        <f>(1+BB560)^-A560</f>
        <v/>
      </c>
      <c r="BD560" s="34">
        <f>AW560*BC560</f>
        <v/>
      </c>
    </row>
    <row r="561">
      <c r="A561" s="27">
        <f>A560+1</f>
        <v/>
      </c>
      <c r="B561" s="28">
        <f>Duration0+A561</f>
        <v/>
      </c>
      <c r="C561" s="27">
        <f>INT(B561/12)</f>
        <v/>
      </c>
      <c r="D561" s="28">
        <f>AgeAtEntry+C561</f>
        <v/>
      </c>
      <c r="E561" s="29">
        <f>IF(PremiumType="SINGLE",IF(B561=0,PremiumPPInput,0),IF(B561&lt;12*PolicyTerm,PremiumPPInput,0))</f>
        <v/>
      </c>
      <c r="F561" s="30">
        <f>INDEX(MortRates,MATCH(MIN(D561,120),MortAges,0),MAX(MIN(C561,5),0)+1)</f>
        <v/>
      </c>
      <c r="G561" s="31">
        <f>1-(1-F561)^(1/12)</f>
        <v/>
      </c>
      <c r="H561" s="32">
        <f>MAX(LapseBase-LapseStep*C561,LapseFloor)</f>
        <v/>
      </c>
      <c r="I561" s="32">
        <f>IF(HasSurrCharge,INDEX(SurrRates,MIN(C561,SurrDurMax)+1,MATCH(SurrChargeID,SurrTypes,0)),0)</f>
        <v/>
      </c>
      <c r="J561" s="33">
        <f>N560-P560-O560</f>
        <v/>
      </c>
      <c r="K561" s="30">
        <f>IF(B561=12*PolicyTerm,J561,0)</f>
        <v/>
      </c>
      <c r="L561" s="33">
        <f>J561-K561</f>
        <v/>
      </c>
      <c r="M561" s="30">
        <f>IF(B561=0,PolicyCount,0)</f>
        <v/>
      </c>
      <c r="N561" s="33">
        <f>L561+M561</f>
        <v/>
      </c>
      <c r="O561" s="31">
        <f>N561*G561</f>
        <v/>
      </c>
      <c r="P561" s="33">
        <f>(N561-O561)*(1-(1-H561)^(1/12))</f>
        <v/>
      </c>
      <c r="Q561" s="34">
        <f>X560+Z560</f>
        <v/>
      </c>
      <c r="R561" s="29">
        <f>(1-LoadPremRate)*E561</f>
        <v/>
      </c>
      <c r="S561" s="34">
        <f>Q561+R561</f>
        <v/>
      </c>
      <c r="T561" s="29">
        <f>MaintFeeRateAnn/12*S561</f>
        <v/>
      </c>
      <c r="U561" s="29">
        <f>MAX(SumAssured-S561,0)</f>
        <v/>
      </c>
      <c r="V561" s="35">
        <f>CoiMultiple*G561</f>
        <v/>
      </c>
      <c r="W561" s="34">
        <f>V561*U561</f>
        <v/>
      </c>
      <c r="X561" s="34">
        <f>S561-T561-W561</f>
        <v/>
      </c>
      <c r="Y561" s="36">
        <f>EXP((Mu-0.5*Sigma^2)/12+Sigma*SQRT(1/12)*INDEX(NormRand,ScenID,A561+1))-1</f>
        <v/>
      </c>
      <c r="Z561" s="34">
        <f>Y561*X561</f>
        <v/>
      </c>
      <c r="AA561" s="34">
        <f>X561+0.5*Z561</f>
        <v/>
      </c>
      <c r="AB561" s="34">
        <f>Q561*J561</f>
        <v/>
      </c>
      <c r="AC561" s="34">
        <f>Q561*L561</f>
        <v/>
      </c>
      <c r="AD561" s="34">
        <f>S561*N561</f>
        <v/>
      </c>
      <c r="AE561" s="34">
        <f>E561*N561</f>
        <v/>
      </c>
      <c r="AF561" s="34">
        <f>R561*N561</f>
        <v/>
      </c>
      <c r="AG561" s="29">
        <f>MAX(SumAssured,AA561)</f>
        <v/>
      </c>
      <c r="AH561" s="34">
        <f>AG561*O561</f>
        <v/>
      </c>
      <c r="AI561" s="34">
        <f>AA561*O561</f>
        <v/>
      </c>
      <c r="AJ561" s="34">
        <f>AA561*P561</f>
        <v/>
      </c>
      <c r="AK561" s="34">
        <f>I561*AA561*P561</f>
        <v/>
      </c>
      <c r="AL561" s="34">
        <f>AJ561-AK561</f>
        <v/>
      </c>
      <c r="AM561" s="34">
        <f>Q561*K561</f>
        <v/>
      </c>
      <c r="AN561" s="34">
        <f>AH561+AL561+AM561</f>
        <v/>
      </c>
      <c r="AO561" s="34">
        <f>(AG561-AA561)*O561</f>
        <v/>
      </c>
      <c r="AP561" s="34">
        <f>W561*N561</f>
        <v/>
      </c>
      <c r="AQ561" s="34">
        <f>T561*N561</f>
        <v/>
      </c>
      <c r="AR561" s="34">
        <f>Z561*J562+0.5*Z561*(O561+P561)</f>
        <v/>
      </c>
      <c r="AS561" s="30">
        <f>(1+InflationRate)^(A561/12)</f>
        <v/>
      </c>
      <c r="AT561" s="29">
        <f>ExpenseAcq*M561+N561*ExpenseMaint/12*AS561</f>
        <v/>
      </c>
      <c r="AU561" s="29">
        <f>CommissionRate*AE561</f>
        <v/>
      </c>
      <c r="AV561" s="34">
        <f>AB562-AB561</f>
        <v/>
      </c>
      <c r="AW561" s="34">
        <f>AE561+AR561-AN561-AT561-AU561-AV561</f>
        <v/>
      </c>
      <c r="AX561" s="29">
        <f>LoadPremRate*E561*N561+AK561+AQ561-AU561-AT561</f>
        <v/>
      </c>
      <c r="AY561" s="34">
        <f>AP561-AO561</f>
        <v/>
      </c>
      <c r="AZ561" s="37">
        <f>(AW561-AX561-AY561)/MAX(1,ABS(AW561),ABS(AX561),ABS(AY561))</f>
        <v/>
      </c>
      <c r="BA561" s="37">
        <f>IF(OR(K561&gt;0,K562&gt;0),0,(AC562-(AC561+AF561-AQ561-AP561+AR561-AI561-AJ561-AM561))/MAX(1,ABS(AC561),ABS(AC562)))</f>
        <v/>
      </c>
      <c r="BB561" s="35">
        <f>(1+INDEX(DiscRateAnn,INT(A561/12)+1))^(1/12)-1</f>
        <v/>
      </c>
      <c r="BC561" s="31">
        <f>(1+BB561)^-A561</f>
        <v/>
      </c>
      <c r="BD561" s="34">
        <f>AW561*BC561</f>
        <v/>
      </c>
    </row>
    <row r="562">
      <c r="A562" s="27">
        <f>A561+1</f>
        <v/>
      </c>
      <c r="B562" s="28">
        <f>Duration0+A562</f>
        <v/>
      </c>
      <c r="C562" s="27">
        <f>INT(B562/12)</f>
        <v/>
      </c>
      <c r="D562" s="28">
        <f>AgeAtEntry+C562</f>
        <v/>
      </c>
      <c r="E562" s="29">
        <f>IF(PremiumType="SINGLE",IF(B562=0,PremiumPPInput,0),IF(B562&lt;12*PolicyTerm,PremiumPPInput,0))</f>
        <v/>
      </c>
      <c r="F562" s="30">
        <f>INDEX(MortRates,MATCH(MIN(D562,120),MortAges,0),MAX(MIN(C562,5),0)+1)</f>
        <v/>
      </c>
      <c r="G562" s="31">
        <f>1-(1-F562)^(1/12)</f>
        <v/>
      </c>
      <c r="H562" s="32">
        <f>MAX(LapseBase-LapseStep*C562,LapseFloor)</f>
        <v/>
      </c>
      <c r="I562" s="32">
        <f>IF(HasSurrCharge,INDEX(SurrRates,MIN(C562,SurrDurMax)+1,MATCH(SurrChargeID,SurrTypes,0)),0)</f>
        <v/>
      </c>
      <c r="J562" s="33">
        <f>N561-P561-O561</f>
        <v/>
      </c>
      <c r="K562" s="30">
        <f>IF(B562=12*PolicyTerm,J562,0)</f>
        <v/>
      </c>
      <c r="L562" s="33">
        <f>J562-K562</f>
        <v/>
      </c>
      <c r="M562" s="30">
        <f>IF(B562=0,PolicyCount,0)</f>
        <v/>
      </c>
      <c r="N562" s="33">
        <f>L562+M562</f>
        <v/>
      </c>
      <c r="O562" s="31">
        <f>N562*G562</f>
        <v/>
      </c>
      <c r="P562" s="33">
        <f>(N562-O562)*(1-(1-H562)^(1/12))</f>
        <v/>
      </c>
      <c r="Q562" s="34">
        <f>X561+Z561</f>
        <v/>
      </c>
      <c r="R562" s="29">
        <f>(1-LoadPremRate)*E562</f>
        <v/>
      </c>
      <c r="S562" s="34">
        <f>Q562+R562</f>
        <v/>
      </c>
      <c r="T562" s="29">
        <f>MaintFeeRateAnn/12*S562</f>
        <v/>
      </c>
      <c r="U562" s="29">
        <f>MAX(SumAssured-S562,0)</f>
        <v/>
      </c>
      <c r="V562" s="35">
        <f>CoiMultiple*G562</f>
        <v/>
      </c>
      <c r="W562" s="34">
        <f>V562*U562</f>
        <v/>
      </c>
      <c r="X562" s="34">
        <f>S562-T562-W562</f>
        <v/>
      </c>
      <c r="Y562" s="36">
        <f>EXP((Mu-0.5*Sigma^2)/12+Sigma*SQRT(1/12)*INDEX(NormRand,ScenID,A562+1))-1</f>
        <v/>
      </c>
      <c r="Z562" s="34">
        <f>Y562*X562</f>
        <v/>
      </c>
      <c r="AA562" s="34">
        <f>X562+0.5*Z562</f>
        <v/>
      </c>
      <c r="AB562" s="34">
        <f>Q562*J562</f>
        <v/>
      </c>
      <c r="AC562" s="34">
        <f>Q562*L562</f>
        <v/>
      </c>
      <c r="AD562" s="34">
        <f>S562*N562</f>
        <v/>
      </c>
      <c r="AE562" s="34">
        <f>E562*N562</f>
        <v/>
      </c>
      <c r="AF562" s="34">
        <f>R562*N562</f>
        <v/>
      </c>
      <c r="AG562" s="29">
        <f>MAX(SumAssured,AA562)</f>
        <v/>
      </c>
      <c r="AH562" s="34">
        <f>AG562*O562</f>
        <v/>
      </c>
      <c r="AI562" s="34">
        <f>AA562*O562</f>
        <v/>
      </c>
      <c r="AJ562" s="34">
        <f>AA562*P562</f>
        <v/>
      </c>
      <c r="AK562" s="34">
        <f>I562*AA562*P562</f>
        <v/>
      </c>
      <c r="AL562" s="34">
        <f>AJ562-AK562</f>
        <v/>
      </c>
      <c r="AM562" s="34">
        <f>Q562*K562</f>
        <v/>
      </c>
      <c r="AN562" s="34">
        <f>AH562+AL562+AM562</f>
        <v/>
      </c>
      <c r="AO562" s="34">
        <f>(AG562-AA562)*O562</f>
        <v/>
      </c>
      <c r="AP562" s="34">
        <f>W562*N562</f>
        <v/>
      </c>
      <c r="AQ562" s="34">
        <f>T562*N562</f>
        <v/>
      </c>
      <c r="AR562" s="34">
        <f>Z562*J563+0.5*Z562*(O562+P562)</f>
        <v/>
      </c>
      <c r="AS562" s="30">
        <f>(1+InflationRate)^(A562/12)</f>
        <v/>
      </c>
      <c r="AT562" s="29">
        <f>ExpenseAcq*M562+N562*ExpenseMaint/12*AS562</f>
        <v/>
      </c>
      <c r="AU562" s="29">
        <f>CommissionRate*AE562</f>
        <v/>
      </c>
      <c r="AV562" s="34">
        <f>AB563-AB562</f>
        <v/>
      </c>
      <c r="AW562" s="34">
        <f>AE562+AR562-AN562-AT562-AU562-AV562</f>
        <v/>
      </c>
      <c r="AX562" s="29">
        <f>LoadPremRate*E562*N562+AK562+AQ562-AU562-AT562</f>
        <v/>
      </c>
      <c r="AY562" s="34">
        <f>AP562-AO562</f>
        <v/>
      </c>
      <c r="AZ562" s="37">
        <f>(AW562-AX562-AY562)/MAX(1,ABS(AW562),ABS(AX562),ABS(AY562))</f>
        <v/>
      </c>
      <c r="BA562" s="37">
        <f>IF(OR(K562&gt;0,K563&gt;0),0,(AC563-(AC562+AF562-AQ562-AP562+AR562-AI562-AJ562-AM562))/MAX(1,ABS(AC562),ABS(AC563)))</f>
        <v/>
      </c>
      <c r="BB562" s="35">
        <f>(1+INDEX(DiscRateAnn,INT(A562/12)+1))^(1/12)-1</f>
        <v/>
      </c>
      <c r="BC562" s="31">
        <f>(1+BB562)^-A562</f>
        <v/>
      </c>
      <c r="BD562" s="34">
        <f>AW562*BC562</f>
        <v/>
      </c>
    </row>
    <row r="563">
      <c r="A563" s="27">
        <f>A562+1</f>
        <v/>
      </c>
      <c r="B563" s="28">
        <f>Duration0+A563</f>
        <v/>
      </c>
      <c r="C563" s="27">
        <f>INT(B563/12)</f>
        <v/>
      </c>
      <c r="D563" s="28">
        <f>AgeAtEntry+C563</f>
        <v/>
      </c>
      <c r="E563" s="29">
        <f>IF(PremiumType="SINGLE",IF(B563=0,PremiumPPInput,0),IF(B563&lt;12*PolicyTerm,PremiumPPInput,0))</f>
        <v/>
      </c>
      <c r="F563" s="30">
        <f>INDEX(MortRates,MATCH(MIN(D563,120),MortAges,0),MAX(MIN(C563,5),0)+1)</f>
        <v/>
      </c>
      <c r="G563" s="31">
        <f>1-(1-F563)^(1/12)</f>
        <v/>
      </c>
      <c r="H563" s="32">
        <f>MAX(LapseBase-LapseStep*C563,LapseFloor)</f>
        <v/>
      </c>
      <c r="I563" s="32">
        <f>IF(HasSurrCharge,INDEX(SurrRates,MIN(C563,SurrDurMax)+1,MATCH(SurrChargeID,SurrTypes,0)),0)</f>
        <v/>
      </c>
      <c r="J563" s="33">
        <f>N562-P562-O562</f>
        <v/>
      </c>
      <c r="K563" s="30">
        <f>IF(B563=12*PolicyTerm,J563,0)</f>
        <v/>
      </c>
      <c r="L563" s="33">
        <f>J563-K563</f>
        <v/>
      </c>
      <c r="M563" s="30">
        <f>IF(B563=0,PolicyCount,0)</f>
        <v/>
      </c>
      <c r="N563" s="33">
        <f>L563+M563</f>
        <v/>
      </c>
      <c r="O563" s="31">
        <f>N563*G563</f>
        <v/>
      </c>
      <c r="P563" s="33">
        <f>(N563-O563)*(1-(1-H563)^(1/12))</f>
        <v/>
      </c>
      <c r="Q563" s="34">
        <f>X562+Z562</f>
        <v/>
      </c>
      <c r="R563" s="29">
        <f>(1-LoadPremRate)*E563</f>
        <v/>
      </c>
      <c r="S563" s="34">
        <f>Q563+R563</f>
        <v/>
      </c>
      <c r="T563" s="29">
        <f>MaintFeeRateAnn/12*S563</f>
        <v/>
      </c>
      <c r="U563" s="29">
        <f>MAX(SumAssured-S563,0)</f>
        <v/>
      </c>
      <c r="V563" s="35">
        <f>CoiMultiple*G563</f>
        <v/>
      </c>
      <c r="W563" s="34">
        <f>V563*U563</f>
        <v/>
      </c>
      <c r="X563" s="34">
        <f>S563-T563-W563</f>
        <v/>
      </c>
      <c r="Y563" s="36">
        <f>EXP((Mu-0.5*Sigma^2)/12+Sigma*SQRT(1/12)*INDEX(NormRand,ScenID,A563+1))-1</f>
        <v/>
      </c>
      <c r="Z563" s="34">
        <f>Y563*X563</f>
        <v/>
      </c>
      <c r="AA563" s="34">
        <f>X563+0.5*Z563</f>
        <v/>
      </c>
      <c r="AB563" s="34">
        <f>Q563*J563</f>
        <v/>
      </c>
      <c r="AC563" s="34">
        <f>Q563*L563</f>
        <v/>
      </c>
      <c r="AD563" s="34">
        <f>S563*N563</f>
        <v/>
      </c>
      <c r="AE563" s="34">
        <f>E563*N563</f>
        <v/>
      </c>
      <c r="AF563" s="34">
        <f>R563*N563</f>
        <v/>
      </c>
      <c r="AG563" s="29">
        <f>MAX(SumAssured,AA563)</f>
        <v/>
      </c>
      <c r="AH563" s="34">
        <f>AG563*O563</f>
        <v/>
      </c>
      <c r="AI563" s="34">
        <f>AA563*O563</f>
        <v/>
      </c>
      <c r="AJ563" s="34">
        <f>AA563*P563</f>
        <v/>
      </c>
      <c r="AK563" s="34">
        <f>I563*AA563*P563</f>
        <v/>
      </c>
      <c r="AL563" s="34">
        <f>AJ563-AK563</f>
        <v/>
      </c>
      <c r="AM563" s="34">
        <f>Q563*K563</f>
        <v/>
      </c>
      <c r="AN563" s="34">
        <f>AH563+AL563+AM563</f>
        <v/>
      </c>
      <c r="AO563" s="34">
        <f>(AG563-AA563)*O563</f>
        <v/>
      </c>
      <c r="AP563" s="34">
        <f>W563*N563</f>
        <v/>
      </c>
      <c r="AQ563" s="34">
        <f>T563*N563</f>
        <v/>
      </c>
      <c r="AR563" s="34">
        <f>Z563*J564+0.5*Z563*(O563+P563)</f>
        <v/>
      </c>
      <c r="AS563" s="30">
        <f>(1+InflationRate)^(A563/12)</f>
        <v/>
      </c>
      <c r="AT563" s="29">
        <f>ExpenseAcq*M563+N563*ExpenseMaint/12*AS563</f>
        <v/>
      </c>
      <c r="AU563" s="29">
        <f>CommissionRate*AE563</f>
        <v/>
      </c>
      <c r="AV563" s="34">
        <f>AB564-AB563</f>
        <v/>
      </c>
      <c r="AW563" s="34">
        <f>AE563+AR563-AN563-AT563-AU563-AV563</f>
        <v/>
      </c>
      <c r="AX563" s="29">
        <f>LoadPremRate*E563*N563+AK563+AQ563-AU563-AT563</f>
        <v/>
      </c>
      <c r="AY563" s="34">
        <f>AP563-AO563</f>
        <v/>
      </c>
      <c r="AZ563" s="37">
        <f>(AW563-AX563-AY563)/MAX(1,ABS(AW563),ABS(AX563),ABS(AY563))</f>
        <v/>
      </c>
      <c r="BA563" s="37">
        <f>IF(OR(K563&gt;0,K564&gt;0),0,(AC564-(AC563+AF563-AQ563-AP563+AR563-AI563-AJ563-AM563))/MAX(1,ABS(AC563),ABS(AC564)))</f>
        <v/>
      </c>
      <c r="BB563" s="35">
        <f>(1+INDEX(DiscRateAnn,INT(A563/12)+1))^(1/12)-1</f>
        <v/>
      </c>
      <c r="BC563" s="31">
        <f>(1+BB563)^-A563</f>
        <v/>
      </c>
      <c r="BD563" s="34">
        <f>AW563*BC563</f>
        <v/>
      </c>
    </row>
    <row r="564">
      <c r="A564" s="27">
        <f>A563+1</f>
        <v/>
      </c>
      <c r="B564" s="28">
        <f>Duration0+A564</f>
        <v/>
      </c>
      <c r="C564" s="27">
        <f>INT(B564/12)</f>
        <v/>
      </c>
      <c r="D564" s="28">
        <f>AgeAtEntry+C564</f>
        <v/>
      </c>
      <c r="E564" s="29">
        <f>IF(PremiumType="SINGLE",IF(B564=0,PremiumPPInput,0),IF(B564&lt;12*PolicyTerm,PremiumPPInput,0))</f>
        <v/>
      </c>
      <c r="F564" s="30">
        <f>INDEX(MortRates,MATCH(MIN(D564,120),MortAges,0),MAX(MIN(C564,5),0)+1)</f>
        <v/>
      </c>
      <c r="G564" s="31">
        <f>1-(1-F564)^(1/12)</f>
        <v/>
      </c>
      <c r="H564" s="32">
        <f>MAX(LapseBase-LapseStep*C564,LapseFloor)</f>
        <v/>
      </c>
      <c r="I564" s="32">
        <f>IF(HasSurrCharge,INDEX(SurrRates,MIN(C564,SurrDurMax)+1,MATCH(SurrChargeID,SurrTypes,0)),0)</f>
        <v/>
      </c>
      <c r="J564" s="33">
        <f>N563-P563-O563</f>
        <v/>
      </c>
      <c r="K564" s="30">
        <f>IF(B564=12*PolicyTerm,J564,0)</f>
        <v/>
      </c>
      <c r="L564" s="33">
        <f>J564-K564</f>
        <v/>
      </c>
      <c r="M564" s="30">
        <f>IF(B564=0,PolicyCount,0)</f>
        <v/>
      </c>
      <c r="N564" s="33">
        <f>L564+M564</f>
        <v/>
      </c>
      <c r="O564" s="31">
        <f>N564*G564</f>
        <v/>
      </c>
      <c r="P564" s="33">
        <f>(N564-O564)*(1-(1-H564)^(1/12))</f>
        <v/>
      </c>
      <c r="Q564" s="34">
        <f>X563+Z563</f>
        <v/>
      </c>
      <c r="R564" s="29">
        <f>(1-LoadPremRate)*E564</f>
        <v/>
      </c>
      <c r="S564" s="34">
        <f>Q564+R564</f>
        <v/>
      </c>
      <c r="T564" s="29">
        <f>MaintFeeRateAnn/12*S564</f>
        <v/>
      </c>
      <c r="U564" s="29">
        <f>MAX(SumAssured-S564,0)</f>
        <v/>
      </c>
      <c r="V564" s="35">
        <f>CoiMultiple*G564</f>
        <v/>
      </c>
      <c r="W564" s="34">
        <f>V564*U564</f>
        <v/>
      </c>
      <c r="X564" s="34">
        <f>S564-T564-W564</f>
        <v/>
      </c>
      <c r="Y564" s="36">
        <f>EXP((Mu-0.5*Sigma^2)/12+Sigma*SQRT(1/12)*INDEX(NormRand,ScenID,A564+1))-1</f>
        <v/>
      </c>
      <c r="Z564" s="34">
        <f>Y564*X564</f>
        <v/>
      </c>
      <c r="AA564" s="34">
        <f>X564+0.5*Z564</f>
        <v/>
      </c>
      <c r="AB564" s="34">
        <f>Q564*J564</f>
        <v/>
      </c>
      <c r="AC564" s="34">
        <f>Q564*L564</f>
        <v/>
      </c>
      <c r="AD564" s="34">
        <f>S564*N564</f>
        <v/>
      </c>
      <c r="AE564" s="34">
        <f>E564*N564</f>
        <v/>
      </c>
      <c r="AF564" s="34">
        <f>R564*N564</f>
        <v/>
      </c>
      <c r="AG564" s="29">
        <f>MAX(SumAssured,AA564)</f>
        <v/>
      </c>
      <c r="AH564" s="34">
        <f>AG564*O564</f>
        <v/>
      </c>
      <c r="AI564" s="34">
        <f>AA564*O564</f>
        <v/>
      </c>
      <c r="AJ564" s="34">
        <f>AA564*P564</f>
        <v/>
      </c>
      <c r="AK564" s="34">
        <f>I564*AA564*P564</f>
        <v/>
      </c>
      <c r="AL564" s="34">
        <f>AJ564-AK564</f>
        <v/>
      </c>
      <c r="AM564" s="34">
        <f>Q564*K564</f>
        <v/>
      </c>
      <c r="AN564" s="34">
        <f>AH564+AL564+AM564</f>
        <v/>
      </c>
      <c r="AO564" s="34">
        <f>(AG564-AA564)*O564</f>
        <v/>
      </c>
      <c r="AP564" s="34">
        <f>W564*N564</f>
        <v/>
      </c>
      <c r="AQ564" s="34">
        <f>T564*N564</f>
        <v/>
      </c>
      <c r="AR564" s="34">
        <f>Z564*J565+0.5*Z564*(O564+P564)</f>
        <v/>
      </c>
      <c r="AS564" s="30">
        <f>(1+InflationRate)^(A564/12)</f>
        <v/>
      </c>
      <c r="AT564" s="29">
        <f>ExpenseAcq*M564+N564*ExpenseMaint/12*AS564</f>
        <v/>
      </c>
      <c r="AU564" s="29">
        <f>CommissionRate*AE564</f>
        <v/>
      </c>
      <c r="AV564" s="34">
        <f>AB565-AB564</f>
        <v/>
      </c>
      <c r="AW564" s="34">
        <f>AE564+AR564-AN564-AT564-AU564-AV564</f>
        <v/>
      </c>
      <c r="AX564" s="29">
        <f>LoadPremRate*E564*N564+AK564+AQ564-AU564-AT564</f>
        <v/>
      </c>
      <c r="AY564" s="34">
        <f>AP564-AO564</f>
        <v/>
      </c>
      <c r="AZ564" s="37">
        <f>(AW564-AX564-AY564)/MAX(1,ABS(AW564),ABS(AX564),ABS(AY564))</f>
        <v/>
      </c>
      <c r="BA564" s="37">
        <f>IF(OR(K564&gt;0,K565&gt;0),0,(AC565-(AC564+AF564-AQ564-AP564+AR564-AI564-AJ564-AM564))/MAX(1,ABS(AC564),ABS(AC565)))</f>
        <v/>
      </c>
      <c r="BB564" s="35">
        <f>(1+INDEX(DiscRateAnn,INT(A564/12)+1))^(1/12)-1</f>
        <v/>
      </c>
      <c r="BC564" s="31">
        <f>(1+BB564)^-A564</f>
        <v/>
      </c>
      <c r="BD564" s="34">
        <f>AW564*BC564</f>
        <v/>
      </c>
    </row>
    <row r="565">
      <c r="A565" s="27">
        <f>A564+1</f>
        <v/>
      </c>
      <c r="B565" s="28">
        <f>Duration0+A565</f>
        <v/>
      </c>
      <c r="C565" s="27">
        <f>INT(B565/12)</f>
        <v/>
      </c>
      <c r="D565" s="28">
        <f>AgeAtEntry+C565</f>
        <v/>
      </c>
      <c r="E565" s="29">
        <f>IF(PremiumType="SINGLE",IF(B565=0,PremiumPPInput,0),IF(B565&lt;12*PolicyTerm,PremiumPPInput,0))</f>
        <v/>
      </c>
      <c r="F565" s="30">
        <f>INDEX(MortRates,MATCH(MIN(D565,120),MortAges,0),MAX(MIN(C565,5),0)+1)</f>
        <v/>
      </c>
      <c r="G565" s="31">
        <f>1-(1-F565)^(1/12)</f>
        <v/>
      </c>
      <c r="H565" s="32">
        <f>MAX(LapseBase-LapseStep*C565,LapseFloor)</f>
        <v/>
      </c>
      <c r="I565" s="32">
        <f>IF(HasSurrCharge,INDEX(SurrRates,MIN(C565,SurrDurMax)+1,MATCH(SurrChargeID,SurrTypes,0)),0)</f>
        <v/>
      </c>
      <c r="J565" s="33">
        <f>N564-P564-O564</f>
        <v/>
      </c>
      <c r="K565" s="30">
        <f>IF(B565=12*PolicyTerm,J565,0)</f>
        <v/>
      </c>
      <c r="L565" s="33">
        <f>J565-K565</f>
        <v/>
      </c>
      <c r="M565" s="30">
        <f>IF(B565=0,PolicyCount,0)</f>
        <v/>
      </c>
      <c r="N565" s="33">
        <f>L565+M565</f>
        <v/>
      </c>
      <c r="O565" s="31">
        <f>N565*G565</f>
        <v/>
      </c>
      <c r="P565" s="33">
        <f>(N565-O565)*(1-(1-H565)^(1/12))</f>
        <v/>
      </c>
      <c r="Q565" s="34">
        <f>X564+Z564</f>
        <v/>
      </c>
      <c r="R565" s="29">
        <f>(1-LoadPremRate)*E565</f>
        <v/>
      </c>
      <c r="S565" s="34">
        <f>Q565+R565</f>
        <v/>
      </c>
      <c r="T565" s="29">
        <f>MaintFeeRateAnn/12*S565</f>
        <v/>
      </c>
      <c r="U565" s="29">
        <f>MAX(SumAssured-S565,0)</f>
        <v/>
      </c>
      <c r="V565" s="35">
        <f>CoiMultiple*G565</f>
        <v/>
      </c>
      <c r="W565" s="34">
        <f>V565*U565</f>
        <v/>
      </c>
      <c r="X565" s="34">
        <f>S565-T565-W565</f>
        <v/>
      </c>
      <c r="Y565" s="36">
        <f>EXP((Mu-0.5*Sigma^2)/12+Sigma*SQRT(1/12)*INDEX(NormRand,ScenID,A565+1))-1</f>
        <v/>
      </c>
      <c r="Z565" s="34">
        <f>Y565*X565</f>
        <v/>
      </c>
      <c r="AA565" s="34">
        <f>X565+0.5*Z565</f>
        <v/>
      </c>
      <c r="AB565" s="34">
        <f>Q565*J565</f>
        <v/>
      </c>
      <c r="AC565" s="34">
        <f>Q565*L565</f>
        <v/>
      </c>
      <c r="AD565" s="34">
        <f>S565*N565</f>
        <v/>
      </c>
      <c r="AE565" s="34">
        <f>E565*N565</f>
        <v/>
      </c>
      <c r="AF565" s="34">
        <f>R565*N565</f>
        <v/>
      </c>
      <c r="AG565" s="29">
        <f>MAX(SumAssured,AA565)</f>
        <v/>
      </c>
      <c r="AH565" s="34">
        <f>AG565*O565</f>
        <v/>
      </c>
      <c r="AI565" s="34">
        <f>AA565*O565</f>
        <v/>
      </c>
      <c r="AJ565" s="34">
        <f>AA565*P565</f>
        <v/>
      </c>
      <c r="AK565" s="34">
        <f>I565*AA565*P565</f>
        <v/>
      </c>
      <c r="AL565" s="34">
        <f>AJ565-AK565</f>
        <v/>
      </c>
      <c r="AM565" s="34">
        <f>Q565*K565</f>
        <v/>
      </c>
      <c r="AN565" s="34">
        <f>AH565+AL565+AM565</f>
        <v/>
      </c>
      <c r="AO565" s="34">
        <f>(AG565-AA565)*O565</f>
        <v/>
      </c>
      <c r="AP565" s="34">
        <f>W565*N565</f>
        <v/>
      </c>
      <c r="AQ565" s="34">
        <f>T565*N565</f>
        <v/>
      </c>
      <c r="AR565" s="34">
        <f>Z565*J566+0.5*Z565*(O565+P565)</f>
        <v/>
      </c>
      <c r="AS565" s="30">
        <f>(1+InflationRate)^(A565/12)</f>
        <v/>
      </c>
      <c r="AT565" s="29">
        <f>ExpenseAcq*M565+N565*ExpenseMaint/12*AS565</f>
        <v/>
      </c>
      <c r="AU565" s="29">
        <f>CommissionRate*AE565</f>
        <v/>
      </c>
      <c r="AV565" s="34">
        <f>AB566-AB565</f>
        <v/>
      </c>
      <c r="AW565" s="34">
        <f>AE565+AR565-AN565-AT565-AU565-AV565</f>
        <v/>
      </c>
      <c r="AX565" s="29">
        <f>LoadPremRate*E565*N565+AK565+AQ565-AU565-AT565</f>
        <v/>
      </c>
      <c r="AY565" s="34">
        <f>AP565-AO565</f>
        <v/>
      </c>
      <c r="AZ565" s="37">
        <f>(AW565-AX565-AY565)/MAX(1,ABS(AW565),ABS(AX565),ABS(AY565))</f>
        <v/>
      </c>
      <c r="BA565" s="37">
        <f>IF(OR(K565&gt;0,K566&gt;0),0,(AC566-(AC565+AF565-AQ565-AP565+AR565-AI565-AJ565-AM565))/MAX(1,ABS(AC565),ABS(AC566)))</f>
        <v/>
      </c>
      <c r="BB565" s="35">
        <f>(1+INDEX(DiscRateAnn,INT(A565/12)+1))^(1/12)-1</f>
        <v/>
      </c>
      <c r="BC565" s="31">
        <f>(1+BB565)^-A565</f>
        <v/>
      </c>
      <c r="BD565" s="34">
        <f>AW565*BC565</f>
        <v/>
      </c>
    </row>
    <row r="566">
      <c r="A566" s="27">
        <f>A565+1</f>
        <v/>
      </c>
      <c r="B566" s="28">
        <f>Duration0+A566</f>
        <v/>
      </c>
      <c r="C566" s="27">
        <f>INT(B566/12)</f>
        <v/>
      </c>
      <c r="D566" s="28">
        <f>AgeAtEntry+C566</f>
        <v/>
      </c>
      <c r="E566" s="29">
        <f>IF(PremiumType="SINGLE",IF(B566=0,PremiumPPInput,0),IF(B566&lt;12*PolicyTerm,PremiumPPInput,0))</f>
        <v/>
      </c>
      <c r="F566" s="30">
        <f>INDEX(MortRates,MATCH(MIN(D566,120),MortAges,0),MAX(MIN(C566,5),0)+1)</f>
        <v/>
      </c>
      <c r="G566" s="31">
        <f>1-(1-F566)^(1/12)</f>
        <v/>
      </c>
      <c r="H566" s="32">
        <f>MAX(LapseBase-LapseStep*C566,LapseFloor)</f>
        <v/>
      </c>
      <c r="I566" s="32">
        <f>IF(HasSurrCharge,INDEX(SurrRates,MIN(C566,SurrDurMax)+1,MATCH(SurrChargeID,SurrTypes,0)),0)</f>
        <v/>
      </c>
      <c r="J566" s="33">
        <f>N565-P565-O565</f>
        <v/>
      </c>
      <c r="K566" s="30">
        <f>IF(B566=12*PolicyTerm,J566,0)</f>
        <v/>
      </c>
      <c r="L566" s="33">
        <f>J566-K566</f>
        <v/>
      </c>
      <c r="M566" s="30">
        <f>IF(B566=0,PolicyCount,0)</f>
        <v/>
      </c>
      <c r="N566" s="33">
        <f>L566+M566</f>
        <v/>
      </c>
      <c r="O566" s="31">
        <f>N566*G566</f>
        <v/>
      </c>
      <c r="P566" s="33">
        <f>(N566-O566)*(1-(1-H566)^(1/12))</f>
        <v/>
      </c>
      <c r="Q566" s="34">
        <f>X565+Z565</f>
        <v/>
      </c>
      <c r="R566" s="29">
        <f>(1-LoadPremRate)*E566</f>
        <v/>
      </c>
      <c r="S566" s="34">
        <f>Q566+R566</f>
        <v/>
      </c>
      <c r="T566" s="29">
        <f>MaintFeeRateAnn/12*S566</f>
        <v/>
      </c>
      <c r="U566" s="29">
        <f>MAX(SumAssured-S566,0)</f>
        <v/>
      </c>
      <c r="V566" s="35">
        <f>CoiMultiple*G566</f>
        <v/>
      </c>
      <c r="W566" s="34">
        <f>V566*U566</f>
        <v/>
      </c>
      <c r="X566" s="34">
        <f>S566-T566-W566</f>
        <v/>
      </c>
      <c r="Y566" s="36">
        <f>EXP((Mu-0.5*Sigma^2)/12+Sigma*SQRT(1/12)*INDEX(NormRand,ScenID,A566+1))-1</f>
        <v/>
      </c>
      <c r="Z566" s="34">
        <f>Y566*X566</f>
        <v/>
      </c>
      <c r="AA566" s="34">
        <f>X566+0.5*Z566</f>
        <v/>
      </c>
      <c r="AB566" s="34">
        <f>Q566*J566</f>
        <v/>
      </c>
      <c r="AC566" s="34">
        <f>Q566*L566</f>
        <v/>
      </c>
      <c r="AD566" s="34">
        <f>S566*N566</f>
        <v/>
      </c>
      <c r="AE566" s="34">
        <f>E566*N566</f>
        <v/>
      </c>
      <c r="AF566" s="34">
        <f>R566*N566</f>
        <v/>
      </c>
      <c r="AG566" s="29">
        <f>MAX(SumAssured,AA566)</f>
        <v/>
      </c>
      <c r="AH566" s="34">
        <f>AG566*O566</f>
        <v/>
      </c>
      <c r="AI566" s="34">
        <f>AA566*O566</f>
        <v/>
      </c>
      <c r="AJ566" s="34">
        <f>AA566*P566</f>
        <v/>
      </c>
      <c r="AK566" s="34">
        <f>I566*AA566*P566</f>
        <v/>
      </c>
      <c r="AL566" s="34">
        <f>AJ566-AK566</f>
        <v/>
      </c>
      <c r="AM566" s="34">
        <f>Q566*K566</f>
        <v/>
      </c>
      <c r="AN566" s="34">
        <f>AH566+AL566+AM566</f>
        <v/>
      </c>
      <c r="AO566" s="34">
        <f>(AG566-AA566)*O566</f>
        <v/>
      </c>
      <c r="AP566" s="34">
        <f>W566*N566</f>
        <v/>
      </c>
      <c r="AQ566" s="34">
        <f>T566*N566</f>
        <v/>
      </c>
      <c r="AR566" s="34">
        <f>Z566*J567+0.5*Z566*(O566+P566)</f>
        <v/>
      </c>
      <c r="AS566" s="30">
        <f>(1+InflationRate)^(A566/12)</f>
        <v/>
      </c>
      <c r="AT566" s="29">
        <f>ExpenseAcq*M566+N566*ExpenseMaint/12*AS566</f>
        <v/>
      </c>
      <c r="AU566" s="29">
        <f>CommissionRate*AE566</f>
        <v/>
      </c>
      <c r="AV566" s="34">
        <f>AB567-AB566</f>
        <v/>
      </c>
      <c r="AW566" s="34">
        <f>AE566+AR566-AN566-AT566-AU566-AV566</f>
        <v/>
      </c>
      <c r="AX566" s="29">
        <f>LoadPremRate*E566*N566+AK566+AQ566-AU566-AT566</f>
        <v/>
      </c>
      <c r="AY566" s="34">
        <f>AP566-AO566</f>
        <v/>
      </c>
      <c r="AZ566" s="37">
        <f>(AW566-AX566-AY566)/MAX(1,ABS(AW566),ABS(AX566),ABS(AY566))</f>
        <v/>
      </c>
      <c r="BA566" s="37">
        <f>IF(OR(K566&gt;0,K567&gt;0),0,(AC567-(AC566+AF566-AQ566-AP566+AR566-AI566-AJ566-AM566))/MAX(1,ABS(AC566),ABS(AC567)))</f>
        <v/>
      </c>
      <c r="BB566" s="35">
        <f>(1+INDEX(DiscRateAnn,INT(A566/12)+1))^(1/12)-1</f>
        <v/>
      </c>
      <c r="BC566" s="31">
        <f>(1+BB566)^-A566</f>
        <v/>
      </c>
      <c r="BD566" s="34">
        <f>AW566*BC566</f>
        <v/>
      </c>
    </row>
    <row r="567">
      <c r="A567" s="27">
        <f>A566+1</f>
        <v/>
      </c>
      <c r="B567" s="28">
        <f>Duration0+A567</f>
        <v/>
      </c>
      <c r="C567" s="27">
        <f>INT(B567/12)</f>
        <v/>
      </c>
      <c r="D567" s="28">
        <f>AgeAtEntry+C567</f>
        <v/>
      </c>
      <c r="E567" s="29">
        <f>IF(PremiumType="SINGLE",IF(B567=0,PremiumPPInput,0),IF(B567&lt;12*PolicyTerm,PremiumPPInput,0))</f>
        <v/>
      </c>
      <c r="F567" s="30">
        <f>INDEX(MortRates,MATCH(MIN(D567,120),MortAges,0),MAX(MIN(C567,5),0)+1)</f>
        <v/>
      </c>
      <c r="G567" s="31">
        <f>1-(1-F567)^(1/12)</f>
        <v/>
      </c>
      <c r="H567" s="32">
        <f>MAX(LapseBase-LapseStep*C567,LapseFloor)</f>
        <v/>
      </c>
      <c r="I567" s="32">
        <f>IF(HasSurrCharge,INDEX(SurrRates,MIN(C567,SurrDurMax)+1,MATCH(SurrChargeID,SurrTypes,0)),0)</f>
        <v/>
      </c>
      <c r="J567" s="33">
        <f>N566-P566-O566</f>
        <v/>
      </c>
      <c r="K567" s="30">
        <f>IF(B567=12*PolicyTerm,J567,0)</f>
        <v/>
      </c>
      <c r="L567" s="33">
        <f>J567-K567</f>
        <v/>
      </c>
      <c r="M567" s="30">
        <f>IF(B567=0,PolicyCount,0)</f>
        <v/>
      </c>
      <c r="N567" s="33">
        <f>L567+M567</f>
        <v/>
      </c>
      <c r="O567" s="31">
        <f>N567*G567</f>
        <v/>
      </c>
      <c r="P567" s="33">
        <f>(N567-O567)*(1-(1-H567)^(1/12))</f>
        <v/>
      </c>
      <c r="Q567" s="34">
        <f>X566+Z566</f>
        <v/>
      </c>
      <c r="R567" s="29">
        <f>(1-LoadPremRate)*E567</f>
        <v/>
      </c>
      <c r="S567" s="34">
        <f>Q567+R567</f>
        <v/>
      </c>
      <c r="T567" s="29">
        <f>MaintFeeRateAnn/12*S567</f>
        <v/>
      </c>
      <c r="U567" s="29">
        <f>MAX(SumAssured-S567,0)</f>
        <v/>
      </c>
      <c r="V567" s="35">
        <f>CoiMultiple*G567</f>
        <v/>
      </c>
      <c r="W567" s="34">
        <f>V567*U567</f>
        <v/>
      </c>
      <c r="X567" s="34">
        <f>S567-T567-W567</f>
        <v/>
      </c>
      <c r="Y567" s="36">
        <f>EXP((Mu-0.5*Sigma^2)/12+Sigma*SQRT(1/12)*INDEX(NormRand,ScenID,A567+1))-1</f>
        <v/>
      </c>
      <c r="Z567" s="34">
        <f>Y567*X567</f>
        <v/>
      </c>
      <c r="AA567" s="34">
        <f>X567+0.5*Z567</f>
        <v/>
      </c>
      <c r="AB567" s="34">
        <f>Q567*J567</f>
        <v/>
      </c>
      <c r="AC567" s="34">
        <f>Q567*L567</f>
        <v/>
      </c>
      <c r="AD567" s="34">
        <f>S567*N567</f>
        <v/>
      </c>
      <c r="AE567" s="34">
        <f>E567*N567</f>
        <v/>
      </c>
      <c r="AF567" s="34">
        <f>R567*N567</f>
        <v/>
      </c>
      <c r="AG567" s="29">
        <f>MAX(SumAssured,AA567)</f>
        <v/>
      </c>
      <c r="AH567" s="34">
        <f>AG567*O567</f>
        <v/>
      </c>
      <c r="AI567" s="34">
        <f>AA567*O567</f>
        <v/>
      </c>
      <c r="AJ567" s="34">
        <f>AA567*P567</f>
        <v/>
      </c>
      <c r="AK567" s="34">
        <f>I567*AA567*P567</f>
        <v/>
      </c>
      <c r="AL567" s="34">
        <f>AJ567-AK567</f>
        <v/>
      </c>
      <c r="AM567" s="34">
        <f>Q567*K567</f>
        <v/>
      </c>
      <c r="AN567" s="34">
        <f>AH567+AL567+AM567</f>
        <v/>
      </c>
      <c r="AO567" s="34">
        <f>(AG567-AA567)*O567</f>
        <v/>
      </c>
      <c r="AP567" s="34">
        <f>W567*N567</f>
        <v/>
      </c>
      <c r="AQ567" s="34">
        <f>T567*N567</f>
        <v/>
      </c>
      <c r="AR567" s="34">
        <f>Z567*J568+0.5*Z567*(O567+P567)</f>
        <v/>
      </c>
      <c r="AS567" s="30">
        <f>(1+InflationRate)^(A567/12)</f>
        <v/>
      </c>
      <c r="AT567" s="29">
        <f>ExpenseAcq*M567+N567*ExpenseMaint/12*AS567</f>
        <v/>
      </c>
      <c r="AU567" s="29">
        <f>CommissionRate*AE567</f>
        <v/>
      </c>
      <c r="AV567" s="34">
        <f>AB568-AB567</f>
        <v/>
      </c>
      <c r="AW567" s="34">
        <f>AE567+AR567-AN567-AT567-AU567-AV567</f>
        <v/>
      </c>
      <c r="AX567" s="29">
        <f>LoadPremRate*E567*N567+AK567+AQ567-AU567-AT567</f>
        <v/>
      </c>
      <c r="AY567" s="34">
        <f>AP567-AO567</f>
        <v/>
      </c>
      <c r="AZ567" s="37">
        <f>(AW567-AX567-AY567)/MAX(1,ABS(AW567),ABS(AX567),ABS(AY567))</f>
        <v/>
      </c>
      <c r="BA567" s="37">
        <f>IF(OR(K567&gt;0,K568&gt;0),0,(AC568-(AC567+AF567-AQ567-AP567+AR567-AI567-AJ567-AM567))/MAX(1,ABS(AC567),ABS(AC568)))</f>
        <v/>
      </c>
      <c r="BB567" s="35">
        <f>(1+INDEX(DiscRateAnn,INT(A567/12)+1))^(1/12)-1</f>
        <v/>
      </c>
      <c r="BC567" s="31">
        <f>(1+BB567)^-A567</f>
        <v/>
      </c>
      <c r="BD567" s="34">
        <f>AW567*BC567</f>
        <v/>
      </c>
    </row>
    <row r="568">
      <c r="A568" s="27">
        <f>A567+1</f>
        <v/>
      </c>
      <c r="B568" s="28">
        <f>Duration0+A568</f>
        <v/>
      </c>
      <c r="C568" s="27">
        <f>INT(B568/12)</f>
        <v/>
      </c>
      <c r="D568" s="28">
        <f>AgeAtEntry+C568</f>
        <v/>
      </c>
      <c r="E568" s="29">
        <f>IF(PremiumType="SINGLE",IF(B568=0,PremiumPPInput,0),IF(B568&lt;12*PolicyTerm,PremiumPPInput,0))</f>
        <v/>
      </c>
      <c r="F568" s="30">
        <f>INDEX(MortRates,MATCH(MIN(D568,120),MortAges,0),MAX(MIN(C568,5),0)+1)</f>
        <v/>
      </c>
      <c r="G568" s="31">
        <f>1-(1-F568)^(1/12)</f>
        <v/>
      </c>
      <c r="H568" s="32">
        <f>MAX(LapseBase-LapseStep*C568,LapseFloor)</f>
        <v/>
      </c>
      <c r="I568" s="32">
        <f>IF(HasSurrCharge,INDEX(SurrRates,MIN(C568,SurrDurMax)+1,MATCH(SurrChargeID,SurrTypes,0)),0)</f>
        <v/>
      </c>
      <c r="J568" s="33">
        <f>N567-P567-O567</f>
        <v/>
      </c>
      <c r="K568" s="30">
        <f>IF(B568=12*PolicyTerm,J568,0)</f>
        <v/>
      </c>
      <c r="L568" s="33">
        <f>J568-K568</f>
        <v/>
      </c>
      <c r="M568" s="30">
        <f>IF(B568=0,PolicyCount,0)</f>
        <v/>
      </c>
      <c r="N568" s="33">
        <f>L568+M568</f>
        <v/>
      </c>
      <c r="O568" s="31">
        <f>N568*G568</f>
        <v/>
      </c>
      <c r="P568" s="33">
        <f>(N568-O568)*(1-(1-H568)^(1/12))</f>
        <v/>
      </c>
      <c r="Q568" s="34">
        <f>X567+Z567</f>
        <v/>
      </c>
      <c r="R568" s="29">
        <f>(1-LoadPremRate)*E568</f>
        <v/>
      </c>
      <c r="S568" s="34">
        <f>Q568+R568</f>
        <v/>
      </c>
      <c r="T568" s="29">
        <f>MaintFeeRateAnn/12*S568</f>
        <v/>
      </c>
      <c r="U568" s="29">
        <f>MAX(SumAssured-S568,0)</f>
        <v/>
      </c>
      <c r="V568" s="35">
        <f>CoiMultiple*G568</f>
        <v/>
      </c>
      <c r="W568" s="34">
        <f>V568*U568</f>
        <v/>
      </c>
      <c r="X568" s="34">
        <f>S568-T568-W568</f>
        <v/>
      </c>
      <c r="Y568" s="36">
        <f>EXP((Mu-0.5*Sigma^2)/12+Sigma*SQRT(1/12)*INDEX(NormRand,ScenID,A568+1))-1</f>
        <v/>
      </c>
      <c r="Z568" s="34">
        <f>Y568*X568</f>
        <v/>
      </c>
      <c r="AA568" s="34">
        <f>X568+0.5*Z568</f>
        <v/>
      </c>
      <c r="AB568" s="34">
        <f>Q568*J568</f>
        <v/>
      </c>
      <c r="AC568" s="34">
        <f>Q568*L568</f>
        <v/>
      </c>
      <c r="AD568" s="34">
        <f>S568*N568</f>
        <v/>
      </c>
      <c r="AE568" s="34">
        <f>E568*N568</f>
        <v/>
      </c>
      <c r="AF568" s="34">
        <f>R568*N568</f>
        <v/>
      </c>
      <c r="AG568" s="29">
        <f>MAX(SumAssured,AA568)</f>
        <v/>
      </c>
      <c r="AH568" s="34">
        <f>AG568*O568</f>
        <v/>
      </c>
      <c r="AI568" s="34">
        <f>AA568*O568</f>
        <v/>
      </c>
      <c r="AJ568" s="34">
        <f>AA568*P568</f>
        <v/>
      </c>
      <c r="AK568" s="34">
        <f>I568*AA568*P568</f>
        <v/>
      </c>
      <c r="AL568" s="34">
        <f>AJ568-AK568</f>
        <v/>
      </c>
      <c r="AM568" s="34">
        <f>Q568*K568</f>
        <v/>
      </c>
      <c r="AN568" s="34">
        <f>AH568+AL568+AM568</f>
        <v/>
      </c>
      <c r="AO568" s="34">
        <f>(AG568-AA568)*O568</f>
        <v/>
      </c>
      <c r="AP568" s="34">
        <f>W568*N568</f>
        <v/>
      </c>
      <c r="AQ568" s="34">
        <f>T568*N568</f>
        <v/>
      </c>
      <c r="AR568" s="34">
        <f>Z568*J569+0.5*Z568*(O568+P568)</f>
        <v/>
      </c>
      <c r="AS568" s="30">
        <f>(1+InflationRate)^(A568/12)</f>
        <v/>
      </c>
      <c r="AT568" s="29">
        <f>ExpenseAcq*M568+N568*ExpenseMaint/12*AS568</f>
        <v/>
      </c>
      <c r="AU568" s="29">
        <f>CommissionRate*AE568</f>
        <v/>
      </c>
      <c r="AV568" s="34">
        <f>AB569-AB568</f>
        <v/>
      </c>
      <c r="AW568" s="34">
        <f>AE568+AR568-AN568-AT568-AU568-AV568</f>
        <v/>
      </c>
      <c r="AX568" s="29">
        <f>LoadPremRate*E568*N568+AK568+AQ568-AU568-AT568</f>
        <v/>
      </c>
      <c r="AY568" s="34">
        <f>AP568-AO568</f>
        <v/>
      </c>
      <c r="AZ568" s="37">
        <f>(AW568-AX568-AY568)/MAX(1,ABS(AW568),ABS(AX568),ABS(AY568))</f>
        <v/>
      </c>
      <c r="BA568" s="37">
        <f>IF(OR(K568&gt;0,K569&gt;0),0,(AC569-(AC568+AF568-AQ568-AP568+AR568-AI568-AJ568-AM568))/MAX(1,ABS(AC568),ABS(AC569)))</f>
        <v/>
      </c>
      <c r="BB568" s="35">
        <f>(1+INDEX(DiscRateAnn,INT(A568/12)+1))^(1/12)-1</f>
        <v/>
      </c>
      <c r="BC568" s="31">
        <f>(1+BB568)^-A568</f>
        <v/>
      </c>
      <c r="BD568" s="34">
        <f>AW568*BC568</f>
        <v/>
      </c>
    </row>
    <row r="569">
      <c r="A569" s="27">
        <f>A568+1</f>
        <v/>
      </c>
      <c r="B569" s="28">
        <f>Duration0+A569</f>
        <v/>
      </c>
      <c r="C569" s="27">
        <f>INT(B569/12)</f>
        <v/>
      </c>
      <c r="D569" s="28">
        <f>AgeAtEntry+C569</f>
        <v/>
      </c>
      <c r="E569" s="29">
        <f>IF(PremiumType="SINGLE",IF(B569=0,PremiumPPInput,0),IF(B569&lt;12*PolicyTerm,PremiumPPInput,0))</f>
        <v/>
      </c>
      <c r="F569" s="30">
        <f>INDEX(MortRates,MATCH(MIN(D569,120),MortAges,0),MAX(MIN(C569,5),0)+1)</f>
        <v/>
      </c>
      <c r="G569" s="31">
        <f>1-(1-F569)^(1/12)</f>
        <v/>
      </c>
      <c r="H569" s="32">
        <f>MAX(LapseBase-LapseStep*C569,LapseFloor)</f>
        <v/>
      </c>
      <c r="I569" s="32">
        <f>IF(HasSurrCharge,INDEX(SurrRates,MIN(C569,SurrDurMax)+1,MATCH(SurrChargeID,SurrTypes,0)),0)</f>
        <v/>
      </c>
      <c r="J569" s="33">
        <f>N568-P568-O568</f>
        <v/>
      </c>
      <c r="K569" s="30">
        <f>IF(B569=12*PolicyTerm,J569,0)</f>
        <v/>
      </c>
      <c r="L569" s="33">
        <f>J569-K569</f>
        <v/>
      </c>
      <c r="M569" s="30">
        <f>IF(B569=0,PolicyCount,0)</f>
        <v/>
      </c>
      <c r="N569" s="33">
        <f>L569+M569</f>
        <v/>
      </c>
      <c r="O569" s="31">
        <f>N569*G569</f>
        <v/>
      </c>
      <c r="P569" s="33">
        <f>(N569-O569)*(1-(1-H569)^(1/12))</f>
        <v/>
      </c>
      <c r="Q569" s="34">
        <f>X568+Z568</f>
        <v/>
      </c>
      <c r="R569" s="29">
        <f>(1-LoadPremRate)*E569</f>
        <v/>
      </c>
      <c r="S569" s="34">
        <f>Q569+R569</f>
        <v/>
      </c>
      <c r="T569" s="29">
        <f>MaintFeeRateAnn/12*S569</f>
        <v/>
      </c>
      <c r="U569" s="29">
        <f>MAX(SumAssured-S569,0)</f>
        <v/>
      </c>
      <c r="V569" s="35">
        <f>CoiMultiple*G569</f>
        <v/>
      </c>
      <c r="W569" s="34">
        <f>V569*U569</f>
        <v/>
      </c>
      <c r="X569" s="34">
        <f>S569-T569-W569</f>
        <v/>
      </c>
      <c r="Y569" s="36">
        <f>EXP((Mu-0.5*Sigma^2)/12+Sigma*SQRT(1/12)*INDEX(NormRand,ScenID,A569+1))-1</f>
        <v/>
      </c>
      <c r="Z569" s="34">
        <f>Y569*X569</f>
        <v/>
      </c>
      <c r="AA569" s="34">
        <f>X569+0.5*Z569</f>
        <v/>
      </c>
      <c r="AB569" s="34">
        <f>Q569*J569</f>
        <v/>
      </c>
      <c r="AC569" s="34">
        <f>Q569*L569</f>
        <v/>
      </c>
      <c r="AD569" s="34">
        <f>S569*N569</f>
        <v/>
      </c>
      <c r="AE569" s="34">
        <f>E569*N569</f>
        <v/>
      </c>
      <c r="AF569" s="34">
        <f>R569*N569</f>
        <v/>
      </c>
      <c r="AG569" s="29">
        <f>MAX(SumAssured,AA569)</f>
        <v/>
      </c>
      <c r="AH569" s="34">
        <f>AG569*O569</f>
        <v/>
      </c>
      <c r="AI569" s="34">
        <f>AA569*O569</f>
        <v/>
      </c>
      <c r="AJ569" s="34">
        <f>AA569*P569</f>
        <v/>
      </c>
      <c r="AK569" s="34">
        <f>I569*AA569*P569</f>
        <v/>
      </c>
      <c r="AL569" s="34">
        <f>AJ569-AK569</f>
        <v/>
      </c>
      <c r="AM569" s="34">
        <f>Q569*K569</f>
        <v/>
      </c>
      <c r="AN569" s="34">
        <f>AH569+AL569+AM569</f>
        <v/>
      </c>
      <c r="AO569" s="34">
        <f>(AG569-AA569)*O569</f>
        <v/>
      </c>
      <c r="AP569" s="34">
        <f>W569*N569</f>
        <v/>
      </c>
      <c r="AQ569" s="34">
        <f>T569*N569</f>
        <v/>
      </c>
      <c r="AR569" s="34">
        <f>Z569*J570+0.5*Z569*(O569+P569)</f>
        <v/>
      </c>
      <c r="AS569" s="30">
        <f>(1+InflationRate)^(A569/12)</f>
        <v/>
      </c>
      <c r="AT569" s="29">
        <f>ExpenseAcq*M569+N569*ExpenseMaint/12*AS569</f>
        <v/>
      </c>
      <c r="AU569" s="29">
        <f>CommissionRate*AE569</f>
        <v/>
      </c>
      <c r="AV569" s="34">
        <f>AB570-AB569</f>
        <v/>
      </c>
      <c r="AW569" s="34">
        <f>AE569+AR569-AN569-AT569-AU569-AV569</f>
        <v/>
      </c>
      <c r="AX569" s="29">
        <f>LoadPremRate*E569*N569+AK569+AQ569-AU569-AT569</f>
        <v/>
      </c>
      <c r="AY569" s="34">
        <f>AP569-AO569</f>
        <v/>
      </c>
      <c r="AZ569" s="37">
        <f>(AW569-AX569-AY569)/MAX(1,ABS(AW569),ABS(AX569),ABS(AY569))</f>
        <v/>
      </c>
      <c r="BA569" s="37">
        <f>IF(OR(K569&gt;0,K570&gt;0),0,(AC570-(AC569+AF569-AQ569-AP569+AR569-AI569-AJ569-AM569))/MAX(1,ABS(AC569),ABS(AC570)))</f>
        <v/>
      </c>
      <c r="BB569" s="35">
        <f>(1+INDEX(DiscRateAnn,INT(A569/12)+1))^(1/12)-1</f>
        <v/>
      </c>
      <c r="BC569" s="31">
        <f>(1+BB569)^-A569</f>
        <v/>
      </c>
      <c r="BD569" s="34">
        <f>AW569*BC569</f>
        <v/>
      </c>
    </row>
    <row r="570">
      <c r="A570" s="27">
        <f>A569+1</f>
        <v/>
      </c>
      <c r="B570" s="28">
        <f>Duration0+A570</f>
        <v/>
      </c>
      <c r="C570" s="27">
        <f>INT(B570/12)</f>
        <v/>
      </c>
      <c r="D570" s="28">
        <f>AgeAtEntry+C570</f>
        <v/>
      </c>
      <c r="E570" s="29">
        <f>IF(PremiumType="SINGLE",IF(B570=0,PremiumPPInput,0),IF(B570&lt;12*PolicyTerm,PremiumPPInput,0))</f>
        <v/>
      </c>
      <c r="F570" s="30">
        <f>INDEX(MortRates,MATCH(MIN(D570,120),MortAges,0),MAX(MIN(C570,5),0)+1)</f>
        <v/>
      </c>
      <c r="G570" s="31">
        <f>1-(1-F570)^(1/12)</f>
        <v/>
      </c>
      <c r="H570" s="32">
        <f>MAX(LapseBase-LapseStep*C570,LapseFloor)</f>
        <v/>
      </c>
      <c r="I570" s="32">
        <f>IF(HasSurrCharge,INDEX(SurrRates,MIN(C570,SurrDurMax)+1,MATCH(SurrChargeID,SurrTypes,0)),0)</f>
        <v/>
      </c>
      <c r="J570" s="33">
        <f>N569-P569-O569</f>
        <v/>
      </c>
      <c r="K570" s="30">
        <f>IF(B570=12*PolicyTerm,J570,0)</f>
        <v/>
      </c>
      <c r="L570" s="33">
        <f>J570-K570</f>
        <v/>
      </c>
      <c r="M570" s="30">
        <f>IF(B570=0,PolicyCount,0)</f>
        <v/>
      </c>
      <c r="N570" s="33">
        <f>L570+M570</f>
        <v/>
      </c>
      <c r="O570" s="31">
        <f>N570*G570</f>
        <v/>
      </c>
      <c r="P570" s="33">
        <f>(N570-O570)*(1-(1-H570)^(1/12))</f>
        <v/>
      </c>
      <c r="Q570" s="34">
        <f>X569+Z569</f>
        <v/>
      </c>
      <c r="R570" s="29">
        <f>(1-LoadPremRate)*E570</f>
        <v/>
      </c>
      <c r="S570" s="34">
        <f>Q570+R570</f>
        <v/>
      </c>
      <c r="T570" s="29">
        <f>MaintFeeRateAnn/12*S570</f>
        <v/>
      </c>
      <c r="U570" s="29">
        <f>MAX(SumAssured-S570,0)</f>
        <v/>
      </c>
      <c r="V570" s="35">
        <f>CoiMultiple*G570</f>
        <v/>
      </c>
      <c r="W570" s="34">
        <f>V570*U570</f>
        <v/>
      </c>
      <c r="X570" s="34">
        <f>S570-T570-W570</f>
        <v/>
      </c>
      <c r="Y570" s="36">
        <f>EXP((Mu-0.5*Sigma^2)/12+Sigma*SQRT(1/12)*INDEX(NormRand,ScenID,A570+1))-1</f>
        <v/>
      </c>
      <c r="Z570" s="34">
        <f>Y570*X570</f>
        <v/>
      </c>
      <c r="AA570" s="34">
        <f>X570+0.5*Z570</f>
        <v/>
      </c>
      <c r="AB570" s="34">
        <f>Q570*J570</f>
        <v/>
      </c>
      <c r="AC570" s="34">
        <f>Q570*L570</f>
        <v/>
      </c>
      <c r="AD570" s="34">
        <f>S570*N570</f>
        <v/>
      </c>
      <c r="AE570" s="34">
        <f>E570*N570</f>
        <v/>
      </c>
      <c r="AF570" s="34">
        <f>R570*N570</f>
        <v/>
      </c>
      <c r="AG570" s="29">
        <f>MAX(SumAssured,AA570)</f>
        <v/>
      </c>
      <c r="AH570" s="34">
        <f>AG570*O570</f>
        <v/>
      </c>
      <c r="AI570" s="34">
        <f>AA570*O570</f>
        <v/>
      </c>
      <c r="AJ570" s="34">
        <f>AA570*P570</f>
        <v/>
      </c>
      <c r="AK570" s="34">
        <f>I570*AA570*P570</f>
        <v/>
      </c>
      <c r="AL570" s="34">
        <f>AJ570-AK570</f>
        <v/>
      </c>
      <c r="AM570" s="34">
        <f>Q570*K570</f>
        <v/>
      </c>
      <c r="AN570" s="34">
        <f>AH570+AL570+AM570</f>
        <v/>
      </c>
      <c r="AO570" s="34">
        <f>(AG570-AA570)*O570</f>
        <v/>
      </c>
      <c r="AP570" s="34">
        <f>W570*N570</f>
        <v/>
      </c>
      <c r="AQ570" s="34">
        <f>T570*N570</f>
        <v/>
      </c>
      <c r="AR570" s="34">
        <f>Z570*J571+0.5*Z570*(O570+P570)</f>
        <v/>
      </c>
      <c r="AS570" s="30">
        <f>(1+InflationRate)^(A570/12)</f>
        <v/>
      </c>
      <c r="AT570" s="29">
        <f>ExpenseAcq*M570+N570*ExpenseMaint/12*AS570</f>
        <v/>
      </c>
      <c r="AU570" s="29">
        <f>CommissionRate*AE570</f>
        <v/>
      </c>
      <c r="AV570" s="34">
        <f>AB571-AB570</f>
        <v/>
      </c>
      <c r="AW570" s="34">
        <f>AE570+AR570-AN570-AT570-AU570-AV570</f>
        <v/>
      </c>
      <c r="AX570" s="29">
        <f>LoadPremRate*E570*N570+AK570+AQ570-AU570-AT570</f>
        <v/>
      </c>
      <c r="AY570" s="34">
        <f>AP570-AO570</f>
        <v/>
      </c>
      <c r="AZ570" s="37">
        <f>(AW570-AX570-AY570)/MAX(1,ABS(AW570),ABS(AX570),ABS(AY570))</f>
        <v/>
      </c>
      <c r="BA570" s="37">
        <f>IF(OR(K570&gt;0,K571&gt;0),0,(AC571-(AC570+AF570-AQ570-AP570+AR570-AI570-AJ570-AM570))/MAX(1,ABS(AC570),ABS(AC571)))</f>
        <v/>
      </c>
      <c r="BB570" s="35">
        <f>(1+INDEX(DiscRateAnn,INT(A570/12)+1))^(1/12)-1</f>
        <v/>
      </c>
      <c r="BC570" s="31">
        <f>(1+BB570)^-A570</f>
        <v/>
      </c>
      <c r="BD570" s="34">
        <f>AW570*BC570</f>
        <v/>
      </c>
    </row>
    <row r="571">
      <c r="A571" s="27">
        <f>A570+1</f>
        <v/>
      </c>
      <c r="B571" s="28">
        <f>Duration0+A571</f>
        <v/>
      </c>
      <c r="C571" s="27">
        <f>INT(B571/12)</f>
        <v/>
      </c>
      <c r="D571" s="28">
        <f>AgeAtEntry+C571</f>
        <v/>
      </c>
      <c r="E571" s="29">
        <f>IF(PremiumType="SINGLE",IF(B571=0,PremiumPPInput,0),IF(B571&lt;12*PolicyTerm,PremiumPPInput,0))</f>
        <v/>
      </c>
      <c r="F571" s="30">
        <f>INDEX(MortRates,MATCH(MIN(D571,120),MortAges,0),MAX(MIN(C571,5),0)+1)</f>
        <v/>
      </c>
      <c r="G571" s="31">
        <f>1-(1-F571)^(1/12)</f>
        <v/>
      </c>
      <c r="H571" s="32">
        <f>MAX(LapseBase-LapseStep*C571,LapseFloor)</f>
        <v/>
      </c>
      <c r="I571" s="32">
        <f>IF(HasSurrCharge,INDEX(SurrRates,MIN(C571,SurrDurMax)+1,MATCH(SurrChargeID,SurrTypes,0)),0)</f>
        <v/>
      </c>
      <c r="J571" s="33">
        <f>N570-P570-O570</f>
        <v/>
      </c>
      <c r="K571" s="30">
        <f>IF(B571=12*PolicyTerm,J571,0)</f>
        <v/>
      </c>
      <c r="L571" s="33">
        <f>J571-K571</f>
        <v/>
      </c>
      <c r="M571" s="30">
        <f>IF(B571=0,PolicyCount,0)</f>
        <v/>
      </c>
      <c r="N571" s="33">
        <f>L571+M571</f>
        <v/>
      </c>
      <c r="O571" s="31">
        <f>N571*G571</f>
        <v/>
      </c>
      <c r="P571" s="33">
        <f>(N571-O571)*(1-(1-H571)^(1/12))</f>
        <v/>
      </c>
      <c r="Q571" s="34">
        <f>X570+Z570</f>
        <v/>
      </c>
      <c r="R571" s="29">
        <f>(1-LoadPremRate)*E571</f>
        <v/>
      </c>
      <c r="S571" s="34">
        <f>Q571+R571</f>
        <v/>
      </c>
      <c r="T571" s="29">
        <f>MaintFeeRateAnn/12*S571</f>
        <v/>
      </c>
      <c r="U571" s="29">
        <f>MAX(SumAssured-S571,0)</f>
        <v/>
      </c>
      <c r="V571" s="35">
        <f>CoiMultiple*G571</f>
        <v/>
      </c>
      <c r="W571" s="34">
        <f>V571*U571</f>
        <v/>
      </c>
      <c r="X571" s="34">
        <f>S571-T571-W571</f>
        <v/>
      </c>
      <c r="Y571" s="36">
        <f>EXP((Mu-0.5*Sigma^2)/12+Sigma*SQRT(1/12)*INDEX(NormRand,ScenID,A571+1))-1</f>
        <v/>
      </c>
      <c r="Z571" s="34">
        <f>Y571*X571</f>
        <v/>
      </c>
      <c r="AA571" s="34">
        <f>X571+0.5*Z571</f>
        <v/>
      </c>
      <c r="AB571" s="34">
        <f>Q571*J571</f>
        <v/>
      </c>
      <c r="AC571" s="34">
        <f>Q571*L571</f>
        <v/>
      </c>
      <c r="AD571" s="34">
        <f>S571*N571</f>
        <v/>
      </c>
      <c r="AE571" s="34">
        <f>E571*N571</f>
        <v/>
      </c>
      <c r="AF571" s="34">
        <f>R571*N571</f>
        <v/>
      </c>
      <c r="AG571" s="29">
        <f>MAX(SumAssured,AA571)</f>
        <v/>
      </c>
      <c r="AH571" s="34">
        <f>AG571*O571</f>
        <v/>
      </c>
      <c r="AI571" s="34">
        <f>AA571*O571</f>
        <v/>
      </c>
      <c r="AJ571" s="34">
        <f>AA571*P571</f>
        <v/>
      </c>
      <c r="AK571" s="34">
        <f>I571*AA571*P571</f>
        <v/>
      </c>
      <c r="AL571" s="34">
        <f>AJ571-AK571</f>
        <v/>
      </c>
      <c r="AM571" s="34">
        <f>Q571*K571</f>
        <v/>
      </c>
      <c r="AN571" s="34">
        <f>AH571+AL571+AM571</f>
        <v/>
      </c>
      <c r="AO571" s="34">
        <f>(AG571-AA571)*O571</f>
        <v/>
      </c>
      <c r="AP571" s="34">
        <f>W571*N571</f>
        <v/>
      </c>
      <c r="AQ571" s="34">
        <f>T571*N571</f>
        <v/>
      </c>
      <c r="AR571" s="34">
        <f>Z571*J572+0.5*Z571*(O571+P571)</f>
        <v/>
      </c>
      <c r="AS571" s="30">
        <f>(1+InflationRate)^(A571/12)</f>
        <v/>
      </c>
      <c r="AT571" s="29">
        <f>ExpenseAcq*M571+N571*ExpenseMaint/12*AS571</f>
        <v/>
      </c>
      <c r="AU571" s="29">
        <f>CommissionRate*AE571</f>
        <v/>
      </c>
      <c r="AV571" s="34">
        <f>AB572-AB571</f>
        <v/>
      </c>
      <c r="AW571" s="34">
        <f>AE571+AR571-AN571-AT571-AU571-AV571</f>
        <v/>
      </c>
      <c r="AX571" s="29">
        <f>LoadPremRate*E571*N571+AK571+AQ571-AU571-AT571</f>
        <v/>
      </c>
      <c r="AY571" s="34">
        <f>AP571-AO571</f>
        <v/>
      </c>
      <c r="AZ571" s="37">
        <f>(AW571-AX571-AY571)/MAX(1,ABS(AW571),ABS(AX571),ABS(AY571))</f>
        <v/>
      </c>
      <c r="BA571" s="37">
        <f>IF(OR(K571&gt;0,K572&gt;0),0,(AC572-(AC571+AF571-AQ571-AP571+AR571-AI571-AJ571-AM571))/MAX(1,ABS(AC571),ABS(AC572)))</f>
        <v/>
      </c>
      <c r="BB571" s="35">
        <f>(1+INDEX(DiscRateAnn,INT(A571/12)+1))^(1/12)-1</f>
        <v/>
      </c>
      <c r="BC571" s="31">
        <f>(1+BB571)^-A571</f>
        <v/>
      </c>
      <c r="BD571" s="34">
        <f>AW571*BC571</f>
        <v/>
      </c>
    </row>
    <row r="572">
      <c r="A572" s="27">
        <f>A571+1</f>
        <v/>
      </c>
      <c r="B572" s="28">
        <f>Duration0+A572</f>
        <v/>
      </c>
      <c r="C572" s="27">
        <f>INT(B572/12)</f>
        <v/>
      </c>
      <c r="D572" s="28">
        <f>AgeAtEntry+C572</f>
        <v/>
      </c>
      <c r="E572" s="29">
        <f>IF(PremiumType="SINGLE",IF(B572=0,PremiumPPInput,0),IF(B572&lt;12*PolicyTerm,PremiumPPInput,0))</f>
        <v/>
      </c>
      <c r="F572" s="30">
        <f>INDEX(MortRates,MATCH(MIN(D572,120),MortAges,0),MAX(MIN(C572,5),0)+1)</f>
        <v/>
      </c>
      <c r="G572" s="31">
        <f>1-(1-F572)^(1/12)</f>
        <v/>
      </c>
      <c r="H572" s="32">
        <f>MAX(LapseBase-LapseStep*C572,LapseFloor)</f>
        <v/>
      </c>
      <c r="I572" s="32">
        <f>IF(HasSurrCharge,INDEX(SurrRates,MIN(C572,SurrDurMax)+1,MATCH(SurrChargeID,SurrTypes,0)),0)</f>
        <v/>
      </c>
      <c r="J572" s="33">
        <f>N571-P571-O571</f>
        <v/>
      </c>
      <c r="K572" s="30">
        <f>IF(B572=12*PolicyTerm,J572,0)</f>
        <v/>
      </c>
      <c r="L572" s="33">
        <f>J572-K572</f>
        <v/>
      </c>
      <c r="M572" s="30">
        <f>IF(B572=0,PolicyCount,0)</f>
        <v/>
      </c>
      <c r="N572" s="33">
        <f>L572+M572</f>
        <v/>
      </c>
      <c r="O572" s="31">
        <f>N572*G572</f>
        <v/>
      </c>
      <c r="P572" s="33">
        <f>(N572-O572)*(1-(1-H572)^(1/12))</f>
        <v/>
      </c>
      <c r="Q572" s="34">
        <f>X571+Z571</f>
        <v/>
      </c>
      <c r="R572" s="29">
        <f>(1-LoadPremRate)*E572</f>
        <v/>
      </c>
      <c r="S572" s="34">
        <f>Q572+R572</f>
        <v/>
      </c>
      <c r="T572" s="29">
        <f>MaintFeeRateAnn/12*S572</f>
        <v/>
      </c>
      <c r="U572" s="29">
        <f>MAX(SumAssured-S572,0)</f>
        <v/>
      </c>
      <c r="V572" s="35">
        <f>CoiMultiple*G572</f>
        <v/>
      </c>
      <c r="W572" s="34">
        <f>V572*U572</f>
        <v/>
      </c>
      <c r="X572" s="34">
        <f>S572-T572-W572</f>
        <v/>
      </c>
      <c r="Y572" s="36">
        <f>EXP((Mu-0.5*Sigma^2)/12+Sigma*SQRT(1/12)*INDEX(NormRand,ScenID,A572+1))-1</f>
        <v/>
      </c>
      <c r="Z572" s="34">
        <f>Y572*X572</f>
        <v/>
      </c>
      <c r="AA572" s="34">
        <f>X572+0.5*Z572</f>
        <v/>
      </c>
      <c r="AB572" s="34">
        <f>Q572*J572</f>
        <v/>
      </c>
      <c r="AC572" s="34">
        <f>Q572*L572</f>
        <v/>
      </c>
      <c r="AD572" s="34">
        <f>S572*N572</f>
        <v/>
      </c>
      <c r="AE572" s="34">
        <f>E572*N572</f>
        <v/>
      </c>
      <c r="AF572" s="34">
        <f>R572*N572</f>
        <v/>
      </c>
      <c r="AG572" s="29">
        <f>MAX(SumAssured,AA572)</f>
        <v/>
      </c>
      <c r="AH572" s="34">
        <f>AG572*O572</f>
        <v/>
      </c>
      <c r="AI572" s="34">
        <f>AA572*O572</f>
        <v/>
      </c>
      <c r="AJ572" s="34">
        <f>AA572*P572</f>
        <v/>
      </c>
      <c r="AK572" s="34">
        <f>I572*AA572*P572</f>
        <v/>
      </c>
      <c r="AL572" s="34">
        <f>AJ572-AK572</f>
        <v/>
      </c>
      <c r="AM572" s="34">
        <f>Q572*K572</f>
        <v/>
      </c>
      <c r="AN572" s="34">
        <f>AH572+AL572+AM572</f>
        <v/>
      </c>
      <c r="AO572" s="34">
        <f>(AG572-AA572)*O572</f>
        <v/>
      </c>
      <c r="AP572" s="34">
        <f>W572*N572</f>
        <v/>
      </c>
      <c r="AQ572" s="34">
        <f>T572*N572</f>
        <v/>
      </c>
      <c r="AR572" s="34">
        <f>Z572*J573+0.5*Z572*(O572+P572)</f>
        <v/>
      </c>
      <c r="AS572" s="30">
        <f>(1+InflationRate)^(A572/12)</f>
        <v/>
      </c>
      <c r="AT572" s="29">
        <f>ExpenseAcq*M572+N572*ExpenseMaint/12*AS572</f>
        <v/>
      </c>
      <c r="AU572" s="29">
        <f>CommissionRate*AE572</f>
        <v/>
      </c>
      <c r="AV572" s="34">
        <f>AB573-AB572</f>
        <v/>
      </c>
      <c r="AW572" s="34">
        <f>AE572+AR572-AN572-AT572-AU572-AV572</f>
        <v/>
      </c>
      <c r="AX572" s="29">
        <f>LoadPremRate*E572*N572+AK572+AQ572-AU572-AT572</f>
        <v/>
      </c>
      <c r="AY572" s="34">
        <f>AP572-AO572</f>
        <v/>
      </c>
      <c r="AZ572" s="37">
        <f>(AW572-AX572-AY572)/MAX(1,ABS(AW572),ABS(AX572),ABS(AY572))</f>
        <v/>
      </c>
      <c r="BA572" s="37">
        <f>IF(OR(K572&gt;0,K573&gt;0),0,(AC573-(AC572+AF572-AQ572-AP572+AR572-AI572-AJ572-AM572))/MAX(1,ABS(AC572),ABS(AC573)))</f>
        <v/>
      </c>
      <c r="BB572" s="35">
        <f>(1+INDEX(DiscRateAnn,INT(A572/12)+1))^(1/12)-1</f>
        <v/>
      </c>
      <c r="BC572" s="31">
        <f>(1+BB572)^-A572</f>
        <v/>
      </c>
      <c r="BD572" s="34">
        <f>AW572*BC572</f>
        <v/>
      </c>
    </row>
    <row r="573">
      <c r="A573" s="27">
        <f>A572+1</f>
        <v/>
      </c>
      <c r="B573" s="28">
        <f>Duration0+A573</f>
        <v/>
      </c>
      <c r="C573" s="27">
        <f>INT(B573/12)</f>
        <v/>
      </c>
      <c r="D573" s="28">
        <f>AgeAtEntry+C573</f>
        <v/>
      </c>
      <c r="E573" s="29">
        <f>IF(PremiumType="SINGLE",IF(B573=0,PremiumPPInput,0),IF(B573&lt;12*PolicyTerm,PremiumPPInput,0))</f>
        <v/>
      </c>
      <c r="F573" s="30">
        <f>INDEX(MortRates,MATCH(MIN(D573,120),MortAges,0),MAX(MIN(C573,5),0)+1)</f>
        <v/>
      </c>
      <c r="G573" s="31">
        <f>1-(1-F573)^(1/12)</f>
        <v/>
      </c>
      <c r="H573" s="32">
        <f>MAX(LapseBase-LapseStep*C573,LapseFloor)</f>
        <v/>
      </c>
      <c r="I573" s="32">
        <f>IF(HasSurrCharge,INDEX(SurrRates,MIN(C573,SurrDurMax)+1,MATCH(SurrChargeID,SurrTypes,0)),0)</f>
        <v/>
      </c>
      <c r="J573" s="33">
        <f>N572-P572-O572</f>
        <v/>
      </c>
      <c r="K573" s="30">
        <f>IF(B573=12*PolicyTerm,J573,0)</f>
        <v/>
      </c>
      <c r="L573" s="33">
        <f>J573-K573</f>
        <v/>
      </c>
      <c r="M573" s="30">
        <f>IF(B573=0,PolicyCount,0)</f>
        <v/>
      </c>
      <c r="N573" s="33">
        <f>L573+M573</f>
        <v/>
      </c>
      <c r="O573" s="31">
        <f>N573*G573</f>
        <v/>
      </c>
      <c r="P573" s="33">
        <f>(N573-O573)*(1-(1-H573)^(1/12))</f>
        <v/>
      </c>
      <c r="Q573" s="34">
        <f>X572+Z572</f>
        <v/>
      </c>
      <c r="R573" s="29">
        <f>(1-LoadPremRate)*E573</f>
        <v/>
      </c>
      <c r="S573" s="34">
        <f>Q573+R573</f>
        <v/>
      </c>
      <c r="T573" s="29">
        <f>MaintFeeRateAnn/12*S573</f>
        <v/>
      </c>
      <c r="U573" s="29">
        <f>MAX(SumAssured-S573,0)</f>
        <v/>
      </c>
      <c r="V573" s="35">
        <f>CoiMultiple*G573</f>
        <v/>
      </c>
      <c r="W573" s="34">
        <f>V573*U573</f>
        <v/>
      </c>
      <c r="X573" s="34">
        <f>S573-T573-W573</f>
        <v/>
      </c>
      <c r="Y573" s="36">
        <f>EXP((Mu-0.5*Sigma^2)/12+Sigma*SQRT(1/12)*INDEX(NormRand,ScenID,A573+1))-1</f>
        <v/>
      </c>
      <c r="Z573" s="34">
        <f>Y573*X573</f>
        <v/>
      </c>
      <c r="AA573" s="34">
        <f>X573+0.5*Z573</f>
        <v/>
      </c>
      <c r="AB573" s="34">
        <f>Q573*J573</f>
        <v/>
      </c>
      <c r="AC573" s="34">
        <f>Q573*L573</f>
        <v/>
      </c>
      <c r="AD573" s="34">
        <f>S573*N573</f>
        <v/>
      </c>
      <c r="AE573" s="34">
        <f>E573*N573</f>
        <v/>
      </c>
      <c r="AF573" s="34">
        <f>R573*N573</f>
        <v/>
      </c>
      <c r="AG573" s="29">
        <f>MAX(SumAssured,AA573)</f>
        <v/>
      </c>
      <c r="AH573" s="34">
        <f>AG573*O573</f>
        <v/>
      </c>
      <c r="AI573" s="34">
        <f>AA573*O573</f>
        <v/>
      </c>
      <c r="AJ573" s="34">
        <f>AA573*P573</f>
        <v/>
      </c>
      <c r="AK573" s="34">
        <f>I573*AA573*P573</f>
        <v/>
      </c>
      <c r="AL573" s="34">
        <f>AJ573-AK573</f>
        <v/>
      </c>
      <c r="AM573" s="34">
        <f>Q573*K573</f>
        <v/>
      </c>
      <c r="AN573" s="34">
        <f>AH573+AL573+AM573</f>
        <v/>
      </c>
      <c r="AO573" s="34">
        <f>(AG573-AA573)*O573</f>
        <v/>
      </c>
      <c r="AP573" s="34">
        <f>W573*N573</f>
        <v/>
      </c>
      <c r="AQ573" s="34">
        <f>T573*N573</f>
        <v/>
      </c>
      <c r="AR573" s="34">
        <f>Z573*J574+0.5*Z573*(O573+P573)</f>
        <v/>
      </c>
      <c r="AS573" s="30">
        <f>(1+InflationRate)^(A573/12)</f>
        <v/>
      </c>
      <c r="AT573" s="29">
        <f>ExpenseAcq*M573+N573*ExpenseMaint/12*AS573</f>
        <v/>
      </c>
      <c r="AU573" s="29">
        <f>CommissionRate*AE573</f>
        <v/>
      </c>
      <c r="AV573" s="34">
        <f>AB574-AB573</f>
        <v/>
      </c>
      <c r="AW573" s="34">
        <f>AE573+AR573-AN573-AT573-AU573-AV573</f>
        <v/>
      </c>
      <c r="AX573" s="29">
        <f>LoadPremRate*E573*N573+AK573+AQ573-AU573-AT573</f>
        <v/>
      </c>
      <c r="AY573" s="34">
        <f>AP573-AO573</f>
        <v/>
      </c>
      <c r="AZ573" s="37">
        <f>(AW573-AX573-AY573)/MAX(1,ABS(AW573),ABS(AX573),ABS(AY573))</f>
        <v/>
      </c>
      <c r="BA573" s="37">
        <f>IF(OR(K573&gt;0,K574&gt;0),0,(AC574-(AC573+AF573-AQ573-AP573+AR573-AI573-AJ573-AM573))/MAX(1,ABS(AC573),ABS(AC574)))</f>
        <v/>
      </c>
      <c r="BB573" s="35">
        <f>(1+INDEX(DiscRateAnn,INT(A573/12)+1))^(1/12)-1</f>
        <v/>
      </c>
      <c r="BC573" s="31">
        <f>(1+BB573)^-A573</f>
        <v/>
      </c>
      <c r="BD573" s="34">
        <f>AW573*BC573</f>
        <v/>
      </c>
    </row>
    <row r="574">
      <c r="A574" s="27">
        <f>A573+1</f>
        <v/>
      </c>
      <c r="B574" s="28">
        <f>Duration0+A574</f>
        <v/>
      </c>
      <c r="C574" s="27">
        <f>INT(B574/12)</f>
        <v/>
      </c>
      <c r="D574" s="28">
        <f>AgeAtEntry+C574</f>
        <v/>
      </c>
      <c r="E574" s="29">
        <f>IF(PremiumType="SINGLE",IF(B574=0,PremiumPPInput,0),IF(B574&lt;12*PolicyTerm,PremiumPPInput,0))</f>
        <v/>
      </c>
      <c r="F574" s="30">
        <f>INDEX(MortRates,MATCH(MIN(D574,120),MortAges,0),MAX(MIN(C574,5),0)+1)</f>
        <v/>
      </c>
      <c r="G574" s="31">
        <f>1-(1-F574)^(1/12)</f>
        <v/>
      </c>
      <c r="H574" s="32">
        <f>MAX(LapseBase-LapseStep*C574,LapseFloor)</f>
        <v/>
      </c>
      <c r="I574" s="32">
        <f>IF(HasSurrCharge,INDEX(SurrRates,MIN(C574,SurrDurMax)+1,MATCH(SurrChargeID,SurrTypes,0)),0)</f>
        <v/>
      </c>
      <c r="J574" s="33">
        <f>N573-P573-O573</f>
        <v/>
      </c>
      <c r="K574" s="30">
        <f>IF(B574=12*PolicyTerm,J574,0)</f>
        <v/>
      </c>
      <c r="L574" s="33">
        <f>J574-K574</f>
        <v/>
      </c>
      <c r="M574" s="30">
        <f>IF(B574=0,PolicyCount,0)</f>
        <v/>
      </c>
      <c r="N574" s="33">
        <f>L574+M574</f>
        <v/>
      </c>
      <c r="O574" s="31">
        <f>N574*G574</f>
        <v/>
      </c>
      <c r="P574" s="33">
        <f>(N574-O574)*(1-(1-H574)^(1/12))</f>
        <v/>
      </c>
      <c r="Q574" s="34">
        <f>X573+Z573</f>
        <v/>
      </c>
      <c r="R574" s="29">
        <f>(1-LoadPremRate)*E574</f>
        <v/>
      </c>
      <c r="S574" s="34">
        <f>Q574+R574</f>
        <v/>
      </c>
      <c r="T574" s="29">
        <f>MaintFeeRateAnn/12*S574</f>
        <v/>
      </c>
      <c r="U574" s="29">
        <f>MAX(SumAssured-S574,0)</f>
        <v/>
      </c>
      <c r="V574" s="35">
        <f>CoiMultiple*G574</f>
        <v/>
      </c>
      <c r="W574" s="34">
        <f>V574*U574</f>
        <v/>
      </c>
      <c r="X574" s="34">
        <f>S574-T574-W574</f>
        <v/>
      </c>
      <c r="Y574" s="36">
        <f>EXP((Mu-0.5*Sigma^2)/12+Sigma*SQRT(1/12)*INDEX(NormRand,ScenID,A574+1))-1</f>
        <v/>
      </c>
      <c r="Z574" s="34">
        <f>Y574*X574</f>
        <v/>
      </c>
      <c r="AA574" s="34">
        <f>X574+0.5*Z574</f>
        <v/>
      </c>
      <c r="AB574" s="34">
        <f>Q574*J574</f>
        <v/>
      </c>
      <c r="AC574" s="34">
        <f>Q574*L574</f>
        <v/>
      </c>
      <c r="AD574" s="34">
        <f>S574*N574</f>
        <v/>
      </c>
      <c r="AE574" s="34">
        <f>E574*N574</f>
        <v/>
      </c>
      <c r="AF574" s="34">
        <f>R574*N574</f>
        <v/>
      </c>
      <c r="AG574" s="29">
        <f>MAX(SumAssured,AA574)</f>
        <v/>
      </c>
      <c r="AH574" s="34">
        <f>AG574*O574</f>
        <v/>
      </c>
      <c r="AI574" s="34">
        <f>AA574*O574</f>
        <v/>
      </c>
      <c r="AJ574" s="34">
        <f>AA574*P574</f>
        <v/>
      </c>
      <c r="AK574" s="34">
        <f>I574*AA574*P574</f>
        <v/>
      </c>
      <c r="AL574" s="34">
        <f>AJ574-AK574</f>
        <v/>
      </c>
      <c r="AM574" s="34">
        <f>Q574*K574</f>
        <v/>
      </c>
      <c r="AN574" s="34">
        <f>AH574+AL574+AM574</f>
        <v/>
      </c>
      <c r="AO574" s="34">
        <f>(AG574-AA574)*O574</f>
        <v/>
      </c>
      <c r="AP574" s="34">
        <f>W574*N574</f>
        <v/>
      </c>
      <c r="AQ574" s="34">
        <f>T574*N574</f>
        <v/>
      </c>
      <c r="AR574" s="34">
        <f>Z574*J575+0.5*Z574*(O574+P574)</f>
        <v/>
      </c>
      <c r="AS574" s="30">
        <f>(1+InflationRate)^(A574/12)</f>
        <v/>
      </c>
      <c r="AT574" s="29">
        <f>ExpenseAcq*M574+N574*ExpenseMaint/12*AS574</f>
        <v/>
      </c>
      <c r="AU574" s="29">
        <f>CommissionRate*AE574</f>
        <v/>
      </c>
      <c r="AV574" s="34">
        <f>AB575-AB574</f>
        <v/>
      </c>
      <c r="AW574" s="34">
        <f>AE574+AR574-AN574-AT574-AU574-AV574</f>
        <v/>
      </c>
      <c r="AX574" s="29">
        <f>LoadPremRate*E574*N574+AK574+AQ574-AU574-AT574</f>
        <v/>
      </c>
      <c r="AY574" s="34">
        <f>AP574-AO574</f>
        <v/>
      </c>
      <c r="AZ574" s="37">
        <f>(AW574-AX574-AY574)/MAX(1,ABS(AW574),ABS(AX574),ABS(AY574))</f>
        <v/>
      </c>
      <c r="BA574" s="37">
        <f>IF(OR(K574&gt;0,K575&gt;0),0,(AC575-(AC574+AF574-AQ574-AP574+AR574-AI574-AJ574-AM574))/MAX(1,ABS(AC574),ABS(AC575)))</f>
        <v/>
      </c>
      <c r="BB574" s="35">
        <f>(1+INDEX(DiscRateAnn,INT(A574/12)+1))^(1/12)-1</f>
        <v/>
      </c>
      <c r="BC574" s="31">
        <f>(1+BB574)^-A574</f>
        <v/>
      </c>
      <c r="BD574" s="34">
        <f>AW574*BC574</f>
        <v/>
      </c>
    </row>
    <row r="575">
      <c r="A575" s="27">
        <f>A574+1</f>
        <v/>
      </c>
      <c r="B575" s="28">
        <f>Duration0+A575</f>
        <v/>
      </c>
      <c r="C575" s="27">
        <f>INT(B575/12)</f>
        <v/>
      </c>
      <c r="D575" s="28">
        <f>AgeAtEntry+C575</f>
        <v/>
      </c>
      <c r="E575" s="29">
        <f>IF(PremiumType="SINGLE",IF(B575=0,PremiumPPInput,0),IF(B575&lt;12*PolicyTerm,PremiumPPInput,0))</f>
        <v/>
      </c>
      <c r="F575" s="30">
        <f>INDEX(MortRates,MATCH(MIN(D575,120),MortAges,0),MAX(MIN(C575,5),0)+1)</f>
        <v/>
      </c>
      <c r="G575" s="31">
        <f>1-(1-F575)^(1/12)</f>
        <v/>
      </c>
      <c r="H575" s="32">
        <f>MAX(LapseBase-LapseStep*C575,LapseFloor)</f>
        <v/>
      </c>
      <c r="I575" s="32">
        <f>IF(HasSurrCharge,INDEX(SurrRates,MIN(C575,SurrDurMax)+1,MATCH(SurrChargeID,SurrTypes,0)),0)</f>
        <v/>
      </c>
      <c r="J575" s="33">
        <f>N574-P574-O574</f>
        <v/>
      </c>
      <c r="K575" s="30">
        <f>IF(B575=12*PolicyTerm,J575,0)</f>
        <v/>
      </c>
      <c r="L575" s="33">
        <f>J575-K575</f>
        <v/>
      </c>
      <c r="M575" s="30">
        <f>IF(B575=0,PolicyCount,0)</f>
        <v/>
      </c>
      <c r="N575" s="33">
        <f>L575+M575</f>
        <v/>
      </c>
      <c r="O575" s="31">
        <f>N575*G575</f>
        <v/>
      </c>
      <c r="P575" s="33">
        <f>(N575-O575)*(1-(1-H575)^(1/12))</f>
        <v/>
      </c>
      <c r="Q575" s="34">
        <f>X574+Z574</f>
        <v/>
      </c>
      <c r="R575" s="29">
        <f>(1-LoadPremRate)*E575</f>
        <v/>
      </c>
      <c r="S575" s="34">
        <f>Q575+R575</f>
        <v/>
      </c>
      <c r="T575" s="29">
        <f>MaintFeeRateAnn/12*S575</f>
        <v/>
      </c>
      <c r="U575" s="29">
        <f>MAX(SumAssured-S575,0)</f>
        <v/>
      </c>
      <c r="V575" s="35">
        <f>CoiMultiple*G575</f>
        <v/>
      </c>
      <c r="W575" s="34">
        <f>V575*U575</f>
        <v/>
      </c>
      <c r="X575" s="34">
        <f>S575-T575-W575</f>
        <v/>
      </c>
      <c r="Y575" s="36">
        <f>EXP((Mu-0.5*Sigma^2)/12+Sigma*SQRT(1/12)*INDEX(NormRand,ScenID,A575+1))-1</f>
        <v/>
      </c>
      <c r="Z575" s="34">
        <f>Y575*X575</f>
        <v/>
      </c>
      <c r="AA575" s="34">
        <f>X575+0.5*Z575</f>
        <v/>
      </c>
      <c r="AB575" s="34">
        <f>Q575*J575</f>
        <v/>
      </c>
      <c r="AC575" s="34">
        <f>Q575*L575</f>
        <v/>
      </c>
      <c r="AD575" s="34">
        <f>S575*N575</f>
        <v/>
      </c>
      <c r="AE575" s="34">
        <f>E575*N575</f>
        <v/>
      </c>
      <c r="AF575" s="34">
        <f>R575*N575</f>
        <v/>
      </c>
      <c r="AG575" s="29">
        <f>MAX(SumAssured,AA575)</f>
        <v/>
      </c>
      <c r="AH575" s="34">
        <f>AG575*O575</f>
        <v/>
      </c>
      <c r="AI575" s="34">
        <f>AA575*O575</f>
        <v/>
      </c>
      <c r="AJ575" s="34">
        <f>AA575*P575</f>
        <v/>
      </c>
      <c r="AK575" s="34">
        <f>I575*AA575*P575</f>
        <v/>
      </c>
      <c r="AL575" s="34">
        <f>AJ575-AK575</f>
        <v/>
      </c>
      <c r="AM575" s="34">
        <f>Q575*K575</f>
        <v/>
      </c>
      <c r="AN575" s="34">
        <f>AH575+AL575+AM575</f>
        <v/>
      </c>
      <c r="AO575" s="34">
        <f>(AG575-AA575)*O575</f>
        <v/>
      </c>
      <c r="AP575" s="34">
        <f>W575*N575</f>
        <v/>
      </c>
      <c r="AQ575" s="34">
        <f>T575*N575</f>
        <v/>
      </c>
      <c r="AR575" s="34">
        <f>Z575*J576+0.5*Z575*(O575+P575)</f>
        <v/>
      </c>
      <c r="AS575" s="30">
        <f>(1+InflationRate)^(A575/12)</f>
        <v/>
      </c>
      <c r="AT575" s="29">
        <f>ExpenseAcq*M575+N575*ExpenseMaint/12*AS575</f>
        <v/>
      </c>
      <c r="AU575" s="29">
        <f>CommissionRate*AE575</f>
        <v/>
      </c>
      <c r="AV575" s="34">
        <f>AB576-AB575</f>
        <v/>
      </c>
      <c r="AW575" s="34">
        <f>AE575+AR575-AN575-AT575-AU575-AV575</f>
        <v/>
      </c>
      <c r="AX575" s="29">
        <f>LoadPremRate*E575*N575+AK575+AQ575-AU575-AT575</f>
        <v/>
      </c>
      <c r="AY575" s="34">
        <f>AP575-AO575</f>
        <v/>
      </c>
      <c r="AZ575" s="37">
        <f>(AW575-AX575-AY575)/MAX(1,ABS(AW575),ABS(AX575),ABS(AY575))</f>
        <v/>
      </c>
      <c r="BA575" s="37">
        <f>IF(OR(K575&gt;0,K576&gt;0),0,(AC576-(AC575+AF575-AQ575-AP575+AR575-AI575-AJ575-AM575))/MAX(1,ABS(AC575),ABS(AC576)))</f>
        <v/>
      </c>
      <c r="BB575" s="35">
        <f>(1+INDEX(DiscRateAnn,INT(A575/12)+1))^(1/12)-1</f>
        <v/>
      </c>
      <c r="BC575" s="31">
        <f>(1+BB575)^-A575</f>
        <v/>
      </c>
      <c r="BD575" s="34">
        <f>AW575*BC575</f>
        <v/>
      </c>
    </row>
    <row r="576">
      <c r="A576" s="27">
        <f>A575+1</f>
        <v/>
      </c>
      <c r="B576" s="28">
        <f>Duration0+A576</f>
        <v/>
      </c>
      <c r="C576" s="27">
        <f>INT(B576/12)</f>
        <v/>
      </c>
      <c r="D576" s="28">
        <f>AgeAtEntry+C576</f>
        <v/>
      </c>
      <c r="E576" s="29">
        <f>IF(PremiumType="SINGLE",IF(B576=0,PremiumPPInput,0),IF(B576&lt;12*PolicyTerm,PremiumPPInput,0))</f>
        <v/>
      </c>
      <c r="F576" s="30">
        <f>INDEX(MortRates,MATCH(MIN(D576,120),MortAges,0),MAX(MIN(C576,5),0)+1)</f>
        <v/>
      </c>
      <c r="G576" s="31">
        <f>1-(1-F576)^(1/12)</f>
        <v/>
      </c>
      <c r="H576" s="32">
        <f>MAX(LapseBase-LapseStep*C576,LapseFloor)</f>
        <v/>
      </c>
      <c r="I576" s="32">
        <f>IF(HasSurrCharge,INDEX(SurrRates,MIN(C576,SurrDurMax)+1,MATCH(SurrChargeID,SurrTypes,0)),0)</f>
        <v/>
      </c>
      <c r="J576" s="33">
        <f>N575-P575-O575</f>
        <v/>
      </c>
      <c r="K576" s="30">
        <f>IF(B576=12*PolicyTerm,J576,0)</f>
        <v/>
      </c>
      <c r="L576" s="33">
        <f>J576-K576</f>
        <v/>
      </c>
      <c r="M576" s="30">
        <f>IF(B576=0,PolicyCount,0)</f>
        <v/>
      </c>
      <c r="N576" s="33">
        <f>L576+M576</f>
        <v/>
      </c>
      <c r="O576" s="31">
        <f>N576*G576</f>
        <v/>
      </c>
      <c r="P576" s="33">
        <f>(N576-O576)*(1-(1-H576)^(1/12))</f>
        <v/>
      </c>
      <c r="Q576" s="34">
        <f>X575+Z575</f>
        <v/>
      </c>
      <c r="R576" s="29">
        <f>(1-LoadPremRate)*E576</f>
        <v/>
      </c>
      <c r="S576" s="34">
        <f>Q576+R576</f>
        <v/>
      </c>
      <c r="T576" s="29">
        <f>MaintFeeRateAnn/12*S576</f>
        <v/>
      </c>
      <c r="U576" s="29">
        <f>MAX(SumAssured-S576,0)</f>
        <v/>
      </c>
      <c r="V576" s="35">
        <f>CoiMultiple*G576</f>
        <v/>
      </c>
      <c r="W576" s="34">
        <f>V576*U576</f>
        <v/>
      </c>
      <c r="X576" s="34">
        <f>S576-T576-W576</f>
        <v/>
      </c>
      <c r="Y576" s="36">
        <f>EXP((Mu-0.5*Sigma^2)/12+Sigma*SQRT(1/12)*INDEX(NormRand,ScenID,A576+1))-1</f>
        <v/>
      </c>
      <c r="Z576" s="34">
        <f>Y576*X576</f>
        <v/>
      </c>
      <c r="AA576" s="34">
        <f>X576+0.5*Z576</f>
        <v/>
      </c>
      <c r="AB576" s="34">
        <f>Q576*J576</f>
        <v/>
      </c>
      <c r="AC576" s="34">
        <f>Q576*L576</f>
        <v/>
      </c>
      <c r="AD576" s="34">
        <f>S576*N576</f>
        <v/>
      </c>
      <c r="AE576" s="34">
        <f>E576*N576</f>
        <v/>
      </c>
      <c r="AF576" s="34">
        <f>R576*N576</f>
        <v/>
      </c>
      <c r="AG576" s="29">
        <f>MAX(SumAssured,AA576)</f>
        <v/>
      </c>
      <c r="AH576" s="34">
        <f>AG576*O576</f>
        <v/>
      </c>
      <c r="AI576" s="34">
        <f>AA576*O576</f>
        <v/>
      </c>
      <c r="AJ576" s="34">
        <f>AA576*P576</f>
        <v/>
      </c>
      <c r="AK576" s="34">
        <f>I576*AA576*P576</f>
        <v/>
      </c>
      <c r="AL576" s="34">
        <f>AJ576-AK576</f>
        <v/>
      </c>
      <c r="AM576" s="34">
        <f>Q576*K576</f>
        <v/>
      </c>
      <c r="AN576" s="34">
        <f>AH576+AL576+AM576</f>
        <v/>
      </c>
      <c r="AO576" s="34">
        <f>(AG576-AA576)*O576</f>
        <v/>
      </c>
      <c r="AP576" s="34">
        <f>W576*N576</f>
        <v/>
      </c>
      <c r="AQ576" s="34">
        <f>T576*N576</f>
        <v/>
      </c>
      <c r="AR576" s="34">
        <f>Z576*J577+0.5*Z576*(O576+P576)</f>
        <v/>
      </c>
      <c r="AS576" s="30">
        <f>(1+InflationRate)^(A576/12)</f>
        <v/>
      </c>
      <c r="AT576" s="29">
        <f>ExpenseAcq*M576+N576*ExpenseMaint/12*AS576</f>
        <v/>
      </c>
      <c r="AU576" s="29">
        <f>CommissionRate*AE576</f>
        <v/>
      </c>
      <c r="AV576" s="34">
        <f>AB577-AB576</f>
        <v/>
      </c>
      <c r="AW576" s="34">
        <f>AE576+AR576-AN576-AT576-AU576-AV576</f>
        <v/>
      </c>
      <c r="AX576" s="29">
        <f>LoadPremRate*E576*N576+AK576+AQ576-AU576-AT576</f>
        <v/>
      </c>
      <c r="AY576" s="34">
        <f>AP576-AO576</f>
        <v/>
      </c>
      <c r="AZ576" s="37">
        <f>(AW576-AX576-AY576)/MAX(1,ABS(AW576),ABS(AX576),ABS(AY576))</f>
        <v/>
      </c>
      <c r="BA576" s="37">
        <f>IF(OR(K576&gt;0,K577&gt;0),0,(AC577-(AC576+AF576-AQ576-AP576+AR576-AI576-AJ576-AM576))/MAX(1,ABS(AC576),ABS(AC577)))</f>
        <v/>
      </c>
      <c r="BB576" s="35">
        <f>(1+INDEX(DiscRateAnn,INT(A576/12)+1))^(1/12)-1</f>
        <v/>
      </c>
      <c r="BC576" s="31">
        <f>(1+BB576)^-A576</f>
        <v/>
      </c>
      <c r="BD576" s="34">
        <f>AW576*BC576</f>
        <v/>
      </c>
    </row>
    <row r="577">
      <c r="A577" s="27">
        <f>A576+1</f>
        <v/>
      </c>
      <c r="B577" s="28">
        <f>Duration0+A577</f>
        <v/>
      </c>
      <c r="C577" s="27">
        <f>INT(B577/12)</f>
        <v/>
      </c>
      <c r="D577" s="28">
        <f>AgeAtEntry+C577</f>
        <v/>
      </c>
      <c r="E577" s="29">
        <f>IF(PremiumType="SINGLE",IF(B577=0,PremiumPPInput,0),IF(B577&lt;12*PolicyTerm,PremiumPPInput,0))</f>
        <v/>
      </c>
      <c r="F577" s="30">
        <f>INDEX(MortRates,MATCH(MIN(D577,120),MortAges,0),MAX(MIN(C577,5),0)+1)</f>
        <v/>
      </c>
      <c r="G577" s="31">
        <f>1-(1-F577)^(1/12)</f>
        <v/>
      </c>
      <c r="H577" s="32">
        <f>MAX(LapseBase-LapseStep*C577,LapseFloor)</f>
        <v/>
      </c>
      <c r="I577" s="32">
        <f>IF(HasSurrCharge,INDEX(SurrRates,MIN(C577,SurrDurMax)+1,MATCH(SurrChargeID,SurrTypes,0)),0)</f>
        <v/>
      </c>
      <c r="J577" s="33">
        <f>N576-P576-O576</f>
        <v/>
      </c>
      <c r="K577" s="30">
        <f>IF(B577=12*PolicyTerm,J577,0)</f>
        <v/>
      </c>
      <c r="L577" s="33">
        <f>J577-K577</f>
        <v/>
      </c>
      <c r="M577" s="30">
        <f>IF(B577=0,PolicyCount,0)</f>
        <v/>
      </c>
      <c r="N577" s="33">
        <f>L577+M577</f>
        <v/>
      </c>
      <c r="O577" s="31">
        <f>N577*G577</f>
        <v/>
      </c>
      <c r="P577" s="33">
        <f>(N577-O577)*(1-(1-H577)^(1/12))</f>
        <v/>
      </c>
      <c r="Q577" s="34">
        <f>X576+Z576</f>
        <v/>
      </c>
      <c r="R577" s="29">
        <f>(1-LoadPremRate)*E577</f>
        <v/>
      </c>
      <c r="S577" s="34">
        <f>Q577+R577</f>
        <v/>
      </c>
      <c r="T577" s="29">
        <f>MaintFeeRateAnn/12*S577</f>
        <v/>
      </c>
      <c r="U577" s="29">
        <f>MAX(SumAssured-S577,0)</f>
        <v/>
      </c>
      <c r="V577" s="35">
        <f>CoiMultiple*G577</f>
        <v/>
      </c>
      <c r="W577" s="34">
        <f>V577*U577</f>
        <v/>
      </c>
      <c r="X577" s="34">
        <f>S577-T577-W577</f>
        <v/>
      </c>
      <c r="Y577" s="36">
        <f>EXP((Mu-0.5*Sigma^2)/12+Sigma*SQRT(1/12)*INDEX(NormRand,ScenID,A577+1))-1</f>
        <v/>
      </c>
      <c r="Z577" s="34">
        <f>Y577*X577</f>
        <v/>
      </c>
      <c r="AA577" s="34">
        <f>X577+0.5*Z577</f>
        <v/>
      </c>
      <c r="AB577" s="34">
        <f>Q577*J577</f>
        <v/>
      </c>
      <c r="AC577" s="34">
        <f>Q577*L577</f>
        <v/>
      </c>
      <c r="AD577" s="34">
        <f>S577*N577</f>
        <v/>
      </c>
      <c r="AE577" s="34">
        <f>E577*N577</f>
        <v/>
      </c>
      <c r="AF577" s="34">
        <f>R577*N577</f>
        <v/>
      </c>
      <c r="AG577" s="29">
        <f>MAX(SumAssured,AA577)</f>
        <v/>
      </c>
      <c r="AH577" s="34">
        <f>AG577*O577</f>
        <v/>
      </c>
      <c r="AI577" s="34">
        <f>AA577*O577</f>
        <v/>
      </c>
      <c r="AJ577" s="34">
        <f>AA577*P577</f>
        <v/>
      </c>
      <c r="AK577" s="34">
        <f>I577*AA577*P577</f>
        <v/>
      </c>
      <c r="AL577" s="34">
        <f>AJ577-AK577</f>
        <v/>
      </c>
      <c r="AM577" s="34">
        <f>Q577*K577</f>
        <v/>
      </c>
      <c r="AN577" s="34">
        <f>AH577+AL577+AM577</f>
        <v/>
      </c>
      <c r="AO577" s="34">
        <f>(AG577-AA577)*O577</f>
        <v/>
      </c>
      <c r="AP577" s="34">
        <f>W577*N577</f>
        <v/>
      </c>
      <c r="AQ577" s="34">
        <f>T577*N577</f>
        <v/>
      </c>
      <c r="AR577" s="34">
        <f>Z577*J578+0.5*Z577*(O577+P577)</f>
        <v/>
      </c>
      <c r="AS577" s="30">
        <f>(1+InflationRate)^(A577/12)</f>
        <v/>
      </c>
      <c r="AT577" s="29">
        <f>ExpenseAcq*M577+N577*ExpenseMaint/12*AS577</f>
        <v/>
      </c>
      <c r="AU577" s="29">
        <f>CommissionRate*AE577</f>
        <v/>
      </c>
      <c r="AV577" s="34">
        <f>AB578-AB577</f>
        <v/>
      </c>
      <c r="AW577" s="34">
        <f>AE577+AR577-AN577-AT577-AU577-AV577</f>
        <v/>
      </c>
      <c r="AX577" s="29">
        <f>LoadPremRate*E577*N577+AK577+AQ577-AU577-AT577</f>
        <v/>
      </c>
      <c r="AY577" s="34">
        <f>AP577-AO577</f>
        <v/>
      </c>
      <c r="AZ577" s="37">
        <f>(AW577-AX577-AY577)/MAX(1,ABS(AW577),ABS(AX577),ABS(AY577))</f>
        <v/>
      </c>
      <c r="BA577" s="37">
        <f>IF(OR(K577&gt;0,K578&gt;0),0,(AC578-(AC577+AF577-AQ577-AP577+AR577-AI577-AJ577-AM577))/MAX(1,ABS(AC577),ABS(AC578)))</f>
        <v/>
      </c>
      <c r="BB577" s="35">
        <f>(1+INDEX(DiscRateAnn,INT(A577/12)+1))^(1/12)-1</f>
        <v/>
      </c>
      <c r="BC577" s="31">
        <f>(1+BB577)^-A577</f>
        <v/>
      </c>
      <c r="BD577" s="34">
        <f>AW577*BC577</f>
        <v/>
      </c>
    </row>
    <row r="578">
      <c r="A578" s="27">
        <f>A577+1</f>
        <v/>
      </c>
      <c r="B578" s="28">
        <f>Duration0+A578</f>
        <v/>
      </c>
      <c r="C578" s="27">
        <f>INT(B578/12)</f>
        <v/>
      </c>
      <c r="D578" s="28">
        <f>AgeAtEntry+C578</f>
        <v/>
      </c>
      <c r="E578" s="29">
        <f>IF(PremiumType="SINGLE",IF(B578=0,PremiumPPInput,0),IF(B578&lt;12*PolicyTerm,PremiumPPInput,0))</f>
        <v/>
      </c>
      <c r="F578" s="30">
        <f>INDEX(MortRates,MATCH(MIN(D578,120),MortAges,0),MAX(MIN(C578,5),0)+1)</f>
        <v/>
      </c>
      <c r="G578" s="31">
        <f>1-(1-F578)^(1/12)</f>
        <v/>
      </c>
      <c r="H578" s="32">
        <f>MAX(LapseBase-LapseStep*C578,LapseFloor)</f>
        <v/>
      </c>
      <c r="I578" s="32">
        <f>IF(HasSurrCharge,INDEX(SurrRates,MIN(C578,SurrDurMax)+1,MATCH(SurrChargeID,SurrTypes,0)),0)</f>
        <v/>
      </c>
      <c r="J578" s="33">
        <f>N577-P577-O577</f>
        <v/>
      </c>
      <c r="K578" s="30">
        <f>IF(B578=12*PolicyTerm,J578,0)</f>
        <v/>
      </c>
      <c r="L578" s="33">
        <f>J578-K578</f>
        <v/>
      </c>
      <c r="M578" s="30">
        <f>IF(B578=0,PolicyCount,0)</f>
        <v/>
      </c>
      <c r="N578" s="33">
        <f>L578+M578</f>
        <v/>
      </c>
      <c r="O578" s="31">
        <f>N578*G578</f>
        <v/>
      </c>
      <c r="P578" s="33">
        <f>(N578-O578)*(1-(1-H578)^(1/12))</f>
        <v/>
      </c>
      <c r="Q578" s="34">
        <f>X577+Z577</f>
        <v/>
      </c>
      <c r="R578" s="29">
        <f>(1-LoadPremRate)*E578</f>
        <v/>
      </c>
      <c r="S578" s="34">
        <f>Q578+R578</f>
        <v/>
      </c>
      <c r="T578" s="29">
        <f>MaintFeeRateAnn/12*S578</f>
        <v/>
      </c>
      <c r="U578" s="29">
        <f>MAX(SumAssured-S578,0)</f>
        <v/>
      </c>
      <c r="V578" s="35">
        <f>CoiMultiple*G578</f>
        <v/>
      </c>
      <c r="W578" s="34">
        <f>V578*U578</f>
        <v/>
      </c>
      <c r="X578" s="34">
        <f>S578-T578-W578</f>
        <v/>
      </c>
      <c r="Y578" s="36">
        <f>EXP((Mu-0.5*Sigma^2)/12+Sigma*SQRT(1/12)*INDEX(NormRand,ScenID,A578+1))-1</f>
        <v/>
      </c>
      <c r="Z578" s="34">
        <f>Y578*X578</f>
        <v/>
      </c>
      <c r="AA578" s="34">
        <f>X578+0.5*Z578</f>
        <v/>
      </c>
      <c r="AB578" s="34">
        <f>Q578*J578</f>
        <v/>
      </c>
      <c r="AC578" s="34">
        <f>Q578*L578</f>
        <v/>
      </c>
      <c r="AD578" s="34">
        <f>S578*N578</f>
        <v/>
      </c>
      <c r="AE578" s="34">
        <f>E578*N578</f>
        <v/>
      </c>
      <c r="AF578" s="34">
        <f>R578*N578</f>
        <v/>
      </c>
      <c r="AG578" s="29">
        <f>MAX(SumAssured,AA578)</f>
        <v/>
      </c>
      <c r="AH578" s="34">
        <f>AG578*O578</f>
        <v/>
      </c>
      <c r="AI578" s="34">
        <f>AA578*O578</f>
        <v/>
      </c>
      <c r="AJ578" s="34">
        <f>AA578*P578</f>
        <v/>
      </c>
      <c r="AK578" s="34">
        <f>I578*AA578*P578</f>
        <v/>
      </c>
      <c r="AL578" s="34">
        <f>AJ578-AK578</f>
        <v/>
      </c>
      <c r="AM578" s="34">
        <f>Q578*K578</f>
        <v/>
      </c>
      <c r="AN578" s="34">
        <f>AH578+AL578+AM578</f>
        <v/>
      </c>
      <c r="AO578" s="34">
        <f>(AG578-AA578)*O578</f>
        <v/>
      </c>
      <c r="AP578" s="34">
        <f>W578*N578</f>
        <v/>
      </c>
      <c r="AQ578" s="34">
        <f>T578*N578</f>
        <v/>
      </c>
      <c r="AR578" s="34">
        <f>Z578*J579+0.5*Z578*(O578+P578)</f>
        <v/>
      </c>
      <c r="AS578" s="30">
        <f>(1+InflationRate)^(A578/12)</f>
        <v/>
      </c>
      <c r="AT578" s="29">
        <f>ExpenseAcq*M578+N578*ExpenseMaint/12*AS578</f>
        <v/>
      </c>
      <c r="AU578" s="29">
        <f>CommissionRate*AE578</f>
        <v/>
      </c>
      <c r="AV578" s="34">
        <f>AB579-AB578</f>
        <v/>
      </c>
      <c r="AW578" s="34">
        <f>AE578+AR578-AN578-AT578-AU578-AV578</f>
        <v/>
      </c>
      <c r="AX578" s="29">
        <f>LoadPremRate*E578*N578+AK578+AQ578-AU578-AT578</f>
        <v/>
      </c>
      <c r="AY578" s="34">
        <f>AP578-AO578</f>
        <v/>
      </c>
      <c r="AZ578" s="37">
        <f>(AW578-AX578-AY578)/MAX(1,ABS(AW578),ABS(AX578),ABS(AY578))</f>
        <v/>
      </c>
      <c r="BA578" s="37">
        <f>IF(OR(K578&gt;0,K579&gt;0),0,(AC579-(AC578+AF578-AQ578-AP578+AR578-AI578-AJ578-AM578))/MAX(1,ABS(AC578),ABS(AC579)))</f>
        <v/>
      </c>
      <c r="BB578" s="35">
        <f>(1+INDEX(DiscRateAnn,INT(A578/12)+1))^(1/12)-1</f>
        <v/>
      </c>
      <c r="BC578" s="31">
        <f>(1+BB578)^-A578</f>
        <v/>
      </c>
      <c r="BD578" s="34">
        <f>AW578*BC578</f>
        <v/>
      </c>
    </row>
    <row r="579">
      <c r="A579" s="27">
        <f>A578+1</f>
        <v/>
      </c>
      <c r="B579" s="28">
        <f>Duration0+A579</f>
        <v/>
      </c>
      <c r="C579" s="27">
        <f>INT(B579/12)</f>
        <v/>
      </c>
      <c r="D579" s="28">
        <f>AgeAtEntry+C579</f>
        <v/>
      </c>
      <c r="E579" s="29">
        <f>IF(PremiumType="SINGLE",IF(B579=0,PremiumPPInput,0),IF(B579&lt;12*PolicyTerm,PremiumPPInput,0))</f>
        <v/>
      </c>
      <c r="F579" s="30">
        <f>INDEX(MortRates,MATCH(MIN(D579,120),MortAges,0),MAX(MIN(C579,5),0)+1)</f>
        <v/>
      </c>
      <c r="G579" s="31">
        <f>1-(1-F579)^(1/12)</f>
        <v/>
      </c>
      <c r="H579" s="32">
        <f>MAX(LapseBase-LapseStep*C579,LapseFloor)</f>
        <v/>
      </c>
      <c r="I579" s="32">
        <f>IF(HasSurrCharge,INDEX(SurrRates,MIN(C579,SurrDurMax)+1,MATCH(SurrChargeID,SurrTypes,0)),0)</f>
        <v/>
      </c>
      <c r="J579" s="33">
        <f>N578-P578-O578</f>
        <v/>
      </c>
      <c r="K579" s="30">
        <f>IF(B579=12*PolicyTerm,J579,0)</f>
        <v/>
      </c>
      <c r="L579" s="33">
        <f>J579-K579</f>
        <v/>
      </c>
      <c r="M579" s="30">
        <f>IF(B579=0,PolicyCount,0)</f>
        <v/>
      </c>
      <c r="N579" s="33">
        <f>L579+M579</f>
        <v/>
      </c>
      <c r="O579" s="31">
        <f>N579*G579</f>
        <v/>
      </c>
      <c r="P579" s="33">
        <f>(N579-O579)*(1-(1-H579)^(1/12))</f>
        <v/>
      </c>
      <c r="Q579" s="34">
        <f>X578+Z578</f>
        <v/>
      </c>
      <c r="R579" s="29">
        <f>(1-LoadPremRate)*E579</f>
        <v/>
      </c>
      <c r="S579" s="34">
        <f>Q579+R579</f>
        <v/>
      </c>
      <c r="T579" s="29">
        <f>MaintFeeRateAnn/12*S579</f>
        <v/>
      </c>
      <c r="U579" s="29">
        <f>MAX(SumAssured-S579,0)</f>
        <v/>
      </c>
      <c r="V579" s="35">
        <f>CoiMultiple*G579</f>
        <v/>
      </c>
      <c r="W579" s="34">
        <f>V579*U579</f>
        <v/>
      </c>
      <c r="X579" s="34">
        <f>S579-T579-W579</f>
        <v/>
      </c>
      <c r="Y579" s="36">
        <f>EXP((Mu-0.5*Sigma^2)/12+Sigma*SQRT(1/12)*INDEX(NormRand,ScenID,A579+1))-1</f>
        <v/>
      </c>
      <c r="Z579" s="34">
        <f>Y579*X579</f>
        <v/>
      </c>
      <c r="AA579" s="34">
        <f>X579+0.5*Z579</f>
        <v/>
      </c>
      <c r="AB579" s="34">
        <f>Q579*J579</f>
        <v/>
      </c>
      <c r="AC579" s="34">
        <f>Q579*L579</f>
        <v/>
      </c>
      <c r="AD579" s="34">
        <f>S579*N579</f>
        <v/>
      </c>
      <c r="AE579" s="34">
        <f>E579*N579</f>
        <v/>
      </c>
      <c r="AF579" s="34">
        <f>R579*N579</f>
        <v/>
      </c>
      <c r="AG579" s="29">
        <f>MAX(SumAssured,AA579)</f>
        <v/>
      </c>
      <c r="AH579" s="34">
        <f>AG579*O579</f>
        <v/>
      </c>
      <c r="AI579" s="34">
        <f>AA579*O579</f>
        <v/>
      </c>
      <c r="AJ579" s="34">
        <f>AA579*P579</f>
        <v/>
      </c>
      <c r="AK579" s="34">
        <f>I579*AA579*P579</f>
        <v/>
      </c>
      <c r="AL579" s="34">
        <f>AJ579-AK579</f>
        <v/>
      </c>
      <c r="AM579" s="34">
        <f>Q579*K579</f>
        <v/>
      </c>
      <c r="AN579" s="34">
        <f>AH579+AL579+AM579</f>
        <v/>
      </c>
      <c r="AO579" s="34">
        <f>(AG579-AA579)*O579</f>
        <v/>
      </c>
      <c r="AP579" s="34">
        <f>W579*N579</f>
        <v/>
      </c>
      <c r="AQ579" s="34">
        <f>T579*N579</f>
        <v/>
      </c>
      <c r="AR579" s="34">
        <f>Z579*J580+0.5*Z579*(O579+P579)</f>
        <v/>
      </c>
      <c r="AS579" s="30">
        <f>(1+InflationRate)^(A579/12)</f>
        <v/>
      </c>
      <c r="AT579" s="29">
        <f>ExpenseAcq*M579+N579*ExpenseMaint/12*AS579</f>
        <v/>
      </c>
      <c r="AU579" s="29">
        <f>CommissionRate*AE579</f>
        <v/>
      </c>
      <c r="AV579" s="34">
        <f>AB580-AB579</f>
        <v/>
      </c>
      <c r="AW579" s="34">
        <f>AE579+AR579-AN579-AT579-AU579-AV579</f>
        <v/>
      </c>
      <c r="AX579" s="29">
        <f>LoadPremRate*E579*N579+AK579+AQ579-AU579-AT579</f>
        <v/>
      </c>
      <c r="AY579" s="34">
        <f>AP579-AO579</f>
        <v/>
      </c>
      <c r="AZ579" s="37">
        <f>(AW579-AX579-AY579)/MAX(1,ABS(AW579),ABS(AX579),ABS(AY579))</f>
        <v/>
      </c>
      <c r="BA579" s="37">
        <f>IF(OR(K579&gt;0,K580&gt;0),0,(AC580-(AC579+AF579-AQ579-AP579+AR579-AI579-AJ579-AM579))/MAX(1,ABS(AC579),ABS(AC580)))</f>
        <v/>
      </c>
      <c r="BB579" s="35">
        <f>(1+INDEX(DiscRateAnn,INT(A579/12)+1))^(1/12)-1</f>
        <v/>
      </c>
      <c r="BC579" s="31">
        <f>(1+BB579)^-A579</f>
        <v/>
      </c>
      <c r="BD579" s="34">
        <f>AW579*BC579</f>
        <v/>
      </c>
    </row>
    <row r="580">
      <c r="A580" s="27">
        <f>A579+1</f>
        <v/>
      </c>
      <c r="B580" s="28">
        <f>Duration0+A580</f>
        <v/>
      </c>
      <c r="C580" s="27">
        <f>INT(B580/12)</f>
        <v/>
      </c>
      <c r="D580" s="28">
        <f>AgeAtEntry+C580</f>
        <v/>
      </c>
      <c r="E580" s="29">
        <f>IF(PremiumType="SINGLE",IF(B580=0,PremiumPPInput,0),IF(B580&lt;12*PolicyTerm,PremiumPPInput,0))</f>
        <v/>
      </c>
      <c r="F580" s="30">
        <f>INDEX(MortRates,MATCH(MIN(D580,120),MortAges,0),MAX(MIN(C580,5),0)+1)</f>
        <v/>
      </c>
      <c r="G580" s="31">
        <f>1-(1-F580)^(1/12)</f>
        <v/>
      </c>
      <c r="H580" s="32">
        <f>MAX(LapseBase-LapseStep*C580,LapseFloor)</f>
        <v/>
      </c>
      <c r="I580" s="32">
        <f>IF(HasSurrCharge,INDEX(SurrRates,MIN(C580,SurrDurMax)+1,MATCH(SurrChargeID,SurrTypes,0)),0)</f>
        <v/>
      </c>
      <c r="J580" s="33">
        <f>N579-P579-O579</f>
        <v/>
      </c>
      <c r="K580" s="30">
        <f>IF(B580=12*PolicyTerm,J580,0)</f>
        <v/>
      </c>
      <c r="L580" s="33">
        <f>J580-K580</f>
        <v/>
      </c>
      <c r="M580" s="30">
        <f>IF(B580=0,PolicyCount,0)</f>
        <v/>
      </c>
      <c r="N580" s="33">
        <f>L580+M580</f>
        <v/>
      </c>
      <c r="O580" s="31">
        <f>N580*G580</f>
        <v/>
      </c>
      <c r="P580" s="33">
        <f>(N580-O580)*(1-(1-H580)^(1/12))</f>
        <v/>
      </c>
      <c r="Q580" s="34">
        <f>X579+Z579</f>
        <v/>
      </c>
      <c r="R580" s="29">
        <f>(1-LoadPremRate)*E580</f>
        <v/>
      </c>
      <c r="S580" s="34">
        <f>Q580+R580</f>
        <v/>
      </c>
      <c r="T580" s="29">
        <f>MaintFeeRateAnn/12*S580</f>
        <v/>
      </c>
      <c r="U580" s="29">
        <f>MAX(SumAssured-S580,0)</f>
        <v/>
      </c>
      <c r="V580" s="35">
        <f>CoiMultiple*G580</f>
        <v/>
      </c>
      <c r="W580" s="34">
        <f>V580*U580</f>
        <v/>
      </c>
      <c r="X580" s="34">
        <f>S580-T580-W580</f>
        <v/>
      </c>
      <c r="Y580" s="36">
        <f>EXP((Mu-0.5*Sigma^2)/12+Sigma*SQRT(1/12)*INDEX(NormRand,ScenID,A580+1))-1</f>
        <v/>
      </c>
      <c r="Z580" s="34">
        <f>Y580*X580</f>
        <v/>
      </c>
      <c r="AA580" s="34">
        <f>X580+0.5*Z580</f>
        <v/>
      </c>
      <c r="AB580" s="34">
        <f>Q580*J580</f>
        <v/>
      </c>
      <c r="AC580" s="34">
        <f>Q580*L580</f>
        <v/>
      </c>
      <c r="AD580" s="34">
        <f>S580*N580</f>
        <v/>
      </c>
      <c r="AE580" s="34">
        <f>E580*N580</f>
        <v/>
      </c>
      <c r="AF580" s="34">
        <f>R580*N580</f>
        <v/>
      </c>
      <c r="AG580" s="29">
        <f>MAX(SumAssured,AA580)</f>
        <v/>
      </c>
      <c r="AH580" s="34">
        <f>AG580*O580</f>
        <v/>
      </c>
      <c r="AI580" s="34">
        <f>AA580*O580</f>
        <v/>
      </c>
      <c r="AJ580" s="34">
        <f>AA580*P580</f>
        <v/>
      </c>
      <c r="AK580" s="34">
        <f>I580*AA580*P580</f>
        <v/>
      </c>
      <c r="AL580" s="34">
        <f>AJ580-AK580</f>
        <v/>
      </c>
      <c r="AM580" s="34">
        <f>Q580*K580</f>
        <v/>
      </c>
      <c r="AN580" s="34">
        <f>AH580+AL580+AM580</f>
        <v/>
      </c>
      <c r="AO580" s="34">
        <f>(AG580-AA580)*O580</f>
        <v/>
      </c>
      <c r="AP580" s="34">
        <f>W580*N580</f>
        <v/>
      </c>
      <c r="AQ580" s="34">
        <f>T580*N580</f>
        <v/>
      </c>
      <c r="AR580" s="34">
        <f>Z580*J581+0.5*Z580*(O580+P580)</f>
        <v/>
      </c>
      <c r="AS580" s="30">
        <f>(1+InflationRate)^(A580/12)</f>
        <v/>
      </c>
      <c r="AT580" s="29">
        <f>ExpenseAcq*M580+N580*ExpenseMaint/12*AS580</f>
        <v/>
      </c>
      <c r="AU580" s="29">
        <f>CommissionRate*AE580</f>
        <v/>
      </c>
      <c r="AV580" s="34">
        <f>AB581-AB580</f>
        <v/>
      </c>
      <c r="AW580" s="34">
        <f>AE580+AR580-AN580-AT580-AU580-AV580</f>
        <v/>
      </c>
      <c r="AX580" s="29">
        <f>LoadPremRate*E580*N580+AK580+AQ580-AU580-AT580</f>
        <v/>
      </c>
      <c r="AY580" s="34">
        <f>AP580-AO580</f>
        <v/>
      </c>
      <c r="AZ580" s="37">
        <f>(AW580-AX580-AY580)/MAX(1,ABS(AW580),ABS(AX580),ABS(AY580))</f>
        <v/>
      </c>
      <c r="BA580" s="37">
        <f>IF(OR(K580&gt;0,K581&gt;0),0,(AC581-(AC580+AF580-AQ580-AP580+AR580-AI580-AJ580-AM580))/MAX(1,ABS(AC580),ABS(AC581)))</f>
        <v/>
      </c>
      <c r="BB580" s="35">
        <f>(1+INDEX(DiscRateAnn,INT(A580/12)+1))^(1/12)-1</f>
        <v/>
      </c>
      <c r="BC580" s="31">
        <f>(1+BB580)^-A580</f>
        <v/>
      </c>
      <c r="BD580" s="34">
        <f>AW580*BC580</f>
        <v/>
      </c>
    </row>
    <row r="581">
      <c r="A581" s="27">
        <f>A580+1</f>
        <v/>
      </c>
      <c r="B581" s="28">
        <f>Duration0+A581</f>
        <v/>
      </c>
      <c r="C581" s="27">
        <f>INT(B581/12)</f>
        <v/>
      </c>
      <c r="D581" s="28">
        <f>AgeAtEntry+C581</f>
        <v/>
      </c>
      <c r="E581" s="29">
        <f>IF(PremiumType="SINGLE",IF(B581=0,PremiumPPInput,0),IF(B581&lt;12*PolicyTerm,PremiumPPInput,0))</f>
        <v/>
      </c>
      <c r="F581" s="30">
        <f>INDEX(MortRates,MATCH(MIN(D581,120),MortAges,0),MAX(MIN(C581,5),0)+1)</f>
        <v/>
      </c>
      <c r="G581" s="31">
        <f>1-(1-F581)^(1/12)</f>
        <v/>
      </c>
      <c r="H581" s="32">
        <f>MAX(LapseBase-LapseStep*C581,LapseFloor)</f>
        <v/>
      </c>
      <c r="I581" s="32">
        <f>IF(HasSurrCharge,INDEX(SurrRates,MIN(C581,SurrDurMax)+1,MATCH(SurrChargeID,SurrTypes,0)),0)</f>
        <v/>
      </c>
      <c r="J581" s="33">
        <f>N580-P580-O580</f>
        <v/>
      </c>
      <c r="K581" s="30">
        <f>IF(B581=12*PolicyTerm,J581,0)</f>
        <v/>
      </c>
      <c r="L581" s="33">
        <f>J581-K581</f>
        <v/>
      </c>
      <c r="M581" s="30">
        <f>IF(B581=0,PolicyCount,0)</f>
        <v/>
      </c>
      <c r="N581" s="33">
        <f>L581+M581</f>
        <v/>
      </c>
      <c r="O581" s="31">
        <f>N581*G581</f>
        <v/>
      </c>
      <c r="P581" s="33">
        <f>(N581-O581)*(1-(1-H581)^(1/12))</f>
        <v/>
      </c>
      <c r="Q581" s="34">
        <f>X580+Z580</f>
        <v/>
      </c>
      <c r="R581" s="29">
        <f>(1-LoadPremRate)*E581</f>
        <v/>
      </c>
      <c r="S581" s="34">
        <f>Q581+R581</f>
        <v/>
      </c>
      <c r="T581" s="29">
        <f>MaintFeeRateAnn/12*S581</f>
        <v/>
      </c>
      <c r="U581" s="29">
        <f>MAX(SumAssured-S581,0)</f>
        <v/>
      </c>
      <c r="V581" s="35">
        <f>CoiMultiple*G581</f>
        <v/>
      </c>
      <c r="W581" s="34">
        <f>V581*U581</f>
        <v/>
      </c>
      <c r="X581" s="34">
        <f>S581-T581-W581</f>
        <v/>
      </c>
      <c r="Y581" s="36">
        <f>EXP((Mu-0.5*Sigma^2)/12+Sigma*SQRT(1/12)*INDEX(NormRand,ScenID,A581+1))-1</f>
        <v/>
      </c>
      <c r="Z581" s="34">
        <f>Y581*X581</f>
        <v/>
      </c>
      <c r="AA581" s="34">
        <f>X581+0.5*Z581</f>
        <v/>
      </c>
      <c r="AB581" s="34">
        <f>Q581*J581</f>
        <v/>
      </c>
      <c r="AC581" s="34">
        <f>Q581*L581</f>
        <v/>
      </c>
      <c r="AD581" s="34">
        <f>S581*N581</f>
        <v/>
      </c>
      <c r="AE581" s="34">
        <f>E581*N581</f>
        <v/>
      </c>
      <c r="AF581" s="34">
        <f>R581*N581</f>
        <v/>
      </c>
      <c r="AG581" s="29">
        <f>MAX(SumAssured,AA581)</f>
        <v/>
      </c>
      <c r="AH581" s="34">
        <f>AG581*O581</f>
        <v/>
      </c>
      <c r="AI581" s="34">
        <f>AA581*O581</f>
        <v/>
      </c>
      <c r="AJ581" s="34">
        <f>AA581*P581</f>
        <v/>
      </c>
      <c r="AK581" s="34">
        <f>I581*AA581*P581</f>
        <v/>
      </c>
      <c r="AL581" s="34">
        <f>AJ581-AK581</f>
        <v/>
      </c>
      <c r="AM581" s="34">
        <f>Q581*K581</f>
        <v/>
      </c>
      <c r="AN581" s="34">
        <f>AH581+AL581+AM581</f>
        <v/>
      </c>
      <c r="AO581" s="34">
        <f>(AG581-AA581)*O581</f>
        <v/>
      </c>
      <c r="AP581" s="34">
        <f>W581*N581</f>
        <v/>
      </c>
      <c r="AQ581" s="34">
        <f>T581*N581</f>
        <v/>
      </c>
      <c r="AR581" s="34">
        <f>Z581*J582+0.5*Z581*(O581+P581)</f>
        <v/>
      </c>
      <c r="AS581" s="30">
        <f>(1+InflationRate)^(A581/12)</f>
        <v/>
      </c>
      <c r="AT581" s="29">
        <f>ExpenseAcq*M581+N581*ExpenseMaint/12*AS581</f>
        <v/>
      </c>
      <c r="AU581" s="29">
        <f>CommissionRate*AE581</f>
        <v/>
      </c>
      <c r="AV581" s="34">
        <f>AB582-AB581</f>
        <v/>
      </c>
      <c r="AW581" s="34">
        <f>AE581+AR581-AN581-AT581-AU581-AV581</f>
        <v/>
      </c>
      <c r="AX581" s="29">
        <f>LoadPremRate*E581*N581+AK581+AQ581-AU581-AT581</f>
        <v/>
      </c>
      <c r="AY581" s="34">
        <f>AP581-AO581</f>
        <v/>
      </c>
      <c r="AZ581" s="37">
        <f>(AW581-AX581-AY581)/MAX(1,ABS(AW581),ABS(AX581),ABS(AY581))</f>
        <v/>
      </c>
      <c r="BA581" s="37">
        <f>IF(OR(K581&gt;0,K582&gt;0),0,(AC582-(AC581+AF581-AQ581-AP581+AR581-AI581-AJ581-AM581))/MAX(1,ABS(AC581),ABS(AC582)))</f>
        <v/>
      </c>
      <c r="BB581" s="35">
        <f>(1+INDEX(DiscRateAnn,INT(A581/12)+1))^(1/12)-1</f>
        <v/>
      </c>
      <c r="BC581" s="31">
        <f>(1+BB581)^-A581</f>
        <v/>
      </c>
      <c r="BD581" s="34">
        <f>AW581*BC581</f>
        <v/>
      </c>
    </row>
    <row r="582">
      <c r="A582" s="27">
        <f>A581+1</f>
        <v/>
      </c>
      <c r="B582" s="28">
        <f>Duration0+A582</f>
        <v/>
      </c>
      <c r="C582" s="27">
        <f>INT(B582/12)</f>
        <v/>
      </c>
      <c r="D582" s="28">
        <f>AgeAtEntry+C582</f>
        <v/>
      </c>
      <c r="E582" s="29">
        <f>IF(PremiumType="SINGLE",IF(B582=0,PremiumPPInput,0),IF(B582&lt;12*PolicyTerm,PremiumPPInput,0))</f>
        <v/>
      </c>
      <c r="F582" s="30">
        <f>INDEX(MortRates,MATCH(MIN(D582,120),MortAges,0),MAX(MIN(C582,5),0)+1)</f>
        <v/>
      </c>
      <c r="G582" s="31">
        <f>1-(1-F582)^(1/12)</f>
        <v/>
      </c>
      <c r="H582" s="32">
        <f>MAX(LapseBase-LapseStep*C582,LapseFloor)</f>
        <v/>
      </c>
      <c r="I582" s="32">
        <f>IF(HasSurrCharge,INDEX(SurrRates,MIN(C582,SurrDurMax)+1,MATCH(SurrChargeID,SurrTypes,0)),0)</f>
        <v/>
      </c>
      <c r="J582" s="33">
        <f>N581-P581-O581</f>
        <v/>
      </c>
      <c r="K582" s="30">
        <f>IF(B582=12*PolicyTerm,J582,0)</f>
        <v/>
      </c>
      <c r="L582" s="33">
        <f>J582-K582</f>
        <v/>
      </c>
      <c r="M582" s="30">
        <f>IF(B582=0,PolicyCount,0)</f>
        <v/>
      </c>
      <c r="N582" s="33">
        <f>L582+M582</f>
        <v/>
      </c>
      <c r="O582" s="31">
        <f>N582*G582</f>
        <v/>
      </c>
      <c r="P582" s="33">
        <f>(N582-O582)*(1-(1-H582)^(1/12))</f>
        <v/>
      </c>
      <c r="Q582" s="34">
        <f>X581+Z581</f>
        <v/>
      </c>
      <c r="R582" s="29">
        <f>(1-LoadPremRate)*E582</f>
        <v/>
      </c>
      <c r="S582" s="34">
        <f>Q582+R582</f>
        <v/>
      </c>
      <c r="T582" s="29">
        <f>MaintFeeRateAnn/12*S582</f>
        <v/>
      </c>
      <c r="U582" s="29">
        <f>MAX(SumAssured-S582,0)</f>
        <v/>
      </c>
      <c r="V582" s="35">
        <f>CoiMultiple*G582</f>
        <v/>
      </c>
      <c r="W582" s="34">
        <f>V582*U582</f>
        <v/>
      </c>
      <c r="X582" s="34">
        <f>S582-T582-W582</f>
        <v/>
      </c>
      <c r="Y582" s="36">
        <f>EXP((Mu-0.5*Sigma^2)/12+Sigma*SQRT(1/12)*INDEX(NormRand,ScenID,A582+1))-1</f>
        <v/>
      </c>
      <c r="Z582" s="34">
        <f>Y582*X582</f>
        <v/>
      </c>
      <c r="AA582" s="34">
        <f>X582+0.5*Z582</f>
        <v/>
      </c>
      <c r="AB582" s="34">
        <f>Q582*J582</f>
        <v/>
      </c>
      <c r="AC582" s="34">
        <f>Q582*L582</f>
        <v/>
      </c>
      <c r="AD582" s="34">
        <f>S582*N582</f>
        <v/>
      </c>
      <c r="AE582" s="34">
        <f>E582*N582</f>
        <v/>
      </c>
      <c r="AF582" s="34">
        <f>R582*N582</f>
        <v/>
      </c>
      <c r="AG582" s="29">
        <f>MAX(SumAssured,AA582)</f>
        <v/>
      </c>
      <c r="AH582" s="34">
        <f>AG582*O582</f>
        <v/>
      </c>
      <c r="AI582" s="34">
        <f>AA582*O582</f>
        <v/>
      </c>
      <c r="AJ582" s="34">
        <f>AA582*P582</f>
        <v/>
      </c>
      <c r="AK582" s="34">
        <f>I582*AA582*P582</f>
        <v/>
      </c>
      <c r="AL582" s="34">
        <f>AJ582-AK582</f>
        <v/>
      </c>
      <c r="AM582" s="34">
        <f>Q582*K582</f>
        <v/>
      </c>
      <c r="AN582" s="34">
        <f>AH582+AL582+AM582</f>
        <v/>
      </c>
      <c r="AO582" s="34">
        <f>(AG582-AA582)*O582</f>
        <v/>
      </c>
      <c r="AP582" s="34">
        <f>W582*N582</f>
        <v/>
      </c>
      <c r="AQ582" s="34">
        <f>T582*N582</f>
        <v/>
      </c>
      <c r="AR582" s="34">
        <f>Z582*J583+0.5*Z582*(O582+P582)</f>
        <v/>
      </c>
      <c r="AS582" s="30">
        <f>(1+InflationRate)^(A582/12)</f>
        <v/>
      </c>
      <c r="AT582" s="29">
        <f>ExpenseAcq*M582+N582*ExpenseMaint/12*AS582</f>
        <v/>
      </c>
      <c r="AU582" s="29">
        <f>CommissionRate*AE582</f>
        <v/>
      </c>
      <c r="AV582" s="34">
        <f>AB583-AB582</f>
        <v/>
      </c>
      <c r="AW582" s="34">
        <f>AE582+AR582-AN582-AT582-AU582-AV582</f>
        <v/>
      </c>
      <c r="AX582" s="29">
        <f>LoadPremRate*E582*N582+AK582+AQ582-AU582-AT582</f>
        <v/>
      </c>
      <c r="AY582" s="34">
        <f>AP582-AO582</f>
        <v/>
      </c>
      <c r="AZ582" s="37">
        <f>(AW582-AX582-AY582)/MAX(1,ABS(AW582),ABS(AX582),ABS(AY582))</f>
        <v/>
      </c>
      <c r="BA582" s="37">
        <f>IF(OR(K582&gt;0,K583&gt;0),0,(AC583-(AC582+AF582-AQ582-AP582+AR582-AI582-AJ582-AM582))/MAX(1,ABS(AC582),ABS(AC583)))</f>
        <v/>
      </c>
      <c r="BB582" s="35">
        <f>(1+INDEX(DiscRateAnn,INT(A582/12)+1))^(1/12)-1</f>
        <v/>
      </c>
      <c r="BC582" s="31">
        <f>(1+BB582)^-A582</f>
        <v/>
      </c>
      <c r="BD582" s="34">
        <f>AW582*BC582</f>
        <v/>
      </c>
    </row>
    <row r="583">
      <c r="A583" s="27">
        <f>A582+1</f>
        <v/>
      </c>
      <c r="B583" s="28">
        <f>Duration0+A583</f>
        <v/>
      </c>
      <c r="C583" s="27">
        <f>INT(B583/12)</f>
        <v/>
      </c>
      <c r="D583" s="28">
        <f>AgeAtEntry+C583</f>
        <v/>
      </c>
      <c r="E583" s="29">
        <f>IF(PremiumType="SINGLE",IF(B583=0,PremiumPPInput,0),IF(B583&lt;12*PolicyTerm,PremiumPPInput,0))</f>
        <v/>
      </c>
      <c r="F583" s="30">
        <f>INDEX(MortRates,MATCH(MIN(D583,120),MortAges,0),MAX(MIN(C583,5),0)+1)</f>
        <v/>
      </c>
      <c r="G583" s="31">
        <f>1-(1-F583)^(1/12)</f>
        <v/>
      </c>
      <c r="H583" s="32">
        <f>MAX(LapseBase-LapseStep*C583,LapseFloor)</f>
        <v/>
      </c>
      <c r="I583" s="32">
        <f>IF(HasSurrCharge,INDEX(SurrRates,MIN(C583,SurrDurMax)+1,MATCH(SurrChargeID,SurrTypes,0)),0)</f>
        <v/>
      </c>
      <c r="J583" s="33">
        <f>N582-P582-O582</f>
        <v/>
      </c>
      <c r="K583" s="30">
        <f>IF(B583=12*PolicyTerm,J583,0)</f>
        <v/>
      </c>
      <c r="L583" s="33">
        <f>J583-K583</f>
        <v/>
      </c>
      <c r="M583" s="30">
        <f>IF(B583=0,PolicyCount,0)</f>
        <v/>
      </c>
      <c r="N583" s="33">
        <f>L583+M583</f>
        <v/>
      </c>
      <c r="O583" s="31">
        <f>N583*G583</f>
        <v/>
      </c>
      <c r="P583" s="33">
        <f>(N583-O583)*(1-(1-H583)^(1/12))</f>
        <v/>
      </c>
      <c r="Q583" s="34">
        <f>X582+Z582</f>
        <v/>
      </c>
      <c r="R583" s="29">
        <f>(1-LoadPremRate)*E583</f>
        <v/>
      </c>
      <c r="S583" s="34">
        <f>Q583+R583</f>
        <v/>
      </c>
      <c r="T583" s="29">
        <f>MaintFeeRateAnn/12*S583</f>
        <v/>
      </c>
      <c r="U583" s="29">
        <f>MAX(SumAssured-S583,0)</f>
        <v/>
      </c>
      <c r="V583" s="35">
        <f>CoiMultiple*G583</f>
        <v/>
      </c>
      <c r="W583" s="34">
        <f>V583*U583</f>
        <v/>
      </c>
      <c r="X583" s="34">
        <f>S583-T583-W583</f>
        <v/>
      </c>
      <c r="Y583" s="36">
        <f>EXP((Mu-0.5*Sigma^2)/12+Sigma*SQRT(1/12)*INDEX(NormRand,ScenID,A583+1))-1</f>
        <v/>
      </c>
      <c r="Z583" s="34">
        <f>Y583*X583</f>
        <v/>
      </c>
      <c r="AA583" s="34">
        <f>X583+0.5*Z583</f>
        <v/>
      </c>
      <c r="AB583" s="34">
        <f>Q583*J583</f>
        <v/>
      </c>
      <c r="AC583" s="34">
        <f>Q583*L583</f>
        <v/>
      </c>
      <c r="AD583" s="34">
        <f>S583*N583</f>
        <v/>
      </c>
      <c r="AE583" s="34">
        <f>E583*N583</f>
        <v/>
      </c>
      <c r="AF583" s="34">
        <f>R583*N583</f>
        <v/>
      </c>
      <c r="AG583" s="29">
        <f>MAX(SumAssured,AA583)</f>
        <v/>
      </c>
      <c r="AH583" s="34">
        <f>AG583*O583</f>
        <v/>
      </c>
      <c r="AI583" s="34">
        <f>AA583*O583</f>
        <v/>
      </c>
      <c r="AJ583" s="34">
        <f>AA583*P583</f>
        <v/>
      </c>
      <c r="AK583" s="34">
        <f>I583*AA583*P583</f>
        <v/>
      </c>
      <c r="AL583" s="34">
        <f>AJ583-AK583</f>
        <v/>
      </c>
      <c r="AM583" s="34">
        <f>Q583*K583</f>
        <v/>
      </c>
      <c r="AN583" s="34">
        <f>AH583+AL583+AM583</f>
        <v/>
      </c>
      <c r="AO583" s="34">
        <f>(AG583-AA583)*O583</f>
        <v/>
      </c>
      <c r="AP583" s="34">
        <f>W583*N583</f>
        <v/>
      </c>
      <c r="AQ583" s="34">
        <f>T583*N583</f>
        <v/>
      </c>
      <c r="AR583" s="34">
        <f>Z583*J584+0.5*Z583*(O583+P583)</f>
        <v/>
      </c>
      <c r="AS583" s="30">
        <f>(1+InflationRate)^(A583/12)</f>
        <v/>
      </c>
      <c r="AT583" s="29">
        <f>ExpenseAcq*M583+N583*ExpenseMaint/12*AS583</f>
        <v/>
      </c>
      <c r="AU583" s="29">
        <f>CommissionRate*AE583</f>
        <v/>
      </c>
      <c r="AV583" s="34">
        <f>AB584-AB583</f>
        <v/>
      </c>
      <c r="AW583" s="34">
        <f>AE583+AR583-AN583-AT583-AU583-AV583</f>
        <v/>
      </c>
      <c r="AX583" s="29">
        <f>LoadPremRate*E583*N583+AK583+AQ583-AU583-AT583</f>
        <v/>
      </c>
      <c r="AY583" s="34">
        <f>AP583-AO583</f>
        <v/>
      </c>
      <c r="AZ583" s="37">
        <f>(AW583-AX583-AY583)/MAX(1,ABS(AW583),ABS(AX583),ABS(AY583))</f>
        <v/>
      </c>
      <c r="BA583" s="37">
        <f>IF(OR(K583&gt;0,K584&gt;0),0,(AC584-(AC583+AF583-AQ583-AP583+AR583-AI583-AJ583-AM583))/MAX(1,ABS(AC583),ABS(AC584)))</f>
        <v/>
      </c>
      <c r="BB583" s="35">
        <f>(1+INDEX(DiscRateAnn,INT(A583/12)+1))^(1/12)-1</f>
        <v/>
      </c>
      <c r="BC583" s="31">
        <f>(1+BB583)^-A583</f>
        <v/>
      </c>
      <c r="BD583" s="34">
        <f>AW583*BC583</f>
        <v/>
      </c>
    </row>
    <row r="584">
      <c r="A584" s="27">
        <f>A583+1</f>
        <v/>
      </c>
      <c r="B584" s="28">
        <f>Duration0+A584</f>
        <v/>
      </c>
      <c r="C584" s="27">
        <f>INT(B584/12)</f>
        <v/>
      </c>
      <c r="D584" s="28">
        <f>AgeAtEntry+C584</f>
        <v/>
      </c>
      <c r="E584" s="29">
        <f>IF(PremiumType="SINGLE",IF(B584=0,PremiumPPInput,0),IF(B584&lt;12*PolicyTerm,PremiumPPInput,0))</f>
        <v/>
      </c>
      <c r="F584" s="30">
        <f>INDEX(MortRates,MATCH(MIN(D584,120),MortAges,0),MAX(MIN(C584,5),0)+1)</f>
        <v/>
      </c>
      <c r="G584" s="31">
        <f>1-(1-F584)^(1/12)</f>
        <v/>
      </c>
      <c r="H584" s="32">
        <f>MAX(LapseBase-LapseStep*C584,LapseFloor)</f>
        <v/>
      </c>
      <c r="I584" s="32">
        <f>IF(HasSurrCharge,INDEX(SurrRates,MIN(C584,SurrDurMax)+1,MATCH(SurrChargeID,SurrTypes,0)),0)</f>
        <v/>
      </c>
      <c r="J584" s="33">
        <f>N583-P583-O583</f>
        <v/>
      </c>
      <c r="K584" s="30">
        <f>IF(B584=12*PolicyTerm,J584,0)</f>
        <v/>
      </c>
      <c r="L584" s="33">
        <f>J584-K584</f>
        <v/>
      </c>
      <c r="M584" s="30">
        <f>IF(B584=0,PolicyCount,0)</f>
        <v/>
      </c>
      <c r="N584" s="33">
        <f>L584+M584</f>
        <v/>
      </c>
      <c r="O584" s="31">
        <f>N584*G584</f>
        <v/>
      </c>
      <c r="P584" s="33">
        <f>(N584-O584)*(1-(1-H584)^(1/12))</f>
        <v/>
      </c>
      <c r="Q584" s="34">
        <f>X583+Z583</f>
        <v/>
      </c>
      <c r="R584" s="29">
        <f>(1-LoadPremRate)*E584</f>
        <v/>
      </c>
      <c r="S584" s="34">
        <f>Q584+R584</f>
        <v/>
      </c>
      <c r="T584" s="29">
        <f>MaintFeeRateAnn/12*S584</f>
        <v/>
      </c>
      <c r="U584" s="29">
        <f>MAX(SumAssured-S584,0)</f>
        <v/>
      </c>
      <c r="V584" s="35">
        <f>CoiMultiple*G584</f>
        <v/>
      </c>
      <c r="W584" s="34">
        <f>V584*U584</f>
        <v/>
      </c>
      <c r="X584" s="34">
        <f>S584-T584-W584</f>
        <v/>
      </c>
      <c r="Y584" s="36">
        <f>EXP((Mu-0.5*Sigma^2)/12+Sigma*SQRT(1/12)*INDEX(NormRand,ScenID,A584+1))-1</f>
        <v/>
      </c>
      <c r="Z584" s="34">
        <f>Y584*X584</f>
        <v/>
      </c>
      <c r="AA584" s="34">
        <f>X584+0.5*Z584</f>
        <v/>
      </c>
      <c r="AB584" s="34">
        <f>Q584*J584</f>
        <v/>
      </c>
      <c r="AC584" s="34">
        <f>Q584*L584</f>
        <v/>
      </c>
      <c r="AD584" s="34">
        <f>S584*N584</f>
        <v/>
      </c>
      <c r="AE584" s="34">
        <f>E584*N584</f>
        <v/>
      </c>
      <c r="AF584" s="34">
        <f>R584*N584</f>
        <v/>
      </c>
      <c r="AG584" s="29">
        <f>MAX(SumAssured,AA584)</f>
        <v/>
      </c>
      <c r="AH584" s="34">
        <f>AG584*O584</f>
        <v/>
      </c>
      <c r="AI584" s="34">
        <f>AA584*O584</f>
        <v/>
      </c>
      <c r="AJ584" s="34">
        <f>AA584*P584</f>
        <v/>
      </c>
      <c r="AK584" s="34">
        <f>I584*AA584*P584</f>
        <v/>
      </c>
      <c r="AL584" s="34">
        <f>AJ584-AK584</f>
        <v/>
      </c>
      <c r="AM584" s="34">
        <f>Q584*K584</f>
        <v/>
      </c>
      <c r="AN584" s="34">
        <f>AH584+AL584+AM584</f>
        <v/>
      </c>
      <c r="AO584" s="34">
        <f>(AG584-AA584)*O584</f>
        <v/>
      </c>
      <c r="AP584" s="34">
        <f>W584*N584</f>
        <v/>
      </c>
      <c r="AQ584" s="34">
        <f>T584*N584</f>
        <v/>
      </c>
      <c r="AR584" s="34">
        <f>Z584*J585+0.5*Z584*(O584+P584)</f>
        <v/>
      </c>
      <c r="AS584" s="30">
        <f>(1+InflationRate)^(A584/12)</f>
        <v/>
      </c>
      <c r="AT584" s="29">
        <f>ExpenseAcq*M584+N584*ExpenseMaint/12*AS584</f>
        <v/>
      </c>
      <c r="AU584" s="29">
        <f>CommissionRate*AE584</f>
        <v/>
      </c>
      <c r="AV584" s="34">
        <f>AB585-AB584</f>
        <v/>
      </c>
      <c r="AW584" s="34">
        <f>AE584+AR584-AN584-AT584-AU584-AV584</f>
        <v/>
      </c>
      <c r="AX584" s="29">
        <f>LoadPremRate*E584*N584+AK584+AQ584-AU584-AT584</f>
        <v/>
      </c>
      <c r="AY584" s="34">
        <f>AP584-AO584</f>
        <v/>
      </c>
      <c r="AZ584" s="37">
        <f>(AW584-AX584-AY584)/MAX(1,ABS(AW584),ABS(AX584),ABS(AY584))</f>
        <v/>
      </c>
      <c r="BA584" s="37">
        <f>IF(OR(K584&gt;0,K585&gt;0),0,(AC585-(AC584+AF584-AQ584-AP584+AR584-AI584-AJ584-AM584))/MAX(1,ABS(AC584),ABS(AC585)))</f>
        <v/>
      </c>
      <c r="BB584" s="35">
        <f>(1+INDEX(DiscRateAnn,INT(A584/12)+1))^(1/12)-1</f>
        <v/>
      </c>
      <c r="BC584" s="31">
        <f>(1+BB584)^-A584</f>
        <v/>
      </c>
      <c r="BD584" s="34">
        <f>AW584*BC584</f>
        <v/>
      </c>
    </row>
    <row r="585">
      <c r="A585" s="27">
        <f>A584+1</f>
        <v/>
      </c>
      <c r="B585" s="28">
        <f>Duration0+A585</f>
        <v/>
      </c>
      <c r="C585" s="27">
        <f>INT(B585/12)</f>
        <v/>
      </c>
      <c r="D585" s="28">
        <f>AgeAtEntry+C585</f>
        <v/>
      </c>
      <c r="E585" s="29">
        <f>IF(PremiumType="SINGLE",IF(B585=0,PremiumPPInput,0),IF(B585&lt;12*PolicyTerm,PremiumPPInput,0))</f>
        <v/>
      </c>
      <c r="F585" s="30">
        <f>INDEX(MortRates,MATCH(MIN(D585,120),MortAges,0),MAX(MIN(C585,5),0)+1)</f>
        <v/>
      </c>
      <c r="G585" s="31">
        <f>1-(1-F585)^(1/12)</f>
        <v/>
      </c>
      <c r="H585" s="32">
        <f>MAX(LapseBase-LapseStep*C585,LapseFloor)</f>
        <v/>
      </c>
      <c r="I585" s="32">
        <f>IF(HasSurrCharge,INDEX(SurrRates,MIN(C585,SurrDurMax)+1,MATCH(SurrChargeID,SurrTypes,0)),0)</f>
        <v/>
      </c>
      <c r="J585" s="33">
        <f>N584-P584-O584</f>
        <v/>
      </c>
      <c r="K585" s="30">
        <f>IF(B585=12*PolicyTerm,J585,0)</f>
        <v/>
      </c>
      <c r="L585" s="33">
        <f>J585-K585</f>
        <v/>
      </c>
      <c r="M585" s="30">
        <f>IF(B585=0,PolicyCount,0)</f>
        <v/>
      </c>
      <c r="N585" s="33">
        <f>L585+M585</f>
        <v/>
      </c>
      <c r="O585" s="31">
        <f>N585*G585</f>
        <v/>
      </c>
      <c r="P585" s="33">
        <f>(N585-O585)*(1-(1-H585)^(1/12))</f>
        <v/>
      </c>
      <c r="Q585" s="34">
        <f>X584+Z584</f>
        <v/>
      </c>
      <c r="R585" s="29">
        <f>(1-LoadPremRate)*E585</f>
        <v/>
      </c>
      <c r="S585" s="34">
        <f>Q585+R585</f>
        <v/>
      </c>
      <c r="T585" s="29">
        <f>MaintFeeRateAnn/12*S585</f>
        <v/>
      </c>
      <c r="U585" s="29">
        <f>MAX(SumAssured-S585,0)</f>
        <v/>
      </c>
      <c r="V585" s="35">
        <f>CoiMultiple*G585</f>
        <v/>
      </c>
      <c r="W585" s="34">
        <f>V585*U585</f>
        <v/>
      </c>
      <c r="X585" s="34">
        <f>S585-T585-W585</f>
        <v/>
      </c>
      <c r="Y585" s="36">
        <f>EXP((Mu-0.5*Sigma^2)/12+Sigma*SQRT(1/12)*INDEX(NormRand,ScenID,A585+1))-1</f>
        <v/>
      </c>
      <c r="Z585" s="34">
        <f>Y585*X585</f>
        <v/>
      </c>
      <c r="AA585" s="34">
        <f>X585+0.5*Z585</f>
        <v/>
      </c>
      <c r="AB585" s="34">
        <f>Q585*J585</f>
        <v/>
      </c>
      <c r="AC585" s="34">
        <f>Q585*L585</f>
        <v/>
      </c>
      <c r="AD585" s="34">
        <f>S585*N585</f>
        <v/>
      </c>
      <c r="AE585" s="34">
        <f>E585*N585</f>
        <v/>
      </c>
      <c r="AF585" s="34">
        <f>R585*N585</f>
        <v/>
      </c>
      <c r="AG585" s="29">
        <f>MAX(SumAssured,AA585)</f>
        <v/>
      </c>
      <c r="AH585" s="34">
        <f>AG585*O585</f>
        <v/>
      </c>
      <c r="AI585" s="34">
        <f>AA585*O585</f>
        <v/>
      </c>
      <c r="AJ585" s="34">
        <f>AA585*P585</f>
        <v/>
      </c>
      <c r="AK585" s="34">
        <f>I585*AA585*P585</f>
        <v/>
      </c>
      <c r="AL585" s="34">
        <f>AJ585-AK585</f>
        <v/>
      </c>
      <c r="AM585" s="34">
        <f>Q585*K585</f>
        <v/>
      </c>
      <c r="AN585" s="34">
        <f>AH585+AL585+AM585</f>
        <v/>
      </c>
      <c r="AO585" s="34">
        <f>(AG585-AA585)*O585</f>
        <v/>
      </c>
      <c r="AP585" s="34">
        <f>W585*N585</f>
        <v/>
      </c>
      <c r="AQ585" s="34">
        <f>T585*N585</f>
        <v/>
      </c>
      <c r="AR585" s="34">
        <f>Z585*J586+0.5*Z585*(O585+P585)</f>
        <v/>
      </c>
      <c r="AS585" s="30">
        <f>(1+InflationRate)^(A585/12)</f>
        <v/>
      </c>
      <c r="AT585" s="29">
        <f>ExpenseAcq*M585+N585*ExpenseMaint/12*AS585</f>
        <v/>
      </c>
      <c r="AU585" s="29">
        <f>CommissionRate*AE585</f>
        <v/>
      </c>
      <c r="AV585" s="34">
        <f>AB586-AB585</f>
        <v/>
      </c>
      <c r="AW585" s="34">
        <f>AE585+AR585-AN585-AT585-AU585-AV585</f>
        <v/>
      </c>
      <c r="AX585" s="29">
        <f>LoadPremRate*E585*N585+AK585+AQ585-AU585-AT585</f>
        <v/>
      </c>
      <c r="AY585" s="34">
        <f>AP585-AO585</f>
        <v/>
      </c>
      <c r="AZ585" s="37">
        <f>(AW585-AX585-AY585)/MAX(1,ABS(AW585),ABS(AX585),ABS(AY585))</f>
        <v/>
      </c>
      <c r="BA585" s="37">
        <f>IF(OR(K585&gt;0,K586&gt;0),0,(AC586-(AC585+AF585-AQ585-AP585+AR585-AI585-AJ585-AM585))/MAX(1,ABS(AC585),ABS(AC586)))</f>
        <v/>
      </c>
      <c r="BB585" s="35">
        <f>(1+INDEX(DiscRateAnn,INT(A585/12)+1))^(1/12)-1</f>
        <v/>
      </c>
      <c r="BC585" s="31">
        <f>(1+BB585)^-A585</f>
        <v/>
      </c>
      <c r="BD585" s="34">
        <f>AW585*BC585</f>
        <v/>
      </c>
    </row>
    <row r="586">
      <c r="A586" s="27">
        <f>A585+1</f>
        <v/>
      </c>
      <c r="B586" s="28">
        <f>Duration0+A586</f>
        <v/>
      </c>
      <c r="C586" s="27">
        <f>INT(B586/12)</f>
        <v/>
      </c>
      <c r="D586" s="28">
        <f>AgeAtEntry+C586</f>
        <v/>
      </c>
      <c r="E586" s="29">
        <f>IF(PremiumType="SINGLE",IF(B586=0,PremiumPPInput,0),IF(B586&lt;12*PolicyTerm,PremiumPPInput,0))</f>
        <v/>
      </c>
      <c r="F586" s="30">
        <f>INDEX(MortRates,MATCH(MIN(D586,120),MortAges,0),MAX(MIN(C586,5),0)+1)</f>
        <v/>
      </c>
      <c r="G586" s="31">
        <f>1-(1-F586)^(1/12)</f>
        <v/>
      </c>
      <c r="H586" s="32">
        <f>MAX(LapseBase-LapseStep*C586,LapseFloor)</f>
        <v/>
      </c>
      <c r="I586" s="32">
        <f>IF(HasSurrCharge,INDEX(SurrRates,MIN(C586,SurrDurMax)+1,MATCH(SurrChargeID,SurrTypes,0)),0)</f>
        <v/>
      </c>
      <c r="J586" s="33">
        <f>N585-P585-O585</f>
        <v/>
      </c>
      <c r="K586" s="30">
        <f>IF(B586=12*PolicyTerm,J586,0)</f>
        <v/>
      </c>
      <c r="L586" s="33">
        <f>J586-K586</f>
        <v/>
      </c>
      <c r="M586" s="30">
        <f>IF(B586=0,PolicyCount,0)</f>
        <v/>
      </c>
      <c r="N586" s="33">
        <f>L586+M586</f>
        <v/>
      </c>
      <c r="O586" s="31">
        <f>N586*G586</f>
        <v/>
      </c>
      <c r="P586" s="33">
        <f>(N586-O586)*(1-(1-H586)^(1/12))</f>
        <v/>
      </c>
      <c r="Q586" s="34">
        <f>X585+Z585</f>
        <v/>
      </c>
      <c r="R586" s="29">
        <f>(1-LoadPremRate)*E586</f>
        <v/>
      </c>
      <c r="S586" s="34">
        <f>Q586+R586</f>
        <v/>
      </c>
      <c r="T586" s="29">
        <f>MaintFeeRateAnn/12*S586</f>
        <v/>
      </c>
      <c r="U586" s="29">
        <f>MAX(SumAssured-S586,0)</f>
        <v/>
      </c>
      <c r="V586" s="35">
        <f>CoiMultiple*G586</f>
        <v/>
      </c>
      <c r="W586" s="34">
        <f>V586*U586</f>
        <v/>
      </c>
      <c r="X586" s="34">
        <f>S586-T586-W586</f>
        <v/>
      </c>
      <c r="Y586" s="36">
        <f>EXP((Mu-0.5*Sigma^2)/12+Sigma*SQRT(1/12)*INDEX(NormRand,ScenID,A586+1))-1</f>
        <v/>
      </c>
      <c r="Z586" s="34">
        <f>Y586*X586</f>
        <v/>
      </c>
      <c r="AA586" s="34">
        <f>X586+0.5*Z586</f>
        <v/>
      </c>
      <c r="AB586" s="34">
        <f>Q586*J586</f>
        <v/>
      </c>
      <c r="AC586" s="34">
        <f>Q586*L586</f>
        <v/>
      </c>
      <c r="AD586" s="34">
        <f>S586*N586</f>
        <v/>
      </c>
      <c r="AE586" s="34">
        <f>E586*N586</f>
        <v/>
      </c>
      <c r="AF586" s="34">
        <f>R586*N586</f>
        <v/>
      </c>
      <c r="AG586" s="29">
        <f>MAX(SumAssured,AA586)</f>
        <v/>
      </c>
      <c r="AH586" s="34">
        <f>AG586*O586</f>
        <v/>
      </c>
      <c r="AI586" s="34">
        <f>AA586*O586</f>
        <v/>
      </c>
      <c r="AJ586" s="34">
        <f>AA586*P586</f>
        <v/>
      </c>
      <c r="AK586" s="34">
        <f>I586*AA586*P586</f>
        <v/>
      </c>
      <c r="AL586" s="34">
        <f>AJ586-AK586</f>
        <v/>
      </c>
      <c r="AM586" s="34">
        <f>Q586*K586</f>
        <v/>
      </c>
      <c r="AN586" s="34">
        <f>AH586+AL586+AM586</f>
        <v/>
      </c>
      <c r="AO586" s="34">
        <f>(AG586-AA586)*O586</f>
        <v/>
      </c>
      <c r="AP586" s="34">
        <f>W586*N586</f>
        <v/>
      </c>
      <c r="AQ586" s="34">
        <f>T586*N586</f>
        <v/>
      </c>
      <c r="AR586" s="34">
        <f>Z586*J587+0.5*Z586*(O586+P586)</f>
        <v/>
      </c>
      <c r="AS586" s="30">
        <f>(1+InflationRate)^(A586/12)</f>
        <v/>
      </c>
      <c r="AT586" s="29">
        <f>ExpenseAcq*M586+N586*ExpenseMaint/12*AS586</f>
        <v/>
      </c>
      <c r="AU586" s="29">
        <f>CommissionRate*AE586</f>
        <v/>
      </c>
      <c r="AV586" s="34">
        <f>AB587-AB586</f>
        <v/>
      </c>
      <c r="AW586" s="34">
        <f>AE586+AR586-AN586-AT586-AU586-AV586</f>
        <v/>
      </c>
      <c r="AX586" s="29">
        <f>LoadPremRate*E586*N586+AK586+AQ586-AU586-AT586</f>
        <v/>
      </c>
      <c r="AY586" s="34">
        <f>AP586-AO586</f>
        <v/>
      </c>
      <c r="AZ586" s="37">
        <f>(AW586-AX586-AY586)/MAX(1,ABS(AW586),ABS(AX586),ABS(AY586))</f>
        <v/>
      </c>
      <c r="BA586" s="37">
        <f>IF(OR(K586&gt;0,K587&gt;0),0,(AC587-(AC586+AF586-AQ586-AP586+AR586-AI586-AJ586-AM586))/MAX(1,ABS(AC586),ABS(AC587)))</f>
        <v/>
      </c>
      <c r="BB586" s="35">
        <f>(1+INDEX(DiscRateAnn,INT(A586/12)+1))^(1/12)-1</f>
        <v/>
      </c>
      <c r="BC586" s="31">
        <f>(1+BB586)^-A586</f>
        <v/>
      </c>
      <c r="BD586" s="34">
        <f>AW586*BC586</f>
        <v/>
      </c>
    </row>
    <row r="587">
      <c r="A587" s="27">
        <f>A586+1</f>
        <v/>
      </c>
      <c r="B587" s="28">
        <f>Duration0+A587</f>
        <v/>
      </c>
      <c r="C587" s="27">
        <f>INT(B587/12)</f>
        <v/>
      </c>
      <c r="D587" s="28">
        <f>AgeAtEntry+C587</f>
        <v/>
      </c>
      <c r="E587" s="29">
        <f>IF(PremiumType="SINGLE",IF(B587=0,PremiumPPInput,0),IF(B587&lt;12*PolicyTerm,PremiumPPInput,0))</f>
        <v/>
      </c>
      <c r="F587" s="30">
        <f>INDEX(MortRates,MATCH(MIN(D587,120),MortAges,0),MAX(MIN(C587,5),0)+1)</f>
        <v/>
      </c>
      <c r="G587" s="31">
        <f>1-(1-F587)^(1/12)</f>
        <v/>
      </c>
      <c r="H587" s="32">
        <f>MAX(LapseBase-LapseStep*C587,LapseFloor)</f>
        <v/>
      </c>
      <c r="I587" s="32">
        <f>IF(HasSurrCharge,INDEX(SurrRates,MIN(C587,SurrDurMax)+1,MATCH(SurrChargeID,SurrTypes,0)),0)</f>
        <v/>
      </c>
      <c r="J587" s="33">
        <f>N586-P586-O586</f>
        <v/>
      </c>
      <c r="K587" s="30">
        <f>IF(B587=12*PolicyTerm,J587,0)</f>
        <v/>
      </c>
      <c r="L587" s="33">
        <f>J587-K587</f>
        <v/>
      </c>
      <c r="M587" s="30">
        <f>IF(B587=0,PolicyCount,0)</f>
        <v/>
      </c>
      <c r="N587" s="33">
        <f>L587+M587</f>
        <v/>
      </c>
      <c r="O587" s="31">
        <f>N587*G587</f>
        <v/>
      </c>
      <c r="P587" s="33">
        <f>(N587-O587)*(1-(1-H587)^(1/12))</f>
        <v/>
      </c>
      <c r="Q587" s="34">
        <f>X586+Z586</f>
        <v/>
      </c>
      <c r="R587" s="29">
        <f>(1-LoadPremRate)*E587</f>
        <v/>
      </c>
      <c r="S587" s="34">
        <f>Q587+R587</f>
        <v/>
      </c>
      <c r="T587" s="29">
        <f>MaintFeeRateAnn/12*S587</f>
        <v/>
      </c>
      <c r="U587" s="29">
        <f>MAX(SumAssured-S587,0)</f>
        <v/>
      </c>
      <c r="V587" s="35">
        <f>CoiMultiple*G587</f>
        <v/>
      </c>
      <c r="W587" s="34">
        <f>V587*U587</f>
        <v/>
      </c>
      <c r="X587" s="34">
        <f>S587-T587-W587</f>
        <v/>
      </c>
      <c r="Y587" s="36">
        <f>EXP((Mu-0.5*Sigma^2)/12+Sigma*SQRT(1/12)*INDEX(NormRand,ScenID,A587+1))-1</f>
        <v/>
      </c>
      <c r="Z587" s="34">
        <f>Y587*X587</f>
        <v/>
      </c>
      <c r="AA587" s="34">
        <f>X587+0.5*Z587</f>
        <v/>
      </c>
      <c r="AB587" s="34">
        <f>Q587*J587</f>
        <v/>
      </c>
      <c r="AC587" s="34">
        <f>Q587*L587</f>
        <v/>
      </c>
      <c r="AD587" s="34">
        <f>S587*N587</f>
        <v/>
      </c>
      <c r="AE587" s="34">
        <f>E587*N587</f>
        <v/>
      </c>
      <c r="AF587" s="34">
        <f>R587*N587</f>
        <v/>
      </c>
      <c r="AG587" s="29">
        <f>MAX(SumAssured,AA587)</f>
        <v/>
      </c>
      <c r="AH587" s="34">
        <f>AG587*O587</f>
        <v/>
      </c>
      <c r="AI587" s="34">
        <f>AA587*O587</f>
        <v/>
      </c>
      <c r="AJ587" s="34">
        <f>AA587*P587</f>
        <v/>
      </c>
      <c r="AK587" s="34">
        <f>I587*AA587*P587</f>
        <v/>
      </c>
      <c r="AL587" s="34">
        <f>AJ587-AK587</f>
        <v/>
      </c>
      <c r="AM587" s="34">
        <f>Q587*K587</f>
        <v/>
      </c>
      <c r="AN587" s="34">
        <f>AH587+AL587+AM587</f>
        <v/>
      </c>
      <c r="AO587" s="34">
        <f>(AG587-AA587)*O587</f>
        <v/>
      </c>
      <c r="AP587" s="34">
        <f>W587*N587</f>
        <v/>
      </c>
      <c r="AQ587" s="34">
        <f>T587*N587</f>
        <v/>
      </c>
      <c r="AR587" s="34">
        <f>Z587*J588+0.5*Z587*(O587+P587)</f>
        <v/>
      </c>
      <c r="AS587" s="30">
        <f>(1+InflationRate)^(A587/12)</f>
        <v/>
      </c>
      <c r="AT587" s="29">
        <f>ExpenseAcq*M587+N587*ExpenseMaint/12*AS587</f>
        <v/>
      </c>
      <c r="AU587" s="29">
        <f>CommissionRate*AE587</f>
        <v/>
      </c>
      <c r="AV587" s="34">
        <f>AB588-AB587</f>
        <v/>
      </c>
      <c r="AW587" s="34">
        <f>AE587+AR587-AN587-AT587-AU587-AV587</f>
        <v/>
      </c>
      <c r="AX587" s="29">
        <f>LoadPremRate*E587*N587+AK587+AQ587-AU587-AT587</f>
        <v/>
      </c>
      <c r="AY587" s="34">
        <f>AP587-AO587</f>
        <v/>
      </c>
      <c r="AZ587" s="37">
        <f>(AW587-AX587-AY587)/MAX(1,ABS(AW587),ABS(AX587),ABS(AY587))</f>
        <v/>
      </c>
      <c r="BA587" s="37">
        <f>IF(OR(K587&gt;0,K588&gt;0),0,(AC588-(AC587+AF587-AQ587-AP587+AR587-AI587-AJ587-AM587))/MAX(1,ABS(AC587),ABS(AC588)))</f>
        <v/>
      </c>
      <c r="BB587" s="35">
        <f>(1+INDEX(DiscRateAnn,INT(A587/12)+1))^(1/12)-1</f>
        <v/>
      </c>
      <c r="BC587" s="31">
        <f>(1+BB587)^-A587</f>
        <v/>
      </c>
      <c r="BD587" s="34">
        <f>AW587*BC587</f>
        <v/>
      </c>
    </row>
    <row r="588">
      <c r="A588" s="27">
        <f>A587+1</f>
        <v/>
      </c>
      <c r="B588" s="28">
        <f>Duration0+A588</f>
        <v/>
      </c>
      <c r="C588" s="27">
        <f>INT(B588/12)</f>
        <v/>
      </c>
      <c r="D588" s="28">
        <f>AgeAtEntry+C588</f>
        <v/>
      </c>
      <c r="E588" s="29">
        <f>IF(PremiumType="SINGLE",IF(B588=0,PremiumPPInput,0),IF(B588&lt;12*PolicyTerm,PremiumPPInput,0))</f>
        <v/>
      </c>
      <c r="F588" s="30">
        <f>INDEX(MortRates,MATCH(MIN(D588,120),MortAges,0),MAX(MIN(C588,5),0)+1)</f>
        <v/>
      </c>
      <c r="G588" s="31">
        <f>1-(1-F588)^(1/12)</f>
        <v/>
      </c>
      <c r="H588" s="32">
        <f>MAX(LapseBase-LapseStep*C588,LapseFloor)</f>
        <v/>
      </c>
      <c r="I588" s="32">
        <f>IF(HasSurrCharge,INDEX(SurrRates,MIN(C588,SurrDurMax)+1,MATCH(SurrChargeID,SurrTypes,0)),0)</f>
        <v/>
      </c>
      <c r="J588" s="33">
        <f>N587-P587-O587</f>
        <v/>
      </c>
      <c r="K588" s="30">
        <f>IF(B588=12*PolicyTerm,J588,0)</f>
        <v/>
      </c>
      <c r="L588" s="33">
        <f>J588-K588</f>
        <v/>
      </c>
      <c r="M588" s="30">
        <f>IF(B588=0,PolicyCount,0)</f>
        <v/>
      </c>
      <c r="N588" s="33">
        <f>L588+M588</f>
        <v/>
      </c>
      <c r="O588" s="31">
        <f>N588*G588</f>
        <v/>
      </c>
      <c r="P588" s="33">
        <f>(N588-O588)*(1-(1-H588)^(1/12))</f>
        <v/>
      </c>
      <c r="Q588" s="34">
        <f>X587+Z587</f>
        <v/>
      </c>
      <c r="R588" s="29">
        <f>(1-LoadPremRate)*E588</f>
        <v/>
      </c>
      <c r="S588" s="34">
        <f>Q588+R588</f>
        <v/>
      </c>
      <c r="T588" s="29">
        <f>MaintFeeRateAnn/12*S588</f>
        <v/>
      </c>
      <c r="U588" s="29">
        <f>MAX(SumAssured-S588,0)</f>
        <v/>
      </c>
      <c r="V588" s="35">
        <f>CoiMultiple*G588</f>
        <v/>
      </c>
      <c r="W588" s="34">
        <f>V588*U588</f>
        <v/>
      </c>
      <c r="X588" s="34">
        <f>S588-T588-W588</f>
        <v/>
      </c>
      <c r="Y588" s="36">
        <f>EXP((Mu-0.5*Sigma^2)/12+Sigma*SQRT(1/12)*INDEX(NormRand,ScenID,A588+1))-1</f>
        <v/>
      </c>
      <c r="Z588" s="34">
        <f>Y588*X588</f>
        <v/>
      </c>
      <c r="AA588" s="34">
        <f>X588+0.5*Z588</f>
        <v/>
      </c>
      <c r="AB588" s="34">
        <f>Q588*J588</f>
        <v/>
      </c>
      <c r="AC588" s="34">
        <f>Q588*L588</f>
        <v/>
      </c>
      <c r="AD588" s="34">
        <f>S588*N588</f>
        <v/>
      </c>
      <c r="AE588" s="34">
        <f>E588*N588</f>
        <v/>
      </c>
      <c r="AF588" s="34">
        <f>R588*N588</f>
        <v/>
      </c>
      <c r="AG588" s="29">
        <f>MAX(SumAssured,AA588)</f>
        <v/>
      </c>
      <c r="AH588" s="34">
        <f>AG588*O588</f>
        <v/>
      </c>
      <c r="AI588" s="34">
        <f>AA588*O588</f>
        <v/>
      </c>
      <c r="AJ588" s="34">
        <f>AA588*P588</f>
        <v/>
      </c>
      <c r="AK588" s="34">
        <f>I588*AA588*P588</f>
        <v/>
      </c>
      <c r="AL588" s="34">
        <f>AJ588-AK588</f>
        <v/>
      </c>
      <c r="AM588" s="34">
        <f>Q588*K588</f>
        <v/>
      </c>
      <c r="AN588" s="34">
        <f>AH588+AL588+AM588</f>
        <v/>
      </c>
      <c r="AO588" s="34">
        <f>(AG588-AA588)*O588</f>
        <v/>
      </c>
      <c r="AP588" s="34">
        <f>W588*N588</f>
        <v/>
      </c>
      <c r="AQ588" s="34">
        <f>T588*N588</f>
        <v/>
      </c>
      <c r="AR588" s="34">
        <f>Z588*J589+0.5*Z588*(O588+P588)</f>
        <v/>
      </c>
      <c r="AS588" s="30">
        <f>(1+InflationRate)^(A588/12)</f>
        <v/>
      </c>
      <c r="AT588" s="29">
        <f>ExpenseAcq*M588+N588*ExpenseMaint/12*AS588</f>
        <v/>
      </c>
      <c r="AU588" s="29">
        <f>CommissionRate*AE588</f>
        <v/>
      </c>
      <c r="AV588" s="34">
        <f>AB589-AB588</f>
        <v/>
      </c>
      <c r="AW588" s="34">
        <f>AE588+AR588-AN588-AT588-AU588-AV588</f>
        <v/>
      </c>
      <c r="AX588" s="29">
        <f>LoadPremRate*E588*N588+AK588+AQ588-AU588-AT588</f>
        <v/>
      </c>
      <c r="AY588" s="34">
        <f>AP588-AO588</f>
        <v/>
      </c>
      <c r="AZ588" s="37">
        <f>(AW588-AX588-AY588)/MAX(1,ABS(AW588),ABS(AX588),ABS(AY588))</f>
        <v/>
      </c>
      <c r="BA588" s="37">
        <f>IF(OR(K588&gt;0,K589&gt;0),0,(AC589-(AC588+AF588-AQ588-AP588+AR588-AI588-AJ588-AM588))/MAX(1,ABS(AC588),ABS(AC589)))</f>
        <v/>
      </c>
      <c r="BB588" s="35">
        <f>(1+INDEX(DiscRateAnn,INT(A588/12)+1))^(1/12)-1</f>
        <v/>
      </c>
      <c r="BC588" s="31">
        <f>(1+BB588)^-A588</f>
        <v/>
      </c>
      <c r="BD588" s="34">
        <f>AW588*BC588</f>
        <v/>
      </c>
    </row>
    <row r="589">
      <c r="A589" s="27">
        <f>A588+1</f>
        <v/>
      </c>
      <c r="B589" s="28">
        <f>Duration0+A589</f>
        <v/>
      </c>
      <c r="C589" s="27">
        <f>INT(B589/12)</f>
        <v/>
      </c>
      <c r="D589" s="28">
        <f>AgeAtEntry+C589</f>
        <v/>
      </c>
      <c r="E589" s="29">
        <f>IF(PremiumType="SINGLE",IF(B589=0,PremiumPPInput,0),IF(B589&lt;12*PolicyTerm,PremiumPPInput,0))</f>
        <v/>
      </c>
      <c r="F589" s="30">
        <f>INDEX(MortRates,MATCH(MIN(D589,120),MortAges,0),MAX(MIN(C589,5),0)+1)</f>
        <v/>
      </c>
      <c r="G589" s="31">
        <f>1-(1-F589)^(1/12)</f>
        <v/>
      </c>
      <c r="H589" s="32">
        <f>MAX(LapseBase-LapseStep*C589,LapseFloor)</f>
        <v/>
      </c>
      <c r="I589" s="32">
        <f>IF(HasSurrCharge,INDEX(SurrRates,MIN(C589,SurrDurMax)+1,MATCH(SurrChargeID,SurrTypes,0)),0)</f>
        <v/>
      </c>
      <c r="J589" s="33">
        <f>N588-P588-O588</f>
        <v/>
      </c>
      <c r="K589" s="30">
        <f>IF(B589=12*PolicyTerm,J589,0)</f>
        <v/>
      </c>
      <c r="L589" s="33">
        <f>J589-K589</f>
        <v/>
      </c>
      <c r="M589" s="30">
        <f>IF(B589=0,PolicyCount,0)</f>
        <v/>
      </c>
      <c r="N589" s="33">
        <f>L589+M589</f>
        <v/>
      </c>
      <c r="O589" s="31">
        <f>N589*G589</f>
        <v/>
      </c>
      <c r="P589" s="33">
        <f>(N589-O589)*(1-(1-H589)^(1/12))</f>
        <v/>
      </c>
      <c r="Q589" s="34">
        <f>X588+Z588</f>
        <v/>
      </c>
      <c r="R589" s="29">
        <f>(1-LoadPremRate)*E589</f>
        <v/>
      </c>
      <c r="S589" s="34">
        <f>Q589+R589</f>
        <v/>
      </c>
      <c r="T589" s="29">
        <f>MaintFeeRateAnn/12*S589</f>
        <v/>
      </c>
      <c r="U589" s="29">
        <f>MAX(SumAssured-S589,0)</f>
        <v/>
      </c>
      <c r="V589" s="35">
        <f>CoiMultiple*G589</f>
        <v/>
      </c>
      <c r="W589" s="34">
        <f>V589*U589</f>
        <v/>
      </c>
      <c r="X589" s="34">
        <f>S589-T589-W589</f>
        <v/>
      </c>
      <c r="Y589" s="36">
        <f>EXP((Mu-0.5*Sigma^2)/12+Sigma*SQRT(1/12)*INDEX(NormRand,ScenID,A589+1))-1</f>
        <v/>
      </c>
      <c r="Z589" s="34">
        <f>Y589*X589</f>
        <v/>
      </c>
      <c r="AA589" s="34">
        <f>X589+0.5*Z589</f>
        <v/>
      </c>
      <c r="AB589" s="34">
        <f>Q589*J589</f>
        <v/>
      </c>
      <c r="AC589" s="34">
        <f>Q589*L589</f>
        <v/>
      </c>
      <c r="AD589" s="34">
        <f>S589*N589</f>
        <v/>
      </c>
      <c r="AE589" s="34">
        <f>E589*N589</f>
        <v/>
      </c>
      <c r="AF589" s="34">
        <f>R589*N589</f>
        <v/>
      </c>
      <c r="AG589" s="29">
        <f>MAX(SumAssured,AA589)</f>
        <v/>
      </c>
      <c r="AH589" s="34">
        <f>AG589*O589</f>
        <v/>
      </c>
      <c r="AI589" s="34">
        <f>AA589*O589</f>
        <v/>
      </c>
      <c r="AJ589" s="34">
        <f>AA589*P589</f>
        <v/>
      </c>
      <c r="AK589" s="34">
        <f>I589*AA589*P589</f>
        <v/>
      </c>
      <c r="AL589" s="34">
        <f>AJ589-AK589</f>
        <v/>
      </c>
      <c r="AM589" s="34">
        <f>Q589*K589</f>
        <v/>
      </c>
      <c r="AN589" s="34">
        <f>AH589+AL589+AM589</f>
        <v/>
      </c>
      <c r="AO589" s="34">
        <f>(AG589-AA589)*O589</f>
        <v/>
      </c>
      <c r="AP589" s="34">
        <f>W589*N589</f>
        <v/>
      </c>
      <c r="AQ589" s="34">
        <f>T589*N589</f>
        <v/>
      </c>
      <c r="AR589" s="34">
        <f>Z589*J590+0.5*Z589*(O589+P589)</f>
        <v/>
      </c>
      <c r="AS589" s="30">
        <f>(1+InflationRate)^(A589/12)</f>
        <v/>
      </c>
      <c r="AT589" s="29">
        <f>ExpenseAcq*M589+N589*ExpenseMaint/12*AS589</f>
        <v/>
      </c>
      <c r="AU589" s="29">
        <f>CommissionRate*AE589</f>
        <v/>
      </c>
      <c r="AV589" s="34">
        <f>AB590-AB589</f>
        <v/>
      </c>
      <c r="AW589" s="34">
        <f>AE589+AR589-AN589-AT589-AU589-AV589</f>
        <v/>
      </c>
      <c r="AX589" s="29">
        <f>LoadPremRate*E589*N589+AK589+AQ589-AU589-AT589</f>
        <v/>
      </c>
      <c r="AY589" s="34">
        <f>AP589-AO589</f>
        <v/>
      </c>
      <c r="AZ589" s="37">
        <f>(AW589-AX589-AY589)/MAX(1,ABS(AW589),ABS(AX589),ABS(AY589))</f>
        <v/>
      </c>
      <c r="BA589" s="37">
        <f>IF(OR(K589&gt;0,K590&gt;0),0,(AC590-(AC589+AF589-AQ589-AP589+AR589-AI589-AJ589-AM589))/MAX(1,ABS(AC589),ABS(AC590)))</f>
        <v/>
      </c>
      <c r="BB589" s="35">
        <f>(1+INDEX(DiscRateAnn,INT(A589/12)+1))^(1/12)-1</f>
        <v/>
      </c>
      <c r="BC589" s="31">
        <f>(1+BB589)^-A589</f>
        <v/>
      </c>
      <c r="BD589" s="34">
        <f>AW589*BC589</f>
        <v/>
      </c>
    </row>
    <row r="590">
      <c r="A590" s="27">
        <f>A589+1</f>
        <v/>
      </c>
      <c r="B590" s="28">
        <f>Duration0+A590</f>
        <v/>
      </c>
      <c r="C590" s="27">
        <f>INT(B590/12)</f>
        <v/>
      </c>
      <c r="D590" s="28">
        <f>AgeAtEntry+C590</f>
        <v/>
      </c>
      <c r="E590" s="29">
        <f>IF(PremiumType="SINGLE",IF(B590=0,PremiumPPInput,0),IF(B590&lt;12*PolicyTerm,PremiumPPInput,0))</f>
        <v/>
      </c>
      <c r="F590" s="30">
        <f>INDEX(MortRates,MATCH(MIN(D590,120),MortAges,0),MAX(MIN(C590,5),0)+1)</f>
        <v/>
      </c>
      <c r="G590" s="31">
        <f>1-(1-F590)^(1/12)</f>
        <v/>
      </c>
      <c r="H590" s="32">
        <f>MAX(LapseBase-LapseStep*C590,LapseFloor)</f>
        <v/>
      </c>
      <c r="I590" s="32">
        <f>IF(HasSurrCharge,INDEX(SurrRates,MIN(C590,SurrDurMax)+1,MATCH(SurrChargeID,SurrTypes,0)),0)</f>
        <v/>
      </c>
      <c r="J590" s="33">
        <f>N589-P589-O589</f>
        <v/>
      </c>
      <c r="K590" s="30">
        <f>IF(B590=12*PolicyTerm,J590,0)</f>
        <v/>
      </c>
      <c r="L590" s="33">
        <f>J590-K590</f>
        <v/>
      </c>
      <c r="M590" s="30">
        <f>IF(B590=0,PolicyCount,0)</f>
        <v/>
      </c>
      <c r="N590" s="33">
        <f>L590+M590</f>
        <v/>
      </c>
      <c r="O590" s="31">
        <f>N590*G590</f>
        <v/>
      </c>
      <c r="P590" s="33">
        <f>(N590-O590)*(1-(1-H590)^(1/12))</f>
        <v/>
      </c>
      <c r="Q590" s="34">
        <f>X589+Z589</f>
        <v/>
      </c>
      <c r="R590" s="29">
        <f>(1-LoadPremRate)*E590</f>
        <v/>
      </c>
      <c r="S590" s="34">
        <f>Q590+R590</f>
        <v/>
      </c>
      <c r="T590" s="29">
        <f>MaintFeeRateAnn/12*S590</f>
        <v/>
      </c>
      <c r="U590" s="29">
        <f>MAX(SumAssured-S590,0)</f>
        <v/>
      </c>
      <c r="V590" s="35">
        <f>CoiMultiple*G590</f>
        <v/>
      </c>
      <c r="W590" s="34">
        <f>V590*U590</f>
        <v/>
      </c>
      <c r="X590" s="34">
        <f>S590-T590-W590</f>
        <v/>
      </c>
      <c r="Y590" s="36">
        <f>EXP((Mu-0.5*Sigma^2)/12+Sigma*SQRT(1/12)*INDEX(NormRand,ScenID,A590+1))-1</f>
        <v/>
      </c>
      <c r="Z590" s="34">
        <f>Y590*X590</f>
        <v/>
      </c>
      <c r="AA590" s="34">
        <f>X590+0.5*Z590</f>
        <v/>
      </c>
      <c r="AB590" s="34">
        <f>Q590*J590</f>
        <v/>
      </c>
      <c r="AC590" s="34">
        <f>Q590*L590</f>
        <v/>
      </c>
      <c r="AD590" s="34">
        <f>S590*N590</f>
        <v/>
      </c>
      <c r="AE590" s="34">
        <f>E590*N590</f>
        <v/>
      </c>
      <c r="AF590" s="34">
        <f>R590*N590</f>
        <v/>
      </c>
      <c r="AG590" s="29">
        <f>MAX(SumAssured,AA590)</f>
        <v/>
      </c>
      <c r="AH590" s="34">
        <f>AG590*O590</f>
        <v/>
      </c>
      <c r="AI590" s="34">
        <f>AA590*O590</f>
        <v/>
      </c>
      <c r="AJ590" s="34">
        <f>AA590*P590</f>
        <v/>
      </c>
      <c r="AK590" s="34">
        <f>I590*AA590*P590</f>
        <v/>
      </c>
      <c r="AL590" s="34">
        <f>AJ590-AK590</f>
        <v/>
      </c>
      <c r="AM590" s="34">
        <f>Q590*K590</f>
        <v/>
      </c>
      <c r="AN590" s="34">
        <f>AH590+AL590+AM590</f>
        <v/>
      </c>
      <c r="AO590" s="34">
        <f>(AG590-AA590)*O590</f>
        <v/>
      </c>
      <c r="AP590" s="34">
        <f>W590*N590</f>
        <v/>
      </c>
      <c r="AQ590" s="34">
        <f>T590*N590</f>
        <v/>
      </c>
      <c r="AR590" s="34">
        <f>Z590*J591+0.5*Z590*(O590+P590)</f>
        <v/>
      </c>
      <c r="AS590" s="30">
        <f>(1+InflationRate)^(A590/12)</f>
        <v/>
      </c>
      <c r="AT590" s="29">
        <f>ExpenseAcq*M590+N590*ExpenseMaint/12*AS590</f>
        <v/>
      </c>
      <c r="AU590" s="29">
        <f>CommissionRate*AE590</f>
        <v/>
      </c>
      <c r="AV590" s="34">
        <f>AB591-AB590</f>
        <v/>
      </c>
      <c r="AW590" s="34">
        <f>AE590+AR590-AN590-AT590-AU590-AV590</f>
        <v/>
      </c>
      <c r="AX590" s="29">
        <f>LoadPremRate*E590*N590+AK590+AQ590-AU590-AT590</f>
        <v/>
      </c>
      <c r="AY590" s="34">
        <f>AP590-AO590</f>
        <v/>
      </c>
      <c r="AZ590" s="37">
        <f>(AW590-AX590-AY590)/MAX(1,ABS(AW590),ABS(AX590),ABS(AY590))</f>
        <v/>
      </c>
      <c r="BA590" s="37">
        <f>IF(OR(K590&gt;0,K591&gt;0),0,(AC591-(AC590+AF590-AQ590-AP590+AR590-AI590-AJ590-AM590))/MAX(1,ABS(AC590),ABS(AC591)))</f>
        <v/>
      </c>
      <c r="BB590" s="35">
        <f>(1+INDEX(DiscRateAnn,INT(A590/12)+1))^(1/12)-1</f>
        <v/>
      </c>
      <c r="BC590" s="31">
        <f>(1+BB590)^-A590</f>
        <v/>
      </c>
      <c r="BD590" s="34">
        <f>AW590*BC590</f>
        <v/>
      </c>
    </row>
    <row r="591">
      <c r="A591" s="27">
        <f>A590+1</f>
        <v/>
      </c>
      <c r="B591" s="28">
        <f>Duration0+A591</f>
        <v/>
      </c>
      <c r="C591" s="27">
        <f>INT(B591/12)</f>
        <v/>
      </c>
      <c r="D591" s="28">
        <f>AgeAtEntry+C591</f>
        <v/>
      </c>
      <c r="E591" s="29">
        <f>IF(PremiumType="SINGLE",IF(B591=0,PremiumPPInput,0),IF(B591&lt;12*PolicyTerm,PremiumPPInput,0))</f>
        <v/>
      </c>
      <c r="F591" s="30">
        <f>INDEX(MortRates,MATCH(MIN(D591,120),MortAges,0),MAX(MIN(C591,5),0)+1)</f>
        <v/>
      </c>
      <c r="G591" s="31">
        <f>1-(1-F591)^(1/12)</f>
        <v/>
      </c>
      <c r="H591" s="32">
        <f>MAX(LapseBase-LapseStep*C591,LapseFloor)</f>
        <v/>
      </c>
      <c r="I591" s="32">
        <f>IF(HasSurrCharge,INDEX(SurrRates,MIN(C591,SurrDurMax)+1,MATCH(SurrChargeID,SurrTypes,0)),0)</f>
        <v/>
      </c>
      <c r="J591" s="33">
        <f>N590-P590-O590</f>
        <v/>
      </c>
      <c r="K591" s="30">
        <f>IF(B591=12*PolicyTerm,J591,0)</f>
        <v/>
      </c>
      <c r="L591" s="33">
        <f>J591-K591</f>
        <v/>
      </c>
      <c r="M591" s="30">
        <f>IF(B591=0,PolicyCount,0)</f>
        <v/>
      </c>
      <c r="N591" s="33">
        <f>L591+M591</f>
        <v/>
      </c>
      <c r="O591" s="31">
        <f>N591*G591</f>
        <v/>
      </c>
      <c r="P591" s="33">
        <f>(N591-O591)*(1-(1-H591)^(1/12))</f>
        <v/>
      </c>
      <c r="Q591" s="34">
        <f>X590+Z590</f>
        <v/>
      </c>
      <c r="R591" s="29">
        <f>(1-LoadPremRate)*E591</f>
        <v/>
      </c>
      <c r="S591" s="34">
        <f>Q591+R591</f>
        <v/>
      </c>
      <c r="T591" s="29">
        <f>MaintFeeRateAnn/12*S591</f>
        <v/>
      </c>
      <c r="U591" s="29">
        <f>MAX(SumAssured-S591,0)</f>
        <v/>
      </c>
      <c r="V591" s="35">
        <f>CoiMultiple*G591</f>
        <v/>
      </c>
      <c r="W591" s="34">
        <f>V591*U591</f>
        <v/>
      </c>
      <c r="X591" s="34">
        <f>S591-T591-W591</f>
        <v/>
      </c>
      <c r="Y591" s="36">
        <f>EXP((Mu-0.5*Sigma^2)/12+Sigma*SQRT(1/12)*INDEX(NormRand,ScenID,A591+1))-1</f>
        <v/>
      </c>
      <c r="Z591" s="34">
        <f>Y591*X591</f>
        <v/>
      </c>
      <c r="AA591" s="34">
        <f>X591+0.5*Z591</f>
        <v/>
      </c>
      <c r="AB591" s="34">
        <f>Q591*J591</f>
        <v/>
      </c>
      <c r="AC591" s="34">
        <f>Q591*L591</f>
        <v/>
      </c>
      <c r="AD591" s="34">
        <f>S591*N591</f>
        <v/>
      </c>
      <c r="AE591" s="34">
        <f>E591*N591</f>
        <v/>
      </c>
      <c r="AF591" s="34">
        <f>R591*N591</f>
        <v/>
      </c>
      <c r="AG591" s="29">
        <f>MAX(SumAssured,AA591)</f>
        <v/>
      </c>
      <c r="AH591" s="34">
        <f>AG591*O591</f>
        <v/>
      </c>
      <c r="AI591" s="34">
        <f>AA591*O591</f>
        <v/>
      </c>
      <c r="AJ591" s="34">
        <f>AA591*P591</f>
        <v/>
      </c>
      <c r="AK591" s="34">
        <f>I591*AA591*P591</f>
        <v/>
      </c>
      <c r="AL591" s="34">
        <f>AJ591-AK591</f>
        <v/>
      </c>
      <c r="AM591" s="34">
        <f>Q591*K591</f>
        <v/>
      </c>
      <c r="AN591" s="34">
        <f>AH591+AL591+AM591</f>
        <v/>
      </c>
      <c r="AO591" s="34">
        <f>(AG591-AA591)*O591</f>
        <v/>
      </c>
      <c r="AP591" s="34">
        <f>W591*N591</f>
        <v/>
      </c>
      <c r="AQ591" s="34">
        <f>T591*N591</f>
        <v/>
      </c>
      <c r="AR591" s="34">
        <f>Z591*J592+0.5*Z591*(O591+P591)</f>
        <v/>
      </c>
      <c r="AS591" s="30">
        <f>(1+InflationRate)^(A591/12)</f>
        <v/>
      </c>
      <c r="AT591" s="29">
        <f>ExpenseAcq*M591+N591*ExpenseMaint/12*AS591</f>
        <v/>
      </c>
      <c r="AU591" s="29">
        <f>CommissionRate*AE591</f>
        <v/>
      </c>
      <c r="AV591" s="34">
        <f>AB592-AB591</f>
        <v/>
      </c>
      <c r="AW591" s="34">
        <f>AE591+AR591-AN591-AT591-AU591-AV591</f>
        <v/>
      </c>
      <c r="AX591" s="29">
        <f>LoadPremRate*E591*N591+AK591+AQ591-AU591-AT591</f>
        <v/>
      </c>
      <c r="AY591" s="34">
        <f>AP591-AO591</f>
        <v/>
      </c>
      <c r="AZ591" s="37">
        <f>(AW591-AX591-AY591)/MAX(1,ABS(AW591),ABS(AX591),ABS(AY591))</f>
        <v/>
      </c>
      <c r="BA591" s="37">
        <f>IF(OR(K591&gt;0,K592&gt;0),0,(AC592-(AC591+AF591-AQ591-AP591+AR591-AI591-AJ591-AM591))/MAX(1,ABS(AC591),ABS(AC592)))</f>
        <v/>
      </c>
      <c r="BB591" s="35">
        <f>(1+INDEX(DiscRateAnn,INT(A591/12)+1))^(1/12)-1</f>
        <v/>
      </c>
      <c r="BC591" s="31">
        <f>(1+BB591)^-A591</f>
        <v/>
      </c>
      <c r="BD591" s="34">
        <f>AW591*BC591</f>
        <v/>
      </c>
    </row>
    <row r="592">
      <c r="A592" s="27">
        <f>A591+1</f>
        <v/>
      </c>
      <c r="B592" s="28">
        <f>Duration0+A592</f>
        <v/>
      </c>
      <c r="C592" s="27">
        <f>INT(B592/12)</f>
        <v/>
      </c>
      <c r="D592" s="28">
        <f>AgeAtEntry+C592</f>
        <v/>
      </c>
      <c r="E592" s="29">
        <f>IF(PremiumType="SINGLE",IF(B592=0,PremiumPPInput,0),IF(B592&lt;12*PolicyTerm,PremiumPPInput,0))</f>
        <v/>
      </c>
      <c r="F592" s="30">
        <f>INDEX(MortRates,MATCH(MIN(D592,120),MortAges,0),MAX(MIN(C592,5),0)+1)</f>
        <v/>
      </c>
      <c r="G592" s="31">
        <f>1-(1-F592)^(1/12)</f>
        <v/>
      </c>
      <c r="H592" s="32">
        <f>MAX(LapseBase-LapseStep*C592,LapseFloor)</f>
        <v/>
      </c>
      <c r="I592" s="32">
        <f>IF(HasSurrCharge,INDEX(SurrRates,MIN(C592,SurrDurMax)+1,MATCH(SurrChargeID,SurrTypes,0)),0)</f>
        <v/>
      </c>
      <c r="J592" s="33">
        <f>N591-P591-O591</f>
        <v/>
      </c>
      <c r="K592" s="30">
        <f>IF(B592=12*PolicyTerm,J592,0)</f>
        <v/>
      </c>
      <c r="L592" s="33">
        <f>J592-K592</f>
        <v/>
      </c>
      <c r="M592" s="30">
        <f>IF(B592=0,PolicyCount,0)</f>
        <v/>
      </c>
      <c r="N592" s="33">
        <f>L592+M592</f>
        <v/>
      </c>
      <c r="O592" s="31">
        <f>N592*G592</f>
        <v/>
      </c>
      <c r="P592" s="33">
        <f>(N592-O592)*(1-(1-H592)^(1/12))</f>
        <v/>
      </c>
      <c r="Q592" s="34">
        <f>X591+Z591</f>
        <v/>
      </c>
      <c r="R592" s="29">
        <f>(1-LoadPremRate)*E592</f>
        <v/>
      </c>
      <c r="S592" s="34">
        <f>Q592+R592</f>
        <v/>
      </c>
      <c r="T592" s="29">
        <f>MaintFeeRateAnn/12*S592</f>
        <v/>
      </c>
      <c r="U592" s="29">
        <f>MAX(SumAssured-S592,0)</f>
        <v/>
      </c>
      <c r="V592" s="35">
        <f>CoiMultiple*G592</f>
        <v/>
      </c>
      <c r="W592" s="34">
        <f>V592*U592</f>
        <v/>
      </c>
      <c r="X592" s="34">
        <f>S592-T592-W592</f>
        <v/>
      </c>
      <c r="Y592" s="36">
        <f>EXP((Mu-0.5*Sigma^2)/12+Sigma*SQRT(1/12)*INDEX(NormRand,ScenID,A592+1))-1</f>
        <v/>
      </c>
      <c r="Z592" s="34">
        <f>Y592*X592</f>
        <v/>
      </c>
      <c r="AA592" s="34">
        <f>X592+0.5*Z592</f>
        <v/>
      </c>
      <c r="AB592" s="34">
        <f>Q592*J592</f>
        <v/>
      </c>
      <c r="AC592" s="34">
        <f>Q592*L592</f>
        <v/>
      </c>
      <c r="AD592" s="34">
        <f>S592*N592</f>
        <v/>
      </c>
      <c r="AE592" s="34">
        <f>E592*N592</f>
        <v/>
      </c>
      <c r="AF592" s="34">
        <f>R592*N592</f>
        <v/>
      </c>
      <c r="AG592" s="29">
        <f>MAX(SumAssured,AA592)</f>
        <v/>
      </c>
      <c r="AH592" s="34">
        <f>AG592*O592</f>
        <v/>
      </c>
      <c r="AI592" s="34">
        <f>AA592*O592</f>
        <v/>
      </c>
      <c r="AJ592" s="34">
        <f>AA592*P592</f>
        <v/>
      </c>
      <c r="AK592" s="34">
        <f>I592*AA592*P592</f>
        <v/>
      </c>
      <c r="AL592" s="34">
        <f>AJ592-AK592</f>
        <v/>
      </c>
      <c r="AM592" s="34">
        <f>Q592*K592</f>
        <v/>
      </c>
      <c r="AN592" s="34">
        <f>AH592+AL592+AM592</f>
        <v/>
      </c>
      <c r="AO592" s="34">
        <f>(AG592-AA592)*O592</f>
        <v/>
      </c>
      <c r="AP592" s="34">
        <f>W592*N592</f>
        <v/>
      </c>
      <c r="AQ592" s="34">
        <f>T592*N592</f>
        <v/>
      </c>
      <c r="AR592" s="34">
        <f>Z592*J593+0.5*Z592*(O592+P592)</f>
        <v/>
      </c>
      <c r="AS592" s="30">
        <f>(1+InflationRate)^(A592/12)</f>
        <v/>
      </c>
      <c r="AT592" s="29">
        <f>ExpenseAcq*M592+N592*ExpenseMaint/12*AS592</f>
        <v/>
      </c>
      <c r="AU592" s="29">
        <f>CommissionRate*AE592</f>
        <v/>
      </c>
      <c r="AV592" s="34">
        <f>AB593-AB592</f>
        <v/>
      </c>
      <c r="AW592" s="34">
        <f>AE592+AR592-AN592-AT592-AU592-AV592</f>
        <v/>
      </c>
      <c r="AX592" s="29">
        <f>LoadPremRate*E592*N592+AK592+AQ592-AU592-AT592</f>
        <v/>
      </c>
      <c r="AY592" s="34">
        <f>AP592-AO592</f>
        <v/>
      </c>
      <c r="AZ592" s="37">
        <f>(AW592-AX592-AY592)/MAX(1,ABS(AW592),ABS(AX592),ABS(AY592))</f>
        <v/>
      </c>
      <c r="BA592" s="37">
        <f>IF(OR(K592&gt;0,K593&gt;0),0,(AC593-(AC592+AF592-AQ592-AP592+AR592-AI592-AJ592-AM592))/MAX(1,ABS(AC592),ABS(AC593)))</f>
        <v/>
      </c>
      <c r="BB592" s="35">
        <f>(1+INDEX(DiscRateAnn,INT(A592/12)+1))^(1/12)-1</f>
        <v/>
      </c>
      <c r="BC592" s="31">
        <f>(1+BB592)^-A592</f>
        <v/>
      </c>
      <c r="BD592" s="34">
        <f>AW592*BC592</f>
        <v/>
      </c>
    </row>
    <row r="593">
      <c r="A593" s="27">
        <f>A592+1</f>
        <v/>
      </c>
      <c r="B593" s="28">
        <f>Duration0+A593</f>
        <v/>
      </c>
      <c r="C593" s="27">
        <f>INT(B593/12)</f>
        <v/>
      </c>
      <c r="D593" s="28">
        <f>AgeAtEntry+C593</f>
        <v/>
      </c>
      <c r="E593" s="29">
        <f>IF(PremiumType="SINGLE",IF(B593=0,PremiumPPInput,0),IF(B593&lt;12*PolicyTerm,PremiumPPInput,0))</f>
        <v/>
      </c>
      <c r="F593" s="30">
        <f>INDEX(MortRates,MATCH(MIN(D593,120),MortAges,0),MAX(MIN(C593,5),0)+1)</f>
        <v/>
      </c>
      <c r="G593" s="31">
        <f>1-(1-F593)^(1/12)</f>
        <v/>
      </c>
      <c r="H593" s="32">
        <f>MAX(LapseBase-LapseStep*C593,LapseFloor)</f>
        <v/>
      </c>
      <c r="I593" s="32">
        <f>IF(HasSurrCharge,INDEX(SurrRates,MIN(C593,SurrDurMax)+1,MATCH(SurrChargeID,SurrTypes,0)),0)</f>
        <v/>
      </c>
      <c r="J593" s="33">
        <f>N592-P592-O592</f>
        <v/>
      </c>
      <c r="K593" s="30">
        <f>IF(B593=12*PolicyTerm,J593,0)</f>
        <v/>
      </c>
      <c r="L593" s="33">
        <f>J593-K593</f>
        <v/>
      </c>
      <c r="M593" s="30">
        <f>IF(B593=0,PolicyCount,0)</f>
        <v/>
      </c>
      <c r="N593" s="33">
        <f>L593+M593</f>
        <v/>
      </c>
      <c r="O593" s="31">
        <f>N593*G593</f>
        <v/>
      </c>
      <c r="P593" s="33">
        <f>(N593-O593)*(1-(1-H593)^(1/12))</f>
        <v/>
      </c>
      <c r="Q593" s="34">
        <f>X592+Z592</f>
        <v/>
      </c>
      <c r="R593" s="29">
        <f>(1-LoadPremRate)*E593</f>
        <v/>
      </c>
      <c r="S593" s="34">
        <f>Q593+R593</f>
        <v/>
      </c>
      <c r="T593" s="29">
        <f>MaintFeeRateAnn/12*S593</f>
        <v/>
      </c>
      <c r="U593" s="29">
        <f>MAX(SumAssured-S593,0)</f>
        <v/>
      </c>
      <c r="V593" s="35">
        <f>CoiMultiple*G593</f>
        <v/>
      </c>
      <c r="W593" s="34">
        <f>V593*U593</f>
        <v/>
      </c>
      <c r="X593" s="34">
        <f>S593-T593-W593</f>
        <v/>
      </c>
      <c r="Y593" s="36">
        <f>EXP((Mu-0.5*Sigma^2)/12+Sigma*SQRT(1/12)*INDEX(NormRand,ScenID,A593+1))-1</f>
        <v/>
      </c>
      <c r="Z593" s="34">
        <f>Y593*X593</f>
        <v/>
      </c>
      <c r="AA593" s="34">
        <f>X593+0.5*Z593</f>
        <v/>
      </c>
      <c r="AB593" s="34">
        <f>Q593*J593</f>
        <v/>
      </c>
      <c r="AC593" s="34">
        <f>Q593*L593</f>
        <v/>
      </c>
      <c r="AD593" s="34">
        <f>S593*N593</f>
        <v/>
      </c>
      <c r="AE593" s="34">
        <f>E593*N593</f>
        <v/>
      </c>
      <c r="AF593" s="34">
        <f>R593*N593</f>
        <v/>
      </c>
      <c r="AG593" s="29">
        <f>MAX(SumAssured,AA593)</f>
        <v/>
      </c>
      <c r="AH593" s="34">
        <f>AG593*O593</f>
        <v/>
      </c>
      <c r="AI593" s="34">
        <f>AA593*O593</f>
        <v/>
      </c>
      <c r="AJ593" s="34">
        <f>AA593*P593</f>
        <v/>
      </c>
      <c r="AK593" s="34">
        <f>I593*AA593*P593</f>
        <v/>
      </c>
      <c r="AL593" s="34">
        <f>AJ593-AK593</f>
        <v/>
      </c>
      <c r="AM593" s="34">
        <f>Q593*K593</f>
        <v/>
      </c>
      <c r="AN593" s="34">
        <f>AH593+AL593+AM593</f>
        <v/>
      </c>
      <c r="AO593" s="34">
        <f>(AG593-AA593)*O593</f>
        <v/>
      </c>
      <c r="AP593" s="34">
        <f>W593*N593</f>
        <v/>
      </c>
      <c r="AQ593" s="34">
        <f>T593*N593</f>
        <v/>
      </c>
      <c r="AR593" s="34">
        <f>Z593*J594+0.5*Z593*(O593+P593)</f>
        <v/>
      </c>
      <c r="AS593" s="30">
        <f>(1+InflationRate)^(A593/12)</f>
        <v/>
      </c>
      <c r="AT593" s="29">
        <f>ExpenseAcq*M593+N593*ExpenseMaint/12*AS593</f>
        <v/>
      </c>
      <c r="AU593" s="29">
        <f>CommissionRate*AE593</f>
        <v/>
      </c>
      <c r="AV593" s="34">
        <f>AB594-AB593</f>
        <v/>
      </c>
      <c r="AW593" s="34">
        <f>AE593+AR593-AN593-AT593-AU593-AV593</f>
        <v/>
      </c>
      <c r="AX593" s="29">
        <f>LoadPremRate*E593*N593+AK593+AQ593-AU593-AT593</f>
        <v/>
      </c>
      <c r="AY593" s="34">
        <f>AP593-AO593</f>
        <v/>
      </c>
      <c r="AZ593" s="37">
        <f>(AW593-AX593-AY593)/MAX(1,ABS(AW593),ABS(AX593),ABS(AY593))</f>
        <v/>
      </c>
      <c r="BA593" s="37">
        <f>IF(OR(K593&gt;0,K594&gt;0),0,(AC594-(AC593+AF593-AQ593-AP593+AR593-AI593-AJ593-AM593))/MAX(1,ABS(AC593),ABS(AC594)))</f>
        <v/>
      </c>
      <c r="BB593" s="35">
        <f>(1+INDEX(DiscRateAnn,INT(A593/12)+1))^(1/12)-1</f>
        <v/>
      </c>
      <c r="BC593" s="31">
        <f>(1+BB593)^-A593</f>
        <v/>
      </c>
      <c r="BD593" s="34">
        <f>AW593*BC593</f>
        <v/>
      </c>
    </row>
    <row r="594">
      <c r="A594" s="27">
        <f>A593+1</f>
        <v/>
      </c>
      <c r="B594" s="28">
        <f>Duration0+A594</f>
        <v/>
      </c>
      <c r="C594" s="27">
        <f>INT(B594/12)</f>
        <v/>
      </c>
      <c r="D594" s="28">
        <f>AgeAtEntry+C594</f>
        <v/>
      </c>
      <c r="E594" s="29">
        <f>IF(PremiumType="SINGLE",IF(B594=0,PremiumPPInput,0),IF(B594&lt;12*PolicyTerm,PremiumPPInput,0))</f>
        <v/>
      </c>
      <c r="F594" s="30">
        <f>INDEX(MortRates,MATCH(MIN(D594,120),MortAges,0),MAX(MIN(C594,5),0)+1)</f>
        <v/>
      </c>
      <c r="G594" s="31">
        <f>1-(1-F594)^(1/12)</f>
        <v/>
      </c>
      <c r="H594" s="32">
        <f>MAX(LapseBase-LapseStep*C594,LapseFloor)</f>
        <v/>
      </c>
      <c r="I594" s="32">
        <f>IF(HasSurrCharge,INDEX(SurrRates,MIN(C594,SurrDurMax)+1,MATCH(SurrChargeID,SurrTypes,0)),0)</f>
        <v/>
      </c>
      <c r="J594" s="33">
        <f>N593-P593-O593</f>
        <v/>
      </c>
      <c r="K594" s="30">
        <f>IF(B594=12*PolicyTerm,J594,0)</f>
        <v/>
      </c>
      <c r="L594" s="33">
        <f>J594-K594</f>
        <v/>
      </c>
      <c r="M594" s="30">
        <f>IF(B594=0,PolicyCount,0)</f>
        <v/>
      </c>
      <c r="N594" s="33">
        <f>L594+M594</f>
        <v/>
      </c>
      <c r="O594" s="31">
        <f>N594*G594</f>
        <v/>
      </c>
      <c r="P594" s="33">
        <f>(N594-O594)*(1-(1-H594)^(1/12))</f>
        <v/>
      </c>
      <c r="Q594" s="34">
        <f>X593+Z593</f>
        <v/>
      </c>
      <c r="R594" s="29">
        <f>(1-LoadPremRate)*E594</f>
        <v/>
      </c>
      <c r="S594" s="34">
        <f>Q594+R594</f>
        <v/>
      </c>
      <c r="T594" s="29">
        <f>MaintFeeRateAnn/12*S594</f>
        <v/>
      </c>
      <c r="U594" s="29">
        <f>MAX(SumAssured-S594,0)</f>
        <v/>
      </c>
      <c r="V594" s="35">
        <f>CoiMultiple*G594</f>
        <v/>
      </c>
      <c r="W594" s="34">
        <f>V594*U594</f>
        <v/>
      </c>
      <c r="X594" s="34">
        <f>S594-T594-W594</f>
        <v/>
      </c>
      <c r="Y594" s="36">
        <f>EXP((Mu-0.5*Sigma^2)/12+Sigma*SQRT(1/12)*INDEX(NormRand,ScenID,A594+1))-1</f>
        <v/>
      </c>
      <c r="Z594" s="34">
        <f>Y594*X594</f>
        <v/>
      </c>
      <c r="AA594" s="34">
        <f>X594+0.5*Z594</f>
        <v/>
      </c>
      <c r="AB594" s="34">
        <f>Q594*J594</f>
        <v/>
      </c>
      <c r="AC594" s="34">
        <f>Q594*L594</f>
        <v/>
      </c>
      <c r="AD594" s="34">
        <f>S594*N594</f>
        <v/>
      </c>
      <c r="AE594" s="34">
        <f>E594*N594</f>
        <v/>
      </c>
      <c r="AF594" s="34">
        <f>R594*N594</f>
        <v/>
      </c>
      <c r="AG594" s="29">
        <f>MAX(SumAssured,AA594)</f>
        <v/>
      </c>
      <c r="AH594" s="34">
        <f>AG594*O594</f>
        <v/>
      </c>
      <c r="AI594" s="34">
        <f>AA594*O594</f>
        <v/>
      </c>
      <c r="AJ594" s="34">
        <f>AA594*P594</f>
        <v/>
      </c>
      <c r="AK594" s="34">
        <f>I594*AA594*P594</f>
        <v/>
      </c>
      <c r="AL594" s="34">
        <f>AJ594-AK594</f>
        <v/>
      </c>
      <c r="AM594" s="34">
        <f>Q594*K594</f>
        <v/>
      </c>
      <c r="AN594" s="34">
        <f>AH594+AL594+AM594</f>
        <v/>
      </c>
      <c r="AO594" s="34">
        <f>(AG594-AA594)*O594</f>
        <v/>
      </c>
      <c r="AP594" s="34">
        <f>W594*N594</f>
        <v/>
      </c>
      <c r="AQ594" s="34">
        <f>T594*N594</f>
        <v/>
      </c>
      <c r="AR594" s="34">
        <f>Z594*J595+0.5*Z594*(O594+P594)</f>
        <v/>
      </c>
      <c r="AS594" s="30">
        <f>(1+InflationRate)^(A594/12)</f>
        <v/>
      </c>
      <c r="AT594" s="29">
        <f>ExpenseAcq*M594+N594*ExpenseMaint/12*AS594</f>
        <v/>
      </c>
      <c r="AU594" s="29">
        <f>CommissionRate*AE594</f>
        <v/>
      </c>
      <c r="AV594" s="34">
        <f>AB595-AB594</f>
        <v/>
      </c>
      <c r="AW594" s="34">
        <f>AE594+AR594-AN594-AT594-AU594-AV594</f>
        <v/>
      </c>
      <c r="AX594" s="29">
        <f>LoadPremRate*E594*N594+AK594+AQ594-AU594-AT594</f>
        <v/>
      </c>
      <c r="AY594" s="34">
        <f>AP594-AO594</f>
        <v/>
      </c>
      <c r="AZ594" s="37">
        <f>(AW594-AX594-AY594)/MAX(1,ABS(AW594),ABS(AX594),ABS(AY594))</f>
        <v/>
      </c>
      <c r="BA594" s="37">
        <f>IF(OR(K594&gt;0,K595&gt;0),0,(AC595-(AC594+AF594-AQ594-AP594+AR594-AI594-AJ594-AM594))/MAX(1,ABS(AC594),ABS(AC595)))</f>
        <v/>
      </c>
      <c r="BB594" s="35">
        <f>(1+INDEX(DiscRateAnn,INT(A594/12)+1))^(1/12)-1</f>
        <v/>
      </c>
      <c r="BC594" s="31">
        <f>(1+BB594)^-A594</f>
        <v/>
      </c>
      <c r="BD594" s="34">
        <f>AW594*BC594</f>
        <v/>
      </c>
    </row>
    <row r="595">
      <c r="A595" s="27">
        <f>A594+1</f>
        <v/>
      </c>
      <c r="B595" s="28">
        <f>Duration0+A595</f>
        <v/>
      </c>
      <c r="C595" s="27">
        <f>INT(B595/12)</f>
        <v/>
      </c>
      <c r="D595" s="28">
        <f>AgeAtEntry+C595</f>
        <v/>
      </c>
      <c r="E595" s="29">
        <f>IF(PremiumType="SINGLE",IF(B595=0,PremiumPPInput,0),IF(B595&lt;12*PolicyTerm,PremiumPPInput,0))</f>
        <v/>
      </c>
      <c r="F595" s="30">
        <f>INDEX(MortRates,MATCH(MIN(D595,120),MortAges,0),MAX(MIN(C595,5),0)+1)</f>
        <v/>
      </c>
      <c r="G595" s="31">
        <f>1-(1-F595)^(1/12)</f>
        <v/>
      </c>
      <c r="H595" s="32">
        <f>MAX(LapseBase-LapseStep*C595,LapseFloor)</f>
        <v/>
      </c>
      <c r="I595" s="32">
        <f>IF(HasSurrCharge,INDEX(SurrRates,MIN(C595,SurrDurMax)+1,MATCH(SurrChargeID,SurrTypes,0)),0)</f>
        <v/>
      </c>
      <c r="J595" s="33">
        <f>N594-P594-O594</f>
        <v/>
      </c>
      <c r="K595" s="30">
        <f>IF(B595=12*PolicyTerm,J595,0)</f>
        <v/>
      </c>
      <c r="L595" s="33">
        <f>J595-K595</f>
        <v/>
      </c>
      <c r="M595" s="30">
        <f>IF(B595=0,PolicyCount,0)</f>
        <v/>
      </c>
      <c r="N595" s="33">
        <f>L595+M595</f>
        <v/>
      </c>
      <c r="O595" s="31">
        <f>N595*G595</f>
        <v/>
      </c>
      <c r="P595" s="33">
        <f>(N595-O595)*(1-(1-H595)^(1/12))</f>
        <v/>
      </c>
      <c r="Q595" s="34">
        <f>X594+Z594</f>
        <v/>
      </c>
      <c r="R595" s="29">
        <f>(1-LoadPremRate)*E595</f>
        <v/>
      </c>
      <c r="S595" s="34">
        <f>Q595+R595</f>
        <v/>
      </c>
      <c r="T595" s="29">
        <f>MaintFeeRateAnn/12*S595</f>
        <v/>
      </c>
      <c r="U595" s="29">
        <f>MAX(SumAssured-S595,0)</f>
        <v/>
      </c>
      <c r="V595" s="35">
        <f>CoiMultiple*G595</f>
        <v/>
      </c>
      <c r="W595" s="34">
        <f>V595*U595</f>
        <v/>
      </c>
      <c r="X595" s="34">
        <f>S595-T595-W595</f>
        <v/>
      </c>
      <c r="Y595" s="36">
        <f>EXP((Mu-0.5*Sigma^2)/12+Sigma*SQRT(1/12)*INDEX(NormRand,ScenID,A595+1))-1</f>
        <v/>
      </c>
      <c r="Z595" s="34">
        <f>Y595*X595</f>
        <v/>
      </c>
      <c r="AA595" s="34">
        <f>X595+0.5*Z595</f>
        <v/>
      </c>
      <c r="AB595" s="34">
        <f>Q595*J595</f>
        <v/>
      </c>
      <c r="AC595" s="34">
        <f>Q595*L595</f>
        <v/>
      </c>
      <c r="AD595" s="34">
        <f>S595*N595</f>
        <v/>
      </c>
      <c r="AE595" s="34">
        <f>E595*N595</f>
        <v/>
      </c>
      <c r="AF595" s="34">
        <f>R595*N595</f>
        <v/>
      </c>
      <c r="AG595" s="29">
        <f>MAX(SumAssured,AA595)</f>
        <v/>
      </c>
      <c r="AH595" s="34">
        <f>AG595*O595</f>
        <v/>
      </c>
      <c r="AI595" s="34">
        <f>AA595*O595</f>
        <v/>
      </c>
      <c r="AJ595" s="34">
        <f>AA595*P595</f>
        <v/>
      </c>
      <c r="AK595" s="34">
        <f>I595*AA595*P595</f>
        <v/>
      </c>
      <c r="AL595" s="34">
        <f>AJ595-AK595</f>
        <v/>
      </c>
      <c r="AM595" s="34">
        <f>Q595*K595</f>
        <v/>
      </c>
      <c r="AN595" s="34">
        <f>AH595+AL595+AM595</f>
        <v/>
      </c>
      <c r="AO595" s="34">
        <f>(AG595-AA595)*O595</f>
        <v/>
      </c>
      <c r="AP595" s="34">
        <f>W595*N595</f>
        <v/>
      </c>
      <c r="AQ595" s="34">
        <f>T595*N595</f>
        <v/>
      </c>
      <c r="AR595" s="34">
        <f>Z595*J596+0.5*Z595*(O595+P595)</f>
        <v/>
      </c>
      <c r="AS595" s="30">
        <f>(1+InflationRate)^(A595/12)</f>
        <v/>
      </c>
      <c r="AT595" s="29">
        <f>ExpenseAcq*M595+N595*ExpenseMaint/12*AS595</f>
        <v/>
      </c>
      <c r="AU595" s="29">
        <f>CommissionRate*AE595</f>
        <v/>
      </c>
      <c r="AV595" s="34">
        <f>AB596-AB595</f>
        <v/>
      </c>
      <c r="AW595" s="34">
        <f>AE595+AR595-AN595-AT595-AU595-AV595</f>
        <v/>
      </c>
      <c r="AX595" s="29">
        <f>LoadPremRate*E595*N595+AK595+AQ595-AU595-AT595</f>
        <v/>
      </c>
      <c r="AY595" s="34">
        <f>AP595-AO595</f>
        <v/>
      </c>
      <c r="AZ595" s="37">
        <f>(AW595-AX595-AY595)/MAX(1,ABS(AW595),ABS(AX595),ABS(AY595))</f>
        <v/>
      </c>
      <c r="BA595" s="37">
        <f>IF(OR(K595&gt;0,K596&gt;0),0,(AC596-(AC595+AF595-AQ595-AP595+AR595-AI595-AJ595-AM595))/MAX(1,ABS(AC595),ABS(AC596)))</f>
        <v/>
      </c>
      <c r="BB595" s="35">
        <f>(1+INDEX(DiscRateAnn,INT(A595/12)+1))^(1/12)-1</f>
        <v/>
      </c>
      <c r="BC595" s="31">
        <f>(1+BB595)^-A595</f>
        <v/>
      </c>
      <c r="BD595" s="34">
        <f>AW595*BC595</f>
        <v/>
      </c>
    </row>
    <row r="596">
      <c r="A596" s="27">
        <f>A595+1</f>
        <v/>
      </c>
      <c r="B596" s="28">
        <f>Duration0+A596</f>
        <v/>
      </c>
      <c r="C596" s="27">
        <f>INT(B596/12)</f>
        <v/>
      </c>
      <c r="D596" s="28">
        <f>AgeAtEntry+C596</f>
        <v/>
      </c>
      <c r="E596" s="29">
        <f>IF(PremiumType="SINGLE",IF(B596=0,PremiumPPInput,0),IF(B596&lt;12*PolicyTerm,PremiumPPInput,0))</f>
        <v/>
      </c>
      <c r="F596" s="30">
        <f>INDEX(MortRates,MATCH(MIN(D596,120),MortAges,0),MAX(MIN(C596,5),0)+1)</f>
        <v/>
      </c>
      <c r="G596" s="31">
        <f>1-(1-F596)^(1/12)</f>
        <v/>
      </c>
      <c r="H596" s="32">
        <f>MAX(LapseBase-LapseStep*C596,LapseFloor)</f>
        <v/>
      </c>
      <c r="I596" s="32">
        <f>IF(HasSurrCharge,INDEX(SurrRates,MIN(C596,SurrDurMax)+1,MATCH(SurrChargeID,SurrTypes,0)),0)</f>
        <v/>
      </c>
      <c r="J596" s="33">
        <f>N595-P595-O595</f>
        <v/>
      </c>
      <c r="K596" s="30">
        <f>IF(B596=12*PolicyTerm,J596,0)</f>
        <v/>
      </c>
      <c r="L596" s="33">
        <f>J596-K596</f>
        <v/>
      </c>
      <c r="M596" s="30">
        <f>IF(B596=0,PolicyCount,0)</f>
        <v/>
      </c>
      <c r="N596" s="33">
        <f>L596+M596</f>
        <v/>
      </c>
      <c r="O596" s="31">
        <f>N596*G596</f>
        <v/>
      </c>
      <c r="P596" s="33">
        <f>(N596-O596)*(1-(1-H596)^(1/12))</f>
        <v/>
      </c>
      <c r="Q596" s="34">
        <f>X595+Z595</f>
        <v/>
      </c>
      <c r="R596" s="29">
        <f>(1-LoadPremRate)*E596</f>
        <v/>
      </c>
      <c r="S596" s="34">
        <f>Q596+R596</f>
        <v/>
      </c>
      <c r="T596" s="29">
        <f>MaintFeeRateAnn/12*S596</f>
        <v/>
      </c>
      <c r="U596" s="29">
        <f>MAX(SumAssured-S596,0)</f>
        <v/>
      </c>
      <c r="V596" s="35">
        <f>CoiMultiple*G596</f>
        <v/>
      </c>
      <c r="W596" s="34">
        <f>V596*U596</f>
        <v/>
      </c>
      <c r="X596" s="34">
        <f>S596-T596-W596</f>
        <v/>
      </c>
      <c r="Y596" s="36">
        <f>EXP((Mu-0.5*Sigma^2)/12+Sigma*SQRT(1/12)*INDEX(NormRand,ScenID,A596+1))-1</f>
        <v/>
      </c>
      <c r="Z596" s="34">
        <f>Y596*X596</f>
        <v/>
      </c>
      <c r="AA596" s="34">
        <f>X596+0.5*Z596</f>
        <v/>
      </c>
      <c r="AB596" s="34">
        <f>Q596*J596</f>
        <v/>
      </c>
      <c r="AC596" s="34">
        <f>Q596*L596</f>
        <v/>
      </c>
      <c r="AD596" s="34">
        <f>S596*N596</f>
        <v/>
      </c>
      <c r="AE596" s="34">
        <f>E596*N596</f>
        <v/>
      </c>
      <c r="AF596" s="34">
        <f>R596*N596</f>
        <v/>
      </c>
      <c r="AG596" s="29">
        <f>MAX(SumAssured,AA596)</f>
        <v/>
      </c>
      <c r="AH596" s="34">
        <f>AG596*O596</f>
        <v/>
      </c>
      <c r="AI596" s="34">
        <f>AA596*O596</f>
        <v/>
      </c>
      <c r="AJ596" s="34">
        <f>AA596*P596</f>
        <v/>
      </c>
      <c r="AK596" s="34">
        <f>I596*AA596*P596</f>
        <v/>
      </c>
      <c r="AL596" s="34">
        <f>AJ596-AK596</f>
        <v/>
      </c>
      <c r="AM596" s="34">
        <f>Q596*K596</f>
        <v/>
      </c>
      <c r="AN596" s="34">
        <f>AH596+AL596+AM596</f>
        <v/>
      </c>
      <c r="AO596" s="34">
        <f>(AG596-AA596)*O596</f>
        <v/>
      </c>
      <c r="AP596" s="34">
        <f>W596*N596</f>
        <v/>
      </c>
      <c r="AQ596" s="34">
        <f>T596*N596</f>
        <v/>
      </c>
      <c r="AR596" s="34">
        <f>Z596*J597+0.5*Z596*(O596+P596)</f>
        <v/>
      </c>
      <c r="AS596" s="30">
        <f>(1+InflationRate)^(A596/12)</f>
        <v/>
      </c>
      <c r="AT596" s="29">
        <f>ExpenseAcq*M596+N596*ExpenseMaint/12*AS596</f>
        <v/>
      </c>
      <c r="AU596" s="29">
        <f>CommissionRate*AE596</f>
        <v/>
      </c>
      <c r="AV596" s="34">
        <f>AB597-AB596</f>
        <v/>
      </c>
      <c r="AW596" s="34">
        <f>AE596+AR596-AN596-AT596-AU596-AV596</f>
        <v/>
      </c>
      <c r="AX596" s="29">
        <f>LoadPremRate*E596*N596+AK596+AQ596-AU596-AT596</f>
        <v/>
      </c>
      <c r="AY596" s="34">
        <f>AP596-AO596</f>
        <v/>
      </c>
      <c r="AZ596" s="37">
        <f>(AW596-AX596-AY596)/MAX(1,ABS(AW596),ABS(AX596),ABS(AY596))</f>
        <v/>
      </c>
      <c r="BA596" s="37">
        <f>IF(OR(K596&gt;0,K597&gt;0),0,(AC597-(AC596+AF596-AQ596-AP596+AR596-AI596-AJ596-AM596))/MAX(1,ABS(AC596),ABS(AC597)))</f>
        <v/>
      </c>
      <c r="BB596" s="35">
        <f>(1+INDEX(DiscRateAnn,INT(A596/12)+1))^(1/12)-1</f>
        <v/>
      </c>
      <c r="BC596" s="31">
        <f>(1+BB596)^-A596</f>
        <v/>
      </c>
      <c r="BD596" s="34">
        <f>AW596*BC596</f>
        <v/>
      </c>
    </row>
    <row r="597">
      <c r="A597" s="27">
        <f>A596+1</f>
        <v/>
      </c>
      <c r="B597" s="28">
        <f>Duration0+A597</f>
        <v/>
      </c>
      <c r="C597" s="27">
        <f>INT(B597/12)</f>
        <v/>
      </c>
      <c r="D597" s="28">
        <f>AgeAtEntry+C597</f>
        <v/>
      </c>
      <c r="E597" s="29">
        <f>IF(PremiumType="SINGLE",IF(B597=0,PremiumPPInput,0),IF(B597&lt;12*PolicyTerm,PremiumPPInput,0))</f>
        <v/>
      </c>
      <c r="F597" s="30">
        <f>INDEX(MortRates,MATCH(MIN(D597,120),MortAges,0),MAX(MIN(C597,5),0)+1)</f>
        <v/>
      </c>
      <c r="G597" s="31">
        <f>1-(1-F597)^(1/12)</f>
        <v/>
      </c>
      <c r="H597" s="32">
        <f>MAX(LapseBase-LapseStep*C597,LapseFloor)</f>
        <v/>
      </c>
      <c r="I597" s="32">
        <f>IF(HasSurrCharge,INDEX(SurrRates,MIN(C597,SurrDurMax)+1,MATCH(SurrChargeID,SurrTypes,0)),0)</f>
        <v/>
      </c>
      <c r="J597" s="33">
        <f>N596-P596-O596</f>
        <v/>
      </c>
      <c r="K597" s="30">
        <f>IF(B597=12*PolicyTerm,J597,0)</f>
        <v/>
      </c>
      <c r="L597" s="33">
        <f>J597-K597</f>
        <v/>
      </c>
      <c r="M597" s="30">
        <f>IF(B597=0,PolicyCount,0)</f>
        <v/>
      </c>
      <c r="N597" s="33">
        <f>L597+M597</f>
        <v/>
      </c>
      <c r="O597" s="31">
        <f>N597*G597</f>
        <v/>
      </c>
      <c r="P597" s="33">
        <f>(N597-O597)*(1-(1-H597)^(1/12))</f>
        <v/>
      </c>
      <c r="Q597" s="34">
        <f>X596+Z596</f>
        <v/>
      </c>
      <c r="R597" s="29">
        <f>(1-LoadPremRate)*E597</f>
        <v/>
      </c>
      <c r="S597" s="34">
        <f>Q597+R597</f>
        <v/>
      </c>
      <c r="T597" s="29">
        <f>MaintFeeRateAnn/12*S597</f>
        <v/>
      </c>
      <c r="U597" s="29">
        <f>MAX(SumAssured-S597,0)</f>
        <v/>
      </c>
      <c r="V597" s="35">
        <f>CoiMultiple*G597</f>
        <v/>
      </c>
      <c r="W597" s="34">
        <f>V597*U597</f>
        <v/>
      </c>
      <c r="X597" s="34">
        <f>S597-T597-W597</f>
        <v/>
      </c>
      <c r="Y597" s="36">
        <f>EXP((Mu-0.5*Sigma^2)/12+Sigma*SQRT(1/12)*INDEX(NormRand,ScenID,A597+1))-1</f>
        <v/>
      </c>
      <c r="Z597" s="34">
        <f>Y597*X597</f>
        <v/>
      </c>
      <c r="AA597" s="34">
        <f>X597+0.5*Z597</f>
        <v/>
      </c>
      <c r="AB597" s="34">
        <f>Q597*J597</f>
        <v/>
      </c>
      <c r="AC597" s="34">
        <f>Q597*L597</f>
        <v/>
      </c>
      <c r="AD597" s="34">
        <f>S597*N597</f>
        <v/>
      </c>
      <c r="AE597" s="34">
        <f>E597*N597</f>
        <v/>
      </c>
      <c r="AF597" s="34">
        <f>R597*N597</f>
        <v/>
      </c>
      <c r="AG597" s="29">
        <f>MAX(SumAssured,AA597)</f>
        <v/>
      </c>
      <c r="AH597" s="34">
        <f>AG597*O597</f>
        <v/>
      </c>
      <c r="AI597" s="34">
        <f>AA597*O597</f>
        <v/>
      </c>
      <c r="AJ597" s="34">
        <f>AA597*P597</f>
        <v/>
      </c>
      <c r="AK597" s="34">
        <f>I597*AA597*P597</f>
        <v/>
      </c>
      <c r="AL597" s="34">
        <f>AJ597-AK597</f>
        <v/>
      </c>
      <c r="AM597" s="34">
        <f>Q597*K597</f>
        <v/>
      </c>
      <c r="AN597" s="34">
        <f>AH597+AL597+AM597</f>
        <v/>
      </c>
      <c r="AO597" s="34">
        <f>(AG597-AA597)*O597</f>
        <v/>
      </c>
      <c r="AP597" s="34">
        <f>W597*N597</f>
        <v/>
      </c>
      <c r="AQ597" s="34">
        <f>T597*N597</f>
        <v/>
      </c>
      <c r="AR597" s="34">
        <f>Z597*J598+0.5*Z597*(O597+P597)</f>
        <v/>
      </c>
      <c r="AS597" s="30">
        <f>(1+InflationRate)^(A597/12)</f>
        <v/>
      </c>
      <c r="AT597" s="29">
        <f>ExpenseAcq*M597+N597*ExpenseMaint/12*AS597</f>
        <v/>
      </c>
      <c r="AU597" s="29">
        <f>CommissionRate*AE597</f>
        <v/>
      </c>
      <c r="AV597" s="34">
        <f>AB598-AB597</f>
        <v/>
      </c>
      <c r="AW597" s="34">
        <f>AE597+AR597-AN597-AT597-AU597-AV597</f>
        <v/>
      </c>
      <c r="AX597" s="29">
        <f>LoadPremRate*E597*N597+AK597+AQ597-AU597-AT597</f>
        <v/>
      </c>
      <c r="AY597" s="34">
        <f>AP597-AO597</f>
        <v/>
      </c>
      <c r="AZ597" s="37">
        <f>(AW597-AX597-AY597)/MAX(1,ABS(AW597),ABS(AX597),ABS(AY597))</f>
        <v/>
      </c>
      <c r="BA597" s="37">
        <f>IF(OR(K597&gt;0,K598&gt;0),0,(AC598-(AC597+AF597-AQ597-AP597+AR597-AI597-AJ597-AM597))/MAX(1,ABS(AC597),ABS(AC598)))</f>
        <v/>
      </c>
      <c r="BB597" s="35">
        <f>(1+INDEX(DiscRateAnn,INT(A597/12)+1))^(1/12)-1</f>
        <v/>
      </c>
      <c r="BC597" s="31">
        <f>(1+BB597)^-A597</f>
        <v/>
      </c>
      <c r="BD597" s="34">
        <f>AW597*BC597</f>
        <v/>
      </c>
    </row>
    <row r="598">
      <c r="A598" s="27">
        <f>A597+1</f>
        <v/>
      </c>
      <c r="B598" s="28">
        <f>Duration0+A598</f>
        <v/>
      </c>
      <c r="C598" s="27">
        <f>INT(B598/12)</f>
        <v/>
      </c>
      <c r="D598" s="28">
        <f>AgeAtEntry+C598</f>
        <v/>
      </c>
      <c r="E598" s="29">
        <f>IF(PremiumType="SINGLE",IF(B598=0,PremiumPPInput,0),IF(B598&lt;12*PolicyTerm,PremiumPPInput,0))</f>
        <v/>
      </c>
      <c r="F598" s="30">
        <f>INDEX(MortRates,MATCH(MIN(D598,120),MortAges,0),MAX(MIN(C598,5),0)+1)</f>
        <v/>
      </c>
      <c r="G598" s="31">
        <f>1-(1-F598)^(1/12)</f>
        <v/>
      </c>
      <c r="H598" s="32">
        <f>MAX(LapseBase-LapseStep*C598,LapseFloor)</f>
        <v/>
      </c>
      <c r="I598" s="32">
        <f>IF(HasSurrCharge,INDEX(SurrRates,MIN(C598,SurrDurMax)+1,MATCH(SurrChargeID,SurrTypes,0)),0)</f>
        <v/>
      </c>
      <c r="J598" s="33">
        <f>N597-P597-O597</f>
        <v/>
      </c>
      <c r="K598" s="30">
        <f>IF(B598=12*PolicyTerm,J598,0)</f>
        <v/>
      </c>
      <c r="L598" s="33">
        <f>J598-K598</f>
        <v/>
      </c>
      <c r="M598" s="30">
        <f>IF(B598=0,PolicyCount,0)</f>
        <v/>
      </c>
      <c r="N598" s="33">
        <f>L598+M598</f>
        <v/>
      </c>
      <c r="O598" s="31">
        <f>N598*G598</f>
        <v/>
      </c>
      <c r="P598" s="33">
        <f>(N598-O598)*(1-(1-H598)^(1/12))</f>
        <v/>
      </c>
      <c r="Q598" s="34">
        <f>X597+Z597</f>
        <v/>
      </c>
      <c r="R598" s="29">
        <f>(1-LoadPremRate)*E598</f>
        <v/>
      </c>
      <c r="S598" s="34">
        <f>Q598+R598</f>
        <v/>
      </c>
      <c r="T598" s="29">
        <f>MaintFeeRateAnn/12*S598</f>
        <v/>
      </c>
      <c r="U598" s="29">
        <f>MAX(SumAssured-S598,0)</f>
        <v/>
      </c>
      <c r="V598" s="35">
        <f>CoiMultiple*G598</f>
        <v/>
      </c>
      <c r="W598" s="34">
        <f>V598*U598</f>
        <v/>
      </c>
      <c r="X598" s="34">
        <f>S598-T598-W598</f>
        <v/>
      </c>
      <c r="Y598" s="36">
        <f>EXP((Mu-0.5*Sigma^2)/12+Sigma*SQRT(1/12)*INDEX(NormRand,ScenID,A598+1))-1</f>
        <v/>
      </c>
      <c r="Z598" s="34">
        <f>Y598*X598</f>
        <v/>
      </c>
      <c r="AA598" s="34">
        <f>X598+0.5*Z598</f>
        <v/>
      </c>
      <c r="AB598" s="34">
        <f>Q598*J598</f>
        <v/>
      </c>
      <c r="AC598" s="34">
        <f>Q598*L598</f>
        <v/>
      </c>
      <c r="AD598" s="34">
        <f>S598*N598</f>
        <v/>
      </c>
      <c r="AE598" s="34">
        <f>E598*N598</f>
        <v/>
      </c>
      <c r="AF598" s="34">
        <f>R598*N598</f>
        <v/>
      </c>
      <c r="AG598" s="29">
        <f>MAX(SumAssured,AA598)</f>
        <v/>
      </c>
      <c r="AH598" s="34">
        <f>AG598*O598</f>
        <v/>
      </c>
      <c r="AI598" s="34">
        <f>AA598*O598</f>
        <v/>
      </c>
      <c r="AJ598" s="34">
        <f>AA598*P598</f>
        <v/>
      </c>
      <c r="AK598" s="34">
        <f>I598*AA598*P598</f>
        <v/>
      </c>
      <c r="AL598" s="34">
        <f>AJ598-AK598</f>
        <v/>
      </c>
      <c r="AM598" s="34">
        <f>Q598*K598</f>
        <v/>
      </c>
      <c r="AN598" s="34">
        <f>AH598+AL598+AM598</f>
        <v/>
      </c>
      <c r="AO598" s="34">
        <f>(AG598-AA598)*O598</f>
        <v/>
      </c>
      <c r="AP598" s="34">
        <f>W598*N598</f>
        <v/>
      </c>
      <c r="AQ598" s="34">
        <f>T598*N598</f>
        <v/>
      </c>
      <c r="AR598" s="34">
        <f>Z598*J599+0.5*Z598*(O598+P598)</f>
        <v/>
      </c>
      <c r="AS598" s="30">
        <f>(1+InflationRate)^(A598/12)</f>
        <v/>
      </c>
      <c r="AT598" s="29">
        <f>ExpenseAcq*M598+N598*ExpenseMaint/12*AS598</f>
        <v/>
      </c>
      <c r="AU598" s="29">
        <f>CommissionRate*AE598</f>
        <v/>
      </c>
      <c r="AV598" s="34">
        <f>AB599-AB598</f>
        <v/>
      </c>
      <c r="AW598" s="34">
        <f>AE598+AR598-AN598-AT598-AU598-AV598</f>
        <v/>
      </c>
      <c r="AX598" s="29">
        <f>LoadPremRate*E598*N598+AK598+AQ598-AU598-AT598</f>
        <v/>
      </c>
      <c r="AY598" s="34">
        <f>AP598-AO598</f>
        <v/>
      </c>
      <c r="AZ598" s="37">
        <f>(AW598-AX598-AY598)/MAX(1,ABS(AW598),ABS(AX598),ABS(AY598))</f>
        <v/>
      </c>
      <c r="BA598" s="37">
        <f>IF(OR(K598&gt;0,K599&gt;0),0,(AC599-(AC598+AF598-AQ598-AP598+AR598-AI598-AJ598-AM598))/MAX(1,ABS(AC598),ABS(AC599)))</f>
        <v/>
      </c>
      <c r="BB598" s="35">
        <f>(1+INDEX(DiscRateAnn,INT(A598/12)+1))^(1/12)-1</f>
        <v/>
      </c>
      <c r="BC598" s="31">
        <f>(1+BB598)^-A598</f>
        <v/>
      </c>
      <c r="BD598" s="34">
        <f>AW598*BC598</f>
        <v/>
      </c>
    </row>
    <row r="599">
      <c r="A599" s="27">
        <f>A598+1</f>
        <v/>
      </c>
      <c r="B599" s="28">
        <f>Duration0+A599</f>
        <v/>
      </c>
      <c r="C599" s="27">
        <f>INT(B599/12)</f>
        <v/>
      </c>
      <c r="D599" s="28">
        <f>AgeAtEntry+C599</f>
        <v/>
      </c>
      <c r="E599" s="29">
        <f>IF(PremiumType="SINGLE",IF(B599=0,PremiumPPInput,0),IF(B599&lt;12*PolicyTerm,PremiumPPInput,0))</f>
        <v/>
      </c>
      <c r="F599" s="30">
        <f>INDEX(MortRates,MATCH(MIN(D599,120),MortAges,0),MAX(MIN(C599,5),0)+1)</f>
        <v/>
      </c>
      <c r="G599" s="31">
        <f>1-(1-F599)^(1/12)</f>
        <v/>
      </c>
      <c r="H599" s="32">
        <f>MAX(LapseBase-LapseStep*C599,LapseFloor)</f>
        <v/>
      </c>
      <c r="I599" s="32">
        <f>IF(HasSurrCharge,INDEX(SurrRates,MIN(C599,SurrDurMax)+1,MATCH(SurrChargeID,SurrTypes,0)),0)</f>
        <v/>
      </c>
      <c r="J599" s="33">
        <f>N598-P598-O598</f>
        <v/>
      </c>
      <c r="K599" s="30">
        <f>IF(B599=12*PolicyTerm,J599,0)</f>
        <v/>
      </c>
      <c r="L599" s="33">
        <f>J599-K599</f>
        <v/>
      </c>
      <c r="M599" s="30">
        <f>IF(B599=0,PolicyCount,0)</f>
        <v/>
      </c>
      <c r="N599" s="33">
        <f>L599+M599</f>
        <v/>
      </c>
      <c r="O599" s="31">
        <f>N599*G599</f>
        <v/>
      </c>
      <c r="P599" s="33">
        <f>(N599-O599)*(1-(1-H599)^(1/12))</f>
        <v/>
      </c>
      <c r="Q599" s="34">
        <f>X598+Z598</f>
        <v/>
      </c>
      <c r="R599" s="29">
        <f>(1-LoadPremRate)*E599</f>
        <v/>
      </c>
      <c r="S599" s="34">
        <f>Q599+R599</f>
        <v/>
      </c>
      <c r="T599" s="29">
        <f>MaintFeeRateAnn/12*S599</f>
        <v/>
      </c>
      <c r="U599" s="29">
        <f>MAX(SumAssured-S599,0)</f>
        <v/>
      </c>
      <c r="V599" s="35">
        <f>CoiMultiple*G599</f>
        <v/>
      </c>
      <c r="W599" s="34">
        <f>V599*U599</f>
        <v/>
      </c>
      <c r="X599" s="34">
        <f>S599-T599-W599</f>
        <v/>
      </c>
      <c r="Y599" s="36">
        <f>EXP((Mu-0.5*Sigma^2)/12+Sigma*SQRT(1/12)*INDEX(NormRand,ScenID,A599+1))-1</f>
        <v/>
      </c>
      <c r="Z599" s="34">
        <f>Y599*X599</f>
        <v/>
      </c>
      <c r="AA599" s="34">
        <f>X599+0.5*Z599</f>
        <v/>
      </c>
      <c r="AB599" s="34">
        <f>Q599*J599</f>
        <v/>
      </c>
      <c r="AC599" s="34">
        <f>Q599*L599</f>
        <v/>
      </c>
      <c r="AD599" s="34">
        <f>S599*N599</f>
        <v/>
      </c>
      <c r="AE599" s="34">
        <f>E599*N599</f>
        <v/>
      </c>
      <c r="AF599" s="34">
        <f>R599*N599</f>
        <v/>
      </c>
      <c r="AG599" s="29">
        <f>MAX(SumAssured,AA599)</f>
        <v/>
      </c>
      <c r="AH599" s="34">
        <f>AG599*O599</f>
        <v/>
      </c>
      <c r="AI599" s="34">
        <f>AA599*O599</f>
        <v/>
      </c>
      <c r="AJ599" s="34">
        <f>AA599*P599</f>
        <v/>
      </c>
      <c r="AK599" s="34">
        <f>I599*AA599*P599</f>
        <v/>
      </c>
      <c r="AL599" s="34">
        <f>AJ599-AK599</f>
        <v/>
      </c>
      <c r="AM599" s="34">
        <f>Q599*K599</f>
        <v/>
      </c>
      <c r="AN599" s="34">
        <f>AH599+AL599+AM599</f>
        <v/>
      </c>
      <c r="AO599" s="34">
        <f>(AG599-AA599)*O599</f>
        <v/>
      </c>
      <c r="AP599" s="34">
        <f>W599*N599</f>
        <v/>
      </c>
      <c r="AQ599" s="34">
        <f>T599*N599</f>
        <v/>
      </c>
      <c r="AR599" s="34">
        <f>Z599*J600+0.5*Z599*(O599+P599)</f>
        <v/>
      </c>
      <c r="AS599" s="30">
        <f>(1+InflationRate)^(A599/12)</f>
        <v/>
      </c>
      <c r="AT599" s="29">
        <f>ExpenseAcq*M599+N599*ExpenseMaint/12*AS599</f>
        <v/>
      </c>
      <c r="AU599" s="29">
        <f>CommissionRate*AE599</f>
        <v/>
      </c>
      <c r="AV599" s="34">
        <f>AB600-AB599</f>
        <v/>
      </c>
      <c r="AW599" s="34">
        <f>AE599+AR599-AN599-AT599-AU599-AV599</f>
        <v/>
      </c>
      <c r="AX599" s="29">
        <f>LoadPremRate*E599*N599+AK599+AQ599-AU599-AT599</f>
        <v/>
      </c>
      <c r="AY599" s="34">
        <f>AP599-AO599</f>
        <v/>
      </c>
      <c r="AZ599" s="37">
        <f>(AW599-AX599-AY599)/MAX(1,ABS(AW599),ABS(AX599),ABS(AY599))</f>
        <v/>
      </c>
      <c r="BA599" s="37">
        <f>IF(OR(K599&gt;0,K600&gt;0),0,(AC600-(AC599+AF599-AQ599-AP599+AR599-AI599-AJ599-AM599))/MAX(1,ABS(AC599),ABS(AC600)))</f>
        <v/>
      </c>
      <c r="BB599" s="35">
        <f>(1+INDEX(DiscRateAnn,INT(A599/12)+1))^(1/12)-1</f>
        <v/>
      </c>
      <c r="BC599" s="31">
        <f>(1+BB599)^-A599</f>
        <v/>
      </c>
      <c r="BD599" s="34">
        <f>AW599*BC599</f>
        <v/>
      </c>
    </row>
    <row r="600">
      <c r="A600" s="27">
        <f>A599+1</f>
        <v/>
      </c>
      <c r="B600" s="28">
        <f>Duration0+A600</f>
        <v/>
      </c>
      <c r="C600" s="27">
        <f>INT(B600/12)</f>
        <v/>
      </c>
      <c r="D600" s="28">
        <f>AgeAtEntry+C600</f>
        <v/>
      </c>
      <c r="E600" s="29">
        <f>IF(PremiumType="SINGLE",IF(B600=0,PremiumPPInput,0),IF(B600&lt;12*PolicyTerm,PremiumPPInput,0))</f>
        <v/>
      </c>
      <c r="F600" s="30">
        <f>INDEX(MortRates,MATCH(MIN(D600,120),MortAges,0),MAX(MIN(C600,5),0)+1)</f>
        <v/>
      </c>
      <c r="G600" s="31">
        <f>1-(1-F600)^(1/12)</f>
        <v/>
      </c>
      <c r="H600" s="32">
        <f>MAX(LapseBase-LapseStep*C600,LapseFloor)</f>
        <v/>
      </c>
      <c r="I600" s="32">
        <f>IF(HasSurrCharge,INDEX(SurrRates,MIN(C600,SurrDurMax)+1,MATCH(SurrChargeID,SurrTypes,0)),0)</f>
        <v/>
      </c>
      <c r="J600" s="33">
        <f>N599-P599-O599</f>
        <v/>
      </c>
      <c r="K600" s="30">
        <f>IF(B600=12*PolicyTerm,J600,0)</f>
        <v/>
      </c>
      <c r="L600" s="33">
        <f>J600-K600</f>
        <v/>
      </c>
      <c r="M600" s="30">
        <f>IF(B600=0,PolicyCount,0)</f>
        <v/>
      </c>
      <c r="N600" s="33">
        <f>L600+M600</f>
        <v/>
      </c>
      <c r="O600" s="31">
        <f>N600*G600</f>
        <v/>
      </c>
      <c r="P600" s="33">
        <f>(N600-O600)*(1-(1-H600)^(1/12))</f>
        <v/>
      </c>
      <c r="Q600" s="34">
        <f>X599+Z599</f>
        <v/>
      </c>
      <c r="R600" s="29">
        <f>(1-LoadPremRate)*E600</f>
        <v/>
      </c>
      <c r="S600" s="34">
        <f>Q600+R600</f>
        <v/>
      </c>
      <c r="T600" s="29">
        <f>MaintFeeRateAnn/12*S600</f>
        <v/>
      </c>
      <c r="U600" s="29">
        <f>MAX(SumAssured-S600,0)</f>
        <v/>
      </c>
      <c r="V600" s="35">
        <f>CoiMultiple*G600</f>
        <v/>
      </c>
      <c r="W600" s="34">
        <f>V600*U600</f>
        <v/>
      </c>
      <c r="X600" s="34">
        <f>S600-T600-W600</f>
        <v/>
      </c>
      <c r="Y600" s="36">
        <f>EXP((Mu-0.5*Sigma^2)/12+Sigma*SQRT(1/12)*INDEX(NormRand,ScenID,A600+1))-1</f>
        <v/>
      </c>
      <c r="Z600" s="34">
        <f>Y600*X600</f>
        <v/>
      </c>
      <c r="AA600" s="34">
        <f>X600+0.5*Z600</f>
        <v/>
      </c>
      <c r="AB600" s="34">
        <f>Q600*J600</f>
        <v/>
      </c>
      <c r="AC600" s="34">
        <f>Q600*L600</f>
        <v/>
      </c>
      <c r="AD600" s="34">
        <f>S600*N600</f>
        <v/>
      </c>
      <c r="AE600" s="34">
        <f>E600*N600</f>
        <v/>
      </c>
      <c r="AF600" s="34">
        <f>R600*N600</f>
        <v/>
      </c>
      <c r="AG600" s="29">
        <f>MAX(SumAssured,AA600)</f>
        <v/>
      </c>
      <c r="AH600" s="34">
        <f>AG600*O600</f>
        <v/>
      </c>
      <c r="AI600" s="34">
        <f>AA600*O600</f>
        <v/>
      </c>
      <c r="AJ600" s="34">
        <f>AA600*P600</f>
        <v/>
      </c>
      <c r="AK600" s="34">
        <f>I600*AA600*P600</f>
        <v/>
      </c>
      <c r="AL600" s="34">
        <f>AJ600-AK600</f>
        <v/>
      </c>
      <c r="AM600" s="34">
        <f>Q600*K600</f>
        <v/>
      </c>
      <c r="AN600" s="34">
        <f>AH600+AL600+AM600</f>
        <v/>
      </c>
      <c r="AO600" s="34">
        <f>(AG600-AA600)*O600</f>
        <v/>
      </c>
      <c r="AP600" s="34">
        <f>W600*N600</f>
        <v/>
      </c>
      <c r="AQ600" s="34">
        <f>T600*N600</f>
        <v/>
      </c>
      <c r="AR600" s="34">
        <f>Z600*J601+0.5*Z600*(O600+P600)</f>
        <v/>
      </c>
      <c r="AS600" s="30">
        <f>(1+InflationRate)^(A600/12)</f>
        <v/>
      </c>
      <c r="AT600" s="29">
        <f>ExpenseAcq*M600+N600*ExpenseMaint/12*AS600</f>
        <v/>
      </c>
      <c r="AU600" s="29">
        <f>CommissionRate*AE600</f>
        <v/>
      </c>
      <c r="AV600" s="34">
        <f>AB601-AB600</f>
        <v/>
      </c>
      <c r="AW600" s="34">
        <f>AE600+AR600-AN600-AT600-AU600-AV600</f>
        <v/>
      </c>
      <c r="AX600" s="29">
        <f>LoadPremRate*E600*N600+AK600+AQ600-AU600-AT600</f>
        <v/>
      </c>
      <c r="AY600" s="34">
        <f>AP600-AO600</f>
        <v/>
      </c>
      <c r="AZ600" s="37">
        <f>(AW600-AX600-AY600)/MAX(1,ABS(AW600),ABS(AX600),ABS(AY600))</f>
        <v/>
      </c>
      <c r="BA600" s="37">
        <f>IF(OR(K600&gt;0,K601&gt;0),0,(AC601-(AC600+AF600-AQ600-AP600+AR600-AI600-AJ600-AM600))/MAX(1,ABS(AC600),ABS(AC601)))</f>
        <v/>
      </c>
      <c r="BB600" s="35">
        <f>(1+INDEX(DiscRateAnn,INT(A600/12)+1))^(1/12)-1</f>
        <v/>
      </c>
      <c r="BC600" s="31">
        <f>(1+BB600)^-A600</f>
        <v/>
      </c>
      <c r="BD600" s="34">
        <f>AW600*BC600</f>
        <v/>
      </c>
    </row>
    <row r="601">
      <c r="A601" s="27">
        <f>A600+1</f>
        <v/>
      </c>
      <c r="B601" s="28">
        <f>Duration0+A601</f>
        <v/>
      </c>
      <c r="C601" s="27">
        <f>INT(B601/12)</f>
        <v/>
      </c>
      <c r="D601" s="28">
        <f>AgeAtEntry+C601</f>
        <v/>
      </c>
      <c r="E601" s="29">
        <f>IF(PremiumType="SINGLE",IF(B601=0,PremiumPPInput,0),IF(B601&lt;12*PolicyTerm,PremiumPPInput,0))</f>
        <v/>
      </c>
      <c r="F601" s="30">
        <f>INDEX(MortRates,MATCH(MIN(D601,120),MortAges,0),MAX(MIN(C601,5),0)+1)</f>
        <v/>
      </c>
      <c r="G601" s="31">
        <f>1-(1-F601)^(1/12)</f>
        <v/>
      </c>
      <c r="H601" s="32">
        <f>MAX(LapseBase-LapseStep*C601,LapseFloor)</f>
        <v/>
      </c>
      <c r="I601" s="32">
        <f>IF(HasSurrCharge,INDEX(SurrRates,MIN(C601,SurrDurMax)+1,MATCH(SurrChargeID,SurrTypes,0)),0)</f>
        <v/>
      </c>
      <c r="J601" s="33">
        <f>N600-P600-O600</f>
        <v/>
      </c>
      <c r="K601" s="30">
        <f>IF(B601=12*PolicyTerm,J601,0)</f>
        <v/>
      </c>
      <c r="L601" s="33">
        <f>J601-K601</f>
        <v/>
      </c>
      <c r="M601" s="30">
        <f>IF(B601=0,PolicyCount,0)</f>
        <v/>
      </c>
      <c r="N601" s="33">
        <f>L601+M601</f>
        <v/>
      </c>
      <c r="O601" s="31">
        <f>N601*G601</f>
        <v/>
      </c>
      <c r="P601" s="33">
        <f>(N601-O601)*(1-(1-H601)^(1/12))</f>
        <v/>
      </c>
      <c r="Q601" s="34">
        <f>X600+Z600</f>
        <v/>
      </c>
      <c r="R601" s="29">
        <f>(1-LoadPremRate)*E601</f>
        <v/>
      </c>
      <c r="S601" s="34">
        <f>Q601+R601</f>
        <v/>
      </c>
      <c r="T601" s="29">
        <f>MaintFeeRateAnn/12*S601</f>
        <v/>
      </c>
      <c r="U601" s="29">
        <f>MAX(SumAssured-S601,0)</f>
        <v/>
      </c>
      <c r="V601" s="35">
        <f>CoiMultiple*G601</f>
        <v/>
      </c>
      <c r="W601" s="34">
        <f>V601*U601</f>
        <v/>
      </c>
      <c r="X601" s="34">
        <f>S601-T601-W601</f>
        <v/>
      </c>
      <c r="Y601" s="36">
        <f>EXP((Mu-0.5*Sigma^2)/12+Sigma*SQRT(1/12)*INDEX(NormRand,ScenID,A601+1))-1</f>
        <v/>
      </c>
      <c r="Z601" s="34">
        <f>Y601*X601</f>
        <v/>
      </c>
      <c r="AA601" s="34">
        <f>X601+0.5*Z601</f>
        <v/>
      </c>
      <c r="AB601" s="34">
        <f>Q601*J601</f>
        <v/>
      </c>
      <c r="AC601" s="34">
        <f>Q601*L601</f>
        <v/>
      </c>
      <c r="AD601" s="34">
        <f>S601*N601</f>
        <v/>
      </c>
      <c r="AE601" s="34">
        <f>E601*N601</f>
        <v/>
      </c>
      <c r="AF601" s="34">
        <f>R601*N601</f>
        <v/>
      </c>
      <c r="AG601" s="29">
        <f>MAX(SumAssured,AA601)</f>
        <v/>
      </c>
      <c r="AH601" s="34">
        <f>AG601*O601</f>
        <v/>
      </c>
      <c r="AI601" s="34">
        <f>AA601*O601</f>
        <v/>
      </c>
      <c r="AJ601" s="34">
        <f>AA601*P601</f>
        <v/>
      </c>
      <c r="AK601" s="34">
        <f>I601*AA601*P601</f>
        <v/>
      </c>
      <c r="AL601" s="34">
        <f>AJ601-AK601</f>
        <v/>
      </c>
      <c r="AM601" s="34">
        <f>Q601*K601</f>
        <v/>
      </c>
      <c r="AN601" s="34">
        <f>AH601+AL601+AM601</f>
        <v/>
      </c>
      <c r="AO601" s="34">
        <f>(AG601-AA601)*O601</f>
        <v/>
      </c>
      <c r="AP601" s="34">
        <f>W601*N601</f>
        <v/>
      </c>
      <c r="AQ601" s="34">
        <f>T601*N601</f>
        <v/>
      </c>
      <c r="AR601" s="34">
        <f>Z601*J602+0.5*Z601*(O601+P601)</f>
        <v/>
      </c>
      <c r="AS601" s="30">
        <f>(1+InflationRate)^(A601/12)</f>
        <v/>
      </c>
      <c r="AT601" s="29">
        <f>ExpenseAcq*M601+N601*ExpenseMaint/12*AS601</f>
        <v/>
      </c>
      <c r="AU601" s="29">
        <f>CommissionRate*AE601</f>
        <v/>
      </c>
      <c r="AV601" s="34">
        <f>AB602-AB601</f>
        <v/>
      </c>
      <c r="AW601" s="34">
        <f>AE601+AR601-AN601-AT601-AU601-AV601</f>
        <v/>
      </c>
      <c r="AX601" s="29">
        <f>LoadPremRate*E601*N601+AK601+AQ601-AU601-AT601</f>
        <v/>
      </c>
      <c r="AY601" s="34">
        <f>AP601-AO601</f>
        <v/>
      </c>
      <c r="AZ601" s="37">
        <f>(AW601-AX601-AY601)/MAX(1,ABS(AW601),ABS(AX601),ABS(AY601))</f>
        <v/>
      </c>
      <c r="BA601" s="37">
        <f>IF(OR(K601&gt;0,K602&gt;0),0,(AC602-(AC601+AF601-AQ601-AP601+AR601-AI601-AJ601-AM601))/MAX(1,ABS(AC601),ABS(AC602)))</f>
        <v/>
      </c>
      <c r="BB601" s="35">
        <f>(1+INDEX(DiscRateAnn,INT(A601/12)+1))^(1/12)-1</f>
        <v/>
      </c>
      <c r="BC601" s="31">
        <f>(1+BB601)^-A601</f>
        <v/>
      </c>
      <c r="BD601" s="34">
        <f>AW601*BC601</f>
        <v/>
      </c>
    </row>
    <row r="602">
      <c r="A602" s="27">
        <f>A601+1</f>
        <v/>
      </c>
      <c r="B602" s="28">
        <f>Duration0+A602</f>
        <v/>
      </c>
      <c r="C602" s="27">
        <f>INT(B602/12)</f>
        <v/>
      </c>
      <c r="D602" s="28">
        <f>AgeAtEntry+C602</f>
        <v/>
      </c>
      <c r="E602" s="29">
        <f>IF(PremiumType="SINGLE",IF(B602=0,PremiumPPInput,0),IF(B602&lt;12*PolicyTerm,PremiumPPInput,0))</f>
        <v/>
      </c>
      <c r="F602" s="30">
        <f>INDEX(MortRates,MATCH(MIN(D602,120),MortAges,0),MAX(MIN(C602,5),0)+1)</f>
        <v/>
      </c>
      <c r="G602" s="31">
        <f>1-(1-F602)^(1/12)</f>
        <v/>
      </c>
      <c r="H602" s="32">
        <f>MAX(LapseBase-LapseStep*C602,LapseFloor)</f>
        <v/>
      </c>
      <c r="I602" s="32">
        <f>IF(HasSurrCharge,INDEX(SurrRates,MIN(C602,SurrDurMax)+1,MATCH(SurrChargeID,SurrTypes,0)),0)</f>
        <v/>
      </c>
      <c r="J602" s="33">
        <f>N601-P601-O601</f>
        <v/>
      </c>
      <c r="K602" s="30">
        <f>IF(B602=12*PolicyTerm,J602,0)</f>
        <v/>
      </c>
      <c r="L602" s="33">
        <f>J602-K602</f>
        <v/>
      </c>
      <c r="M602" s="30">
        <f>IF(B602=0,PolicyCount,0)</f>
        <v/>
      </c>
      <c r="N602" s="33">
        <f>L602+M602</f>
        <v/>
      </c>
      <c r="O602" s="31">
        <f>N602*G602</f>
        <v/>
      </c>
      <c r="P602" s="33">
        <f>(N602-O602)*(1-(1-H602)^(1/12))</f>
        <v/>
      </c>
      <c r="Q602" s="34">
        <f>X601+Z601</f>
        <v/>
      </c>
      <c r="R602" s="29">
        <f>(1-LoadPremRate)*E602</f>
        <v/>
      </c>
      <c r="S602" s="34">
        <f>Q602+R602</f>
        <v/>
      </c>
      <c r="T602" s="29">
        <f>MaintFeeRateAnn/12*S602</f>
        <v/>
      </c>
      <c r="U602" s="29">
        <f>MAX(SumAssured-S602,0)</f>
        <v/>
      </c>
      <c r="V602" s="35">
        <f>CoiMultiple*G602</f>
        <v/>
      </c>
      <c r="W602" s="34">
        <f>V602*U602</f>
        <v/>
      </c>
      <c r="X602" s="34">
        <f>S602-T602-W602</f>
        <v/>
      </c>
      <c r="Y602" s="36">
        <f>EXP((Mu-0.5*Sigma^2)/12+Sigma*SQRT(1/12)*INDEX(NormRand,ScenID,A602+1))-1</f>
        <v/>
      </c>
      <c r="Z602" s="34">
        <f>Y602*X602</f>
        <v/>
      </c>
      <c r="AA602" s="34">
        <f>X602+0.5*Z602</f>
        <v/>
      </c>
      <c r="AB602" s="34">
        <f>Q602*J602</f>
        <v/>
      </c>
      <c r="AC602" s="34">
        <f>Q602*L602</f>
        <v/>
      </c>
      <c r="AD602" s="34">
        <f>S602*N602</f>
        <v/>
      </c>
      <c r="AE602" s="34">
        <f>E602*N602</f>
        <v/>
      </c>
      <c r="AF602" s="34">
        <f>R602*N602</f>
        <v/>
      </c>
      <c r="AG602" s="29">
        <f>MAX(SumAssured,AA602)</f>
        <v/>
      </c>
      <c r="AH602" s="34">
        <f>AG602*O602</f>
        <v/>
      </c>
      <c r="AI602" s="34">
        <f>AA602*O602</f>
        <v/>
      </c>
      <c r="AJ602" s="34">
        <f>AA602*P602</f>
        <v/>
      </c>
      <c r="AK602" s="34">
        <f>I602*AA602*P602</f>
        <v/>
      </c>
      <c r="AL602" s="34">
        <f>AJ602-AK602</f>
        <v/>
      </c>
      <c r="AM602" s="34">
        <f>Q602*K602</f>
        <v/>
      </c>
      <c r="AN602" s="34">
        <f>AH602+AL602+AM602</f>
        <v/>
      </c>
      <c r="AO602" s="34">
        <f>(AG602-AA602)*O602</f>
        <v/>
      </c>
      <c r="AP602" s="34">
        <f>W602*N602</f>
        <v/>
      </c>
      <c r="AQ602" s="34">
        <f>T602*N602</f>
        <v/>
      </c>
      <c r="AR602" s="34">
        <f>Z602*J603+0.5*Z602*(O602+P602)</f>
        <v/>
      </c>
      <c r="AS602" s="30">
        <f>(1+InflationRate)^(A602/12)</f>
        <v/>
      </c>
      <c r="AT602" s="29">
        <f>ExpenseAcq*M602+N602*ExpenseMaint/12*AS602</f>
        <v/>
      </c>
      <c r="AU602" s="29">
        <f>CommissionRate*AE602</f>
        <v/>
      </c>
      <c r="AV602" s="34">
        <f>AB603-AB602</f>
        <v/>
      </c>
      <c r="AW602" s="34">
        <f>AE602+AR602-AN602-AT602-AU602-AV602</f>
        <v/>
      </c>
      <c r="AX602" s="29">
        <f>LoadPremRate*E602*N602+AK602+AQ602-AU602-AT602</f>
        <v/>
      </c>
      <c r="AY602" s="34">
        <f>AP602-AO602</f>
        <v/>
      </c>
      <c r="AZ602" s="37">
        <f>(AW602-AX602-AY602)/MAX(1,ABS(AW602),ABS(AX602),ABS(AY602))</f>
        <v/>
      </c>
      <c r="BA602" s="37">
        <f>IF(OR(K602&gt;0,K603&gt;0),0,(AC603-(AC602+AF602-AQ602-AP602+AR602-AI602-AJ602-AM602))/MAX(1,ABS(AC602),ABS(AC603)))</f>
        <v/>
      </c>
      <c r="BB602" s="35">
        <f>(1+INDEX(DiscRateAnn,INT(A602/12)+1))^(1/12)-1</f>
        <v/>
      </c>
      <c r="BC602" s="31">
        <f>(1+BB602)^-A602</f>
        <v/>
      </c>
      <c r="BD602" s="34">
        <f>AW602*BC602</f>
        <v/>
      </c>
    </row>
    <row r="603">
      <c r="A603" s="27">
        <f>A602+1</f>
        <v/>
      </c>
      <c r="B603" s="28">
        <f>Duration0+A603</f>
        <v/>
      </c>
      <c r="C603" s="27">
        <f>INT(B603/12)</f>
        <v/>
      </c>
      <c r="D603" s="28">
        <f>AgeAtEntry+C603</f>
        <v/>
      </c>
      <c r="E603" s="29">
        <f>IF(PremiumType="SINGLE",IF(B603=0,PremiumPPInput,0),IF(B603&lt;12*PolicyTerm,PremiumPPInput,0))</f>
        <v/>
      </c>
      <c r="F603" s="30">
        <f>INDEX(MortRates,MATCH(MIN(D603,120),MortAges,0),MAX(MIN(C603,5),0)+1)</f>
        <v/>
      </c>
      <c r="G603" s="31">
        <f>1-(1-F603)^(1/12)</f>
        <v/>
      </c>
      <c r="H603" s="32">
        <f>MAX(LapseBase-LapseStep*C603,LapseFloor)</f>
        <v/>
      </c>
      <c r="I603" s="32">
        <f>IF(HasSurrCharge,INDEX(SurrRates,MIN(C603,SurrDurMax)+1,MATCH(SurrChargeID,SurrTypes,0)),0)</f>
        <v/>
      </c>
      <c r="J603" s="33">
        <f>N602-P602-O602</f>
        <v/>
      </c>
      <c r="K603" s="30">
        <f>IF(B603=12*PolicyTerm,J603,0)</f>
        <v/>
      </c>
      <c r="L603" s="33">
        <f>J603-K603</f>
        <v/>
      </c>
      <c r="M603" s="30">
        <f>IF(B603=0,PolicyCount,0)</f>
        <v/>
      </c>
      <c r="N603" s="33">
        <f>L603+M603</f>
        <v/>
      </c>
      <c r="O603" s="31">
        <f>N603*G603</f>
        <v/>
      </c>
      <c r="P603" s="33">
        <f>(N603-O603)*(1-(1-H603)^(1/12))</f>
        <v/>
      </c>
      <c r="Q603" s="34">
        <f>X602+Z602</f>
        <v/>
      </c>
      <c r="R603" s="29">
        <f>(1-LoadPremRate)*E603</f>
        <v/>
      </c>
      <c r="S603" s="34">
        <f>Q603+R603</f>
        <v/>
      </c>
      <c r="T603" s="29">
        <f>MaintFeeRateAnn/12*S603</f>
        <v/>
      </c>
      <c r="U603" s="29">
        <f>MAX(SumAssured-S603,0)</f>
        <v/>
      </c>
      <c r="V603" s="35">
        <f>CoiMultiple*G603</f>
        <v/>
      </c>
      <c r="W603" s="34">
        <f>V603*U603</f>
        <v/>
      </c>
      <c r="X603" s="34">
        <f>S603-T603-W603</f>
        <v/>
      </c>
      <c r="Y603" s="36">
        <f>EXP((Mu-0.5*Sigma^2)/12+Sigma*SQRT(1/12)*INDEX(NormRand,ScenID,A603+1))-1</f>
        <v/>
      </c>
      <c r="Z603" s="34">
        <f>Y603*X603</f>
        <v/>
      </c>
      <c r="AA603" s="34">
        <f>X603+0.5*Z603</f>
        <v/>
      </c>
      <c r="AB603" s="34">
        <f>Q603*J603</f>
        <v/>
      </c>
      <c r="AC603" s="34">
        <f>Q603*L603</f>
        <v/>
      </c>
      <c r="AD603" s="34">
        <f>S603*N603</f>
        <v/>
      </c>
      <c r="AE603" s="34">
        <f>E603*N603</f>
        <v/>
      </c>
      <c r="AF603" s="34">
        <f>R603*N603</f>
        <v/>
      </c>
      <c r="AG603" s="29">
        <f>MAX(SumAssured,AA603)</f>
        <v/>
      </c>
      <c r="AH603" s="34">
        <f>AG603*O603</f>
        <v/>
      </c>
      <c r="AI603" s="34">
        <f>AA603*O603</f>
        <v/>
      </c>
      <c r="AJ603" s="34">
        <f>AA603*P603</f>
        <v/>
      </c>
      <c r="AK603" s="34">
        <f>I603*AA603*P603</f>
        <v/>
      </c>
      <c r="AL603" s="34">
        <f>AJ603-AK603</f>
        <v/>
      </c>
      <c r="AM603" s="34">
        <f>Q603*K603</f>
        <v/>
      </c>
      <c r="AN603" s="34">
        <f>AH603+AL603+AM603</f>
        <v/>
      </c>
      <c r="AO603" s="34">
        <f>(AG603-AA603)*O603</f>
        <v/>
      </c>
      <c r="AP603" s="34">
        <f>W603*N603</f>
        <v/>
      </c>
      <c r="AQ603" s="34">
        <f>T603*N603</f>
        <v/>
      </c>
      <c r="AR603" s="34">
        <f>Z603*J604+0.5*Z603*(O603+P603)</f>
        <v/>
      </c>
      <c r="AS603" s="30">
        <f>(1+InflationRate)^(A603/12)</f>
        <v/>
      </c>
      <c r="AT603" s="29">
        <f>ExpenseAcq*M603+N603*ExpenseMaint/12*AS603</f>
        <v/>
      </c>
      <c r="AU603" s="29">
        <f>CommissionRate*AE603</f>
        <v/>
      </c>
      <c r="AV603" s="34">
        <f>AB604-AB603</f>
        <v/>
      </c>
      <c r="AW603" s="34">
        <f>AE603+AR603-AN603-AT603-AU603-AV603</f>
        <v/>
      </c>
      <c r="AX603" s="29">
        <f>LoadPremRate*E603*N603+AK603+AQ603-AU603-AT603</f>
        <v/>
      </c>
      <c r="AY603" s="34">
        <f>AP603-AO603</f>
        <v/>
      </c>
      <c r="AZ603" s="37">
        <f>(AW603-AX603-AY603)/MAX(1,ABS(AW603),ABS(AX603),ABS(AY603))</f>
        <v/>
      </c>
      <c r="BA603" s="37">
        <f>IF(OR(K603&gt;0,K604&gt;0),0,(AC604-(AC603+AF603-AQ603-AP603+AR603-AI603-AJ603-AM603))/MAX(1,ABS(AC603),ABS(AC604)))</f>
        <v/>
      </c>
      <c r="BB603" s="35">
        <f>(1+INDEX(DiscRateAnn,INT(A603/12)+1))^(1/12)-1</f>
        <v/>
      </c>
      <c r="BC603" s="31">
        <f>(1+BB603)^-A603</f>
        <v/>
      </c>
      <c r="BD603" s="34">
        <f>AW603*BC603</f>
        <v/>
      </c>
    </row>
    <row r="604">
      <c r="A604" s="27">
        <f>A603+1</f>
        <v/>
      </c>
      <c r="B604" s="28">
        <f>Duration0+A604</f>
        <v/>
      </c>
      <c r="C604" s="27">
        <f>INT(B604/12)</f>
        <v/>
      </c>
      <c r="D604" s="28">
        <f>AgeAtEntry+C604</f>
        <v/>
      </c>
      <c r="E604" s="29">
        <f>IF(PremiumType="SINGLE",IF(B604=0,PremiumPPInput,0),IF(B604&lt;12*PolicyTerm,PremiumPPInput,0))</f>
        <v/>
      </c>
      <c r="F604" s="30">
        <f>INDEX(MortRates,MATCH(MIN(D604,120),MortAges,0),MAX(MIN(C604,5),0)+1)</f>
        <v/>
      </c>
      <c r="G604" s="31">
        <f>1-(1-F604)^(1/12)</f>
        <v/>
      </c>
      <c r="H604" s="32">
        <f>MAX(LapseBase-LapseStep*C604,LapseFloor)</f>
        <v/>
      </c>
      <c r="I604" s="32">
        <f>IF(HasSurrCharge,INDEX(SurrRates,MIN(C604,SurrDurMax)+1,MATCH(SurrChargeID,SurrTypes,0)),0)</f>
        <v/>
      </c>
      <c r="J604" s="33">
        <f>N603-P603-O603</f>
        <v/>
      </c>
      <c r="K604" s="30">
        <f>IF(B604=12*PolicyTerm,J604,0)</f>
        <v/>
      </c>
      <c r="L604" s="33">
        <f>J604-K604</f>
        <v/>
      </c>
      <c r="M604" s="30">
        <f>IF(B604=0,PolicyCount,0)</f>
        <v/>
      </c>
      <c r="N604" s="33">
        <f>L604+M604</f>
        <v/>
      </c>
      <c r="O604" s="31">
        <f>N604*G604</f>
        <v/>
      </c>
      <c r="P604" s="33">
        <f>(N604-O604)*(1-(1-H604)^(1/12))</f>
        <v/>
      </c>
      <c r="Q604" s="34">
        <f>X603+Z603</f>
        <v/>
      </c>
      <c r="R604" s="29">
        <f>(1-LoadPremRate)*E604</f>
        <v/>
      </c>
      <c r="S604" s="34">
        <f>Q604+R604</f>
        <v/>
      </c>
      <c r="T604" s="29">
        <f>MaintFeeRateAnn/12*S604</f>
        <v/>
      </c>
      <c r="U604" s="29">
        <f>MAX(SumAssured-S604,0)</f>
        <v/>
      </c>
      <c r="V604" s="35">
        <f>CoiMultiple*G604</f>
        <v/>
      </c>
      <c r="W604" s="34">
        <f>V604*U604</f>
        <v/>
      </c>
      <c r="X604" s="34">
        <f>S604-T604-W604</f>
        <v/>
      </c>
      <c r="Y604" s="36">
        <f>EXP((Mu-0.5*Sigma^2)/12+Sigma*SQRT(1/12)*INDEX(NormRand,ScenID,A604+1))-1</f>
        <v/>
      </c>
      <c r="Z604" s="34">
        <f>Y604*X604</f>
        <v/>
      </c>
      <c r="AA604" s="34">
        <f>X604+0.5*Z604</f>
        <v/>
      </c>
      <c r="AB604" s="34">
        <f>Q604*J604</f>
        <v/>
      </c>
      <c r="AC604" s="34">
        <f>Q604*L604</f>
        <v/>
      </c>
      <c r="AD604" s="34">
        <f>S604*N604</f>
        <v/>
      </c>
      <c r="AE604" s="34">
        <f>E604*N604</f>
        <v/>
      </c>
      <c r="AF604" s="34">
        <f>R604*N604</f>
        <v/>
      </c>
      <c r="AG604" s="29">
        <f>MAX(SumAssured,AA604)</f>
        <v/>
      </c>
      <c r="AH604" s="34">
        <f>AG604*O604</f>
        <v/>
      </c>
      <c r="AI604" s="34">
        <f>AA604*O604</f>
        <v/>
      </c>
      <c r="AJ604" s="34">
        <f>AA604*P604</f>
        <v/>
      </c>
      <c r="AK604" s="34">
        <f>I604*AA604*P604</f>
        <v/>
      </c>
      <c r="AL604" s="34">
        <f>AJ604-AK604</f>
        <v/>
      </c>
      <c r="AM604" s="34">
        <f>Q604*K604</f>
        <v/>
      </c>
      <c r="AN604" s="34">
        <f>AH604+AL604+AM604</f>
        <v/>
      </c>
      <c r="AO604" s="34">
        <f>(AG604-AA604)*O604</f>
        <v/>
      </c>
      <c r="AP604" s="34">
        <f>W604*N604</f>
        <v/>
      </c>
      <c r="AQ604" s="34">
        <f>T604*N604</f>
        <v/>
      </c>
      <c r="AR604" s="34">
        <f>Z604*J605+0.5*Z604*(O604+P604)</f>
        <v/>
      </c>
      <c r="AS604" s="30">
        <f>(1+InflationRate)^(A604/12)</f>
        <v/>
      </c>
      <c r="AT604" s="29">
        <f>ExpenseAcq*M604+N604*ExpenseMaint/12*AS604</f>
        <v/>
      </c>
      <c r="AU604" s="29">
        <f>CommissionRate*AE604</f>
        <v/>
      </c>
      <c r="AV604" s="34">
        <f>AB605-AB604</f>
        <v/>
      </c>
      <c r="AW604" s="34">
        <f>AE604+AR604-AN604-AT604-AU604-AV604</f>
        <v/>
      </c>
      <c r="AX604" s="29">
        <f>LoadPremRate*E604*N604+AK604+AQ604-AU604-AT604</f>
        <v/>
      </c>
      <c r="AY604" s="34">
        <f>AP604-AO604</f>
        <v/>
      </c>
      <c r="AZ604" s="37">
        <f>(AW604-AX604-AY604)/MAX(1,ABS(AW604),ABS(AX604),ABS(AY604))</f>
        <v/>
      </c>
      <c r="BA604" s="37">
        <f>IF(OR(K604&gt;0,K605&gt;0),0,(AC605-(AC604+AF604-AQ604-AP604+AR604-AI604-AJ604-AM604))/MAX(1,ABS(AC604),ABS(AC605)))</f>
        <v/>
      </c>
      <c r="BB604" s="35">
        <f>(1+INDEX(DiscRateAnn,INT(A604/12)+1))^(1/12)-1</f>
        <v/>
      </c>
      <c r="BC604" s="31">
        <f>(1+BB604)^-A604</f>
        <v/>
      </c>
      <c r="BD604" s="34">
        <f>AW604*BC604</f>
        <v/>
      </c>
    </row>
    <row r="605">
      <c r="A605" s="27">
        <f>A604+1</f>
        <v/>
      </c>
      <c r="B605" s="28">
        <f>Duration0+A605</f>
        <v/>
      </c>
      <c r="C605" s="27">
        <f>INT(B605/12)</f>
        <v/>
      </c>
      <c r="D605" s="28">
        <f>AgeAtEntry+C605</f>
        <v/>
      </c>
      <c r="E605" s="29">
        <f>IF(PremiumType="SINGLE",IF(B605=0,PremiumPPInput,0),IF(B605&lt;12*PolicyTerm,PremiumPPInput,0))</f>
        <v/>
      </c>
      <c r="F605" s="30">
        <f>INDEX(MortRates,MATCH(MIN(D605,120),MortAges,0),MAX(MIN(C605,5),0)+1)</f>
        <v/>
      </c>
      <c r="G605" s="31">
        <f>1-(1-F605)^(1/12)</f>
        <v/>
      </c>
      <c r="H605" s="32">
        <f>MAX(LapseBase-LapseStep*C605,LapseFloor)</f>
        <v/>
      </c>
      <c r="I605" s="32">
        <f>IF(HasSurrCharge,INDEX(SurrRates,MIN(C605,SurrDurMax)+1,MATCH(SurrChargeID,SurrTypes,0)),0)</f>
        <v/>
      </c>
      <c r="J605" s="33">
        <f>N604-P604-O604</f>
        <v/>
      </c>
      <c r="K605" s="30">
        <f>IF(B605=12*PolicyTerm,J605,0)</f>
        <v/>
      </c>
      <c r="L605" s="33">
        <f>J605-K605</f>
        <v/>
      </c>
      <c r="M605" s="30">
        <f>IF(B605=0,PolicyCount,0)</f>
        <v/>
      </c>
      <c r="N605" s="33">
        <f>L605+M605</f>
        <v/>
      </c>
      <c r="O605" s="31">
        <f>N605*G605</f>
        <v/>
      </c>
      <c r="P605" s="33">
        <f>(N605-O605)*(1-(1-H605)^(1/12))</f>
        <v/>
      </c>
      <c r="Q605" s="34">
        <f>X604+Z604</f>
        <v/>
      </c>
      <c r="R605" s="29">
        <f>(1-LoadPremRate)*E605</f>
        <v/>
      </c>
      <c r="S605" s="34">
        <f>Q605+R605</f>
        <v/>
      </c>
      <c r="T605" s="29">
        <f>MaintFeeRateAnn/12*S605</f>
        <v/>
      </c>
      <c r="U605" s="29">
        <f>MAX(SumAssured-S605,0)</f>
        <v/>
      </c>
      <c r="V605" s="35">
        <f>CoiMultiple*G605</f>
        <v/>
      </c>
      <c r="W605" s="34">
        <f>V605*U605</f>
        <v/>
      </c>
      <c r="X605" s="34">
        <f>S605-T605-W605</f>
        <v/>
      </c>
      <c r="Y605" s="36">
        <f>EXP((Mu-0.5*Sigma^2)/12+Sigma*SQRT(1/12)*INDEX(NormRand,ScenID,A605+1))-1</f>
        <v/>
      </c>
      <c r="Z605" s="34">
        <f>Y605*X605</f>
        <v/>
      </c>
      <c r="AA605" s="34">
        <f>X605+0.5*Z605</f>
        <v/>
      </c>
      <c r="AB605" s="34">
        <f>Q605*J605</f>
        <v/>
      </c>
      <c r="AC605" s="34">
        <f>Q605*L605</f>
        <v/>
      </c>
      <c r="AD605" s="34">
        <f>S605*N605</f>
        <v/>
      </c>
      <c r="AE605" s="34">
        <f>E605*N605</f>
        <v/>
      </c>
      <c r="AF605" s="34">
        <f>R605*N605</f>
        <v/>
      </c>
      <c r="AG605" s="29">
        <f>MAX(SumAssured,AA605)</f>
        <v/>
      </c>
      <c r="AH605" s="34">
        <f>AG605*O605</f>
        <v/>
      </c>
      <c r="AI605" s="34">
        <f>AA605*O605</f>
        <v/>
      </c>
      <c r="AJ605" s="34">
        <f>AA605*P605</f>
        <v/>
      </c>
      <c r="AK605" s="34">
        <f>I605*AA605*P605</f>
        <v/>
      </c>
      <c r="AL605" s="34">
        <f>AJ605-AK605</f>
        <v/>
      </c>
      <c r="AM605" s="34">
        <f>Q605*K605</f>
        <v/>
      </c>
      <c r="AN605" s="34">
        <f>AH605+AL605+AM605</f>
        <v/>
      </c>
      <c r="AO605" s="34">
        <f>(AG605-AA605)*O605</f>
        <v/>
      </c>
      <c r="AP605" s="34">
        <f>W605*N605</f>
        <v/>
      </c>
      <c r="AQ605" s="34">
        <f>T605*N605</f>
        <v/>
      </c>
      <c r="AR605" s="34">
        <f>Z605*J606+0.5*Z605*(O605+P605)</f>
        <v/>
      </c>
      <c r="AS605" s="30">
        <f>(1+InflationRate)^(A605/12)</f>
        <v/>
      </c>
      <c r="AT605" s="29">
        <f>ExpenseAcq*M605+N605*ExpenseMaint/12*AS605</f>
        <v/>
      </c>
      <c r="AU605" s="29">
        <f>CommissionRate*AE605</f>
        <v/>
      </c>
      <c r="AV605" s="34">
        <f>AB606-AB605</f>
        <v/>
      </c>
      <c r="AW605" s="34">
        <f>AE605+AR605-AN605-AT605-AU605-AV605</f>
        <v/>
      </c>
      <c r="AX605" s="29">
        <f>LoadPremRate*E605*N605+AK605+AQ605-AU605-AT605</f>
        <v/>
      </c>
      <c r="AY605" s="34">
        <f>AP605-AO605</f>
        <v/>
      </c>
      <c r="AZ605" s="37">
        <f>(AW605-AX605-AY605)/MAX(1,ABS(AW605),ABS(AX605),ABS(AY605))</f>
        <v/>
      </c>
      <c r="BA605" s="37">
        <f>IF(OR(K605&gt;0,K606&gt;0),0,(AC606-(AC605+AF605-AQ605-AP605+AR605-AI605-AJ605-AM605))/MAX(1,ABS(AC605),ABS(AC606)))</f>
        <v/>
      </c>
      <c r="BB605" s="35">
        <f>(1+INDEX(DiscRateAnn,INT(A605/12)+1))^(1/12)-1</f>
        <v/>
      </c>
      <c r="BC605" s="31">
        <f>(1+BB605)^-A605</f>
        <v/>
      </c>
      <c r="BD605" s="34">
        <f>AW605*BC605</f>
        <v/>
      </c>
    </row>
    <row r="606">
      <c r="A606" s="27">
        <f>A605+1</f>
        <v/>
      </c>
      <c r="B606" s="28">
        <f>Duration0+A606</f>
        <v/>
      </c>
      <c r="C606" s="27">
        <f>INT(B606/12)</f>
        <v/>
      </c>
      <c r="D606" s="28">
        <f>AgeAtEntry+C606</f>
        <v/>
      </c>
      <c r="E606" s="29">
        <f>IF(PremiumType="SINGLE",IF(B606=0,PremiumPPInput,0),IF(B606&lt;12*PolicyTerm,PremiumPPInput,0))</f>
        <v/>
      </c>
      <c r="F606" s="30">
        <f>INDEX(MortRates,MATCH(MIN(D606,120),MortAges,0),MAX(MIN(C606,5),0)+1)</f>
        <v/>
      </c>
      <c r="G606" s="31">
        <f>1-(1-F606)^(1/12)</f>
        <v/>
      </c>
      <c r="H606" s="32">
        <f>MAX(LapseBase-LapseStep*C606,LapseFloor)</f>
        <v/>
      </c>
      <c r="I606" s="32">
        <f>IF(HasSurrCharge,INDEX(SurrRates,MIN(C606,SurrDurMax)+1,MATCH(SurrChargeID,SurrTypes,0)),0)</f>
        <v/>
      </c>
      <c r="J606" s="33">
        <f>N605-P605-O605</f>
        <v/>
      </c>
      <c r="K606" s="30">
        <f>IF(B606=12*PolicyTerm,J606,0)</f>
        <v/>
      </c>
      <c r="L606" s="33">
        <f>J606-K606</f>
        <v/>
      </c>
      <c r="M606" s="30">
        <f>IF(B606=0,PolicyCount,0)</f>
        <v/>
      </c>
      <c r="N606" s="33">
        <f>L606+M606</f>
        <v/>
      </c>
      <c r="O606" s="31">
        <f>N606*G606</f>
        <v/>
      </c>
      <c r="P606" s="33">
        <f>(N606-O606)*(1-(1-H606)^(1/12))</f>
        <v/>
      </c>
      <c r="Q606" s="34">
        <f>X605+Z605</f>
        <v/>
      </c>
      <c r="R606" s="29">
        <f>(1-LoadPremRate)*E606</f>
        <v/>
      </c>
      <c r="S606" s="34">
        <f>Q606+R606</f>
        <v/>
      </c>
      <c r="T606" s="29">
        <f>MaintFeeRateAnn/12*S606</f>
        <v/>
      </c>
      <c r="U606" s="29">
        <f>MAX(SumAssured-S606,0)</f>
        <v/>
      </c>
      <c r="V606" s="35">
        <f>CoiMultiple*G606</f>
        <v/>
      </c>
      <c r="W606" s="34">
        <f>V606*U606</f>
        <v/>
      </c>
      <c r="X606" s="34">
        <f>S606-T606-W606</f>
        <v/>
      </c>
      <c r="Y606" s="36">
        <f>EXP((Mu-0.5*Sigma^2)/12+Sigma*SQRT(1/12)*INDEX(NormRand,ScenID,A606+1))-1</f>
        <v/>
      </c>
      <c r="Z606" s="34">
        <f>Y606*X606</f>
        <v/>
      </c>
      <c r="AA606" s="34">
        <f>X606+0.5*Z606</f>
        <v/>
      </c>
      <c r="AB606" s="34">
        <f>Q606*J606</f>
        <v/>
      </c>
      <c r="AC606" s="34">
        <f>Q606*L606</f>
        <v/>
      </c>
      <c r="AD606" s="34">
        <f>S606*N606</f>
        <v/>
      </c>
      <c r="AE606" s="34">
        <f>E606*N606</f>
        <v/>
      </c>
      <c r="AF606" s="34">
        <f>R606*N606</f>
        <v/>
      </c>
      <c r="AG606" s="29">
        <f>MAX(SumAssured,AA606)</f>
        <v/>
      </c>
      <c r="AH606" s="34">
        <f>AG606*O606</f>
        <v/>
      </c>
      <c r="AI606" s="34">
        <f>AA606*O606</f>
        <v/>
      </c>
      <c r="AJ606" s="34">
        <f>AA606*P606</f>
        <v/>
      </c>
      <c r="AK606" s="34">
        <f>I606*AA606*P606</f>
        <v/>
      </c>
      <c r="AL606" s="34">
        <f>AJ606-AK606</f>
        <v/>
      </c>
      <c r="AM606" s="34">
        <f>Q606*K606</f>
        <v/>
      </c>
      <c r="AN606" s="34">
        <f>AH606+AL606+AM606</f>
        <v/>
      </c>
      <c r="AO606" s="34">
        <f>(AG606-AA606)*O606</f>
        <v/>
      </c>
      <c r="AP606" s="34">
        <f>W606*N606</f>
        <v/>
      </c>
      <c r="AQ606" s="34">
        <f>T606*N606</f>
        <v/>
      </c>
      <c r="AR606" s="34">
        <f>Z606*J607+0.5*Z606*(O606+P606)</f>
        <v/>
      </c>
      <c r="AS606" s="30">
        <f>(1+InflationRate)^(A606/12)</f>
        <v/>
      </c>
      <c r="AT606" s="29">
        <f>ExpenseAcq*M606+N606*ExpenseMaint/12*AS606</f>
        <v/>
      </c>
      <c r="AU606" s="29">
        <f>CommissionRate*AE606</f>
        <v/>
      </c>
      <c r="AV606" s="34">
        <f>AB607-AB606</f>
        <v/>
      </c>
      <c r="AW606" s="34">
        <f>AE606+AR606-AN606-AT606-AU606-AV606</f>
        <v/>
      </c>
      <c r="AX606" s="29">
        <f>LoadPremRate*E606*N606+AK606+AQ606-AU606-AT606</f>
        <v/>
      </c>
      <c r="AY606" s="34">
        <f>AP606-AO606</f>
        <v/>
      </c>
      <c r="AZ606" s="37">
        <f>(AW606-AX606-AY606)/MAX(1,ABS(AW606),ABS(AX606),ABS(AY606))</f>
        <v/>
      </c>
      <c r="BA606" s="37">
        <f>IF(OR(K606&gt;0,K607&gt;0),0,(AC607-(AC606+AF606-AQ606-AP606+AR606-AI606-AJ606-AM606))/MAX(1,ABS(AC606),ABS(AC607)))</f>
        <v/>
      </c>
      <c r="BB606" s="35">
        <f>(1+INDEX(DiscRateAnn,INT(A606/12)+1))^(1/12)-1</f>
        <v/>
      </c>
      <c r="BC606" s="31">
        <f>(1+BB606)^-A606</f>
        <v/>
      </c>
      <c r="BD606" s="34">
        <f>AW606*BC606</f>
        <v/>
      </c>
    </row>
    <row r="607">
      <c r="A607" s="27">
        <f>A606+1</f>
        <v/>
      </c>
      <c r="B607" s="28">
        <f>Duration0+A607</f>
        <v/>
      </c>
      <c r="C607" s="27">
        <f>INT(B607/12)</f>
        <v/>
      </c>
      <c r="D607" s="28">
        <f>AgeAtEntry+C607</f>
        <v/>
      </c>
      <c r="E607" s="29">
        <f>IF(PremiumType="SINGLE",IF(B607=0,PremiumPPInput,0),IF(B607&lt;12*PolicyTerm,PremiumPPInput,0))</f>
        <v/>
      </c>
      <c r="F607" s="30">
        <f>INDEX(MortRates,MATCH(MIN(D607,120),MortAges,0),MAX(MIN(C607,5),0)+1)</f>
        <v/>
      </c>
      <c r="G607" s="31">
        <f>1-(1-F607)^(1/12)</f>
        <v/>
      </c>
      <c r="H607" s="32">
        <f>MAX(LapseBase-LapseStep*C607,LapseFloor)</f>
        <v/>
      </c>
      <c r="I607" s="32">
        <f>IF(HasSurrCharge,INDEX(SurrRates,MIN(C607,SurrDurMax)+1,MATCH(SurrChargeID,SurrTypes,0)),0)</f>
        <v/>
      </c>
      <c r="J607" s="33">
        <f>N606-P606-O606</f>
        <v/>
      </c>
      <c r="K607" s="30">
        <f>IF(B607=12*PolicyTerm,J607,0)</f>
        <v/>
      </c>
      <c r="L607" s="33">
        <f>J607-K607</f>
        <v/>
      </c>
      <c r="M607" s="30">
        <f>IF(B607=0,PolicyCount,0)</f>
        <v/>
      </c>
      <c r="N607" s="33">
        <f>L607+M607</f>
        <v/>
      </c>
      <c r="O607" s="31">
        <f>N607*G607</f>
        <v/>
      </c>
      <c r="P607" s="33">
        <f>(N607-O607)*(1-(1-H607)^(1/12))</f>
        <v/>
      </c>
      <c r="Q607" s="34">
        <f>X606+Z606</f>
        <v/>
      </c>
      <c r="R607" s="29">
        <f>(1-LoadPremRate)*E607</f>
        <v/>
      </c>
      <c r="S607" s="34">
        <f>Q607+R607</f>
        <v/>
      </c>
      <c r="T607" s="29">
        <f>MaintFeeRateAnn/12*S607</f>
        <v/>
      </c>
      <c r="U607" s="29">
        <f>MAX(SumAssured-S607,0)</f>
        <v/>
      </c>
      <c r="V607" s="35">
        <f>CoiMultiple*G607</f>
        <v/>
      </c>
      <c r="W607" s="34">
        <f>V607*U607</f>
        <v/>
      </c>
      <c r="X607" s="34">
        <f>S607-T607-W607</f>
        <v/>
      </c>
      <c r="Y607" s="36">
        <f>EXP((Mu-0.5*Sigma^2)/12+Sigma*SQRT(1/12)*INDEX(NormRand,ScenID,A607+1))-1</f>
        <v/>
      </c>
      <c r="Z607" s="34">
        <f>Y607*X607</f>
        <v/>
      </c>
      <c r="AA607" s="34">
        <f>X607+0.5*Z607</f>
        <v/>
      </c>
      <c r="AB607" s="34">
        <f>Q607*J607</f>
        <v/>
      </c>
      <c r="AC607" s="34">
        <f>Q607*L607</f>
        <v/>
      </c>
      <c r="AD607" s="34">
        <f>S607*N607</f>
        <v/>
      </c>
      <c r="AE607" s="34">
        <f>E607*N607</f>
        <v/>
      </c>
      <c r="AF607" s="34">
        <f>R607*N607</f>
        <v/>
      </c>
      <c r="AG607" s="29">
        <f>MAX(SumAssured,AA607)</f>
        <v/>
      </c>
      <c r="AH607" s="34">
        <f>AG607*O607</f>
        <v/>
      </c>
      <c r="AI607" s="34">
        <f>AA607*O607</f>
        <v/>
      </c>
      <c r="AJ607" s="34">
        <f>AA607*P607</f>
        <v/>
      </c>
      <c r="AK607" s="34">
        <f>I607*AA607*P607</f>
        <v/>
      </c>
      <c r="AL607" s="34">
        <f>AJ607-AK607</f>
        <v/>
      </c>
      <c r="AM607" s="34">
        <f>Q607*K607</f>
        <v/>
      </c>
      <c r="AN607" s="34">
        <f>AH607+AL607+AM607</f>
        <v/>
      </c>
      <c r="AO607" s="34">
        <f>(AG607-AA607)*O607</f>
        <v/>
      </c>
      <c r="AP607" s="34">
        <f>W607*N607</f>
        <v/>
      </c>
      <c r="AQ607" s="34">
        <f>T607*N607</f>
        <v/>
      </c>
      <c r="AR607" s="34">
        <f>Z607*J608+0.5*Z607*(O607+P607)</f>
        <v/>
      </c>
      <c r="AS607" s="30">
        <f>(1+InflationRate)^(A607/12)</f>
        <v/>
      </c>
      <c r="AT607" s="29">
        <f>ExpenseAcq*M607+N607*ExpenseMaint/12*AS607</f>
        <v/>
      </c>
      <c r="AU607" s="29">
        <f>CommissionRate*AE607</f>
        <v/>
      </c>
      <c r="AV607" s="34">
        <f>AB608-AB607</f>
        <v/>
      </c>
      <c r="AW607" s="34">
        <f>AE607+AR607-AN607-AT607-AU607-AV607</f>
        <v/>
      </c>
      <c r="AX607" s="29">
        <f>LoadPremRate*E607*N607+AK607+AQ607-AU607-AT607</f>
        <v/>
      </c>
      <c r="AY607" s="34">
        <f>AP607-AO607</f>
        <v/>
      </c>
      <c r="AZ607" s="37">
        <f>(AW607-AX607-AY607)/MAX(1,ABS(AW607),ABS(AX607),ABS(AY607))</f>
        <v/>
      </c>
      <c r="BA607" s="37">
        <f>IF(OR(K607&gt;0,K608&gt;0),0,(AC608-(AC607+AF607-AQ607-AP607+AR607-AI607-AJ607-AM607))/MAX(1,ABS(AC607),ABS(AC608)))</f>
        <v/>
      </c>
      <c r="BB607" s="35">
        <f>(1+INDEX(DiscRateAnn,INT(A607/12)+1))^(1/12)-1</f>
        <v/>
      </c>
      <c r="BC607" s="31">
        <f>(1+BB607)^-A607</f>
        <v/>
      </c>
      <c r="BD607" s="34">
        <f>AW607*BC607</f>
        <v/>
      </c>
    </row>
    <row r="608">
      <c r="A608" s="27">
        <f>A607+1</f>
        <v/>
      </c>
      <c r="B608" s="28">
        <f>Duration0+A608</f>
        <v/>
      </c>
      <c r="C608" s="27">
        <f>INT(B608/12)</f>
        <v/>
      </c>
      <c r="D608" s="28">
        <f>AgeAtEntry+C608</f>
        <v/>
      </c>
      <c r="E608" s="29">
        <f>IF(PremiumType="SINGLE",IF(B608=0,PremiumPPInput,0),IF(B608&lt;12*PolicyTerm,PremiumPPInput,0))</f>
        <v/>
      </c>
      <c r="F608" s="30">
        <f>INDEX(MortRates,MATCH(MIN(D608,120),MortAges,0),MAX(MIN(C608,5),0)+1)</f>
        <v/>
      </c>
      <c r="G608" s="31">
        <f>1-(1-F608)^(1/12)</f>
        <v/>
      </c>
      <c r="H608" s="32">
        <f>MAX(LapseBase-LapseStep*C608,LapseFloor)</f>
        <v/>
      </c>
      <c r="I608" s="32">
        <f>IF(HasSurrCharge,INDEX(SurrRates,MIN(C608,SurrDurMax)+1,MATCH(SurrChargeID,SurrTypes,0)),0)</f>
        <v/>
      </c>
      <c r="J608" s="33">
        <f>N607-P607-O607</f>
        <v/>
      </c>
      <c r="K608" s="30">
        <f>IF(B608=12*PolicyTerm,J608,0)</f>
        <v/>
      </c>
      <c r="L608" s="33">
        <f>J608-K608</f>
        <v/>
      </c>
      <c r="M608" s="30">
        <f>IF(B608=0,PolicyCount,0)</f>
        <v/>
      </c>
      <c r="N608" s="33">
        <f>L608+M608</f>
        <v/>
      </c>
      <c r="O608" s="31">
        <f>N608*G608</f>
        <v/>
      </c>
      <c r="P608" s="33">
        <f>(N608-O608)*(1-(1-H608)^(1/12))</f>
        <v/>
      </c>
      <c r="Q608" s="34">
        <f>X607+Z607</f>
        <v/>
      </c>
      <c r="R608" s="29">
        <f>(1-LoadPremRate)*E608</f>
        <v/>
      </c>
      <c r="S608" s="34">
        <f>Q608+R608</f>
        <v/>
      </c>
      <c r="T608" s="29">
        <f>MaintFeeRateAnn/12*S608</f>
        <v/>
      </c>
      <c r="U608" s="29">
        <f>MAX(SumAssured-S608,0)</f>
        <v/>
      </c>
      <c r="V608" s="35">
        <f>CoiMultiple*G608</f>
        <v/>
      </c>
      <c r="W608" s="34">
        <f>V608*U608</f>
        <v/>
      </c>
      <c r="X608" s="34">
        <f>S608-T608-W608</f>
        <v/>
      </c>
      <c r="Y608" s="36">
        <f>EXP((Mu-0.5*Sigma^2)/12+Sigma*SQRT(1/12)*INDEX(NormRand,ScenID,A608+1))-1</f>
        <v/>
      </c>
      <c r="Z608" s="34">
        <f>Y608*X608</f>
        <v/>
      </c>
      <c r="AA608" s="34">
        <f>X608+0.5*Z608</f>
        <v/>
      </c>
      <c r="AB608" s="34">
        <f>Q608*J608</f>
        <v/>
      </c>
      <c r="AC608" s="34">
        <f>Q608*L608</f>
        <v/>
      </c>
      <c r="AD608" s="34">
        <f>S608*N608</f>
        <v/>
      </c>
      <c r="AE608" s="34">
        <f>E608*N608</f>
        <v/>
      </c>
      <c r="AF608" s="34">
        <f>R608*N608</f>
        <v/>
      </c>
      <c r="AG608" s="29">
        <f>MAX(SumAssured,AA608)</f>
        <v/>
      </c>
      <c r="AH608" s="34">
        <f>AG608*O608</f>
        <v/>
      </c>
      <c r="AI608" s="34">
        <f>AA608*O608</f>
        <v/>
      </c>
      <c r="AJ608" s="34">
        <f>AA608*P608</f>
        <v/>
      </c>
      <c r="AK608" s="34">
        <f>I608*AA608*P608</f>
        <v/>
      </c>
      <c r="AL608" s="34">
        <f>AJ608-AK608</f>
        <v/>
      </c>
      <c r="AM608" s="34">
        <f>Q608*K608</f>
        <v/>
      </c>
      <c r="AN608" s="34">
        <f>AH608+AL608+AM608</f>
        <v/>
      </c>
      <c r="AO608" s="34">
        <f>(AG608-AA608)*O608</f>
        <v/>
      </c>
      <c r="AP608" s="34">
        <f>W608*N608</f>
        <v/>
      </c>
      <c r="AQ608" s="34">
        <f>T608*N608</f>
        <v/>
      </c>
      <c r="AR608" s="34">
        <f>Z608*J609+0.5*Z608*(O608+P608)</f>
        <v/>
      </c>
      <c r="AS608" s="30">
        <f>(1+InflationRate)^(A608/12)</f>
        <v/>
      </c>
      <c r="AT608" s="29">
        <f>ExpenseAcq*M608+N608*ExpenseMaint/12*AS608</f>
        <v/>
      </c>
      <c r="AU608" s="29">
        <f>CommissionRate*AE608</f>
        <v/>
      </c>
      <c r="AV608" s="34">
        <f>AB609-AB608</f>
        <v/>
      </c>
      <c r="AW608" s="34">
        <f>AE608+AR608-AN608-AT608-AU608-AV608</f>
        <v/>
      </c>
      <c r="AX608" s="29">
        <f>LoadPremRate*E608*N608+AK608+AQ608-AU608-AT608</f>
        <v/>
      </c>
      <c r="AY608" s="34">
        <f>AP608-AO608</f>
        <v/>
      </c>
      <c r="AZ608" s="37">
        <f>(AW608-AX608-AY608)/MAX(1,ABS(AW608),ABS(AX608),ABS(AY608))</f>
        <v/>
      </c>
      <c r="BA608" s="37">
        <f>IF(OR(K608&gt;0,K609&gt;0),0,(AC609-(AC608+AF608-AQ608-AP608+AR608-AI608-AJ608-AM608))/MAX(1,ABS(AC608),ABS(AC609)))</f>
        <v/>
      </c>
      <c r="BB608" s="35">
        <f>(1+INDEX(DiscRateAnn,INT(A608/12)+1))^(1/12)-1</f>
        <v/>
      </c>
      <c r="BC608" s="31">
        <f>(1+BB608)^-A608</f>
        <v/>
      </c>
      <c r="BD608" s="34">
        <f>AW608*BC608</f>
        <v/>
      </c>
    </row>
    <row r="609">
      <c r="A609" s="27">
        <f>A608+1</f>
        <v/>
      </c>
      <c r="B609" s="28">
        <f>Duration0+A609</f>
        <v/>
      </c>
      <c r="C609" s="27">
        <f>INT(B609/12)</f>
        <v/>
      </c>
      <c r="D609" s="28">
        <f>AgeAtEntry+C609</f>
        <v/>
      </c>
      <c r="E609" s="29">
        <f>IF(PremiumType="SINGLE",IF(B609=0,PremiumPPInput,0),IF(B609&lt;12*PolicyTerm,PremiumPPInput,0))</f>
        <v/>
      </c>
      <c r="F609" s="30">
        <f>INDEX(MortRates,MATCH(MIN(D609,120),MortAges,0),MAX(MIN(C609,5),0)+1)</f>
        <v/>
      </c>
      <c r="G609" s="31">
        <f>1-(1-F609)^(1/12)</f>
        <v/>
      </c>
      <c r="H609" s="32">
        <f>MAX(LapseBase-LapseStep*C609,LapseFloor)</f>
        <v/>
      </c>
      <c r="I609" s="32">
        <f>IF(HasSurrCharge,INDEX(SurrRates,MIN(C609,SurrDurMax)+1,MATCH(SurrChargeID,SurrTypes,0)),0)</f>
        <v/>
      </c>
      <c r="J609" s="33">
        <f>N608-P608-O608</f>
        <v/>
      </c>
      <c r="K609" s="30">
        <f>IF(B609=12*PolicyTerm,J609,0)</f>
        <v/>
      </c>
      <c r="L609" s="33">
        <f>J609-K609</f>
        <v/>
      </c>
      <c r="M609" s="30">
        <f>IF(B609=0,PolicyCount,0)</f>
        <v/>
      </c>
      <c r="N609" s="33">
        <f>L609+M609</f>
        <v/>
      </c>
      <c r="O609" s="31">
        <f>N609*G609</f>
        <v/>
      </c>
      <c r="P609" s="33">
        <f>(N609-O609)*(1-(1-H609)^(1/12))</f>
        <v/>
      </c>
      <c r="Q609" s="34">
        <f>X608+Z608</f>
        <v/>
      </c>
      <c r="R609" s="29">
        <f>(1-LoadPremRate)*E609</f>
        <v/>
      </c>
      <c r="S609" s="34">
        <f>Q609+R609</f>
        <v/>
      </c>
      <c r="T609" s="29">
        <f>MaintFeeRateAnn/12*S609</f>
        <v/>
      </c>
      <c r="U609" s="29">
        <f>MAX(SumAssured-S609,0)</f>
        <v/>
      </c>
      <c r="V609" s="35">
        <f>CoiMultiple*G609</f>
        <v/>
      </c>
      <c r="W609" s="34">
        <f>V609*U609</f>
        <v/>
      </c>
      <c r="X609" s="34">
        <f>S609-T609-W609</f>
        <v/>
      </c>
      <c r="Y609" s="36">
        <f>EXP((Mu-0.5*Sigma^2)/12+Sigma*SQRT(1/12)*INDEX(NormRand,ScenID,A609+1))-1</f>
        <v/>
      </c>
      <c r="Z609" s="34">
        <f>Y609*X609</f>
        <v/>
      </c>
      <c r="AA609" s="34">
        <f>X609+0.5*Z609</f>
        <v/>
      </c>
      <c r="AB609" s="34">
        <f>Q609*J609</f>
        <v/>
      </c>
      <c r="AC609" s="34">
        <f>Q609*L609</f>
        <v/>
      </c>
      <c r="AD609" s="34">
        <f>S609*N609</f>
        <v/>
      </c>
      <c r="AE609" s="34">
        <f>E609*N609</f>
        <v/>
      </c>
      <c r="AF609" s="34">
        <f>R609*N609</f>
        <v/>
      </c>
      <c r="AG609" s="29">
        <f>MAX(SumAssured,AA609)</f>
        <v/>
      </c>
      <c r="AH609" s="34">
        <f>AG609*O609</f>
        <v/>
      </c>
      <c r="AI609" s="34">
        <f>AA609*O609</f>
        <v/>
      </c>
      <c r="AJ609" s="34">
        <f>AA609*P609</f>
        <v/>
      </c>
      <c r="AK609" s="34">
        <f>I609*AA609*P609</f>
        <v/>
      </c>
      <c r="AL609" s="34">
        <f>AJ609-AK609</f>
        <v/>
      </c>
      <c r="AM609" s="34">
        <f>Q609*K609</f>
        <v/>
      </c>
      <c r="AN609" s="34">
        <f>AH609+AL609+AM609</f>
        <v/>
      </c>
      <c r="AO609" s="34">
        <f>(AG609-AA609)*O609</f>
        <v/>
      </c>
      <c r="AP609" s="34">
        <f>W609*N609</f>
        <v/>
      </c>
      <c r="AQ609" s="34">
        <f>T609*N609</f>
        <v/>
      </c>
      <c r="AR609" s="34">
        <f>Z609*J610+0.5*Z609*(O609+P609)</f>
        <v/>
      </c>
      <c r="AS609" s="30">
        <f>(1+InflationRate)^(A609/12)</f>
        <v/>
      </c>
      <c r="AT609" s="29">
        <f>ExpenseAcq*M609+N609*ExpenseMaint/12*AS609</f>
        <v/>
      </c>
      <c r="AU609" s="29">
        <f>CommissionRate*AE609</f>
        <v/>
      </c>
      <c r="AV609" s="34">
        <f>AB610-AB609</f>
        <v/>
      </c>
      <c r="AW609" s="34">
        <f>AE609+AR609-AN609-AT609-AU609-AV609</f>
        <v/>
      </c>
      <c r="AX609" s="29">
        <f>LoadPremRate*E609*N609+AK609+AQ609-AU609-AT609</f>
        <v/>
      </c>
      <c r="AY609" s="34">
        <f>AP609-AO609</f>
        <v/>
      </c>
      <c r="AZ609" s="37">
        <f>(AW609-AX609-AY609)/MAX(1,ABS(AW609),ABS(AX609),ABS(AY609))</f>
        <v/>
      </c>
      <c r="BA609" s="37">
        <f>IF(OR(K609&gt;0,K610&gt;0),0,(AC610-(AC609+AF609-AQ609-AP609+AR609-AI609-AJ609-AM609))/MAX(1,ABS(AC609),ABS(AC610)))</f>
        <v/>
      </c>
      <c r="BB609" s="35">
        <f>(1+INDEX(DiscRateAnn,INT(A609/12)+1))^(1/12)-1</f>
        <v/>
      </c>
      <c r="BC609" s="31">
        <f>(1+BB609)^-A609</f>
        <v/>
      </c>
      <c r="BD609" s="34">
        <f>AW609*BC609</f>
        <v/>
      </c>
    </row>
    <row r="610">
      <c r="A610" s="27">
        <f>A609+1</f>
        <v/>
      </c>
      <c r="B610" s="28">
        <f>Duration0+A610</f>
        <v/>
      </c>
      <c r="C610" s="27">
        <f>INT(B610/12)</f>
        <v/>
      </c>
      <c r="D610" s="28">
        <f>AgeAtEntry+C610</f>
        <v/>
      </c>
      <c r="E610" s="29">
        <f>IF(PremiumType="SINGLE",IF(B610=0,PremiumPPInput,0),IF(B610&lt;12*PolicyTerm,PremiumPPInput,0))</f>
        <v/>
      </c>
      <c r="F610" s="30">
        <f>INDEX(MortRates,MATCH(MIN(D610,120),MortAges,0),MAX(MIN(C610,5),0)+1)</f>
        <v/>
      </c>
      <c r="G610" s="31">
        <f>1-(1-F610)^(1/12)</f>
        <v/>
      </c>
      <c r="H610" s="32">
        <f>MAX(LapseBase-LapseStep*C610,LapseFloor)</f>
        <v/>
      </c>
      <c r="I610" s="32">
        <f>IF(HasSurrCharge,INDEX(SurrRates,MIN(C610,SurrDurMax)+1,MATCH(SurrChargeID,SurrTypes,0)),0)</f>
        <v/>
      </c>
      <c r="J610" s="33">
        <f>N609-P609-O609</f>
        <v/>
      </c>
      <c r="K610" s="30">
        <f>IF(B610=12*PolicyTerm,J610,0)</f>
        <v/>
      </c>
      <c r="L610" s="33">
        <f>J610-K610</f>
        <v/>
      </c>
      <c r="M610" s="30">
        <f>IF(B610=0,PolicyCount,0)</f>
        <v/>
      </c>
      <c r="N610" s="33">
        <f>L610+M610</f>
        <v/>
      </c>
      <c r="O610" s="31">
        <f>N610*G610</f>
        <v/>
      </c>
      <c r="P610" s="33">
        <f>(N610-O610)*(1-(1-H610)^(1/12))</f>
        <v/>
      </c>
      <c r="Q610" s="34">
        <f>X609+Z609</f>
        <v/>
      </c>
      <c r="R610" s="29">
        <f>(1-LoadPremRate)*E610</f>
        <v/>
      </c>
      <c r="S610" s="34">
        <f>Q610+R610</f>
        <v/>
      </c>
      <c r="T610" s="29">
        <f>MaintFeeRateAnn/12*S610</f>
        <v/>
      </c>
      <c r="U610" s="29">
        <f>MAX(SumAssured-S610,0)</f>
        <v/>
      </c>
      <c r="V610" s="35">
        <f>CoiMultiple*G610</f>
        <v/>
      </c>
      <c r="W610" s="34">
        <f>V610*U610</f>
        <v/>
      </c>
      <c r="X610" s="34">
        <f>S610-T610-W610</f>
        <v/>
      </c>
      <c r="Y610" s="36">
        <f>EXP((Mu-0.5*Sigma^2)/12+Sigma*SQRT(1/12)*INDEX(NormRand,ScenID,A610+1))-1</f>
        <v/>
      </c>
      <c r="Z610" s="34">
        <f>Y610*X610</f>
        <v/>
      </c>
      <c r="AA610" s="34">
        <f>X610+0.5*Z610</f>
        <v/>
      </c>
      <c r="AB610" s="34">
        <f>Q610*J610</f>
        <v/>
      </c>
      <c r="AC610" s="34">
        <f>Q610*L610</f>
        <v/>
      </c>
      <c r="AD610" s="34">
        <f>S610*N610</f>
        <v/>
      </c>
      <c r="AE610" s="34">
        <f>E610*N610</f>
        <v/>
      </c>
      <c r="AF610" s="34">
        <f>R610*N610</f>
        <v/>
      </c>
      <c r="AG610" s="29">
        <f>MAX(SumAssured,AA610)</f>
        <v/>
      </c>
      <c r="AH610" s="34">
        <f>AG610*O610</f>
        <v/>
      </c>
      <c r="AI610" s="34">
        <f>AA610*O610</f>
        <v/>
      </c>
      <c r="AJ610" s="34">
        <f>AA610*P610</f>
        <v/>
      </c>
      <c r="AK610" s="34">
        <f>I610*AA610*P610</f>
        <v/>
      </c>
      <c r="AL610" s="34">
        <f>AJ610-AK610</f>
        <v/>
      </c>
      <c r="AM610" s="34">
        <f>Q610*K610</f>
        <v/>
      </c>
      <c r="AN610" s="34">
        <f>AH610+AL610+AM610</f>
        <v/>
      </c>
      <c r="AO610" s="34">
        <f>(AG610-AA610)*O610</f>
        <v/>
      </c>
      <c r="AP610" s="34">
        <f>W610*N610</f>
        <v/>
      </c>
      <c r="AQ610" s="34">
        <f>T610*N610</f>
        <v/>
      </c>
      <c r="AR610" s="34">
        <f>Z610*J611+0.5*Z610*(O610+P610)</f>
        <v/>
      </c>
      <c r="AS610" s="30">
        <f>(1+InflationRate)^(A610/12)</f>
        <v/>
      </c>
      <c r="AT610" s="29">
        <f>ExpenseAcq*M610+N610*ExpenseMaint/12*AS610</f>
        <v/>
      </c>
      <c r="AU610" s="29">
        <f>CommissionRate*AE610</f>
        <v/>
      </c>
      <c r="AV610" s="34">
        <f>AB611-AB610</f>
        <v/>
      </c>
      <c r="AW610" s="34">
        <f>AE610+AR610-AN610-AT610-AU610-AV610</f>
        <v/>
      </c>
      <c r="AX610" s="29">
        <f>LoadPremRate*E610*N610+AK610+AQ610-AU610-AT610</f>
        <v/>
      </c>
      <c r="AY610" s="34">
        <f>AP610-AO610</f>
        <v/>
      </c>
      <c r="AZ610" s="37">
        <f>(AW610-AX610-AY610)/MAX(1,ABS(AW610),ABS(AX610),ABS(AY610))</f>
        <v/>
      </c>
      <c r="BA610" s="37">
        <f>IF(OR(K610&gt;0,K611&gt;0),0,(AC611-(AC610+AF610-AQ610-AP610+AR610-AI610-AJ610-AM610))/MAX(1,ABS(AC610),ABS(AC611)))</f>
        <v/>
      </c>
      <c r="BB610" s="35">
        <f>(1+INDEX(DiscRateAnn,INT(A610/12)+1))^(1/12)-1</f>
        <v/>
      </c>
      <c r="BC610" s="31">
        <f>(1+BB610)^-A610</f>
        <v/>
      </c>
      <c r="BD610" s="34">
        <f>AW610*BC610</f>
        <v/>
      </c>
    </row>
    <row r="611">
      <c r="A611" s="27">
        <f>A610+1</f>
        <v/>
      </c>
      <c r="B611" s="28">
        <f>Duration0+A611</f>
        <v/>
      </c>
      <c r="C611" s="27">
        <f>INT(B611/12)</f>
        <v/>
      </c>
      <c r="D611" s="28">
        <f>AgeAtEntry+C611</f>
        <v/>
      </c>
      <c r="E611" s="29">
        <f>IF(PremiumType="SINGLE",IF(B611=0,PremiumPPInput,0),IF(B611&lt;12*PolicyTerm,PremiumPPInput,0))</f>
        <v/>
      </c>
      <c r="F611" s="30">
        <f>INDEX(MortRates,MATCH(MIN(D611,120),MortAges,0),MAX(MIN(C611,5),0)+1)</f>
        <v/>
      </c>
      <c r="G611" s="31">
        <f>1-(1-F611)^(1/12)</f>
        <v/>
      </c>
      <c r="H611" s="32">
        <f>MAX(LapseBase-LapseStep*C611,LapseFloor)</f>
        <v/>
      </c>
      <c r="I611" s="32">
        <f>IF(HasSurrCharge,INDEX(SurrRates,MIN(C611,SurrDurMax)+1,MATCH(SurrChargeID,SurrTypes,0)),0)</f>
        <v/>
      </c>
      <c r="J611" s="33">
        <f>N610-P610-O610</f>
        <v/>
      </c>
      <c r="K611" s="30">
        <f>IF(B611=12*PolicyTerm,J611,0)</f>
        <v/>
      </c>
      <c r="L611" s="33">
        <f>J611-K611</f>
        <v/>
      </c>
      <c r="M611" s="30">
        <f>IF(B611=0,PolicyCount,0)</f>
        <v/>
      </c>
      <c r="N611" s="33">
        <f>L611+M611</f>
        <v/>
      </c>
      <c r="O611" s="31">
        <f>N611*G611</f>
        <v/>
      </c>
      <c r="P611" s="33">
        <f>(N611-O611)*(1-(1-H611)^(1/12))</f>
        <v/>
      </c>
      <c r="Q611" s="34">
        <f>X610+Z610</f>
        <v/>
      </c>
      <c r="R611" s="29">
        <f>(1-LoadPremRate)*E611</f>
        <v/>
      </c>
      <c r="S611" s="34">
        <f>Q611+R611</f>
        <v/>
      </c>
      <c r="T611" s="29">
        <f>MaintFeeRateAnn/12*S611</f>
        <v/>
      </c>
      <c r="U611" s="29">
        <f>MAX(SumAssured-S611,0)</f>
        <v/>
      </c>
      <c r="V611" s="35">
        <f>CoiMultiple*G611</f>
        <v/>
      </c>
      <c r="W611" s="34">
        <f>V611*U611</f>
        <v/>
      </c>
      <c r="X611" s="34">
        <f>S611-T611-W611</f>
        <v/>
      </c>
      <c r="Y611" s="36">
        <f>EXP((Mu-0.5*Sigma^2)/12+Sigma*SQRT(1/12)*INDEX(NormRand,ScenID,A611+1))-1</f>
        <v/>
      </c>
      <c r="Z611" s="34">
        <f>Y611*X611</f>
        <v/>
      </c>
      <c r="AA611" s="34">
        <f>X611+0.5*Z611</f>
        <v/>
      </c>
      <c r="AB611" s="34">
        <f>Q611*J611</f>
        <v/>
      </c>
      <c r="AC611" s="34">
        <f>Q611*L611</f>
        <v/>
      </c>
      <c r="AD611" s="34">
        <f>S611*N611</f>
        <v/>
      </c>
      <c r="AE611" s="34">
        <f>E611*N611</f>
        <v/>
      </c>
      <c r="AF611" s="34">
        <f>R611*N611</f>
        <v/>
      </c>
      <c r="AG611" s="29">
        <f>MAX(SumAssured,AA611)</f>
        <v/>
      </c>
      <c r="AH611" s="34">
        <f>AG611*O611</f>
        <v/>
      </c>
      <c r="AI611" s="34">
        <f>AA611*O611</f>
        <v/>
      </c>
      <c r="AJ611" s="34">
        <f>AA611*P611</f>
        <v/>
      </c>
      <c r="AK611" s="34">
        <f>I611*AA611*P611</f>
        <v/>
      </c>
      <c r="AL611" s="34">
        <f>AJ611-AK611</f>
        <v/>
      </c>
      <c r="AM611" s="34">
        <f>Q611*K611</f>
        <v/>
      </c>
      <c r="AN611" s="34">
        <f>AH611+AL611+AM611</f>
        <v/>
      </c>
      <c r="AO611" s="34">
        <f>(AG611-AA611)*O611</f>
        <v/>
      </c>
      <c r="AP611" s="34">
        <f>W611*N611</f>
        <v/>
      </c>
      <c r="AQ611" s="34">
        <f>T611*N611</f>
        <v/>
      </c>
      <c r="AR611" s="34">
        <f>Z611*J612+0.5*Z611*(O611+P611)</f>
        <v/>
      </c>
      <c r="AS611" s="30">
        <f>(1+InflationRate)^(A611/12)</f>
        <v/>
      </c>
      <c r="AT611" s="29">
        <f>ExpenseAcq*M611+N611*ExpenseMaint/12*AS611</f>
        <v/>
      </c>
      <c r="AU611" s="29">
        <f>CommissionRate*AE611</f>
        <v/>
      </c>
      <c r="AV611" s="34">
        <f>AB612-AB611</f>
        <v/>
      </c>
      <c r="AW611" s="34">
        <f>AE611+AR611-AN611-AT611-AU611-AV611</f>
        <v/>
      </c>
      <c r="AX611" s="29">
        <f>LoadPremRate*E611*N611+AK611+AQ611-AU611-AT611</f>
        <v/>
      </c>
      <c r="AY611" s="34">
        <f>AP611-AO611</f>
        <v/>
      </c>
      <c r="AZ611" s="37">
        <f>(AW611-AX611-AY611)/MAX(1,ABS(AW611),ABS(AX611),ABS(AY611))</f>
        <v/>
      </c>
      <c r="BA611" s="37">
        <f>IF(OR(K611&gt;0,K612&gt;0),0,(AC612-(AC611+AF611-AQ611-AP611+AR611-AI611-AJ611-AM611))/MAX(1,ABS(AC611),ABS(AC612)))</f>
        <v/>
      </c>
      <c r="BB611" s="35">
        <f>(1+INDEX(DiscRateAnn,INT(A611/12)+1))^(1/12)-1</f>
        <v/>
      </c>
      <c r="BC611" s="31">
        <f>(1+BB611)^-A611</f>
        <v/>
      </c>
      <c r="BD611" s="34">
        <f>AW611*BC611</f>
        <v/>
      </c>
    </row>
    <row r="612">
      <c r="A612" s="27">
        <f>A611+1</f>
        <v/>
      </c>
      <c r="B612" s="28">
        <f>Duration0+A612</f>
        <v/>
      </c>
      <c r="C612" s="27">
        <f>INT(B612/12)</f>
        <v/>
      </c>
      <c r="D612" s="28">
        <f>AgeAtEntry+C612</f>
        <v/>
      </c>
      <c r="E612" s="29">
        <f>IF(PremiumType="SINGLE",IF(B612=0,PremiumPPInput,0),IF(B612&lt;12*PolicyTerm,PremiumPPInput,0))</f>
        <v/>
      </c>
      <c r="F612" s="30">
        <f>INDEX(MortRates,MATCH(MIN(D612,120),MortAges,0),MAX(MIN(C612,5),0)+1)</f>
        <v/>
      </c>
      <c r="G612" s="31">
        <f>1-(1-F612)^(1/12)</f>
        <v/>
      </c>
      <c r="H612" s="32">
        <f>MAX(LapseBase-LapseStep*C612,LapseFloor)</f>
        <v/>
      </c>
      <c r="I612" s="32">
        <f>IF(HasSurrCharge,INDEX(SurrRates,MIN(C612,SurrDurMax)+1,MATCH(SurrChargeID,SurrTypes,0)),0)</f>
        <v/>
      </c>
      <c r="J612" s="33">
        <f>N611-P611-O611</f>
        <v/>
      </c>
      <c r="K612" s="30">
        <f>IF(B612=12*PolicyTerm,J612,0)</f>
        <v/>
      </c>
      <c r="L612" s="33">
        <f>J612-K612</f>
        <v/>
      </c>
      <c r="M612" s="30">
        <f>IF(B612=0,PolicyCount,0)</f>
        <v/>
      </c>
      <c r="N612" s="33">
        <f>L612+M612</f>
        <v/>
      </c>
      <c r="O612" s="31">
        <f>N612*G612</f>
        <v/>
      </c>
      <c r="P612" s="33">
        <f>(N612-O612)*(1-(1-H612)^(1/12))</f>
        <v/>
      </c>
      <c r="Q612" s="34">
        <f>X611+Z611</f>
        <v/>
      </c>
      <c r="R612" s="29">
        <f>(1-LoadPremRate)*E612</f>
        <v/>
      </c>
      <c r="S612" s="34">
        <f>Q612+R612</f>
        <v/>
      </c>
      <c r="T612" s="29">
        <f>MaintFeeRateAnn/12*S612</f>
        <v/>
      </c>
      <c r="U612" s="29">
        <f>MAX(SumAssured-S612,0)</f>
        <v/>
      </c>
      <c r="V612" s="35">
        <f>CoiMultiple*G612</f>
        <v/>
      </c>
      <c r="W612" s="34">
        <f>V612*U612</f>
        <v/>
      </c>
      <c r="X612" s="34">
        <f>S612-T612-W612</f>
        <v/>
      </c>
      <c r="Y612" s="36">
        <f>EXP((Mu-0.5*Sigma^2)/12+Sigma*SQRT(1/12)*INDEX(NormRand,ScenID,A612+1))-1</f>
        <v/>
      </c>
      <c r="Z612" s="34">
        <f>Y612*X612</f>
        <v/>
      </c>
      <c r="AA612" s="34">
        <f>X612+0.5*Z612</f>
        <v/>
      </c>
      <c r="AB612" s="34">
        <f>Q612*J612</f>
        <v/>
      </c>
      <c r="AC612" s="34">
        <f>Q612*L612</f>
        <v/>
      </c>
      <c r="AD612" s="34">
        <f>S612*N612</f>
        <v/>
      </c>
      <c r="AE612" s="34">
        <f>E612*N612</f>
        <v/>
      </c>
      <c r="AF612" s="34">
        <f>R612*N612</f>
        <v/>
      </c>
      <c r="AG612" s="29">
        <f>MAX(SumAssured,AA612)</f>
        <v/>
      </c>
      <c r="AH612" s="34">
        <f>AG612*O612</f>
        <v/>
      </c>
      <c r="AI612" s="34">
        <f>AA612*O612</f>
        <v/>
      </c>
      <c r="AJ612" s="34">
        <f>AA612*P612</f>
        <v/>
      </c>
      <c r="AK612" s="34">
        <f>I612*AA612*P612</f>
        <v/>
      </c>
      <c r="AL612" s="34">
        <f>AJ612-AK612</f>
        <v/>
      </c>
      <c r="AM612" s="34">
        <f>Q612*K612</f>
        <v/>
      </c>
      <c r="AN612" s="34">
        <f>AH612+AL612+AM612</f>
        <v/>
      </c>
      <c r="AO612" s="34">
        <f>(AG612-AA612)*O612</f>
        <v/>
      </c>
      <c r="AP612" s="34">
        <f>W612*N612</f>
        <v/>
      </c>
      <c r="AQ612" s="34">
        <f>T612*N612</f>
        <v/>
      </c>
      <c r="AR612" s="34">
        <f>Z612*J613+0.5*Z612*(O612+P612)</f>
        <v/>
      </c>
      <c r="AS612" s="30">
        <f>(1+InflationRate)^(A612/12)</f>
        <v/>
      </c>
      <c r="AT612" s="29">
        <f>ExpenseAcq*M612+N612*ExpenseMaint/12*AS612</f>
        <v/>
      </c>
      <c r="AU612" s="29">
        <f>CommissionRate*AE612</f>
        <v/>
      </c>
      <c r="AV612" s="34">
        <f>AB613-AB612</f>
        <v/>
      </c>
      <c r="AW612" s="34">
        <f>AE612+AR612-AN612-AT612-AU612-AV612</f>
        <v/>
      </c>
      <c r="AX612" s="29">
        <f>LoadPremRate*E612*N612+AK612+AQ612-AU612-AT612</f>
        <v/>
      </c>
      <c r="AY612" s="34">
        <f>AP612-AO612</f>
        <v/>
      </c>
      <c r="AZ612" s="37">
        <f>(AW612-AX612-AY612)/MAX(1,ABS(AW612),ABS(AX612),ABS(AY612))</f>
        <v/>
      </c>
      <c r="BA612" s="37">
        <f>IF(OR(K612&gt;0,K613&gt;0),0,(AC613-(AC612+AF612-AQ612-AP612+AR612-AI612-AJ612-AM612))/MAX(1,ABS(AC612),ABS(AC613)))</f>
        <v/>
      </c>
      <c r="BB612" s="35">
        <f>(1+INDEX(DiscRateAnn,INT(A612/12)+1))^(1/12)-1</f>
        <v/>
      </c>
      <c r="BC612" s="31">
        <f>(1+BB612)^-A612</f>
        <v/>
      </c>
      <c r="BD612" s="34">
        <f>AW612*BC612</f>
        <v/>
      </c>
    </row>
    <row r="613">
      <c r="A613" s="27">
        <f>A612+1</f>
        <v/>
      </c>
      <c r="B613" s="28">
        <f>Duration0+A613</f>
        <v/>
      </c>
      <c r="C613" s="27">
        <f>INT(B613/12)</f>
        <v/>
      </c>
      <c r="D613" s="28">
        <f>AgeAtEntry+C613</f>
        <v/>
      </c>
      <c r="E613" s="29">
        <f>IF(PremiumType="SINGLE",IF(B613=0,PremiumPPInput,0),IF(B613&lt;12*PolicyTerm,PremiumPPInput,0))</f>
        <v/>
      </c>
      <c r="F613" s="30">
        <f>INDEX(MortRates,MATCH(MIN(D613,120),MortAges,0),MAX(MIN(C613,5),0)+1)</f>
        <v/>
      </c>
      <c r="G613" s="31">
        <f>1-(1-F613)^(1/12)</f>
        <v/>
      </c>
      <c r="H613" s="32">
        <f>MAX(LapseBase-LapseStep*C613,LapseFloor)</f>
        <v/>
      </c>
      <c r="I613" s="32">
        <f>IF(HasSurrCharge,INDEX(SurrRates,MIN(C613,SurrDurMax)+1,MATCH(SurrChargeID,SurrTypes,0)),0)</f>
        <v/>
      </c>
      <c r="J613" s="33">
        <f>N612-P612-O612</f>
        <v/>
      </c>
      <c r="K613" s="30">
        <f>IF(B613=12*PolicyTerm,J613,0)</f>
        <v/>
      </c>
      <c r="L613" s="33">
        <f>J613-K613</f>
        <v/>
      </c>
      <c r="M613" s="30">
        <f>IF(B613=0,PolicyCount,0)</f>
        <v/>
      </c>
      <c r="N613" s="33">
        <f>L613+M613</f>
        <v/>
      </c>
      <c r="O613" s="31">
        <f>N613*G613</f>
        <v/>
      </c>
      <c r="P613" s="33">
        <f>(N613-O613)*(1-(1-H613)^(1/12))</f>
        <v/>
      </c>
      <c r="Q613" s="34">
        <f>X612+Z612</f>
        <v/>
      </c>
      <c r="R613" s="29">
        <f>(1-LoadPremRate)*E613</f>
        <v/>
      </c>
      <c r="S613" s="34">
        <f>Q613+R613</f>
        <v/>
      </c>
      <c r="T613" s="29">
        <f>MaintFeeRateAnn/12*S613</f>
        <v/>
      </c>
      <c r="U613" s="29">
        <f>MAX(SumAssured-S613,0)</f>
        <v/>
      </c>
      <c r="V613" s="35">
        <f>CoiMultiple*G613</f>
        <v/>
      </c>
      <c r="W613" s="34">
        <f>V613*U613</f>
        <v/>
      </c>
      <c r="X613" s="34">
        <f>S613-T613-W613</f>
        <v/>
      </c>
      <c r="Y613" s="36">
        <f>EXP((Mu-0.5*Sigma^2)/12+Sigma*SQRT(1/12)*INDEX(NormRand,ScenID,A613+1))-1</f>
        <v/>
      </c>
      <c r="Z613" s="34">
        <f>Y613*X613</f>
        <v/>
      </c>
      <c r="AA613" s="34">
        <f>X613+0.5*Z613</f>
        <v/>
      </c>
      <c r="AB613" s="34">
        <f>Q613*J613</f>
        <v/>
      </c>
      <c r="AC613" s="34">
        <f>Q613*L613</f>
        <v/>
      </c>
      <c r="AD613" s="34">
        <f>S613*N613</f>
        <v/>
      </c>
      <c r="AE613" s="34">
        <f>E613*N613</f>
        <v/>
      </c>
      <c r="AF613" s="34">
        <f>R613*N613</f>
        <v/>
      </c>
      <c r="AG613" s="29">
        <f>MAX(SumAssured,AA613)</f>
        <v/>
      </c>
      <c r="AH613" s="34">
        <f>AG613*O613</f>
        <v/>
      </c>
      <c r="AI613" s="34">
        <f>AA613*O613</f>
        <v/>
      </c>
      <c r="AJ613" s="34">
        <f>AA613*P613</f>
        <v/>
      </c>
      <c r="AK613" s="34">
        <f>I613*AA613*P613</f>
        <v/>
      </c>
      <c r="AL613" s="34">
        <f>AJ613-AK613</f>
        <v/>
      </c>
      <c r="AM613" s="34">
        <f>Q613*K613</f>
        <v/>
      </c>
      <c r="AN613" s="34">
        <f>AH613+AL613+AM613</f>
        <v/>
      </c>
      <c r="AO613" s="34">
        <f>(AG613-AA613)*O613</f>
        <v/>
      </c>
      <c r="AP613" s="34">
        <f>W613*N613</f>
        <v/>
      </c>
      <c r="AQ613" s="34">
        <f>T613*N613</f>
        <v/>
      </c>
      <c r="AR613" s="34">
        <f>Z613*J614+0.5*Z613*(O613+P613)</f>
        <v/>
      </c>
      <c r="AS613" s="30">
        <f>(1+InflationRate)^(A613/12)</f>
        <v/>
      </c>
      <c r="AT613" s="29">
        <f>ExpenseAcq*M613+N613*ExpenseMaint/12*AS613</f>
        <v/>
      </c>
      <c r="AU613" s="29">
        <f>CommissionRate*AE613</f>
        <v/>
      </c>
      <c r="AV613" s="34">
        <f>AB614-AB613</f>
        <v/>
      </c>
      <c r="AW613" s="34">
        <f>AE613+AR613-AN613-AT613-AU613-AV613</f>
        <v/>
      </c>
      <c r="AX613" s="29">
        <f>LoadPremRate*E613*N613+AK613+AQ613-AU613-AT613</f>
        <v/>
      </c>
      <c r="AY613" s="34">
        <f>AP613-AO613</f>
        <v/>
      </c>
      <c r="AZ613" s="37">
        <f>(AW613-AX613-AY613)/MAX(1,ABS(AW613),ABS(AX613),ABS(AY613))</f>
        <v/>
      </c>
      <c r="BA613" s="37">
        <f>IF(OR(K613&gt;0,K614&gt;0),0,(AC614-(AC613+AF613-AQ613-AP613+AR613-AI613-AJ613-AM613))/MAX(1,ABS(AC613),ABS(AC614)))</f>
        <v/>
      </c>
      <c r="BB613" s="35">
        <f>(1+INDEX(DiscRateAnn,INT(A613/12)+1))^(1/12)-1</f>
        <v/>
      </c>
      <c r="BC613" s="31">
        <f>(1+BB613)^-A613</f>
        <v/>
      </c>
      <c r="BD613" s="34">
        <f>AW613*BC613</f>
        <v/>
      </c>
    </row>
    <row r="614">
      <c r="A614" s="27">
        <f>A613+1</f>
        <v/>
      </c>
      <c r="B614" s="28">
        <f>Duration0+A614</f>
        <v/>
      </c>
      <c r="C614" s="27">
        <f>INT(B614/12)</f>
        <v/>
      </c>
      <c r="D614" s="28">
        <f>AgeAtEntry+C614</f>
        <v/>
      </c>
      <c r="E614" s="29">
        <f>IF(PremiumType="SINGLE",IF(B614=0,PremiumPPInput,0),IF(B614&lt;12*PolicyTerm,PremiumPPInput,0))</f>
        <v/>
      </c>
      <c r="F614" s="30">
        <f>INDEX(MortRates,MATCH(MIN(D614,120),MortAges,0),MAX(MIN(C614,5),0)+1)</f>
        <v/>
      </c>
      <c r="G614" s="31">
        <f>1-(1-F614)^(1/12)</f>
        <v/>
      </c>
      <c r="H614" s="32">
        <f>MAX(LapseBase-LapseStep*C614,LapseFloor)</f>
        <v/>
      </c>
      <c r="I614" s="32">
        <f>IF(HasSurrCharge,INDEX(SurrRates,MIN(C614,SurrDurMax)+1,MATCH(SurrChargeID,SurrTypes,0)),0)</f>
        <v/>
      </c>
      <c r="J614" s="33">
        <f>N613-P613-O613</f>
        <v/>
      </c>
      <c r="K614" s="30">
        <f>IF(B614=12*PolicyTerm,J614,0)</f>
        <v/>
      </c>
      <c r="L614" s="33">
        <f>J614-K614</f>
        <v/>
      </c>
      <c r="M614" s="30">
        <f>IF(B614=0,PolicyCount,0)</f>
        <v/>
      </c>
      <c r="N614" s="33">
        <f>L614+M614</f>
        <v/>
      </c>
      <c r="O614" s="31">
        <f>N614*G614</f>
        <v/>
      </c>
      <c r="P614" s="33">
        <f>(N614-O614)*(1-(1-H614)^(1/12))</f>
        <v/>
      </c>
      <c r="Q614" s="34">
        <f>X613+Z613</f>
        <v/>
      </c>
      <c r="R614" s="29">
        <f>(1-LoadPremRate)*E614</f>
        <v/>
      </c>
      <c r="S614" s="34">
        <f>Q614+R614</f>
        <v/>
      </c>
      <c r="T614" s="29">
        <f>MaintFeeRateAnn/12*S614</f>
        <v/>
      </c>
      <c r="U614" s="29">
        <f>MAX(SumAssured-S614,0)</f>
        <v/>
      </c>
      <c r="V614" s="35">
        <f>CoiMultiple*G614</f>
        <v/>
      </c>
      <c r="W614" s="34">
        <f>V614*U614</f>
        <v/>
      </c>
      <c r="X614" s="34">
        <f>S614-T614-W614</f>
        <v/>
      </c>
      <c r="Y614" s="36">
        <f>EXP((Mu-0.5*Sigma^2)/12+Sigma*SQRT(1/12)*INDEX(NormRand,ScenID,A614+1))-1</f>
        <v/>
      </c>
      <c r="Z614" s="34">
        <f>Y614*X614</f>
        <v/>
      </c>
      <c r="AA614" s="34">
        <f>X614+0.5*Z614</f>
        <v/>
      </c>
      <c r="AB614" s="34">
        <f>Q614*J614</f>
        <v/>
      </c>
      <c r="AC614" s="34">
        <f>Q614*L614</f>
        <v/>
      </c>
      <c r="AD614" s="34">
        <f>S614*N614</f>
        <v/>
      </c>
      <c r="AE614" s="34">
        <f>E614*N614</f>
        <v/>
      </c>
      <c r="AF614" s="34">
        <f>R614*N614</f>
        <v/>
      </c>
      <c r="AG614" s="29">
        <f>MAX(SumAssured,AA614)</f>
        <v/>
      </c>
      <c r="AH614" s="34">
        <f>AG614*O614</f>
        <v/>
      </c>
      <c r="AI614" s="34">
        <f>AA614*O614</f>
        <v/>
      </c>
      <c r="AJ614" s="34">
        <f>AA614*P614</f>
        <v/>
      </c>
      <c r="AK614" s="34">
        <f>I614*AA614*P614</f>
        <v/>
      </c>
      <c r="AL614" s="34">
        <f>AJ614-AK614</f>
        <v/>
      </c>
      <c r="AM614" s="34">
        <f>Q614*K614</f>
        <v/>
      </c>
      <c r="AN614" s="34">
        <f>AH614+AL614+AM614</f>
        <v/>
      </c>
      <c r="AO614" s="34">
        <f>(AG614-AA614)*O614</f>
        <v/>
      </c>
      <c r="AP614" s="34">
        <f>W614*N614</f>
        <v/>
      </c>
      <c r="AQ614" s="34">
        <f>T614*N614</f>
        <v/>
      </c>
      <c r="AR614" s="34">
        <f>Z614*J615+0.5*Z614*(O614+P614)</f>
        <v/>
      </c>
      <c r="AS614" s="30">
        <f>(1+InflationRate)^(A614/12)</f>
        <v/>
      </c>
      <c r="AT614" s="29">
        <f>ExpenseAcq*M614+N614*ExpenseMaint/12*AS614</f>
        <v/>
      </c>
      <c r="AU614" s="29">
        <f>CommissionRate*AE614</f>
        <v/>
      </c>
      <c r="AV614" s="34">
        <f>AB615-AB614</f>
        <v/>
      </c>
      <c r="AW614" s="34">
        <f>AE614+AR614-AN614-AT614-AU614-AV614</f>
        <v/>
      </c>
      <c r="AX614" s="29">
        <f>LoadPremRate*E614*N614+AK614+AQ614-AU614-AT614</f>
        <v/>
      </c>
      <c r="AY614" s="34">
        <f>AP614-AO614</f>
        <v/>
      </c>
      <c r="AZ614" s="37">
        <f>(AW614-AX614-AY614)/MAX(1,ABS(AW614),ABS(AX614),ABS(AY614))</f>
        <v/>
      </c>
      <c r="BA614" s="37">
        <f>IF(OR(K614&gt;0,K615&gt;0),0,(AC615-(AC614+AF614-AQ614-AP614+AR614-AI614-AJ614-AM614))/MAX(1,ABS(AC614),ABS(AC615)))</f>
        <v/>
      </c>
      <c r="BB614" s="35">
        <f>(1+INDEX(DiscRateAnn,INT(A614/12)+1))^(1/12)-1</f>
        <v/>
      </c>
      <c r="BC614" s="31">
        <f>(1+BB614)^-A614</f>
        <v/>
      </c>
      <c r="BD614" s="34">
        <f>AW614*BC614</f>
        <v/>
      </c>
    </row>
    <row r="615">
      <c r="A615" s="27">
        <f>A614+1</f>
        <v/>
      </c>
      <c r="B615" s="28">
        <f>Duration0+A615</f>
        <v/>
      </c>
      <c r="C615" s="27">
        <f>INT(B615/12)</f>
        <v/>
      </c>
      <c r="D615" s="28">
        <f>AgeAtEntry+C615</f>
        <v/>
      </c>
      <c r="E615" s="29">
        <f>IF(PremiumType="SINGLE",IF(B615=0,PremiumPPInput,0),IF(B615&lt;12*PolicyTerm,PremiumPPInput,0))</f>
        <v/>
      </c>
      <c r="F615" s="30">
        <f>INDEX(MortRates,MATCH(MIN(D615,120),MortAges,0),MAX(MIN(C615,5),0)+1)</f>
        <v/>
      </c>
      <c r="G615" s="31">
        <f>1-(1-F615)^(1/12)</f>
        <v/>
      </c>
      <c r="H615" s="32">
        <f>MAX(LapseBase-LapseStep*C615,LapseFloor)</f>
        <v/>
      </c>
      <c r="I615" s="32">
        <f>IF(HasSurrCharge,INDEX(SurrRates,MIN(C615,SurrDurMax)+1,MATCH(SurrChargeID,SurrTypes,0)),0)</f>
        <v/>
      </c>
      <c r="J615" s="33">
        <f>N614-P614-O614</f>
        <v/>
      </c>
      <c r="K615" s="30">
        <f>IF(B615=12*PolicyTerm,J615,0)</f>
        <v/>
      </c>
      <c r="L615" s="33">
        <f>J615-K615</f>
        <v/>
      </c>
      <c r="M615" s="30">
        <f>IF(B615=0,PolicyCount,0)</f>
        <v/>
      </c>
      <c r="N615" s="33">
        <f>L615+M615</f>
        <v/>
      </c>
      <c r="O615" s="31">
        <f>N615*G615</f>
        <v/>
      </c>
      <c r="P615" s="33">
        <f>(N615-O615)*(1-(1-H615)^(1/12))</f>
        <v/>
      </c>
      <c r="Q615" s="34">
        <f>X614+Z614</f>
        <v/>
      </c>
      <c r="R615" s="29">
        <f>(1-LoadPremRate)*E615</f>
        <v/>
      </c>
      <c r="S615" s="34">
        <f>Q615+R615</f>
        <v/>
      </c>
      <c r="T615" s="29">
        <f>MaintFeeRateAnn/12*S615</f>
        <v/>
      </c>
      <c r="U615" s="29">
        <f>MAX(SumAssured-S615,0)</f>
        <v/>
      </c>
      <c r="V615" s="35">
        <f>CoiMultiple*G615</f>
        <v/>
      </c>
      <c r="W615" s="34">
        <f>V615*U615</f>
        <v/>
      </c>
      <c r="X615" s="34">
        <f>S615-T615-W615</f>
        <v/>
      </c>
      <c r="Y615" s="36">
        <f>EXP((Mu-0.5*Sigma^2)/12+Sigma*SQRT(1/12)*INDEX(NormRand,ScenID,A615+1))-1</f>
        <v/>
      </c>
      <c r="Z615" s="34">
        <f>Y615*X615</f>
        <v/>
      </c>
      <c r="AA615" s="34">
        <f>X615+0.5*Z615</f>
        <v/>
      </c>
      <c r="AB615" s="34">
        <f>Q615*J615</f>
        <v/>
      </c>
      <c r="AC615" s="34">
        <f>Q615*L615</f>
        <v/>
      </c>
      <c r="AD615" s="34">
        <f>S615*N615</f>
        <v/>
      </c>
      <c r="AE615" s="34">
        <f>E615*N615</f>
        <v/>
      </c>
      <c r="AF615" s="34">
        <f>R615*N615</f>
        <v/>
      </c>
      <c r="AG615" s="29">
        <f>MAX(SumAssured,AA615)</f>
        <v/>
      </c>
      <c r="AH615" s="34">
        <f>AG615*O615</f>
        <v/>
      </c>
      <c r="AI615" s="34">
        <f>AA615*O615</f>
        <v/>
      </c>
      <c r="AJ615" s="34">
        <f>AA615*P615</f>
        <v/>
      </c>
      <c r="AK615" s="34">
        <f>I615*AA615*P615</f>
        <v/>
      </c>
      <c r="AL615" s="34">
        <f>AJ615-AK615</f>
        <v/>
      </c>
      <c r="AM615" s="34">
        <f>Q615*K615</f>
        <v/>
      </c>
      <c r="AN615" s="34">
        <f>AH615+AL615+AM615</f>
        <v/>
      </c>
      <c r="AO615" s="34">
        <f>(AG615-AA615)*O615</f>
        <v/>
      </c>
      <c r="AP615" s="34">
        <f>W615*N615</f>
        <v/>
      </c>
      <c r="AQ615" s="34">
        <f>T615*N615</f>
        <v/>
      </c>
      <c r="AR615" s="34">
        <f>Z615*J616+0.5*Z615*(O615+P615)</f>
        <v/>
      </c>
      <c r="AS615" s="30">
        <f>(1+InflationRate)^(A615/12)</f>
        <v/>
      </c>
      <c r="AT615" s="29">
        <f>ExpenseAcq*M615+N615*ExpenseMaint/12*AS615</f>
        <v/>
      </c>
      <c r="AU615" s="29">
        <f>CommissionRate*AE615</f>
        <v/>
      </c>
      <c r="AV615" s="34">
        <f>AB616-AB615</f>
        <v/>
      </c>
      <c r="AW615" s="34">
        <f>AE615+AR615-AN615-AT615-AU615-AV615</f>
        <v/>
      </c>
      <c r="AX615" s="29">
        <f>LoadPremRate*E615*N615+AK615+AQ615-AU615-AT615</f>
        <v/>
      </c>
      <c r="AY615" s="34">
        <f>AP615-AO615</f>
        <v/>
      </c>
      <c r="AZ615" s="37">
        <f>(AW615-AX615-AY615)/MAX(1,ABS(AW615),ABS(AX615),ABS(AY615))</f>
        <v/>
      </c>
      <c r="BA615" s="37">
        <f>IF(OR(K615&gt;0,K616&gt;0),0,(AC616-(AC615+AF615-AQ615-AP615+AR615-AI615-AJ615-AM615))/MAX(1,ABS(AC615),ABS(AC616)))</f>
        <v/>
      </c>
      <c r="BB615" s="35">
        <f>(1+INDEX(DiscRateAnn,INT(A615/12)+1))^(1/12)-1</f>
        <v/>
      </c>
      <c r="BC615" s="31">
        <f>(1+BB615)^-A615</f>
        <v/>
      </c>
      <c r="BD615" s="34">
        <f>AW615*BC615</f>
        <v/>
      </c>
    </row>
    <row r="616">
      <c r="A616" s="27">
        <f>A615+1</f>
        <v/>
      </c>
      <c r="B616" s="28">
        <f>Duration0+A616</f>
        <v/>
      </c>
      <c r="C616" s="27">
        <f>INT(B616/12)</f>
        <v/>
      </c>
      <c r="D616" s="28">
        <f>AgeAtEntry+C616</f>
        <v/>
      </c>
      <c r="E616" s="29">
        <f>IF(PremiumType="SINGLE",IF(B616=0,PremiumPPInput,0),IF(B616&lt;12*PolicyTerm,PremiumPPInput,0))</f>
        <v/>
      </c>
      <c r="F616" s="30">
        <f>INDEX(MortRates,MATCH(MIN(D616,120),MortAges,0),MAX(MIN(C616,5),0)+1)</f>
        <v/>
      </c>
      <c r="G616" s="31">
        <f>1-(1-F616)^(1/12)</f>
        <v/>
      </c>
      <c r="H616" s="32">
        <f>MAX(LapseBase-LapseStep*C616,LapseFloor)</f>
        <v/>
      </c>
      <c r="I616" s="32">
        <f>IF(HasSurrCharge,INDEX(SurrRates,MIN(C616,SurrDurMax)+1,MATCH(SurrChargeID,SurrTypes,0)),0)</f>
        <v/>
      </c>
      <c r="J616" s="33">
        <f>N615-P615-O615</f>
        <v/>
      </c>
      <c r="K616" s="30">
        <f>IF(B616=12*PolicyTerm,J616,0)</f>
        <v/>
      </c>
      <c r="L616" s="33">
        <f>J616-K616</f>
        <v/>
      </c>
      <c r="M616" s="30">
        <f>IF(B616=0,PolicyCount,0)</f>
        <v/>
      </c>
      <c r="N616" s="33">
        <f>L616+M616</f>
        <v/>
      </c>
      <c r="O616" s="31">
        <f>N616*G616</f>
        <v/>
      </c>
      <c r="P616" s="33">
        <f>(N616-O616)*(1-(1-H616)^(1/12))</f>
        <v/>
      </c>
      <c r="Q616" s="34">
        <f>X615+Z615</f>
        <v/>
      </c>
      <c r="R616" s="29">
        <f>(1-LoadPremRate)*E616</f>
        <v/>
      </c>
      <c r="S616" s="34">
        <f>Q616+R616</f>
        <v/>
      </c>
      <c r="T616" s="29">
        <f>MaintFeeRateAnn/12*S616</f>
        <v/>
      </c>
      <c r="U616" s="29">
        <f>MAX(SumAssured-S616,0)</f>
        <v/>
      </c>
      <c r="V616" s="35">
        <f>CoiMultiple*G616</f>
        <v/>
      </c>
      <c r="W616" s="34">
        <f>V616*U616</f>
        <v/>
      </c>
      <c r="X616" s="34">
        <f>S616-T616-W616</f>
        <v/>
      </c>
      <c r="Y616" s="36">
        <f>EXP((Mu-0.5*Sigma^2)/12+Sigma*SQRT(1/12)*INDEX(NormRand,ScenID,A616+1))-1</f>
        <v/>
      </c>
      <c r="Z616" s="34">
        <f>Y616*X616</f>
        <v/>
      </c>
      <c r="AA616" s="34">
        <f>X616+0.5*Z616</f>
        <v/>
      </c>
      <c r="AB616" s="34">
        <f>Q616*J616</f>
        <v/>
      </c>
      <c r="AC616" s="34">
        <f>Q616*L616</f>
        <v/>
      </c>
      <c r="AD616" s="34">
        <f>S616*N616</f>
        <v/>
      </c>
      <c r="AE616" s="34">
        <f>E616*N616</f>
        <v/>
      </c>
      <c r="AF616" s="34">
        <f>R616*N616</f>
        <v/>
      </c>
      <c r="AG616" s="29">
        <f>MAX(SumAssured,AA616)</f>
        <v/>
      </c>
      <c r="AH616" s="34">
        <f>AG616*O616</f>
        <v/>
      </c>
      <c r="AI616" s="34">
        <f>AA616*O616</f>
        <v/>
      </c>
      <c r="AJ616" s="34">
        <f>AA616*P616</f>
        <v/>
      </c>
      <c r="AK616" s="34">
        <f>I616*AA616*P616</f>
        <v/>
      </c>
      <c r="AL616" s="34">
        <f>AJ616-AK616</f>
        <v/>
      </c>
      <c r="AM616" s="34">
        <f>Q616*K616</f>
        <v/>
      </c>
      <c r="AN616" s="34">
        <f>AH616+AL616+AM616</f>
        <v/>
      </c>
      <c r="AO616" s="34">
        <f>(AG616-AA616)*O616</f>
        <v/>
      </c>
      <c r="AP616" s="34">
        <f>W616*N616</f>
        <v/>
      </c>
      <c r="AQ616" s="34">
        <f>T616*N616</f>
        <v/>
      </c>
      <c r="AR616" s="34">
        <f>Z616*J617+0.5*Z616*(O616+P616)</f>
        <v/>
      </c>
      <c r="AS616" s="30">
        <f>(1+InflationRate)^(A616/12)</f>
        <v/>
      </c>
      <c r="AT616" s="29">
        <f>ExpenseAcq*M616+N616*ExpenseMaint/12*AS616</f>
        <v/>
      </c>
      <c r="AU616" s="29">
        <f>CommissionRate*AE616</f>
        <v/>
      </c>
      <c r="AV616" s="34">
        <f>AB617-AB616</f>
        <v/>
      </c>
      <c r="AW616" s="34">
        <f>AE616+AR616-AN616-AT616-AU616-AV616</f>
        <v/>
      </c>
      <c r="AX616" s="29">
        <f>LoadPremRate*E616*N616+AK616+AQ616-AU616-AT616</f>
        <v/>
      </c>
      <c r="AY616" s="34">
        <f>AP616-AO616</f>
        <v/>
      </c>
      <c r="AZ616" s="37">
        <f>(AW616-AX616-AY616)/MAX(1,ABS(AW616),ABS(AX616),ABS(AY616))</f>
        <v/>
      </c>
      <c r="BA616" s="37">
        <f>IF(OR(K616&gt;0,K617&gt;0),0,(AC617-(AC616+AF616-AQ616-AP616+AR616-AI616-AJ616-AM616))/MAX(1,ABS(AC616),ABS(AC617)))</f>
        <v/>
      </c>
      <c r="BB616" s="35">
        <f>(1+INDEX(DiscRateAnn,INT(A616/12)+1))^(1/12)-1</f>
        <v/>
      </c>
      <c r="BC616" s="31">
        <f>(1+BB616)^-A616</f>
        <v/>
      </c>
      <c r="BD616" s="34">
        <f>AW616*BC616</f>
        <v/>
      </c>
    </row>
    <row r="617">
      <c r="A617" s="27">
        <f>A616+1</f>
        <v/>
      </c>
      <c r="B617" s="28">
        <f>Duration0+A617</f>
        <v/>
      </c>
      <c r="C617" s="27">
        <f>INT(B617/12)</f>
        <v/>
      </c>
      <c r="D617" s="28">
        <f>AgeAtEntry+C617</f>
        <v/>
      </c>
      <c r="E617" s="29">
        <f>IF(PremiumType="SINGLE",IF(B617=0,PremiumPPInput,0),IF(B617&lt;12*PolicyTerm,PremiumPPInput,0))</f>
        <v/>
      </c>
      <c r="F617" s="30">
        <f>INDEX(MortRates,MATCH(MIN(D617,120),MortAges,0),MAX(MIN(C617,5),0)+1)</f>
        <v/>
      </c>
      <c r="G617" s="31">
        <f>1-(1-F617)^(1/12)</f>
        <v/>
      </c>
      <c r="H617" s="32">
        <f>MAX(LapseBase-LapseStep*C617,LapseFloor)</f>
        <v/>
      </c>
      <c r="I617" s="32">
        <f>IF(HasSurrCharge,INDEX(SurrRates,MIN(C617,SurrDurMax)+1,MATCH(SurrChargeID,SurrTypes,0)),0)</f>
        <v/>
      </c>
      <c r="J617" s="33">
        <f>N616-P616-O616</f>
        <v/>
      </c>
      <c r="K617" s="30">
        <f>IF(B617=12*PolicyTerm,J617,0)</f>
        <v/>
      </c>
      <c r="L617" s="33">
        <f>J617-K617</f>
        <v/>
      </c>
      <c r="M617" s="30">
        <f>IF(B617=0,PolicyCount,0)</f>
        <v/>
      </c>
      <c r="N617" s="33">
        <f>L617+M617</f>
        <v/>
      </c>
      <c r="O617" s="31">
        <f>N617*G617</f>
        <v/>
      </c>
      <c r="P617" s="33">
        <f>(N617-O617)*(1-(1-H617)^(1/12))</f>
        <v/>
      </c>
      <c r="Q617" s="34">
        <f>X616+Z616</f>
        <v/>
      </c>
      <c r="R617" s="29">
        <f>(1-LoadPremRate)*E617</f>
        <v/>
      </c>
      <c r="S617" s="34">
        <f>Q617+R617</f>
        <v/>
      </c>
      <c r="T617" s="29">
        <f>MaintFeeRateAnn/12*S617</f>
        <v/>
      </c>
      <c r="U617" s="29">
        <f>MAX(SumAssured-S617,0)</f>
        <v/>
      </c>
      <c r="V617" s="35">
        <f>CoiMultiple*G617</f>
        <v/>
      </c>
      <c r="W617" s="34">
        <f>V617*U617</f>
        <v/>
      </c>
      <c r="X617" s="34">
        <f>S617-T617-W617</f>
        <v/>
      </c>
      <c r="Y617" s="36">
        <f>EXP((Mu-0.5*Sigma^2)/12+Sigma*SQRT(1/12)*INDEX(NormRand,ScenID,A617+1))-1</f>
        <v/>
      </c>
      <c r="Z617" s="34">
        <f>Y617*X617</f>
        <v/>
      </c>
      <c r="AA617" s="34">
        <f>X617+0.5*Z617</f>
        <v/>
      </c>
      <c r="AB617" s="34">
        <f>Q617*J617</f>
        <v/>
      </c>
      <c r="AC617" s="34">
        <f>Q617*L617</f>
        <v/>
      </c>
      <c r="AD617" s="34">
        <f>S617*N617</f>
        <v/>
      </c>
      <c r="AE617" s="34">
        <f>E617*N617</f>
        <v/>
      </c>
      <c r="AF617" s="34">
        <f>R617*N617</f>
        <v/>
      </c>
      <c r="AG617" s="29">
        <f>MAX(SumAssured,AA617)</f>
        <v/>
      </c>
      <c r="AH617" s="34">
        <f>AG617*O617</f>
        <v/>
      </c>
      <c r="AI617" s="34">
        <f>AA617*O617</f>
        <v/>
      </c>
      <c r="AJ617" s="34">
        <f>AA617*P617</f>
        <v/>
      </c>
      <c r="AK617" s="34">
        <f>I617*AA617*P617</f>
        <v/>
      </c>
      <c r="AL617" s="34">
        <f>AJ617-AK617</f>
        <v/>
      </c>
      <c r="AM617" s="34">
        <f>Q617*K617</f>
        <v/>
      </c>
      <c r="AN617" s="34">
        <f>AH617+AL617+AM617</f>
        <v/>
      </c>
      <c r="AO617" s="34">
        <f>(AG617-AA617)*O617</f>
        <v/>
      </c>
      <c r="AP617" s="34">
        <f>W617*N617</f>
        <v/>
      </c>
      <c r="AQ617" s="34">
        <f>T617*N617</f>
        <v/>
      </c>
      <c r="AR617" s="34">
        <f>Z617*J618+0.5*Z617*(O617+P617)</f>
        <v/>
      </c>
      <c r="AS617" s="30">
        <f>(1+InflationRate)^(A617/12)</f>
        <v/>
      </c>
      <c r="AT617" s="29">
        <f>ExpenseAcq*M617+N617*ExpenseMaint/12*AS617</f>
        <v/>
      </c>
      <c r="AU617" s="29">
        <f>CommissionRate*AE617</f>
        <v/>
      </c>
      <c r="AV617" s="34">
        <f>AB618-AB617</f>
        <v/>
      </c>
      <c r="AW617" s="34">
        <f>AE617+AR617-AN617-AT617-AU617-AV617</f>
        <v/>
      </c>
      <c r="AX617" s="29">
        <f>LoadPremRate*E617*N617+AK617+AQ617-AU617-AT617</f>
        <v/>
      </c>
      <c r="AY617" s="34">
        <f>AP617-AO617</f>
        <v/>
      </c>
      <c r="AZ617" s="37">
        <f>(AW617-AX617-AY617)/MAX(1,ABS(AW617),ABS(AX617),ABS(AY617))</f>
        <v/>
      </c>
      <c r="BA617" s="37">
        <f>IF(OR(K617&gt;0,K618&gt;0),0,(AC618-(AC617+AF617-AQ617-AP617+AR617-AI617-AJ617-AM617))/MAX(1,ABS(AC617),ABS(AC618)))</f>
        <v/>
      </c>
      <c r="BB617" s="35">
        <f>(1+INDEX(DiscRateAnn,INT(A617/12)+1))^(1/12)-1</f>
        <v/>
      </c>
      <c r="BC617" s="31">
        <f>(1+BB617)^-A617</f>
        <v/>
      </c>
      <c r="BD617" s="34">
        <f>AW617*BC617</f>
        <v/>
      </c>
    </row>
    <row r="618">
      <c r="A618" s="27">
        <f>A617+1</f>
        <v/>
      </c>
      <c r="B618" s="28">
        <f>Duration0+A618</f>
        <v/>
      </c>
      <c r="C618" s="27">
        <f>INT(B618/12)</f>
        <v/>
      </c>
      <c r="D618" s="28">
        <f>AgeAtEntry+C618</f>
        <v/>
      </c>
      <c r="E618" s="29">
        <f>IF(PremiumType="SINGLE",IF(B618=0,PremiumPPInput,0),IF(B618&lt;12*PolicyTerm,PremiumPPInput,0))</f>
        <v/>
      </c>
      <c r="F618" s="30">
        <f>INDEX(MortRates,MATCH(MIN(D618,120),MortAges,0),MAX(MIN(C618,5),0)+1)</f>
        <v/>
      </c>
      <c r="G618" s="31">
        <f>1-(1-F618)^(1/12)</f>
        <v/>
      </c>
      <c r="H618" s="32">
        <f>MAX(LapseBase-LapseStep*C618,LapseFloor)</f>
        <v/>
      </c>
      <c r="I618" s="32">
        <f>IF(HasSurrCharge,INDEX(SurrRates,MIN(C618,SurrDurMax)+1,MATCH(SurrChargeID,SurrTypes,0)),0)</f>
        <v/>
      </c>
      <c r="J618" s="33">
        <f>N617-P617-O617</f>
        <v/>
      </c>
      <c r="K618" s="30">
        <f>IF(B618=12*PolicyTerm,J618,0)</f>
        <v/>
      </c>
      <c r="L618" s="33">
        <f>J618-K618</f>
        <v/>
      </c>
      <c r="M618" s="30">
        <f>IF(B618=0,PolicyCount,0)</f>
        <v/>
      </c>
      <c r="N618" s="33">
        <f>L618+M618</f>
        <v/>
      </c>
      <c r="O618" s="31">
        <f>N618*G618</f>
        <v/>
      </c>
      <c r="P618" s="33">
        <f>(N618-O618)*(1-(1-H618)^(1/12))</f>
        <v/>
      </c>
      <c r="Q618" s="34">
        <f>X617+Z617</f>
        <v/>
      </c>
      <c r="R618" s="29">
        <f>(1-LoadPremRate)*E618</f>
        <v/>
      </c>
      <c r="S618" s="34">
        <f>Q618+R618</f>
        <v/>
      </c>
      <c r="T618" s="29">
        <f>MaintFeeRateAnn/12*S618</f>
        <v/>
      </c>
      <c r="U618" s="29">
        <f>MAX(SumAssured-S618,0)</f>
        <v/>
      </c>
      <c r="V618" s="35">
        <f>CoiMultiple*G618</f>
        <v/>
      </c>
      <c r="W618" s="34">
        <f>V618*U618</f>
        <v/>
      </c>
      <c r="X618" s="34">
        <f>S618-T618-W618</f>
        <v/>
      </c>
      <c r="Y618" s="36">
        <f>EXP((Mu-0.5*Sigma^2)/12+Sigma*SQRT(1/12)*INDEX(NormRand,ScenID,A618+1))-1</f>
        <v/>
      </c>
      <c r="Z618" s="34">
        <f>Y618*X618</f>
        <v/>
      </c>
      <c r="AA618" s="34">
        <f>X618+0.5*Z618</f>
        <v/>
      </c>
      <c r="AB618" s="34">
        <f>Q618*J618</f>
        <v/>
      </c>
      <c r="AC618" s="34">
        <f>Q618*L618</f>
        <v/>
      </c>
      <c r="AD618" s="34">
        <f>S618*N618</f>
        <v/>
      </c>
      <c r="AE618" s="34">
        <f>E618*N618</f>
        <v/>
      </c>
      <c r="AF618" s="34">
        <f>R618*N618</f>
        <v/>
      </c>
      <c r="AG618" s="29">
        <f>MAX(SumAssured,AA618)</f>
        <v/>
      </c>
      <c r="AH618" s="34">
        <f>AG618*O618</f>
        <v/>
      </c>
      <c r="AI618" s="34">
        <f>AA618*O618</f>
        <v/>
      </c>
      <c r="AJ618" s="34">
        <f>AA618*P618</f>
        <v/>
      </c>
      <c r="AK618" s="34">
        <f>I618*AA618*P618</f>
        <v/>
      </c>
      <c r="AL618" s="34">
        <f>AJ618-AK618</f>
        <v/>
      </c>
      <c r="AM618" s="34">
        <f>Q618*K618</f>
        <v/>
      </c>
      <c r="AN618" s="34">
        <f>AH618+AL618+AM618</f>
        <v/>
      </c>
      <c r="AO618" s="34">
        <f>(AG618-AA618)*O618</f>
        <v/>
      </c>
      <c r="AP618" s="34">
        <f>W618*N618</f>
        <v/>
      </c>
      <c r="AQ618" s="34">
        <f>T618*N618</f>
        <v/>
      </c>
      <c r="AR618" s="34">
        <f>Z618*J619+0.5*Z618*(O618+P618)</f>
        <v/>
      </c>
      <c r="AS618" s="30">
        <f>(1+InflationRate)^(A618/12)</f>
        <v/>
      </c>
      <c r="AT618" s="29">
        <f>ExpenseAcq*M618+N618*ExpenseMaint/12*AS618</f>
        <v/>
      </c>
      <c r="AU618" s="29">
        <f>CommissionRate*AE618</f>
        <v/>
      </c>
      <c r="AV618" s="34">
        <f>AB619-AB618</f>
        <v/>
      </c>
      <c r="AW618" s="34">
        <f>AE618+AR618-AN618-AT618-AU618-AV618</f>
        <v/>
      </c>
      <c r="AX618" s="29">
        <f>LoadPremRate*E618*N618+AK618+AQ618-AU618-AT618</f>
        <v/>
      </c>
      <c r="AY618" s="34">
        <f>AP618-AO618</f>
        <v/>
      </c>
      <c r="AZ618" s="37">
        <f>(AW618-AX618-AY618)/MAX(1,ABS(AW618),ABS(AX618),ABS(AY618))</f>
        <v/>
      </c>
      <c r="BA618" s="37">
        <f>IF(OR(K618&gt;0,K619&gt;0),0,(AC619-(AC618+AF618-AQ618-AP618+AR618-AI618-AJ618-AM618))/MAX(1,ABS(AC618),ABS(AC619)))</f>
        <v/>
      </c>
      <c r="BB618" s="35">
        <f>(1+INDEX(DiscRateAnn,INT(A618/12)+1))^(1/12)-1</f>
        <v/>
      </c>
      <c r="BC618" s="31">
        <f>(1+BB618)^-A618</f>
        <v/>
      </c>
      <c r="BD618" s="34">
        <f>AW618*BC618</f>
        <v/>
      </c>
    </row>
    <row r="619">
      <c r="A619" s="27">
        <f>A618+1</f>
        <v/>
      </c>
      <c r="B619" s="28">
        <f>Duration0+A619</f>
        <v/>
      </c>
      <c r="C619" s="27">
        <f>INT(B619/12)</f>
        <v/>
      </c>
      <c r="D619" s="28">
        <f>AgeAtEntry+C619</f>
        <v/>
      </c>
      <c r="E619" s="29">
        <f>IF(PremiumType="SINGLE",IF(B619=0,PremiumPPInput,0),IF(B619&lt;12*PolicyTerm,PremiumPPInput,0))</f>
        <v/>
      </c>
      <c r="F619" s="30">
        <f>INDEX(MortRates,MATCH(MIN(D619,120),MortAges,0),MAX(MIN(C619,5),0)+1)</f>
        <v/>
      </c>
      <c r="G619" s="31">
        <f>1-(1-F619)^(1/12)</f>
        <v/>
      </c>
      <c r="H619" s="32">
        <f>MAX(LapseBase-LapseStep*C619,LapseFloor)</f>
        <v/>
      </c>
      <c r="I619" s="32">
        <f>IF(HasSurrCharge,INDEX(SurrRates,MIN(C619,SurrDurMax)+1,MATCH(SurrChargeID,SurrTypes,0)),0)</f>
        <v/>
      </c>
      <c r="J619" s="33">
        <f>N618-P618-O618</f>
        <v/>
      </c>
      <c r="K619" s="30">
        <f>IF(B619=12*PolicyTerm,J619,0)</f>
        <v/>
      </c>
      <c r="L619" s="33">
        <f>J619-K619</f>
        <v/>
      </c>
      <c r="M619" s="30">
        <f>IF(B619=0,PolicyCount,0)</f>
        <v/>
      </c>
      <c r="N619" s="33">
        <f>L619+M619</f>
        <v/>
      </c>
      <c r="O619" s="31">
        <f>N619*G619</f>
        <v/>
      </c>
      <c r="P619" s="33">
        <f>(N619-O619)*(1-(1-H619)^(1/12))</f>
        <v/>
      </c>
      <c r="Q619" s="34">
        <f>X618+Z618</f>
        <v/>
      </c>
      <c r="R619" s="29">
        <f>(1-LoadPremRate)*E619</f>
        <v/>
      </c>
      <c r="S619" s="34">
        <f>Q619+R619</f>
        <v/>
      </c>
      <c r="T619" s="29">
        <f>MaintFeeRateAnn/12*S619</f>
        <v/>
      </c>
      <c r="U619" s="29">
        <f>MAX(SumAssured-S619,0)</f>
        <v/>
      </c>
      <c r="V619" s="35">
        <f>CoiMultiple*G619</f>
        <v/>
      </c>
      <c r="W619" s="34">
        <f>V619*U619</f>
        <v/>
      </c>
      <c r="X619" s="34">
        <f>S619-T619-W619</f>
        <v/>
      </c>
      <c r="Y619" s="36">
        <f>EXP((Mu-0.5*Sigma^2)/12+Sigma*SQRT(1/12)*INDEX(NormRand,ScenID,A619+1))-1</f>
        <v/>
      </c>
      <c r="Z619" s="34">
        <f>Y619*X619</f>
        <v/>
      </c>
      <c r="AA619" s="34">
        <f>X619+0.5*Z619</f>
        <v/>
      </c>
      <c r="AB619" s="34">
        <f>Q619*J619</f>
        <v/>
      </c>
      <c r="AC619" s="34">
        <f>Q619*L619</f>
        <v/>
      </c>
      <c r="AD619" s="34">
        <f>S619*N619</f>
        <v/>
      </c>
      <c r="AE619" s="34">
        <f>E619*N619</f>
        <v/>
      </c>
      <c r="AF619" s="34">
        <f>R619*N619</f>
        <v/>
      </c>
      <c r="AG619" s="29">
        <f>MAX(SumAssured,AA619)</f>
        <v/>
      </c>
      <c r="AH619" s="34">
        <f>AG619*O619</f>
        <v/>
      </c>
      <c r="AI619" s="34">
        <f>AA619*O619</f>
        <v/>
      </c>
      <c r="AJ619" s="34">
        <f>AA619*P619</f>
        <v/>
      </c>
      <c r="AK619" s="34">
        <f>I619*AA619*P619</f>
        <v/>
      </c>
      <c r="AL619" s="34">
        <f>AJ619-AK619</f>
        <v/>
      </c>
      <c r="AM619" s="34">
        <f>Q619*K619</f>
        <v/>
      </c>
      <c r="AN619" s="34">
        <f>AH619+AL619+AM619</f>
        <v/>
      </c>
      <c r="AO619" s="34">
        <f>(AG619-AA619)*O619</f>
        <v/>
      </c>
      <c r="AP619" s="34">
        <f>W619*N619</f>
        <v/>
      </c>
      <c r="AQ619" s="34">
        <f>T619*N619</f>
        <v/>
      </c>
      <c r="AR619" s="34">
        <f>Z619*J620+0.5*Z619*(O619+P619)</f>
        <v/>
      </c>
      <c r="AS619" s="30">
        <f>(1+InflationRate)^(A619/12)</f>
        <v/>
      </c>
      <c r="AT619" s="29">
        <f>ExpenseAcq*M619+N619*ExpenseMaint/12*AS619</f>
        <v/>
      </c>
      <c r="AU619" s="29">
        <f>CommissionRate*AE619</f>
        <v/>
      </c>
      <c r="AV619" s="34">
        <f>AB620-AB619</f>
        <v/>
      </c>
      <c r="AW619" s="34">
        <f>AE619+AR619-AN619-AT619-AU619-AV619</f>
        <v/>
      </c>
      <c r="AX619" s="29">
        <f>LoadPremRate*E619*N619+AK619+AQ619-AU619-AT619</f>
        <v/>
      </c>
      <c r="AY619" s="34">
        <f>AP619-AO619</f>
        <v/>
      </c>
      <c r="AZ619" s="37">
        <f>(AW619-AX619-AY619)/MAX(1,ABS(AW619),ABS(AX619),ABS(AY619))</f>
        <v/>
      </c>
      <c r="BA619" s="37">
        <f>IF(OR(K619&gt;0,K620&gt;0),0,(AC620-(AC619+AF619-AQ619-AP619+AR619-AI619-AJ619-AM619))/MAX(1,ABS(AC619),ABS(AC620)))</f>
        <v/>
      </c>
      <c r="BB619" s="35">
        <f>(1+INDEX(DiscRateAnn,INT(A619/12)+1))^(1/12)-1</f>
        <v/>
      </c>
      <c r="BC619" s="31">
        <f>(1+BB619)^-A619</f>
        <v/>
      </c>
      <c r="BD619" s="34">
        <f>AW619*BC619</f>
        <v/>
      </c>
    </row>
    <row r="620">
      <c r="A620" s="27">
        <f>A619+1</f>
        <v/>
      </c>
      <c r="B620" s="28">
        <f>Duration0+A620</f>
        <v/>
      </c>
      <c r="C620" s="27">
        <f>INT(B620/12)</f>
        <v/>
      </c>
      <c r="D620" s="28">
        <f>AgeAtEntry+C620</f>
        <v/>
      </c>
      <c r="E620" s="29">
        <f>IF(PremiumType="SINGLE",IF(B620=0,PremiumPPInput,0),IF(B620&lt;12*PolicyTerm,PremiumPPInput,0))</f>
        <v/>
      </c>
      <c r="F620" s="30">
        <f>INDEX(MortRates,MATCH(MIN(D620,120),MortAges,0),MAX(MIN(C620,5),0)+1)</f>
        <v/>
      </c>
      <c r="G620" s="31">
        <f>1-(1-F620)^(1/12)</f>
        <v/>
      </c>
      <c r="H620" s="32">
        <f>MAX(LapseBase-LapseStep*C620,LapseFloor)</f>
        <v/>
      </c>
      <c r="I620" s="32">
        <f>IF(HasSurrCharge,INDEX(SurrRates,MIN(C620,SurrDurMax)+1,MATCH(SurrChargeID,SurrTypes,0)),0)</f>
        <v/>
      </c>
      <c r="J620" s="33">
        <f>N619-P619-O619</f>
        <v/>
      </c>
      <c r="K620" s="30">
        <f>IF(B620=12*PolicyTerm,J620,0)</f>
        <v/>
      </c>
      <c r="L620" s="33">
        <f>J620-K620</f>
        <v/>
      </c>
      <c r="M620" s="30">
        <f>IF(B620=0,PolicyCount,0)</f>
        <v/>
      </c>
      <c r="N620" s="33">
        <f>L620+M620</f>
        <v/>
      </c>
      <c r="O620" s="31">
        <f>N620*G620</f>
        <v/>
      </c>
      <c r="P620" s="33">
        <f>(N620-O620)*(1-(1-H620)^(1/12))</f>
        <v/>
      </c>
      <c r="Q620" s="34">
        <f>X619+Z619</f>
        <v/>
      </c>
      <c r="R620" s="29">
        <f>(1-LoadPremRate)*E620</f>
        <v/>
      </c>
      <c r="S620" s="34">
        <f>Q620+R620</f>
        <v/>
      </c>
      <c r="T620" s="29">
        <f>MaintFeeRateAnn/12*S620</f>
        <v/>
      </c>
      <c r="U620" s="29">
        <f>MAX(SumAssured-S620,0)</f>
        <v/>
      </c>
      <c r="V620" s="35">
        <f>CoiMultiple*G620</f>
        <v/>
      </c>
      <c r="W620" s="34">
        <f>V620*U620</f>
        <v/>
      </c>
      <c r="X620" s="34">
        <f>S620-T620-W620</f>
        <v/>
      </c>
      <c r="Y620" s="36">
        <f>EXP((Mu-0.5*Sigma^2)/12+Sigma*SQRT(1/12)*INDEX(NormRand,ScenID,A620+1))-1</f>
        <v/>
      </c>
      <c r="Z620" s="34">
        <f>Y620*X620</f>
        <v/>
      </c>
      <c r="AA620" s="34">
        <f>X620+0.5*Z620</f>
        <v/>
      </c>
      <c r="AB620" s="34">
        <f>Q620*J620</f>
        <v/>
      </c>
      <c r="AC620" s="34">
        <f>Q620*L620</f>
        <v/>
      </c>
      <c r="AD620" s="34">
        <f>S620*N620</f>
        <v/>
      </c>
      <c r="AE620" s="34">
        <f>E620*N620</f>
        <v/>
      </c>
      <c r="AF620" s="34">
        <f>R620*N620</f>
        <v/>
      </c>
      <c r="AG620" s="29">
        <f>MAX(SumAssured,AA620)</f>
        <v/>
      </c>
      <c r="AH620" s="34">
        <f>AG620*O620</f>
        <v/>
      </c>
      <c r="AI620" s="34">
        <f>AA620*O620</f>
        <v/>
      </c>
      <c r="AJ620" s="34">
        <f>AA620*P620</f>
        <v/>
      </c>
      <c r="AK620" s="34">
        <f>I620*AA620*P620</f>
        <v/>
      </c>
      <c r="AL620" s="34">
        <f>AJ620-AK620</f>
        <v/>
      </c>
      <c r="AM620" s="34">
        <f>Q620*K620</f>
        <v/>
      </c>
      <c r="AN620" s="34">
        <f>AH620+AL620+AM620</f>
        <v/>
      </c>
      <c r="AO620" s="34">
        <f>(AG620-AA620)*O620</f>
        <v/>
      </c>
      <c r="AP620" s="34">
        <f>W620*N620</f>
        <v/>
      </c>
      <c r="AQ620" s="34">
        <f>T620*N620</f>
        <v/>
      </c>
      <c r="AR620" s="34">
        <f>Z620*J621+0.5*Z620*(O620+P620)</f>
        <v/>
      </c>
      <c r="AS620" s="30">
        <f>(1+InflationRate)^(A620/12)</f>
        <v/>
      </c>
      <c r="AT620" s="29">
        <f>ExpenseAcq*M620+N620*ExpenseMaint/12*AS620</f>
        <v/>
      </c>
      <c r="AU620" s="29">
        <f>CommissionRate*AE620</f>
        <v/>
      </c>
      <c r="AV620" s="34">
        <f>AB621-AB620</f>
        <v/>
      </c>
      <c r="AW620" s="34">
        <f>AE620+AR620-AN620-AT620-AU620-AV620</f>
        <v/>
      </c>
      <c r="AX620" s="29">
        <f>LoadPremRate*E620*N620+AK620+AQ620-AU620-AT620</f>
        <v/>
      </c>
      <c r="AY620" s="34">
        <f>AP620-AO620</f>
        <v/>
      </c>
      <c r="AZ620" s="37">
        <f>(AW620-AX620-AY620)/MAX(1,ABS(AW620),ABS(AX620),ABS(AY620))</f>
        <v/>
      </c>
      <c r="BA620" s="37">
        <f>IF(OR(K620&gt;0,K621&gt;0),0,(AC621-(AC620+AF620-AQ620-AP620+AR620-AI620-AJ620-AM620))/MAX(1,ABS(AC620),ABS(AC621)))</f>
        <v/>
      </c>
      <c r="BB620" s="35">
        <f>(1+INDEX(DiscRateAnn,INT(A620/12)+1))^(1/12)-1</f>
        <v/>
      </c>
      <c r="BC620" s="31">
        <f>(1+BB620)^-A620</f>
        <v/>
      </c>
      <c r="BD620" s="34">
        <f>AW620*BC620</f>
        <v/>
      </c>
    </row>
    <row r="621">
      <c r="A621" s="27">
        <f>A620+1</f>
        <v/>
      </c>
      <c r="B621" s="28">
        <f>Duration0+A621</f>
        <v/>
      </c>
      <c r="C621" s="27">
        <f>INT(B621/12)</f>
        <v/>
      </c>
      <c r="D621" s="28">
        <f>AgeAtEntry+C621</f>
        <v/>
      </c>
      <c r="E621" s="29">
        <f>IF(PremiumType="SINGLE",IF(B621=0,PremiumPPInput,0),IF(B621&lt;12*PolicyTerm,PremiumPPInput,0))</f>
        <v/>
      </c>
      <c r="F621" s="30">
        <f>INDEX(MortRates,MATCH(MIN(D621,120),MortAges,0),MAX(MIN(C621,5),0)+1)</f>
        <v/>
      </c>
      <c r="G621" s="31">
        <f>1-(1-F621)^(1/12)</f>
        <v/>
      </c>
      <c r="H621" s="32">
        <f>MAX(LapseBase-LapseStep*C621,LapseFloor)</f>
        <v/>
      </c>
      <c r="I621" s="32">
        <f>IF(HasSurrCharge,INDEX(SurrRates,MIN(C621,SurrDurMax)+1,MATCH(SurrChargeID,SurrTypes,0)),0)</f>
        <v/>
      </c>
      <c r="J621" s="33">
        <f>N620-P620-O620</f>
        <v/>
      </c>
      <c r="K621" s="30">
        <f>IF(B621=12*PolicyTerm,J621,0)</f>
        <v/>
      </c>
      <c r="L621" s="33">
        <f>J621-K621</f>
        <v/>
      </c>
      <c r="M621" s="30">
        <f>IF(B621=0,PolicyCount,0)</f>
        <v/>
      </c>
      <c r="N621" s="33">
        <f>L621+M621</f>
        <v/>
      </c>
      <c r="O621" s="31">
        <f>N621*G621</f>
        <v/>
      </c>
      <c r="P621" s="33">
        <f>(N621-O621)*(1-(1-H621)^(1/12))</f>
        <v/>
      </c>
      <c r="Q621" s="34">
        <f>X620+Z620</f>
        <v/>
      </c>
      <c r="R621" s="29">
        <f>(1-LoadPremRate)*E621</f>
        <v/>
      </c>
      <c r="S621" s="34">
        <f>Q621+R621</f>
        <v/>
      </c>
      <c r="T621" s="29">
        <f>MaintFeeRateAnn/12*S621</f>
        <v/>
      </c>
      <c r="U621" s="29">
        <f>MAX(SumAssured-S621,0)</f>
        <v/>
      </c>
      <c r="V621" s="35">
        <f>CoiMultiple*G621</f>
        <v/>
      </c>
      <c r="W621" s="34">
        <f>V621*U621</f>
        <v/>
      </c>
      <c r="X621" s="34">
        <f>S621-T621-W621</f>
        <v/>
      </c>
      <c r="Y621" s="36">
        <f>EXP((Mu-0.5*Sigma^2)/12+Sigma*SQRT(1/12)*INDEX(NormRand,ScenID,A621+1))-1</f>
        <v/>
      </c>
      <c r="Z621" s="34">
        <f>Y621*X621</f>
        <v/>
      </c>
      <c r="AA621" s="34">
        <f>X621+0.5*Z621</f>
        <v/>
      </c>
      <c r="AB621" s="34">
        <f>Q621*J621</f>
        <v/>
      </c>
      <c r="AC621" s="34">
        <f>Q621*L621</f>
        <v/>
      </c>
      <c r="AD621" s="34">
        <f>S621*N621</f>
        <v/>
      </c>
      <c r="AE621" s="34">
        <f>E621*N621</f>
        <v/>
      </c>
      <c r="AF621" s="34">
        <f>R621*N621</f>
        <v/>
      </c>
      <c r="AG621" s="29">
        <f>MAX(SumAssured,AA621)</f>
        <v/>
      </c>
      <c r="AH621" s="34">
        <f>AG621*O621</f>
        <v/>
      </c>
      <c r="AI621" s="34">
        <f>AA621*O621</f>
        <v/>
      </c>
      <c r="AJ621" s="34">
        <f>AA621*P621</f>
        <v/>
      </c>
      <c r="AK621" s="34">
        <f>I621*AA621*P621</f>
        <v/>
      </c>
      <c r="AL621" s="34">
        <f>AJ621-AK621</f>
        <v/>
      </c>
      <c r="AM621" s="34">
        <f>Q621*K621</f>
        <v/>
      </c>
      <c r="AN621" s="34">
        <f>AH621+AL621+AM621</f>
        <v/>
      </c>
      <c r="AO621" s="34">
        <f>(AG621-AA621)*O621</f>
        <v/>
      </c>
      <c r="AP621" s="34">
        <f>W621*N621</f>
        <v/>
      </c>
      <c r="AQ621" s="34">
        <f>T621*N621</f>
        <v/>
      </c>
      <c r="AR621" s="34">
        <f>Z621*J622+0.5*Z621*(O621+P621)</f>
        <v/>
      </c>
      <c r="AS621" s="30">
        <f>(1+InflationRate)^(A621/12)</f>
        <v/>
      </c>
      <c r="AT621" s="29">
        <f>ExpenseAcq*M621+N621*ExpenseMaint/12*AS621</f>
        <v/>
      </c>
      <c r="AU621" s="29">
        <f>CommissionRate*AE621</f>
        <v/>
      </c>
      <c r="AV621" s="34">
        <f>AB622-AB621</f>
        <v/>
      </c>
      <c r="AW621" s="34">
        <f>AE621+AR621-AN621-AT621-AU621-AV621</f>
        <v/>
      </c>
      <c r="AX621" s="29">
        <f>LoadPremRate*E621*N621+AK621+AQ621-AU621-AT621</f>
        <v/>
      </c>
      <c r="AY621" s="34">
        <f>AP621-AO621</f>
        <v/>
      </c>
      <c r="AZ621" s="37">
        <f>(AW621-AX621-AY621)/MAX(1,ABS(AW621),ABS(AX621),ABS(AY621))</f>
        <v/>
      </c>
      <c r="BA621" s="37">
        <f>IF(OR(K621&gt;0,K622&gt;0),0,(AC622-(AC621+AF621-AQ621-AP621+AR621-AI621-AJ621-AM621))/MAX(1,ABS(AC621),ABS(AC622)))</f>
        <v/>
      </c>
      <c r="BB621" s="35">
        <f>(1+INDEX(DiscRateAnn,INT(A621/12)+1))^(1/12)-1</f>
        <v/>
      </c>
      <c r="BC621" s="31">
        <f>(1+BB621)^-A621</f>
        <v/>
      </c>
      <c r="BD621" s="34">
        <f>AW621*BC621</f>
        <v/>
      </c>
    </row>
    <row r="622">
      <c r="A622" s="27">
        <f>A621+1</f>
        <v/>
      </c>
      <c r="B622" s="28">
        <f>Duration0+A622</f>
        <v/>
      </c>
      <c r="C622" s="27">
        <f>INT(B622/12)</f>
        <v/>
      </c>
      <c r="D622" s="28">
        <f>AgeAtEntry+C622</f>
        <v/>
      </c>
      <c r="E622" s="29">
        <f>IF(PremiumType="SINGLE",IF(B622=0,PremiumPPInput,0),IF(B622&lt;12*PolicyTerm,PremiumPPInput,0))</f>
        <v/>
      </c>
      <c r="F622" s="30">
        <f>INDEX(MortRates,MATCH(MIN(D622,120),MortAges,0),MAX(MIN(C622,5),0)+1)</f>
        <v/>
      </c>
      <c r="G622" s="31">
        <f>1-(1-F622)^(1/12)</f>
        <v/>
      </c>
      <c r="H622" s="32">
        <f>MAX(LapseBase-LapseStep*C622,LapseFloor)</f>
        <v/>
      </c>
      <c r="I622" s="32">
        <f>IF(HasSurrCharge,INDEX(SurrRates,MIN(C622,SurrDurMax)+1,MATCH(SurrChargeID,SurrTypes,0)),0)</f>
        <v/>
      </c>
      <c r="J622" s="33">
        <f>N621-P621-O621</f>
        <v/>
      </c>
      <c r="K622" s="30">
        <f>IF(B622=12*PolicyTerm,J622,0)</f>
        <v/>
      </c>
      <c r="L622" s="33">
        <f>J622-K622</f>
        <v/>
      </c>
      <c r="M622" s="30">
        <f>IF(B622=0,PolicyCount,0)</f>
        <v/>
      </c>
      <c r="N622" s="33">
        <f>L622+M622</f>
        <v/>
      </c>
      <c r="O622" s="31">
        <f>N622*G622</f>
        <v/>
      </c>
      <c r="P622" s="33">
        <f>(N622-O622)*(1-(1-H622)^(1/12))</f>
        <v/>
      </c>
      <c r="Q622" s="34">
        <f>X621+Z621</f>
        <v/>
      </c>
      <c r="R622" s="29">
        <f>(1-LoadPremRate)*E622</f>
        <v/>
      </c>
      <c r="S622" s="34">
        <f>Q622+R622</f>
        <v/>
      </c>
      <c r="T622" s="29">
        <f>MaintFeeRateAnn/12*S622</f>
        <v/>
      </c>
      <c r="U622" s="29">
        <f>MAX(SumAssured-S622,0)</f>
        <v/>
      </c>
      <c r="V622" s="35">
        <f>CoiMultiple*G622</f>
        <v/>
      </c>
      <c r="W622" s="34">
        <f>V622*U622</f>
        <v/>
      </c>
      <c r="X622" s="34">
        <f>S622-T622-W622</f>
        <v/>
      </c>
      <c r="Y622" s="36">
        <f>EXP((Mu-0.5*Sigma^2)/12+Sigma*SQRT(1/12)*INDEX(NormRand,ScenID,A622+1))-1</f>
        <v/>
      </c>
      <c r="Z622" s="34">
        <f>Y622*X622</f>
        <v/>
      </c>
      <c r="AA622" s="34">
        <f>X622+0.5*Z622</f>
        <v/>
      </c>
      <c r="AB622" s="34">
        <f>Q622*J622</f>
        <v/>
      </c>
      <c r="AC622" s="34">
        <f>Q622*L622</f>
        <v/>
      </c>
      <c r="AD622" s="34">
        <f>S622*N622</f>
        <v/>
      </c>
      <c r="AE622" s="34">
        <f>E622*N622</f>
        <v/>
      </c>
      <c r="AF622" s="34">
        <f>R622*N622</f>
        <v/>
      </c>
      <c r="AG622" s="29">
        <f>MAX(SumAssured,AA622)</f>
        <v/>
      </c>
      <c r="AH622" s="34">
        <f>AG622*O622</f>
        <v/>
      </c>
      <c r="AI622" s="34">
        <f>AA622*O622</f>
        <v/>
      </c>
      <c r="AJ622" s="34">
        <f>AA622*P622</f>
        <v/>
      </c>
      <c r="AK622" s="34">
        <f>I622*AA622*P622</f>
        <v/>
      </c>
      <c r="AL622" s="34">
        <f>AJ622-AK622</f>
        <v/>
      </c>
      <c r="AM622" s="34">
        <f>Q622*K622</f>
        <v/>
      </c>
      <c r="AN622" s="34">
        <f>AH622+AL622+AM622</f>
        <v/>
      </c>
      <c r="AO622" s="34">
        <f>(AG622-AA622)*O622</f>
        <v/>
      </c>
      <c r="AP622" s="34">
        <f>W622*N622</f>
        <v/>
      </c>
      <c r="AQ622" s="34">
        <f>T622*N622</f>
        <v/>
      </c>
      <c r="AR622" s="34">
        <f>Z622*J623+0.5*Z622*(O622+P622)</f>
        <v/>
      </c>
      <c r="AS622" s="30">
        <f>(1+InflationRate)^(A622/12)</f>
        <v/>
      </c>
      <c r="AT622" s="29">
        <f>ExpenseAcq*M622+N622*ExpenseMaint/12*AS622</f>
        <v/>
      </c>
      <c r="AU622" s="29">
        <f>CommissionRate*AE622</f>
        <v/>
      </c>
      <c r="AV622" s="34">
        <f>AB623-AB622</f>
        <v/>
      </c>
      <c r="AW622" s="34">
        <f>AE622+AR622-AN622-AT622-AU622-AV622</f>
        <v/>
      </c>
      <c r="AX622" s="29">
        <f>LoadPremRate*E622*N622+AK622+AQ622-AU622-AT622</f>
        <v/>
      </c>
      <c r="AY622" s="34">
        <f>AP622-AO622</f>
        <v/>
      </c>
      <c r="AZ622" s="37">
        <f>(AW622-AX622-AY622)/MAX(1,ABS(AW622),ABS(AX622),ABS(AY622))</f>
        <v/>
      </c>
      <c r="BA622" s="37">
        <f>IF(OR(K622&gt;0,K623&gt;0),0,(AC623-(AC622+AF622-AQ622-AP622+AR622-AI622-AJ622-AM622))/MAX(1,ABS(AC622),ABS(AC623)))</f>
        <v/>
      </c>
      <c r="BB622" s="35">
        <f>(1+INDEX(DiscRateAnn,INT(A622/12)+1))^(1/12)-1</f>
        <v/>
      </c>
      <c r="BC622" s="31">
        <f>(1+BB622)^-A622</f>
        <v/>
      </c>
      <c r="BD622" s="34">
        <f>AW622*BC622</f>
        <v/>
      </c>
    </row>
    <row r="623">
      <c r="A623" s="27">
        <f>A622+1</f>
        <v/>
      </c>
      <c r="B623" s="28">
        <f>Duration0+A623</f>
        <v/>
      </c>
      <c r="C623" s="27">
        <f>INT(B623/12)</f>
        <v/>
      </c>
      <c r="D623" s="28">
        <f>AgeAtEntry+C623</f>
        <v/>
      </c>
      <c r="E623" s="29">
        <f>IF(PremiumType="SINGLE",IF(B623=0,PremiumPPInput,0),IF(B623&lt;12*PolicyTerm,PremiumPPInput,0))</f>
        <v/>
      </c>
      <c r="F623" s="30">
        <f>INDEX(MortRates,MATCH(MIN(D623,120),MortAges,0),MAX(MIN(C623,5),0)+1)</f>
        <v/>
      </c>
      <c r="G623" s="31">
        <f>1-(1-F623)^(1/12)</f>
        <v/>
      </c>
      <c r="H623" s="32">
        <f>MAX(LapseBase-LapseStep*C623,LapseFloor)</f>
        <v/>
      </c>
      <c r="I623" s="32">
        <f>IF(HasSurrCharge,INDEX(SurrRates,MIN(C623,SurrDurMax)+1,MATCH(SurrChargeID,SurrTypes,0)),0)</f>
        <v/>
      </c>
      <c r="J623" s="33">
        <f>N622-P622-O622</f>
        <v/>
      </c>
      <c r="K623" s="30">
        <f>IF(B623=12*PolicyTerm,J623,0)</f>
        <v/>
      </c>
      <c r="L623" s="33">
        <f>J623-K623</f>
        <v/>
      </c>
      <c r="M623" s="30">
        <f>IF(B623=0,PolicyCount,0)</f>
        <v/>
      </c>
      <c r="N623" s="33">
        <f>L623+M623</f>
        <v/>
      </c>
      <c r="O623" s="31">
        <f>N623*G623</f>
        <v/>
      </c>
      <c r="P623" s="33">
        <f>(N623-O623)*(1-(1-H623)^(1/12))</f>
        <v/>
      </c>
      <c r="Q623" s="34">
        <f>X622+Z622</f>
        <v/>
      </c>
      <c r="R623" s="29">
        <f>(1-LoadPremRate)*E623</f>
        <v/>
      </c>
      <c r="S623" s="34">
        <f>Q623+R623</f>
        <v/>
      </c>
      <c r="T623" s="29">
        <f>MaintFeeRateAnn/12*S623</f>
        <v/>
      </c>
      <c r="U623" s="29">
        <f>MAX(SumAssured-S623,0)</f>
        <v/>
      </c>
      <c r="V623" s="35">
        <f>CoiMultiple*G623</f>
        <v/>
      </c>
      <c r="W623" s="34">
        <f>V623*U623</f>
        <v/>
      </c>
      <c r="X623" s="34">
        <f>S623-T623-W623</f>
        <v/>
      </c>
      <c r="Y623" s="36">
        <f>EXP((Mu-0.5*Sigma^2)/12+Sigma*SQRT(1/12)*INDEX(NormRand,ScenID,A623+1))-1</f>
        <v/>
      </c>
      <c r="Z623" s="34">
        <f>Y623*X623</f>
        <v/>
      </c>
      <c r="AA623" s="34">
        <f>X623+0.5*Z623</f>
        <v/>
      </c>
      <c r="AB623" s="34">
        <f>Q623*J623</f>
        <v/>
      </c>
      <c r="AC623" s="34">
        <f>Q623*L623</f>
        <v/>
      </c>
      <c r="AD623" s="34">
        <f>S623*N623</f>
        <v/>
      </c>
      <c r="AE623" s="34">
        <f>E623*N623</f>
        <v/>
      </c>
      <c r="AF623" s="34">
        <f>R623*N623</f>
        <v/>
      </c>
      <c r="AG623" s="29">
        <f>MAX(SumAssured,AA623)</f>
        <v/>
      </c>
      <c r="AH623" s="34">
        <f>AG623*O623</f>
        <v/>
      </c>
      <c r="AI623" s="34">
        <f>AA623*O623</f>
        <v/>
      </c>
      <c r="AJ623" s="34">
        <f>AA623*P623</f>
        <v/>
      </c>
      <c r="AK623" s="34">
        <f>I623*AA623*P623</f>
        <v/>
      </c>
      <c r="AL623" s="34">
        <f>AJ623-AK623</f>
        <v/>
      </c>
      <c r="AM623" s="34">
        <f>Q623*K623</f>
        <v/>
      </c>
      <c r="AN623" s="34">
        <f>AH623+AL623+AM623</f>
        <v/>
      </c>
      <c r="AO623" s="34">
        <f>(AG623-AA623)*O623</f>
        <v/>
      </c>
      <c r="AP623" s="34">
        <f>W623*N623</f>
        <v/>
      </c>
      <c r="AQ623" s="34">
        <f>T623*N623</f>
        <v/>
      </c>
      <c r="AR623" s="34">
        <f>Z623*J624+0.5*Z623*(O623+P623)</f>
        <v/>
      </c>
      <c r="AS623" s="30">
        <f>(1+InflationRate)^(A623/12)</f>
        <v/>
      </c>
      <c r="AT623" s="29">
        <f>ExpenseAcq*M623+N623*ExpenseMaint/12*AS623</f>
        <v/>
      </c>
      <c r="AU623" s="29">
        <f>CommissionRate*AE623</f>
        <v/>
      </c>
      <c r="AV623" s="34">
        <f>AB624-AB623</f>
        <v/>
      </c>
      <c r="AW623" s="34">
        <f>AE623+AR623-AN623-AT623-AU623-AV623</f>
        <v/>
      </c>
      <c r="AX623" s="29">
        <f>LoadPremRate*E623*N623+AK623+AQ623-AU623-AT623</f>
        <v/>
      </c>
      <c r="AY623" s="34">
        <f>AP623-AO623</f>
        <v/>
      </c>
      <c r="AZ623" s="37">
        <f>(AW623-AX623-AY623)/MAX(1,ABS(AW623),ABS(AX623),ABS(AY623))</f>
        <v/>
      </c>
      <c r="BA623" s="37">
        <f>IF(OR(K623&gt;0,K624&gt;0),0,(AC624-(AC623+AF623-AQ623-AP623+AR623-AI623-AJ623-AM623))/MAX(1,ABS(AC623),ABS(AC624)))</f>
        <v/>
      </c>
      <c r="BB623" s="35">
        <f>(1+INDEX(DiscRateAnn,INT(A623/12)+1))^(1/12)-1</f>
        <v/>
      </c>
      <c r="BC623" s="31">
        <f>(1+BB623)^-A623</f>
        <v/>
      </c>
      <c r="BD623" s="34">
        <f>AW623*BC623</f>
        <v/>
      </c>
    </row>
    <row r="624">
      <c r="A624" s="27">
        <f>A623+1</f>
        <v/>
      </c>
      <c r="B624" s="28">
        <f>Duration0+A624</f>
        <v/>
      </c>
      <c r="C624" s="27">
        <f>INT(B624/12)</f>
        <v/>
      </c>
      <c r="D624" s="28">
        <f>AgeAtEntry+C624</f>
        <v/>
      </c>
      <c r="E624" s="29">
        <f>IF(PremiumType="SINGLE",IF(B624=0,PremiumPPInput,0),IF(B624&lt;12*PolicyTerm,PremiumPPInput,0))</f>
        <v/>
      </c>
      <c r="F624" s="30">
        <f>INDEX(MortRates,MATCH(MIN(D624,120),MortAges,0),MAX(MIN(C624,5),0)+1)</f>
        <v/>
      </c>
      <c r="G624" s="31">
        <f>1-(1-F624)^(1/12)</f>
        <v/>
      </c>
      <c r="H624" s="32">
        <f>MAX(LapseBase-LapseStep*C624,LapseFloor)</f>
        <v/>
      </c>
      <c r="I624" s="32">
        <f>IF(HasSurrCharge,INDEX(SurrRates,MIN(C624,SurrDurMax)+1,MATCH(SurrChargeID,SurrTypes,0)),0)</f>
        <v/>
      </c>
      <c r="J624" s="33">
        <f>N623-P623-O623</f>
        <v/>
      </c>
      <c r="K624" s="30">
        <f>IF(B624=12*PolicyTerm,J624,0)</f>
        <v/>
      </c>
      <c r="L624" s="33">
        <f>J624-K624</f>
        <v/>
      </c>
      <c r="M624" s="30">
        <f>IF(B624=0,PolicyCount,0)</f>
        <v/>
      </c>
      <c r="N624" s="33">
        <f>L624+M624</f>
        <v/>
      </c>
      <c r="O624" s="31">
        <f>N624*G624</f>
        <v/>
      </c>
      <c r="P624" s="33">
        <f>(N624-O624)*(1-(1-H624)^(1/12))</f>
        <v/>
      </c>
      <c r="Q624" s="34">
        <f>X623+Z623</f>
        <v/>
      </c>
      <c r="R624" s="29">
        <f>(1-LoadPremRate)*E624</f>
        <v/>
      </c>
      <c r="S624" s="34">
        <f>Q624+R624</f>
        <v/>
      </c>
      <c r="T624" s="29">
        <f>MaintFeeRateAnn/12*S624</f>
        <v/>
      </c>
      <c r="U624" s="29">
        <f>MAX(SumAssured-S624,0)</f>
        <v/>
      </c>
      <c r="V624" s="35">
        <f>CoiMultiple*G624</f>
        <v/>
      </c>
      <c r="W624" s="34">
        <f>V624*U624</f>
        <v/>
      </c>
      <c r="X624" s="34">
        <f>S624-T624-W624</f>
        <v/>
      </c>
      <c r="Y624" s="36">
        <f>EXP((Mu-0.5*Sigma^2)/12+Sigma*SQRT(1/12)*INDEX(NormRand,ScenID,A624+1))-1</f>
        <v/>
      </c>
      <c r="Z624" s="34">
        <f>Y624*X624</f>
        <v/>
      </c>
      <c r="AA624" s="34">
        <f>X624+0.5*Z624</f>
        <v/>
      </c>
      <c r="AB624" s="34">
        <f>Q624*J624</f>
        <v/>
      </c>
      <c r="AC624" s="34">
        <f>Q624*L624</f>
        <v/>
      </c>
      <c r="AD624" s="34">
        <f>S624*N624</f>
        <v/>
      </c>
      <c r="AE624" s="34">
        <f>E624*N624</f>
        <v/>
      </c>
      <c r="AF624" s="34">
        <f>R624*N624</f>
        <v/>
      </c>
      <c r="AG624" s="29">
        <f>MAX(SumAssured,AA624)</f>
        <v/>
      </c>
      <c r="AH624" s="34">
        <f>AG624*O624</f>
        <v/>
      </c>
      <c r="AI624" s="34">
        <f>AA624*O624</f>
        <v/>
      </c>
      <c r="AJ624" s="34">
        <f>AA624*P624</f>
        <v/>
      </c>
      <c r="AK624" s="34">
        <f>I624*AA624*P624</f>
        <v/>
      </c>
      <c r="AL624" s="34">
        <f>AJ624-AK624</f>
        <v/>
      </c>
      <c r="AM624" s="34">
        <f>Q624*K624</f>
        <v/>
      </c>
      <c r="AN624" s="34">
        <f>AH624+AL624+AM624</f>
        <v/>
      </c>
      <c r="AO624" s="34">
        <f>(AG624-AA624)*O624</f>
        <v/>
      </c>
      <c r="AP624" s="34">
        <f>W624*N624</f>
        <v/>
      </c>
      <c r="AQ624" s="34">
        <f>T624*N624</f>
        <v/>
      </c>
      <c r="AR624" s="34">
        <f>Z624*J625+0.5*Z624*(O624+P624)</f>
        <v/>
      </c>
      <c r="AS624" s="30">
        <f>(1+InflationRate)^(A624/12)</f>
        <v/>
      </c>
      <c r="AT624" s="29">
        <f>ExpenseAcq*M624+N624*ExpenseMaint/12*AS624</f>
        <v/>
      </c>
      <c r="AU624" s="29">
        <f>CommissionRate*AE624</f>
        <v/>
      </c>
      <c r="AV624" s="34">
        <f>AB625-AB624</f>
        <v/>
      </c>
      <c r="AW624" s="34">
        <f>AE624+AR624-AN624-AT624-AU624-AV624</f>
        <v/>
      </c>
      <c r="AX624" s="29">
        <f>LoadPremRate*E624*N624+AK624+AQ624-AU624-AT624</f>
        <v/>
      </c>
      <c r="AY624" s="34">
        <f>AP624-AO624</f>
        <v/>
      </c>
      <c r="AZ624" s="37">
        <f>(AW624-AX624-AY624)/MAX(1,ABS(AW624),ABS(AX624),ABS(AY624))</f>
        <v/>
      </c>
      <c r="BA624" s="37">
        <f>IF(OR(K624&gt;0,K625&gt;0),0,(AC625-(AC624+AF624-AQ624-AP624+AR624-AI624-AJ624-AM624))/MAX(1,ABS(AC624),ABS(AC625)))</f>
        <v/>
      </c>
      <c r="BB624" s="35">
        <f>(1+INDEX(DiscRateAnn,INT(A624/12)+1))^(1/12)-1</f>
        <v/>
      </c>
      <c r="BC624" s="31">
        <f>(1+BB624)^-A624</f>
        <v/>
      </c>
      <c r="BD624" s="34">
        <f>AW624*BC624</f>
        <v/>
      </c>
    </row>
    <row r="625">
      <c r="A625" s="27">
        <f>A624+1</f>
        <v/>
      </c>
      <c r="B625" s="28">
        <f>Duration0+A625</f>
        <v/>
      </c>
      <c r="C625" s="27">
        <f>INT(B625/12)</f>
        <v/>
      </c>
      <c r="D625" s="28">
        <f>AgeAtEntry+C625</f>
        <v/>
      </c>
      <c r="E625" s="29">
        <f>IF(PremiumType="SINGLE",IF(B625=0,PremiumPPInput,0),IF(B625&lt;12*PolicyTerm,PremiumPPInput,0))</f>
        <v/>
      </c>
      <c r="F625" s="30">
        <f>INDEX(MortRates,MATCH(MIN(D625,120),MortAges,0),MAX(MIN(C625,5),0)+1)</f>
        <v/>
      </c>
      <c r="G625" s="31">
        <f>1-(1-F625)^(1/12)</f>
        <v/>
      </c>
      <c r="H625" s="32">
        <f>MAX(LapseBase-LapseStep*C625,LapseFloor)</f>
        <v/>
      </c>
      <c r="I625" s="32">
        <f>IF(HasSurrCharge,INDEX(SurrRates,MIN(C625,SurrDurMax)+1,MATCH(SurrChargeID,SurrTypes,0)),0)</f>
        <v/>
      </c>
      <c r="J625" s="33">
        <f>N624-P624-O624</f>
        <v/>
      </c>
      <c r="K625" s="30">
        <f>IF(B625=12*PolicyTerm,J625,0)</f>
        <v/>
      </c>
      <c r="L625" s="33">
        <f>J625-K625</f>
        <v/>
      </c>
      <c r="M625" s="30">
        <f>IF(B625=0,PolicyCount,0)</f>
        <v/>
      </c>
      <c r="N625" s="33">
        <f>L625+M625</f>
        <v/>
      </c>
      <c r="O625" s="31">
        <f>N625*G625</f>
        <v/>
      </c>
      <c r="P625" s="33">
        <f>(N625-O625)*(1-(1-H625)^(1/12))</f>
        <v/>
      </c>
      <c r="Q625" s="34">
        <f>X624+Z624</f>
        <v/>
      </c>
      <c r="R625" s="29">
        <f>(1-LoadPremRate)*E625</f>
        <v/>
      </c>
      <c r="S625" s="34">
        <f>Q625+R625</f>
        <v/>
      </c>
      <c r="T625" s="29">
        <f>MaintFeeRateAnn/12*S625</f>
        <v/>
      </c>
      <c r="U625" s="29">
        <f>MAX(SumAssured-S625,0)</f>
        <v/>
      </c>
      <c r="V625" s="35">
        <f>CoiMultiple*G625</f>
        <v/>
      </c>
      <c r="W625" s="34">
        <f>V625*U625</f>
        <v/>
      </c>
      <c r="X625" s="34">
        <f>S625-T625-W625</f>
        <v/>
      </c>
      <c r="Y625" s="36">
        <f>EXP((Mu-0.5*Sigma^2)/12+Sigma*SQRT(1/12)*INDEX(NormRand,ScenID,A625+1))-1</f>
        <v/>
      </c>
      <c r="Z625" s="34">
        <f>Y625*X625</f>
        <v/>
      </c>
      <c r="AA625" s="34">
        <f>X625+0.5*Z625</f>
        <v/>
      </c>
      <c r="AB625" s="34">
        <f>Q625*J625</f>
        <v/>
      </c>
      <c r="AC625" s="34">
        <f>Q625*L625</f>
        <v/>
      </c>
      <c r="AD625" s="34">
        <f>S625*N625</f>
        <v/>
      </c>
      <c r="AE625" s="34">
        <f>E625*N625</f>
        <v/>
      </c>
      <c r="AF625" s="34">
        <f>R625*N625</f>
        <v/>
      </c>
      <c r="AG625" s="29">
        <f>MAX(SumAssured,AA625)</f>
        <v/>
      </c>
      <c r="AH625" s="34">
        <f>AG625*O625</f>
        <v/>
      </c>
      <c r="AI625" s="34">
        <f>AA625*O625</f>
        <v/>
      </c>
      <c r="AJ625" s="34">
        <f>AA625*P625</f>
        <v/>
      </c>
      <c r="AK625" s="34">
        <f>I625*AA625*P625</f>
        <v/>
      </c>
      <c r="AL625" s="34">
        <f>AJ625-AK625</f>
        <v/>
      </c>
      <c r="AM625" s="34">
        <f>Q625*K625</f>
        <v/>
      </c>
      <c r="AN625" s="34">
        <f>AH625+AL625+AM625</f>
        <v/>
      </c>
      <c r="AO625" s="34">
        <f>(AG625-AA625)*O625</f>
        <v/>
      </c>
      <c r="AP625" s="34">
        <f>W625*N625</f>
        <v/>
      </c>
      <c r="AQ625" s="34">
        <f>T625*N625</f>
        <v/>
      </c>
      <c r="AR625" s="34">
        <f>Z625*J626+0.5*Z625*(O625+P625)</f>
        <v/>
      </c>
      <c r="AS625" s="30">
        <f>(1+InflationRate)^(A625/12)</f>
        <v/>
      </c>
      <c r="AT625" s="29">
        <f>ExpenseAcq*M625+N625*ExpenseMaint/12*AS625</f>
        <v/>
      </c>
      <c r="AU625" s="29">
        <f>CommissionRate*AE625</f>
        <v/>
      </c>
      <c r="AV625" s="34">
        <f>AB626-AB625</f>
        <v/>
      </c>
      <c r="AW625" s="34">
        <f>AE625+AR625-AN625-AT625-AU625-AV625</f>
        <v/>
      </c>
      <c r="AX625" s="29">
        <f>LoadPremRate*E625*N625+AK625+AQ625-AU625-AT625</f>
        <v/>
      </c>
      <c r="AY625" s="34">
        <f>AP625-AO625</f>
        <v/>
      </c>
      <c r="AZ625" s="37">
        <f>(AW625-AX625-AY625)/MAX(1,ABS(AW625),ABS(AX625),ABS(AY625))</f>
        <v/>
      </c>
      <c r="BA625" s="37">
        <f>IF(OR(K625&gt;0,K626&gt;0),0,(AC626-(AC625+AF625-AQ625-AP625+AR625-AI625-AJ625-AM625))/MAX(1,ABS(AC625),ABS(AC626)))</f>
        <v/>
      </c>
      <c r="BB625" s="35">
        <f>(1+INDEX(DiscRateAnn,INT(A625/12)+1))^(1/12)-1</f>
        <v/>
      </c>
      <c r="BC625" s="31">
        <f>(1+BB625)^-A625</f>
        <v/>
      </c>
      <c r="BD625" s="34">
        <f>AW625*BC625</f>
        <v/>
      </c>
    </row>
    <row r="626">
      <c r="A626" s="27">
        <f>A625+1</f>
        <v/>
      </c>
      <c r="B626" s="28">
        <f>Duration0+A626</f>
        <v/>
      </c>
      <c r="C626" s="27">
        <f>INT(B626/12)</f>
        <v/>
      </c>
      <c r="D626" s="28">
        <f>AgeAtEntry+C626</f>
        <v/>
      </c>
      <c r="E626" s="29">
        <f>IF(PremiumType="SINGLE",IF(B626=0,PremiumPPInput,0),IF(B626&lt;12*PolicyTerm,PremiumPPInput,0))</f>
        <v/>
      </c>
      <c r="F626" s="30">
        <f>INDEX(MortRates,MATCH(MIN(D626,120),MortAges,0),MAX(MIN(C626,5),0)+1)</f>
        <v/>
      </c>
      <c r="G626" s="31">
        <f>1-(1-F626)^(1/12)</f>
        <v/>
      </c>
      <c r="H626" s="32">
        <f>MAX(LapseBase-LapseStep*C626,LapseFloor)</f>
        <v/>
      </c>
      <c r="I626" s="32">
        <f>IF(HasSurrCharge,INDEX(SurrRates,MIN(C626,SurrDurMax)+1,MATCH(SurrChargeID,SurrTypes,0)),0)</f>
        <v/>
      </c>
      <c r="J626" s="33">
        <f>N625-P625-O625</f>
        <v/>
      </c>
      <c r="K626" s="30">
        <f>IF(B626=12*PolicyTerm,J626,0)</f>
        <v/>
      </c>
      <c r="L626" s="33">
        <f>J626-K626</f>
        <v/>
      </c>
      <c r="M626" s="30">
        <f>IF(B626=0,PolicyCount,0)</f>
        <v/>
      </c>
      <c r="N626" s="33">
        <f>L626+M626</f>
        <v/>
      </c>
      <c r="O626" s="31">
        <f>N626*G626</f>
        <v/>
      </c>
      <c r="P626" s="33">
        <f>(N626-O626)*(1-(1-H626)^(1/12))</f>
        <v/>
      </c>
      <c r="Q626" s="34">
        <f>X625+Z625</f>
        <v/>
      </c>
      <c r="R626" s="29">
        <f>(1-LoadPremRate)*E626</f>
        <v/>
      </c>
      <c r="S626" s="34">
        <f>Q626+R626</f>
        <v/>
      </c>
      <c r="T626" s="29">
        <f>MaintFeeRateAnn/12*S626</f>
        <v/>
      </c>
      <c r="U626" s="29">
        <f>MAX(SumAssured-S626,0)</f>
        <v/>
      </c>
      <c r="V626" s="35">
        <f>CoiMultiple*G626</f>
        <v/>
      </c>
      <c r="W626" s="34">
        <f>V626*U626</f>
        <v/>
      </c>
      <c r="X626" s="34">
        <f>S626-T626-W626</f>
        <v/>
      </c>
      <c r="Y626" s="36">
        <f>EXP((Mu-0.5*Sigma^2)/12+Sigma*SQRT(1/12)*INDEX(NormRand,ScenID,A626+1))-1</f>
        <v/>
      </c>
      <c r="Z626" s="34">
        <f>Y626*X626</f>
        <v/>
      </c>
      <c r="AA626" s="34">
        <f>X626+0.5*Z626</f>
        <v/>
      </c>
      <c r="AB626" s="34">
        <f>Q626*J626</f>
        <v/>
      </c>
      <c r="AC626" s="34">
        <f>Q626*L626</f>
        <v/>
      </c>
      <c r="AD626" s="34">
        <f>S626*N626</f>
        <v/>
      </c>
      <c r="AE626" s="34">
        <f>E626*N626</f>
        <v/>
      </c>
      <c r="AF626" s="34">
        <f>R626*N626</f>
        <v/>
      </c>
      <c r="AG626" s="29">
        <f>MAX(SumAssured,AA626)</f>
        <v/>
      </c>
      <c r="AH626" s="34">
        <f>AG626*O626</f>
        <v/>
      </c>
      <c r="AI626" s="34">
        <f>AA626*O626</f>
        <v/>
      </c>
      <c r="AJ626" s="34">
        <f>AA626*P626</f>
        <v/>
      </c>
      <c r="AK626" s="34">
        <f>I626*AA626*P626</f>
        <v/>
      </c>
      <c r="AL626" s="34">
        <f>AJ626-AK626</f>
        <v/>
      </c>
      <c r="AM626" s="34">
        <f>Q626*K626</f>
        <v/>
      </c>
      <c r="AN626" s="34">
        <f>AH626+AL626+AM626</f>
        <v/>
      </c>
      <c r="AO626" s="34">
        <f>(AG626-AA626)*O626</f>
        <v/>
      </c>
      <c r="AP626" s="34">
        <f>W626*N626</f>
        <v/>
      </c>
      <c r="AQ626" s="34">
        <f>T626*N626</f>
        <v/>
      </c>
      <c r="AR626" s="34">
        <f>Z626*J627+0.5*Z626*(O626+P626)</f>
        <v/>
      </c>
      <c r="AS626" s="30">
        <f>(1+InflationRate)^(A626/12)</f>
        <v/>
      </c>
      <c r="AT626" s="29">
        <f>ExpenseAcq*M626+N626*ExpenseMaint/12*AS626</f>
        <v/>
      </c>
      <c r="AU626" s="29">
        <f>CommissionRate*AE626</f>
        <v/>
      </c>
      <c r="AV626" s="34">
        <f>AB627-AB626</f>
        <v/>
      </c>
      <c r="AW626" s="34">
        <f>AE626+AR626-AN626-AT626-AU626-AV626</f>
        <v/>
      </c>
      <c r="AX626" s="29">
        <f>LoadPremRate*E626*N626+AK626+AQ626-AU626-AT626</f>
        <v/>
      </c>
      <c r="AY626" s="34">
        <f>AP626-AO626</f>
        <v/>
      </c>
      <c r="AZ626" s="37">
        <f>(AW626-AX626-AY626)/MAX(1,ABS(AW626),ABS(AX626),ABS(AY626))</f>
        <v/>
      </c>
      <c r="BA626" s="37">
        <f>IF(OR(K626&gt;0,K627&gt;0),0,(AC627-(AC626+AF626-AQ626-AP626+AR626-AI626-AJ626-AM626))/MAX(1,ABS(AC626),ABS(AC627)))</f>
        <v/>
      </c>
      <c r="BB626" s="35">
        <f>(1+INDEX(DiscRateAnn,INT(A626/12)+1))^(1/12)-1</f>
        <v/>
      </c>
      <c r="BC626" s="31">
        <f>(1+BB626)^-A626</f>
        <v/>
      </c>
      <c r="BD626" s="34">
        <f>AW626*BC626</f>
        <v/>
      </c>
    </row>
    <row r="627">
      <c r="A627" s="27">
        <f>A626+1</f>
        <v/>
      </c>
      <c r="B627" s="28">
        <f>Duration0+A627</f>
        <v/>
      </c>
      <c r="C627" s="27">
        <f>INT(B627/12)</f>
        <v/>
      </c>
      <c r="D627" s="28">
        <f>AgeAtEntry+C627</f>
        <v/>
      </c>
      <c r="E627" s="29">
        <f>IF(PremiumType="SINGLE",IF(B627=0,PremiumPPInput,0),IF(B627&lt;12*PolicyTerm,PremiumPPInput,0))</f>
        <v/>
      </c>
      <c r="F627" s="30">
        <f>INDEX(MortRates,MATCH(MIN(D627,120),MortAges,0),MAX(MIN(C627,5),0)+1)</f>
        <v/>
      </c>
      <c r="G627" s="31">
        <f>1-(1-F627)^(1/12)</f>
        <v/>
      </c>
      <c r="H627" s="32">
        <f>MAX(LapseBase-LapseStep*C627,LapseFloor)</f>
        <v/>
      </c>
      <c r="I627" s="32">
        <f>IF(HasSurrCharge,INDEX(SurrRates,MIN(C627,SurrDurMax)+1,MATCH(SurrChargeID,SurrTypes,0)),0)</f>
        <v/>
      </c>
      <c r="J627" s="33">
        <f>N626-P626-O626</f>
        <v/>
      </c>
      <c r="K627" s="30">
        <f>IF(B627=12*PolicyTerm,J627,0)</f>
        <v/>
      </c>
      <c r="L627" s="33">
        <f>J627-K627</f>
        <v/>
      </c>
      <c r="M627" s="30">
        <f>IF(B627=0,PolicyCount,0)</f>
        <v/>
      </c>
      <c r="N627" s="33">
        <f>L627+M627</f>
        <v/>
      </c>
      <c r="O627" s="31">
        <f>N627*G627</f>
        <v/>
      </c>
      <c r="P627" s="33">
        <f>(N627-O627)*(1-(1-H627)^(1/12))</f>
        <v/>
      </c>
      <c r="Q627" s="34">
        <f>X626+Z626</f>
        <v/>
      </c>
      <c r="R627" s="29">
        <f>(1-LoadPremRate)*E627</f>
        <v/>
      </c>
      <c r="S627" s="34">
        <f>Q627+R627</f>
        <v/>
      </c>
      <c r="T627" s="29">
        <f>MaintFeeRateAnn/12*S627</f>
        <v/>
      </c>
      <c r="U627" s="29">
        <f>MAX(SumAssured-S627,0)</f>
        <v/>
      </c>
      <c r="V627" s="35">
        <f>CoiMultiple*G627</f>
        <v/>
      </c>
      <c r="W627" s="34">
        <f>V627*U627</f>
        <v/>
      </c>
      <c r="X627" s="34">
        <f>S627-T627-W627</f>
        <v/>
      </c>
      <c r="Y627" s="36">
        <f>EXP((Mu-0.5*Sigma^2)/12+Sigma*SQRT(1/12)*INDEX(NormRand,ScenID,A627+1))-1</f>
        <v/>
      </c>
      <c r="Z627" s="34">
        <f>Y627*X627</f>
        <v/>
      </c>
      <c r="AA627" s="34">
        <f>X627+0.5*Z627</f>
        <v/>
      </c>
      <c r="AB627" s="34">
        <f>Q627*J627</f>
        <v/>
      </c>
      <c r="AC627" s="34">
        <f>Q627*L627</f>
        <v/>
      </c>
      <c r="AD627" s="34">
        <f>S627*N627</f>
        <v/>
      </c>
      <c r="AE627" s="34">
        <f>E627*N627</f>
        <v/>
      </c>
      <c r="AF627" s="34">
        <f>R627*N627</f>
        <v/>
      </c>
      <c r="AG627" s="29">
        <f>MAX(SumAssured,AA627)</f>
        <v/>
      </c>
      <c r="AH627" s="34">
        <f>AG627*O627</f>
        <v/>
      </c>
      <c r="AI627" s="34">
        <f>AA627*O627</f>
        <v/>
      </c>
      <c r="AJ627" s="34">
        <f>AA627*P627</f>
        <v/>
      </c>
      <c r="AK627" s="34">
        <f>I627*AA627*P627</f>
        <v/>
      </c>
      <c r="AL627" s="34">
        <f>AJ627-AK627</f>
        <v/>
      </c>
      <c r="AM627" s="34">
        <f>Q627*K627</f>
        <v/>
      </c>
      <c r="AN627" s="34">
        <f>AH627+AL627+AM627</f>
        <v/>
      </c>
      <c r="AO627" s="34">
        <f>(AG627-AA627)*O627</f>
        <v/>
      </c>
      <c r="AP627" s="34">
        <f>W627*N627</f>
        <v/>
      </c>
      <c r="AQ627" s="34">
        <f>T627*N627</f>
        <v/>
      </c>
      <c r="AR627" s="34">
        <f>Z627*J628+0.5*Z627*(O627+P627)</f>
        <v/>
      </c>
      <c r="AS627" s="30">
        <f>(1+InflationRate)^(A627/12)</f>
        <v/>
      </c>
      <c r="AT627" s="29">
        <f>ExpenseAcq*M627+N627*ExpenseMaint/12*AS627</f>
        <v/>
      </c>
      <c r="AU627" s="29">
        <f>CommissionRate*AE627</f>
        <v/>
      </c>
      <c r="AV627" s="34">
        <f>AB628-AB627</f>
        <v/>
      </c>
      <c r="AW627" s="34">
        <f>AE627+AR627-AN627-AT627-AU627-AV627</f>
        <v/>
      </c>
      <c r="AX627" s="29">
        <f>LoadPremRate*E627*N627+AK627+AQ627-AU627-AT627</f>
        <v/>
      </c>
      <c r="AY627" s="34">
        <f>AP627-AO627</f>
        <v/>
      </c>
      <c r="AZ627" s="37">
        <f>(AW627-AX627-AY627)/MAX(1,ABS(AW627),ABS(AX627),ABS(AY627))</f>
        <v/>
      </c>
      <c r="BA627" s="37">
        <f>IF(OR(K627&gt;0,K628&gt;0),0,(AC628-(AC627+AF627-AQ627-AP627+AR627-AI627-AJ627-AM627))/MAX(1,ABS(AC627),ABS(AC628)))</f>
        <v/>
      </c>
      <c r="BB627" s="35">
        <f>(1+INDEX(DiscRateAnn,INT(A627/12)+1))^(1/12)-1</f>
        <v/>
      </c>
      <c r="BC627" s="31">
        <f>(1+BB627)^-A627</f>
        <v/>
      </c>
      <c r="BD627" s="34">
        <f>AW627*BC627</f>
        <v/>
      </c>
    </row>
    <row r="628">
      <c r="A628" s="27">
        <f>A627+1</f>
        <v/>
      </c>
      <c r="B628" s="28">
        <f>Duration0+A628</f>
        <v/>
      </c>
      <c r="C628" s="27">
        <f>INT(B628/12)</f>
        <v/>
      </c>
      <c r="D628" s="28">
        <f>AgeAtEntry+C628</f>
        <v/>
      </c>
      <c r="E628" s="29">
        <f>IF(PremiumType="SINGLE",IF(B628=0,PremiumPPInput,0),IF(B628&lt;12*PolicyTerm,PremiumPPInput,0))</f>
        <v/>
      </c>
      <c r="F628" s="30">
        <f>INDEX(MortRates,MATCH(MIN(D628,120),MortAges,0),MAX(MIN(C628,5),0)+1)</f>
        <v/>
      </c>
      <c r="G628" s="31">
        <f>1-(1-F628)^(1/12)</f>
        <v/>
      </c>
      <c r="H628" s="32">
        <f>MAX(LapseBase-LapseStep*C628,LapseFloor)</f>
        <v/>
      </c>
      <c r="I628" s="32">
        <f>IF(HasSurrCharge,INDEX(SurrRates,MIN(C628,SurrDurMax)+1,MATCH(SurrChargeID,SurrTypes,0)),0)</f>
        <v/>
      </c>
      <c r="J628" s="33">
        <f>N627-P627-O627</f>
        <v/>
      </c>
      <c r="K628" s="30">
        <f>IF(B628=12*PolicyTerm,J628,0)</f>
        <v/>
      </c>
      <c r="L628" s="33">
        <f>J628-K628</f>
        <v/>
      </c>
      <c r="M628" s="30">
        <f>IF(B628=0,PolicyCount,0)</f>
        <v/>
      </c>
      <c r="N628" s="33">
        <f>L628+M628</f>
        <v/>
      </c>
      <c r="O628" s="31">
        <f>N628*G628</f>
        <v/>
      </c>
      <c r="P628" s="33">
        <f>(N628-O628)*(1-(1-H628)^(1/12))</f>
        <v/>
      </c>
      <c r="Q628" s="34">
        <f>X627+Z627</f>
        <v/>
      </c>
      <c r="R628" s="29">
        <f>(1-LoadPremRate)*E628</f>
        <v/>
      </c>
      <c r="S628" s="34">
        <f>Q628+R628</f>
        <v/>
      </c>
      <c r="T628" s="29">
        <f>MaintFeeRateAnn/12*S628</f>
        <v/>
      </c>
      <c r="U628" s="29">
        <f>MAX(SumAssured-S628,0)</f>
        <v/>
      </c>
      <c r="V628" s="35">
        <f>CoiMultiple*G628</f>
        <v/>
      </c>
      <c r="W628" s="34">
        <f>V628*U628</f>
        <v/>
      </c>
      <c r="X628" s="34">
        <f>S628-T628-W628</f>
        <v/>
      </c>
      <c r="Y628" s="36">
        <f>EXP((Mu-0.5*Sigma^2)/12+Sigma*SQRT(1/12)*INDEX(NormRand,ScenID,A628+1))-1</f>
        <v/>
      </c>
      <c r="Z628" s="34">
        <f>Y628*X628</f>
        <v/>
      </c>
      <c r="AA628" s="34">
        <f>X628+0.5*Z628</f>
        <v/>
      </c>
      <c r="AB628" s="34">
        <f>Q628*J628</f>
        <v/>
      </c>
      <c r="AC628" s="34">
        <f>Q628*L628</f>
        <v/>
      </c>
      <c r="AD628" s="34">
        <f>S628*N628</f>
        <v/>
      </c>
      <c r="AE628" s="34">
        <f>E628*N628</f>
        <v/>
      </c>
      <c r="AF628" s="34">
        <f>R628*N628</f>
        <v/>
      </c>
      <c r="AG628" s="29">
        <f>MAX(SumAssured,AA628)</f>
        <v/>
      </c>
      <c r="AH628" s="34">
        <f>AG628*O628</f>
        <v/>
      </c>
      <c r="AI628" s="34">
        <f>AA628*O628</f>
        <v/>
      </c>
      <c r="AJ628" s="34">
        <f>AA628*P628</f>
        <v/>
      </c>
      <c r="AK628" s="34">
        <f>I628*AA628*P628</f>
        <v/>
      </c>
      <c r="AL628" s="34">
        <f>AJ628-AK628</f>
        <v/>
      </c>
      <c r="AM628" s="34">
        <f>Q628*K628</f>
        <v/>
      </c>
      <c r="AN628" s="34">
        <f>AH628+AL628+AM628</f>
        <v/>
      </c>
      <c r="AO628" s="34">
        <f>(AG628-AA628)*O628</f>
        <v/>
      </c>
      <c r="AP628" s="34">
        <f>W628*N628</f>
        <v/>
      </c>
      <c r="AQ628" s="34">
        <f>T628*N628</f>
        <v/>
      </c>
      <c r="AR628" s="34">
        <f>Z628*J629+0.5*Z628*(O628+P628)</f>
        <v/>
      </c>
      <c r="AS628" s="30">
        <f>(1+InflationRate)^(A628/12)</f>
        <v/>
      </c>
      <c r="AT628" s="29">
        <f>ExpenseAcq*M628+N628*ExpenseMaint/12*AS628</f>
        <v/>
      </c>
      <c r="AU628" s="29">
        <f>CommissionRate*AE628</f>
        <v/>
      </c>
      <c r="AV628" s="34">
        <f>AB629-AB628</f>
        <v/>
      </c>
      <c r="AW628" s="34">
        <f>AE628+AR628-AN628-AT628-AU628-AV628</f>
        <v/>
      </c>
      <c r="AX628" s="29">
        <f>LoadPremRate*E628*N628+AK628+AQ628-AU628-AT628</f>
        <v/>
      </c>
      <c r="AY628" s="34">
        <f>AP628-AO628</f>
        <v/>
      </c>
      <c r="AZ628" s="37">
        <f>(AW628-AX628-AY628)/MAX(1,ABS(AW628),ABS(AX628),ABS(AY628))</f>
        <v/>
      </c>
      <c r="BA628" s="37">
        <f>IF(OR(K628&gt;0,K629&gt;0),0,(AC629-(AC628+AF628-AQ628-AP628+AR628-AI628-AJ628-AM628))/MAX(1,ABS(AC628),ABS(AC629)))</f>
        <v/>
      </c>
      <c r="BB628" s="35">
        <f>(1+INDEX(DiscRateAnn,INT(A628/12)+1))^(1/12)-1</f>
        <v/>
      </c>
      <c r="BC628" s="31">
        <f>(1+BB628)^-A628</f>
        <v/>
      </c>
      <c r="BD628" s="34">
        <f>AW628*BC628</f>
        <v/>
      </c>
    </row>
    <row r="629">
      <c r="A629" s="27">
        <f>A628+1</f>
        <v/>
      </c>
      <c r="B629" s="28">
        <f>Duration0+A629</f>
        <v/>
      </c>
      <c r="C629" s="27">
        <f>INT(B629/12)</f>
        <v/>
      </c>
      <c r="D629" s="28">
        <f>AgeAtEntry+C629</f>
        <v/>
      </c>
      <c r="E629" s="29">
        <f>IF(PremiumType="SINGLE",IF(B629=0,PremiumPPInput,0),IF(B629&lt;12*PolicyTerm,PremiumPPInput,0))</f>
        <v/>
      </c>
      <c r="F629" s="30">
        <f>INDEX(MortRates,MATCH(MIN(D629,120),MortAges,0),MAX(MIN(C629,5),0)+1)</f>
        <v/>
      </c>
      <c r="G629" s="31">
        <f>1-(1-F629)^(1/12)</f>
        <v/>
      </c>
      <c r="H629" s="32">
        <f>MAX(LapseBase-LapseStep*C629,LapseFloor)</f>
        <v/>
      </c>
      <c r="I629" s="32">
        <f>IF(HasSurrCharge,INDEX(SurrRates,MIN(C629,SurrDurMax)+1,MATCH(SurrChargeID,SurrTypes,0)),0)</f>
        <v/>
      </c>
      <c r="J629" s="33">
        <f>N628-P628-O628</f>
        <v/>
      </c>
      <c r="K629" s="30">
        <f>IF(B629=12*PolicyTerm,J629,0)</f>
        <v/>
      </c>
      <c r="L629" s="33">
        <f>J629-K629</f>
        <v/>
      </c>
      <c r="M629" s="30">
        <f>IF(B629=0,PolicyCount,0)</f>
        <v/>
      </c>
      <c r="N629" s="33">
        <f>L629+M629</f>
        <v/>
      </c>
      <c r="O629" s="31">
        <f>N629*G629</f>
        <v/>
      </c>
      <c r="P629" s="33">
        <f>(N629-O629)*(1-(1-H629)^(1/12))</f>
        <v/>
      </c>
      <c r="Q629" s="34">
        <f>X628+Z628</f>
        <v/>
      </c>
      <c r="R629" s="29">
        <f>(1-LoadPremRate)*E629</f>
        <v/>
      </c>
      <c r="S629" s="34">
        <f>Q629+R629</f>
        <v/>
      </c>
      <c r="T629" s="29">
        <f>MaintFeeRateAnn/12*S629</f>
        <v/>
      </c>
      <c r="U629" s="29">
        <f>MAX(SumAssured-S629,0)</f>
        <v/>
      </c>
      <c r="V629" s="35">
        <f>CoiMultiple*G629</f>
        <v/>
      </c>
      <c r="W629" s="34">
        <f>V629*U629</f>
        <v/>
      </c>
      <c r="X629" s="34">
        <f>S629-T629-W629</f>
        <v/>
      </c>
      <c r="Y629" s="36">
        <f>EXP((Mu-0.5*Sigma^2)/12+Sigma*SQRT(1/12)*INDEX(NormRand,ScenID,A629+1))-1</f>
        <v/>
      </c>
      <c r="Z629" s="34">
        <f>Y629*X629</f>
        <v/>
      </c>
      <c r="AA629" s="34">
        <f>X629+0.5*Z629</f>
        <v/>
      </c>
      <c r="AB629" s="34">
        <f>Q629*J629</f>
        <v/>
      </c>
      <c r="AC629" s="34">
        <f>Q629*L629</f>
        <v/>
      </c>
      <c r="AD629" s="34">
        <f>S629*N629</f>
        <v/>
      </c>
      <c r="AE629" s="34">
        <f>E629*N629</f>
        <v/>
      </c>
      <c r="AF629" s="34">
        <f>R629*N629</f>
        <v/>
      </c>
      <c r="AG629" s="29">
        <f>MAX(SumAssured,AA629)</f>
        <v/>
      </c>
      <c r="AH629" s="34">
        <f>AG629*O629</f>
        <v/>
      </c>
      <c r="AI629" s="34">
        <f>AA629*O629</f>
        <v/>
      </c>
      <c r="AJ629" s="34">
        <f>AA629*P629</f>
        <v/>
      </c>
      <c r="AK629" s="34">
        <f>I629*AA629*P629</f>
        <v/>
      </c>
      <c r="AL629" s="34">
        <f>AJ629-AK629</f>
        <v/>
      </c>
      <c r="AM629" s="34">
        <f>Q629*K629</f>
        <v/>
      </c>
      <c r="AN629" s="34">
        <f>AH629+AL629+AM629</f>
        <v/>
      </c>
      <c r="AO629" s="34">
        <f>(AG629-AA629)*O629</f>
        <v/>
      </c>
      <c r="AP629" s="34">
        <f>W629*N629</f>
        <v/>
      </c>
      <c r="AQ629" s="34">
        <f>T629*N629</f>
        <v/>
      </c>
      <c r="AR629" s="34">
        <f>Z629*J630+0.5*Z629*(O629+P629)</f>
        <v/>
      </c>
      <c r="AS629" s="30">
        <f>(1+InflationRate)^(A629/12)</f>
        <v/>
      </c>
      <c r="AT629" s="29">
        <f>ExpenseAcq*M629+N629*ExpenseMaint/12*AS629</f>
        <v/>
      </c>
      <c r="AU629" s="29">
        <f>CommissionRate*AE629</f>
        <v/>
      </c>
      <c r="AV629" s="34">
        <f>AB630-AB629</f>
        <v/>
      </c>
      <c r="AW629" s="34">
        <f>AE629+AR629-AN629-AT629-AU629-AV629</f>
        <v/>
      </c>
      <c r="AX629" s="29">
        <f>LoadPremRate*E629*N629+AK629+AQ629-AU629-AT629</f>
        <v/>
      </c>
      <c r="AY629" s="34">
        <f>AP629-AO629</f>
        <v/>
      </c>
      <c r="AZ629" s="37">
        <f>(AW629-AX629-AY629)/MAX(1,ABS(AW629),ABS(AX629),ABS(AY629))</f>
        <v/>
      </c>
      <c r="BA629" s="37">
        <f>IF(OR(K629&gt;0,K630&gt;0),0,(AC630-(AC629+AF629-AQ629-AP629+AR629-AI629-AJ629-AM629))/MAX(1,ABS(AC629),ABS(AC630)))</f>
        <v/>
      </c>
      <c r="BB629" s="35">
        <f>(1+INDEX(DiscRateAnn,INT(A629/12)+1))^(1/12)-1</f>
        <v/>
      </c>
      <c r="BC629" s="31">
        <f>(1+BB629)^-A629</f>
        <v/>
      </c>
      <c r="BD629" s="34">
        <f>AW629*BC629</f>
        <v/>
      </c>
    </row>
    <row r="630">
      <c r="A630" s="27">
        <f>A629+1</f>
        <v/>
      </c>
      <c r="B630" s="28">
        <f>Duration0+A630</f>
        <v/>
      </c>
      <c r="C630" s="27">
        <f>INT(B630/12)</f>
        <v/>
      </c>
      <c r="D630" s="28">
        <f>AgeAtEntry+C630</f>
        <v/>
      </c>
      <c r="E630" s="29">
        <f>IF(PremiumType="SINGLE",IF(B630=0,PremiumPPInput,0),IF(B630&lt;12*PolicyTerm,PremiumPPInput,0))</f>
        <v/>
      </c>
      <c r="F630" s="30">
        <f>INDEX(MortRates,MATCH(MIN(D630,120),MortAges,0),MAX(MIN(C630,5),0)+1)</f>
        <v/>
      </c>
      <c r="G630" s="31">
        <f>1-(1-F630)^(1/12)</f>
        <v/>
      </c>
      <c r="H630" s="32">
        <f>MAX(LapseBase-LapseStep*C630,LapseFloor)</f>
        <v/>
      </c>
      <c r="I630" s="32">
        <f>IF(HasSurrCharge,INDEX(SurrRates,MIN(C630,SurrDurMax)+1,MATCH(SurrChargeID,SurrTypes,0)),0)</f>
        <v/>
      </c>
      <c r="J630" s="33">
        <f>N629-P629-O629</f>
        <v/>
      </c>
      <c r="K630" s="30">
        <f>IF(B630=12*PolicyTerm,J630,0)</f>
        <v/>
      </c>
      <c r="L630" s="33">
        <f>J630-K630</f>
        <v/>
      </c>
      <c r="M630" s="30">
        <f>IF(B630=0,PolicyCount,0)</f>
        <v/>
      </c>
      <c r="N630" s="33">
        <f>L630+M630</f>
        <v/>
      </c>
      <c r="O630" s="31">
        <f>N630*G630</f>
        <v/>
      </c>
      <c r="P630" s="33">
        <f>(N630-O630)*(1-(1-H630)^(1/12))</f>
        <v/>
      </c>
      <c r="Q630" s="34">
        <f>X629+Z629</f>
        <v/>
      </c>
      <c r="R630" s="29">
        <f>(1-LoadPremRate)*E630</f>
        <v/>
      </c>
      <c r="S630" s="34">
        <f>Q630+R630</f>
        <v/>
      </c>
      <c r="T630" s="29">
        <f>MaintFeeRateAnn/12*S630</f>
        <v/>
      </c>
      <c r="U630" s="29">
        <f>MAX(SumAssured-S630,0)</f>
        <v/>
      </c>
      <c r="V630" s="35">
        <f>CoiMultiple*G630</f>
        <v/>
      </c>
      <c r="W630" s="34">
        <f>V630*U630</f>
        <v/>
      </c>
      <c r="X630" s="34">
        <f>S630-T630-W630</f>
        <v/>
      </c>
      <c r="Y630" s="36">
        <f>EXP((Mu-0.5*Sigma^2)/12+Sigma*SQRT(1/12)*INDEX(NormRand,ScenID,A630+1))-1</f>
        <v/>
      </c>
      <c r="Z630" s="34">
        <f>Y630*X630</f>
        <v/>
      </c>
      <c r="AA630" s="34">
        <f>X630+0.5*Z630</f>
        <v/>
      </c>
      <c r="AB630" s="34">
        <f>Q630*J630</f>
        <v/>
      </c>
      <c r="AC630" s="34">
        <f>Q630*L630</f>
        <v/>
      </c>
      <c r="AD630" s="34">
        <f>S630*N630</f>
        <v/>
      </c>
      <c r="AE630" s="34">
        <f>E630*N630</f>
        <v/>
      </c>
      <c r="AF630" s="34">
        <f>R630*N630</f>
        <v/>
      </c>
      <c r="AG630" s="29">
        <f>MAX(SumAssured,AA630)</f>
        <v/>
      </c>
      <c r="AH630" s="34">
        <f>AG630*O630</f>
        <v/>
      </c>
      <c r="AI630" s="34">
        <f>AA630*O630</f>
        <v/>
      </c>
      <c r="AJ630" s="34">
        <f>AA630*P630</f>
        <v/>
      </c>
      <c r="AK630" s="34">
        <f>I630*AA630*P630</f>
        <v/>
      </c>
      <c r="AL630" s="34">
        <f>AJ630-AK630</f>
        <v/>
      </c>
      <c r="AM630" s="34">
        <f>Q630*K630</f>
        <v/>
      </c>
      <c r="AN630" s="34">
        <f>AH630+AL630+AM630</f>
        <v/>
      </c>
      <c r="AO630" s="34">
        <f>(AG630-AA630)*O630</f>
        <v/>
      </c>
      <c r="AP630" s="34">
        <f>W630*N630</f>
        <v/>
      </c>
      <c r="AQ630" s="34">
        <f>T630*N630</f>
        <v/>
      </c>
      <c r="AR630" s="34">
        <f>Z630*J631+0.5*Z630*(O630+P630)</f>
        <v/>
      </c>
      <c r="AS630" s="30">
        <f>(1+InflationRate)^(A630/12)</f>
        <v/>
      </c>
      <c r="AT630" s="29">
        <f>ExpenseAcq*M630+N630*ExpenseMaint/12*AS630</f>
        <v/>
      </c>
      <c r="AU630" s="29">
        <f>CommissionRate*AE630</f>
        <v/>
      </c>
      <c r="AV630" s="34">
        <f>AB631-AB630</f>
        <v/>
      </c>
      <c r="AW630" s="34">
        <f>AE630+AR630-AN630-AT630-AU630-AV630</f>
        <v/>
      </c>
      <c r="AX630" s="29">
        <f>LoadPremRate*E630*N630+AK630+AQ630-AU630-AT630</f>
        <v/>
      </c>
      <c r="AY630" s="34">
        <f>AP630-AO630</f>
        <v/>
      </c>
      <c r="AZ630" s="37">
        <f>(AW630-AX630-AY630)/MAX(1,ABS(AW630),ABS(AX630),ABS(AY630))</f>
        <v/>
      </c>
      <c r="BA630" s="37">
        <f>IF(OR(K630&gt;0,K631&gt;0),0,(AC631-(AC630+AF630-AQ630-AP630+AR630-AI630-AJ630-AM630))/MAX(1,ABS(AC630),ABS(AC631)))</f>
        <v/>
      </c>
      <c r="BB630" s="35">
        <f>(1+INDEX(DiscRateAnn,INT(A630/12)+1))^(1/12)-1</f>
        <v/>
      </c>
      <c r="BC630" s="31">
        <f>(1+BB630)^-A630</f>
        <v/>
      </c>
      <c r="BD630" s="34">
        <f>AW630*BC630</f>
        <v/>
      </c>
    </row>
    <row r="631">
      <c r="A631" s="27">
        <f>A630+1</f>
        <v/>
      </c>
      <c r="B631" s="28">
        <f>Duration0+A631</f>
        <v/>
      </c>
      <c r="C631" s="27">
        <f>INT(B631/12)</f>
        <v/>
      </c>
      <c r="D631" s="28">
        <f>AgeAtEntry+C631</f>
        <v/>
      </c>
      <c r="E631" s="29">
        <f>IF(PremiumType="SINGLE",IF(B631=0,PremiumPPInput,0),IF(B631&lt;12*PolicyTerm,PremiumPPInput,0))</f>
        <v/>
      </c>
      <c r="F631" s="30">
        <f>INDEX(MortRates,MATCH(MIN(D631,120),MortAges,0),MAX(MIN(C631,5),0)+1)</f>
        <v/>
      </c>
      <c r="G631" s="31">
        <f>1-(1-F631)^(1/12)</f>
        <v/>
      </c>
      <c r="H631" s="32">
        <f>MAX(LapseBase-LapseStep*C631,LapseFloor)</f>
        <v/>
      </c>
      <c r="I631" s="32">
        <f>IF(HasSurrCharge,INDEX(SurrRates,MIN(C631,SurrDurMax)+1,MATCH(SurrChargeID,SurrTypes,0)),0)</f>
        <v/>
      </c>
      <c r="J631" s="33">
        <f>N630-P630-O630</f>
        <v/>
      </c>
      <c r="K631" s="30">
        <f>IF(B631=12*PolicyTerm,J631,0)</f>
        <v/>
      </c>
      <c r="L631" s="33">
        <f>J631-K631</f>
        <v/>
      </c>
      <c r="M631" s="30">
        <f>IF(B631=0,PolicyCount,0)</f>
        <v/>
      </c>
      <c r="N631" s="33">
        <f>L631+M631</f>
        <v/>
      </c>
      <c r="O631" s="31">
        <f>N631*G631</f>
        <v/>
      </c>
      <c r="P631" s="33">
        <f>(N631-O631)*(1-(1-H631)^(1/12))</f>
        <v/>
      </c>
      <c r="Q631" s="34">
        <f>X630+Z630</f>
        <v/>
      </c>
      <c r="R631" s="29">
        <f>(1-LoadPremRate)*E631</f>
        <v/>
      </c>
      <c r="S631" s="34">
        <f>Q631+R631</f>
        <v/>
      </c>
      <c r="T631" s="29">
        <f>MaintFeeRateAnn/12*S631</f>
        <v/>
      </c>
      <c r="U631" s="29">
        <f>MAX(SumAssured-S631,0)</f>
        <v/>
      </c>
      <c r="V631" s="35">
        <f>CoiMultiple*G631</f>
        <v/>
      </c>
      <c r="W631" s="34">
        <f>V631*U631</f>
        <v/>
      </c>
      <c r="X631" s="34">
        <f>S631-T631-W631</f>
        <v/>
      </c>
      <c r="Y631" s="36">
        <f>EXP((Mu-0.5*Sigma^2)/12+Sigma*SQRT(1/12)*INDEX(NormRand,ScenID,A631+1))-1</f>
        <v/>
      </c>
      <c r="Z631" s="34">
        <f>Y631*X631</f>
        <v/>
      </c>
      <c r="AA631" s="34">
        <f>X631+0.5*Z631</f>
        <v/>
      </c>
      <c r="AB631" s="34">
        <f>Q631*J631</f>
        <v/>
      </c>
      <c r="AC631" s="34">
        <f>Q631*L631</f>
        <v/>
      </c>
      <c r="AD631" s="34">
        <f>S631*N631</f>
        <v/>
      </c>
      <c r="AE631" s="34">
        <f>E631*N631</f>
        <v/>
      </c>
      <c r="AF631" s="34">
        <f>R631*N631</f>
        <v/>
      </c>
      <c r="AG631" s="29">
        <f>MAX(SumAssured,AA631)</f>
        <v/>
      </c>
      <c r="AH631" s="34">
        <f>AG631*O631</f>
        <v/>
      </c>
      <c r="AI631" s="34">
        <f>AA631*O631</f>
        <v/>
      </c>
      <c r="AJ631" s="34">
        <f>AA631*P631</f>
        <v/>
      </c>
      <c r="AK631" s="34">
        <f>I631*AA631*P631</f>
        <v/>
      </c>
      <c r="AL631" s="34">
        <f>AJ631-AK631</f>
        <v/>
      </c>
      <c r="AM631" s="34">
        <f>Q631*K631</f>
        <v/>
      </c>
      <c r="AN631" s="34">
        <f>AH631+AL631+AM631</f>
        <v/>
      </c>
      <c r="AO631" s="34">
        <f>(AG631-AA631)*O631</f>
        <v/>
      </c>
      <c r="AP631" s="34">
        <f>W631*N631</f>
        <v/>
      </c>
      <c r="AQ631" s="34">
        <f>T631*N631</f>
        <v/>
      </c>
      <c r="AR631" s="34">
        <f>Z631*J632+0.5*Z631*(O631+P631)</f>
        <v/>
      </c>
      <c r="AS631" s="30">
        <f>(1+InflationRate)^(A631/12)</f>
        <v/>
      </c>
      <c r="AT631" s="29">
        <f>ExpenseAcq*M631+N631*ExpenseMaint/12*AS631</f>
        <v/>
      </c>
      <c r="AU631" s="29">
        <f>CommissionRate*AE631</f>
        <v/>
      </c>
      <c r="AV631" s="34">
        <f>AB632-AB631</f>
        <v/>
      </c>
      <c r="AW631" s="34">
        <f>AE631+AR631-AN631-AT631-AU631-AV631</f>
        <v/>
      </c>
      <c r="AX631" s="29">
        <f>LoadPremRate*E631*N631+AK631+AQ631-AU631-AT631</f>
        <v/>
      </c>
      <c r="AY631" s="34">
        <f>AP631-AO631</f>
        <v/>
      </c>
      <c r="AZ631" s="37">
        <f>(AW631-AX631-AY631)/MAX(1,ABS(AW631),ABS(AX631),ABS(AY631))</f>
        <v/>
      </c>
      <c r="BA631" s="37">
        <f>IF(OR(K631&gt;0,K632&gt;0),0,(AC632-(AC631+AF631-AQ631-AP631+AR631-AI631-AJ631-AM631))/MAX(1,ABS(AC631),ABS(AC632)))</f>
        <v/>
      </c>
      <c r="BB631" s="35">
        <f>(1+INDEX(DiscRateAnn,INT(A631/12)+1))^(1/12)-1</f>
        <v/>
      </c>
      <c r="BC631" s="31">
        <f>(1+BB631)^-A631</f>
        <v/>
      </c>
      <c r="BD631" s="34">
        <f>AW631*BC631</f>
        <v/>
      </c>
    </row>
    <row r="632">
      <c r="A632" s="27">
        <f>A631+1</f>
        <v/>
      </c>
      <c r="B632" s="28">
        <f>Duration0+A632</f>
        <v/>
      </c>
      <c r="C632" s="27">
        <f>INT(B632/12)</f>
        <v/>
      </c>
      <c r="D632" s="28">
        <f>AgeAtEntry+C632</f>
        <v/>
      </c>
      <c r="E632" s="29">
        <f>IF(PremiumType="SINGLE",IF(B632=0,PremiumPPInput,0),IF(B632&lt;12*PolicyTerm,PremiumPPInput,0))</f>
        <v/>
      </c>
      <c r="F632" s="30">
        <f>INDEX(MortRates,MATCH(MIN(D632,120),MortAges,0),MAX(MIN(C632,5),0)+1)</f>
        <v/>
      </c>
      <c r="G632" s="31">
        <f>1-(1-F632)^(1/12)</f>
        <v/>
      </c>
      <c r="H632" s="32">
        <f>MAX(LapseBase-LapseStep*C632,LapseFloor)</f>
        <v/>
      </c>
      <c r="I632" s="32">
        <f>IF(HasSurrCharge,INDEX(SurrRates,MIN(C632,SurrDurMax)+1,MATCH(SurrChargeID,SurrTypes,0)),0)</f>
        <v/>
      </c>
      <c r="J632" s="33">
        <f>N631-P631-O631</f>
        <v/>
      </c>
      <c r="K632" s="30">
        <f>IF(B632=12*PolicyTerm,J632,0)</f>
        <v/>
      </c>
      <c r="L632" s="33">
        <f>J632-K632</f>
        <v/>
      </c>
      <c r="M632" s="30">
        <f>IF(B632=0,PolicyCount,0)</f>
        <v/>
      </c>
      <c r="N632" s="33">
        <f>L632+M632</f>
        <v/>
      </c>
      <c r="O632" s="31">
        <f>N632*G632</f>
        <v/>
      </c>
      <c r="P632" s="33">
        <f>(N632-O632)*(1-(1-H632)^(1/12))</f>
        <v/>
      </c>
      <c r="Q632" s="34">
        <f>X631+Z631</f>
        <v/>
      </c>
      <c r="R632" s="29">
        <f>(1-LoadPremRate)*E632</f>
        <v/>
      </c>
      <c r="S632" s="34">
        <f>Q632+R632</f>
        <v/>
      </c>
      <c r="T632" s="29">
        <f>MaintFeeRateAnn/12*S632</f>
        <v/>
      </c>
      <c r="U632" s="29">
        <f>MAX(SumAssured-S632,0)</f>
        <v/>
      </c>
      <c r="V632" s="35">
        <f>CoiMultiple*G632</f>
        <v/>
      </c>
      <c r="W632" s="34">
        <f>V632*U632</f>
        <v/>
      </c>
      <c r="X632" s="34">
        <f>S632-T632-W632</f>
        <v/>
      </c>
      <c r="Y632" s="36">
        <f>EXP((Mu-0.5*Sigma^2)/12+Sigma*SQRT(1/12)*INDEX(NormRand,ScenID,A632+1))-1</f>
        <v/>
      </c>
      <c r="Z632" s="34">
        <f>Y632*X632</f>
        <v/>
      </c>
      <c r="AA632" s="34">
        <f>X632+0.5*Z632</f>
        <v/>
      </c>
      <c r="AB632" s="34">
        <f>Q632*J632</f>
        <v/>
      </c>
      <c r="AC632" s="34">
        <f>Q632*L632</f>
        <v/>
      </c>
      <c r="AD632" s="34">
        <f>S632*N632</f>
        <v/>
      </c>
      <c r="AE632" s="34">
        <f>E632*N632</f>
        <v/>
      </c>
      <c r="AF632" s="34">
        <f>R632*N632</f>
        <v/>
      </c>
      <c r="AG632" s="29">
        <f>MAX(SumAssured,AA632)</f>
        <v/>
      </c>
      <c r="AH632" s="34">
        <f>AG632*O632</f>
        <v/>
      </c>
      <c r="AI632" s="34">
        <f>AA632*O632</f>
        <v/>
      </c>
      <c r="AJ632" s="34">
        <f>AA632*P632</f>
        <v/>
      </c>
      <c r="AK632" s="34">
        <f>I632*AA632*P632</f>
        <v/>
      </c>
      <c r="AL632" s="34">
        <f>AJ632-AK632</f>
        <v/>
      </c>
      <c r="AM632" s="34">
        <f>Q632*K632</f>
        <v/>
      </c>
      <c r="AN632" s="34">
        <f>AH632+AL632+AM632</f>
        <v/>
      </c>
      <c r="AO632" s="34">
        <f>(AG632-AA632)*O632</f>
        <v/>
      </c>
      <c r="AP632" s="34">
        <f>W632*N632</f>
        <v/>
      </c>
      <c r="AQ632" s="34">
        <f>T632*N632</f>
        <v/>
      </c>
      <c r="AR632" s="34">
        <f>Z632*J633+0.5*Z632*(O632+P632)</f>
        <v/>
      </c>
      <c r="AS632" s="30">
        <f>(1+InflationRate)^(A632/12)</f>
        <v/>
      </c>
      <c r="AT632" s="29">
        <f>ExpenseAcq*M632+N632*ExpenseMaint/12*AS632</f>
        <v/>
      </c>
      <c r="AU632" s="29">
        <f>CommissionRate*AE632</f>
        <v/>
      </c>
      <c r="AV632" s="34">
        <f>AB633-AB632</f>
        <v/>
      </c>
      <c r="AW632" s="34">
        <f>AE632+AR632-AN632-AT632-AU632-AV632</f>
        <v/>
      </c>
      <c r="AX632" s="29">
        <f>LoadPremRate*E632*N632+AK632+AQ632-AU632-AT632</f>
        <v/>
      </c>
      <c r="AY632" s="34">
        <f>AP632-AO632</f>
        <v/>
      </c>
      <c r="AZ632" s="37">
        <f>(AW632-AX632-AY632)/MAX(1,ABS(AW632),ABS(AX632),ABS(AY632))</f>
        <v/>
      </c>
      <c r="BA632" s="37">
        <f>IF(OR(K632&gt;0,K633&gt;0),0,(AC633-(AC632+AF632-AQ632-AP632+AR632-AI632-AJ632-AM632))/MAX(1,ABS(AC632),ABS(AC633)))</f>
        <v/>
      </c>
      <c r="BB632" s="35">
        <f>(1+INDEX(DiscRateAnn,INT(A632/12)+1))^(1/12)-1</f>
        <v/>
      </c>
      <c r="BC632" s="31">
        <f>(1+BB632)^-A632</f>
        <v/>
      </c>
      <c r="BD632" s="34">
        <f>AW632*BC632</f>
        <v/>
      </c>
    </row>
    <row r="633">
      <c r="A633" s="27">
        <f>A632+1</f>
        <v/>
      </c>
      <c r="B633" s="28">
        <f>Duration0+A633</f>
        <v/>
      </c>
      <c r="C633" s="27">
        <f>INT(B633/12)</f>
        <v/>
      </c>
      <c r="D633" s="28">
        <f>AgeAtEntry+C633</f>
        <v/>
      </c>
      <c r="E633" s="29">
        <f>IF(PremiumType="SINGLE",IF(B633=0,PremiumPPInput,0),IF(B633&lt;12*PolicyTerm,PremiumPPInput,0))</f>
        <v/>
      </c>
      <c r="F633" s="30">
        <f>INDEX(MortRates,MATCH(MIN(D633,120),MortAges,0),MAX(MIN(C633,5),0)+1)</f>
        <v/>
      </c>
      <c r="G633" s="31">
        <f>1-(1-F633)^(1/12)</f>
        <v/>
      </c>
      <c r="H633" s="32">
        <f>MAX(LapseBase-LapseStep*C633,LapseFloor)</f>
        <v/>
      </c>
      <c r="I633" s="32">
        <f>IF(HasSurrCharge,INDEX(SurrRates,MIN(C633,SurrDurMax)+1,MATCH(SurrChargeID,SurrTypes,0)),0)</f>
        <v/>
      </c>
      <c r="J633" s="33">
        <f>N632-P632-O632</f>
        <v/>
      </c>
      <c r="K633" s="30">
        <f>IF(B633=12*PolicyTerm,J633,0)</f>
        <v/>
      </c>
      <c r="L633" s="33">
        <f>J633-K633</f>
        <v/>
      </c>
      <c r="M633" s="30">
        <f>IF(B633=0,PolicyCount,0)</f>
        <v/>
      </c>
      <c r="N633" s="33">
        <f>L633+M633</f>
        <v/>
      </c>
      <c r="O633" s="31">
        <f>N633*G633</f>
        <v/>
      </c>
      <c r="P633" s="33">
        <f>(N633-O633)*(1-(1-H633)^(1/12))</f>
        <v/>
      </c>
      <c r="Q633" s="34">
        <f>X632+Z632</f>
        <v/>
      </c>
      <c r="R633" s="29">
        <f>(1-LoadPremRate)*E633</f>
        <v/>
      </c>
      <c r="S633" s="34">
        <f>Q633+R633</f>
        <v/>
      </c>
      <c r="T633" s="29">
        <f>MaintFeeRateAnn/12*S633</f>
        <v/>
      </c>
      <c r="U633" s="29">
        <f>MAX(SumAssured-S633,0)</f>
        <v/>
      </c>
      <c r="V633" s="35">
        <f>CoiMultiple*G633</f>
        <v/>
      </c>
      <c r="W633" s="34">
        <f>V633*U633</f>
        <v/>
      </c>
      <c r="X633" s="34">
        <f>S633-T633-W633</f>
        <v/>
      </c>
      <c r="Y633" s="36">
        <f>EXP((Mu-0.5*Sigma^2)/12+Sigma*SQRT(1/12)*INDEX(NormRand,ScenID,A633+1))-1</f>
        <v/>
      </c>
      <c r="Z633" s="34">
        <f>Y633*X633</f>
        <v/>
      </c>
      <c r="AA633" s="34">
        <f>X633+0.5*Z633</f>
        <v/>
      </c>
      <c r="AB633" s="34">
        <f>Q633*J633</f>
        <v/>
      </c>
      <c r="AC633" s="34">
        <f>Q633*L633</f>
        <v/>
      </c>
      <c r="AD633" s="34">
        <f>S633*N633</f>
        <v/>
      </c>
      <c r="AE633" s="34">
        <f>E633*N633</f>
        <v/>
      </c>
      <c r="AF633" s="34">
        <f>R633*N633</f>
        <v/>
      </c>
      <c r="AG633" s="29">
        <f>MAX(SumAssured,AA633)</f>
        <v/>
      </c>
      <c r="AH633" s="34">
        <f>AG633*O633</f>
        <v/>
      </c>
      <c r="AI633" s="34">
        <f>AA633*O633</f>
        <v/>
      </c>
      <c r="AJ633" s="34">
        <f>AA633*P633</f>
        <v/>
      </c>
      <c r="AK633" s="34">
        <f>I633*AA633*P633</f>
        <v/>
      </c>
      <c r="AL633" s="34">
        <f>AJ633-AK633</f>
        <v/>
      </c>
      <c r="AM633" s="34">
        <f>Q633*K633</f>
        <v/>
      </c>
      <c r="AN633" s="34">
        <f>AH633+AL633+AM633</f>
        <v/>
      </c>
      <c r="AO633" s="34">
        <f>(AG633-AA633)*O633</f>
        <v/>
      </c>
      <c r="AP633" s="34">
        <f>W633*N633</f>
        <v/>
      </c>
      <c r="AQ633" s="34">
        <f>T633*N633</f>
        <v/>
      </c>
      <c r="AR633" s="34">
        <f>Z633*J634+0.5*Z633*(O633+P633)</f>
        <v/>
      </c>
      <c r="AS633" s="30">
        <f>(1+InflationRate)^(A633/12)</f>
        <v/>
      </c>
      <c r="AT633" s="29">
        <f>ExpenseAcq*M633+N633*ExpenseMaint/12*AS633</f>
        <v/>
      </c>
      <c r="AU633" s="29">
        <f>CommissionRate*AE633</f>
        <v/>
      </c>
      <c r="AV633" s="34">
        <f>AB634-AB633</f>
        <v/>
      </c>
      <c r="AW633" s="34">
        <f>AE633+AR633-AN633-AT633-AU633-AV633</f>
        <v/>
      </c>
      <c r="AX633" s="29">
        <f>LoadPremRate*E633*N633+AK633+AQ633-AU633-AT633</f>
        <v/>
      </c>
      <c r="AY633" s="34">
        <f>AP633-AO633</f>
        <v/>
      </c>
      <c r="AZ633" s="37">
        <f>(AW633-AX633-AY633)/MAX(1,ABS(AW633),ABS(AX633),ABS(AY633))</f>
        <v/>
      </c>
      <c r="BA633" s="37">
        <f>IF(OR(K633&gt;0,K634&gt;0),0,(AC634-(AC633+AF633-AQ633-AP633+AR633-AI633-AJ633-AM633))/MAX(1,ABS(AC633),ABS(AC634)))</f>
        <v/>
      </c>
      <c r="BB633" s="35">
        <f>(1+INDEX(DiscRateAnn,INT(A633/12)+1))^(1/12)-1</f>
        <v/>
      </c>
      <c r="BC633" s="31">
        <f>(1+BB633)^-A633</f>
        <v/>
      </c>
      <c r="BD633" s="34">
        <f>AW633*BC633</f>
        <v/>
      </c>
    </row>
    <row r="634">
      <c r="A634" s="27">
        <f>A633+1</f>
        <v/>
      </c>
      <c r="B634" s="28">
        <f>Duration0+A634</f>
        <v/>
      </c>
      <c r="C634" s="27">
        <f>INT(B634/12)</f>
        <v/>
      </c>
      <c r="D634" s="28">
        <f>AgeAtEntry+C634</f>
        <v/>
      </c>
      <c r="E634" s="29">
        <f>IF(PremiumType="SINGLE",IF(B634=0,PremiumPPInput,0),IF(B634&lt;12*PolicyTerm,PremiumPPInput,0))</f>
        <v/>
      </c>
      <c r="F634" s="30">
        <f>INDEX(MortRates,MATCH(MIN(D634,120),MortAges,0),MAX(MIN(C634,5),0)+1)</f>
        <v/>
      </c>
      <c r="G634" s="31">
        <f>1-(1-F634)^(1/12)</f>
        <v/>
      </c>
      <c r="H634" s="32">
        <f>MAX(LapseBase-LapseStep*C634,LapseFloor)</f>
        <v/>
      </c>
      <c r="I634" s="32">
        <f>IF(HasSurrCharge,INDEX(SurrRates,MIN(C634,SurrDurMax)+1,MATCH(SurrChargeID,SurrTypes,0)),0)</f>
        <v/>
      </c>
      <c r="J634" s="33">
        <f>N633-P633-O633</f>
        <v/>
      </c>
      <c r="K634" s="30">
        <f>IF(B634=12*PolicyTerm,J634,0)</f>
        <v/>
      </c>
      <c r="L634" s="33">
        <f>J634-K634</f>
        <v/>
      </c>
      <c r="M634" s="30">
        <f>IF(B634=0,PolicyCount,0)</f>
        <v/>
      </c>
      <c r="N634" s="33">
        <f>L634+M634</f>
        <v/>
      </c>
      <c r="O634" s="31">
        <f>N634*G634</f>
        <v/>
      </c>
      <c r="P634" s="33">
        <f>(N634-O634)*(1-(1-H634)^(1/12))</f>
        <v/>
      </c>
      <c r="Q634" s="34">
        <f>X633+Z633</f>
        <v/>
      </c>
      <c r="R634" s="29">
        <f>(1-LoadPremRate)*E634</f>
        <v/>
      </c>
      <c r="S634" s="34">
        <f>Q634+R634</f>
        <v/>
      </c>
      <c r="T634" s="29">
        <f>MaintFeeRateAnn/12*S634</f>
        <v/>
      </c>
      <c r="U634" s="29">
        <f>MAX(SumAssured-S634,0)</f>
        <v/>
      </c>
      <c r="V634" s="35">
        <f>CoiMultiple*G634</f>
        <v/>
      </c>
      <c r="W634" s="34">
        <f>V634*U634</f>
        <v/>
      </c>
      <c r="X634" s="34">
        <f>S634-T634-W634</f>
        <v/>
      </c>
      <c r="Y634" s="36">
        <f>EXP((Mu-0.5*Sigma^2)/12+Sigma*SQRT(1/12)*INDEX(NormRand,ScenID,A634+1))-1</f>
        <v/>
      </c>
      <c r="Z634" s="34">
        <f>Y634*X634</f>
        <v/>
      </c>
      <c r="AA634" s="34">
        <f>X634+0.5*Z634</f>
        <v/>
      </c>
      <c r="AB634" s="34">
        <f>Q634*J634</f>
        <v/>
      </c>
      <c r="AC634" s="34">
        <f>Q634*L634</f>
        <v/>
      </c>
      <c r="AD634" s="34">
        <f>S634*N634</f>
        <v/>
      </c>
      <c r="AE634" s="34">
        <f>E634*N634</f>
        <v/>
      </c>
      <c r="AF634" s="34">
        <f>R634*N634</f>
        <v/>
      </c>
      <c r="AG634" s="29">
        <f>MAX(SumAssured,AA634)</f>
        <v/>
      </c>
      <c r="AH634" s="34">
        <f>AG634*O634</f>
        <v/>
      </c>
      <c r="AI634" s="34">
        <f>AA634*O634</f>
        <v/>
      </c>
      <c r="AJ634" s="34">
        <f>AA634*P634</f>
        <v/>
      </c>
      <c r="AK634" s="34">
        <f>I634*AA634*P634</f>
        <v/>
      </c>
      <c r="AL634" s="34">
        <f>AJ634-AK634</f>
        <v/>
      </c>
      <c r="AM634" s="34">
        <f>Q634*K634</f>
        <v/>
      </c>
      <c r="AN634" s="34">
        <f>AH634+AL634+AM634</f>
        <v/>
      </c>
      <c r="AO634" s="34">
        <f>(AG634-AA634)*O634</f>
        <v/>
      </c>
      <c r="AP634" s="34">
        <f>W634*N634</f>
        <v/>
      </c>
      <c r="AQ634" s="34">
        <f>T634*N634</f>
        <v/>
      </c>
      <c r="AR634" s="34">
        <f>Z634*J635+0.5*Z634*(O634+P634)</f>
        <v/>
      </c>
      <c r="AS634" s="30">
        <f>(1+InflationRate)^(A634/12)</f>
        <v/>
      </c>
      <c r="AT634" s="29">
        <f>ExpenseAcq*M634+N634*ExpenseMaint/12*AS634</f>
        <v/>
      </c>
      <c r="AU634" s="29">
        <f>CommissionRate*AE634</f>
        <v/>
      </c>
      <c r="AV634" s="34">
        <f>AB635-AB634</f>
        <v/>
      </c>
      <c r="AW634" s="34">
        <f>AE634+AR634-AN634-AT634-AU634-AV634</f>
        <v/>
      </c>
      <c r="AX634" s="29">
        <f>LoadPremRate*E634*N634+AK634+AQ634-AU634-AT634</f>
        <v/>
      </c>
      <c r="AY634" s="34">
        <f>AP634-AO634</f>
        <v/>
      </c>
      <c r="AZ634" s="37">
        <f>(AW634-AX634-AY634)/MAX(1,ABS(AW634),ABS(AX634),ABS(AY634))</f>
        <v/>
      </c>
      <c r="BA634" s="37">
        <f>IF(OR(K634&gt;0,K635&gt;0),0,(AC635-(AC634+AF634-AQ634-AP634+AR634-AI634-AJ634-AM634))/MAX(1,ABS(AC634),ABS(AC635)))</f>
        <v/>
      </c>
      <c r="BB634" s="35">
        <f>(1+INDEX(DiscRateAnn,INT(A634/12)+1))^(1/12)-1</f>
        <v/>
      </c>
      <c r="BC634" s="31">
        <f>(1+BB634)^-A634</f>
        <v/>
      </c>
      <c r="BD634" s="34">
        <f>AW634*BC634</f>
        <v/>
      </c>
    </row>
    <row r="635">
      <c r="A635" s="27">
        <f>A634+1</f>
        <v/>
      </c>
      <c r="B635" s="28">
        <f>Duration0+A635</f>
        <v/>
      </c>
      <c r="C635" s="27">
        <f>INT(B635/12)</f>
        <v/>
      </c>
      <c r="D635" s="28">
        <f>AgeAtEntry+C635</f>
        <v/>
      </c>
      <c r="E635" s="29">
        <f>IF(PremiumType="SINGLE",IF(B635=0,PremiumPPInput,0),IF(B635&lt;12*PolicyTerm,PremiumPPInput,0))</f>
        <v/>
      </c>
      <c r="F635" s="30">
        <f>INDEX(MortRates,MATCH(MIN(D635,120),MortAges,0),MAX(MIN(C635,5),0)+1)</f>
        <v/>
      </c>
      <c r="G635" s="31">
        <f>1-(1-F635)^(1/12)</f>
        <v/>
      </c>
      <c r="H635" s="32">
        <f>MAX(LapseBase-LapseStep*C635,LapseFloor)</f>
        <v/>
      </c>
      <c r="I635" s="32">
        <f>IF(HasSurrCharge,INDEX(SurrRates,MIN(C635,SurrDurMax)+1,MATCH(SurrChargeID,SurrTypes,0)),0)</f>
        <v/>
      </c>
      <c r="J635" s="33">
        <f>N634-P634-O634</f>
        <v/>
      </c>
      <c r="K635" s="30">
        <f>IF(B635=12*PolicyTerm,J635,0)</f>
        <v/>
      </c>
      <c r="L635" s="33">
        <f>J635-K635</f>
        <v/>
      </c>
      <c r="M635" s="30">
        <f>IF(B635=0,PolicyCount,0)</f>
        <v/>
      </c>
      <c r="N635" s="33">
        <f>L635+M635</f>
        <v/>
      </c>
      <c r="O635" s="31">
        <f>N635*G635</f>
        <v/>
      </c>
      <c r="P635" s="33">
        <f>(N635-O635)*(1-(1-H635)^(1/12))</f>
        <v/>
      </c>
      <c r="Q635" s="34">
        <f>X634+Z634</f>
        <v/>
      </c>
      <c r="R635" s="29">
        <f>(1-LoadPremRate)*E635</f>
        <v/>
      </c>
      <c r="S635" s="34">
        <f>Q635+R635</f>
        <v/>
      </c>
      <c r="T635" s="29">
        <f>MaintFeeRateAnn/12*S635</f>
        <v/>
      </c>
      <c r="U635" s="29">
        <f>MAX(SumAssured-S635,0)</f>
        <v/>
      </c>
      <c r="V635" s="35">
        <f>CoiMultiple*G635</f>
        <v/>
      </c>
      <c r="W635" s="34">
        <f>V635*U635</f>
        <v/>
      </c>
      <c r="X635" s="34">
        <f>S635-T635-W635</f>
        <v/>
      </c>
      <c r="Y635" s="36">
        <f>EXP((Mu-0.5*Sigma^2)/12+Sigma*SQRT(1/12)*INDEX(NormRand,ScenID,A635+1))-1</f>
        <v/>
      </c>
      <c r="Z635" s="34">
        <f>Y635*X635</f>
        <v/>
      </c>
      <c r="AA635" s="34">
        <f>X635+0.5*Z635</f>
        <v/>
      </c>
      <c r="AB635" s="34">
        <f>Q635*J635</f>
        <v/>
      </c>
      <c r="AC635" s="34">
        <f>Q635*L635</f>
        <v/>
      </c>
      <c r="AD635" s="34">
        <f>S635*N635</f>
        <v/>
      </c>
      <c r="AE635" s="34">
        <f>E635*N635</f>
        <v/>
      </c>
      <c r="AF635" s="34">
        <f>R635*N635</f>
        <v/>
      </c>
      <c r="AG635" s="29">
        <f>MAX(SumAssured,AA635)</f>
        <v/>
      </c>
      <c r="AH635" s="34">
        <f>AG635*O635</f>
        <v/>
      </c>
      <c r="AI635" s="34">
        <f>AA635*O635</f>
        <v/>
      </c>
      <c r="AJ635" s="34">
        <f>AA635*P635</f>
        <v/>
      </c>
      <c r="AK635" s="34">
        <f>I635*AA635*P635</f>
        <v/>
      </c>
      <c r="AL635" s="34">
        <f>AJ635-AK635</f>
        <v/>
      </c>
      <c r="AM635" s="34">
        <f>Q635*K635</f>
        <v/>
      </c>
      <c r="AN635" s="34">
        <f>AH635+AL635+AM635</f>
        <v/>
      </c>
      <c r="AO635" s="34">
        <f>(AG635-AA635)*O635</f>
        <v/>
      </c>
      <c r="AP635" s="34">
        <f>W635*N635</f>
        <v/>
      </c>
      <c r="AQ635" s="34">
        <f>T635*N635</f>
        <v/>
      </c>
      <c r="AR635" s="34">
        <f>Z635*J636+0.5*Z635*(O635+P635)</f>
        <v/>
      </c>
      <c r="AS635" s="30">
        <f>(1+InflationRate)^(A635/12)</f>
        <v/>
      </c>
      <c r="AT635" s="29">
        <f>ExpenseAcq*M635+N635*ExpenseMaint/12*AS635</f>
        <v/>
      </c>
      <c r="AU635" s="29">
        <f>CommissionRate*AE635</f>
        <v/>
      </c>
      <c r="AV635" s="34">
        <f>AB636-AB635</f>
        <v/>
      </c>
      <c r="AW635" s="34">
        <f>AE635+AR635-AN635-AT635-AU635-AV635</f>
        <v/>
      </c>
      <c r="AX635" s="29">
        <f>LoadPremRate*E635*N635+AK635+AQ635-AU635-AT635</f>
        <v/>
      </c>
      <c r="AY635" s="34">
        <f>AP635-AO635</f>
        <v/>
      </c>
      <c r="AZ635" s="37">
        <f>(AW635-AX635-AY635)/MAX(1,ABS(AW635),ABS(AX635),ABS(AY635))</f>
        <v/>
      </c>
      <c r="BA635" s="37">
        <f>IF(OR(K635&gt;0,K636&gt;0),0,(AC636-(AC635+AF635-AQ635-AP635+AR635-AI635-AJ635-AM635))/MAX(1,ABS(AC635),ABS(AC636)))</f>
        <v/>
      </c>
      <c r="BB635" s="35">
        <f>(1+INDEX(DiscRateAnn,INT(A635/12)+1))^(1/12)-1</f>
        <v/>
      </c>
      <c r="BC635" s="31">
        <f>(1+BB635)^-A635</f>
        <v/>
      </c>
      <c r="BD635" s="34">
        <f>AW635*BC635</f>
        <v/>
      </c>
    </row>
    <row r="636">
      <c r="A636" s="27">
        <f>A635+1</f>
        <v/>
      </c>
      <c r="B636" s="28">
        <f>Duration0+A636</f>
        <v/>
      </c>
      <c r="C636" s="27">
        <f>INT(B636/12)</f>
        <v/>
      </c>
      <c r="D636" s="28">
        <f>AgeAtEntry+C636</f>
        <v/>
      </c>
      <c r="E636" s="29">
        <f>IF(PremiumType="SINGLE",IF(B636=0,PremiumPPInput,0),IF(B636&lt;12*PolicyTerm,PremiumPPInput,0))</f>
        <v/>
      </c>
      <c r="F636" s="30">
        <f>INDEX(MortRates,MATCH(MIN(D636,120),MortAges,0),MAX(MIN(C636,5),0)+1)</f>
        <v/>
      </c>
      <c r="G636" s="31">
        <f>1-(1-F636)^(1/12)</f>
        <v/>
      </c>
      <c r="H636" s="32">
        <f>MAX(LapseBase-LapseStep*C636,LapseFloor)</f>
        <v/>
      </c>
      <c r="I636" s="32">
        <f>IF(HasSurrCharge,INDEX(SurrRates,MIN(C636,SurrDurMax)+1,MATCH(SurrChargeID,SurrTypes,0)),0)</f>
        <v/>
      </c>
      <c r="J636" s="33">
        <f>N635-P635-O635</f>
        <v/>
      </c>
      <c r="K636" s="30">
        <f>IF(B636=12*PolicyTerm,J636,0)</f>
        <v/>
      </c>
      <c r="L636" s="33">
        <f>J636-K636</f>
        <v/>
      </c>
      <c r="M636" s="30">
        <f>IF(B636=0,PolicyCount,0)</f>
        <v/>
      </c>
      <c r="N636" s="33">
        <f>L636+M636</f>
        <v/>
      </c>
      <c r="O636" s="31">
        <f>N636*G636</f>
        <v/>
      </c>
      <c r="P636" s="33">
        <f>(N636-O636)*(1-(1-H636)^(1/12))</f>
        <v/>
      </c>
      <c r="Q636" s="34">
        <f>X635+Z635</f>
        <v/>
      </c>
      <c r="R636" s="29">
        <f>(1-LoadPremRate)*E636</f>
        <v/>
      </c>
      <c r="S636" s="34">
        <f>Q636+R636</f>
        <v/>
      </c>
      <c r="T636" s="29">
        <f>MaintFeeRateAnn/12*S636</f>
        <v/>
      </c>
      <c r="U636" s="29">
        <f>MAX(SumAssured-S636,0)</f>
        <v/>
      </c>
      <c r="V636" s="35">
        <f>CoiMultiple*G636</f>
        <v/>
      </c>
      <c r="W636" s="34">
        <f>V636*U636</f>
        <v/>
      </c>
      <c r="X636" s="34">
        <f>S636-T636-W636</f>
        <v/>
      </c>
      <c r="Y636" s="36">
        <f>EXP((Mu-0.5*Sigma^2)/12+Sigma*SQRT(1/12)*INDEX(NormRand,ScenID,A636+1))-1</f>
        <v/>
      </c>
      <c r="Z636" s="34">
        <f>Y636*X636</f>
        <v/>
      </c>
      <c r="AA636" s="34">
        <f>X636+0.5*Z636</f>
        <v/>
      </c>
      <c r="AB636" s="34">
        <f>Q636*J636</f>
        <v/>
      </c>
      <c r="AC636" s="34">
        <f>Q636*L636</f>
        <v/>
      </c>
      <c r="AD636" s="34">
        <f>S636*N636</f>
        <v/>
      </c>
      <c r="AE636" s="34">
        <f>E636*N636</f>
        <v/>
      </c>
      <c r="AF636" s="34">
        <f>R636*N636</f>
        <v/>
      </c>
      <c r="AG636" s="29">
        <f>MAX(SumAssured,AA636)</f>
        <v/>
      </c>
      <c r="AH636" s="34">
        <f>AG636*O636</f>
        <v/>
      </c>
      <c r="AI636" s="34">
        <f>AA636*O636</f>
        <v/>
      </c>
      <c r="AJ636" s="34">
        <f>AA636*P636</f>
        <v/>
      </c>
      <c r="AK636" s="34">
        <f>I636*AA636*P636</f>
        <v/>
      </c>
      <c r="AL636" s="34">
        <f>AJ636-AK636</f>
        <v/>
      </c>
      <c r="AM636" s="34">
        <f>Q636*K636</f>
        <v/>
      </c>
      <c r="AN636" s="34">
        <f>AH636+AL636+AM636</f>
        <v/>
      </c>
      <c r="AO636" s="34">
        <f>(AG636-AA636)*O636</f>
        <v/>
      </c>
      <c r="AP636" s="34">
        <f>W636*N636</f>
        <v/>
      </c>
      <c r="AQ636" s="34">
        <f>T636*N636</f>
        <v/>
      </c>
      <c r="AR636" s="34">
        <f>Z636*J637+0.5*Z636*(O636+P636)</f>
        <v/>
      </c>
      <c r="AS636" s="30">
        <f>(1+InflationRate)^(A636/12)</f>
        <v/>
      </c>
      <c r="AT636" s="29">
        <f>ExpenseAcq*M636+N636*ExpenseMaint/12*AS636</f>
        <v/>
      </c>
      <c r="AU636" s="29">
        <f>CommissionRate*AE636</f>
        <v/>
      </c>
      <c r="AV636" s="34">
        <f>AB637-AB636</f>
        <v/>
      </c>
      <c r="AW636" s="34">
        <f>AE636+AR636-AN636-AT636-AU636-AV636</f>
        <v/>
      </c>
      <c r="AX636" s="29">
        <f>LoadPremRate*E636*N636+AK636+AQ636-AU636-AT636</f>
        <v/>
      </c>
      <c r="AY636" s="34">
        <f>AP636-AO636</f>
        <v/>
      </c>
      <c r="AZ636" s="37">
        <f>(AW636-AX636-AY636)/MAX(1,ABS(AW636),ABS(AX636),ABS(AY636))</f>
        <v/>
      </c>
      <c r="BA636" s="37">
        <f>IF(OR(K636&gt;0,K637&gt;0),0,(AC637-(AC636+AF636-AQ636-AP636+AR636-AI636-AJ636-AM636))/MAX(1,ABS(AC636),ABS(AC637)))</f>
        <v/>
      </c>
      <c r="BB636" s="35">
        <f>(1+INDEX(DiscRateAnn,INT(A636/12)+1))^(1/12)-1</f>
        <v/>
      </c>
      <c r="BC636" s="31">
        <f>(1+BB636)^-A636</f>
        <v/>
      </c>
      <c r="BD636" s="34">
        <f>AW636*BC636</f>
        <v/>
      </c>
    </row>
    <row r="637">
      <c r="A637" s="27">
        <f>A636+1</f>
        <v/>
      </c>
      <c r="B637" s="28">
        <f>Duration0+A637</f>
        <v/>
      </c>
      <c r="C637" s="27">
        <f>INT(B637/12)</f>
        <v/>
      </c>
      <c r="D637" s="28">
        <f>AgeAtEntry+C637</f>
        <v/>
      </c>
      <c r="E637" s="29">
        <f>IF(PremiumType="SINGLE",IF(B637=0,PremiumPPInput,0),IF(B637&lt;12*PolicyTerm,PremiumPPInput,0))</f>
        <v/>
      </c>
      <c r="F637" s="30">
        <f>INDEX(MortRates,MATCH(MIN(D637,120),MortAges,0),MAX(MIN(C637,5),0)+1)</f>
        <v/>
      </c>
      <c r="G637" s="31">
        <f>1-(1-F637)^(1/12)</f>
        <v/>
      </c>
      <c r="H637" s="32">
        <f>MAX(LapseBase-LapseStep*C637,LapseFloor)</f>
        <v/>
      </c>
      <c r="I637" s="32">
        <f>IF(HasSurrCharge,INDEX(SurrRates,MIN(C637,SurrDurMax)+1,MATCH(SurrChargeID,SurrTypes,0)),0)</f>
        <v/>
      </c>
      <c r="J637" s="33">
        <f>N636-P636-O636</f>
        <v/>
      </c>
      <c r="K637" s="30">
        <f>IF(B637=12*PolicyTerm,J637,0)</f>
        <v/>
      </c>
      <c r="L637" s="33">
        <f>J637-K637</f>
        <v/>
      </c>
      <c r="M637" s="30">
        <f>IF(B637=0,PolicyCount,0)</f>
        <v/>
      </c>
      <c r="N637" s="33">
        <f>L637+M637</f>
        <v/>
      </c>
      <c r="O637" s="31">
        <f>N637*G637</f>
        <v/>
      </c>
      <c r="P637" s="33">
        <f>(N637-O637)*(1-(1-H637)^(1/12))</f>
        <v/>
      </c>
      <c r="Q637" s="34">
        <f>X636+Z636</f>
        <v/>
      </c>
      <c r="R637" s="29">
        <f>(1-LoadPremRate)*E637</f>
        <v/>
      </c>
      <c r="S637" s="34">
        <f>Q637+R637</f>
        <v/>
      </c>
      <c r="T637" s="29">
        <f>MaintFeeRateAnn/12*S637</f>
        <v/>
      </c>
      <c r="U637" s="29">
        <f>MAX(SumAssured-S637,0)</f>
        <v/>
      </c>
      <c r="V637" s="35">
        <f>CoiMultiple*G637</f>
        <v/>
      </c>
      <c r="W637" s="34">
        <f>V637*U637</f>
        <v/>
      </c>
      <c r="X637" s="34">
        <f>S637-T637-W637</f>
        <v/>
      </c>
      <c r="Y637" s="36">
        <f>EXP((Mu-0.5*Sigma^2)/12+Sigma*SQRT(1/12)*INDEX(NormRand,ScenID,A637+1))-1</f>
        <v/>
      </c>
      <c r="Z637" s="34">
        <f>Y637*X637</f>
        <v/>
      </c>
      <c r="AA637" s="34">
        <f>X637+0.5*Z637</f>
        <v/>
      </c>
      <c r="AB637" s="34">
        <f>Q637*J637</f>
        <v/>
      </c>
      <c r="AC637" s="34">
        <f>Q637*L637</f>
        <v/>
      </c>
      <c r="AD637" s="34">
        <f>S637*N637</f>
        <v/>
      </c>
      <c r="AE637" s="34">
        <f>E637*N637</f>
        <v/>
      </c>
      <c r="AF637" s="34">
        <f>R637*N637</f>
        <v/>
      </c>
      <c r="AG637" s="29">
        <f>MAX(SumAssured,AA637)</f>
        <v/>
      </c>
      <c r="AH637" s="34">
        <f>AG637*O637</f>
        <v/>
      </c>
      <c r="AI637" s="34">
        <f>AA637*O637</f>
        <v/>
      </c>
      <c r="AJ637" s="34">
        <f>AA637*P637</f>
        <v/>
      </c>
      <c r="AK637" s="34">
        <f>I637*AA637*P637</f>
        <v/>
      </c>
      <c r="AL637" s="34">
        <f>AJ637-AK637</f>
        <v/>
      </c>
      <c r="AM637" s="34">
        <f>Q637*K637</f>
        <v/>
      </c>
      <c r="AN637" s="34">
        <f>AH637+AL637+AM637</f>
        <v/>
      </c>
      <c r="AO637" s="34">
        <f>(AG637-AA637)*O637</f>
        <v/>
      </c>
      <c r="AP637" s="34">
        <f>W637*N637</f>
        <v/>
      </c>
      <c r="AQ637" s="34">
        <f>T637*N637</f>
        <v/>
      </c>
      <c r="AR637" s="34">
        <f>Z637*J638+0.5*Z637*(O637+P637)</f>
        <v/>
      </c>
      <c r="AS637" s="30">
        <f>(1+InflationRate)^(A637/12)</f>
        <v/>
      </c>
      <c r="AT637" s="29">
        <f>ExpenseAcq*M637+N637*ExpenseMaint/12*AS637</f>
        <v/>
      </c>
      <c r="AU637" s="29">
        <f>CommissionRate*AE637</f>
        <v/>
      </c>
      <c r="AV637" s="34">
        <f>AB638-AB637</f>
        <v/>
      </c>
      <c r="AW637" s="34">
        <f>AE637+AR637-AN637-AT637-AU637-AV637</f>
        <v/>
      </c>
      <c r="AX637" s="29">
        <f>LoadPremRate*E637*N637+AK637+AQ637-AU637-AT637</f>
        <v/>
      </c>
      <c r="AY637" s="34">
        <f>AP637-AO637</f>
        <v/>
      </c>
      <c r="AZ637" s="37">
        <f>(AW637-AX637-AY637)/MAX(1,ABS(AW637),ABS(AX637),ABS(AY637))</f>
        <v/>
      </c>
      <c r="BA637" s="37">
        <f>IF(OR(K637&gt;0,K638&gt;0),0,(AC638-(AC637+AF637-AQ637-AP637+AR637-AI637-AJ637-AM637))/MAX(1,ABS(AC637),ABS(AC638)))</f>
        <v/>
      </c>
      <c r="BB637" s="35">
        <f>(1+INDEX(DiscRateAnn,INT(A637/12)+1))^(1/12)-1</f>
        <v/>
      </c>
      <c r="BC637" s="31">
        <f>(1+BB637)^-A637</f>
        <v/>
      </c>
      <c r="BD637" s="34">
        <f>AW637*BC637</f>
        <v/>
      </c>
    </row>
    <row r="638">
      <c r="A638" s="27">
        <f>A637+1</f>
        <v/>
      </c>
      <c r="B638" s="28">
        <f>Duration0+A638</f>
        <v/>
      </c>
      <c r="C638" s="27">
        <f>INT(B638/12)</f>
        <v/>
      </c>
      <c r="D638" s="28">
        <f>AgeAtEntry+C638</f>
        <v/>
      </c>
      <c r="E638" s="29">
        <f>IF(PremiumType="SINGLE",IF(B638=0,PremiumPPInput,0),IF(B638&lt;12*PolicyTerm,PremiumPPInput,0))</f>
        <v/>
      </c>
      <c r="F638" s="30">
        <f>INDEX(MortRates,MATCH(MIN(D638,120),MortAges,0),MAX(MIN(C638,5),0)+1)</f>
        <v/>
      </c>
      <c r="G638" s="31">
        <f>1-(1-F638)^(1/12)</f>
        <v/>
      </c>
      <c r="H638" s="32">
        <f>MAX(LapseBase-LapseStep*C638,LapseFloor)</f>
        <v/>
      </c>
      <c r="I638" s="32">
        <f>IF(HasSurrCharge,INDEX(SurrRates,MIN(C638,SurrDurMax)+1,MATCH(SurrChargeID,SurrTypes,0)),0)</f>
        <v/>
      </c>
      <c r="J638" s="33">
        <f>N637-P637-O637</f>
        <v/>
      </c>
      <c r="K638" s="30">
        <f>IF(B638=12*PolicyTerm,J638,0)</f>
        <v/>
      </c>
      <c r="L638" s="33">
        <f>J638-K638</f>
        <v/>
      </c>
      <c r="M638" s="30">
        <f>IF(B638=0,PolicyCount,0)</f>
        <v/>
      </c>
      <c r="N638" s="33">
        <f>L638+M638</f>
        <v/>
      </c>
      <c r="O638" s="31">
        <f>N638*G638</f>
        <v/>
      </c>
      <c r="P638" s="33">
        <f>(N638-O638)*(1-(1-H638)^(1/12))</f>
        <v/>
      </c>
      <c r="Q638" s="34">
        <f>X637+Z637</f>
        <v/>
      </c>
      <c r="R638" s="29">
        <f>(1-LoadPremRate)*E638</f>
        <v/>
      </c>
      <c r="S638" s="34">
        <f>Q638+R638</f>
        <v/>
      </c>
      <c r="T638" s="29">
        <f>MaintFeeRateAnn/12*S638</f>
        <v/>
      </c>
      <c r="U638" s="29">
        <f>MAX(SumAssured-S638,0)</f>
        <v/>
      </c>
      <c r="V638" s="35">
        <f>CoiMultiple*G638</f>
        <v/>
      </c>
      <c r="W638" s="34">
        <f>V638*U638</f>
        <v/>
      </c>
      <c r="X638" s="34">
        <f>S638-T638-W638</f>
        <v/>
      </c>
      <c r="Y638" s="36">
        <f>EXP((Mu-0.5*Sigma^2)/12+Sigma*SQRT(1/12)*INDEX(NormRand,ScenID,A638+1))-1</f>
        <v/>
      </c>
      <c r="Z638" s="34">
        <f>Y638*X638</f>
        <v/>
      </c>
      <c r="AA638" s="34">
        <f>X638+0.5*Z638</f>
        <v/>
      </c>
      <c r="AB638" s="34">
        <f>Q638*J638</f>
        <v/>
      </c>
      <c r="AC638" s="34">
        <f>Q638*L638</f>
        <v/>
      </c>
      <c r="AD638" s="34">
        <f>S638*N638</f>
        <v/>
      </c>
      <c r="AE638" s="34">
        <f>E638*N638</f>
        <v/>
      </c>
      <c r="AF638" s="34">
        <f>R638*N638</f>
        <v/>
      </c>
      <c r="AG638" s="29">
        <f>MAX(SumAssured,AA638)</f>
        <v/>
      </c>
      <c r="AH638" s="34">
        <f>AG638*O638</f>
        <v/>
      </c>
      <c r="AI638" s="34">
        <f>AA638*O638</f>
        <v/>
      </c>
      <c r="AJ638" s="34">
        <f>AA638*P638</f>
        <v/>
      </c>
      <c r="AK638" s="34">
        <f>I638*AA638*P638</f>
        <v/>
      </c>
      <c r="AL638" s="34">
        <f>AJ638-AK638</f>
        <v/>
      </c>
      <c r="AM638" s="34">
        <f>Q638*K638</f>
        <v/>
      </c>
      <c r="AN638" s="34">
        <f>AH638+AL638+AM638</f>
        <v/>
      </c>
      <c r="AO638" s="34">
        <f>(AG638-AA638)*O638</f>
        <v/>
      </c>
      <c r="AP638" s="34">
        <f>W638*N638</f>
        <v/>
      </c>
      <c r="AQ638" s="34">
        <f>T638*N638</f>
        <v/>
      </c>
      <c r="AR638" s="34">
        <f>Z638*J639+0.5*Z638*(O638+P638)</f>
        <v/>
      </c>
      <c r="AS638" s="30">
        <f>(1+InflationRate)^(A638/12)</f>
        <v/>
      </c>
      <c r="AT638" s="29">
        <f>ExpenseAcq*M638+N638*ExpenseMaint/12*AS638</f>
        <v/>
      </c>
      <c r="AU638" s="29">
        <f>CommissionRate*AE638</f>
        <v/>
      </c>
      <c r="AV638" s="34">
        <f>AB639-AB638</f>
        <v/>
      </c>
      <c r="AW638" s="34">
        <f>AE638+AR638-AN638-AT638-AU638-AV638</f>
        <v/>
      </c>
      <c r="AX638" s="29">
        <f>LoadPremRate*E638*N638+AK638+AQ638-AU638-AT638</f>
        <v/>
      </c>
      <c r="AY638" s="34">
        <f>AP638-AO638</f>
        <v/>
      </c>
      <c r="AZ638" s="37">
        <f>(AW638-AX638-AY638)/MAX(1,ABS(AW638),ABS(AX638),ABS(AY638))</f>
        <v/>
      </c>
      <c r="BA638" s="37">
        <f>IF(OR(K638&gt;0,K639&gt;0),0,(AC639-(AC638+AF638-AQ638-AP638+AR638-AI638-AJ638-AM638))/MAX(1,ABS(AC638),ABS(AC639)))</f>
        <v/>
      </c>
      <c r="BB638" s="35">
        <f>(1+INDEX(DiscRateAnn,INT(A638/12)+1))^(1/12)-1</f>
        <v/>
      </c>
      <c r="BC638" s="31">
        <f>(1+BB638)^-A638</f>
        <v/>
      </c>
      <c r="BD638" s="34">
        <f>AW638*BC638</f>
        <v/>
      </c>
    </row>
    <row r="639">
      <c r="A639" s="27">
        <f>A638+1</f>
        <v/>
      </c>
      <c r="B639" s="28">
        <f>Duration0+A639</f>
        <v/>
      </c>
      <c r="C639" s="27">
        <f>INT(B639/12)</f>
        <v/>
      </c>
      <c r="D639" s="28">
        <f>AgeAtEntry+C639</f>
        <v/>
      </c>
      <c r="E639" s="29">
        <f>IF(PremiumType="SINGLE",IF(B639=0,PremiumPPInput,0),IF(B639&lt;12*PolicyTerm,PremiumPPInput,0))</f>
        <v/>
      </c>
      <c r="F639" s="30">
        <f>INDEX(MortRates,MATCH(MIN(D639,120),MortAges,0),MAX(MIN(C639,5),0)+1)</f>
        <v/>
      </c>
      <c r="G639" s="31">
        <f>1-(1-F639)^(1/12)</f>
        <v/>
      </c>
      <c r="H639" s="32">
        <f>MAX(LapseBase-LapseStep*C639,LapseFloor)</f>
        <v/>
      </c>
      <c r="I639" s="32">
        <f>IF(HasSurrCharge,INDEX(SurrRates,MIN(C639,SurrDurMax)+1,MATCH(SurrChargeID,SurrTypes,0)),0)</f>
        <v/>
      </c>
      <c r="J639" s="33">
        <f>N638-P638-O638</f>
        <v/>
      </c>
      <c r="K639" s="30">
        <f>IF(B639=12*PolicyTerm,J639,0)</f>
        <v/>
      </c>
      <c r="L639" s="33">
        <f>J639-K639</f>
        <v/>
      </c>
      <c r="M639" s="30">
        <f>IF(B639=0,PolicyCount,0)</f>
        <v/>
      </c>
      <c r="N639" s="33">
        <f>L639+M639</f>
        <v/>
      </c>
      <c r="O639" s="31">
        <f>N639*G639</f>
        <v/>
      </c>
      <c r="P639" s="33">
        <f>(N639-O639)*(1-(1-H639)^(1/12))</f>
        <v/>
      </c>
      <c r="Q639" s="34">
        <f>X638+Z638</f>
        <v/>
      </c>
      <c r="R639" s="29">
        <f>(1-LoadPremRate)*E639</f>
        <v/>
      </c>
      <c r="S639" s="34">
        <f>Q639+R639</f>
        <v/>
      </c>
      <c r="T639" s="29">
        <f>MaintFeeRateAnn/12*S639</f>
        <v/>
      </c>
      <c r="U639" s="29">
        <f>MAX(SumAssured-S639,0)</f>
        <v/>
      </c>
      <c r="V639" s="35">
        <f>CoiMultiple*G639</f>
        <v/>
      </c>
      <c r="W639" s="34">
        <f>V639*U639</f>
        <v/>
      </c>
      <c r="X639" s="34">
        <f>S639-T639-W639</f>
        <v/>
      </c>
      <c r="Y639" s="36">
        <f>EXP((Mu-0.5*Sigma^2)/12+Sigma*SQRT(1/12)*INDEX(NormRand,ScenID,A639+1))-1</f>
        <v/>
      </c>
      <c r="Z639" s="34">
        <f>Y639*X639</f>
        <v/>
      </c>
      <c r="AA639" s="34">
        <f>X639+0.5*Z639</f>
        <v/>
      </c>
      <c r="AB639" s="34">
        <f>Q639*J639</f>
        <v/>
      </c>
      <c r="AC639" s="34">
        <f>Q639*L639</f>
        <v/>
      </c>
      <c r="AD639" s="34">
        <f>S639*N639</f>
        <v/>
      </c>
      <c r="AE639" s="34">
        <f>E639*N639</f>
        <v/>
      </c>
      <c r="AF639" s="34">
        <f>R639*N639</f>
        <v/>
      </c>
      <c r="AG639" s="29">
        <f>MAX(SumAssured,AA639)</f>
        <v/>
      </c>
      <c r="AH639" s="34">
        <f>AG639*O639</f>
        <v/>
      </c>
      <c r="AI639" s="34">
        <f>AA639*O639</f>
        <v/>
      </c>
      <c r="AJ639" s="34">
        <f>AA639*P639</f>
        <v/>
      </c>
      <c r="AK639" s="34">
        <f>I639*AA639*P639</f>
        <v/>
      </c>
      <c r="AL639" s="34">
        <f>AJ639-AK639</f>
        <v/>
      </c>
      <c r="AM639" s="34">
        <f>Q639*K639</f>
        <v/>
      </c>
      <c r="AN639" s="34">
        <f>AH639+AL639+AM639</f>
        <v/>
      </c>
      <c r="AO639" s="34">
        <f>(AG639-AA639)*O639</f>
        <v/>
      </c>
      <c r="AP639" s="34">
        <f>W639*N639</f>
        <v/>
      </c>
      <c r="AQ639" s="34">
        <f>T639*N639</f>
        <v/>
      </c>
      <c r="AR639" s="34">
        <f>Z639*J640+0.5*Z639*(O639+P639)</f>
        <v/>
      </c>
      <c r="AS639" s="30">
        <f>(1+InflationRate)^(A639/12)</f>
        <v/>
      </c>
      <c r="AT639" s="29">
        <f>ExpenseAcq*M639+N639*ExpenseMaint/12*AS639</f>
        <v/>
      </c>
      <c r="AU639" s="29">
        <f>CommissionRate*AE639</f>
        <v/>
      </c>
      <c r="AV639" s="34">
        <f>AB640-AB639</f>
        <v/>
      </c>
      <c r="AW639" s="34">
        <f>AE639+AR639-AN639-AT639-AU639-AV639</f>
        <v/>
      </c>
      <c r="AX639" s="29">
        <f>LoadPremRate*E639*N639+AK639+AQ639-AU639-AT639</f>
        <v/>
      </c>
      <c r="AY639" s="34">
        <f>AP639-AO639</f>
        <v/>
      </c>
      <c r="AZ639" s="37">
        <f>(AW639-AX639-AY639)/MAX(1,ABS(AW639),ABS(AX639),ABS(AY639))</f>
        <v/>
      </c>
      <c r="BA639" s="37">
        <f>IF(OR(K639&gt;0,K640&gt;0),0,(AC640-(AC639+AF639-AQ639-AP639+AR639-AI639-AJ639-AM639))/MAX(1,ABS(AC639),ABS(AC640)))</f>
        <v/>
      </c>
      <c r="BB639" s="35">
        <f>(1+INDEX(DiscRateAnn,INT(A639/12)+1))^(1/12)-1</f>
        <v/>
      </c>
      <c r="BC639" s="31">
        <f>(1+BB639)^-A639</f>
        <v/>
      </c>
      <c r="BD639" s="34">
        <f>AW639*BC639</f>
        <v/>
      </c>
    </row>
    <row r="640">
      <c r="A640" s="27">
        <f>A639+1</f>
        <v/>
      </c>
      <c r="B640" s="28">
        <f>Duration0+A640</f>
        <v/>
      </c>
      <c r="C640" s="27">
        <f>INT(B640/12)</f>
        <v/>
      </c>
      <c r="D640" s="28">
        <f>AgeAtEntry+C640</f>
        <v/>
      </c>
      <c r="E640" s="29">
        <f>IF(PremiumType="SINGLE",IF(B640=0,PremiumPPInput,0),IF(B640&lt;12*PolicyTerm,PremiumPPInput,0))</f>
        <v/>
      </c>
      <c r="F640" s="30">
        <f>INDEX(MortRates,MATCH(MIN(D640,120),MortAges,0),MAX(MIN(C640,5),0)+1)</f>
        <v/>
      </c>
      <c r="G640" s="31">
        <f>1-(1-F640)^(1/12)</f>
        <v/>
      </c>
      <c r="H640" s="32">
        <f>MAX(LapseBase-LapseStep*C640,LapseFloor)</f>
        <v/>
      </c>
      <c r="I640" s="32">
        <f>IF(HasSurrCharge,INDEX(SurrRates,MIN(C640,SurrDurMax)+1,MATCH(SurrChargeID,SurrTypes,0)),0)</f>
        <v/>
      </c>
      <c r="J640" s="33">
        <f>N639-P639-O639</f>
        <v/>
      </c>
      <c r="K640" s="30">
        <f>IF(B640=12*PolicyTerm,J640,0)</f>
        <v/>
      </c>
      <c r="L640" s="33">
        <f>J640-K640</f>
        <v/>
      </c>
      <c r="M640" s="30">
        <f>IF(B640=0,PolicyCount,0)</f>
        <v/>
      </c>
      <c r="N640" s="33">
        <f>L640+M640</f>
        <v/>
      </c>
      <c r="O640" s="31">
        <f>N640*G640</f>
        <v/>
      </c>
      <c r="P640" s="33">
        <f>(N640-O640)*(1-(1-H640)^(1/12))</f>
        <v/>
      </c>
      <c r="Q640" s="34">
        <f>X639+Z639</f>
        <v/>
      </c>
      <c r="R640" s="29">
        <f>(1-LoadPremRate)*E640</f>
        <v/>
      </c>
      <c r="S640" s="34">
        <f>Q640+R640</f>
        <v/>
      </c>
      <c r="T640" s="29">
        <f>MaintFeeRateAnn/12*S640</f>
        <v/>
      </c>
      <c r="U640" s="29">
        <f>MAX(SumAssured-S640,0)</f>
        <v/>
      </c>
      <c r="V640" s="35">
        <f>CoiMultiple*G640</f>
        <v/>
      </c>
      <c r="W640" s="34">
        <f>V640*U640</f>
        <v/>
      </c>
      <c r="X640" s="34">
        <f>S640-T640-W640</f>
        <v/>
      </c>
      <c r="Y640" s="36">
        <f>EXP((Mu-0.5*Sigma^2)/12+Sigma*SQRT(1/12)*INDEX(NormRand,ScenID,A640+1))-1</f>
        <v/>
      </c>
      <c r="Z640" s="34">
        <f>Y640*X640</f>
        <v/>
      </c>
      <c r="AA640" s="34">
        <f>X640+0.5*Z640</f>
        <v/>
      </c>
      <c r="AB640" s="34">
        <f>Q640*J640</f>
        <v/>
      </c>
      <c r="AC640" s="34">
        <f>Q640*L640</f>
        <v/>
      </c>
      <c r="AD640" s="34">
        <f>S640*N640</f>
        <v/>
      </c>
      <c r="AE640" s="34">
        <f>E640*N640</f>
        <v/>
      </c>
      <c r="AF640" s="34">
        <f>R640*N640</f>
        <v/>
      </c>
      <c r="AG640" s="29">
        <f>MAX(SumAssured,AA640)</f>
        <v/>
      </c>
      <c r="AH640" s="34">
        <f>AG640*O640</f>
        <v/>
      </c>
      <c r="AI640" s="34">
        <f>AA640*O640</f>
        <v/>
      </c>
      <c r="AJ640" s="34">
        <f>AA640*P640</f>
        <v/>
      </c>
      <c r="AK640" s="34">
        <f>I640*AA640*P640</f>
        <v/>
      </c>
      <c r="AL640" s="34">
        <f>AJ640-AK640</f>
        <v/>
      </c>
      <c r="AM640" s="34">
        <f>Q640*K640</f>
        <v/>
      </c>
      <c r="AN640" s="34">
        <f>AH640+AL640+AM640</f>
        <v/>
      </c>
      <c r="AO640" s="34">
        <f>(AG640-AA640)*O640</f>
        <v/>
      </c>
      <c r="AP640" s="34">
        <f>W640*N640</f>
        <v/>
      </c>
      <c r="AQ640" s="34">
        <f>T640*N640</f>
        <v/>
      </c>
      <c r="AR640" s="34">
        <f>Z640*J641+0.5*Z640*(O640+P640)</f>
        <v/>
      </c>
      <c r="AS640" s="30">
        <f>(1+InflationRate)^(A640/12)</f>
        <v/>
      </c>
      <c r="AT640" s="29">
        <f>ExpenseAcq*M640+N640*ExpenseMaint/12*AS640</f>
        <v/>
      </c>
      <c r="AU640" s="29">
        <f>CommissionRate*AE640</f>
        <v/>
      </c>
      <c r="AV640" s="34">
        <f>AB641-AB640</f>
        <v/>
      </c>
      <c r="AW640" s="34">
        <f>AE640+AR640-AN640-AT640-AU640-AV640</f>
        <v/>
      </c>
      <c r="AX640" s="29">
        <f>LoadPremRate*E640*N640+AK640+AQ640-AU640-AT640</f>
        <v/>
      </c>
      <c r="AY640" s="34">
        <f>AP640-AO640</f>
        <v/>
      </c>
      <c r="AZ640" s="37">
        <f>(AW640-AX640-AY640)/MAX(1,ABS(AW640),ABS(AX640),ABS(AY640))</f>
        <v/>
      </c>
      <c r="BA640" s="37">
        <f>IF(OR(K640&gt;0,K641&gt;0),0,(AC641-(AC640+AF640-AQ640-AP640+AR640-AI640-AJ640-AM640))/MAX(1,ABS(AC640),ABS(AC641)))</f>
        <v/>
      </c>
      <c r="BB640" s="35">
        <f>(1+INDEX(DiscRateAnn,INT(A640/12)+1))^(1/12)-1</f>
        <v/>
      </c>
      <c r="BC640" s="31">
        <f>(1+BB640)^-A640</f>
        <v/>
      </c>
      <c r="BD640" s="34">
        <f>AW640*BC640</f>
        <v/>
      </c>
    </row>
    <row r="641">
      <c r="A641" s="27">
        <f>A640+1</f>
        <v/>
      </c>
      <c r="B641" s="28">
        <f>Duration0+A641</f>
        <v/>
      </c>
      <c r="C641" s="27">
        <f>INT(B641/12)</f>
        <v/>
      </c>
      <c r="D641" s="28">
        <f>AgeAtEntry+C641</f>
        <v/>
      </c>
      <c r="E641" s="29">
        <f>IF(PremiumType="SINGLE",IF(B641=0,PremiumPPInput,0),IF(B641&lt;12*PolicyTerm,PremiumPPInput,0))</f>
        <v/>
      </c>
      <c r="F641" s="30">
        <f>INDEX(MortRates,MATCH(MIN(D641,120),MortAges,0),MAX(MIN(C641,5),0)+1)</f>
        <v/>
      </c>
      <c r="G641" s="31">
        <f>1-(1-F641)^(1/12)</f>
        <v/>
      </c>
      <c r="H641" s="32">
        <f>MAX(LapseBase-LapseStep*C641,LapseFloor)</f>
        <v/>
      </c>
      <c r="I641" s="32">
        <f>IF(HasSurrCharge,INDEX(SurrRates,MIN(C641,SurrDurMax)+1,MATCH(SurrChargeID,SurrTypes,0)),0)</f>
        <v/>
      </c>
      <c r="J641" s="33">
        <f>N640-P640-O640</f>
        <v/>
      </c>
      <c r="K641" s="30">
        <f>IF(B641=12*PolicyTerm,J641,0)</f>
        <v/>
      </c>
      <c r="L641" s="33">
        <f>J641-K641</f>
        <v/>
      </c>
      <c r="M641" s="30">
        <f>IF(B641=0,PolicyCount,0)</f>
        <v/>
      </c>
      <c r="N641" s="33">
        <f>L641+M641</f>
        <v/>
      </c>
      <c r="O641" s="31">
        <f>N641*G641</f>
        <v/>
      </c>
      <c r="P641" s="33">
        <f>(N641-O641)*(1-(1-H641)^(1/12))</f>
        <v/>
      </c>
      <c r="Q641" s="34">
        <f>X640+Z640</f>
        <v/>
      </c>
      <c r="R641" s="29">
        <f>(1-LoadPremRate)*E641</f>
        <v/>
      </c>
      <c r="S641" s="34">
        <f>Q641+R641</f>
        <v/>
      </c>
      <c r="T641" s="29">
        <f>MaintFeeRateAnn/12*S641</f>
        <v/>
      </c>
      <c r="U641" s="29">
        <f>MAX(SumAssured-S641,0)</f>
        <v/>
      </c>
      <c r="V641" s="35">
        <f>CoiMultiple*G641</f>
        <v/>
      </c>
      <c r="W641" s="34">
        <f>V641*U641</f>
        <v/>
      </c>
      <c r="X641" s="34">
        <f>S641-T641-W641</f>
        <v/>
      </c>
      <c r="Y641" s="36">
        <f>EXP((Mu-0.5*Sigma^2)/12+Sigma*SQRT(1/12)*INDEX(NormRand,ScenID,A641+1))-1</f>
        <v/>
      </c>
      <c r="Z641" s="34">
        <f>Y641*X641</f>
        <v/>
      </c>
      <c r="AA641" s="34">
        <f>X641+0.5*Z641</f>
        <v/>
      </c>
      <c r="AB641" s="34">
        <f>Q641*J641</f>
        <v/>
      </c>
      <c r="AC641" s="34">
        <f>Q641*L641</f>
        <v/>
      </c>
      <c r="AD641" s="34">
        <f>S641*N641</f>
        <v/>
      </c>
      <c r="AE641" s="34">
        <f>E641*N641</f>
        <v/>
      </c>
      <c r="AF641" s="34">
        <f>R641*N641</f>
        <v/>
      </c>
      <c r="AG641" s="29">
        <f>MAX(SumAssured,AA641)</f>
        <v/>
      </c>
      <c r="AH641" s="34">
        <f>AG641*O641</f>
        <v/>
      </c>
      <c r="AI641" s="34">
        <f>AA641*O641</f>
        <v/>
      </c>
      <c r="AJ641" s="34">
        <f>AA641*P641</f>
        <v/>
      </c>
      <c r="AK641" s="34">
        <f>I641*AA641*P641</f>
        <v/>
      </c>
      <c r="AL641" s="34">
        <f>AJ641-AK641</f>
        <v/>
      </c>
      <c r="AM641" s="34">
        <f>Q641*K641</f>
        <v/>
      </c>
      <c r="AN641" s="34">
        <f>AH641+AL641+AM641</f>
        <v/>
      </c>
      <c r="AO641" s="34">
        <f>(AG641-AA641)*O641</f>
        <v/>
      </c>
      <c r="AP641" s="34">
        <f>W641*N641</f>
        <v/>
      </c>
      <c r="AQ641" s="34">
        <f>T641*N641</f>
        <v/>
      </c>
      <c r="AR641" s="34">
        <f>Z641*J642+0.5*Z641*(O641+P641)</f>
        <v/>
      </c>
      <c r="AS641" s="30">
        <f>(1+InflationRate)^(A641/12)</f>
        <v/>
      </c>
      <c r="AT641" s="29">
        <f>ExpenseAcq*M641+N641*ExpenseMaint/12*AS641</f>
        <v/>
      </c>
      <c r="AU641" s="29">
        <f>CommissionRate*AE641</f>
        <v/>
      </c>
      <c r="AV641" s="34">
        <f>AB642-AB641</f>
        <v/>
      </c>
      <c r="AW641" s="34">
        <f>AE641+AR641-AN641-AT641-AU641-AV641</f>
        <v/>
      </c>
      <c r="AX641" s="29">
        <f>LoadPremRate*E641*N641+AK641+AQ641-AU641-AT641</f>
        <v/>
      </c>
      <c r="AY641" s="34">
        <f>AP641-AO641</f>
        <v/>
      </c>
      <c r="AZ641" s="37">
        <f>(AW641-AX641-AY641)/MAX(1,ABS(AW641),ABS(AX641),ABS(AY641))</f>
        <v/>
      </c>
      <c r="BA641" s="37">
        <f>IF(OR(K641&gt;0,K642&gt;0),0,(AC642-(AC641+AF641-AQ641-AP641+AR641-AI641-AJ641-AM641))/MAX(1,ABS(AC641),ABS(AC642)))</f>
        <v/>
      </c>
      <c r="BB641" s="35">
        <f>(1+INDEX(DiscRateAnn,INT(A641/12)+1))^(1/12)-1</f>
        <v/>
      </c>
      <c r="BC641" s="31">
        <f>(1+BB641)^-A641</f>
        <v/>
      </c>
      <c r="BD641" s="34">
        <f>AW641*BC641</f>
        <v/>
      </c>
    </row>
    <row r="642">
      <c r="A642" s="27">
        <f>A641+1</f>
        <v/>
      </c>
      <c r="B642" s="28">
        <f>Duration0+A642</f>
        <v/>
      </c>
      <c r="C642" s="27">
        <f>INT(B642/12)</f>
        <v/>
      </c>
      <c r="D642" s="28">
        <f>AgeAtEntry+C642</f>
        <v/>
      </c>
      <c r="E642" s="29">
        <f>IF(PremiumType="SINGLE",IF(B642=0,PremiumPPInput,0),IF(B642&lt;12*PolicyTerm,PremiumPPInput,0))</f>
        <v/>
      </c>
      <c r="F642" s="30">
        <f>INDEX(MortRates,MATCH(MIN(D642,120),MortAges,0),MAX(MIN(C642,5),0)+1)</f>
        <v/>
      </c>
      <c r="G642" s="31">
        <f>1-(1-F642)^(1/12)</f>
        <v/>
      </c>
      <c r="H642" s="32">
        <f>MAX(LapseBase-LapseStep*C642,LapseFloor)</f>
        <v/>
      </c>
      <c r="I642" s="32">
        <f>IF(HasSurrCharge,INDEX(SurrRates,MIN(C642,SurrDurMax)+1,MATCH(SurrChargeID,SurrTypes,0)),0)</f>
        <v/>
      </c>
      <c r="J642" s="33">
        <f>N641-P641-O641</f>
        <v/>
      </c>
      <c r="K642" s="30">
        <f>IF(B642=12*PolicyTerm,J642,0)</f>
        <v/>
      </c>
      <c r="L642" s="33">
        <f>J642-K642</f>
        <v/>
      </c>
      <c r="M642" s="30">
        <f>IF(B642=0,PolicyCount,0)</f>
        <v/>
      </c>
      <c r="N642" s="33">
        <f>L642+M642</f>
        <v/>
      </c>
      <c r="O642" s="31">
        <f>N642*G642</f>
        <v/>
      </c>
      <c r="P642" s="33">
        <f>(N642-O642)*(1-(1-H642)^(1/12))</f>
        <v/>
      </c>
      <c r="Q642" s="34">
        <f>X641+Z641</f>
        <v/>
      </c>
      <c r="R642" s="29">
        <f>(1-LoadPremRate)*E642</f>
        <v/>
      </c>
      <c r="S642" s="34">
        <f>Q642+R642</f>
        <v/>
      </c>
      <c r="T642" s="29">
        <f>MaintFeeRateAnn/12*S642</f>
        <v/>
      </c>
      <c r="U642" s="29">
        <f>MAX(SumAssured-S642,0)</f>
        <v/>
      </c>
      <c r="V642" s="35">
        <f>CoiMultiple*G642</f>
        <v/>
      </c>
      <c r="W642" s="34">
        <f>V642*U642</f>
        <v/>
      </c>
      <c r="X642" s="34">
        <f>S642-T642-W642</f>
        <v/>
      </c>
      <c r="Y642" s="36">
        <f>EXP((Mu-0.5*Sigma^2)/12+Sigma*SQRT(1/12)*INDEX(NormRand,ScenID,A642+1))-1</f>
        <v/>
      </c>
      <c r="Z642" s="34">
        <f>Y642*X642</f>
        <v/>
      </c>
      <c r="AA642" s="34">
        <f>X642+0.5*Z642</f>
        <v/>
      </c>
      <c r="AB642" s="34">
        <f>Q642*J642</f>
        <v/>
      </c>
      <c r="AC642" s="34">
        <f>Q642*L642</f>
        <v/>
      </c>
      <c r="AD642" s="34">
        <f>S642*N642</f>
        <v/>
      </c>
      <c r="AE642" s="34">
        <f>E642*N642</f>
        <v/>
      </c>
      <c r="AF642" s="34">
        <f>R642*N642</f>
        <v/>
      </c>
      <c r="AG642" s="29">
        <f>MAX(SumAssured,AA642)</f>
        <v/>
      </c>
      <c r="AH642" s="34">
        <f>AG642*O642</f>
        <v/>
      </c>
      <c r="AI642" s="34">
        <f>AA642*O642</f>
        <v/>
      </c>
      <c r="AJ642" s="34">
        <f>AA642*P642</f>
        <v/>
      </c>
      <c r="AK642" s="34">
        <f>I642*AA642*P642</f>
        <v/>
      </c>
      <c r="AL642" s="34">
        <f>AJ642-AK642</f>
        <v/>
      </c>
      <c r="AM642" s="34">
        <f>Q642*K642</f>
        <v/>
      </c>
      <c r="AN642" s="34">
        <f>AH642+AL642+AM642</f>
        <v/>
      </c>
      <c r="AO642" s="34">
        <f>(AG642-AA642)*O642</f>
        <v/>
      </c>
      <c r="AP642" s="34">
        <f>W642*N642</f>
        <v/>
      </c>
      <c r="AQ642" s="34">
        <f>T642*N642</f>
        <v/>
      </c>
      <c r="AR642" s="34">
        <f>Z642*J643+0.5*Z642*(O642+P642)</f>
        <v/>
      </c>
      <c r="AS642" s="30">
        <f>(1+InflationRate)^(A642/12)</f>
        <v/>
      </c>
      <c r="AT642" s="29">
        <f>ExpenseAcq*M642+N642*ExpenseMaint/12*AS642</f>
        <v/>
      </c>
      <c r="AU642" s="29">
        <f>CommissionRate*AE642</f>
        <v/>
      </c>
      <c r="AV642" s="34">
        <f>AB643-AB642</f>
        <v/>
      </c>
      <c r="AW642" s="34">
        <f>AE642+AR642-AN642-AT642-AU642-AV642</f>
        <v/>
      </c>
      <c r="AX642" s="29">
        <f>LoadPremRate*E642*N642+AK642+AQ642-AU642-AT642</f>
        <v/>
      </c>
      <c r="AY642" s="34">
        <f>AP642-AO642</f>
        <v/>
      </c>
      <c r="AZ642" s="37">
        <f>(AW642-AX642-AY642)/MAX(1,ABS(AW642),ABS(AX642),ABS(AY642))</f>
        <v/>
      </c>
      <c r="BA642" s="37">
        <f>IF(OR(K642&gt;0,K643&gt;0),0,(AC643-(AC642+AF642-AQ642-AP642+AR642-AI642-AJ642-AM642))/MAX(1,ABS(AC642),ABS(AC643)))</f>
        <v/>
      </c>
      <c r="BB642" s="35">
        <f>(1+INDEX(DiscRateAnn,INT(A642/12)+1))^(1/12)-1</f>
        <v/>
      </c>
      <c r="BC642" s="31">
        <f>(1+BB642)^-A642</f>
        <v/>
      </c>
      <c r="BD642" s="34">
        <f>AW642*BC642</f>
        <v/>
      </c>
    </row>
    <row r="643">
      <c r="A643" s="27">
        <f>A642+1</f>
        <v/>
      </c>
      <c r="B643" s="28">
        <f>Duration0+A643</f>
        <v/>
      </c>
      <c r="C643" s="27">
        <f>INT(B643/12)</f>
        <v/>
      </c>
      <c r="D643" s="28">
        <f>AgeAtEntry+C643</f>
        <v/>
      </c>
      <c r="E643" s="29">
        <f>IF(PremiumType="SINGLE",IF(B643=0,PremiumPPInput,0),IF(B643&lt;12*PolicyTerm,PremiumPPInput,0))</f>
        <v/>
      </c>
      <c r="F643" s="30">
        <f>INDEX(MortRates,MATCH(MIN(D643,120),MortAges,0),MAX(MIN(C643,5),0)+1)</f>
        <v/>
      </c>
      <c r="G643" s="31">
        <f>1-(1-F643)^(1/12)</f>
        <v/>
      </c>
      <c r="H643" s="32">
        <f>MAX(LapseBase-LapseStep*C643,LapseFloor)</f>
        <v/>
      </c>
      <c r="I643" s="32">
        <f>IF(HasSurrCharge,INDEX(SurrRates,MIN(C643,SurrDurMax)+1,MATCH(SurrChargeID,SurrTypes,0)),0)</f>
        <v/>
      </c>
      <c r="J643" s="33">
        <f>N642-P642-O642</f>
        <v/>
      </c>
      <c r="K643" s="30">
        <f>IF(B643=12*PolicyTerm,J643,0)</f>
        <v/>
      </c>
      <c r="L643" s="33">
        <f>J643-K643</f>
        <v/>
      </c>
      <c r="M643" s="30">
        <f>IF(B643=0,PolicyCount,0)</f>
        <v/>
      </c>
      <c r="N643" s="33">
        <f>L643+M643</f>
        <v/>
      </c>
      <c r="O643" s="31">
        <f>N643*G643</f>
        <v/>
      </c>
      <c r="P643" s="33">
        <f>(N643-O643)*(1-(1-H643)^(1/12))</f>
        <v/>
      </c>
      <c r="Q643" s="34">
        <f>X642+Z642</f>
        <v/>
      </c>
      <c r="R643" s="29">
        <f>(1-LoadPremRate)*E643</f>
        <v/>
      </c>
      <c r="S643" s="34">
        <f>Q643+R643</f>
        <v/>
      </c>
      <c r="T643" s="29">
        <f>MaintFeeRateAnn/12*S643</f>
        <v/>
      </c>
      <c r="U643" s="29">
        <f>MAX(SumAssured-S643,0)</f>
        <v/>
      </c>
      <c r="V643" s="35">
        <f>CoiMultiple*G643</f>
        <v/>
      </c>
      <c r="W643" s="34">
        <f>V643*U643</f>
        <v/>
      </c>
      <c r="X643" s="34">
        <f>S643-T643-W643</f>
        <v/>
      </c>
      <c r="Y643" s="36">
        <f>EXP((Mu-0.5*Sigma^2)/12+Sigma*SQRT(1/12)*INDEX(NormRand,ScenID,A643+1))-1</f>
        <v/>
      </c>
      <c r="Z643" s="34">
        <f>Y643*X643</f>
        <v/>
      </c>
      <c r="AA643" s="34">
        <f>X643+0.5*Z643</f>
        <v/>
      </c>
      <c r="AB643" s="34">
        <f>Q643*J643</f>
        <v/>
      </c>
      <c r="AC643" s="34">
        <f>Q643*L643</f>
        <v/>
      </c>
      <c r="AD643" s="34">
        <f>S643*N643</f>
        <v/>
      </c>
      <c r="AE643" s="34">
        <f>E643*N643</f>
        <v/>
      </c>
      <c r="AF643" s="34">
        <f>R643*N643</f>
        <v/>
      </c>
      <c r="AG643" s="29">
        <f>MAX(SumAssured,AA643)</f>
        <v/>
      </c>
      <c r="AH643" s="34">
        <f>AG643*O643</f>
        <v/>
      </c>
      <c r="AI643" s="34">
        <f>AA643*O643</f>
        <v/>
      </c>
      <c r="AJ643" s="34">
        <f>AA643*P643</f>
        <v/>
      </c>
      <c r="AK643" s="34">
        <f>I643*AA643*P643</f>
        <v/>
      </c>
      <c r="AL643" s="34">
        <f>AJ643-AK643</f>
        <v/>
      </c>
      <c r="AM643" s="34">
        <f>Q643*K643</f>
        <v/>
      </c>
      <c r="AN643" s="34">
        <f>AH643+AL643+AM643</f>
        <v/>
      </c>
      <c r="AO643" s="34">
        <f>(AG643-AA643)*O643</f>
        <v/>
      </c>
      <c r="AP643" s="34">
        <f>W643*N643</f>
        <v/>
      </c>
      <c r="AQ643" s="34">
        <f>T643*N643</f>
        <v/>
      </c>
      <c r="AR643" s="34">
        <f>Z643*J644+0.5*Z643*(O643+P643)</f>
        <v/>
      </c>
      <c r="AS643" s="30">
        <f>(1+InflationRate)^(A643/12)</f>
        <v/>
      </c>
      <c r="AT643" s="29">
        <f>ExpenseAcq*M643+N643*ExpenseMaint/12*AS643</f>
        <v/>
      </c>
      <c r="AU643" s="29">
        <f>CommissionRate*AE643</f>
        <v/>
      </c>
      <c r="AV643" s="34">
        <f>AB644-AB643</f>
        <v/>
      </c>
      <c r="AW643" s="34">
        <f>AE643+AR643-AN643-AT643-AU643-AV643</f>
        <v/>
      </c>
      <c r="AX643" s="29">
        <f>LoadPremRate*E643*N643+AK643+AQ643-AU643-AT643</f>
        <v/>
      </c>
      <c r="AY643" s="34">
        <f>AP643-AO643</f>
        <v/>
      </c>
      <c r="AZ643" s="37">
        <f>(AW643-AX643-AY643)/MAX(1,ABS(AW643),ABS(AX643),ABS(AY643))</f>
        <v/>
      </c>
      <c r="BA643" s="37">
        <f>IF(OR(K643&gt;0,K644&gt;0),0,(AC644-(AC643+AF643-AQ643-AP643+AR643-AI643-AJ643-AM643))/MAX(1,ABS(AC643),ABS(AC644)))</f>
        <v/>
      </c>
      <c r="BB643" s="35">
        <f>(1+INDEX(DiscRateAnn,INT(A643/12)+1))^(1/12)-1</f>
        <v/>
      </c>
      <c r="BC643" s="31">
        <f>(1+BB643)^-A643</f>
        <v/>
      </c>
      <c r="BD643" s="34">
        <f>AW643*BC643</f>
        <v/>
      </c>
    </row>
    <row r="644">
      <c r="A644" s="27">
        <f>A643+1</f>
        <v/>
      </c>
      <c r="B644" s="28">
        <f>Duration0+A644</f>
        <v/>
      </c>
      <c r="C644" s="27">
        <f>INT(B644/12)</f>
        <v/>
      </c>
      <c r="D644" s="28">
        <f>AgeAtEntry+C644</f>
        <v/>
      </c>
      <c r="E644" s="29">
        <f>IF(PremiumType="SINGLE",IF(B644=0,PremiumPPInput,0),IF(B644&lt;12*PolicyTerm,PremiumPPInput,0))</f>
        <v/>
      </c>
      <c r="F644" s="30">
        <f>INDEX(MortRates,MATCH(MIN(D644,120),MortAges,0),MAX(MIN(C644,5),0)+1)</f>
        <v/>
      </c>
      <c r="G644" s="31">
        <f>1-(1-F644)^(1/12)</f>
        <v/>
      </c>
      <c r="H644" s="32">
        <f>MAX(LapseBase-LapseStep*C644,LapseFloor)</f>
        <v/>
      </c>
      <c r="I644" s="32">
        <f>IF(HasSurrCharge,INDEX(SurrRates,MIN(C644,SurrDurMax)+1,MATCH(SurrChargeID,SurrTypes,0)),0)</f>
        <v/>
      </c>
      <c r="J644" s="33">
        <f>N643-P643-O643</f>
        <v/>
      </c>
      <c r="K644" s="30">
        <f>IF(B644=12*PolicyTerm,J644,0)</f>
        <v/>
      </c>
      <c r="L644" s="33">
        <f>J644-K644</f>
        <v/>
      </c>
      <c r="M644" s="30">
        <f>IF(B644=0,PolicyCount,0)</f>
        <v/>
      </c>
      <c r="N644" s="33">
        <f>L644+M644</f>
        <v/>
      </c>
      <c r="O644" s="31">
        <f>N644*G644</f>
        <v/>
      </c>
      <c r="P644" s="33">
        <f>(N644-O644)*(1-(1-H644)^(1/12))</f>
        <v/>
      </c>
      <c r="Q644" s="34">
        <f>X643+Z643</f>
        <v/>
      </c>
      <c r="R644" s="29">
        <f>(1-LoadPremRate)*E644</f>
        <v/>
      </c>
      <c r="S644" s="34">
        <f>Q644+R644</f>
        <v/>
      </c>
      <c r="T644" s="29">
        <f>MaintFeeRateAnn/12*S644</f>
        <v/>
      </c>
      <c r="U644" s="29">
        <f>MAX(SumAssured-S644,0)</f>
        <v/>
      </c>
      <c r="V644" s="35">
        <f>CoiMultiple*G644</f>
        <v/>
      </c>
      <c r="W644" s="34">
        <f>V644*U644</f>
        <v/>
      </c>
      <c r="X644" s="34">
        <f>S644-T644-W644</f>
        <v/>
      </c>
      <c r="Y644" s="36">
        <f>EXP((Mu-0.5*Sigma^2)/12+Sigma*SQRT(1/12)*INDEX(NormRand,ScenID,A644+1))-1</f>
        <v/>
      </c>
      <c r="Z644" s="34">
        <f>Y644*X644</f>
        <v/>
      </c>
      <c r="AA644" s="34">
        <f>X644+0.5*Z644</f>
        <v/>
      </c>
      <c r="AB644" s="34">
        <f>Q644*J644</f>
        <v/>
      </c>
      <c r="AC644" s="34">
        <f>Q644*L644</f>
        <v/>
      </c>
      <c r="AD644" s="34">
        <f>S644*N644</f>
        <v/>
      </c>
      <c r="AE644" s="34">
        <f>E644*N644</f>
        <v/>
      </c>
      <c r="AF644" s="34">
        <f>R644*N644</f>
        <v/>
      </c>
      <c r="AG644" s="29">
        <f>MAX(SumAssured,AA644)</f>
        <v/>
      </c>
      <c r="AH644" s="34">
        <f>AG644*O644</f>
        <v/>
      </c>
      <c r="AI644" s="34">
        <f>AA644*O644</f>
        <v/>
      </c>
      <c r="AJ644" s="34">
        <f>AA644*P644</f>
        <v/>
      </c>
      <c r="AK644" s="34">
        <f>I644*AA644*P644</f>
        <v/>
      </c>
      <c r="AL644" s="34">
        <f>AJ644-AK644</f>
        <v/>
      </c>
      <c r="AM644" s="34">
        <f>Q644*K644</f>
        <v/>
      </c>
      <c r="AN644" s="34">
        <f>AH644+AL644+AM644</f>
        <v/>
      </c>
      <c r="AO644" s="34">
        <f>(AG644-AA644)*O644</f>
        <v/>
      </c>
      <c r="AP644" s="34">
        <f>W644*N644</f>
        <v/>
      </c>
      <c r="AQ644" s="34">
        <f>T644*N644</f>
        <v/>
      </c>
      <c r="AR644" s="34">
        <f>Z644*J645+0.5*Z644*(O644+P644)</f>
        <v/>
      </c>
      <c r="AS644" s="30">
        <f>(1+InflationRate)^(A644/12)</f>
        <v/>
      </c>
      <c r="AT644" s="29">
        <f>ExpenseAcq*M644+N644*ExpenseMaint/12*AS644</f>
        <v/>
      </c>
      <c r="AU644" s="29">
        <f>CommissionRate*AE644</f>
        <v/>
      </c>
      <c r="AV644" s="34">
        <f>AB645-AB644</f>
        <v/>
      </c>
      <c r="AW644" s="34">
        <f>AE644+AR644-AN644-AT644-AU644-AV644</f>
        <v/>
      </c>
      <c r="AX644" s="29">
        <f>LoadPremRate*E644*N644+AK644+AQ644-AU644-AT644</f>
        <v/>
      </c>
      <c r="AY644" s="34">
        <f>AP644-AO644</f>
        <v/>
      </c>
      <c r="AZ644" s="37">
        <f>(AW644-AX644-AY644)/MAX(1,ABS(AW644),ABS(AX644),ABS(AY644))</f>
        <v/>
      </c>
      <c r="BA644" s="37">
        <f>IF(OR(K644&gt;0,K645&gt;0),0,(AC645-(AC644+AF644-AQ644-AP644+AR644-AI644-AJ644-AM644))/MAX(1,ABS(AC644),ABS(AC645)))</f>
        <v/>
      </c>
      <c r="BB644" s="35">
        <f>(1+INDEX(DiscRateAnn,INT(A644/12)+1))^(1/12)-1</f>
        <v/>
      </c>
      <c r="BC644" s="31">
        <f>(1+BB644)^-A644</f>
        <v/>
      </c>
      <c r="BD644" s="34">
        <f>AW644*BC644</f>
        <v/>
      </c>
    </row>
    <row r="645">
      <c r="A645" s="27">
        <f>A644+1</f>
        <v/>
      </c>
      <c r="B645" s="28">
        <f>Duration0+A645</f>
        <v/>
      </c>
      <c r="C645" s="27">
        <f>INT(B645/12)</f>
        <v/>
      </c>
      <c r="D645" s="28">
        <f>AgeAtEntry+C645</f>
        <v/>
      </c>
      <c r="E645" s="29">
        <f>IF(PremiumType="SINGLE",IF(B645=0,PremiumPPInput,0),IF(B645&lt;12*PolicyTerm,PremiumPPInput,0))</f>
        <v/>
      </c>
      <c r="F645" s="30">
        <f>INDEX(MortRates,MATCH(MIN(D645,120),MortAges,0),MAX(MIN(C645,5),0)+1)</f>
        <v/>
      </c>
      <c r="G645" s="31">
        <f>1-(1-F645)^(1/12)</f>
        <v/>
      </c>
      <c r="H645" s="32">
        <f>MAX(LapseBase-LapseStep*C645,LapseFloor)</f>
        <v/>
      </c>
      <c r="I645" s="32">
        <f>IF(HasSurrCharge,INDEX(SurrRates,MIN(C645,SurrDurMax)+1,MATCH(SurrChargeID,SurrTypes,0)),0)</f>
        <v/>
      </c>
      <c r="J645" s="33">
        <f>N644-P644-O644</f>
        <v/>
      </c>
      <c r="K645" s="30">
        <f>IF(B645=12*PolicyTerm,J645,0)</f>
        <v/>
      </c>
      <c r="L645" s="33">
        <f>J645-K645</f>
        <v/>
      </c>
      <c r="M645" s="30">
        <f>IF(B645=0,PolicyCount,0)</f>
        <v/>
      </c>
      <c r="N645" s="33">
        <f>L645+M645</f>
        <v/>
      </c>
      <c r="O645" s="31">
        <f>N645*G645</f>
        <v/>
      </c>
      <c r="P645" s="33">
        <f>(N645-O645)*(1-(1-H645)^(1/12))</f>
        <v/>
      </c>
      <c r="Q645" s="34">
        <f>X644+Z644</f>
        <v/>
      </c>
      <c r="R645" s="29">
        <f>(1-LoadPremRate)*E645</f>
        <v/>
      </c>
      <c r="S645" s="34">
        <f>Q645+R645</f>
        <v/>
      </c>
      <c r="T645" s="29">
        <f>MaintFeeRateAnn/12*S645</f>
        <v/>
      </c>
      <c r="U645" s="29">
        <f>MAX(SumAssured-S645,0)</f>
        <v/>
      </c>
      <c r="V645" s="35">
        <f>CoiMultiple*G645</f>
        <v/>
      </c>
      <c r="W645" s="34">
        <f>V645*U645</f>
        <v/>
      </c>
      <c r="X645" s="34">
        <f>S645-T645-W645</f>
        <v/>
      </c>
      <c r="Y645" s="36">
        <f>EXP((Mu-0.5*Sigma^2)/12+Sigma*SQRT(1/12)*INDEX(NormRand,ScenID,A645+1))-1</f>
        <v/>
      </c>
      <c r="Z645" s="34">
        <f>Y645*X645</f>
        <v/>
      </c>
      <c r="AA645" s="34">
        <f>X645+0.5*Z645</f>
        <v/>
      </c>
      <c r="AB645" s="34">
        <f>Q645*J645</f>
        <v/>
      </c>
      <c r="AC645" s="34">
        <f>Q645*L645</f>
        <v/>
      </c>
      <c r="AD645" s="34">
        <f>S645*N645</f>
        <v/>
      </c>
      <c r="AE645" s="34">
        <f>E645*N645</f>
        <v/>
      </c>
      <c r="AF645" s="34">
        <f>R645*N645</f>
        <v/>
      </c>
      <c r="AG645" s="29">
        <f>MAX(SumAssured,AA645)</f>
        <v/>
      </c>
      <c r="AH645" s="34">
        <f>AG645*O645</f>
        <v/>
      </c>
      <c r="AI645" s="34">
        <f>AA645*O645</f>
        <v/>
      </c>
      <c r="AJ645" s="34">
        <f>AA645*P645</f>
        <v/>
      </c>
      <c r="AK645" s="34">
        <f>I645*AA645*P645</f>
        <v/>
      </c>
      <c r="AL645" s="34">
        <f>AJ645-AK645</f>
        <v/>
      </c>
      <c r="AM645" s="34">
        <f>Q645*K645</f>
        <v/>
      </c>
      <c r="AN645" s="34">
        <f>AH645+AL645+AM645</f>
        <v/>
      </c>
      <c r="AO645" s="34">
        <f>(AG645-AA645)*O645</f>
        <v/>
      </c>
      <c r="AP645" s="34">
        <f>W645*N645</f>
        <v/>
      </c>
      <c r="AQ645" s="34">
        <f>T645*N645</f>
        <v/>
      </c>
      <c r="AR645" s="34">
        <f>Z645*J646+0.5*Z645*(O645+P645)</f>
        <v/>
      </c>
      <c r="AS645" s="30">
        <f>(1+InflationRate)^(A645/12)</f>
        <v/>
      </c>
      <c r="AT645" s="29">
        <f>ExpenseAcq*M645+N645*ExpenseMaint/12*AS645</f>
        <v/>
      </c>
      <c r="AU645" s="29">
        <f>CommissionRate*AE645</f>
        <v/>
      </c>
      <c r="AV645" s="34">
        <f>AB646-AB645</f>
        <v/>
      </c>
      <c r="AW645" s="34">
        <f>AE645+AR645-AN645-AT645-AU645-AV645</f>
        <v/>
      </c>
      <c r="AX645" s="29">
        <f>LoadPremRate*E645*N645+AK645+AQ645-AU645-AT645</f>
        <v/>
      </c>
      <c r="AY645" s="34">
        <f>AP645-AO645</f>
        <v/>
      </c>
      <c r="AZ645" s="37">
        <f>(AW645-AX645-AY645)/MAX(1,ABS(AW645),ABS(AX645),ABS(AY645))</f>
        <v/>
      </c>
      <c r="BA645" s="37">
        <f>IF(OR(K645&gt;0,K646&gt;0),0,(AC646-(AC645+AF645-AQ645-AP645+AR645-AI645-AJ645-AM645))/MAX(1,ABS(AC645),ABS(AC646)))</f>
        <v/>
      </c>
      <c r="BB645" s="35">
        <f>(1+INDEX(DiscRateAnn,INT(A645/12)+1))^(1/12)-1</f>
        <v/>
      </c>
      <c r="BC645" s="31">
        <f>(1+BB645)^-A645</f>
        <v/>
      </c>
      <c r="BD645" s="34">
        <f>AW645*BC645</f>
        <v/>
      </c>
    </row>
    <row r="646">
      <c r="A646" s="27">
        <f>A645+1</f>
        <v/>
      </c>
      <c r="B646" s="28">
        <f>Duration0+A646</f>
        <v/>
      </c>
      <c r="C646" s="27">
        <f>INT(B646/12)</f>
        <v/>
      </c>
      <c r="D646" s="28">
        <f>AgeAtEntry+C646</f>
        <v/>
      </c>
      <c r="E646" s="29">
        <f>IF(PremiumType="SINGLE",IF(B646=0,PremiumPPInput,0),IF(B646&lt;12*PolicyTerm,PremiumPPInput,0))</f>
        <v/>
      </c>
      <c r="F646" s="30">
        <f>INDEX(MortRates,MATCH(MIN(D646,120),MortAges,0),MAX(MIN(C646,5),0)+1)</f>
        <v/>
      </c>
      <c r="G646" s="31">
        <f>1-(1-F646)^(1/12)</f>
        <v/>
      </c>
      <c r="H646" s="32">
        <f>MAX(LapseBase-LapseStep*C646,LapseFloor)</f>
        <v/>
      </c>
      <c r="I646" s="32">
        <f>IF(HasSurrCharge,INDEX(SurrRates,MIN(C646,SurrDurMax)+1,MATCH(SurrChargeID,SurrTypes,0)),0)</f>
        <v/>
      </c>
      <c r="J646" s="33">
        <f>N645-P645-O645</f>
        <v/>
      </c>
      <c r="K646" s="30">
        <f>IF(B646=12*PolicyTerm,J646,0)</f>
        <v/>
      </c>
      <c r="L646" s="33">
        <f>J646-K646</f>
        <v/>
      </c>
      <c r="M646" s="30">
        <f>IF(B646=0,PolicyCount,0)</f>
        <v/>
      </c>
      <c r="N646" s="33">
        <f>L646+M646</f>
        <v/>
      </c>
      <c r="O646" s="31">
        <f>N646*G646</f>
        <v/>
      </c>
      <c r="P646" s="33">
        <f>(N646-O646)*(1-(1-H646)^(1/12))</f>
        <v/>
      </c>
      <c r="Q646" s="34">
        <f>X645+Z645</f>
        <v/>
      </c>
      <c r="R646" s="29">
        <f>(1-LoadPremRate)*E646</f>
        <v/>
      </c>
      <c r="S646" s="34">
        <f>Q646+R646</f>
        <v/>
      </c>
      <c r="T646" s="29">
        <f>MaintFeeRateAnn/12*S646</f>
        <v/>
      </c>
      <c r="U646" s="29">
        <f>MAX(SumAssured-S646,0)</f>
        <v/>
      </c>
      <c r="V646" s="35">
        <f>CoiMultiple*G646</f>
        <v/>
      </c>
      <c r="W646" s="34">
        <f>V646*U646</f>
        <v/>
      </c>
      <c r="X646" s="34">
        <f>S646-T646-W646</f>
        <v/>
      </c>
      <c r="Y646" s="36">
        <f>EXP((Mu-0.5*Sigma^2)/12+Sigma*SQRT(1/12)*INDEX(NormRand,ScenID,A646+1))-1</f>
        <v/>
      </c>
      <c r="Z646" s="34">
        <f>Y646*X646</f>
        <v/>
      </c>
      <c r="AA646" s="34">
        <f>X646+0.5*Z646</f>
        <v/>
      </c>
      <c r="AB646" s="34">
        <f>Q646*J646</f>
        <v/>
      </c>
      <c r="AC646" s="34">
        <f>Q646*L646</f>
        <v/>
      </c>
      <c r="AD646" s="34">
        <f>S646*N646</f>
        <v/>
      </c>
      <c r="AE646" s="34">
        <f>E646*N646</f>
        <v/>
      </c>
      <c r="AF646" s="34">
        <f>R646*N646</f>
        <v/>
      </c>
      <c r="AG646" s="29">
        <f>MAX(SumAssured,AA646)</f>
        <v/>
      </c>
      <c r="AH646" s="34">
        <f>AG646*O646</f>
        <v/>
      </c>
      <c r="AI646" s="34">
        <f>AA646*O646</f>
        <v/>
      </c>
      <c r="AJ646" s="34">
        <f>AA646*P646</f>
        <v/>
      </c>
      <c r="AK646" s="34">
        <f>I646*AA646*P646</f>
        <v/>
      </c>
      <c r="AL646" s="34">
        <f>AJ646-AK646</f>
        <v/>
      </c>
      <c r="AM646" s="34">
        <f>Q646*K646</f>
        <v/>
      </c>
      <c r="AN646" s="34">
        <f>AH646+AL646+AM646</f>
        <v/>
      </c>
      <c r="AO646" s="34">
        <f>(AG646-AA646)*O646</f>
        <v/>
      </c>
      <c r="AP646" s="34">
        <f>W646*N646</f>
        <v/>
      </c>
      <c r="AQ646" s="34">
        <f>T646*N646</f>
        <v/>
      </c>
      <c r="AR646" s="34">
        <f>Z646*J647+0.5*Z646*(O646+P646)</f>
        <v/>
      </c>
      <c r="AS646" s="30">
        <f>(1+InflationRate)^(A646/12)</f>
        <v/>
      </c>
      <c r="AT646" s="29">
        <f>ExpenseAcq*M646+N646*ExpenseMaint/12*AS646</f>
        <v/>
      </c>
      <c r="AU646" s="29">
        <f>CommissionRate*AE646</f>
        <v/>
      </c>
      <c r="AV646" s="34">
        <f>AB647-AB646</f>
        <v/>
      </c>
      <c r="AW646" s="34">
        <f>AE646+AR646-AN646-AT646-AU646-AV646</f>
        <v/>
      </c>
      <c r="AX646" s="29">
        <f>LoadPremRate*E646*N646+AK646+AQ646-AU646-AT646</f>
        <v/>
      </c>
      <c r="AY646" s="34">
        <f>AP646-AO646</f>
        <v/>
      </c>
      <c r="AZ646" s="37">
        <f>(AW646-AX646-AY646)/MAX(1,ABS(AW646),ABS(AX646),ABS(AY646))</f>
        <v/>
      </c>
      <c r="BA646" s="37">
        <f>IF(OR(K646&gt;0,K647&gt;0),0,(AC647-(AC646+AF646-AQ646-AP646+AR646-AI646-AJ646-AM646))/MAX(1,ABS(AC646),ABS(AC647)))</f>
        <v/>
      </c>
      <c r="BB646" s="35">
        <f>(1+INDEX(DiscRateAnn,INT(A646/12)+1))^(1/12)-1</f>
        <v/>
      </c>
      <c r="BC646" s="31">
        <f>(1+BB646)^-A646</f>
        <v/>
      </c>
      <c r="BD646" s="34">
        <f>AW646*BC646</f>
        <v/>
      </c>
    </row>
    <row r="647">
      <c r="A647" s="27">
        <f>A646+1</f>
        <v/>
      </c>
      <c r="B647" s="28">
        <f>Duration0+A647</f>
        <v/>
      </c>
      <c r="C647" s="27">
        <f>INT(B647/12)</f>
        <v/>
      </c>
      <c r="D647" s="28">
        <f>AgeAtEntry+C647</f>
        <v/>
      </c>
      <c r="E647" s="29">
        <f>IF(PremiumType="SINGLE",IF(B647=0,PremiumPPInput,0),IF(B647&lt;12*PolicyTerm,PremiumPPInput,0))</f>
        <v/>
      </c>
      <c r="F647" s="30">
        <f>INDEX(MortRates,MATCH(MIN(D647,120),MortAges,0),MAX(MIN(C647,5),0)+1)</f>
        <v/>
      </c>
      <c r="G647" s="31">
        <f>1-(1-F647)^(1/12)</f>
        <v/>
      </c>
      <c r="H647" s="32">
        <f>MAX(LapseBase-LapseStep*C647,LapseFloor)</f>
        <v/>
      </c>
      <c r="I647" s="32">
        <f>IF(HasSurrCharge,INDEX(SurrRates,MIN(C647,SurrDurMax)+1,MATCH(SurrChargeID,SurrTypes,0)),0)</f>
        <v/>
      </c>
      <c r="J647" s="33">
        <f>N646-P646-O646</f>
        <v/>
      </c>
      <c r="K647" s="30">
        <f>IF(B647=12*PolicyTerm,J647,0)</f>
        <v/>
      </c>
      <c r="L647" s="33">
        <f>J647-K647</f>
        <v/>
      </c>
      <c r="M647" s="30">
        <f>IF(B647=0,PolicyCount,0)</f>
        <v/>
      </c>
      <c r="N647" s="33">
        <f>L647+M647</f>
        <v/>
      </c>
      <c r="O647" s="31">
        <f>N647*G647</f>
        <v/>
      </c>
      <c r="P647" s="33">
        <f>(N647-O647)*(1-(1-H647)^(1/12))</f>
        <v/>
      </c>
      <c r="Q647" s="34">
        <f>X646+Z646</f>
        <v/>
      </c>
      <c r="R647" s="29">
        <f>(1-LoadPremRate)*E647</f>
        <v/>
      </c>
      <c r="S647" s="34">
        <f>Q647+R647</f>
        <v/>
      </c>
      <c r="T647" s="29">
        <f>MaintFeeRateAnn/12*S647</f>
        <v/>
      </c>
      <c r="U647" s="29">
        <f>MAX(SumAssured-S647,0)</f>
        <v/>
      </c>
      <c r="V647" s="35">
        <f>CoiMultiple*G647</f>
        <v/>
      </c>
      <c r="W647" s="34">
        <f>V647*U647</f>
        <v/>
      </c>
      <c r="X647" s="34">
        <f>S647-T647-W647</f>
        <v/>
      </c>
      <c r="Y647" s="36">
        <f>EXP((Mu-0.5*Sigma^2)/12+Sigma*SQRT(1/12)*INDEX(NormRand,ScenID,A647+1))-1</f>
        <v/>
      </c>
      <c r="Z647" s="34">
        <f>Y647*X647</f>
        <v/>
      </c>
      <c r="AA647" s="34">
        <f>X647+0.5*Z647</f>
        <v/>
      </c>
      <c r="AB647" s="34">
        <f>Q647*J647</f>
        <v/>
      </c>
      <c r="AC647" s="34">
        <f>Q647*L647</f>
        <v/>
      </c>
      <c r="AD647" s="34">
        <f>S647*N647</f>
        <v/>
      </c>
      <c r="AE647" s="34">
        <f>E647*N647</f>
        <v/>
      </c>
      <c r="AF647" s="34">
        <f>R647*N647</f>
        <v/>
      </c>
      <c r="AG647" s="29">
        <f>MAX(SumAssured,AA647)</f>
        <v/>
      </c>
      <c r="AH647" s="34">
        <f>AG647*O647</f>
        <v/>
      </c>
      <c r="AI647" s="34">
        <f>AA647*O647</f>
        <v/>
      </c>
      <c r="AJ647" s="34">
        <f>AA647*P647</f>
        <v/>
      </c>
      <c r="AK647" s="34">
        <f>I647*AA647*P647</f>
        <v/>
      </c>
      <c r="AL647" s="34">
        <f>AJ647-AK647</f>
        <v/>
      </c>
      <c r="AM647" s="34">
        <f>Q647*K647</f>
        <v/>
      </c>
      <c r="AN647" s="34">
        <f>AH647+AL647+AM647</f>
        <v/>
      </c>
      <c r="AO647" s="34">
        <f>(AG647-AA647)*O647</f>
        <v/>
      </c>
      <c r="AP647" s="34">
        <f>W647*N647</f>
        <v/>
      </c>
      <c r="AQ647" s="34">
        <f>T647*N647</f>
        <v/>
      </c>
      <c r="AR647" s="34">
        <f>Z647*J648+0.5*Z647*(O647+P647)</f>
        <v/>
      </c>
      <c r="AS647" s="30">
        <f>(1+InflationRate)^(A647/12)</f>
        <v/>
      </c>
      <c r="AT647" s="29">
        <f>ExpenseAcq*M647+N647*ExpenseMaint/12*AS647</f>
        <v/>
      </c>
      <c r="AU647" s="29">
        <f>CommissionRate*AE647</f>
        <v/>
      </c>
      <c r="AV647" s="34">
        <f>AB648-AB647</f>
        <v/>
      </c>
      <c r="AW647" s="34">
        <f>AE647+AR647-AN647-AT647-AU647-AV647</f>
        <v/>
      </c>
      <c r="AX647" s="29">
        <f>LoadPremRate*E647*N647+AK647+AQ647-AU647-AT647</f>
        <v/>
      </c>
      <c r="AY647" s="34">
        <f>AP647-AO647</f>
        <v/>
      </c>
      <c r="AZ647" s="37">
        <f>(AW647-AX647-AY647)/MAX(1,ABS(AW647),ABS(AX647),ABS(AY647))</f>
        <v/>
      </c>
      <c r="BA647" s="37">
        <f>IF(OR(K647&gt;0,K648&gt;0),0,(AC648-(AC647+AF647-AQ647-AP647+AR647-AI647-AJ647-AM647))/MAX(1,ABS(AC647),ABS(AC648)))</f>
        <v/>
      </c>
      <c r="BB647" s="35">
        <f>(1+INDEX(DiscRateAnn,INT(A647/12)+1))^(1/12)-1</f>
        <v/>
      </c>
      <c r="BC647" s="31">
        <f>(1+BB647)^-A647</f>
        <v/>
      </c>
      <c r="BD647" s="34">
        <f>AW647*BC647</f>
        <v/>
      </c>
    </row>
    <row r="648">
      <c r="A648" s="27">
        <f>A647+1</f>
        <v/>
      </c>
      <c r="B648" s="28">
        <f>Duration0+A648</f>
        <v/>
      </c>
      <c r="C648" s="27">
        <f>INT(B648/12)</f>
        <v/>
      </c>
      <c r="D648" s="28">
        <f>AgeAtEntry+C648</f>
        <v/>
      </c>
      <c r="E648" s="29">
        <f>IF(PremiumType="SINGLE",IF(B648=0,PremiumPPInput,0),IF(B648&lt;12*PolicyTerm,PremiumPPInput,0))</f>
        <v/>
      </c>
      <c r="F648" s="30">
        <f>INDEX(MortRates,MATCH(MIN(D648,120),MortAges,0),MAX(MIN(C648,5),0)+1)</f>
        <v/>
      </c>
      <c r="G648" s="31">
        <f>1-(1-F648)^(1/12)</f>
        <v/>
      </c>
      <c r="H648" s="32">
        <f>MAX(LapseBase-LapseStep*C648,LapseFloor)</f>
        <v/>
      </c>
      <c r="I648" s="32">
        <f>IF(HasSurrCharge,INDEX(SurrRates,MIN(C648,SurrDurMax)+1,MATCH(SurrChargeID,SurrTypes,0)),0)</f>
        <v/>
      </c>
      <c r="J648" s="33">
        <f>N647-P647-O647</f>
        <v/>
      </c>
      <c r="K648" s="30">
        <f>IF(B648=12*PolicyTerm,J648,0)</f>
        <v/>
      </c>
      <c r="L648" s="33">
        <f>J648-K648</f>
        <v/>
      </c>
      <c r="M648" s="30">
        <f>IF(B648=0,PolicyCount,0)</f>
        <v/>
      </c>
      <c r="N648" s="33">
        <f>L648+M648</f>
        <v/>
      </c>
      <c r="O648" s="31">
        <f>N648*G648</f>
        <v/>
      </c>
      <c r="P648" s="33">
        <f>(N648-O648)*(1-(1-H648)^(1/12))</f>
        <v/>
      </c>
      <c r="Q648" s="34">
        <f>X647+Z647</f>
        <v/>
      </c>
      <c r="R648" s="29">
        <f>(1-LoadPremRate)*E648</f>
        <v/>
      </c>
      <c r="S648" s="34">
        <f>Q648+R648</f>
        <v/>
      </c>
      <c r="T648" s="29">
        <f>MaintFeeRateAnn/12*S648</f>
        <v/>
      </c>
      <c r="U648" s="29">
        <f>MAX(SumAssured-S648,0)</f>
        <v/>
      </c>
      <c r="V648" s="35">
        <f>CoiMultiple*G648</f>
        <v/>
      </c>
      <c r="W648" s="34">
        <f>V648*U648</f>
        <v/>
      </c>
      <c r="X648" s="34">
        <f>S648-T648-W648</f>
        <v/>
      </c>
      <c r="Y648" s="36">
        <f>EXP((Mu-0.5*Sigma^2)/12+Sigma*SQRT(1/12)*INDEX(NormRand,ScenID,A648+1))-1</f>
        <v/>
      </c>
      <c r="Z648" s="34">
        <f>Y648*X648</f>
        <v/>
      </c>
      <c r="AA648" s="34">
        <f>X648+0.5*Z648</f>
        <v/>
      </c>
      <c r="AB648" s="34">
        <f>Q648*J648</f>
        <v/>
      </c>
      <c r="AC648" s="34">
        <f>Q648*L648</f>
        <v/>
      </c>
      <c r="AD648" s="34">
        <f>S648*N648</f>
        <v/>
      </c>
      <c r="AE648" s="34">
        <f>E648*N648</f>
        <v/>
      </c>
      <c r="AF648" s="34">
        <f>R648*N648</f>
        <v/>
      </c>
      <c r="AG648" s="29">
        <f>MAX(SumAssured,AA648)</f>
        <v/>
      </c>
      <c r="AH648" s="34">
        <f>AG648*O648</f>
        <v/>
      </c>
      <c r="AI648" s="34">
        <f>AA648*O648</f>
        <v/>
      </c>
      <c r="AJ648" s="34">
        <f>AA648*P648</f>
        <v/>
      </c>
      <c r="AK648" s="34">
        <f>I648*AA648*P648</f>
        <v/>
      </c>
      <c r="AL648" s="34">
        <f>AJ648-AK648</f>
        <v/>
      </c>
      <c r="AM648" s="34">
        <f>Q648*K648</f>
        <v/>
      </c>
      <c r="AN648" s="34">
        <f>AH648+AL648+AM648</f>
        <v/>
      </c>
      <c r="AO648" s="34">
        <f>(AG648-AA648)*O648</f>
        <v/>
      </c>
      <c r="AP648" s="34">
        <f>W648*N648</f>
        <v/>
      </c>
      <c r="AQ648" s="34">
        <f>T648*N648</f>
        <v/>
      </c>
      <c r="AR648" s="34">
        <f>Z648*J649+0.5*Z648*(O648+P648)</f>
        <v/>
      </c>
      <c r="AS648" s="30">
        <f>(1+InflationRate)^(A648/12)</f>
        <v/>
      </c>
      <c r="AT648" s="29">
        <f>ExpenseAcq*M648+N648*ExpenseMaint/12*AS648</f>
        <v/>
      </c>
      <c r="AU648" s="29">
        <f>CommissionRate*AE648</f>
        <v/>
      </c>
      <c r="AV648" s="34">
        <f>AB649-AB648</f>
        <v/>
      </c>
      <c r="AW648" s="34">
        <f>AE648+AR648-AN648-AT648-AU648-AV648</f>
        <v/>
      </c>
      <c r="AX648" s="29">
        <f>LoadPremRate*E648*N648+AK648+AQ648-AU648-AT648</f>
        <v/>
      </c>
      <c r="AY648" s="34">
        <f>AP648-AO648</f>
        <v/>
      </c>
      <c r="AZ648" s="37">
        <f>(AW648-AX648-AY648)/MAX(1,ABS(AW648),ABS(AX648),ABS(AY648))</f>
        <v/>
      </c>
      <c r="BA648" s="37">
        <f>IF(OR(K648&gt;0,K649&gt;0),0,(AC649-(AC648+AF648-AQ648-AP648+AR648-AI648-AJ648-AM648))/MAX(1,ABS(AC648),ABS(AC649)))</f>
        <v/>
      </c>
      <c r="BB648" s="35">
        <f>(1+INDEX(DiscRateAnn,INT(A648/12)+1))^(1/12)-1</f>
        <v/>
      </c>
      <c r="BC648" s="31">
        <f>(1+BB648)^-A648</f>
        <v/>
      </c>
      <c r="BD648" s="34">
        <f>AW648*BC648</f>
        <v/>
      </c>
    </row>
    <row r="649">
      <c r="A649" s="27">
        <f>A648+1</f>
        <v/>
      </c>
      <c r="B649" s="28">
        <f>Duration0+A649</f>
        <v/>
      </c>
      <c r="C649" s="27">
        <f>INT(B649/12)</f>
        <v/>
      </c>
      <c r="D649" s="28">
        <f>AgeAtEntry+C649</f>
        <v/>
      </c>
      <c r="E649" s="29">
        <f>IF(PremiumType="SINGLE",IF(B649=0,PremiumPPInput,0),IF(B649&lt;12*PolicyTerm,PremiumPPInput,0))</f>
        <v/>
      </c>
      <c r="F649" s="30">
        <f>INDEX(MortRates,MATCH(MIN(D649,120),MortAges,0),MAX(MIN(C649,5),0)+1)</f>
        <v/>
      </c>
      <c r="G649" s="31">
        <f>1-(1-F649)^(1/12)</f>
        <v/>
      </c>
      <c r="H649" s="32">
        <f>MAX(LapseBase-LapseStep*C649,LapseFloor)</f>
        <v/>
      </c>
      <c r="I649" s="32">
        <f>IF(HasSurrCharge,INDEX(SurrRates,MIN(C649,SurrDurMax)+1,MATCH(SurrChargeID,SurrTypes,0)),0)</f>
        <v/>
      </c>
      <c r="J649" s="33">
        <f>N648-P648-O648</f>
        <v/>
      </c>
      <c r="K649" s="30">
        <f>IF(B649=12*PolicyTerm,J649,0)</f>
        <v/>
      </c>
      <c r="L649" s="33">
        <f>J649-K649</f>
        <v/>
      </c>
      <c r="M649" s="30">
        <f>IF(B649=0,PolicyCount,0)</f>
        <v/>
      </c>
      <c r="N649" s="33">
        <f>L649+M649</f>
        <v/>
      </c>
      <c r="O649" s="31">
        <f>N649*G649</f>
        <v/>
      </c>
      <c r="P649" s="33">
        <f>(N649-O649)*(1-(1-H649)^(1/12))</f>
        <v/>
      </c>
      <c r="Q649" s="34">
        <f>X648+Z648</f>
        <v/>
      </c>
      <c r="R649" s="29">
        <f>(1-LoadPremRate)*E649</f>
        <v/>
      </c>
      <c r="S649" s="34">
        <f>Q649+R649</f>
        <v/>
      </c>
      <c r="T649" s="29">
        <f>MaintFeeRateAnn/12*S649</f>
        <v/>
      </c>
      <c r="U649" s="29">
        <f>MAX(SumAssured-S649,0)</f>
        <v/>
      </c>
      <c r="V649" s="35">
        <f>CoiMultiple*G649</f>
        <v/>
      </c>
      <c r="W649" s="34">
        <f>V649*U649</f>
        <v/>
      </c>
      <c r="X649" s="34">
        <f>S649-T649-W649</f>
        <v/>
      </c>
      <c r="Y649" s="36">
        <f>EXP((Mu-0.5*Sigma^2)/12+Sigma*SQRT(1/12)*INDEX(NormRand,ScenID,A649+1))-1</f>
        <v/>
      </c>
      <c r="Z649" s="34">
        <f>Y649*X649</f>
        <v/>
      </c>
      <c r="AA649" s="34">
        <f>X649+0.5*Z649</f>
        <v/>
      </c>
      <c r="AB649" s="34">
        <f>Q649*J649</f>
        <v/>
      </c>
      <c r="AC649" s="34">
        <f>Q649*L649</f>
        <v/>
      </c>
      <c r="AD649" s="34">
        <f>S649*N649</f>
        <v/>
      </c>
      <c r="AE649" s="34">
        <f>E649*N649</f>
        <v/>
      </c>
      <c r="AF649" s="34">
        <f>R649*N649</f>
        <v/>
      </c>
      <c r="AG649" s="29">
        <f>MAX(SumAssured,AA649)</f>
        <v/>
      </c>
      <c r="AH649" s="34">
        <f>AG649*O649</f>
        <v/>
      </c>
      <c r="AI649" s="34">
        <f>AA649*O649</f>
        <v/>
      </c>
      <c r="AJ649" s="34">
        <f>AA649*P649</f>
        <v/>
      </c>
      <c r="AK649" s="34">
        <f>I649*AA649*P649</f>
        <v/>
      </c>
      <c r="AL649" s="34">
        <f>AJ649-AK649</f>
        <v/>
      </c>
      <c r="AM649" s="34">
        <f>Q649*K649</f>
        <v/>
      </c>
      <c r="AN649" s="34">
        <f>AH649+AL649+AM649</f>
        <v/>
      </c>
      <c r="AO649" s="34">
        <f>(AG649-AA649)*O649</f>
        <v/>
      </c>
      <c r="AP649" s="34">
        <f>W649*N649</f>
        <v/>
      </c>
      <c r="AQ649" s="34">
        <f>T649*N649</f>
        <v/>
      </c>
      <c r="AR649" s="34">
        <f>Z649*J650+0.5*Z649*(O649+P649)</f>
        <v/>
      </c>
      <c r="AS649" s="30">
        <f>(1+InflationRate)^(A649/12)</f>
        <v/>
      </c>
      <c r="AT649" s="29">
        <f>ExpenseAcq*M649+N649*ExpenseMaint/12*AS649</f>
        <v/>
      </c>
      <c r="AU649" s="29">
        <f>CommissionRate*AE649</f>
        <v/>
      </c>
      <c r="AV649" s="34">
        <f>AB650-AB649</f>
        <v/>
      </c>
      <c r="AW649" s="34">
        <f>AE649+AR649-AN649-AT649-AU649-AV649</f>
        <v/>
      </c>
      <c r="AX649" s="29">
        <f>LoadPremRate*E649*N649+AK649+AQ649-AU649-AT649</f>
        <v/>
      </c>
      <c r="AY649" s="34">
        <f>AP649-AO649</f>
        <v/>
      </c>
      <c r="AZ649" s="37">
        <f>(AW649-AX649-AY649)/MAX(1,ABS(AW649),ABS(AX649),ABS(AY649))</f>
        <v/>
      </c>
      <c r="BA649" s="37">
        <f>IF(OR(K649&gt;0,K650&gt;0),0,(AC650-(AC649+AF649-AQ649-AP649+AR649-AI649-AJ649-AM649))/MAX(1,ABS(AC649),ABS(AC650)))</f>
        <v/>
      </c>
      <c r="BB649" s="35">
        <f>(1+INDEX(DiscRateAnn,INT(A649/12)+1))^(1/12)-1</f>
        <v/>
      </c>
      <c r="BC649" s="31">
        <f>(1+BB649)^-A649</f>
        <v/>
      </c>
      <c r="BD649" s="34">
        <f>AW649*BC649</f>
        <v/>
      </c>
    </row>
    <row r="650">
      <c r="A650" s="27">
        <f>A649+1</f>
        <v/>
      </c>
      <c r="B650" s="28">
        <f>Duration0+A650</f>
        <v/>
      </c>
      <c r="C650" s="27">
        <f>INT(B650/12)</f>
        <v/>
      </c>
      <c r="D650" s="28">
        <f>AgeAtEntry+C650</f>
        <v/>
      </c>
      <c r="E650" s="29">
        <f>IF(PremiumType="SINGLE",IF(B650=0,PremiumPPInput,0),IF(B650&lt;12*PolicyTerm,PremiumPPInput,0))</f>
        <v/>
      </c>
      <c r="F650" s="30">
        <f>INDEX(MortRates,MATCH(MIN(D650,120),MortAges,0),MAX(MIN(C650,5),0)+1)</f>
        <v/>
      </c>
      <c r="G650" s="31">
        <f>1-(1-F650)^(1/12)</f>
        <v/>
      </c>
      <c r="H650" s="32">
        <f>MAX(LapseBase-LapseStep*C650,LapseFloor)</f>
        <v/>
      </c>
      <c r="I650" s="32">
        <f>IF(HasSurrCharge,INDEX(SurrRates,MIN(C650,SurrDurMax)+1,MATCH(SurrChargeID,SurrTypes,0)),0)</f>
        <v/>
      </c>
      <c r="J650" s="33">
        <f>N649-P649-O649</f>
        <v/>
      </c>
      <c r="K650" s="30">
        <f>IF(B650=12*PolicyTerm,J650,0)</f>
        <v/>
      </c>
      <c r="L650" s="33">
        <f>J650-K650</f>
        <v/>
      </c>
      <c r="M650" s="30">
        <f>IF(B650=0,PolicyCount,0)</f>
        <v/>
      </c>
      <c r="N650" s="33">
        <f>L650+M650</f>
        <v/>
      </c>
      <c r="O650" s="31">
        <f>N650*G650</f>
        <v/>
      </c>
      <c r="P650" s="33">
        <f>(N650-O650)*(1-(1-H650)^(1/12))</f>
        <v/>
      </c>
      <c r="Q650" s="34">
        <f>X649+Z649</f>
        <v/>
      </c>
      <c r="R650" s="29">
        <f>(1-LoadPremRate)*E650</f>
        <v/>
      </c>
      <c r="S650" s="34">
        <f>Q650+R650</f>
        <v/>
      </c>
      <c r="T650" s="29">
        <f>MaintFeeRateAnn/12*S650</f>
        <v/>
      </c>
      <c r="U650" s="29">
        <f>MAX(SumAssured-S650,0)</f>
        <v/>
      </c>
      <c r="V650" s="35">
        <f>CoiMultiple*G650</f>
        <v/>
      </c>
      <c r="W650" s="34">
        <f>V650*U650</f>
        <v/>
      </c>
      <c r="X650" s="34">
        <f>S650-T650-W650</f>
        <v/>
      </c>
      <c r="Y650" s="36">
        <f>EXP((Mu-0.5*Sigma^2)/12+Sigma*SQRT(1/12)*INDEX(NormRand,ScenID,A650+1))-1</f>
        <v/>
      </c>
      <c r="Z650" s="34">
        <f>Y650*X650</f>
        <v/>
      </c>
      <c r="AA650" s="34">
        <f>X650+0.5*Z650</f>
        <v/>
      </c>
      <c r="AB650" s="34">
        <f>Q650*J650</f>
        <v/>
      </c>
      <c r="AC650" s="34">
        <f>Q650*L650</f>
        <v/>
      </c>
      <c r="AD650" s="34">
        <f>S650*N650</f>
        <v/>
      </c>
      <c r="AE650" s="34">
        <f>E650*N650</f>
        <v/>
      </c>
      <c r="AF650" s="34">
        <f>R650*N650</f>
        <v/>
      </c>
      <c r="AG650" s="29">
        <f>MAX(SumAssured,AA650)</f>
        <v/>
      </c>
      <c r="AH650" s="34">
        <f>AG650*O650</f>
        <v/>
      </c>
      <c r="AI650" s="34">
        <f>AA650*O650</f>
        <v/>
      </c>
      <c r="AJ650" s="34">
        <f>AA650*P650</f>
        <v/>
      </c>
      <c r="AK650" s="34">
        <f>I650*AA650*P650</f>
        <v/>
      </c>
      <c r="AL650" s="34">
        <f>AJ650-AK650</f>
        <v/>
      </c>
      <c r="AM650" s="34">
        <f>Q650*K650</f>
        <v/>
      </c>
      <c r="AN650" s="34">
        <f>AH650+AL650+AM650</f>
        <v/>
      </c>
      <c r="AO650" s="34">
        <f>(AG650-AA650)*O650</f>
        <v/>
      </c>
      <c r="AP650" s="34">
        <f>W650*N650</f>
        <v/>
      </c>
      <c r="AQ650" s="34">
        <f>T650*N650</f>
        <v/>
      </c>
      <c r="AR650" s="34">
        <f>Z650*J651+0.5*Z650*(O650+P650)</f>
        <v/>
      </c>
      <c r="AS650" s="30">
        <f>(1+InflationRate)^(A650/12)</f>
        <v/>
      </c>
      <c r="AT650" s="29">
        <f>ExpenseAcq*M650+N650*ExpenseMaint/12*AS650</f>
        <v/>
      </c>
      <c r="AU650" s="29">
        <f>CommissionRate*AE650</f>
        <v/>
      </c>
      <c r="AV650" s="34">
        <f>AB651-AB650</f>
        <v/>
      </c>
      <c r="AW650" s="34">
        <f>AE650+AR650-AN650-AT650-AU650-AV650</f>
        <v/>
      </c>
      <c r="AX650" s="29">
        <f>LoadPremRate*E650*N650+AK650+AQ650-AU650-AT650</f>
        <v/>
      </c>
      <c r="AY650" s="34">
        <f>AP650-AO650</f>
        <v/>
      </c>
      <c r="AZ650" s="37">
        <f>(AW650-AX650-AY650)/MAX(1,ABS(AW650),ABS(AX650),ABS(AY650))</f>
        <v/>
      </c>
      <c r="BA650" s="37">
        <f>IF(OR(K650&gt;0,K651&gt;0),0,(AC651-(AC650+AF650-AQ650-AP650+AR650-AI650-AJ650-AM650))/MAX(1,ABS(AC650),ABS(AC651)))</f>
        <v/>
      </c>
      <c r="BB650" s="35">
        <f>(1+INDEX(DiscRateAnn,INT(A650/12)+1))^(1/12)-1</f>
        <v/>
      </c>
      <c r="BC650" s="31">
        <f>(1+BB650)^-A650</f>
        <v/>
      </c>
      <c r="BD650" s="34">
        <f>AW650*BC650</f>
        <v/>
      </c>
    </row>
    <row r="651">
      <c r="A651" s="27">
        <f>A650+1</f>
        <v/>
      </c>
      <c r="B651" s="28">
        <f>Duration0+A651</f>
        <v/>
      </c>
      <c r="C651" s="27">
        <f>INT(B651/12)</f>
        <v/>
      </c>
      <c r="D651" s="28">
        <f>AgeAtEntry+C651</f>
        <v/>
      </c>
      <c r="E651" s="29">
        <f>IF(PremiumType="SINGLE",IF(B651=0,PremiumPPInput,0),IF(B651&lt;12*PolicyTerm,PremiumPPInput,0))</f>
        <v/>
      </c>
      <c r="F651" s="30">
        <f>INDEX(MortRates,MATCH(MIN(D651,120),MortAges,0),MAX(MIN(C651,5),0)+1)</f>
        <v/>
      </c>
      <c r="G651" s="31">
        <f>1-(1-F651)^(1/12)</f>
        <v/>
      </c>
      <c r="H651" s="32">
        <f>MAX(LapseBase-LapseStep*C651,LapseFloor)</f>
        <v/>
      </c>
      <c r="I651" s="32">
        <f>IF(HasSurrCharge,INDEX(SurrRates,MIN(C651,SurrDurMax)+1,MATCH(SurrChargeID,SurrTypes,0)),0)</f>
        <v/>
      </c>
      <c r="J651" s="33">
        <f>N650-P650-O650</f>
        <v/>
      </c>
      <c r="K651" s="30">
        <f>IF(B651=12*PolicyTerm,J651,0)</f>
        <v/>
      </c>
      <c r="L651" s="33">
        <f>J651-K651</f>
        <v/>
      </c>
      <c r="M651" s="30">
        <f>IF(B651=0,PolicyCount,0)</f>
        <v/>
      </c>
      <c r="N651" s="33">
        <f>L651+M651</f>
        <v/>
      </c>
      <c r="O651" s="31">
        <f>N651*G651</f>
        <v/>
      </c>
      <c r="P651" s="33">
        <f>(N651-O651)*(1-(1-H651)^(1/12))</f>
        <v/>
      </c>
      <c r="Q651" s="34">
        <f>X650+Z650</f>
        <v/>
      </c>
      <c r="R651" s="29">
        <f>(1-LoadPremRate)*E651</f>
        <v/>
      </c>
      <c r="S651" s="34">
        <f>Q651+R651</f>
        <v/>
      </c>
      <c r="T651" s="29">
        <f>MaintFeeRateAnn/12*S651</f>
        <v/>
      </c>
      <c r="U651" s="29">
        <f>MAX(SumAssured-S651,0)</f>
        <v/>
      </c>
      <c r="V651" s="35">
        <f>CoiMultiple*G651</f>
        <v/>
      </c>
      <c r="W651" s="34">
        <f>V651*U651</f>
        <v/>
      </c>
      <c r="X651" s="34">
        <f>S651-T651-W651</f>
        <v/>
      </c>
      <c r="Y651" s="36">
        <f>EXP((Mu-0.5*Sigma^2)/12+Sigma*SQRT(1/12)*INDEX(NormRand,ScenID,A651+1))-1</f>
        <v/>
      </c>
      <c r="Z651" s="34">
        <f>Y651*X651</f>
        <v/>
      </c>
      <c r="AA651" s="34">
        <f>X651+0.5*Z651</f>
        <v/>
      </c>
      <c r="AB651" s="34">
        <f>Q651*J651</f>
        <v/>
      </c>
      <c r="AC651" s="34">
        <f>Q651*L651</f>
        <v/>
      </c>
      <c r="AD651" s="34">
        <f>S651*N651</f>
        <v/>
      </c>
      <c r="AE651" s="34">
        <f>E651*N651</f>
        <v/>
      </c>
      <c r="AF651" s="34">
        <f>R651*N651</f>
        <v/>
      </c>
      <c r="AG651" s="29">
        <f>MAX(SumAssured,AA651)</f>
        <v/>
      </c>
      <c r="AH651" s="34">
        <f>AG651*O651</f>
        <v/>
      </c>
      <c r="AI651" s="34">
        <f>AA651*O651</f>
        <v/>
      </c>
      <c r="AJ651" s="34">
        <f>AA651*P651</f>
        <v/>
      </c>
      <c r="AK651" s="34">
        <f>I651*AA651*P651</f>
        <v/>
      </c>
      <c r="AL651" s="34">
        <f>AJ651-AK651</f>
        <v/>
      </c>
      <c r="AM651" s="34">
        <f>Q651*K651</f>
        <v/>
      </c>
      <c r="AN651" s="34">
        <f>AH651+AL651+AM651</f>
        <v/>
      </c>
      <c r="AO651" s="34">
        <f>(AG651-AA651)*O651</f>
        <v/>
      </c>
      <c r="AP651" s="34">
        <f>W651*N651</f>
        <v/>
      </c>
      <c r="AQ651" s="34">
        <f>T651*N651</f>
        <v/>
      </c>
      <c r="AR651" s="34">
        <f>Z651*J652+0.5*Z651*(O651+P651)</f>
        <v/>
      </c>
      <c r="AS651" s="30">
        <f>(1+InflationRate)^(A651/12)</f>
        <v/>
      </c>
      <c r="AT651" s="29">
        <f>ExpenseAcq*M651+N651*ExpenseMaint/12*AS651</f>
        <v/>
      </c>
      <c r="AU651" s="29">
        <f>CommissionRate*AE651</f>
        <v/>
      </c>
      <c r="AV651" s="34">
        <f>AB652-AB651</f>
        <v/>
      </c>
      <c r="AW651" s="34">
        <f>AE651+AR651-AN651-AT651-AU651-AV651</f>
        <v/>
      </c>
      <c r="AX651" s="29">
        <f>LoadPremRate*E651*N651+AK651+AQ651-AU651-AT651</f>
        <v/>
      </c>
      <c r="AY651" s="34">
        <f>AP651-AO651</f>
        <v/>
      </c>
      <c r="AZ651" s="37">
        <f>(AW651-AX651-AY651)/MAX(1,ABS(AW651),ABS(AX651),ABS(AY651))</f>
        <v/>
      </c>
      <c r="BA651" s="37">
        <f>IF(OR(K651&gt;0,K652&gt;0),0,(AC652-(AC651+AF651-AQ651-AP651+AR651-AI651-AJ651-AM651))/MAX(1,ABS(AC651),ABS(AC652)))</f>
        <v/>
      </c>
      <c r="BB651" s="35">
        <f>(1+INDEX(DiscRateAnn,INT(A651/12)+1))^(1/12)-1</f>
        <v/>
      </c>
      <c r="BC651" s="31">
        <f>(1+BB651)^-A651</f>
        <v/>
      </c>
      <c r="BD651" s="34">
        <f>AW651*BC651</f>
        <v/>
      </c>
    </row>
    <row r="652">
      <c r="A652" s="27">
        <f>A651+1</f>
        <v/>
      </c>
      <c r="B652" s="28">
        <f>Duration0+A652</f>
        <v/>
      </c>
      <c r="C652" s="27">
        <f>INT(B652/12)</f>
        <v/>
      </c>
      <c r="D652" s="28">
        <f>AgeAtEntry+C652</f>
        <v/>
      </c>
      <c r="E652" s="29">
        <f>IF(PremiumType="SINGLE",IF(B652=0,PremiumPPInput,0),IF(B652&lt;12*PolicyTerm,PremiumPPInput,0))</f>
        <v/>
      </c>
      <c r="F652" s="30">
        <f>INDEX(MortRates,MATCH(MIN(D652,120),MortAges,0),MAX(MIN(C652,5),0)+1)</f>
        <v/>
      </c>
      <c r="G652" s="31">
        <f>1-(1-F652)^(1/12)</f>
        <v/>
      </c>
      <c r="H652" s="32">
        <f>MAX(LapseBase-LapseStep*C652,LapseFloor)</f>
        <v/>
      </c>
      <c r="I652" s="32">
        <f>IF(HasSurrCharge,INDEX(SurrRates,MIN(C652,SurrDurMax)+1,MATCH(SurrChargeID,SurrTypes,0)),0)</f>
        <v/>
      </c>
      <c r="J652" s="33">
        <f>N651-P651-O651</f>
        <v/>
      </c>
      <c r="K652" s="30">
        <f>IF(B652=12*PolicyTerm,J652,0)</f>
        <v/>
      </c>
      <c r="L652" s="33">
        <f>J652-K652</f>
        <v/>
      </c>
      <c r="M652" s="30">
        <f>IF(B652=0,PolicyCount,0)</f>
        <v/>
      </c>
      <c r="N652" s="33">
        <f>L652+M652</f>
        <v/>
      </c>
      <c r="O652" s="31">
        <f>N652*G652</f>
        <v/>
      </c>
      <c r="P652" s="33">
        <f>(N652-O652)*(1-(1-H652)^(1/12))</f>
        <v/>
      </c>
      <c r="Q652" s="34">
        <f>X651+Z651</f>
        <v/>
      </c>
      <c r="R652" s="29">
        <f>(1-LoadPremRate)*E652</f>
        <v/>
      </c>
      <c r="S652" s="34">
        <f>Q652+R652</f>
        <v/>
      </c>
      <c r="T652" s="29">
        <f>MaintFeeRateAnn/12*S652</f>
        <v/>
      </c>
      <c r="U652" s="29">
        <f>MAX(SumAssured-S652,0)</f>
        <v/>
      </c>
      <c r="V652" s="35">
        <f>CoiMultiple*G652</f>
        <v/>
      </c>
      <c r="W652" s="34">
        <f>V652*U652</f>
        <v/>
      </c>
      <c r="X652" s="34">
        <f>S652-T652-W652</f>
        <v/>
      </c>
      <c r="Y652" s="36">
        <f>EXP((Mu-0.5*Sigma^2)/12+Sigma*SQRT(1/12)*INDEX(NormRand,ScenID,A652+1))-1</f>
        <v/>
      </c>
      <c r="Z652" s="34">
        <f>Y652*X652</f>
        <v/>
      </c>
      <c r="AA652" s="34">
        <f>X652+0.5*Z652</f>
        <v/>
      </c>
      <c r="AB652" s="34">
        <f>Q652*J652</f>
        <v/>
      </c>
      <c r="AC652" s="34">
        <f>Q652*L652</f>
        <v/>
      </c>
      <c r="AD652" s="34">
        <f>S652*N652</f>
        <v/>
      </c>
      <c r="AE652" s="34">
        <f>E652*N652</f>
        <v/>
      </c>
      <c r="AF652" s="34">
        <f>R652*N652</f>
        <v/>
      </c>
      <c r="AG652" s="29">
        <f>MAX(SumAssured,AA652)</f>
        <v/>
      </c>
      <c r="AH652" s="34">
        <f>AG652*O652</f>
        <v/>
      </c>
      <c r="AI652" s="34">
        <f>AA652*O652</f>
        <v/>
      </c>
      <c r="AJ652" s="34">
        <f>AA652*P652</f>
        <v/>
      </c>
      <c r="AK652" s="34">
        <f>I652*AA652*P652</f>
        <v/>
      </c>
      <c r="AL652" s="34">
        <f>AJ652-AK652</f>
        <v/>
      </c>
      <c r="AM652" s="34">
        <f>Q652*K652</f>
        <v/>
      </c>
      <c r="AN652" s="34">
        <f>AH652+AL652+AM652</f>
        <v/>
      </c>
      <c r="AO652" s="34">
        <f>(AG652-AA652)*O652</f>
        <v/>
      </c>
      <c r="AP652" s="34">
        <f>W652*N652</f>
        <v/>
      </c>
      <c r="AQ652" s="34">
        <f>T652*N652</f>
        <v/>
      </c>
      <c r="AR652" s="34">
        <f>Z652*J653+0.5*Z652*(O652+P652)</f>
        <v/>
      </c>
      <c r="AS652" s="30">
        <f>(1+InflationRate)^(A652/12)</f>
        <v/>
      </c>
      <c r="AT652" s="29">
        <f>ExpenseAcq*M652+N652*ExpenseMaint/12*AS652</f>
        <v/>
      </c>
      <c r="AU652" s="29">
        <f>CommissionRate*AE652</f>
        <v/>
      </c>
      <c r="AV652" s="34">
        <f>AB653-AB652</f>
        <v/>
      </c>
      <c r="AW652" s="34">
        <f>AE652+AR652-AN652-AT652-AU652-AV652</f>
        <v/>
      </c>
      <c r="AX652" s="29">
        <f>LoadPremRate*E652*N652+AK652+AQ652-AU652-AT652</f>
        <v/>
      </c>
      <c r="AY652" s="34">
        <f>AP652-AO652</f>
        <v/>
      </c>
      <c r="AZ652" s="37">
        <f>(AW652-AX652-AY652)/MAX(1,ABS(AW652),ABS(AX652),ABS(AY652))</f>
        <v/>
      </c>
      <c r="BA652" s="37">
        <f>IF(OR(K652&gt;0,K653&gt;0),0,(AC653-(AC652+AF652-AQ652-AP652+AR652-AI652-AJ652-AM652))/MAX(1,ABS(AC652),ABS(AC653)))</f>
        <v/>
      </c>
      <c r="BB652" s="35">
        <f>(1+INDEX(DiscRateAnn,INT(A652/12)+1))^(1/12)-1</f>
        <v/>
      </c>
      <c r="BC652" s="31">
        <f>(1+BB652)^-A652</f>
        <v/>
      </c>
      <c r="BD652" s="34">
        <f>AW652*BC652</f>
        <v/>
      </c>
    </row>
    <row r="653">
      <c r="A653" s="27">
        <f>A652+1</f>
        <v/>
      </c>
      <c r="B653" s="28">
        <f>Duration0+A653</f>
        <v/>
      </c>
      <c r="C653" s="27">
        <f>INT(B653/12)</f>
        <v/>
      </c>
      <c r="D653" s="28">
        <f>AgeAtEntry+C653</f>
        <v/>
      </c>
      <c r="E653" s="29">
        <f>IF(PremiumType="SINGLE",IF(B653=0,PremiumPPInput,0),IF(B653&lt;12*PolicyTerm,PremiumPPInput,0))</f>
        <v/>
      </c>
      <c r="F653" s="30">
        <f>INDEX(MortRates,MATCH(MIN(D653,120),MortAges,0),MAX(MIN(C653,5),0)+1)</f>
        <v/>
      </c>
      <c r="G653" s="31">
        <f>1-(1-F653)^(1/12)</f>
        <v/>
      </c>
      <c r="H653" s="32">
        <f>MAX(LapseBase-LapseStep*C653,LapseFloor)</f>
        <v/>
      </c>
      <c r="I653" s="32">
        <f>IF(HasSurrCharge,INDEX(SurrRates,MIN(C653,SurrDurMax)+1,MATCH(SurrChargeID,SurrTypes,0)),0)</f>
        <v/>
      </c>
      <c r="J653" s="33">
        <f>N652-P652-O652</f>
        <v/>
      </c>
      <c r="K653" s="30">
        <f>IF(B653=12*PolicyTerm,J653,0)</f>
        <v/>
      </c>
      <c r="L653" s="33">
        <f>J653-K653</f>
        <v/>
      </c>
      <c r="M653" s="30">
        <f>IF(B653=0,PolicyCount,0)</f>
        <v/>
      </c>
      <c r="N653" s="33">
        <f>L653+M653</f>
        <v/>
      </c>
      <c r="O653" s="31">
        <f>N653*G653</f>
        <v/>
      </c>
      <c r="P653" s="33">
        <f>(N653-O653)*(1-(1-H653)^(1/12))</f>
        <v/>
      </c>
      <c r="Q653" s="34">
        <f>X652+Z652</f>
        <v/>
      </c>
      <c r="R653" s="29">
        <f>(1-LoadPremRate)*E653</f>
        <v/>
      </c>
      <c r="S653" s="34">
        <f>Q653+R653</f>
        <v/>
      </c>
      <c r="T653" s="29">
        <f>MaintFeeRateAnn/12*S653</f>
        <v/>
      </c>
      <c r="U653" s="29">
        <f>MAX(SumAssured-S653,0)</f>
        <v/>
      </c>
      <c r="V653" s="35">
        <f>CoiMultiple*G653</f>
        <v/>
      </c>
      <c r="W653" s="34">
        <f>V653*U653</f>
        <v/>
      </c>
      <c r="X653" s="34">
        <f>S653-T653-W653</f>
        <v/>
      </c>
      <c r="Y653" s="36">
        <f>EXP((Mu-0.5*Sigma^2)/12+Sigma*SQRT(1/12)*INDEX(NormRand,ScenID,A653+1))-1</f>
        <v/>
      </c>
      <c r="Z653" s="34">
        <f>Y653*X653</f>
        <v/>
      </c>
      <c r="AA653" s="34">
        <f>X653+0.5*Z653</f>
        <v/>
      </c>
      <c r="AB653" s="34">
        <f>Q653*J653</f>
        <v/>
      </c>
      <c r="AC653" s="34">
        <f>Q653*L653</f>
        <v/>
      </c>
      <c r="AD653" s="34">
        <f>S653*N653</f>
        <v/>
      </c>
      <c r="AE653" s="34">
        <f>E653*N653</f>
        <v/>
      </c>
      <c r="AF653" s="34">
        <f>R653*N653</f>
        <v/>
      </c>
      <c r="AG653" s="29">
        <f>MAX(SumAssured,AA653)</f>
        <v/>
      </c>
      <c r="AH653" s="34">
        <f>AG653*O653</f>
        <v/>
      </c>
      <c r="AI653" s="34">
        <f>AA653*O653</f>
        <v/>
      </c>
      <c r="AJ653" s="34">
        <f>AA653*P653</f>
        <v/>
      </c>
      <c r="AK653" s="34">
        <f>I653*AA653*P653</f>
        <v/>
      </c>
      <c r="AL653" s="34">
        <f>AJ653-AK653</f>
        <v/>
      </c>
      <c r="AM653" s="34">
        <f>Q653*K653</f>
        <v/>
      </c>
      <c r="AN653" s="34">
        <f>AH653+AL653+AM653</f>
        <v/>
      </c>
      <c r="AO653" s="34">
        <f>(AG653-AA653)*O653</f>
        <v/>
      </c>
      <c r="AP653" s="34">
        <f>W653*N653</f>
        <v/>
      </c>
      <c r="AQ653" s="34">
        <f>T653*N653</f>
        <v/>
      </c>
      <c r="AR653" s="34">
        <f>Z653*J654+0.5*Z653*(O653+P653)</f>
        <v/>
      </c>
      <c r="AS653" s="30">
        <f>(1+InflationRate)^(A653/12)</f>
        <v/>
      </c>
      <c r="AT653" s="29">
        <f>ExpenseAcq*M653+N653*ExpenseMaint/12*AS653</f>
        <v/>
      </c>
      <c r="AU653" s="29">
        <f>CommissionRate*AE653</f>
        <v/>
      </c>
      <c r="AV653" s="34">
        <f>AB654-AB653</f>
        <v/>
      </c>
      <c r="AW653" s="34">
        <f>AE653+AR653-AN653-AT653-AU653-AV653</f>
        <v/>
      </c>
      <c r="AX653" s="29">
        <f>LoadPremRate*E653*N653+AK653+AQ653-AU653-AT653</f>
        <v/>
      </c>
      <c r="AY653" s="34">
        <f>AP653-AO653</f>
        <v/>
      </c>
      <c r="AZ653" s="37">
        <f>(AW653-AX653-AY653)/MAX(1,ABS(AW653),ABS(AX653),ABS(AY653))</f>
        <v/>
      </c>
      <c r="BA653" s="37">
        <f>IF(OR(K653&gt;0,K654&gt;0),0,(AC654-(AC653+AF653-AQ653-AP653+AR653-AI653-AJ653-AM653))/MAX(1,ABS(AC653),ABS(AC654)))</f>
        <v/>
      </c>
      <c r="BB653" s="35">
        <f>(1+INDEX(DiscRateAnn,INT(A653/12)+1))^(1/12)-1</f>
        <v/>
      </c>
      <c r="BC653" s="31">
        <f>(1+BB653)^-A653</f>
        <v/>
      </c>
      <c r="BD653" s="34">
        <f>AW653*BC653</f>
        <v/>
      </c>
    </row>
    <row r="654">
      <c r="A654" s="27">
        <f>A653+1</f>
        <v/>
      </c>
      <c r="B654" s="28">
        <f>Duration0+A654</f>
        <v/>
      </c>
      <c r="C654" s="27">
        <f>INT(B654/12)</f>
        <v/>
      </c>
      <c r="D654" s="28">
        <f>AgeAtEntry+C654</f>
        <v/>
      </c>
      <c r="E654" s="29">
        <f>IF(PremiumType="SINGLE",IF(B654=0,PremiumPPInput,0),IF(B654&lt;12*PolicyTerm,PremiumPPInput,0))</f>
        <v/>
      </c>
      <c r="F654" s="30">
        <f>INDEX(MortRates,MATCH(MIN(D654,120),MortAges,0),MAX(MIN(C654,5),0)+1)</f>
        <v/>
      </c>
      <c r="G654" s="31">
        <f>1-(1-F654)^(1/12)</f>
        <v/>
      </c>
      <c r="H654" s="32">
        <f>MAX(LapseBase-LapseStep*C654,LapseFloor)</f>
        <v/>
      </c>
      <c r="I654" s="32">
        <f>IF(HasSurrCharge,INDEX(SurrRates,MIN(C654,SurrDurMax)+1,MATCH(SurrChargeID,SurrTypes,0)),0)</f>
        <v/>
      </c>
      <c r="J654" s="33">
        <f>N653-P653-O653</f>
        <v/>
      </c>
      <c r="K654" s="30">
        <f>IF(B654=12*PolicyTerm,J654,0)</f>
        <v/>
      </c>
      <c r="L654" s="33">
        <f>J654-K654</f>
        <v/>
      </c>
      <c r="M654" s="30">
        <f>IF(B654=0,PolicyCount,0)</f>
        <v/>
      </c>
      <c r="N654" s="33">
        <f>L654+M654</f>
        <v/>
      </c>
      <c r="O654" s="31">
        <f>N654*G654</f>
        <v/>
      </c>
      <c r="P654" s="33">
        <f>(N654-O654)*(1-(1-H654)^(1/12))</f>
        <v/>
      </c>
      <c r="Q654" s="34">
        <f>X653+Z653</f>
        <v/>
      </c>
      <c r="R654" s="29">
        <f>(1-LoadPremRate)*E654</f>
        <v/>
      </c>
      <c r="S654" s="34">
        <f>Q654+R654</f>
        <v/>
      </c>
      <c r="T654" s="29">
        <f>MaintFeeRateAnn/12*S654</f>
        <v/>
      </c>
      <c r="U654" s="29">
        <f>MAX(SumAssured-S654,0)</f>
        <v/>
      </c>
      <c r="V654" s="35">
        <f>CoiMultiple*G654</f>
        <v/>
      </c>
      <c r="W654" s="34">
        <f>V654*U654</f>
        <v/>
      </c>
      <c r="X654" s="34">
        <f>S654-T654-W654</f>
        <v/>
      </c>
      <c r="Y654" s="36">
        <f>EXP((Mu-0.5*Sigma^2)/12+Sigma*SQRT(1/12)*INDEX(NormRand,ScenID,A654+1))-1</f>
        <v/>
      </c>
      <c r="Z654" s="34">
        <f>Y654*X654</f>
        <v/>
      </c>
      <c r="AA654" s="34">
        <f>X654+0.5*Z654</f>
        <v/>
      </c>
      <c r="AB654" s="34">
        <f>Q654*J654</f>
        <v/>
      </c>
      <c r="AC654" s="34">
        <f>Q654*L654</f>
        <v/>
      </c>
      <c r="AD654" s="34">
        <f>S654*N654</f>
        <v/>
      </c>
      <c r="AE654" s="34">
        <f>E654*N654</f>
        <v/>
      </c>
      <c r="AF654" s="34">
        <f>R654*N654</f>
        <v/>
      </c>
      <c r="AG654" s="29">
        <f>MAX(SumAssured,AA654)</f>
        <v/>
      </c>
      <c r="AH654" s="34">
        <f>AG654*O654</f>
        <v/>
      </c>
      <c r="AI654" s="34">
        <f>AA654*O654</f>
        <v/>
      </c>
      <c r="AJ654" s="34">
        <f>AA654*P654</f>
        <v/>
      </c>
      <c r="AK654" s="34">
        <f>I654*AA654*P654</f>
        <v/>
      </c>
      <c r="AL654" s="34">
        <f>AJ654-AK654</f>
        <v/>
      </c>
      <c r="AM654" s="34">
        <f>Q654*K654</f>
        <v/>
      </c>
      <c r="AN654" s="34">
        <f>AH654+AL654+AM654</f>
        <v/>
      </c>
      <c r="AO654" s="34">
        <f>(AG654-AA654)*O654</f>
        <v/>
      </c>
      <c r="AP654" s="34">
        <f>W654*N654</f>
        <v/>
      </c>
      <c r="AQ654" s="34">
        <f>T654*N654</f>
        <v/>
      </c>
      <c r="AR654" s="34">
        <f>Z654*J655+0.5*Z654*(O654+P654)</f>
        <v/>
      </c>
      <c r="AS654" s="30">
        <f>(1+InflationRate)^(A654/12)</f>
        <v/>
      </c>
      <c r="AT654" s="29">
        <f>ExpenseAcq*M654+N654*ExpenseMaint/12*AS654</f>
        <v/>
      </c>
      <c r="AU654" s="29">
        <f>CommissionRate*AE654</f>
        <v/>
      </c>
      <c r="AV654" s="34">
        <f>AB655-AB654</f>
        <v/>
      </c>
      <c r="AW654" s="34">
        <f>AE654+AR654-AN654-AT654-AU654-AV654</f>
        <v/>
      </c>
      <c r="AX654" s="29">
        <f>LoadPremRate*E654*N654+AK654+AQ654-AU654-AT654</f>
        <v/>
      </c>
      <c r="AY654" s="34">
        <f>AP654-AO654</f>
        <v/>
      </c>
      <c r="AZ654" s="37">
        <f>(AW654-AX654-AY654)/MAX(1,ABS(AW654),ABS(AX654),ABS(AY654))</f>
        <v/>
      </c>
      <c r="BA654" s="37">
        <f>IF(OR(K654&gt;0,K655&gt;0),0,(AC655-(AC654+AF654-AQ654-AP654+AR654-AI654-AJ654-AM654))/MAX(1,ABS(AC654),ABS(AC655)))</f>
        <v/>
      </c>
      <c r="BB654" s="35">
        <f>(1+INDEX(DiscRateAnn,INT(A654/12)+1))^(1/12)-1</f>
        <v/>
      </c>
      <c r="BC654" s="31">
        <f>(1+BB654)^-A654</f>
        <v/>
      </c>
      <c r="BD654" s="34">
        <f>AW654*BC654</f>
        <v/>
      </c>
    </row>
    <row r="655">
      <c r="A655" s="27">
        <f>A654+1</f>
        <v/>
      </c>
      <c r="B655" s="28">
        <f>Duration0+A655</f>
        <v/>
      </c>
      <c r="C655" s="27">
        <f>INT(B655/12)</f>
        <v/>
      </c>
      <c r="D655" s="28">
        <f>AgeAtEntry+C655</f>
        <v/>
      </c>
      <c r="E655" s="29">
        <f>IF(PremiumType="SINGLE",IF(B655=0,PremiumPPInput,0),IF(B655&lt;12*PolicyTerm,PremiumPPInput,0))</f>
        <v/>
      </c>
      <c r="F655" s="30">
        <f>INDEX(MortRates,MATCH(MIN(D655,120),MortAges,0),MAX(MIN(C655,5),0)+1)</f>
        <v/>
      </c>
      <c r="G655" s="31">
        <f>1-(1-F655)^(1/12)</f>
        <v/>
      </c>
      <c r="H655" s="32">
        <f>MAX(LapseBase-LapseStep*C655,LapseFloor)</f>
        <v/>
      </c>
      <c r="I655" s="32">
        <f>IF(HasSurrCharge,INDEX(SurrRates,MIN(C655,SurrDurMax)+1,MATCH(SurrChargeID,SurrTypes,0)),0)</f>
        <v/>
      </c>
      <c r="J655" s="33">
        <f>N654-P654-O654</f>
        <v/>
      </c>
      <c r="K655" s="30">
        <f>IF(B655=12*PolicyTerm,J655,0)</f>
        <v/>
      </c>
      <c r="L655" s="33">
        <f>J655-K655</f>
        <v/>
      </c>
      <c r="M655" s="30">
        <f>IF(B655=0,PolicyCount,0)</f>
        <v/>
      </c>
      <c r="N655" s="33">
        <f>L655+M655</f>
        <v/>
      </c>
      <c r="O655" s="31">
        <f>N655*G655</f>
        <v/>
      </c>
      <c r="P655" s="33">
        <f>(N655-O655)*(1-(1-H655)^(1/12))</f>
        <v/>
      </c>
      <c r="Q655" s="34">
        <f>X654+Z654</f>
        <v/>
      </c>
      <c r="R655" s="29">
        <f>(1-LoadPremRate)*E655</f>
        <v/>
      </c>
      <c r="S655" s="34">
        <f>Q655+R655</f>
        <v/>
      </c>
      <c r="T655" s="29">
        <f>MaintFeeRateAnn/12*S655</f>
        <v/>
      </c>
      <c r="U655" s="29">
        <f>MAX(SumAssured-S655,0)</f>
        <v/>
      </c>
      <c r="V655" s="35">
        <f>CoiMultiple*G655</f>
        <v/>
      </c>
      <c r="W655" s="34">
        <f>V655*U655</f>
        <v/>
      </c>
      <c r="X655" s="34">
        <f>S655-T655-W655</f>
        <v/>
      </c>
      <c r="Y655" s="36">
        <f>EXP((Mu-0.5*Sigma^2)/12+Sigma*SQRT(1/12)*INDEX(NormRand,ScenID,A655+1))-1</f>
        <v/>
      </c>
      <c r="Z655" s="34">
        <f>Y655*X655</f>
        <v/>
      </c>
      <c r="AA655" s="34">
        <f>X655+0.5*Z655</f>
        <v/>
      </c>
      <c r="AB655" s="34">
        <f>Q655*J655</f>
        <v/>
      </c>
      <c r="AC655" s="34">
        <f>Q655*L655</f>
        <v/>
      </c>
      <c r="AD655" s="34">
        <f>S655*N655</f>
        <v/>
      </c>
      <c r="AE655" s="34">
        <f>E655*N655</f>
        <v/>
      </c>
      <c r="AF655" s="34">
        <f>R655*N655</f>
        <v/>
      </c>
      <c r="AG655" s="29">
        <f>MAX(SumAssured,AA655)</f>
        <v/>
      </c>
      <c r="AH655" s="34">
        <f>AG655*O655</f>
        <v/>
      </c>
      <c r="AI655" s="34">
        <f>AA655*O655</f>
        <v/>
      </c>
      <c r="AJ655" s="34">
        <f>AA655*P655</f>
        <v/>
      </c>
      <c r="AK655" s="34">
        <f>I655*AA655*P655</f>
        <v/>
      </c>
      <c r="AL655" s="34">
        <f>AJ655-AK655</f>
        <v/>
      </c>
      <c r="AM655" s="34">
        <f>Q655*K655</f>
        <v/>
      </c>
      <c r="AN655" s="34">
        <f>AH655+AL655+AM655</f>
        <v/>
      </c>
      <c r="AO655" s="34">
        <f>(AG655-AA655)*O655</f>
        <v/>
      </c>
      <c r="AP655" s="34">
        <f>W655*N655</f>
        <v/>
      </c>
      <c r="AQ655" s="34">
        <f>T655*N655</f>
        <v/>
      </c>
      <c r="AR655" s="34">
        <f>Z655*J656+0.5*Z655*(O655+P655)</f>
        <v/>
      </c>
      <c r="AS655" s="30">
        <f>(1+InflationRate)^(A655/12)</f>
        <v/>
      </c>
      <c r="AT655" s="29">
        <f>ExpenseAcq*M655+N655*ExpenseMaint/12*AS655</f>
        <v/>
      </c>
      <c r="AU655" s="29">
        <f>CommissionRate*AE655</f>
        <v/>
      </c>
      <c r="AV655" s="34">
        <f>AB656-AB655</f>
        <v/>
      </c>
      <c r="AW655" s="34">
        <f>AE655+AR655-AN655-AT655-AU655-AV655</f>
        <v/>
      </c>
      <c r="AX655" s="29">
        <f>LoadPremRate*E655*N655+AK655+AQ655-AU655-AT655</f>
        <v/>
      </c>
      <c r="AY655" s="34">
        <f>AP655-AO655</f>
        <v/>
      </c>
      <c r="AZ655" s="37">
        <f>(AW655-AX655-AY655)/MAX(1,ABS(AW655),ABS(AX655),ABS(AY655))</f>
        <v/>
      </c>
      <c r="BA655" s="37">
        <f>IF(OR(K655&gt;0,K656&gt;0),0,(AC656-(AC655+AF655-AQ655-AP655+AR655-AI655-AJ655-AM655))/MAX(1,ABS(AC655),ABS(AC656)))</f>
        <v/>
      </c>
      <c r="BB655" s="35">
        <f>(1+INDEX(DiscRateAnn,INT(A655/12)+1))^(1/12)-1</f>
        <v/>
      </c>
      <c r="BC655" s="31">
        <f>(1+BB655)^-A655</f>
        <v/>
      </c>
      <c r="BD655" s="34">
        <f>AW655*BC655</f>
        <v/>
      </c>
    </row>
    <row r="656">
      <c r="A656" s="27">
        <f>A655+1</f>
        <v/>
      </c>
      <c r="B656" s="28">
        <f>Duration0+A656</f>
        <v/>
      </c>
      <c r="C656" s="27">
        <f>INT(B656/12)</f>
        <v/>
      </c>
      <c r="D656" s="28">
        <f>AgeAtEntry+C656</f>
        <v/>
      </c>
      <c r="E656" s="29">
        <f>IF(PremiumType="SINGLE",IF(B656=0,PremiumPPInput,0),IF(B656&lt;12*PolicyTerm,PremiumPPInput,0))</f>
        <v/>
      </c>
      <c r="F656" s="30">
        <f>INDEX(MortRates,MATCH(MIN(D656,120),MortAges,0),MAX(MIN(C656,5),0)+1)</f>
        <v/>
      </c>
      <c r="G656" s="31">
        <f>1-(1-F656)^(1/12)</f>
        <v/>
      </c>
      <c r="H656" s="32">
        <f>MAX(LapseBase-LapseStep*C656,LapseFloor)</f>
        <v/>
      </c>
      <c r="I656" s="32">
        <f>IF(HasSurrCharge,INDEX(SurrRates,MIN(C656,SurrDurMax)+1,MATCH(SurrChargeID,SurrTypes,0)),0)</f>
        <v/>
      </c>
      <c r="J656" s="33">
        <f>N655-P655-O655</f>
        <v/>
      </c>
      <c r="K656" s="30">
        <f>IF(B656=12*PolicyTerm,J656,0)</f>
        <v/>
      </c>
      <c r="L656" s="33">
        <f>J656-K656</f>
        <v/>
      </c>
      <c r="M656" s="30">
        <f>IF(B656=0,PolicyCount,0)</f>
        <v/>
      </c>
      <c r="N656" s="33">
        <f>L656+M656</f>
        <v/>
      </c>
      <c r="O656" s="31">
        <f>N656*G656</f>
        <v/>
      </c>
      <c r="P656" s="33">
        <f>(N656-O656)*(1-(1-H656)^(1/12))</f>
        <v/>
      </c>
      <c r="Q656" s="34">
        <f>X655+Z655</f>
        <v/>
      </c>
      <c r="R656" s="29">
        <f>(1-LoadPremRate)*E656</f>
        <v/>
      </c>
      <c r="S656" s="34">
        <f>Q656+R656</f>
        <v/>
      </c>
      <c r="T656" s="29">
        <f>MaintFeeRateAnn/12*S656</f>
        <v/>
      </c>
      <c r="U656" s="29">
        <f>MAX(SumAssured-S656,0)</f>
        <v/>
      </c>
      <c r="V656" s="35">
        <f>CoiMultiple*G656</f>
        <v/>
      </c>
      <c r="W656" s="34">
        <f>V656*U656</f>
        <v/>
      </c>
      <c r="X656" s="34">
        <f>S656-T656-W656</f>
        <v/>
      </c>
      <c r="Y656" s="36">
        <f>EXP((Mu-0.5*Sigma^2)/12+Sigma*SQRT(1/12)*INDEX(NormRand,ScenID,A656+1))-1</f>
        <v/>
      </c>
      <c r="Z656" s="34">
        <f>Y656*X656</f>
        <v/>
      </c>
      <c r="AA656" s="34">
        <f>X656+0.5*Z656</f>
        <v/>
      </c>
      <c r="AB656" s="34">
        <f>Q656*J656</f>
        <v/>
      </c>
      <c r="AC656" s="34">
        <f>Q656*L656</f>
        <v/>
      </c>
      <c r="AD656" s="34">
        <f>S656*N656</f>
        <v/>
      </c>
      <c r="AE656" s="34">
        <f>E656*N656</f>
        <v/>
      </c>
      <c r="AF656" s="34">
        <f>R656*N656</f>
        <v/>
      </c>
      <c r="AG656" s="29">
        <f>MAX(SumAssured,AA656)</f>
        <v/>
      </c>
      <c r="AH656" s="34">
        <f>AG656*O656</f>
        <v/>
      </c>
      <c r="AI656" s="34">
        <f>AA656*O656</f>
        <v/>
      </c>
      <c r="AJ656" s="34">
        <f>AA656*P656</f>
        <v/>
      </c>
      <c r="AK656" s="34">
        <f>I656*AA656*P656</f>
        <v/>
      </c>
      <c r="AL656" s="34">
        <f>AJ656-AK656</f>
        <v/>
      </c>
      <c r="AM656" s="34">
        <f>Q656*K656</f>
        <v/>
      </c>
      <c r="AN656" s="34">
        <f>AH656+AL656+AM656</f>
        <v/>
      </c>
      <c r="AO656" s="34">
        <f>(AG656-AA656)*O656</f>
        <v/>
      </c>
      <c r="AP656" s="34">
        <f>W656*N656</f>
        <v/>
      </c>
      <c r="AQ656" s="34">
        <f>T656*N656</f>
        <v/>
      </c>
      <c r="AR656" s="34">
        <f>Z656*J657+0.5*Z656*(O656+P656)</f>
        <v/>
      </c>
      <c r="AS656" s="30">
        <f>(1+InflationRate)^(A656/12)</f>
        <v/>
      </c>
      <c r="AT656" s="29">
        <f>ExpenseAcq*M656+N656*ExpenseMaint/12*AS656</f>
        <v/>
      </c>
      <c r="AU656" s="29">
        <f>CommissionRate*AE656</f>
        <v/>
      </c>
      <c r="AV656" s="34">
        <f>AB657-AB656</f>
        <v/>
      </c>
      <c r="AW656" s="34">
        <f>AE656+AR656-AN656-AT656-AU656-AV656</f>
        <v/>
      </c>
      <c r="AX656" s="29">
        <f>LoadPremRate*E656*N656+AK656+AQ656-AU656-AT656</f>
        <v/>
      </c>
      <c r="AY656" s="34">
        <f>AP656-AO656</f>
        <v/>
      </c>
      <c r="AZ656" s="37">
        <f>(AW656-AX656-AY656)/MAX(1,ABS(AW656),ABS(AX656),ABS(AY656))</f>
        <v/>
      </c>
      <c r="BA656" s="37">
        <f>IF(OR(K656&gt;0,K657&gt;0),0,(AC657-(AC656+AF656-AQ656-AP656+AR656-AI656-AJ656-AM656))/MAX(1,ABS(AC656),ABS(AC657)))</f>
        <v/>
      </c>
      <c r="BB656" s="35">
        <f>(1+INDEX(DiscRateAnn,INT(A656/12)+1))^(1/12)-1</f>
        <v/>
      </c>
      <c r="BC656" s="31">
        <f>(1+BB656)^-A656</f>
        <v/>
      </c>
      <c r="BD656" s="34">
        <f>AW656*BC656</f>
        <v/>
      </c>
    </row>
    <row r="657">
      <c r="A657" s="27">
        <f>A656+1</f>
        <v/>
      </c>
      <c r="B657" s="28">
        <f>Duration0+A657</f>
        <v/>
      </c>
      <c r="C657" s="27">
        <f>INT(B657/12)</f>
        <v/>
      </c>
      <c r="D657" s="28">
        <f>AgeAtEntry+C657</f>
        <v/>
      </c>
      <c r="E657" s="29">
        <f>IF(PremiumType="SINGLE",IF(B657=0,PremiumPPInput,0),IF(B657&lt;12*PolicyTerm,PremiumPPInput,0))</f>
        <v/>
      </c>
      <c r="F657" s="30">
        <f>INDEX(MortRates,MATCH(MIN(D657,120),MortAges,0),MAX(MIN(C657,5),0)+1)</f>
        <v/>
      </c>
      <c r="G657" s="31">
        <f>1-(1-F657)^(1/12)</f>
        <v/>
      </c>
      <c r="H657" s="32">
        <f>MAX(LapseBase-LapseStep*C657,LapseFloor)</f>
        <v/>
      </c>
      <c r="I657" s="32">
        <f>IF(HasSurrCharge,INDEX(SurrRates,MIN(C657,SurrDurMax)+1,MATCH(SurrChargeID,SurrTypes,0)),0)</f>
        <v/>
      </c>
      <c r="J657" s="33">
        <f>N656-P656-O656</f>
        <v/>
      </c>
      <c r="K657" s="30">
        <f>IF(B657=12*PolicyTerm,J657,0)</f>
        <v/>
      </c>
      <c r="L657" s="33">
        <f>J657-K657</f>
        <v/>
      </c>
      <c r="M657" s="30">
        <f>IF(B657=0,PolicyCount,0)</f>
        <v/>
      </c>
      <c r="N657" s="33">
        <f>L657+M657</f>
        <v/>
      </c>
      <c r="O657" s="31">
        <f>N657*G657</f>
        <v/>
      </c>
      <c r="P657" s="33">
        <f>(N657-O657)*(1-(1-H657)^(1/12))</f>
        <v/>
      </c>
      <c r="Q657" s="34">
        <f>X656+Z656</f>
        <v/>
      </c>
      <c r="R657" s="29">
        <f>(1-LoadPremRate)*E657</f>
        <v/>
      </c>
      <c r="S657" s="34">
        <f>Q657+R657</f>
        <v/>
      </c>
      <c r="T657" s="29">
        <f>MaintFeeRateAnn/12*S657</f>
        <v/>
      </c>
      <c r="U657" s="29">
        <f>MAX(SumAssured-S657,0)</f>
        <v/>
      </c>
      <c r="V657" s="35">
        <f>CoiMultiple*G657</f>
        <v/>
      </c>
      <c r="W657" s="34">
        <f>V657*U657</f>
        <v/>
      </c>
      <c r="X657" s="34">
        <f>S657-T657-W657</f>
        <v/>
      </c>
      <c r="Y657" s="36">
        <f>EXP((Mu-0.5*Sigma^2)/12+Sigma*SQRT(1/12)*INDEX(NormRand,ScenID,A657+1))-1</f>
        <v/>
      </c>
      <c r="Z657" s="34">
        <f>Y657*X657</f>
        <v/>
      </c>
      <c r="AA657" s="34">
        <f>X657+0.5*Z657</f>
        <v/>
      </c>
      <c r="AB657" s="34">
        <f>Q657*J657</f>
        <v/>
      </c>
      <c r="AC657" s="34">
        <f>Q657*L657</f>
        <v/>
      </c>
      <c r="AD657" s="34">
        <f>S657*N657</f>
        <v/>
      </c>
      <c r="AE657" s="34">
        <f>E657*N657</f>
        <v/>
      </c>
      <c r="AF657" s="34">
        <f>R657*N657</f>
        <v/>
      </c>
      <c r="AG657" s="29">
        <f>MAX(SumAssured,AA657)</f>
        <v/>
      </c>
      <c r="AH657" s="34">
        <f>AG657*O657</f>
        <v/>
      </c>
      <c r="AI657" s="34">
        <f>AA657*O657</f>
        <v/>
      </c>
      <c r="AJ657" s="34">
        <f>AA657*P657</f>
        <v/>
      </c>
      <c r="AK657" s="34">
        <f>I657*AA657*P657</f>
        <v/>
      </c>
      <c r="AL657" s="34">
        <f>AJ657-AK657</f>
        <v/>
      </c>
      <c r="AM657" s="34">
        <f>Q657*K657</f>
        <v/>
      </c>
      <c r="AN657" s="34">
        <f>AH657+AL657+AM657</f>
        <v/>
      </c>
      <c r="AO657" s="34">
        <f>(AG657-AA657)*O657</f>
        <v/>
      </c>
      <c r="AP657" s="34">
        <f>W657*N657</f>
        <v/>
      </c>
      <c r="AQ657" s="34">
        <f>T657*N657</f>
        <v/>
      </c>
      <c r="AR657" s="34">
        <f>Z657*J658+0.5*Z657*(O657+P657)</f>
        <v/>
      </c>
      <c r="AS657" s="30">
        <f>(1+InflationRate)^(A657/12)</f>
        <v/>
      </c>
      <c r="AT657" s="29">
        <f>ExpenseAcq*M657+N657*ExpenseMaint/12*AS657</f>
        <v/>
      </c>
      <c r="AU657" s="29">
        <f>CommissionRate*AE657</f>
        <v/>
      </c>
      <c r="AV657" s="34">
        <f>AB658-AB657</f>
        <v/>
      </c>
      <c r="AW657" s="34">
        <f>AE657+AR657-AN657-AT657-AU657-AV657</f>
        <v/>
      </c>
      <c r="AX657" s="29">
        <f>LoadPremRate*E657*N657+AK657+AQ657-AU657-AT657</f>
        <v/>
      </c>
      <c r="AY657" s="34">
        <f>AP657-AO657</f>
        <v/>
      </c>
      <c r="AZ657" s="37">
        <f>(AW657-AX657-AY657)/MAX(1,ABS(AW657),ABS(AX657),ABS(AY657))</f>
        <v/>
      </c>
      <c r="BA657" s="37">
        <f>IF(OR(K657&gt;0,K658&gt;0),0,(AC658-(AC657+AF657-AQ657-AP657+AR657-AI657-AJ657-AM657))/MAX(1,ABS(AC657),ABS(AC658)))</f>
        <v/>
      </c>
      <c r="BB657" s="35">
        <f>(1+INDEX(DiscRateAnn,INT(A657/12)+1))^(1/12)-1</f>
        <v/>
      </c>
      <c r="BC657" s="31">
        <f>(1+BB657)^-A657</f>
        <v/>
      </c>
      <c r="BD657" s="34">
        <f>AW657*BC657</f>
        <v/>
      </c>
    </row>
    <row r="658">
      <c r="A658" s="27">
        <f>A657+1</f>
        <v/>
      </c>
      <c r="B658" s="28">
        <f>Duration0+A658</f>
        <v/>
      </c>
      <c r="C658" s="27">
        <f>INT(B658/12)</f>
        <v/>
      </c>
      <c r="D658" s="28">
        <f>AgeAtEntry+C658</f>
        <v/>
      </c>
      <c r="E658" s="29">
        <f>IF(PremiumType="SINGLE",IF(B658=0,PremiumPPInput,0),IF(B658&lt;12*PolicyTerm,PremiumPPInput,0))</f>
        <v/>
      </c>
      <c r="F658" s="30">
        <f>INDEX(MortRates,MATCH(MIN(D658,120),MortAges,0),MAX(MIN(C658,5),0)+1)</f>
        <v/>
      </c>
      <c r="G658" s="31">
        <f>1-(1-F658)^(1/12)</f>
        <v/>
      </c>
      <c r="H658" s="32">
        <f>MAX(LapseBase-LapseStep*C658,LapseFloor)</f>
        <v/>
      </c>
      <c r="I658" s="32">
        <f>IF(HasSurrCharge,INDEX(SurrRates,MIN(C658,SurrDurMax)+1,MATCH(SurrChargeID,SurrTypes,0)),0)</f>
        <v/>
      </c>
      <c r="J658" s="33">
        <f>N657-P657-O657</f>
        <v/>
      </c>
      <c r="K658" s="30">
        <f>IF(B658=12*PolicyTerm,J658,0)</f>
        <v/>
      </c>
      <c r="L658" s="33">
        <f>J658-K658</f>
        <v/>
      </c>
      <c r="M658" s="30">
        <f>IF(B658=0,PolicyCount,0)</f>
        <v/>
      </c>
      <c r="N658" s="33">
        <f>L658+M658</f>
        <v/>
      </c>
      <c r="O658" s="31">
        <f>N658*G658</f>
        <v/>
      </c>
      <c r="P658" s="33">
        <f>(N658-O658)*(1-(1-H658)^(1/12))</f>
        <v/>
      </c>
      <c r="Q658" s="34">
        <f>X657+Z657</f>
        <v/>
      </c>
      <c r="R658" s="29">
        <f>(1-LoadPremRate)*E658</f>
        <v/>
      </c>
      <c r="S658" s="34">
        <f>Q658+R658</f>
        <v/>
      </c>
      <c r="T658" s="29">
        <f>MaintFeeRateAnn/12*S658</f>
        <v/>
      </c>
      <c r="U658" s="29">
        <f>MAX(SumAssured-S658,0)</f>
        <v/>
      </c>
      <c r="V658" s="35">
        <f>CoiMultiple*G658</f>
        <v/>
      </c>
      <c r="W658" s="34">
        <f>V658*U658</f>
        <v/>
      </c>
      <c r="X658" s="34">
        <f>S658-T658-W658</f>
        <v/>
      </c>
      <c r="Y658" s="36">
        <f>EXP((Mu-0.5*Sigma^2)/12+Sigma*SQRT(1/12)*INDEX(NormRand,ScenID,A658+1))-1</f>
        <v/>
      </c>
      <c r="Z658" s="34">
        <f>Y658*X658</f>
        <v/>
      </c>
      <c r="AA658" s="34">
        <f>X658+0.5*Z658</f>
        <v/>
      </c>
      <c r="AB658" s="34">
        <f>Q658*J658</f>
        <v/>
      </c>
      <c r="AC658" s="34">
        <f>Q658*L658</f>
        <v/>
      </c>
      <c r="AD658" s="34">
        <f>S658*N658</f>
        <v/>
      </c>
      <c r="AE658" s="34">
        <f>E658*N658</f>
        <v/>
      </c>
      <c r="AF658" s="34">
        <f>R658*N658</f>
        <v/>
      </c>
      <c r="AG658" s="29">
        <f>MAX(SumAssured,AA658)</f>
        <v/>
      </c>
      <c r="AH658" s="34">
        <f>AG658*O658</f>
        <v/>
      </c>
      <c r="AI658" s="34">
        <f>AA658*O658</f>
        <v/>
      </c>
      <c r="AJ658" s="34">
        <f>AA658*P658</f>
        <v/>
      </c>
      <c r="AK658" s="34">
        <f>I658*AA658*P658</f>
        <v/>
      </c>
      <c r="AL658" s="34">
        <f>AJ658-AK658</f>
        <v/>
      </c>
      <c r="AM658" s="34">
        <f>Q658*K658</f>
        <v/>
      </c>
      <c r="AN658" s="34">
        <f>AH658+AL658+AM658</f>
        <v/>
      </c>
      <c r="AO658" s="34">
        <f>(AG658-AA658)*O658</f>
        <v/>
      </c>
      <c r="AP658" s="34">
        <f>W658*N658</f>
        <v/>
      </c>
      <c r="AQ658" s="34">
        <f>T658*N658</f>
        <v/>
      </c>
      <c r="AR658" s="34">
        <f>Z658*J659+0.5*Z658*(O658+P658)</f>
        <v/>
      </c>
      <c r="AS658" s="30">
        <f>(1+InflationRate)^(A658/12)</f>
        <v/>
      </c>
      <c r="AT658" s="29">
        <f>ExpenseAcq*M658+N658*ExpenseMaint/12*AS658</f>
        <v/>
      </c>
      <c r="AU658" s="29">
        <f>CommissionRate*AE658</f>
        <v/>
      </c>
      <c r="AV658" s="34">
        <f>AB659-AB658</f>
        <v/>
      </c>
      <c r="AW658" s="34">
        <f>AE658+AR658-AN658-AT658-AU658-AV658</f>
        <v/>
      </c>
      <c r="AX658" s="29">
        <f>LoadPremRate*E658*N658+AK658+AQ658-AU658-AT658</f>
        <v/>
      </c>
      <c r="AY658" s="34">
        <f>AP658-AO658</f>
        <v/>
      </c>
      <c r="AZ658" s="37">
        <f>(AW658-AX658-AY658)/MAX(1,ABS(AW658),ABS(AX658),ABS(AY658))</f>
        <v/>
      </c>
      <c r="BA658" s="37">
        <f>IF(OR(K658&gt;0,K659&gt;0),0,(AC659-(AC658+AF658-AQ658-AP658+AR658-AI658-AJ658-AM658))/MAX(1,ABS(AC658),ABS(AC659)))</f>
        <v/>
      </c>
      <c r="BB658" s="35">
        <f>(1+INDEX(DiscRateAnn,INT(A658/12)+1))^(1/12)-1</f>
        <v/>
      </c>
      <c r="BC658" s="31">
        <f>(1+BB658)^-A658</f>
        <v/>
      </c>
      <c r="BD658" s="34">
        <f>AW658*BC658</f>
        <v/>
      </c>
    </row>
    <row r="659">
      <c r="A659" s="27">
        <f>A658+1</f>
        <v/>
      </c>
      <c r="B659" s="28">
        <f>Duration0+A659</f>
        <v/>
      </c>
      <c r="C659" s="27">
        <f>INT(B659/12)</f>
        <v/>
      </c>
      <c r="D659" s="28">
        <f>AgeAtEntry+C659</f>
        <v/>
      </c>
      <c r="E659" s="29">
        <f>IF(PremiumType="SINGLE",IF(B659=0,PremiumPPInput,0),IF(B659&lt;12*PolicyTerm,PremiumPPInput,0))</f>
        <v/>
      </c>
      <c r="F659" s="30">
        <f>INDEX(MortRates,MATCH(MIN(D659,120),MortAges,0),MAX(MIN(C659,5),0)+1)</f>
        <v/>
      </c>
      <c r="G659" s="31">
        <f>1-(1-F659)^(1/12)</f>
        <v/>
      </c>
      <c r="H659" s="32">
        <f>MAX(LapseBase-LapseStep*C659,LapseFloor)</f>
        <v/>
      </c>
      <c r="I659" s="32">
        <f>IF(HasSurrCharge,INDEX(SurrRates,MIN(C659,SurrDurMax)+1,MATCH(SurrChargeID,SurrTypes,0)),0)</f>
        <v/>
      </c>
      <c r="J659" s="33">
        <f>N658-P658-O658</f>
        <v/>
      </c>
      <c r="K659" s="30">
        <f>IF(B659=12*PolicyTerm,J659,0)</f>
        <v/>
      </c>
      <c r="L659" s="33">
        <f>J659-K659</f>
        <v/>
      </c>
      <c r="M659" s="30">
        <f>IF(B659=0,PolicyCount,0)</f>
        <v/>
      </c>
      <c r="N659" s="33">
        <f>L659+M659</f>
        <v/>
      </c>
      <c r="O659" s="31">
        <f>N659*G659</f>
        <v/>
      </c>
      <c r="P659" s="33">
        <f>(N659-O659)*(1-(1-H659)^(1/12))</f>
        <v/>
      </c>
      <c r="Q659" s="34">
        <f>X658+Z658</f>
        <v/>
      </c>
      <c r="R659" s="29">
        <f>(1-LoadPremRate)*E659</f>
        <v/>
      </c>
      <c r="S659" s="34">
        <f>Q659+R659</f>
        <v/>
      </c>
      <c r="T659" s="29">
        <f>MaintFeeRateAnn/12*S659</f>
        <v/>
      </c>
      <c r="U659" s="29">
        <f>MAX(SumAssured-S659,0)</f>
        <v/>
      </c>
      <c r="V659" s="35">
        <f>CoiMultiple*G659</f>
        <v/>
      </c>
      <c r="W659" s="34">
        <f>V659*U659</f>
        <v/>
      </c>
      <c r="X659" s="34">
        <f>S659-T659-W659</f>
        <v/>
      </c>
      <c r="Y659" s="36">
        <f>EXP((Mu-0.5*Sigma^2)/12+Sigma*SQRT(1/12)*INDEX(NormRand,ScenID,A659+1))-1</f>
        <v/>
      </c>
      <c r="Z659" s="34">
        <f>Y659*X659</f>
        <v/>
      </c>
      <c r="AA659" s="34">
        <f>X659+0.5*Z659</f>
        <v/>
      </c>
      <c r="AB659" s="34">
        <f>Q659*J659</f>
        <v/>
      </c>
      <c r="AC659" s="34">
        <f>Q659*L659</f>
        <v/>
      </c>
      <c r="AD659" s="34">
        <f>S659*N659</f>
        <v/>
      </c>
      <c r="AE659" s="34">
        <f>E659*N659</f>
        <v/>
      </c>
      <c r="AF659" s="34">
        <f>R659*N659</f>
        <v/>
      </c>
      <c r="AG659" s="29">
        <f>MAX(SumAssured,AA659)</f>
        <v/>
      </c>
      <c r="AH659" s="34">
        <f>AG659*O659</f>
        <v/>
      </c>
      <c r="AI659" s="34">
        <f>AA659*O659</f>
        <v/>
      </c>
      <c r="AJ659" s="34">
        <f>AA659*P659</f>
        <v/>
      </c>
      <c r="AK659" s="34">
        <f>I659*AA659*P659</f>
        <v/>
      </c>
      <c r="AL659" s="34">
        <f>AJ659-AK659</f>
        <v/>
      </c>
      <c r="AM659" s="34">
        <f>Q659*K659</f>
        <v/>
      </c>
      <c r="AN659" s="34">
        <f>AH659+AL659+AM659</f>
        <v/>
      </c>
      <c r="AO659" s="34">
        <f>(AG659-AA659)*O659</f>
        <v/>
      </c>
      <c r="AP659" s="34">
        <f>W659*N659</f>
        <v/>
      </c>
      <c r="AQ659" s="34">
        <f>T659*N659</f>
        <v/>
      </c>
      <c r="AR659" s="34">
        <f>Z659*J660+0.5*Z659*(O659+P659)</f>
        <v/>
      </c>
      <c r="AS659" s="30">
        <f>(1+InflationRate)^(A659/12)</f>
        <v/>
      </c>
      <c r="AT659" s="29">
        <f>ExpenseAcq*M659+N659*ExpenseMaint/12*AS659</f>
        <v/>
      </c>
      <c r="AU659" s="29">
        <f>CommissionRate*AE659</f>
        <v/>
      </c>
      <c r="AV659" s="34">
        <f>AB660-AB659</f>
        <v/>
      </c>
      <c r="AW659" s="34">
        <f>AE659+AR659-AN659-AT659-AU659-AV659</f>
        <v/>
      </c>
      <c r="AX659" s="29">
        <f>LoadPremRate*E659*N659+AK659+AQ659-AU659-AT659</f>
        <v/>
      </c>
      <c r="AY659" s="34">
        <f>AP659-AO659</f>
        <v/>
      </c>
      <c r="AZ659" s="37">
        <f>(AW659-AX659-AY659)/MAX(1,ABS(AW659),ABS(AX659),ABS(AY659))</f>
        <v/>
      </c>
      <c r="BA659" s="37">
        <f>IF(OR(K659&gt;0,K660&gt;0),0,(AC660-(AC659+AF659-AQ659-AP659+AR659-AI659-AJ659-AM659))/MAX(1,ABS(AC659),ABS(AC660)))</f>
        <v/>
      </c>
      <c r="BB659" s="35">
        <f>(1+INDEX(DiscRateAnn,INT(A659/12)+1))^(1/12)-1</f>
        <v/>
      </c>
      <c r="BC659" s="31">
        <f>(1+BB659)^-A659</f>
        <v/>
      </c>
      <c r="BD659" s="34">
        <f>AW659*BC659</f>
        <v/>
      </c>
    </row>
    <row r="660">
      <c r="A660" s="27">
        <f>A659+1</f>
        <v/>
      </c>
      <c r="B660" s="28">
        <f>Duration0+A660</f>
        <v/>
      </c>
      <c r="C660" s="27">
        <f>INT(B660/12)</f>
        <v/>
      </c>
      <c r="D660" s="28">
        <f>AgeAtEntry+C660</f>
        <v/>
      </c>
      <c r="E660" s="29">
        <f>IF(PremiumType="SINGLE",IF(B660=0,PremiumPPInput,0),IF(B660&lt;12*PolicyTerm,PremiumPPInput,0))</f>
        <v/>
      </c>
      <c r="F660" s="30">
        <f>INDEX(MortRates,MATCH(MIN(D660,120),MortAges,0),MAX(MIN(C660,5),0)+1)</f>
        <v/>
      </c>
      <c r="G660" s="31">
        <f>1-(1-F660)^(1/12)</f>
        <v/>
      </c>
      <c r="H660" s="32">
        <f>MAX(LapseBase-LapseStep*C660,LapseFloor)</f>
        <v/>
      </c>
      <c r="I660" s="32">
        <f>IF(HasSurrCharge,INDEX(SurrRates,MIN(C660,SurrDurMax)+1,MATCH(SurrChargeID,SurrTypes,0)),0)</f>
        <v/>
      </c>
      <c r="J660" s="33">
        <f>N659-P659-O659</f>
        <v/>
      </c>
      <c r="K660" s="30">
        <f>IF(B660=12*PolicyTerm,J660,0)</f>
        <v/>
      </c>
      <c r="L660" s="33">
        <f>J660-K660</f>
        <v/>
      </c>
      <c r="M660" s="30">
        <f>IF(B660=0,PolicyCount,0)</f>
        <v/>
      </c>
      <c r="N660" s="33">
        <f>L660+M660</f>
        <v/>
      </c>
      <c r="O660" s="31">
        <f>N660*G660</f>
        <v/>
      </c>
      <c r="P660" s="33">
        <f>(N660-O660)*(1-(1-H660)^(1/12))</f>
        <v/>
      </c>
      <c r="Q660" s="34">
        <f>X659+Z659</f>
        <v/>
      </c>
      <c r="R660" s="29">
        <f>(1-LoadPremRate)*E660</f>
        <v/>
      </c>
      <c r="S660" s="34">
        <f>Q660+R660</f>
        <v/>
      </c>
      <c r="T660" s="29">
        <f>MaintFeeRateAnn/12*S660</f>
        <v/>
      </c>
      <c r="U660" s="29">
        <f>MAX(SumAssured-S660,0)</f>
        <v/>
      </c>
      <c r="V660" s="35">
        <f>CoiMultiple*G660</f>
        <v/>
      </c>
      <c r="W660" s="34">
        <f>V660*U660</f>
        <v/>
      </c>
      <c r="X660" s="34">
        <f>S660-T660-W660</f>
        <v/>
      </c>
      <c r="Y660" s="36">
        <f>EXP((Mu-0.5*Sigma^2)/12+Sigma*SQRT(1/12)*INDEX(NormRand,ScenID,A660+1))-1</f>
        <v/>
      </c>
      <c r="Z660" s="34">
        <f>Y660*X660</f>
        <v/>
      </c>
      <c r="AA660" s="34">
        <f>X660+0.5*Z660</f>
        <v/>
      </c>
      <c r="AB660" s="34">
        <f>Q660*J660</f>
        <v/>
      </c>
      <c r="AC660" s="34">
        <f>Q660*L660</f>
        <v/>
      </c>
      <c r="AD660" s="34">
        <f>S660*N660</f>
        <v/>
      </c>
      <c r="AE660" s="34">
        <f>E660*N660</f>
        <v/>
      </c>
      <c r="AF660" s="34">
        <f>R660*N660</f>
        <v/>
      </c>
      <c r="AG660" s="29">
        <f>MAX(SumAssured,AA660)</f>
        <v/>
      </c>
      <c r="AH660" s="34">
        <f>AG660*O660</f>
        <v/>
      </c>
      <c r="AI660" s="34">
        <f>AA660*O660</f>
        <v/>
      </c>
      <c r="AJ660" s="34">
        <f>AA660*P660</f>
        <v/>
      </c>
      <c r="AK660" s="34">
        <f>I660*AA660*P660</f>
        <v/>
      </c>
      <c r="AL660" s="34">
        <f>AJ660-AK660</f>
        <v/>
      </c>
      <c r="AM660" s="34">
        <f>Q660*K660</f>
        <v/>
      </c>
      <c r="AN660" s="34">
        <f>AH660+AL660+AM660</f>
        <v/>
      </c>
      <c r="AO660" s="34">
        <f>(AG660-AA660)*O660</f>
        <v/>
      </c>
      <c r="AP660" s="34">
        <f>W660*N660</f>
        <v/>
      </c>
      <c r="AQ660" s="34">
        <f>T660*N660</f>
        <v/>
      </c>
      <c r="AR660" s="34">
        <f>Z660*J661+0.5*Z660*(O660+P660)</f>
        <v/>
      </c>
      <c r="AS660" s="30">
        <f>(1+InflationRate)^(A660/12)</f>
        <v/>
      </c>
      <c r="AT660" s="29">
        <f>ExpenseAcq*M660+N660*ExpenseMaint/12*AS660</f>
        <v/>
      </c>
      <c r="AU660" s="29">
        <f>CommissionRate*AE660</f>
        <v/>
      </c>
      <c r="AV660" s="34">
        <f>AB661-AB660</f>
        <v/>
      </c>
      <c r="AW660" s="34">
        <f>AE660+AR660-AN660-AT660-AU660-AV660</f>
        <v/>
      </c>
      <c r="AX660" s="29">
        <f>LoadPremRate*E660*N660+AK660+AQ660-AU660-AT660</f>
        <v/>
      </c>
      <c r="AY660" s="34">
        <f>AP660-AO660</f>
        <v/>
      </c>
      <c r="AZ660" s="37">
        <f>(AW660-AX660-AY660)/MAX(1,ABS(AW660),ABS(AX660),ABS(AY660))</f>
        <v/>
      </c>
      <c r="BA660" s="37">
        <f>IF(OR(K660&gt;0,K661&gt;0),0,(AC661-(AC660+AF660-AQ660-AP660+AR660-AI660-AJ660-AM660))/MAX(1,ABS(AC660),ABS(AC661)))</f>
        <v/>
      </c>
      <c r="BB660" s="35">
        <f>(1+INDEX(DiscRateAnn,INT(A660/12)+1))^(1/12)-1</f>
        <v/>
      </c>
      <c r="BC660" s="31">
        <f>(1+BB660)^-A660</f>
        <v/>
      </c>
      <c r="BD660" s="34">
        <f>AW660*BC660</f>
        <v/>
      </c>
    </row>
    <row r="661">
      <c r="A661" s="27">
        <f>A660+1</f>
        <v/>
      </c>
      <c r="B661" s="28">
        <f>Duration0+A661</f>
        <v/>
      </c>
      <c r="C661" s="27">
        <f>INT(B661/12)</f>
        <v/>
      </c>
      <c r="D661" s="28">
        <f>AgeAtEntry+C661</f>
        <v/>
      </c>
      <c r="E661" s="29">
        <f>IF(PremiumType="SINGLE",IF(B661=0,PremiumPPInput,0),IF(B661&lt;12*PolicyTerm,PremiumPPInput,0))</f>
        <v/>
      </c>
      <c r="F661" s="30">
        <f>INDEX(MortRates,MATCH(MIN(D661,120),MortAges,0),MAX(MIN(C661,5),0)+1)</f>
        <v/>
      </c>
      <c r="G661" s="31">
        <f>1-(1-F661)^(1/12)</f>
        <v/>
      </c>
      <c r="H661" s="32">
        <f>MAX(LapseBase-LapseStep*C661,LapseFloor)</f>
        <v/>
      </c>
      <c r="I661" s="32">
        <f>IF(HasSurrCharge,INDEX(SurrRates,MIN(C661,SurrDurMax)+1,MATCH(SurrChargeID,SurrTypes,0)),0)</f>
        <v/>
      </c>
      <c r="J661" s="33">
        <f>N660-P660-O660</f>
        <v/>
      </c>
      <c r="K661" s="30">
        <f>IF(B661=12*PolicyTerm,J661,0)</f>
        <v/>
      </c>
      <c r="L661" s="33">
        <f>J661-K661</f>
        <v/>
      </c>
      <c r="M661" s="30">
        <f>IF(B661=0,PolicyCount,0)</f>
        <v/>
      </c>
      <c r="N661" s="33">
        <f>L661+M661</f>
        <v/>
      </c>
      <c r="O661" s="31">
        <f>N661*G661</f>
        <v/>
      </c>
      <c r="P661" s="33">
        <f>(N661-O661)*(1-(1-H661)^(1/12))</f>
        <v/>
      </c>
      <c r="Q661" s="34">
        <f>X660+Z660</f>
        <v/>
      </c>
      <c r="R661" s="29">
        <f>(1-LoadPremRate)*E661</f>
        <v/>
      </c>
      <c r="S661" s="34">
        <f>Q661+R661</f>
        <v/>
      </c>
      <c r="T661" s="29">
        <f>MaintFeeRateAnn/12*S661</f>
        <v/>
      </c>
      <c r="U661" s="29">
        <f>MAX(SumAssured-S661,0)</f>
        <v/>
      </c>
      <c r="V661" s="35">
        <f>CoiMultiple*G661</f>
        <v/>
      </c>
      <c r="W661" s="34">
        <f>V661*U661</f>
        <v/>
      </c>
      <c r="X661" s="34">
        <f>S661-T661-W661</f>
        <v/>
      </c>
      <c r="Y661" s="36">
        <f>EXP((Mu-0.5*Sigma^2)/12+Sigma*SQRT(1/12)*INDEX(NormRand,ScenID,A661+1))-1</f>
        <v/>
      </c>
      <c r="Z661" s="34">
        <f>Y661*X661</f>
        <v/>
      </c>
      <c r="AA661" s="34">
        <f>X661+0.5*Z661</f>
        <v/>
      </c>
      <c r="AB661" s="34">
        <f>Q661*J661</f>
        <v/>
      </c>
      <c r="AC661" s="34">
        <f>Q661*L661</f>
        <v/>
      </c>
      <c r="AD661" s="34">
        <f>S661*N661</f>
        <v/>
      </c>
      <c r="AE661" s="34">
        <f>E661*N661</f>
        <v/>
      </c>
      <c r="AF661" s="34">
        <f>R661*N661</f>
        <v/>
      </c>
      <c r="AG661" s="29">
        <f>MAX(SumAssured,AA661)</f>
        <v/>
      </c>
      <c r="AH661" s="34">
        <f>AG661*O661</f>
        <v/>
      </c>
      <c r="AI661" s="34">
        <f>AA661*O661</f>
        <v/>
      </c>
      <c r="AJ661" s="34">
        <f>AA661*P661</f>
        <v/>
      </c>
      <c r="AK661" s="34">
        <f>I661*AA661*P661</f>
        <v/>
      </c>
      <c r="AL661" s="34">
        <f>AJ661-AK661</f>
        <v/>
      </c>
      <c r="AM661" s="34">
        <f>Q661*K661</f>
        <v/>
      </c>
      <c r="AN661" s="34">
        <f>AH661+AL661+AM661</f>
        <v/>
      </c>
      <c r="AO661" s="34">
        <f>(AG661-AA661)*O661</f>
        <v/>
      </c>
      <c r="AP661" s="34">
        <f>W661*N661</f>
        <v/>
      </c>
      <c r="AQ661" s="34">
        <f>T661*N661</f>
        <v/>
      </c>
      <c r="AR661" s="34">
        <f>Z661*J662+0.5*Z661*(O661+P661)</f>
        <v/>
      </c>
      <c r="AS661" s="30">
        <f>(1+InflationRate)^(A661/12)</f>
        <v/>
      </c>
      <c r="AT661" s="29">
        <f>ExpenseAcq*M661+N661*ExpenseMaint/12*AS661</f>
        <v/>
      </c>
      <c r="AU661" s="29">
        <f>CommissionRate*AE661</f>
        <v/>
      </c>
      <c r="AV661" s="34">
        <f>AB662-AB661</f>
        <v/>
      </c>
      <c r="AW661" s="34">
        <f>AE661+AR661-AN661-AT661-AU661-AV661</f>
        <v/>
      </c>
      <c r="AX661" s="29">
        <f>LoadPremRate*E661*N661+AK661+AQ661-AU661-AT661</f>
        <v/>
      </c>
      <c r="AY661" s="34">
        <f>AP661-AO661</f>
        <v/>
      </c>
      <c r="AZ661" s="37">
        <f>(AW661-AX661-AY661)/MAX(1,ABS(AW661),ABS(AX661),ABS(AY661))</f>
        <v/>
      </c>
      <c r="BA661" s="37">
        <f>IF(OR(K661&gt;0,K662&gt;0),0,(AC662-(AC661+AF661-AQ661-AP661+AR661-AI661-AJ661-AM661))/MAX(1,ABS(AC661),ABS(AC662)))</f>
        <v/>
      </c>
      <c r="BB661" s="35">
        <f>(1+INDEX(DiscRateAnn,INT(A661/12)+1))^(1/12)-1</f>
        <v/>
      </c>
      <c r="BC661" s="31">
        <f>(1+BB661)^-A661</f>
        <v/>
      </c>
      <c r="BD661" s="34">
        <f>AW661*BC661</f>
        <v/>
      </c>
    </row>
    <row r="662">
      <c r="A662" s="27">
        <f>A661+1</f>
        <v/>
      </c>
      <c r="B662" s="28">
        <f>Duration0+A662</f>
        <v/>
      </c>
      <c r="C662" s="27">
        <f>INT(B662/12)</f>
        <v/>
      </c>
      <c r="D662" s="28">
        <f>AgeAtEntry+C662</f>
        <v/>
      </c>
      <c r="E662" s="29">
        <f>IF(PremiumType="SINGLE",IF(B662=0,PremiumPPInput,0),IF(B662&lt;12*PolicyTerm,PremiumPPInput,0))</f>
        <v/>
      </c>
      <c r="F662" s="30">
        <f>INDEX(MortRates,MATCH(MIN(D662,120),MortAges,0),MAX(MIN(C662,5),0)+1)</f>
        <v/>
      </c>
      <c r="G662" s="31">
        <f>1-(1-F662)^(1/12)</f>
        <v/>
      </c>
      <c r="H662" s="32">
        <f>MAX(LapseBase-LapseStep*C662,LapseFloor)</f>
        <v/>
      </c>
      <c r="I662" s="32">
        <f>IF(HasSurrCharge,INDEX(SurrRates,MIN(C662,SurrDurMax)+1,MATCH(SurrChargeID,SurrTypes,0)),0)</f>
        <v/>
      </c>
      <c r="J662" s="33">
        <f>N661-P661-O661</f>
        <v/>
      </c>
      <c r="K662" s="30">
        <f>IF(B662=12*PolicyTerm,J662,0)</f>
        <v/>
      </c>
      <c r="L662" s="33">
        <f>J662-K662</f>
        <v/>
      </c>
      <c r="M662" s="30">
        <f>IF(B662=0,PolicyCount,0)</f>
        <v/>
      </c>
      <c r="N662" s="33">
        <f>L662+M662</f>
        <v/>
      </c>
      <c r="O662" s="31">
        <f>N662*G662</f>
        <v/>
      </c>
      <c r="P662" s="33">
        <f>(N662-O662)*(1-(1-H662)^(1/12))</f>
        <v/>
      </c>
      <c r="Q662" s="34">
        <f>X661+Z661</f>
        <v/>
      </c>
      <c r="R662" s="29">
        <f>(1-LoadPremRate)*E662</f>
        <v/>
      </c>
      <c r="S662" s="34">
        <f>Q662+R662</f>
        <v/>
      </c>
      <c r="T662" s="29">
        <f>MaintFeeRateAnn/12*S662</f>
        <v/>
      </c>
      <c r="U662" s="29">
        <f>MAX(SumAssured-S662,0)</f>
        <v/>
      </c>
      <c r="V662" s="35">
        <f>CoiMultiple*G662</f>
        <v/>
      </c>
      <c r="W662" s="34">
        <f>V662*U662</f>
        <v/>
      </c>
      <c r="X662" s="34">
        <f>S662-T662-W662</f>
        <v/>
      </c>
      <c r="Y662" s="36">
        <f>EXP((Mu-0.5*Sigma^2)/12+Sigma*SQRT(1/12)*INDEX(NormRand,ScenID,A662+1))-1</f>
        <v/>
      </c>
      <c r="Z662" s="34">
        <f>Y662*X662</f>
        <v/>
      </c>
      <c r="AA662" s="34">
        <f>X662+0.5*Z662</f>
        <v/>
      </c>
      <c r="AB662" s="34">
        <f>Q662*J662</f>
        <v/>
      </c>
      <c r="AC662" s="34">
        <f>Q662*L662</f>
        <v/>
      </c>
      <c r="AD662" s="34">
        <f>S662*N662</f>
        <v/>
      </c>
      <c r="AE662" s="34">
        <f>E662*N662</f>
        <v/>
      </c>
      <c r="AF662" s="34">
        <f>R662*N662</f>
        <v/>
      </c>
      <c r="AG662" s="29">
        <f>MAX(SumAssured,AA662)</f>
        <v/>
      </c>
      <c r="AH662" s="34">
        <f>AG662*O662</f>
        <v/>
      </c>
      <c r="AI662" s="34">
        <f>AA662*O662</f>
        <v/>
      </c>
      <c r="AJ662" s="34">
        <f>AA662*P662</f>
        <v/>
      </c>
      <c r="AK662" s="34">
        <f>I662*AA662*P662</f>
        <v/>
      </c>
      <c r="AL662" s="34">
        <f>AJ662-AK662</f>
        <v/>
      </c>
      <c r="AM662" s="34">
        <f>Q662*K662</f>
        <v/>
      </c>
      <c r="AN662" s="34">
        <f>AH662+AL662+AM662</f>
        <v/>
      </c>
      <c r="AO662" s="34">
        <f>(AG662-AA662)*O662</f>
        <v/>
      </c>
      <c r="AP662" s="34">
        <f>W662*N662</f>
        <v/>
      </c>
      <c r="AQ662" s="34">
        <f>T662*N662</f>
        <v/>
      </c>
      <c r="AR662" s="34">
        <f>Z662*J663+0.5*Z662*(O662+P662)</f>
        <v/>
      </c>
      <c r="AS662" s="30">
        <f>(1+InflationRate)^(A662/12)</f>
        <v/>
      </c>
      <c r="AT662" s="29">
        <f>ExpenseAcq*M662+N662*ExpenseMaint/12*AS662</f>
        <v/>
      </c>
      <c r="AU662" s="29">
        <f>CommissionRate*AE662</f>
        <v/>
      </c>
      <c r="AV662" s="34">
        <f>AB663-AB662</f>
        <v/>
      </c>
      <c r="AW662" s="34">
        <f>AE662+AR662-AN662-AT662-AU662-AV662</f>
        <v/>
      </c>
      <c r="AX662" s="29">
        <f>LoadPremRate*E662*N662+AK662+AQ662-AU662-AT662</f>
        <v/>
      </c>
      <c r="AY662" s="34">
        <f>AP662-AO662</f>
        <v/>
      </c>
      <c r="AZ662" s="37">
        <f>(AW662-AX662-AY662)/MAX(1,ABS(AW662),ABS(AX662),ABS(AY662))</f>
        <v/>
      </c>
      <c r="BA662" s="37">
        <f>IF(OR(K662&gt;0,K663&gt;0),0,(AC663-(AC662+AF662-AQ662-AP662+AR662-AI662-AJ662-AM662))/MAX(1,ABS(AC662),ABS(AC663)))</f>
        <v/>
      </c>
      <c r="BB662" s="35">
        <f>(1+INDEX(DiscRateAnn,INT(A662/12)+1))^(1/12)-1</f>
        <v/>
      </c>
      <c r="BC662" s="31">
        <f>(1+BB662)^-A662</f>
        <v/>
      </c>
      <c r="BD662" s="34">
        <f>AW662*BC662</f>
        <v/>
      </c>
    </row>
    <row r="663">
      <c r="A663" s="27">
        <f>A662+1</f>
        <v/>
      </c>
      <c r="B663" s="28">
        <f>Duration0+A663</f>
        <v/>
      </c>
      <c r="C663" s="27">
        <f>INT(B663/12)</f>
        <v/>
      </c>
      <c r="D663" s="28">
        <f>AgeAtEntry+C663</f>
        <v/>
      </c>
      <c r="E663" s="29">
        <f>IF(PremiumType="SINGLE",IF(B663=0,PremiumPPInput,0),IF(B663&lt;12*PolicyTerm,PremiumPPInput,0))</f>
        <v/>
      </c>
      <c r="F663" s="30">
        <f>INDEX(MortRates,MATCH(MIN(D663,120),MortAges,0),MAX(MIN(C663,5),0)+1)</f>
        <v/>
      </c>
      <c r="G663" s="31">
        <f>1-(1-F663)^(1/12)</f>
        <v/>
      </c>
      <c r="H663" s="32">
        <f>MAX(LapseBase-LapseStep*C663,LapseFloor)</f>
        <v/>
      </c>
      <c r="I663" s="32">
        <f>IF(HasSurrCharge,INDEX(SurrRates,MIN(C663,SurrDurMax)+1,MATCH(SurrChargeID,SurrTypes,0)),0)</f>
        <v/>
      </c>
      <c r="J663" s="33">
        <f>N662-P662-O662</f>
        <v/>
      </c>
      <c r="K663" s="30">
        <f>IF(B663=12*PolicyTerm,J663,0)</f>
        <v/>
      </c>
      <c r="L663" s="33">
        <f>J663-K663</f>
        <v/>
      </c>
      <c r="M663" s="30">
        <f>IF(B663=0,PolicyCount,0)</f>
        <v/>
      </c>
      <c r="N663" s="33">
        <f>L663+M663</f>
        <v/>
      </c>
      <c r="O663" s="31">
        <f>N663*G663</f>
        <v/>
      </c>
      <c r="P663" s="33">
        <f>(N663-O663)*(1-(1-H663)^(1/12))</f>
        <v/>
      </c>
      <c r="Q663" s="34">
        <f>X662+Z662</f>
        <v/>
      </c>
      <c r="R663" s="29">
        <f>(1-LoadPremRate)*E663</f>
        <v/>
      </c>
      <c r="S663" s="34">
        <f>Q663+R663</f>
        <v/>
      </c>
      <c r="T663" s="29">
        <f>MaintFeeRateAnn/12*S663</f>
        <v/>
      </c>
      <c r="U663" s="29">
        <f>MAX(SumAssured-S663,0)</f>
        <v/>
      </c>
      <c r="V663" s="35">
        <f>CoiMultiple*G663</f>
        <v/>
      </c>
      <c r="W663" s="34">
        <f>V663*U663</f>
        <v/>
      </c>
      <c r="X663" s="34">
        <f>S663-T663-W663</f>
        <v/>
      </c>
      <c r="Y663" s="36">
        <f>EXP((Mu-0.5*Sigma^2)/12+Sigma*SQRT(1/12)*INDEX(NormRand,ScenID,A663+1))-1</f>
        <v/>
      </c>
      <c r="Z663" s="34">
        <f>Y663*X663</f>
        <v/>
      </c>
      <c r="AA663" s="34">
        <f>X663+0.5*Z663</f>
        <v/>
      </c>
      <c r="AB663" s="34">
        <f>Q663*J663</f>
        <v/>
      </c>
      <c r="AC663" s="34">
        <f>Q663*L663</f>
        <v/>
      </c>
      <c r="AD663" s="34">
        <f>S663*N663</f>
        <v/>
      </c>
      <c r="AE663" s="34">
        <f>E663*N663</f>
        <v/>
      </c>
      <c r="AF663" s="34">
        <f>R663*N663</f>
        <v/>
      </c>
      <c r="AG663" s="29">
        <f>MAX(SumAssured,AA663)</f>
        <v/>
      </c>
      <c r="AH663" s="34">
        <f>AG663*O663</f>
        <v/>
      </c>
      <c r="AI663" s="34">
        <f>AA663*O663</f>
        <v/>
      </c>
      <c r="AJ663" s="34">
        <f>AA663*P663</f>
        <v/>
      </c>
      <c r="AK663" s="34">
        <f>I663*AA663*P663</f>
        <v/>
      </c>
      <c r="AL663" s="34">
        <f>AJ663-AK663</f>
        <v/>
      </c>
      <c r="AM663" s="34">
        <f>Q663*K663</f>
        <v/>
      </c>
      <c r="AN663" s="34">
        <f>AH663+AL663+AM663</f>
        <v/>
      </c>
      <c r="AO663" s="34">
        <f>(AG663-AA663)*O663</f>
        <v/>
      </c>
      <c r="AP663" s="34">
        <f>W663*N663</f>
        <v/>
      </c>
      <c r="AQ663" s="34">
        <f>T663*N663</f>
        <v/>
      </c>
      <c r="AR663" s="34">
        <f>Z663*J664+0.5*Z663*(O663+P663)</f>
        <v/>
      </c>
      <c r="AS663" s="30">
        <f>(1+InflationRate)^(A663/12)</f>
        <v/>
      </c>
      <c r="AT663" s="29">
        <f>ExpenseAcq*M663+N663*ExpenseMaint/12*AS663</f>
        <v/>
      </c>
      <c r="AU663" s="29">
        <f>CommissionRate*AE663</f>
        <v/>
      </c>
      <c r="AV663" s="34">
        <f>AB664-AB663</f>
        <v/>
      </c>
      <c r="AW663" s="34">
        <f>AE663+AR663-AN663-AT663-AU663-AV663</f>
        <v/>
      </c>
      <c r="AX663" s="29">
        <f>LoadPremRate*E663*N663+AK663+AQ663-AU663-AT663</f>
        <v/>
      </c>
      <c r="AY663" s="34">
        <f>AP663-AO663</f>
        <v/>
      </c>
      <c r="AZ663" s="37">
        <f>(AW663-AX663-AY663)/MAX(1,ABS(AW663),ABS(AX663),ABS(AY663))</f>
        <v/>
      </c>
      <c r="BA663" s="37">
        <f>IF(OR(K663&gt;0,K664&gt;0),0,(AC664-(AC663+AF663-AQ663-AP663+AR663-AI663-AJ663-AM663))/MAX(1,ABS(AC663),ABS(AC664)))</f>
        <v/>
      </c>
      <c r="BB663" s="35">
        <f>(1+INDEX(DiscRateAnn,INT(A663/12)+1))^(1/12)-1</f>
        <v/>
      </c>
      <c r="BC663" s="31">
        <f>(1+BB663)^-A663</f>
        <v/>
      </c>
      <c r="BD663" s="34">
        <f>AW663*BC663</f>
        <v/>
      </c>
    </row>
    <row r="664">
      <c r="A664" s="27">
        <f>A663+1</f>
        <v/>
      </c>
      <c r="B664" s="28">
        <f>Duration0+A664</f>
        <v/>
      </c>
      <c r="C664" s="27">
        <f>INT(B664/12)</f>
        <v/>
      </c>
      <c r="D664" s="28">
        <f>AgeAtEntry+C664</f>
        <v/>
      </c>
      <c r="E664" s="29">
        <f>IF(PremiumType="SINGLE",IF(B664=0,PremiumPPInput,0),IF(B664&lt;12*PolicyTerm,PremiumPPInput,0))</f>
        <v/>
      </c>
      <c r="F664" s="30">
        <f>INDEX(MortRates,MATCH(MIN(D664,120),MortAges,0),MAX(MIN(C664,5),0)+1)</f>
        <v/>
      </c>
      <c r="G664" s="31">
        <f>1-(1-F664)^(1/12)</f>
        <v/>
      </c>
      <c r="H664" s="32">
        <f>MAX(LapseBase-LapseStep*C664,LapseFloor)</f>
        <v/>
      </c>
      <c r="I664" s="32">
        <f>IF(HasSurrCharge,INDEX(SurrRates,MIN(C664,SurrDurMax)+1,MATCH(SurrChargeID,SurrTypes,0)),0)</f>
        <v/>
      </c>
      <c r="J664" s="33">
        <f>N663-P663-O663</f>
        <v/>
      </c>
      <c r="K664" s="30">
        <f>IF(B664=12*PolicyTerm,J664,0)</f>
        <v/>
      </c>
      <c r="L664" s="33">
        <f>J664-K664</f>
        <v/>
      </c>
      <c r="M664" s="30">
        <f>IF(B664=0,PolicyCount,0)</f>
        <v/>
      </c>
      <c r="N664" s="33">
        <f>L664+M664</f>
        <v/>
      </c>
      <c r="O664" s="31">
        <f>N664*G664</f>
        <v/>
      </c>
      <c r="P664" s="33">
        <f>(N664-O664)*(1-(1-H664)^(1/12))</f>
        <v/>
      </c>
      <c r="Q664" s="34">
        <f>X663+Z663</f>
        <v/>
      </c>
      <c r="R664" s="29">
        <f>(1-LoadPremRate)*E664</f>
        <v/>
      </c>
      <c r="S664" s="34">
        <f>Q664+R664</f>
        <v/>
      </c>
      <c r="T664" s="29">
        <f>MaintFeeRateAnn/12*S664</f>
        <v/>
      </c>
      <c r="U664" s="29">
        <f>MAX(SumAssured-S664,0)</f>
        <v/>
      </c>
      <c r="V664" s="35">
        <f>CoiMultiple*G664</f>
        <v/>
      </c>
      <c r="W664" s="34">
        <f>V664*U664</f>
        <v/>
      </c>
      <c r="X664" s="34">
        <f>S664-T664-W664</f>
        <v/>
      </c>
      <c r="Y664" s="36">
        <f>EXP((Mu-0.5*Sigma^2)/12+Sigma*SQRT(1/12)*INDEX(NormRand,ScenID,A664+1))-1</f>
        <v/>
      </c>
      <c r="Z664" s="34">
        <f>Y664*X664</f>
        <v/>
      </c>
      <c r="AA664" s="34">
        <f>X664+0.5*Z664</f>
        <v/>
      </c>
      <c r="AB664" s="34">
        <f>Q664*J664</f>
        <v/>
      </c>
      <c r="AC664" s="34">
        <f>Q664*L664</f>
        <v/>
      </c>
      <c r="AD664" s="34">
        <f>S664*N664</f>
        <v/>
      </c>
      <c r="AE664" s="34">
        <f>E664*N664</f>
        <v/>
      </c>
      <c r="AF664" s="34">
        <f>R664*N664</f>
        <v/>
      </c>
      <c r="AG664" s="29">
        <f>MAX(SumAssured,AA664)</f>
        <v/>
      </c>
      <c r="AH664" s="34">
        <f>AG664*O664</f>
        <v/>
      </c>
      <c r="AI664" s="34">
        <f>AA664*O664</f>
        <v/>
      </c>
      <c r="AJ664" s="34">
        <f>AA664*P664</f>
        <v/>
      </c>
      <c r="AK664" s="34">
        <f>I664*AA664*P664</f>
        <v/>
      </c>
      <c r="AL664" s="34">
        <f>AJ664-AK664</f>
        <v/>
      </c>
      <c r="AM664" s="34">
        <f>Q664*K664</f>
        <v/>
      </c>
      <c r="AN664" s="34">
        <f>AH664+AL664+AM664</f>
        <v/>
      </c>
      <c r="AO664" s="34">
        <f>(AG664-AA664)*O664</f>
        <v/>
      </c>
      <c r="AP664" s="34">
        <f>W664*N664</f>
        <v/>
      </c>
      <c r="AQ664" s="34">
        <f>T664*N664</f>
        <v/>
      </c>
      <c r="AR664" s="34">
        <f>Z664*J665+0.5*Z664*(O664+P664)</f>
        <v/>
      </c>
      <c r="AS664" s="30">
        <f>(1+InflationRate)^(A664/12)</f>
        <v/>
      </c>
      <c r="AT664" s="29">
        <f>ExpenseAcq*M664+N664*ExpenseMaint/12*AS664</f>
        <v/>
      </c>
      <c r="AU664" s="29">
        <f>CommissionRate*AE664</f>
        <v/>
      </c>
      <c r="AV664" s="34">
        <f>AB665-AB664</f>
        <v/>
      </c>
      <c r="AW664" s="34">
        <f>AE664+AR664-AN664-AT664-AU664-AV664</f>
        <v/>
      </c>
      <c r="AX664" s="29">
        <f>LoadPremRate*E664*N664+AK664+AQ664-AU664-AT664</f>
        <v/>
      </c>
      <c r="AY664" s="34">
        <f>AP664-AO664</f>
        <v/>
      </c>
      <c r="AZ664" s="37">
        <f>(AW664-AX664-AY664)/MAX(1,ABS(AW664),ABS(AX664),ABS(AY664))</f>
        <v/>
      </c>
      <c r="BA664" s="37">
        <f>IF(OR(K664&gt;0,K665&gt;0),0,(AC665-(AC664+AF664-AQ664-AP664+AR664-AI664-AJ664-AM664))/MAX(1,ABS(AC664),ABS(AC665)))</f>
        <v/>
      </c>
      <c r="BB664" s="35">
        <f>(1+INDEX(DiscRateAnn,INT(A664/12)+1))^(1/12)-1</f>
        <v/>
      </c>
      <c r="BC664" s="31">
        <f>(1+BB664)^-A664</f>
        <v/>
      </c>
      <c r="BD664" s="34">
        <f>AW664*BC664</f>
        <v/>
      </c>
    </row>
    <row r="665">
      <c r="A665" s="27">
        <f>A664+1</f>
        <v/>
      </c>
      <c r="B665" s="28">
        <f>Duration0+A665</f>
        <v/>
      </c>
      <c r="C665" s="27">
        <f>INT(B665/12)</f>
        <v/>
      </c>
      <c r="D665" s="28">
        <f>AgeAtEntry+C665</f>
        <v/>
      </c>
      <c r="E665" s="29">
        <f>IF(PremiumType="SINGLE",IF(B665=0,PremiumPPInput,0),IF(B665&lt;12*PolicyTerm,PremiumPPInput,0))</f>
        <v/>
      </c>
      <c r="F665" s="30">
        <f>INDEX(MortRates,MATCH(MIN(D665,120),MortAges,0),MAX(MIN(C665,5),0)+1)</f>
        <v/>
      </c>
      <c r="G665" s="31">
        <f>1-(1-F665)^(1/12)</f>
        <v/>
      </c>
      <c r="H665" s="32">
        <f>MAX(LapseBase-LapseStep*C665,LapseFloor)</f>
        <v/>
      </c>
      <c r="I665" s="32">
        <f>IF(HasSurrCharge,INDEX(SurrRates,MIN(C665,SurrDurMax)+1,MATCH(SurrChargeID,SurrTypes,0)),0)</f>
        <v/>
      </c>
      <c r="J665" s="33">
        <f>N664-P664-O664</f>
        <v/>
      </c>
      <c r="K665" s="30">
        <f>IF(B665=12*PolicyTerm,J665,0)</f>
        <v/>
      </c>
      <c r="L665" s="33">
        <f>J665-K665</f>
        <v/>
      </c>
      <c r="M665" s="30">
        <f>IF(B665=0,PolicyCount,0)</f>
        <v/>
      </c>
      <c r="N665" s="33">
        <f>L665+M665</f>
        <v/>
      </c>
      <c r="O665" s="31">
        <f>N665*G665</f>
        <v/>
      </c>
      <c r="P665" s="33">
        <f>(N665-O665)*(1-(1-H665)^(1/12))</f>
        <v/>
      </c>
      <c r="Q665" s="34">
        <f>X664+Z664</f>
        <v/>
      </c>
      <c r="R665" s="29">
        <f>(1-LoadPremRate)*E665</f>
        <v/>
      </c>
      <c r="S665" s="34">
        <f>Q665+R665</f>
        <v/>
      </c>
      <c r="T665" s="29">
        <f>MaintFeeRateAnn/12*S665</f>
        <v/>
      </c>
      <c r="U665" s="29">
        <f>MAX(SumAssured-S665,0)</f>
        <v/>
      </c>
      <c r="V665" s="35">
        <f>CoiMultiple*G665</f>
        <v/>
      </c>
      <c r="W665" s="34">
        <f>V665*U665</f>
        <v/>
      </c>
      <c r="X665" s="34">
        <f>S665-T665-W665</f>
        <v/>
      </c>
      <c r="Y665" s="36">
        <f>EXP((Mu-0.5*Sigma^2)/12+Sigma*SQRT(1/12)*INDEX(NormRand,ScenID,A665+1))-1</f>
        <v/>
      </c>
      <c r="Z665" s="34">
        <f>Y665*X665</f>
        <v/>
      </c>
      <c r="AA665" s="34">
        <f>X665+0.5*Z665</f>
        <v/>
      </c>
      <c r="AB665" s="34">
        <f>Q665*J665</f>
        <v/>
      </c>
      <c r="AC665" s="34">
        <f>Q665*L665</f>
        <v/>
      </c>
      <c r="AD665" s="34">
        <f>S665*N665</f>
        <v/>
      </c>
      <c r="AE665" s="34">
        <f>E665*N665</f>
        <v/>
      </c>
      <c r="AF665" s="34">
        <f>R665*N665</f>
        <v/>
      </c>
      <c r="AG665" s="29">
        <f>MAX(SumAssured,AA665)</f>
        <v/>
      </c>
      <c r="AH665" s="34">
        <f>AG665*O665</f>
        <v/>
      </c>
      <c r="AI665" s="34">
        <f>AA665*O665</f>
        <v/>
      </c>
      <c r="AJ665" s="34">
        <f>AA665*P665</f>
        <v/>
      </c>
      <c r="AK665" s="34">
        <f>I665*AA665*P665</f>
        <v/>
      </c>
      <c r="AL665" s="34">
        <f>AJ665-AK665</f>
        <v/>
      </c>
      <c r="AM665" s="34">
        <f>Q665*K665</f>
        <v/>
      </c>
      <c r="AN665" s="34">
        <f>AH665+AL665+AM665</f>
        <v/>
      </c>
      <c r="AO665" s="34">
        <f>(AG665-AA665)*O665</f>
        <v/>
      </c>
      <c r="AP665" s="34">
        <f>W665*N665</f>
        <v/>
      </c>
      <c r="AQ665" s="34">
        <f>T665*N665</f>
        <v/>
      </c>
      <c r="AR665" s="34">
        <f>Z665*J666+0.5*Z665*(O665+P665)</f>
        <v/>
      </c>
      <c r="AS665" s="30">
        <f>(1+InflationRate)^(A665/12)</f>
        <v/>
      </c>
      <c r="AT665" s="29">
        <f>ExpenseAcq*M665+N665*ExpenseMaint/12*AS665</f>
        <v/>
      </c>
      <c r="AU665" s="29">
        <f>CommissionRate*AE665</f>
        <v/>
      </c>
      <c r="AV665" s="34">
        <f>AB666-AB665</f>
        <v/>
      </c>
      <c r="AW665" s="34">
        <f>AE665+AR665-AN665-AT665-AU665-AV665</f>
        <v/>
      </c>
      <c r="AX665" s="29">
        <f>LoadPremRate*E665*N665+AK665+AQ665-AU665-AT665</f>
        <v/>
      </c>
      <c r="AY665" s="34">
        <f>AP665-AO665</f>
        <v/>
      </c>
      <c r="AZ665" s="37">
        <f>(AW665-AX665-AY665)/MAX(1,ABS(AW665),ABS(AX665),ABS(AY665))</f>
        <v/>
      </c>
      <c r="BA665" s="37">
        <f>IF(OR(K665&gt;0,K666&gt;0),0,(AC666-(AC665+AF665-AQ665-AP665+AR665-AI665-AJ665-AM665))/MAX(1,ABS(AC665),ABS(AC666)))</f>
        <v/>
      </c>
      <c r="BB665" s="35">
        <f>(1+INDEX(DiscRateAnn,INT(A665/12)+1))^(1/12)-1</f>
        <v/>
      </c>
      <c r="BC665" s="31">
        <f>(1+BB665)^-A665</f>
        <v/>
      </c>
      <c r="BD665" s="34">
        <f>AW665*BC665</f>
        <v/>
      </c>
    </row>
    <row r="666">
      <c r="A666" s="27">
        <f>A665+1</f>
        <v/>
      </c>
      <c r="B666" s="28">
        <f>Duration0+A666</f>
        <v/>
      </c>
      <c r="C666" s="27">
        <f>INT(B666/12)</f>
        <v/>
      </c>
      <c r="D666" s="28">
        <f>AgeAtEntry+C666</f>
        <v/>
      </c>
      <c r="E666" s="29">
        <f>IF(PremiumType="SINGLE",IF(B666=0,PremiumPPInput,0),IF(B666&lt;12*PolicyTerm,PremiumPPInput,0))</f>
        <v/>
      </c>
      <c r="F666" s="30">
        <f>INDEX(MortRates,MATCH(MIN(D666,120),MortAges,0),MAX(MIN(C666,5),0)+1)</f>
        <v/>
      </c>
      <c r="G666" s="31">
        <f>1-(1-F666)^(1/12)</f>
        <v/>
      </c>
      <c r="H666" s="32">
        <f>MAX(LapseBase-LapseStep*C666,LapseFloor)</f>
        <v/>
      </c>
      <c r="I666" s="32">
        <f>IF(HasSurrCharge,INDEX(SurrRates,MIN(C666,SurrDurMax)+1,MATCH(SurrChargeID,SurrTypes,0)),0)</f>
        <v/>
      </c>
      <c r="J666" s="33">
        <f>N665-P665-O665</f>
        <v/>
      </c>
      <c r="K666" s="30">
        <f>IF(B666=12*PolicyTerm,J666,0)</f>
        <v/>
      </c>
      <c r="L666" s="33">
        <f>J666-K666</f>
        <v/>
      </c>
      <c r="M666" s="30">
        <f>IF(B666=0,PolicyCount,0)</f>
        <v/>
      </c>
      <c r="N666" s="33">
        <f>L666+M666</f>
        <v/>
      </c>
      <c r="O666" s="31">
        <f>N666*G666</f>
        <v/>
      </c>
      <c r="P666" s="33">
        <f>(N666-O666)*(1-(1-H666)^(1/12))</f>
        <v/>
      </c>
      <c r="Q666" s="34">
        <f>X665+Z665</f>
        <v/>
      </c>
      <c r="R666" s="29">
        <f>(1-LoadPremRate)*E666</f>
        <v/>
      </c>
      <c r="S666" s="34">
        <f>Q666+R666</f>
        <v/>
      </c>
      <c r="T666" s="29">
        <f>MaintFeeRateAnn/12*S666</f>
        <v/>
      </c>
      <c r="U666" s="29">
        <f>MAX(SumAssured-S666,0)</f>
        <v/>
      </c>
      <c r="V666" s="35">
        <f>CoiMultiple*G666</f>
        <v/>
      </c>
      <c r="W666" s="34">
        <f>V666*U666</f>
        <v/>
      </c>
      <c r="X666" s="34">
        <f>S666-T666-W666</f>
        <v/>
      </c>
      <c r="Y666" s="36">
        <f>EXP((Mu-0.5*Sigma^2)/12+Sigma*SQRT(1/12)*INDEX(NormRand,ScenID,A666+1))-1</f>
        <v/>
      </c>
      <c r="Z666" s="34">
        <f>Y666*X666</f>
        <v/>
      </c>
      <c r="AA666" s="34">
        <f>X666+0.5*Z666</f>
        <v/>
      </c>
      <c r="AB666" s="34">
        <f>Q666*J666</f>
        <v/>
      </c>
      <c r="AC666" s="34">
        <f>Q666*L666</f>
        <v/>
      </c>
      <c r="AD666" s="34">
        <f>S666*N666</f>
        <v/>
      </c>
      <c r="AE666" s="34">
        <f>E666*N666</f>
        <v/>
      </c>
      <c r="AF666" s="34">
        <f>R666*N666</f>
        <v/>
      </c>
      <c r="AG666" s="29">
        <f>MAX(SumAssured,AA666)</f>
        <v/>
      </c>
      <c r="AH666" s="34">
        <f>AG666*O666</f>
        <v/>
      </c>
      <c r="AI666" s="34">
        <f>AA666*O666</f>
        <v/>
      </c>
      <c r="AJ666" s="34">
        <f>AA666*P666</f>
        <v/>
      </c>
      <c r="AK666" s="34">
        <f>I666*AA666*P666</f>
        <v/>
      </c>
      <c r="AL666" s="34">
        <f>AJ666-AK666</f>
        <v/>
      </c>
      <c r="AM666" s="34">
        <f>Q666*K666</f>
        <v/>
      </c>
      <c r="AN666" s="34">
        <f>AH666+AL666+AM666</f>
        <v/>
      </c>
      <c r="AO666" s="34">
        <f>(AG666-AA666)*O666</f>
        <v/>
      </c>
      <c r="AP666" s="34">
        <f>W666*N666</f>
        <v/>
      </c>
      <c r="AQ666" s="34">
        <f>T666*N666</f>
        <v/>
      </c>
      <c r="AR666" s="34">
        <f>Z666*J667+0.5*Z666*(O666+P666)</f>
        <v/>
      </c>
      <c r="AS666" s="30">
        <f>(1+InflationRate)^(A666/12)</f>
        <v/>
      </c>
      <c r="AT666" s="29">
        <f>ExpenseAcq*M666+N666*ExpenseMaint/12*AS666</f>
        <v/>
      </c>
      <c r="AU666" s="29">
        <f>CommissionRate*AE666</f>
        <v/>
      </c>
      <c r="AV666" s="34">
        <f>AB667-AB666</f>
        <v/>
      </c>
      <c r="AW666" s="34">
        <f>AE666+AR666-AN666-AT666-AU666-AV666</f>
        <v/>
      </c>
      <c r="AX666" s="29">
        <f>LoadPremRate*E666*N666+AK666+AQ666-AU666-AT666</f>
        <v/>
      </c>
      <c r="AY666" s="34">
        <f>AP666-AO666</f>
        <v/>
      </c>
      <c r="AZ666" s="37">
        <f>(AW666-AX666-AY666)/MAX(1,ABS(AW666),ABS(AX666),ABS(AY666))</f>
        <v/>
      </c>
      <c r="BA666" s="37">
        <f>IF(OR(K666&gt;0,K667&gt;0),0,(AC667-(AC666+AF666-AQ666-AP666+AR666-AI666-AJ666-AM666))/MAX(1,ABS(AC666),ABS(AC667)))</f>
        <v/>
      </c>
      <c r="BB666" s="35">
        <f>(1+INDEX(DiscRateAnn,INT(A666/12)+1))^(1/12)-1</f>
        <v/>
      </c>
      <c r="BC666" s="31">
        <f>(1+BB666)^-A666</f>
        <v/>
      </c>
      <c r="BD666" s="34">
        <f>AW666*BC666</f>
        <v/>
      </c>
    </row>
    <row r="667">
      <c r="A667" s="27">
        <f>A666+1</f>
        <v/>
      </c>
      <c r="B667" s="28">
        <f>Duration0+A667</f>
        <v/>
      </c>
      <c r="C667" s="27">
        <f>INT(B667/12)</f>
        <v/>
      </c>
      <c r="D667" s="28">
        <f>AgeAtEntry+C667</f>
        <v/>
      </c>
      <c r="E667" s="29">
        <f>IF(PremiumType="SINGLE",IF(B667=0,PremiumPPInput,0),IF(B667&lt;12*PolicyTerm,PremiumPPInput,0))</f>
        <v/>
      </c>
      <c r="F667" s="30">
        <f>INDEX(MortRates,MATCH(MIN(D667,120),MortAges,0),MAX(MIN(C667,5),0)+1)</f>
        <v/>
      </c>
      <c r="G667" s="31">
        <f>1-(1-F667)^(1/12)</f>
        <v/>
      </c>
      <c r="H667" s="32">
        <f>MAX(LapseBase-LapseStep*C667,LapseFloor)</f>
        <v/>
      </c>
      <c r="I667" s="32">
        <f>IF(HasSurrCharge,INDEX(SurrRates,MIN(C667,SurrDurMax)+1,MATCH(SurrChargeID,SurrTypes,0)),0)</f>
        <v/>
      </c>
      <c r="J667" s="33">
        <f>N666-P666-O666</f>
        <v/>
      </c>
      <c r="K667" s="30">
        <f>IF(B667=12*PolicyTerm,J667,0)</f>
        <v/>
      </c>
      <c r="L667" s="33">
        <f>J667-K667</f>
        <v/>
      </c>
      <c r="M667" s="30">
        <f>IF(B667=0,PolicyCount,0)</f>
        <v/>
      </c>
      <c r="N667" s="33">
        <f>L667+M667</f>
        <v/>
      </c>
      <c r="O667" s="31">
        <f>N667*G667</f>
        <v/>
      </c>
      <c r="P667" s="33">
        <f>(N667-O667)*(1-(1-H667)^(1/12))</f>
        <v/>
      </c>
      <c r="Q667" s="34">
        <f>X666+Z666</f>
        <v/>
      </c>
      <c r="R667" s="29">
        <f>(1-LoadPremRate)*E667</f>
        <v/>
      </c>
      <c r="S667" s="34">
        <f>Q667+R667</f>
        <v/>
      </c>
      <c r="T667" s="29">
        <f>MaintFeeRateAnn/12*S667</f>
        <v/>
      </c>
      <c r="U667" s="29">
        <f>MAX(SumAssured-S667,0)</f>
        <v/>
      </c>
      <c r="V667" s="35">
        <f>CoiMultiple*G667</f>
        <v/>
      </c>
      <c r="W667" s="34">
        <f>V667*U667</f>
        <v/>
      </c>
      <c r="X667" s="34">
        <f>S667-T667-W667</f>
        <v/>
      </c>
      <c r="Y667" s="36">
        <f>EXP((Mu-0.5*Sigma^2)/12+Sigma*SQRT(1/12)*INDEX(NormRand,ScenID,A667+1))-1</f>
        <v/>
      </c>
      <c r="Z667" s="34">
        <f>Y667*X667</f>
        <v/>
      </c>
      <c r="AA667" s="34">
        <f>X667+0.5*Z667</f>
        <v/>
      </c>
      <c r="AB667" s="34">
        <f>Q667*J667</f>
        <v/>
      </c>
      <c r="AC667" s="34">
        <f>Q667*L667</f>
        <v/>
      </c>
      <c r="AD667" s="34">
        <f>S667*N667</f>
        <v/>
      </c>
      <c r="AE667" s="34">
        <f>E667*N667</f>
        <v/>
      </c>
      <c r="AF667" s="34">
        <f>R667*N667</f>
        <v/>
      </c>
      <c r="AG667" s="29">
        <f>MAX(SumAssured,AA667)</f>
        <v/>
      </c>
      <c r="AH667" s="34">
        <f>AG667*O667</f>
        <v/>
      </c>
      <c r="AI667" s="34">
        <f>AA667*O667</f>
        <v/>
      </c>
      <c r="AJ667" s="34">
        <f>AA667*P667</f>
        <v/>
      </c>
      <c r="AK667" s="34">
        <f>I667*AA667*P667</f>
        <v/>
      </c>
      <c r="AL667" s="34">
        <f>AJ667-AK667</f>
        <v/>
      </c>
      <c r="AM667" s="34">
        <f>Q667*K667</f>
        <v/>
      </c>
      <c r="AN667" s="34">
        <f>AH667+AL667+AM667</f>
        <v/>
      </c>
      <c r="AO667" s="34">
        <f>(AG667-AA667)*O667</f>
        <v/>
      </c>
      <c r="AP667" s="34">
        <f>W667*N667</f>
        <v/>
      </c>
      <c r="AQ667" s="34">
        <f>T667*N667</f>
        <v/>
      </c>
      <c r="AR667" s="34">
        <f>Z667*J668+0.5*Z667*(O667+P667)</f>
        <v/>
      </c>
      <c r="AS667" s="30">
        <f>(1+InflationRate)^(A667/12)</f>
        <v/>
      </c>
      <c r="AT667" s="29">
        <f>ExpenseAcq*M667+N667*ExpenseMaint/12*AS667</f>
        <v/>
      </c>
      <c r="AU667" s="29">
        <f>CommissionRate*AE667</f>
        <v/>
      </c>
      <c r="AV667" s="34">
        <f>AB668-AB667</f>
        <v/>
      </c>
      <c r="AW667" s="34">
        <f>AE667+AR667-AN667-AT667-AU667-AV667</f>
        <v/>
      </c>
      <c r="AX667" s="29">
        <f>LoadPremRate*E667*N667+AK667+AQ667-AU667-AT667</f>
        <v/>
      </c>
      <c r="AY667" s="34">
        <f>AP667-AO667</f>
        <v/>
      </c>
      <c r="AZ667" s="37">
        <f>(AW667-AX667-AY667)/MAX(1,ABS(AW667),ABS(AX667),ABS(AY667))</f>
        <v/>
      </c>
      <c r="BA667" s="37">
        <f>IF(OR(K667&gt;0,K668&gt;0),0,(AC668-(AC667+AF667-AQ667-AP667+AR667-AI667-AJ667-AM667))/MAX(1,ABS(AC667),ABS(AC668)))</f>
        <v/>
      </c>
      <c r="BB667" s="35">
        <f>(1+INDEX(DiscRateAnn,INT(A667/12)+1))^(1/12)-1</f>
        <v/>
      </c>
      <c r="BC667" s="31">
        <f>(1+BB667)^-A667</f>
        <v/>
      </c>
      <c r="BD667" s="34">
        <f>AW667*BC667</f>
        <v/>
      </c>
    </row>
    <row r="668">
      <c r="A668" s="27">
        <f>A667+1</f>
        <v/>
      </c>
      <c r="B668" s="28">
        <f>Duration0+A668</f>
        <v/>
      </c>
      <c r="C668" s="27">
        <f>INT(B668/12)</f>
        <v/>
      </c>
      <c r="D668" s="28">
        <f>AgeAtEntry+C668</f>
        <v/>
      </c>
      <c r="E668" s="29">
        <f>IF(PremiumType="SINGLE",IF(B668=0,PremiumPPInput,0),IF(B668&lt;12*PolicyTerm,PremiumPPInput,0))</f>
        <v/>
      </c>
      <c r="F668" s="30">
        <f>INDEX(MortRates,MATCH(MIN(D668,120),MortAges,0),MAX(MIN(C668,5),0)+1)</f>
        <v/>
      </c>
      <c r="G668" s="31">
        <f>1-(1-F668)^(1/12)</f>
        <v/>
      </c>
      <c r="H668" s="32">
        <f>MAX(LapseBase-LapseStep*C668,LapseFloor)</f>
        <v/>
      </c>
      <c r="I668" s="32">
        <f>IF(HasSurrCharge,INDEX(SurrRates,MIN(C668,SurrDurMax)+1,MATCH(SurrChargeID,SurrTypes,0)),0)</f>
        <v/>
      </c>
      <c r="J668" s="33">
        <f>N667-P667-O667</f>
        <v/>
      </c>
      <c r="K668" s="30">
        <f>IF(B668=12*PolicyTerm,J668,0)</f>
        <v/>
      </c>
      <c r="L668" s="33">
        <f>J668-K668</f>
        <v/>
      </c>
      <c r="M668" s="30">
        <f>IF(B668=0,PolicyCount,0)</f>
        <v/>
      </c>
      <c r="N668" s="33">
        <f>L668+M668</f>
        <v/>
      </c>
      <c r="O668" s="31">
        <f>N668*G668</f>
        <v/>
      </c>
      <c r="P668" s="33">
        <f>(N668-O668)*(1-(1-H668)^(1/12))</f>
        <v/>
      </c>
      <c r="Q668" s="34">
        <f>X667+Z667</f>
        <v/>
      </c>
      <c r="R668" s="29">
        <f>(1-LoadPremRate)*E668</f>
        <v/>
      </c>
      <c r="S668" s="34">
        <f>Q668+R668</f>
        <v/>
      </c>
      <c r="T668" s="29">
        <f>MaintFeeRateAnn/12*S668</f>
        <v/>
      </c>
      <c r="U668" s="29">
        <f>MAX(SumAssured-S668,0)</f>
        <v/>
      </c>
      <c r="V668" s="35">
        <f>CoiMultiple*G668</f>
        <v/>
      </c>
      <c r="W668" s="34">
        <f>V668*U668</f>
        <v/>
      </c>
      <c r="X668" s="34">
        <f>S668-T668-W668</f>
        <v/>
      </c>
      <c r="Y668" s="36">
        <f>EXP((Mu-0.5*Sigma^2)/12+Sigma*SQRT(1/12)*INDEX(NormRand,ScenID,A668+1))-1</f>
        <v/>
      </c>
      <c r="Z668" s="34">
        <f>Y668*X668</f>
        <v/>
      </c>
      <c r="AA668" s="34">
        <f>X668+0.5*Z668</f>
        <v/>
      </c>
      <c r="AB668" s="34">
        <f>Q668*J668</f>
        <v/>
      </c>
      <c r="AC668" s="34">
        <f>Q668*L668</f>
        <v/>
      </c>
      <c r="AD668" s="34">
        <f>S668*N668</f>
        <v/>
      </c>
      <c r="AE668" s="34">
        <f>E668*N668</f>
        <v/>
      </c>
      <c r="AF668" s="34">
        <f>R668*N668</f>
        <v/>
      </c>
      <c r="AG668" s="29">
        <f>MAX(SumAssured,AA668)</f>
        <v/>
      </c>
      <c r="AH668" s="34">
        <f>AG668*O668</f>
        <v/>
      </c>
      <c r="AI668" s="34">
        <f>AA668*O668</f>
        <v/>
      </c>
      <c r="AJ668" s="34">
        <f>AA668*P668</f>
        <v/>
      </c>
      <c r="AK668" s="34">
        <f>I668*AA668*P668</f>
        <v/>
      </c>
      <c r="AL668" s="34">
        <f>AJ668-AK668</f>
        <v/>
      </c>
      <c r="AM668" s="34">
        <f>Q668*K668</f>
        <v/>
      </c>
      <c r="AN668" s="34">
        <f>AH668+AL668+AM668</f>
        <v/>
      </c>
      <c r="AO668" s="34">
        <f>(AG668-AA668)*O668</f>
        <v/>
      </c>
      <c r="AP668" s="34">
        <f>W668*N668</f>
        <v/>
      </c>
      <c r="AQ668" s="34">
        <f>T668*N668</f>
        <v/>
      </c>
      <c r="AR668" s="34">
        <f>Z668*J669+0.5*Z668*(O668+P668)</f>
        <v/>
      </c>
      <c r="AS668" s="30">
        <f>(1+InflationRate)^(A668/12)</f>
        <v/>
      </c>
      <c r="AT668" s="29">
        <f>ExpenseAcq*M668+N668*ExpenseMaint/12*AS668</f>
        <v/>
      </c>
      <c r="AU668" s="29">
        <f>CommissionRate*AE668</f>
        <v/>
      </c>
      <c r="AV668" s="34">
        <f>AB669-AB668</f>
        <v/>
      </c>
      <c r="AW668" s="34">
        <f>AE668+AR668-AN668-AT668-AU668-AV668</f>
        <v/>
      </c>
      <c r="AX668" s="29">
        <f>LoadPremRate*E668*N668+AK668+AQ668-AU668-AT668</f>
        <v/>
      </c>
      <c r="AY668" s="34">
        <f>AP668-AO668</f>
        <v/>
      </c>
      <c r="AZ668" s="37">
        <f>(AW668-AX668-AY668)/MAX(1,ABS(AW668),ABS(AX668),ABS(AY668))</f>
        <v/>
      </c>
      <c r="BA668" s="37">
        <f>IF(OR(K668&gt;0,K669&gt;0),0,(AC669-(AC668+AF668-AQ668-AP668+AR668-AI668-AJ668-AM668))/MAX(1,ABS(AC668),ABS(AC669)))</f>
        <v/>
      </c>
      <c r="BB668" s="35">
        <f>(1+INDEX(DiscRateAnn,INT(A668/12)+1))^(1/12)-1</f>
        <v/>
      </c>
      <c r="BC668" s="31">
        <f>(1+BB668)^-A668</f>
        <v/>
      </c>
      <c r="BD668" s="34">
        <f>AW668*BC668</f>
        <v/>
      </c>
    </row>
    <row r="669">
      <c r="A669" s="27">
        <f>A668+1</f>
        <v/>
      </c>
      <c r="B669" s="28">
        <f>Duration0+A669</f>
        <v/>
      </c>
      <c r="C669" s="27">
        <f>INT(B669/12)</f>
        <v/>
      </c>
      <c r="D669" s="28">
        <f>AgeAtEntry+C669</f>
        <v/>
      </c>
      <c r="E669" s="29">
        <f>IF(PremiumType="SINGLE",IF(B669=0,PremiumPPInput,0),IF(B669&lt;12*PolicyTerm,PremiumPPInput,0))</f>
        <v/>
      </c>
      <c r="F669" s="30">
        <f>INDEX(MortRates,MATCH(MIN(D669,120),MortAges,0),MAX(MIN(C669,5),0)+1)</f>
        <v/>
      </c>
      <c r="G669" s="31">
        <f>1-(1-F669)^(1/12)</f>
        <v/>
      </c>
      <c r="H669" s="32">
        <f>MAX(LapseBase-LapseStep*C669,LapseFloor)</f>
        <v/>
      </c>
      <c r="I669" s="32">
        <f>IF(HasSurrCharge,INDEX(SurrRates,MIN(C669,SurrDurMax)+1,MATCH(SurrChargeID,SurrTypes,0)),0)</f>
        <v/>
      </c>
      <c r="J669" s="33">
        <f>N668-P668-O668</f>
        <v/>
      </c>
      <c r="K669" s="30">
        <f>IF(B669=12*PolicyTerm,J669,0)</f>
        <v/>
      </c>
      <c r="L669" s="33">
        <f>J669-K669</f>
        <v/>
      </c>
      <c r="M669" s="30">
        <f>IF(B669=0,PolicyCount,0)</f>
        <v/>
      </c>
      <c r="N669" s="33">
        <f>L669+M669</f>
        <v/>
      </c>
      <c r="O669" s="31">
        <f>N669*G669</f>
        <v/>
      </c>
      <c r="P669" s="33">
        <f>(N669-O669)*(1-(1-H669)^(1/12))</f>
        <v/>
      </c>
      <c r="Q669" s="34">
        <f>X668+Z668</f>
        <v/>
      </c>
      <c r="R669" s="29">
        <f>(1-LoadPremRate)*E669</f>
        <v/>
      </c>
      <c r="S669" s="34">
        <f>Q669+R669</f>
        <v/>
      </c>
      <c r="T669" s="29">
        <f>MaintFeeRateAnn/12*S669</f>
        <v/>
      </c>
      <c r="U669" s="29">
        <f>MAX(SumAssured-S669,0)</f>
        <v/>
      </c>
      <c r="V669" s="35">
        <f>CoiMultiple*G669</f>
        <v/>
      </c>
      <c r="W669" s="34">
        <f>V669*U669</f>
        <v/>
      </c>
      <c r="X669" s="34">
        <f>S669-T669-W669</f>
        <v/>
      </c>
      <c r="Y669" s="36">
        <f>EXP((Mu-0.5*Sigma^2)/12+Sigma*SQRT(1/12)*INDEX(NormRand,ScenID,A669+1))-1</f>
        <v/>
      </c>
      <c r="Z669" s="34">
        <f>Y669*X669</f>
        <v/>
      </c>
      <c r="AA669" s="34">
        <f>X669+0.5*Z669</f>
        <v/>
      </c>
      <c r="AB669" s="34">
        <f>Q669*J669</f>
        <v/>
      </c>
      <c r="AC669" s="34">
        <f>Q669*L669</f>
        <v/>
      </c>
      <c r="AD669" s="34">
        <f>S669*N669</f>
        <v/>
      </c>
      <c r="AE669" s="34">
        <f>E669*N669</f>
        <v/>
      </c>
      <c r="AF669" s="34">
        <f>R669*N669</f>
        <v/>
      </c>
      <c r="AG669" s="29">
        <f>MAX(SumAssured,AA669)</f>
        <v/>
      </c>
      <c r="AH669" s="34">
        <f>AG669*O669</f>
        <v/>
      </c>
      <c r="AI669" s="34">
        <f>AA669*O669</f>
        <v/>
      </c>
      <c r="AJ669" s="34">
        <f>AA669*P669</f>
        <v/>
      </c>
      <c r="AK669" s="34">
        <f>I669*AA669*P669</f>
        <v/>
      </c>
      <c r="AL669" s="34">
        <f>AJ669-AK669</f>
        <v/>
      </c>
      <c r="AM669" s="34">
        <f>Q669*K669</f>
        <v/>
      </c>
      <c r="AN669" s="34">
        <f>AH669+AL669+AM669</f>
        <v/>
      </c>
      <c r="AO669" s="34">
        <f>(AG669-AA669)*O669</f>
        <v/>
      </c>
      <c r="AP669" s="34">
        <f>W669*N669</f>
        <v/>
      </c>
      <c r="AQ669" s="34">
        <f>T669*N669</f>
        <v/>
      </c>
      <c r="AR669" s="34">
        <f>Z669*J670+0.5*Z669*(O669+P669)</f>
        <v/>
      </c>
      <c r="AS669" s="30">
        <f>(1+InflationRate)^(A669/12)</f>
        <v/>
      </c>
      <c r="AT669" s="29">
        <f>ExpenseAcq*M669+N669*ExpenseMaint/12*AS669</f>
        <v/>
      </c>
      <c r="AU669" s="29">
        <f>CommissionRate*AE669</f>
        <v/>
      </c>
      <c r="AV669" s="34">
        <f>AB670-AB669</f>
        <v/>
      </c>
      <c r="AW669" s="34">
        <f>AE669+AR669-AN669-AT669-AU669-AV669</f>
        <v/>
      </c>
      <c r="AX669" s="29">
        <f>LoadPremRate*E669*N669+AK669+AQ669-AU669-AT669</f>
        <v/>
      </c>
      <c r="AY669" s="34">
        <f>AP669-AO669</f>
        <v/>
      </c>
      <c r="AZ669" s="37">
        <f>(AW669-AX669-AY669)/MAX(1,ABS(AW669),ABS(AX669),ABS(AY669))</f>
        <v/>
      </c>
      <c r="BA669" s="37">
        <f>IF(OR(K669&gt;0,K670&gt;0),0,(AC670-(AC669+AF669-AQ669-AP669+AR669-AI669-AJ669-AM669))/MAX(1,ABS(AC669),ABS(AC670)))</f>
        <v/>
      </c>
      <c r="BB669" s="35">
        <f>(1+INDEX(DiscRateAnn,INT(A669/12)+1))^(1/12)-1</f>
        <v/>
      </c>
      <c r="BC669" s="31">
        <f>(1+BB669)^-A669</f>
        <v/>
      </c>
      <c r="BD669" s="34">
        <f>AW669*BC669</f>
        <v/>
      </c>
    </row>
    <row r="670">
      <c r="A670" s="27">
        <f>A669+1</f>
        <v/>
      </c>
      <c r="B670" s="28">
        <f>Duration0+A670</f>
        <v/>
      </c>
      <c r="C670" s="27">
        <f>INT(B670/12)</f>
        <v/>
      </c>
      <c r="D670" s="28">
        <f>AgeAtEntry+C670</f>
        <v/>
      </c>
      <c r="E670" s="29">
        <f>IF(PremiumType="SINGLE",IF(B670=0,PremiumPPInput,0),IF(B670&lt;12*PolicyTerm,PremiumPPInput,0))</f>
        <v/>
      </c>
      <c r="F670" s="30">
        <f>INDEX(MortRates,MATCH(MIN(D670,120),MortAges,0),MAX(MIN(C670,5),0)+1)</f>
        <v/>
      </c>
      <c r="G670" s="31">
        <f>1-(1-F670)^(1/12)</f>
        <v/>
      </c>
      <c r="H670" s="32">
        <f>MAX(LapseBase-LapseStep*C670,LapseFloor)</f>
        <v/>
      </c>
      <c r="I670" s="32">
        <f>IF(HasSurrCharge,INDEX(SurrRates,MIN(C670,SurrDurMax)+1,MATCH(SurrChargeID,SurrTypes,0)),0)</f>
        <v/>
      </c>
      <c r="J670" s="33">
        <f>N669-P669-O669</f>
        <v/>
      </c>
      <c r="K670" s="30">
        <f>IF(B670=12*PolicyTerm,J670,0)</f>
        <v/>
      </c>
      <c r="L670" s="33">
        <f>J670-K670</f>
        <v/>
      </c>
      <c r="M670" s="30">
        <f>IF(B670=0,PolicyCount,0)</f>
        <v/>
      </c>
      <c r="N670" s="33">
        <f>L670+M670</f>
        <v/>
      </c>
      <c r="O670" s="31">
        <f>N670*G670</f>
        <v/>
      </c>
      <c r="P670" s="33">
        <f>(N670-O670)*(1-(1-H670)^(1/12))</f>
        <v/>
      </c>
      <c r="Q670" s="34">
        <f>X669+Z669</f>
        <v/>
      </c>
      <c r="R670" s="29">
        <f>(1-LoadPremRate)*E670</f>
        <v/>
      </c>
      <c r="S670" s="34">
        <f>Q670+R670</f>
        <v/>
      </c>
      <c r="T670" s="29">
        <f>MaintFeeRateAnn/12*S670</f>
        <v/>
      </c>
      <c r="U670" s="29">
        <f>MAX(SumAssured-S670,0)</f>
        <v/>
      </c>
      <c r="V670" s="35">
        <f>CoiMultiple*G670</f>
        <v/>
      </c>
      <c r="W670" s="34">
        <f>V670*U670</f>
        <v/>
      </c>
      <c r="X670" s="34">
        <f>S670-T670-W670</f>
        <v/>
      </c>
      <c r="Y670" s="36">
        <f>EXP((Mu-0.5*Sigma^2)/12+Sigma*SQRT(1/12)*INDEX(NormRand,ScenID,A670+1))-1</f>
        <v/>
      </c>
      <c r="Z670" s="34">
        <f>Y670*X670</f>
        <v/>
      </c>
      <c r="AA670" s="34">
        <f>X670+0.5*Z670</f>
        <v/>
      </c>
      <c r="AB670" s="34">
        <f>Q670*J670</f>
        <v/>
      </c>
      <c r="AC670" s="34">
        <f>Q670*L670</f>
        <v/>
      </c>
      <c r="AD670" s="34">
        <f>S670*N670</f>
        <v/>
      </c>
      <c r="AE670" s="34">
        <f>E670*N670</f>
        <v/>
      </c>
      <c r="AF670" s="34">
        <f>R670*N670</f>
        <v/>
      </c>
      <c r="AG670" s="29">
        <f>MAX(SumAssured,AA670)</f>
        <v/>
      </c>
      <c r="AH670" s="34">
        <f>AG670*O670</f>
        <v/>
      </c>
      <c r="AI670" s="34">
        <f>AA670*O670</f>
        <v/>
      </c>
      <c r="AJ670" s="34">
        <f>AA670*P670</f>
        <v/>
      </c>
      <c r="AK670" s="34">
        <f>I670*AA670*P670</f>
        <v/>
      </c>
      <c r="AL670" s="34">
        <f>AJ670-AK670</f>
        <v/>
      </c>
      <c r="AM670" s="34">
        <f>Q670*K670</f>
        <v/>
      </c>
      <c r="AN670" s="34">
        <f>AH670+AL670+AM670</f>
        <v/>
      </c>
      <c r="AO670" s="34">
        <f>(AG670-AA670)*O670</f>
        <v/>
      </c>
      <c r="AP670" s="34">
        <f>W670*N670</f>
        <v/>
      </c>
      <c r="AQ670" s="34">
        <f>T670*N670</f>
        <v/>
      </c>
      <c r="AR670" s="34">
        <f>Z670*J671+0.5*Z670*(O670+P670)</f>
        <v/>
      </c>
      <c r="AS670" s="30">
        <f>(1+InflationRate)^(A670/12)</f>
        <v/>
      </c>
      <c r="AT670" s="29">
        <f>ExpenseAcq*M670+N670*ExpenseMaint/12*AS670</f>
        <v/>
      </c>
      <c r="AU670" s="29">
        <f>CommissionRate*AE670</f>
        <v/>
      </c>
      <c r="AV670" s="34">
        <f>AB671-AB670</f>
        <v/>
      </c>
      <c r="AW670" s="34">
        <f>AE670+AR670-AN670-AT670-AU670-AV670</f>
        <v/>
      </c>
      <c r="AX670" s="29">
        <f>LoadPremRate*E670*N670+AK670+AQ670-AU670-AT670</f>
        <v/>
      </c>
      <c r="AY670" s="34">
        <f>AP670-AO670</f>
        <v/>
      </c>
      <c r="AZ670" s="37">
        <f>(AW670-AX670-AY670)/MAX(1,ABS(AW670),ABS(AX670),ABS(AY670))</f>
        <v/>
      </c>
      <c r="BA670" s="37">
        <f>IF(OR(K670&gt;0,K671&gt;0),0,(AC671-(AC670+AF670-AQ670-AP670+AR670-AI670-AJ670-AM670))/MAX(1,ABS(AC670),ABS(AC671)))</f>
        <v/>
      </c>
      <c r="BB670" s="35">
        <f>(1+INDEX(DiscRateAnn,INT(A670/12)+1))^(1/12)-1</f>
        <v/>
      </c>
      <c r="BC670" s="31">
        <f>(1+BB670)^-A670</f>
        <v/>
      </c>
      <c r="BD670" s="34">
        <f>AW670*BC670</f>
        <v/>
      </c>
    </row>
    <row r="671">
      <c r="A671" s="27">
        <f>A670+1</f>
        <v/>
      </c>
      <c r="B671" s="28">
        <f>Duration0+A671</f>
        <v/>
      </c>
      <c r="C671" s="27">
        <f>INT(B671/12)</f>
        <v/>
      </c>
      <c r="D671" s="28">
        <f>AgeAtEntry+C671</f>
        <v/>
      </c>
      <c r="E671" s="29">
        <f>IF(PremiumType="SINGLE",IF(B671=0,PremiumPPInput,0),IF(B671&lt;12*PolicyTerm,PremiumPPInput,0))</f>
        <v/>
      </c>
      <c r="F671" s="30">
        <f>INDEX(MortRates,MATCH(MIN(D671,120),MortAges,0),MAX(MIN(C671,5),0)+1)</f>
        <v/>
      </c>
      <c r="G671" s="31">
        <f>1-(1-F671)^(1/12)</f>
        <v/>
      </c>
      <c r="H671" s="32">
        <f>MAX(LapseBase-LapseStep*C671,LapseFloor)</f>
        <v/>
      </c>
      <c r="I671" s="32">
        <f>IF(HasSurrCharge,INDEX(SurrRates,MIN(C671,SurrDurMax)+1,MATCH(SurrChargeID,SurrTypes,0)),0)</f>
        <v/>
      </c>
      <c r="J671" s="33">
        <f>N670-P670-O670</f>
        <v/>
      </c>
      <c r="K671" s="30">
        <f>IF(B671=12*PolicyTerm,J671,0)</f>
        <v/>
      </c>
      <c r="L671" s="33">
        <f>J671-K671</f>
        <v/>
      </c>
      <c r="M671" s="30">
        <f>IF(B671=0,PolicyCount,0)</f>
        <v/>
      </c>
      <c r="N671" s="33">
        <f>L671+M671</f>
        <v/>
      </c>
      <c r="O671" s="31">
        <f>N671*G671</f>
        <v/>
      </c>
      <c r="P671" s="33">
        <f>(N671-O671)*(1-(1-H671)^(1/12))</f>
        <v/>
      </c>
      <c r="Q671" s="34">
        <f>X670+Z670</f>
        <v/>
      </c>
      <c r="R671" s="29">
        <f>(1-LoadPremRate)*E671</f>
        <v/>
      </c>
      <c r="S671" s="34">
        <f>Q671+R671</f>
        <v/>
      </c>
      <c r="T671" s="29">
        <f>MaintFeeRateAnn/12*S671</f>
        <v/>
      </c>
      <c r="U671" s="29">
        <f>MAX(SumAssured-S671,0)</f>
        <v/>
      </c>
      <c r="V671" s="35">
        <f>CoiMultiple*G671</f>
        <v/>
      </c>
      <c r="W671" s="34">
        <f>V671*U671</f>
        <v/>
      </c>
      <c r="X671" s="34">
        <f>S671-T671-W671</f>
        <v/>
      </c>
      <c r="Y671" s="36">
        <f>EXP((Mu-0.5*Sigma^2)/12+Sigma*SQRT(1/12)*INDEX(NormRand,ScenID,A671+1))-1</f>
        <v/>
      </c>
      <c r="Z671" s="34">
        <f>Y671*X671</f>
        <v/>
      </c>
      <c r="AA671" s="34">
        <f>X671+0.5*Z671</f>
        <v/>
      </c>
      <c r="AB671" s="34">
        <f>Q671*J671</f>
        <v/>
      </c>
      <c r="AC671" s="34">
        <f>Q671*L671</f>
        <v/>
      </c>
      <c r="AD671" s="34">
        <f>S671*N671</f>
        <v/>
      </c>
      <c r="AE671" s="34">
        <f>E671*N671</f>
        <v/>
      </c>
      <c r="AF671" s="34">
        <f>R671*N671</f>
        <v/>
      </c>
      <c r="AG671" s="29">
        <f>MAX(SumAssured,AA671)</f>
        <v/>
      </c>
      <c r="AH671" s="34">
        <f>AG671*O671</f>
        <v/>
      </c>
      <c r="AI671" s="34">
        <f>AA671*O671</f>
        <v/>
      </c>
      <c r="AJ671" s="34">
        <f>AA671*P671</f>
        <v/>
      </c>
      <c r="AK671" s="34">
        <f>I671*AA671*P671</f>
        <v/>
      </c>
      <c r="AL671" s="34">
        <f>AJ671-AK671</f>
        <v/>
      </c>
      <c r="AM671" s="34">
        <f>Q671*K671</f>
        <v/>
      </c>
      <c r="AN671" s="34">
        <f>AH671+AL671+AM671</f>
        <v/>
      </c>
      <c r="AO671" s="34">
        <f>(AG671-AA671)*O671</f>
        <v/>
      </c>
      <c r="AP671" s="34">
        <f>W671*N671</f>
        <v/>
      </c>
      <c r="AQ671" s="34">
        <f>T671*N671</f>
        <v/>
      </c>
      <c r="AR671" s="34">
        <f>Z671*J672+0.5*Z671*(O671+P671)</f>
        <v/>
      </c>
      <c r="AS671" s="30">
        <f>(1+InflationRate)^(A671/12)</f>
        <v/>
      </c>
      <c r="AT671" s="29">
        <f>ExpenseAcq*M671+N671*ExpenseMaint/12*AS671</f>
        <v/>
      </c>
      <c r="AU671" s="29">
        <f>CommissionRate*AE671</f>
        <v/>
      </c>
      <c r="AV671" s="34">
        <f>AB672-AB671</f>
        <v/>
      </c>
      <c r="AW671" s="34">
        <f>AE671+AR671-AN671-AT671-AU671-AV671</f>
        <v/>
      </c>
      <c r="AX671" s="29">
        <f>LoadPremRate*E671*N671+AK671+AQ671-AU671-AT671</f>
        <v/>
      </c>
      <c r="AY671" s="34">
        <f>AP671-AO671</f>
        <v/>
      </c>
      <c r="AZ671" s="37">
        <f>(AW671-AX671-AY671)/MAX(1,ABS(AW671),ABS(AX671),ABS(AY671))</f>
        <v/>
      </c>
      <c r="BA671" s="37">
        <f>IF(OR(K671&gt;0,K672&gt;0),0,(AC672-(AC671+AF671-AQ671-AP671+AR671-AI671-AJ671-AM671))/MAX(1,ABS(AC671),ABS(AC672)))</f>
        <v/>
      </c>
      <c r="BB671" s="35">
        <f>(1+INDEX(DiscRateAnn,INT(A671/12)+1))^(1/12)-1</f>
        <v/>
      </c>
      <c r="BC671" s="31">
        <f>(1+BB671)^-A671</f>
        <v/>
      </c>
      <c r="BD671" s="34">
        <f>AW671*BC671</f>
        <v/>
      </c>
    </row>
    <row r="672">
      <c r="A672" s="27">
        <f>A671+1</f>
        <v/>
      </c>
      <c r="B672" s="28">
        <f>Duration0+A672</f>
        <v/>
      </c>
      <c r="C672" s="27">
        <f>INT(B672/12)</f>
        <v/>
      </c>
      <c r="D672" s="28">
        <f>AgeAtEntry+C672</f>
        <v/>
      </c>
      <c r="E672" s="29">
        <f>IF(PremiumType="SINGLE",IF(B672=0,PremiumPPInput,0),IF(B672&lt;12*PolicyTerm,PremiumPPInput,0))</f>
        <v/>
      </c>
      <c r="F672" s="30">
        <f>INDEX(MortRates,MATCH(MIN(D672,120),MortAges,0),MAX(MIN(C672,5),0)+1)</f>
        <v/>
      </c>
      <c r="G672" s="31">
        <f>1-(1-F672)^(1/12)</f>
        <v/>
      </c>
      <c r="H672" s="32">
        <f>MAX(LapseBase-LapseStep*C672,LapseFloor)</f>
        <v/>
      </c>
      <c r="I672" s="32">
        <f>IF(HasSurrCharge,INDEX(SurrRates,MIN(C672,SurrDurMax)+1,MATCH(SurrChargeID,SurrTypes,0)),0)</f>
        <v/>
      </c>
      <c r="J672" s="33">
        <f>N671-P671-O671</f>
        <v/>
      </c>
      <c r="K672" s="30">
        <f>IF(B672=12*PolicyTerm,J672,0)</f>
        <v/>
      </c>
      <c r="L672" s="33">
        <f>J672-K672</f>
        <v/>
      </c>
      <c r="M672" s="30">
        <f>IF(B672=0,PolicyCount,0)</f>
        <v/>
      </c>
      <c r="N672" s="33">
        <f>L672+M672</f>
        <v/>
      </c>
      <c r="O672" s="31">
        <f>N672*G672</f>
        <v/>
      </c>
      <c r="P672" s="33">
        <f>(N672-O672)*(1-(1-H672)^(1/12))</f>
        <v/>
      </c>
      <c r="Q672" s="34">
        <f>X671+Z671</f>
        <v/>
      </c>
      <c r="R672" s="29">
        <f>(1-LoadPremRate)*E672</f>
        <v/>
      </c>
      <c r="S672" s="34">
        <f>Q672+R672</f>
        <v/>
      </c>
      <c r="T672" s="29">
        <f>MaintFeeRateAnn/12*S672</f>
        <v/>
      </c>
      <c r="U672" s="29">
        <f>MAX(SumAssured-S672,0)</f>
        <v/>
      </c>
      <c r="V672" s="35">
        <f>CoiMultiple*G672</f>
        <v/>
      </c>
      <c r="W672" s="34">
        <f>V672*U672</f>
        <v/>
      </c>
      <c r="X672" s="34">
        <f>S672-T672-W672</f>
        <v/>
      </c>
      <c r="Y672" s="36">
        <f>EXP((Mu-0.5*Sigma^2)/12+Sigma*SQRT(1/12)*INDEX(NormRand,ScenID,A672+1))-1</f>
        <v/>
      </c>
      <c r="Z672" s="34">
        <f>Y672*X672</f>
        <v/>
      </c>
      <c r="AA672" s="34">
        <f>X672+0.5*Z672</f>
        <v/>
      </c>
      <c r="AB672" s="34">
        <f>Q672*J672</f>
        <v/>
      </c>
      <c r="AC672" s="34">
        <f>Q672*L672</f>
        <v/>
      </c>
      <c r="AD672" s="34">
        <f>S672*N672</f>
        <v/>
      </c>
      <c r="AE672" s="34">
        <f>E672*N672</f>
        <v/>
      </c>
      <c r="AF672" s="34">
        <f>R672*N672</f>
        <v/>
      </c>
      <c r="AG672" s="29">
        <f>MAX(SumAssured,AA672)</f>
        <v/>
      </c>
      <c r="AH672" s="34">
        <f>AG672*O672</f>
        <v/>
      </c>
      <c r="AI672" s="34">
        <f>AA672*O672</f>
        <v/>
      </c>
      <c r="AJ672" s="34">
        <f>AA672*P672</f>
        <v/>
      </c>
      <c r="AK672" s="34">
        <f>I672*AA672*P672</f>
        <v/>
      </c>
      <c r="AL672" s="34">
        <f>AJ672-AK672</f>
        <v/>
      </c>
      <c r="AM672" s="34">
        <f>Q672*K672</f>
        <v/>
      </c>
      <c r="AN672" s="34">
        <f>AH672+AL672+AM672</f>
        <v/>
      </c>
      <c r="AO672" s="34">
        <f>(AG672-AA672)*O672</f>
        <v/>
      </c>
      <c r="AP672" s="34">
        <f>W672*N672</f>
        <v/>
      </c>
      <c r="AQ672" s="34">
        <f>T672*N672</f>
        <v/>
      </c>
      <c r="AR672" s="34">
        <f>Z672*J673+0.5*Z672*(O672+P672)</f>
        <v/>
      </c>
      <c r="AS672" s="30">
        <f>(1+InflationRate)^(A672/12)</f>
        <v/>
      </c>
      <c r="AT672" s="29">
        <f>ExpenseAcq*M672+N672*ExpenseMaint/12*AS672</f>
        <v/>
      </c>
      <c r="AU672" s="29">
        <f>CommissionRate*AE672</f>
        <v/>
      </c>
      <c r="AV672" s="34">
        <f>AB673-AB672</f>
        <v/>
      </c>
      <c r="AW672" s="34">
        <f>AE672+AR672-AN672-AT672-AU672-AV672</f>
        <v/>
      </c>
      <c r="AX672" s="29">
        <f>LoadPremRate*E672*N672+AK672+AQ672-AU672-AT672</f>
        <v/>
      </c>
      <c r="AY672" s="34">
        <f>AP672-AO672</f>
        <v/>
      </c>
      <c r="AZ672" s="37">
        <f>(AW672-AX672-AY672)/MAX(1,ABS(AW672),ABS(AX672),ABS(AY672))</f>
        <v/>
      </c>
      <c r="BA672" s="37">
        <f>IF(OR(K672&gt;0,K673&gt;0),0,(AC673-(AC672+AF672-AQ672-AP672+AR672-AI672-AJ672-AM672))/MAX(1,ABS(AC672),ABS(AC673)))</f>
        <v/>
      </c>
      <c r="BB672" s="35">
        <f>(1+INDEX(DiscRateAnn,INT(A672/12)+1))^(1/12)-1</f>
        <v/>
      </c>
      <c r="BC672" s="31">
        <f>(1+BB672)^-A672</f>
        <v/>
      </c>
      <c r="BD672" s="34">
        <f>AW672*BC672</f>
        <v/>
      </c>
    </row>
    <row r="673">
      <c r="A673" s="27">
        <f>A672+1</f>
        <v/>
      </c>
      <c r="B673" s="28">
        <f>Duration0+A673</f>
        <v/>
      </c>
      <c r="C673" s="27">
        <f>INT(B673/12)</f>
        <v/>
      </c>
      <c r="D673" s="28">
        <f>AgeAtEntry+C673</f>
        <v/>
      </c>
      <c r="E673" s="29">
        <f>IF(PremiumType="SINGLE",IF(B673=0,PremiumPPInput,0),IF(B673&lt;12*PolicyTerm,PremiumPPInput,0))</f>
        <v/>
      </c>
      <c r="F673" s="30">
        <f>INDEX(MortRates,MATCH(MIN(D673,120),MortAges,0),MAX(MIN(C673,5),0)+1)</f>
        <v/>
      </c>
      <c r="G673" s="31">
        <f>1-(1-F673)^(1/12)</f>
        <v/>
      </c>
      <c r="H673" s="32">
        <f>MAX(LapseBase-LapseStep*C673,LapseFloor)</f>
        <v/>
      </c>
      <c r="I673" s="32">
        <f>IF(HasSurrCharge,INDEX(SurrRates,MIN(C673,SurrDurMax)+1,MATCH(SurrChargeID,SurrTypes,0)),0)</f>
        <v/>
      </c>
      <c r="J673" s="33">
        <f>N672-P672-O672</f>
        <v/>
      </c>
      <c r="K673" s="30">
        <f>IF(B673=12*PolicyTerm,J673,0)</f>
        <v/>
      </c>
      <c r="L673" s="33">
        <f>J673-K673</f>
        <v/>
      </c>
      <c r="M673" s="30">
        <f>IF(B673=0,PolicyCount,0)</f>
        <v/>
      </c>
      <c r="N673" s="33">
        <f>L673+M673</f>
        <v/>
      </c>
      <c r="O673" s="31">
        <f>N673*G673</f>
        <v/>
      </c>
      <c r="P673" s="33">
        <f>(N673-O673)*(1-(1-H673)^(1/12))</f>
        <v/>
      </c>
      <c r="Q673" s="34">
        <f>X672+Z672</f>
        <v/>
      </c>
      <c r="R673" s="29">
        <f>(1-LoadPremRate)*E673</f>
        <v/>
      </c>
      <c r="S673" s="34">
        <f>Q673+R673</f>
        <v/>
      </c>
      <c r="T673" s="29">
        <f>MaintFeeRateAnn/12*S673</f>
        <v/>
      </c>
      <c r="U673" s="29">
        <f>MAX(SumAssured-S673,0)</f>
        <v/>
      </c>
      <c r="V673" s="35">
        <f>CoiMultiple*G673</f>
        <v/>
      </c>
      <c r="W673" s="34">
        <f>V673*U673</f>
        <v/>
      </c>
      <c r="X673" s="34">
        <f>S673-T673-W673</f>
        <v/>
      </c>
      <c r="Y673" s="36">
        <f>EXP((Mu-0.5*Sigma^2)/12+Sigma*SQRT(1/12)*INDEX(NormRand,ScenID,A673+1))-1</f>
        <v/>
      </c>
      <c r="Z673" s="34">
        <f>Y673*X673</f>
        <v/>
      </c>
      <c r="AA673" s="34">
        <f>X673+0.5*Z673</f>
        <v/>
      </c>
      <c r="AB673" s="34">
        <f>Q673*J673</f>
        <v/>
      </c>
      <c r="AC673" s="34">
        <f>Q673*L673</f>
        <v/>
      </c>
      <c r="AD673" s="34">
        <f>S673*N673</f>
        <v/>
      </c>
      <c r="AE673" s="34">
        <f>E673*N673</f>
        <v/>
      </c>
      <c r="AF673" s="34">
        <f>R673*N673</f>
        <v/>
      </c>
      <c r="AG673" s="29">
        <f>MAX(SumAssured,AA673)</f>
        <v/>
      </c>
      <c r="AH673" s="34">
        <f>AG673*O673</f>
        <v/>
      </c>
      <c r="AI673" s="34">
        <f>AA673*O673</f>
        <v/>
      </c>
      <c r="AJ673" s="34">
        <f>AA673*P673</f>
        <v/>
      </c>
      <c r="AK673" s="34">
        <f>I673*AA673*P673</f>
        <v/>
      </c>
      <c r="AL673" s="34">
        <f>AJ673-AK673</f>
        <v/>
      </c>
      <c r="AM673" s="34">
        <f>Q673*K673</f>
        <v/>
      </c>
      <c r="AN673" s="34">
        <f>AH673+AL673+AM673</f>
        <v/>
      </c>
      <c r="AO673" s="34">
        <f>(AG673-AA673)*O673</f>
        <v/>
      </c>
      <c r="AP673" s="34">
        <f>W673*N673</f>
        <v/>
      </c>
      <c r="AQ673" s="34">
        <f>T673*N673</f>
        <v/>
      </c>
      <c r="AR673" s="34">
        <f>Z673*J674+0.5*Z673*(O673+P673)</f>
        <v/>
      </c>
      <c r="AS673" s="30">
        <f>(1+InflationRate)^(A673/12)</f>
        <v/>
      </c>
      <c r="AT673" s="29">
        <f>ExpenseAcq*M673+N673*ExpenseMaint/12*AS673</f>
        <v/>
      </c>
      <c r="AU673" s="29">
        <f>CommissionRate*AE673</f>
        <v/>
      </c>
      <c r="AV673" s="34">
        <f>AB674-AB673</f>
        <v/>
      </c>
      <c r="AW673" s="34">
        <f>AE673+AR673-AN673-AT673-AU673-AV673</f>
        <v/>
      </c>
      <c r="AX673" s="29">
        <f>LoadPremRate*E673*N673+AK673+AQ673-AU673-AT673</f>
        <v/>
      </c>
      <c r="AY673" s="34">
        <f>AP673-AO673</f>
        <v/>
      </c>
      <c r="AZ673" s="37">
        <f>(AW673-AX673-AY673)/MAX(1,ABS(AW673),ABS(AX673),ABS(AY673))</f>
        <v/>
      </c>
      <c r="BA673" s="37">
        <f>IF(OR(K673&gt;0,K674&gt;0),0,(AC674-(AC673+AF673-AQ673-AP673+AR673-AI673-AJ673-AM673))/MAX(1,ABS(AC673),ABS(AC674)))</f>
        <v/>
      </c>
      <c r="BB673" s="35">
        <f>(1+INDEX(DiscRateAnn,INT(A673/12)+1))^(1/12)-1</f>
        <v/>
      </c>
      <c r="BC673" s="31">
        <f>(1+BB673)^-A673</f>
        <v/>
      </c>
      <c r="BD673" s="34">
        <f>AW673*BC673</f>
        <v/>
      </c>
    </row>
    <row r="674">
      <c r="A674" s="27">
        <f>A673+1</f>
        <v/>
      </c>
      <c r="B674" s="28">
        <f>Duration0+A674</f>
        <v/>
      </c>
      <c r="C674" s="27">
        <f>INT(B674/12)</f>
        <v/>
      </c>
      <c r="D674" s="28">
        <f>AgeAtEntry+C674</f>
        <v/>
      </c>
      <c r="E674" s="29">
        <f>IF(PremiumType="SINGLE",IF(B674=0,PremiumPPInput,0),IF(B674&lt;12*PolicyTerm,PremiumPPInput,0))</f>
        <v/>
      </c>
      <c r="F674" s="30">
        <f>INDEX(MortRates,MATCH(MIN(D674,120),MortAges,0),MAX(MIN(C674,5),0)+1)</f>
        <v/>
      </c>
      <c r="G674" s="31">
        <f>1-(1-F674)^(1/12)</f>
        <v/>
      </c>
      <c r="H674" s="32">
        <f>MAX(LapseBase-LapseStep*C674,LapseFloor)</f>
        <v/>
      </c>
      <c r="I674" s="32">
        <f>IF(HasSurrCharge,INDEX(SurrRates,MIN(C674,SurrDurMax)+1,MATCH(SurrChargeID,SurrTypes,0)),0)</f>
        <v/>
      </c>
      <c r="J674" s="33">
        <f>N673-P673-O673</f>
        <v/>
      </c>
      <c r="K674" s="30">
        <f>IF(B674=12*PolicyTerm,J674,0)</f>
        <v/>
      </c>
      <c r="L674" s="33">
        <f>J674-K674</f>
        <v/>
      </c>
      <c r="M674" s="30">
        <f>IF(B674=0,PolicyCount,0)</f>
        <v/>
      </c>
      <c r="N674" s="33">
        <f>L674+M674</f>
        <v/>
      </c>
      <c r="O674" s="31">
        <f>N674*G674</f>
        <v/>
      </c>
      <c r="P674" s="33">
        <f>(N674-O674)*(1-(1-H674)^(1/12))</f>
        <v/>
      </c>
      <c r="Q674" s="34">
        <f>X673+Z673</f>
        <v/>
      </c>
      <c r="R674" s="29">
        <f>(1-LoadPremRate)*E674</f>
        <v/>
      </c>
      <c r="S674" s="34">
        <f>Q674+R674</f>
        <v/>
      </c>
      <c r="T674" s="29">
        <f>MaintFeeRateAnn/12*S674</f>
        <v/>
      </c>
      <c r="U674" s="29">
        <f>MAX(SumAssured-S674,0)</f>
        <v/>
      </c>
      <c r="V674" s="35">
        <f>CoiMultiple*G674</f>
        <v/>
      </c>
      <c r="W674" s="34">
        <f>V674*U674</f>
        <v/>
      </c>
      <c r="X674" s="34">
        <f>S674-T674-W674</f>
        <v/>
      </c>
      <c r="Y674" s="36">
        <f>EXP((Mu-0.5*Sigma^2)/12+Sigma*SQRT(1/12)*INDEX(NormRand,ScenID,A674+1))-1</f>
        <v/>
      </c>
      <c r="Z674" s="34">
        <f>Y674*X674</f>
        <v/>
      </c>
      <c r="AA674" s="34">
        <f>X674+0.5*Z674</f>
        <v/>
      </c>
      <c r="AB674" s="34">
        <f>Q674*J674</f>
        <v/>
      </c>
      <c r="AC674" s="34">
        <f>Q674*L674</f>
        <v/>
      </c>
      <c r="AD674" s="34">
        <f>S674*N674</f>
        <v/>
      </c>
      <c r="AE674" s="34">
        <f>E674*N674</f>
        <v/>
      </c>
      <c r="AF674" s="34">
        <f>R674*N674</f>
        <v/>
      </c>
      <c r="AG674" s="29">
        <f>MAX(SumAssured,AA674)</f>
        <v/>
      </c>
      <c r="AH674" s="34">
        <f>AG674*O674</f>
        <v/>
      </c>
      <c r="AI674" s="34">
        <f>AA674*O674</f>
        <v/>
      </c>
      <c r="AJ674" s="34">
        <f>AA674*P674</f>
        <v/>
      </c>
      <c r="AK674" s="34">
        <f>I674*AA674*P674</f>
        <v/>
      </c>
      <c r="AL674" s="34">
        <f>AJ674-AK674</f>
        <v/>
      </c>
      <c r="AM674" s="34">
        <f>Q674*K674</f>
        <v/>
      </c>
      <c r="AN674" s="34">
        <f>AH674+AL674+AM674</f>
        <v/>
      </c>
      <c r="AO674" s="34">
        <f>(AG674-AA674)*O674</f>
        <v/>
      </c>
      <c r="AP674" s="34">
        <f>W674*N674</f>
        <v/>
      </c>
      <c r="AQ674" s="34">
        <f>T674*N674</f>
        <v/>
      </c>
      <c r="AR674" s="34">
        <f>Z674*J675+0.5*Z674*(O674+P674)</f>
        <v/>
      </c>
      <c r="AS674" s="30">
        <f>(1+InflationRate)^(A674/12)</f>
        <v/>
      </c>
      <c r="AT674" s="29">
        <f>ExpenseAcq*M674+N674*ExpenseMaint/12*AS674</f>
        <v/>
      </c>
      <c r="AU674" s="29">
        <f>CommissionRate*AE674</f>
        <v/>
      </c>
      <c r="AV674" s="34">
        <f>AB675-AB674</f>
        <v/>
      </c>
      <c r="AW674" s="34">
        <f>AE674+AR674-AN674-AT674-AU674-AV674</f>
        <v/>
      </c>
      <c r="AX674" s="29">
        <f>LoadPremRate*E674*N674+AK674+AQ674-AU674-AT674</f>
        <v/>
      </c>
      <c r="AY674" s="34">
        <f>AP674-AO674</f>
        <v/>
      </c>
      <c r="AZ674" s="37">
        <f>(AW674-AX674-AY674)/MAX(1,ABS(AW674),ABS(AX674),ABS(AY674))</f>
        <v/>
      </c>
      <c r="BA674" s="37">
        <f>IF(OR(K674&gt;0,K675&gt;0),0,(AC675-(AC674+AF674-AQ674-AP674+AR674-AI674-AJ674-AM674))/MAX(1,ABS(AC674),ABS(AC675)))</f>
        <v/>
      </c>
      <c r="BB674" s="35">
        <f>(1+INDEX(DiscRateAnn,INT(A674/12)+1))^(1/12)-1</f>
        <v/>
      </c>
      <c r="BC674" s="31">
        <f>(1+BB674)^-A674</f>
        <v/>
      </c>
      <c r="BD674" s="34">
        <f>AW674*BC674</f>
        <v/>
      </c>
    </row>
    <row r="675">
      <c r="A675" s="27">
        <f>A674+1</f>
        <v/>
      </c>
      <c r="B675" s="28">
        <f>Duration0+A675</f>
        <v/>
      </c>
      <c r="C675" s="27">
        <f>INT(B675/12)</f>
        <v/>
      </c>
      <c r="D675" s="28">
        <f>AgeAtEntry+C675</f>
        <v/>
      </c>
      <c r="E675" s="29">
        <f>IF(PremiumType="SINGLE",IF(B675=0,PremiumPPInput,0),IF(B675&lt;12*PolicyTerm,PremiumPPInput,0))</f>
        <v/>
      </c>
      <c r="F675" s="30">
        <f>INDEX(MortRates,MATCH(MIN(D675,120),MortAges,0),MAX(MIN(C675,5),0)+1)</f>
        <v/>
      </c>
      <c r="G675" s="31">
        <f>1-(1-F675)^(1/12)</f>
        <v/>
      </c>
      <c r="H675" s="32">
        <f>MAX(LapseBase-LapseStep*C675,LapseFloor)</f>
        <v/>
      </c>
      <c r="I675" s="32">
        <f>IF(HasSurrCharge,INDEX(SurrRates,MIN(C675,SurrDurMax)+1,MATCH(SurrChargeID,SurrTypes,0)),0)</f>
        <v/>
      </c>
      <c r="J675" s="33">
        <f>N674-P674-O674</f>
        <v/>
      </c>
      <c r="K675" s="30">
        <f>IF(B675=12*PolicyTerm,J675,0)</f>
        <v/>
      </c>
      <c r="L675" s="33">
        <f>J675-K675</f>
        <v/>
      </c>
      <c r="M675" s="30">
        <f>IF(B675=0,PolicyCount,0)</f>
        <v/>
      </c>
      <c r="N675" s="33">
        <f>L675+M675</f>
        <v/>
      </c>
      <c r="O675" s="31">
        <f>N675*G675</f>
        <v/>
      </c>
      <c r="P675" s="33">
        <f>(N675-O675)*(1-(1-H675)^(1/12))</f>
        <v/>
      </c>
      <c r="Q675" s="34">
        <f>X674+Z674</f>
        <v/>
      </c>
      <c r="R675" s="29">
        <f>(1-LoadPremRate)*E675</f>
        <v/>
      </c>
      <c r="S675" s="34">
        <f>Q675+R675</f>
        <v/>
      </c>
      <c r="T675" s="29">
        <f>MaintFeeRateAnn/12*S675</f>
        <v/>
      </c>
      <c r="U675" s="29">
        <f>MAX(SumAssured-S675,0)</f>
        <v/>
      </c>
      <c r="V675" s="35">
        <f>CoiMultiple*G675</f>
        <v/>
      </c>
      <c r="W675" s="34">
        <f>V675*U675</f>
        <v/>
      </c>
      <c r="X675" s="34">
        <f>S675-T675-W675</f>
        <v/>
      </c>
      <c r="Y675" s="36">
        <f>EXP((Mu-0.5*Sigma^2)/12+Sigma*SQRT(1/12)*INDEX(NormRand,ScenID,A675+1))-1</f>
        <v/>
      </c>
      <c r="Z675" s="34">
        <f>Y675*X675</f>
        <v/>
      </c>
      <c r="AA675" s="34">
        <f>X675+0.5*Z675</f>
        <v/>
      </c>
      <c r="AB675" s="34">
        <f>Q675*J675</f>
        <v/>
      </c>
      <c r="AC675" s="34">
        <f>Q675*L675</f>
        <v/>
      </c>
      <c r="AD675" s="34">
        <f>S675*N675</f>
        <v/>
      </c>
      <c r="AE675" s="34">
        <f>E675*N675</f>
        <v/>
      </c>
      <c r="AF675" s="34">
        <f>R675*N675</f>
        <v/>
      </c>
      <c r="AG675" s="29">
        <f>MAX(SumAssured,AA675)</f>
        <v/>
      </c>
      <c r="AH675" s="34">
        <f>AG675*O675</f>
        <v/>
      </c>
      <c r="AI675" s="34">
        <f>AA675*O675</f>
        <v/>
      </c>
      <c r="AJ675" s="34">
        <f>AA675*P675</f>
        <v/>
      </c>
      <c r="AK675" s="34">
        <f>I675*AA675*P675</f>
        <v/>
      </c>
      <c r="AL675" s="34">
        <f>AJ675-AK675</f>
        <v/>
      </c>
      <c r="AM675" s="34">
        <f>Q675*K675</f>
        <v/>
      </c>
      <c r="AN675" s="34">
        <f>AH675+AL675+AM675</f>
        <v/>
      </c>
      <c r="AO675" s="34">
        <f>(AG675-AA675)*O675</f>
        <v/>
      </c>
      <c r="AP675" s="34">
        <f>W675*N675</f>
        <v/>
      </c>
      <c r="AQ675" s="34">
        <f>T675*N675</f>
        <v/>
      </c>
      <c r="AR675" s="34">
        <f>Z675*J676+0.5*Z675*(O675+P675)</f>
        <v/>
      </c>
      <c r="AS675" s="30">
        <f>(1+InflationRate)^(A675/12)</f>
        <v/>
      </c>
      <c r="AT675" s="29">
        <f>ExpenseAcq*M675+N675*ExpenseMaint/12*AS675</f>
        <v/>
      </c>
      <c r="AU675" s="29">
        <f>CommissionRate*AE675</f>
        <v/>
      </c>
      <c r="AV675" s="34">
        <f>AB676-AB675</f>
        <v/>
      </c>
      <c r="AW675" s="34">
        <f>AE675+AR675-AN675-AT675-AU675-AV675</f>
        <v/>
      </c>
      <c r="AX675" s="29">
        <f>LoadPremRate*E675*N675+AK675+AQ675-AU675-AT675</f>
        <v/>
      </c>
      <c r="AY675" s="34">
        <f>AP675-AO675</f>
        <v/>
      </c>
      <c r="AZ675" s="37">
        <f>(AW675-AX675-AY675)/MAX(1,ABS(AW675),ABS(AX675),ABS(AY675))</f>
        <v/>
      </c>
      <c r="BA675" s="37">
        <f>IF(OR(K675&gt;0,K676&gt;0),0,(AC676-(AC675+AF675-AQ675-AP675+AR675-AI675-AJ675-AM675))/MAX(1,ABS(AC675),ABS(AC676)))</f>
        <v/>
      </c>
      <c r="BB675" s="35">
        <f>(1+INDEX(DiscRateAnn,INT(A675/12)+1))^(1/12)-1</f>
        <v/>
      </c>
      <c r="BC675" s="31">
        <f>(1+BB675)^-A675</f>
        <v/>
      </c>
      <c r="BD675" s="34">
        <f>AW675*BC675</f>
        <v/>
      </c>
    </row>
    <row r="676">
      <c r="A676" s="27">
        <f>A675+1</f>
        <v/>
      </c>
      <c r="B676" s="28">
        <f>Duration0+A676</f>
        <v/>
      </c>
      <c r="C676" s="27">
        <f>INT(B676/12)</f>
        <v/>
      </c>
      <c r="D676" s="28">
        <f>AgeAtEntry+C676</f>
        <v/>
      </c>
      <c r="E676" s="29">
        <f>IF(PremiumType="SINGLE",IF(B676=0,PremiumPPInput,0),IF(B676&lt;12*PolicyTerm,PremiumPPInput,0))</f>
        <v/>
      </c>
      <c r="F676" s="30">
        <f>INDEX(MortRates,MATCH(MIN(D676,120),MortAges,0),MAX(MIN(C676,5),0)+1)</f>
        <v/>
      </c>
      <c r="G676" s="31">
        <f>1-(1-F676)^(1/12)</f>
        <v/>
      </c>
      <c r="H676" s="32">
        <f>MAX(LapseBase-LapseStep*C676,LapseFloor)</f>
        <v/>
      </c>
      <c r="I676" s="32">
        <f>IF(HasSurrCharge,INDEX(SurrRates,MIN(C676,SurrDurMax)+1,MATCH(SurrChargeID,SurrTypes,0)),0)</f>
        <v/>
      </c>
      <c r="J676" s="33">
        <f>N675-P675-O675</f>
        <v/>
      </c>
      <c r="K676" s="30">
        <f>IF(B676=12*PolicyTerm,J676,0)</f>
        <v/>
      </c>
      <c r="L676" s="33">
        <f>J676-K676</f>
        <v/>
      </c>
      <c r="M676" s="30">
        <f>IF(B676=0,PolicyCount,0)</f>
        <v/>
      </c>
      <c r="N676" s="33">
        <f>L676+M676</f>
        <v/>
      </c>
      <c r="O676" s="31">
        <f>N676*G676</f>
        <v/>
      </c>
      <c r="P676" s="33">
        <f>(N676-O676)*(1-(1-H676)^(1/12))</f>
        <v/>
      </c>
      <c r="Q676" s="34">
        <f>X675+Z675</f>
        <v/>
      </c>
      <c r="R676" s="29">
        <f>(1-LoadPremRate)*E676</f>
        <v/>
      </c>
      <c r="S676" s="34">
        <f>Q676+R676</f>
        <v/>
      </c>
      <c r="T676" s="29">
        <f>MaintFeeRateAnn/12*S676</f>
        <v/>
      </c>
      <c r="U676" s="29">
        <f>MAX(SumAssured-S676,0)</f>
        <v/>
      </c>
      <c r="V676" s="35">
        <f>CoiMultiple*G676</f>
        <v/>
      </c>
      <c r="W676" s="34">
        <f>V676*U676</f>
        <v/>
      </c>
      <c r="X676" s="34">
        <f>S676-T676-W676</f>
        <v/>
      </c>
      <c r="Y676" s="36">
        <f>EXP((Mu-0.5*Sigma^2)/12+Sigma*SQRT(1/12)*INDEX(NormRand,ScenID,A676+1))-1</f>
        <v/>
      </c>
      <c r="Z676" s="34">
        <f>Y676*X676</f>
        <v/>
      </c>
      <c r="AA676" s="34">
        <f>X676+0.5*Z676</f>
        <v/>
      </c>
      <c r="AB676" s="34">
        <f>Q676*J676</f>
        <v/>
      </c>
      <c r="AC676" s="34">
        <f>Q676*L676</f>
        <v/>
      </c>
      <c r="AD676" s="34">
        <f>S676*N676</f>
        <v/>
      </c>
      <c r="AE676" s="34">
        <f>E676*N676</f>
        <v/>
      </c>
      <c r="AF676" s="34">
        <f>R676*N676</f>
        <v/>
      </c>
      <c r="AG676" s="29">
        <f>MAX(SumAssured,AA676)</f>
        <v/>
      </c>
      <c r="AH676" s="34">
        <f>AG676*O676</f>
        <v/>
      </c>
      <c r="AI676" s="34">
        <f>AA676*O676</f>
        <v/>
      </c>
      <c r="AJ676" s="34">
        <f>AA676*P676</f>
        <v/>
      </c>
      <c r="AK676" s="34">
        <f>I676*AA676*P676</f>
        <v/>
      </c>
      <c r="AL676" s="34">
        <f>AJ676-AK676</f>
        <v/>
      </c>
      <c r="AM676" s="34">
        <f>Q676*K676</f>
        <v/>
      </c>
      <c r="AN676" s="34">
        <f>AH676+AL676+AM676</f>
        <v/>
      </c>
      <c r="AO676" s="34">
        <f>(AG676-AA676)*O676</f>
        <v/>
      </c>
      <c r="AP676" s="34">
        <f>W676*N676</f>
        <v/>
      </c>
      <c r="AQ676" s="34">
        <f>T676*N676</f>
        <v/>
      </c>
      <c r="AR676" s="34">
        <f>Z676*J677+0.5*Z676*(O676+P676)</f>
        <v/>
      </c>
      <c r="AS676" s="30">
        <f>(1+InflationRate)^(A676/12)</f>
        <v/>
      </c>
      <c r="AT676" s="29">
        <f>ExpenseAcq*M676+N676*ExpenseMaint/12*AS676</f>
        <v/>
      </c>
      <c r="AU676" s="29">
        <f>CommissionRate*AE676</f>
        <v/>
      </c>
      <c r="AV676" s="34">
        <f>AB677-AB676</f>
        <v/>
      </c>
      <c r="AW676" s="34">
        <f>AE676+AR676-AN676-AT676-AU676-AV676</f>
        <v/>
      </c>
      <c r="AX676" s="29">
        <f>LoadPremRate*E676*N676+AK676+AQ676-AU676-AT676</f>
        <v/>
      </c>
      <c r="AY676" s="34">
        <f>AP676-AO676</f>
        <v/>
      </c>
      <c r="AZ676" s="37">
        <f>(AW676-AX676-AY676)/MAX(1,ABS(AW676),ABS(AX676),ABS(AY676))</f>
        <v/>
      </c>
      <c r="BA676" s="37">
        <f>IF(OR(K676&gt;0,K677&gt;0),0,(AC677-(AC676+AF676-AQ676-AP676+AR676-AI676-AJ676-AM676))/MAX(1,ABS(AC676),ABS(AC677)))</f>
        <v/>
      </c>
      <c r="BB676" s="35">
        <f>(1+INDEX(DiscRateAnn,INT(A676/12)+1))^(1/12)-1</f>
        <v/>
      </c>
      <c r="BC676" s="31">
        <f>(1+BB676)^-A676</f>
        <v/>
      </c>
      <c r="BD676" s="34">
        <f>AW676*BC676</f>
        <v/>
      </c>
    </row>
    <row r="677">
      <c r="A677" s="27">
        <f>A676+1</f>
        <v/>
      </c>
      <c r="B677" s="28">
        <f>Duration0+A677</f>
        <v/>
      </c>
      <c r="C677" s="27">
        <f>INT(B677/12)</f>
        <v/>
      </c>
      <c r="D677" s="28">
        <f>AgeAtEntry+C677</f>
        <v/>
      </c>
      <c r="E677" s="29">
        <f>IF(PremiumType="SINGLE",IF(B677=0,PremiumPPInput,0),IF(B677&lt;12*PolicyTerm,PremiumPPInput,0))</f>
        <v/>
      </c>
      <c r="F677" s="30">
        <f>INDEX(MortRates,MATCH(MIN(D677,120),MortAges,0),MAX(MIN(C677,5),0)+1)</f>
        <v/>
      </c>
      <c r="G677" s="31">
        <f>1-(1-F677)^(1/12)</f>
        <v/>
      </c>
      <c r="H677" s="32">
        <f>MAX(LapseBase-LapseStep*C677,LapseFloor)</f>
        <v/>
      </c>
      <c r="I677" s="32">
        <f>IF(HasSurrCharge,INDEX(SurrRates,MIN(C677,SurrDurMax)+1,MATCH(SurrChargeID,SurrTypes,0)),0)</f>
        <v/>
      </c>
      <c r="J677" s="33">
        <f>N676-P676-O676</f>
        <v/>
      </c>
      <c r="K677" s="30">
        <f>IF(B677=12*PolicyTerm,J677,0)</f>
        <v/>
      </c>
      <c r="L677" s="33">
        <f>J677-K677</f>
        <v/>
      </c>
      <c r="M677" s="30">
        <f>IF(B677=0,PolicyCount,0)</f>
        <v/>
      </c>
      <c r="N677" s="33">
        <f>L677+M677</f>
        <v/>
      </c>
      <c r="O677" s="31">
        <f>N677*G677</f>
        <v/>
      </c>
      <c r="P677" s="33">
        <f>(N677-O677)*(1-(1-H677)^(1/12))</f>
        <v/>
      </c>
      <c r="Q677" s="34">
        <f>X676+Z676</f>
        <v/>
      </c>
      <c r="R677" s="29">
        <f>(1-LoadPremRate)*E677</f>
        <v/>
      </c>
      <c r="S677" s="34">
        <f>Q677+R677</f>
        <v/>
      </c>
      <c r="T677" s="29">
        <f>MaintFeeRateAnn/12*S677</f>
        <v/>
      </c>
      <c r="U677" s="29">
        <f>MAX(SumAssured-S677,0)</f>
        <v/>
      </c>
      <c r="V677" s="35">
        <f>CoiMultiple*G677</f>
        <v/>
      </c>
      <c r="W677" s="34">
        <f>V677*U677</f>
        <v/>
      </c>
      <c r="X677" s="34">
        <f>S677-T677-W677</f>
        <v/>
      </c>
      <c r="Y677" s="36">
        <f>EXP((Mu-0.5*Sigma^2)/12+Sigma*SQRT(1/12)*INDEX(NormRand,ScenID,A677+1))-1</f>
        <v/>
      </c>
      <c r="Z677" s="34">
        <f>Y677*X677</f>
        <v/>
      </c>
      <c r="AA677" s="34">
        <f>X677+0.5*Z677</f>
        <v/>
      </c>
      <c r="AB677" s="34">
        <f>Q677*J677</f>
        <v/>
      </c>
      <c r="AC677" s="34">
        <f>Q677*L677</f>
        <v/>
      </c>
      <c r="AD677" s="34">
        <f>S677*N677</f>
        <v/>
      </c>
      <c r="AE677" s="34">
        <f>E677*N677</f>
        <v/>
      </c>
      <c r="AF677" s="34">
        <f>R677*N677</f>
        <v/>
      </c>
      <c r="AG677" s="29">
        <f>MAX(SumAssured,AA677)</f>
        <v/>
      </c>
      <c r="AH677" s="34">
        <f>AG677*O677</f>
        <v/>
      </c>
      <c r="AI677" s="34">
        <f>AA677*O677</f>
        <v/>
      </c>
      <c r="AJ677" s="34">
        <f>AA677*P677</f>
        <v/>
      </c>
      <c r="AK677" s="34">
        <f>I677*AA677*P677</f>
        <v/>
      </c>
      <c r="AL677" s="34">
        <f>AJ677-AK677</f>
        <v/>
      </c>
      <c r="AM677" s="34">
        <f>Q677*K677</f>
        <v/>
      </c>
      <c r="AN677" s="34">
        <f>AH677+AL677+AM677</f>
        <v/>
      </c>
      <c r="AO677" s="34">
        <f>(AG677-AA677)*O677</f>
        <v/>
      </c>
      <c r="AP677" s="34">
        <f>W677*N677</f>
        <v/>
      </c>
      <c r="AQ677" s="34">
        <f>T677*N677</f>
        <v/>
      </c>
      <c r="AR677" s="34">
        <f>Z677*J678+0.5*Z677*(O677+P677)</f>
        <v/>
      </c>
      <c r="AS677" s="30">
        <f>(1+InflationRate)^(A677/12)</f>
        <v/>
      </c>
      <c r="AT677" s="29">
        <f>ExpenseAcq*M677+N677*ExpenseMaint/12*AS677</f>
        <v/>
      </c>
      <c r="AU677" s="29">
        <f>CommissionRate*AE677</f>
        <v/>
      </c>
      <c r="AV677" s="34">
        <f>AB678-AB677</f>
        <v/>
      </c>
      <c r="AW677" s="34">
        <f>AE677+AR677-AN677-AT677-AU677-AV677</f>
        <v/>
      </c>
      <c r="AX677" s="29">
        <f>LoadPremRate*E677*N677+AK677+AQ677-AU677-AT677</f>
        <v/>
      </c>
      <c r="AY677" s="34">
        <f>AP677-AO677</f>
        <v/>
      </c>
      <c r="AZ677" s="37">
        <f>(AW677-AX677-AY677)/MAX(1,ABS(AW677),ABS(AX677),ABS(AY677))</f>
        <v/>
      </c>
      <c r="BA677" s="37">
        <f>IF(OR(K677&gt;0,K678&gt;0),0,(AC678-(AC677+AF677-AQ677-AP677+AR677-AI677-AJ677-AM677))/MAX(1,ABS(AC677),ABS(AC678)))</f>
        <v/>
      </c>
      <c r="BB677" s="35">
        <f>(1+INDEX(DiscRateAnn,INT(A677/12)+1))^(1/12)-1</f>
        <v/>
      </c>
      <c r="BC677" s="31">
        <f>(1+BB677)^-A677</f>
        <v/>
      </c>
      <c r="BD677" s="34">
        <f>AW677*BC677</f>
        <v/>
      </c>
    </row>
    <row r="678">
      <c r="A678" s="27">
        <f>A677+1</f>
        <v/>
      </c>
      <c r="B678" s="28">
        <f>Duration0+A678</f>
        <v/>
      </c>
      <c r="C678" s="27">
        <f>INT(B678/12)</f>
        <v/>
      </c>
      <c r="D678" s="28">
        <f>AgeAtEntry+C678</f>
        <v/>
      </c>
      <c r="E678" s="29">
        <f>IF(PremiumType="SINGLE",IF(B678=0,PremiumPPInput,0),IF(B678&lt;12*PolicyTerm,PremiumPPInput,0))</f>
        <v/>
      </c>
      <c r="F678" s="30">
        <f>INDEX(MortRates,MATCH(MIN(D678,120),MortAges,0),MAX(MIN(C678,5),0)+1)</f>
        <v/>
      </c>
      <c r="G678" s="31">
        <f>1-(1-F678)^(1/12)</f>
        <v/>
      </c>
      <c r="H678" s="32">
        <f>MAX(LapseBase-LapseStep*C678,LapseFloor)</f>
        <v/>
      </c>
      <c r="I678" s="32">
        <f>IF(HasSurrCharge,INDEX(SurrRates,MIN(C678,SurrDurMax)+1,MATCH(SurrChargeID,SurrTypes,0)),0)</f>
        <v/>
      </c>
      <c r="J678" s="33">
        <f>N677-P677-O677</f>
        <v/>
      </c>
      <c r="K678" s="30">
        <f>IF(B678=12*PolicyTerm,J678,0)</f>
        <v/>
      </c>
      <c r="L678" s="33">
        <f>J678-K678</f>
        <v/>
      </c>
      <c r="M678" s="30">
        <f>IF(B678=0,PolicyCount,0)</f>
        <v/>
      </c>
      <c r="N678" s="33">
        <f>L678+M678</f>
        <v/>
      </c>
      <c r="O678" s="31">
        <f>N678*G678</f>
        <v/>
      </c>
      <c r="P678" s="33">
        <f>(N678-O678)*(1-(1-H678)^(1/12))</f>
        <v/>
      </c>
      <c r="Q678" s="34">
        <f>X677+Z677</f>
        <v/>
      </c>
      <c r="R678" s="29">
        <f>(1-LoadPremRate)*E678</f>
        <v/>
      </c>
      <c r="S678" s="34">
        <f>Q678+R678</f>
        <v/>
      </c>
      <c r="T678" s="29">
        <f>MaintFeeRateAnn/12*S678</f>
        <v/>
      </c>
      <c r="U678" s="29">
        <f>MAX(SumAssured-S678,0)</f>
        <v/>
      </c>
      <c r="V678" s="35">
        <f>CoiMultiple*G678</f>
        <v/>
      </c>
      <c r="W678" s="34">
        <f>V678*U678</f>
        <v/>
      </c>
      <c r="X678" s="34">
        <f>S678-T678-W678</f>
        <v/>
      </c>
      <c r="Y678" s="36">
        <f>EXP((Mu-0.5*Sigma^2)/12+Sigma*SQRT(1/12)*INDEX(NormRand,ScenID,A678+1))-1</f>
        <v/>
      </c>
      <c r="Z678" s="34">
        <f>Y678*X678</f>
        <v/>
      </c>
      <c r="AA678" s="34">
        <f>X678+0.5*Z678</f>
        <v/>
      </c>
      <c r="AB678" s="34">
        <f>Q678*J678</f>
        <v/>
      </c>
      <c r="AC678" s="34">
        <f>Q678*L678</f>
        <v/>
      </c>
      <c r="AD678" s="34">
        <f>S678*N678</f>
        <v/>
      </c>
      <c r="AE678" s="34">
        <f>E678*N678</f>
        <v/>
      </c>
      <c r="AF678" s="34">
        <f>R678*N678</f>
        <v/>
      </c>
      <c r="AG678" s="29">
        <f>MAX(SumAssured,AA678)</f>
        <v/>
      </c>
      <c r="AH678" s="34">
        <f>AG678*O678</f>
        <v/>
      </c>
      <c r="AI678" s="34">
        <f>AA678*O678</f>
        <v/>
      </c>
      <c r="AJ678" s="34">
        <f>AA678*P678</f>
        <v/>
      </c>
      <c r="AK678" s="34">
        <f>I678*AA678*P678</f>
        <v/>
      </c>
      <c r="AL678" s="34">
        <f>AJ678-AK678</f>
        <v/>
      </c>
      <c r="AM678" s="34">
        <f>Q678*K678</f>
        <v/>
      </c>
      <c r="AN678" s="34">
        <f>AH678+AL678+AM678</f>
        <v/>
      </c>
      <c r="AO678" s="34">
        <f>(AG678-AA678)*O678</f>
        <v/>
      </c>
      <c r="AP678" s="34">
        <f>W678*N678</f>
        <v/>
      </c>
      <c r="AQ678" s="34">
        <f>T678*N678</f>
        <v/>
      </c>
      <c r="AR678" s="34">
        <f>Z678*J679+0.5*Z678*(O678+P678)</f>
        <v/>
      </c>
      <c r="AS678" s="30">
        <f>(1+InflationRate)^(A678/12)</f>
        <v/>
      </c>
      <c r="AT678" s="29">
        <f>ExpenseAcq*M678+N678*ExpenseMaint/12*AS678</f>
        <v/>
      </c>
      <c r="AU678" s="29">
        <f>CommissionRate*AE678</f>
        <v/>
      </c>
      <c r="AV678" s="34">
        <f>AB679-AB678</f>
        <v/>
      </c>
      <c r="AW678" s="34">
        <f>AE678+AR678-AN678-AT678-AU678-AV678</f>
        <v/>
      </c>
      <c r="AX678" s="29">
        <f>LoadPremRate*E678*N678+AK678+AQ678-AU678-AT678</f>
        <v/>
      </c>
      <c r="AY678" s="34">
        <f>AP678-AO678</f>
        <v/>
      </c>
      <c r="AZ678" s="37">
        <f>(AW678-AX678-AY678)/MAX(1,ABS(AW678),ABS(AX678),ABS(AY678))</f>
        <v/>
      </c>
      <c r="BA678" s="37">
        <f>IF(OR(K678&gt;0,K679&gt;0),0,(AC679-(AC678+AF678-AQ678-AP678+AR678-AI678-AJ678-AM678))/MAX(1,ABS(AC678),ABS(AC679)))</f>
        <v/>
      </c>
      <c r="BB678" s="35">
        <f>(1+INDEX(DiscRateAnn,INT(A678/12)+1))^(1/12)-1</f>
        <v/>
      </c>
      <c r="BC678" s="31">
        <f>(1+BB678)^-A678</f>
        <v/>
      </c>
      <c r="BD678" s="34">
        <f>AW678*BC678</f>
        <v/>
      </c>
    </row>
    <row r="679">
      <c r="A679" s="27">
        <f>A678+1</f>
        <v/>
      </c>
      <c r="B679" s="28">
        <f>Duration0+A679</f>
        <v/>
      </c>
      <c r="C679" s="27">
        <f>INT(B679/12)</f>
        <v/>
      </c>
      <c r="D679" s="28">
        <f>AgeAtEntry+C679</f>
        <v/>
      </c>
      <c r="E679" s="29">
        <f>IF(PremiumType="SINGLE",IF(B679=0,PremiumPPInput,0),IF(B679&lt;12*PolicyTerm,PremiumPPInput,0))</f>
        <v/>
      </c>
      <c r="F679" s="30">
        <f>INDEX(MortRates,MATCH(MIN(D679,120),MortAges,0),MAX(MIN(C679,5),0)+1)</f>
        <v/>
      </c>
      <c r="G679" s="31">
        <f>1-(1-F679)^(1/12)</f>
        <v/>
      </c>
      <c r="H679" s="32">
        <f>MAX(LapseBase-LapseStep*C679,LapseFloor)</f>
        <v/>
      </c>
      <c r="I679" s="32">
        <f>IF(HasSurrCharge,INDEX(SurrRates,MIN(C679,SurrDurMax)+1,MATCH(SurrChargeID,SurrTypes,0)),0)</f>
        <v/>
      </c>
      <c r="J679" s="33">
        <f>N678-P678-O678</f>
        <v/>
      </c>
      <c r="K679" s="30">
        <f>IF(B679=12*PolicyTerm,J679,0)</f>
        <v/>
      </c>
      <c r="L679" s="33">
        <f>J679-K679</f>
        <v/>
      </c>
      <c r="M679" s="30">
        <f>IF(B679=0,PolicyCount,0)</f>
        <v/>
      </c>
      <c r="N679" s="33">
        <f>L679+M679</f>
        <v/>
      </c>
      <c r="O679" s="31">
        <f>N679*G679</f>
        <v/>
      </c>
      <c r="P679" s="33">
        <f>(N679-O679)*(1-(1-H679)^(1/12))</f>
        <v/>
      </c>
      <c r="Q679" s="34">
        <f>X678+Z678</f>
        <v/>
      </c>
      <c r="R679" s="29">
        <f>(1-LoadPremRate)*E679</f>
        <v/>
      </c>
      <c r="S679" s="34">
        <f>Q679+R679</f>
        <v/>
      </c>
      <c r="T679" s="29">
        <f>MaintFeeRateAnn/12*S679</f>
        <v/>
      </c>
      <c r="U679" s="29">
        <f>MAX(SumAssured-S679,0)</f>
        <v/>
      </c>
      <c r="V679" s="35">
        <f>CoiMultiple*G679</f>
        <v/>
      </c>
      <c r="W679" s="34">
        <f>V679*U679</f>
        <v/>
      </c>
      <c r="X679" s="34">
        <f>S679-T679-W679</f>
        <v/>
      </c>
      <c r="Y679" s="36">
        <f>EXP((Mu-0.5*Sigma^2)/12+Sigma*SQRT(1/12)*INDEX(NormRand,ScenID,A679+1))-1</f>
        <v/>
      </c>
      <c r="Z679" s="34">
        <f>Y679*X679</f>
        <v/>
      </c>
      <c r="AA679" s="34">
        <f>X679+0.5*Z679</f>
        <v/>
      </c>
      <c r="AB679" s="34">
        <f>Q679*J679</f>
        <v/>
      </c>
      <c r="AC679" s="34">
        <f>Q679*L679</f>
        <v/>
      </c>
      <c r="AD679" s="34">
        <f>S679*N679</f>
        <v/>
      </c>
      <c r="AE679" s="34">
        <f>E679*N679</f>
        <v/>
      </c>
      <c r="AF679" s="34">
        <f>R679*N679</f>
        <v/>
      </c>
      <c r="AG679" s="29">
        <f>MAX(SumAssured,AA679)</f>
        <v/>
      </c>
      <c r="AH679" s="34">
        <f>AG679*O679</f>
        <v/>
      </c>
      <c r="AI679" s="34">
        <f>AA679*O679</f>
        <v/>
      </c>
      <c r="AJ679" s="34">
        <f>AA679*P679</f>
        <v/>
      </c>
      <c r="AK679" s="34">
        <f>I679*AA679*P679</f>
        <v/>
      </c>
      <c r="AL679" s="34">
        <f>AJ679-AK679</f>
        <v/>
      </c>
      <c r="AM679" s="34">
        <f>Q679*K679</f>
        <v/>
      </c>
      <c r="AN679" s="34">
        <f>AH679+AL679+AM679</f>
        <v/>
      </c>
      <c r="AO679" s="34">
        <f>(AG679-AA679)*O679</f>
        <v/>
      </c>
      <c r="AP679" s="34">
        <f>W679*N679</f>
        <v/>
      </c>
      <c r="AQ679" s="34">
        <f>T679*N679</f>
        <v/>
      </c>
      <c r="AR679" s="34">
        <f>Z679*J680+0.5*Z679*(O679+P679)</f>
        <v/>
      </c>
      <c r="AS679" s="30">
        <f>(1+InflationRate)^(A679/12)</f>
        <v/>
      </c>
      <c r="AT679" s="29">
        <f>ExpenseAcq*M679+N679*ExpenseMaint/12*AS679</f>
        <v/>
      </c>
      <c r="AU679" s="29">
        <f>CommissionRate*AE679</f>
        <v/>
      </c>
      <c r="AV679" s="34">
        <f>AB680-AB679</f>
        <v/>
      </c>
      <c r="AW679" s="34">
        <f>AE679+AR679-AN679-AT679-AU679-AV679</f>
        <v/>
      </c>
      <c r="AX679" s="29">
        <f>LoadPremRate*E679*N679+AK679+AQ679-AU679-AT679</f>
        <v/>
      </c>
      <c r="AY679" s="34">
        <f>AP679-AO679</f>
        <v/>
      </c>
      <c r="AZ679" s="37">
        <f>(AW679-AX679-AY679)/MAX(1,ABS(AW679),ABS(AX679),ABS(AY679))</f>
        <v/>
      </c>
      <c r="BA679" s="37">
        <f>IF(OR(K679&gt;0,K680&gt;0),0,(AC680-(AC679+AF679-AQ679-AP679+AR679-AI679-AJ679-AM679))/MAX(1,ABS(AC679),ABS(AC680)))</f>
        <v/>
      </c>
      <c r="BB679" s="35">
        <f>(1+INDEX(DiscRateAnn,INT(A679/12)+1))^(1/12)-1</f>
        <v/>
      </c>
      <c r="BC679" s="31">
        <f>(1+BB679)^-A679</f>
        <v/>
      </c>
      <c r="BD679" s="34">
        <f>AW679*BC679</f>
        <v/>
      </c>
    </row>
    <row r="680">
      <c r="A680" s="27">
        <f>A679+1</f>
        <v/>
      </c>
      <c r="B680" s="28">
        <f>Duration0+A680</f>
        <v/>
      </c>
      <c r="C680" s="27">
        <f>INT(B680/12)</f>
        <v/>
      </c>
      <c r="D680" s="28">
        <f>AgeAtEntry+C680</f>
        <v/>
      </c>
      <c r="E680" s="29">
        <f>IF(PremiumType="SINGLE",IF(B680=0,PremiumPPInput,0),IF(B680&lt;12*PolicyTerm,PremiumPPInput,0))</f>
        <v/>
      </c>
      <c r="F680" s="30">
        <f>INDEX(MortRates,MATCH(MIN(D680,120),MortAges,0),MAX(MIN(C680,5),0)+1)</f>
        <v/>
      </c>
      <c r="G680" s="31">
        <f>1-(1-F680)^(1/12)</f>
        <v/>
      </c>
      <c r="H680" s="32">
        <f>MAX(LapseBase-LapseStep*C680,LapseFloor)</f>
        <v/>
      </c>
      <c r="I680" s="32">
        <f>IF(HasSurrCharge,INDEX(SurrRates,MIN(C680,SurrDurMax)+1,MATCH(SurrChargeID,SurrTypes,0)),0)</f>
        <v/>
      </c>
      <c r="J680" s="33">
        <f>N679-P679-O679</f>
        <v/>
      </c>
      <c r="K680" s="30">
        <f>IF(B680=12*PolicyTerm,J680,0)</f>
        <v/>
      </c>
      <c r="L680" s="33">
        <f>J680-K680</f>
        <v/>
      </c>
      <c r="M680" s="30">
        <f>IF(B680=0,PolicyCount,0)</f>
        <v/>
      </c>
      <c r="N680" s="33">
        <f>L680+M680</f>
        <v/>
      </c>
      <c r="O680" s="31">
        <f>N680*G680</f>
        <v/>
      </c>
      <c r="P680" s="33">
        <f>(N680-O680)*(1-(1-H680)^(1/12))</f>
        <v/>
      </c>
      <c r="Q680" s="34">
        <f>X679+Z679</f>
        <v/>
      </c>
      <c r="R680" s="29">
        <f>(1-LoadPremRate)*E680</f>
        <v/>
      </c>
      <c r="S680" s="34">
        <f>Q680+R680</f>
        <v/>
      </c>
      <c r="T680" s="29">
        <f>MaintFeeRateAnn/12*S680</f>
        <v/>
      </c>
      <c r="U680" s="29">
        <f>MAX(SumAssured-S680,0)</f>
        <v/>
      </c>
      <c r="V680" s="35">
        <f>CoiMultiple*G680</f>
        <v/>
      </c>
      <c r="W680" s="34">
        <f>V680*U680</f>
        <v/>
      </c>
      <c r="X680" s="34">
        <f>S680-T680-W680</f>
        <v/>
      </c>
      <c r="Y680" s="36">
        <f>EXP((Mu-0.5*Sigma^2)/12+Sigma*SQRT(1/12)*INDEX(NormRand,ScenID,A680+1))-1</f>
        <v/>
      </c>
      <c r="Z680" s="34">
        <f>Y680*X680</f>
        <v/>
      </c>
      <c r="AA680" s="34">
        <f>X680+0.5*Z680</f>
        <v/>
      </c>
      <c r="AB680" s="34">
        <f>Q680*J680</f>
        <v/>
      </c>
      <c r="AC680" s="34">
        <f>Q680*L680</f>
        <v/>
      </c>
      <c r="AD680" s="34">
        <f>S680*N680</f>
        <v/>
      </c>
      <c r="AE680" s="34">
        <f>E680*N680</f>
        <v/>
      </c>
      <c r="AF680" s="34">
        <f>R680*N680</f>
        <v/>
      </c>
      <c r="AG680" s="29">
        <f>MAX(SumAssured,AA680)</f>
        <v/>
      </c>
      <c r="AH680" s="34">
        <f>AG680*O680</f>
        <v/>
      </c>
      <c r="AI680" s="34">
        <f>AA680*O680</f>
        <v/>
      </c>
      <c r="AJ680" s="34">
        <f>AA680*P680</f>
        <v/>
      </c>
      <c r="AK680" s="34">
        <f>I680*AA680*P680</f>
        <v/>
      </c>
      <c r="AL680" s="34">
        <f>AJ680-AK680</f>
        <v/>
      </c>
      <c r="AM680" s="34">
        <f>Q680*K680</f>
        <v/>
      </c>
      <c r="AN680" s="34">
        <f>AH680+AL680+AM680</f>
        <v/>
      </c>
      <c r="AO680" s="34">
        <f>(AG680-AA680)*O680</f>
        <v/>
      </c>
      <c r="AP680" s="34">
        <f>W680*N680</f>
        <v/>
      </c>
      <c r="AQ680" s="34">
        <f>T680*N680</f>
        <v/>
      </c>
      <c r="AR680" s="34">
        <f>Z680*J681+0.5*Z680*(O680+P680)</f>
        <v/>
      </c>
      <c r="AS680" s="30">
        <f>(1+InflationRate)^(A680/12)</f>
        <v/>
      </c>
      <c r="AT680" s="29">
        <f>ExpenseAcq*M680+N680*ExpenseMaint/12*AS680</f>
        <v/>
      </c>
      <c r="AU680" s="29">
        <f>CommissionRate*AE680</f>
        <v/>
      </c>
      <c r="AV680" s="34">
        <f>AB681-AB680</f>
        <v/>
      </c>
      <c r="AW680" s="34">
        <f>AE680+AR680-AN680-AT680-AU680-AV680</f>
        <v/>
      </c>
      <c r="AX680" s="29">
        <f>LoadPremRate*E680*N680+AK680+AQ680-AU680-AT680</f>
        <v/>
      </c>
      <c r="AY680" s="34">
        <f>AP680-AO680</f>
        <v/>
      </c>
      <c r="AZ680" s="37">
        <f>(AW680-AX680-AY680)/MAX(1,ABS(AW680),ABS(AX680),ABS(AY680))</f>
        <v/>
      </c>
      <c r="BA680" s="37">
        <f>IF(OR(K680&gt;0,K681&gt;0),0,(AC681-(AC680+AF680-AQ680-AP680+AR680-AI680-AJ680-AM680))/MAX(1,ABS(AC680),ABS(AC681)))</f>
        <v/>
      </c>
      <c r="BB680" s="35">
        <f>(1+INDEX(DiscRateAnn,INT(A680/12)+1))^(1/12)-1</f>
        <v/>
      </c>
      <c r="BC680" s="31">
        <f>(1+BB680)^-A680</f>
        <v/>
      </c>
      <c r="BD680" s="34">
        <f>AW680*BC680</f>
        <v/>
      </c>
    </row>
    <row r="681">
      <c r="A681" s="27">
        <f>A680+1</f>
        <v/>
      </c>
      <c r="B681" s="28">
        <f>Duration0+A681</f>
        <v/>
      </c>
      <c r="C681" s="27">
        <f>INT(B681/12)</f>
        <v/>
      </c>
      <c r="D681" s="28">
        <f>AgeAtEntry+C681</f>
        <v/>
      </c>
      <c r="E681" s="29">
        <f>IF(PremiumType="SINGLE",IF(B681=0,PremiumPPInput,0),IF(B681&lt;12*PolicyTerm,PremiumPPInput,0))</f>
        <v/>
      </c>
      <c r="F681" s="30">
        <f>INDEX(MortRates,MATCH(MIN(D681,120),MortAges,0),MAX(MIN(C681,5),0)+1)</f>
        <v/>
      </c>
      <c r="G681" s="31">
        <f>1-(1-F681)^(1/12)</f>
        <v/>
      </c>
      <c r="H681" s="32">
        <f>MAX(LapseBase-LapseStep*C681,LapseFloor)</f>
        <v/>
      </c>
      <c r="I681" s="32">
        <f>IF(HasSurrCharge,INDEX(SurrRates,MIN(C681,SurrDurMax)+1,MATCH(SurrChargeID,SurrTypes,0)),0)</f>
        <v/>
      </c>
      <c r="J681" s="33">
        <f>N680-P680-O680</f>
        <v/>
      </c>
      <c r="K681" s="30">
        <f>IF(B681=12*PolicyTerm,J681,0)</f>
        <v/>
      </c>
      <c r="L681" s="33">
        <f>J681-K681</f>
        <v/>
      </c>
      <c r="M681" s="30">
        <f>IF(B681=0,PolicyCount,0)</f>
        <v/>
      </c>
      <c r="N681" s="33">
        <f>L681+M681</f>
        <v/>
      </c>
      <c r="O681" s="31">
        <f>N681*G681</f>
        <v/>
      </c>
      <c r="P681" s="33">
        <f>(N681-O681)*(1-(1-H681)^(1/12))</f>
        <v/>
      </c>
      <c r="Q681" s="34">
        <f>X680+Z680</f>
        <v/>
      </c>
      <c r="R681" s="29">
        <f>(1-LoadPremRate)*E681</f>
        <v/>
      </c>
      <c r="S681" s="34">
        <f>Q681+R681</f>
        <v/>
      </c>
      <c r="T681" s="29">
        <f>MaintFeeRateAnn/12*S681</f>
        <v/>
      </c>
      <c r="U681" s="29">
        <f>MAX(SumAssured-S681,0)</f>
        <v/>
      </c>
      <c r="V681" s="35">
        <f>CoiMultiple*G681</f>
        <v/>
      </c>
      <c r="W681" s="34">
        <f>V681*U681</f>
        <v/>
      </c>
      <c r="X681" s="34">
        <f>S681-T681-W681</f>
        <v/>
      </c>
      <c r="Y681" s="36">
        <f>EXP((Mu-0.5*Sigma^2)/12+Sigma*SQRT(1/12)*INDEX(NormRand,ScenID,A681+1))-1</f>
        <v/>
      </c>
      <c r="Z681" s="34">
        <f>Y681*X681</f>
        <v/>
      </c>
      <c r="AA681" s="34">
        <f>X681+0.5*Z681</f>
        <v/>
      </c>
      <c r="AB681" s="34">
        <f>Q681*J681</f>
        <v/>
      </c>
      <c r="AC681" s="34">
        <f>Q681*L681</f>
        <v/>
      </c>
      <c r="AD681" s="34">
        <f>S681*N681</f>
        <v/>
      </c>
      <c r="AE681" s="34">
        <f>E681*N681</f>
        <v/>
      </c>
      <c r="AF681" s="34">
        <f>R681*N681</f>
        <v/>
      </c>
      <c r="AG681" s="29">
        <f>MAX(SumAssured,AA681)</f>
        <v/>
      </c>
      <c r="AH681" s="34">
        <f>AG681*O681</f>
        <v/>
      </c>
      <c r="AI681" s="34">
        <f>AA681*O681</f>
        <v/>
      </c>
      <c r="AJ681" s="34">
        <f>AA681*P681</f>
        <v/>
      </c>
      <c r="AK681" s="34">
        <f>I681*AA681*P681</f>
        <v/>
      </c>
      <c r="AL681" s="34">
        <f>AJ681-AK681</f>
        <v/>
      </c>
      <c r="AM681" s="34">
        <f>Q681*K681</f>
        <v/>
      </c>
      <c r="AN681" s="34">
        <f>AH681+AL681+AM681</f>
        <v/>
      </c>
      <c r="AO681" s="34">
        <f>(AG681-AA681)*O681</f>
        <v/>
      </c>
      <c r="AP681" s="34">
        <f>W681*N681</f>
        <v/>
      </c>
      <c r="AQ681" s="34">
        <f>T681*N681</f>
        <v/>
      </c>
      <c r="AR681" s="34">
        <f>Z681*J682+0.5*Z681*(O681+P681)</f>
        <v/>
      </c>
      <c r="AS681" s="30">
        <f>(1+InflationRate)^(A681/12)</f>
        <v/>
      </c>
      <c r="AT681" s="29">
        <f>ExpenseAcq*M681+N681*ExpenseMaint/12*AS681</f>
        <v/>
      </c>
      <c r="AU681" s="29">
        <f>CommissionRate*AE681</f>
        <v/>
      </c>
      <c r="AV681" s="34">
        <f>AB682-AB681</f>
        <v/>
      </c>
      <c r="AW681" s="34">
        <f>AE681+AR681-AN681-AT681-AU681-AV681</f>
        <v/>
      </c>
      <c r="AX681" s="29">
        <f>LoadPremRate*E681*N681+AK681+AQ681-AU681-AT681</f>
        <v/>
      </c>
      <c r="AY681" s="34">
        <f>AP681-AO681</f>
        <v/>
      </c>
      <c r="AZ681" s="37">
        <f>(AW681-AX681-AY681)/MAX(1,ABS(AW681),ABS(AX681),ABS(AY681))</f>
        <v/>
      </c>
      <c r="BA681" s="37">
        <f>IF(OR(K681&gt;0,K682&gt;0),0,(AC682-(AC681+AF681-AQ681-AP681+AR681-AI681-AJ681-AM681))/MAX(1,ABS(AC681),ABS(AC682)))</f>
        <v/>
      </c>
      <c r="BB681" s="35">
        <f>(1+INDEX(DiscRateAnn,INT(A681/12)+1))^(1/12)-1</f>
        <v/>
      </c>
      <c r="BC681" s="31">
        <f>(1+BB681)^-A681</f>
        <v/>
      </c>
      <c r="BD681" s="34">
        <f>AW681*BC681</f>
        <v/>
      </c>
    </row>
    <row r="682">
      <c r="A682" s="27">
        <f>A681+1</f>
        <v/>
      </c>
      <c r="B682" s="28">
        <f>Duration0+A682</f>
        <v/>
      </c>
      <c r="C682" s="27">
        <f>INT(B682/12)</f>
        <v/>
      </c>
      <c r="D682" s="28">
        <f>AgeAtEntry+C682</f>
        <v/>
      </c>
      <c r="E682" s="29">
        <f>IF(PremiumType="SINGLE",IF(B682=0,PremiumPPInput,0),IF(B682&lt;12*PolicyTerm,PremiumPPInput,0))</f>
        <v/>
      </c>
      <c r="F682" s="30">
        <f>INDEX(MortRates,MATCH(MIN(D682,120),MortAges,0),MAX(MIN(C682,5),0)+1)</f>
        <v/>
      </c>
      <c r="G682" s="31">
        <f>1-(1-F682)^(1/12)</f>
        <v/>
      </c>
      <c r="H682" s="32">
        <f>MAX(LapseBase-LapseStep*C682,LapseFloor)</f>
        <v/>
      </c>
      <c r="I682" s="32">
        <f>IF(HasSurrCharge,INDEX(SurrRates,MIN(C682,SurrDurMax)+1,MATCH(SurrChargeID,SurrTypes,0)),0)</f>
        <v/>
      </c>
      <c r="J682" s="33">
        <f>N681-P681-O681</f>
        <v/>
      </c>
      <c r="K682" s="30">
        <f>IF(B682=12*PolicyTerm,J682,0)</f>
        <v/>
      </c>
      <c r="L682" s="33">
        <f>J682-K682</f>
        <v/>
      </c>
      <c r="M682" s="30">
        <f>IF(B682=0,PolicyCount,0)</f>
        <v/>
      </c>
      <c r="N682" s="33">
        <f>L682+M682</f>
        <v/>
      </c>
      <c r="O682" s="31">
        <f>N682*G682</f>
        <v/>
      </c>
      <c r="P682" s="33">
        <f>(N682-O682)*(1-(1-H682)^(1/12))</f>
        <v/>
      </c>
      <c r="Q682" s="34">
        <f>X681+Z681</f>
        <v/>
      </c>
      <c r="R682" s="29">
        <f>(1-LoadPremRate)*E682</f>
        <v/>
      </c>
      <c r="S682" s="34">
        <f>Q682+R682</f>
        <v/>
      </c>
      <c r="T682" s="29">
        <f>MaintFeeRateAnn/12*S682</f>
        <v/>
      </c>
      <c r="U682" s="29">
        <f>MAX(SumAssured-S682,0)</f>
        <v/>
      </c>
      <c r="V682" s="35">
        <f>CoiMultiple*G682</f>
        <v/>
      </c>
      <c r="W682" s="34">
        <f>V682*U682</f>
        <v/>
      </c>
      <c r="X682" s="34">
        <f>S682-T682-W682</f>
        <v/>
      </c>
      <c r="Y682" s="36">
        <f>EXP((Mu-0.5*Sigma^2)/12+Sigma*SQRT(1/12)*INDEX(NormRand,ScenID,A682+1))-1</f>
        <v/>
      </c>
      <c r="Z682" s="34">
        <f>Y682*X682</f>
        <v/>
      </c>
      <c r="AA682" s="34">
        <f>X682+0.5*Z682</f>
        <v/>
      </c>
      <c r="AB682" s="34">
        <f>Q682*J682</f>
        <v/>
      </c>
      <c r="AC682" s="34">
        <f>Q682*L682</f>
        <v/>
      </c>
      <c r="AD682" s="34">
        <f>S682*N682</f>
        <v/>
      </c>
      <c r="AE682" s="34">
        <f>E682*N682</f>
        <v/>
      </c>
      <c r="AF682" s="34">
        <f>R682*N682</f>
        <v/>
      </c>
      <c r="AG682" s="29">
        <f>MAX(SumAssured,AA682)</f>
        <v/>
      </c>
      <c r="AH682" s="34">
        <f>AG682*O682</f>
        <v/>
      </c>
      <c r="AI682" s="34">
        <f>AA682*O682</f>
        <v/>
      </c>
      <c r="AJ682" s="34">
        <f>AA682*P682</f>
        <v/>
      </c>
      <c r="AK682" s="34">
        <f>I682*AA682*P682</f>
        <v/>
      </c>
      <c r="AL682" s="34">
        <f>AJ682-AK682</f>
        <v/>
      </c>
      <c r="AM682" s="34">
        <f>Q682*K682</f>
        <v/>
      </c>
      <c r="AN682" s="34">
        <f>AH682+AL682+AM682</f>
        <v/>
      </c>
      <c r="AO682" s="34">
        <f>(AG682-AA682)*O682</f>
        <v/>
      </c>
      <c r="AP682" s="34">
        <f>W682*N682</f>
        <v/>
      </c>
      <c r="AQ682" s="34">
        <f>T682*N682</f>
        <v/>
      </c>
      <c r="AR682" s="34">
        <f>Z682*J683+0.5*Z682*(O682+P682)</f>
        <v/>
      </c>
      <c r="AS682" s="30">
        <f>(1+InflationRate)^(A682/12)</f>
        <v/>
      </c>
      <c r="AT682" s="29">
        <f>ExpenseAcq*M682+N682*ExpenseMaint/12*AS682</f>
        <v/>
      </c>
      <c r="AU682" s="29">
        <f>CommissionRate*AE682</f>
        <v/>
      </c>
      <c r="AV682" s="34">
        <f>AB683-AB682</f>
        <v/>
      </c>
      <c r="AW682" s="34">
        <f>AE682+AR682-AN682-AT682-AU682-AV682</f>
        <v/>
      </c>
      <c r="AX682" s="29">
        <f>LoadPremRate*E682*N682+AK682+AQ682-AU682-AT682</f>
        <v/>
      </c>
      <c r="AY682" s="34">
        <f>AP682-AO682</f>
        <v/>
      </c>
      <c r="AZ682" s="37">
        <f>(AW682-AX682-AY682)/MAX(1,ABS(AW682),ABS(AX682),ABS(AY682))</f>
        <v/>
      </c>
      <c r="BA682" s="37">
        <f>IF(OR(K682&gt;0,K683&gt;0),0,(AC683-(AC682+AF682-AQ682-AP682+AR682-AI682-AJ682-AM682))/MAX(1,ABS(AC682),ABS(AC683)))</f>
        <v/>
      </c>
      <c r="BB682" s="35">
        <f>(1+INDEX(DiscRateAnn,INT(A682/12)+1))^(1/12)-1</f>
        <v/>
      </c>
      <c r="BC682" s="31">
        <f>(1+BB682)^-A682</f>
        <v/>
      </c>
      <c r="BD682" s="34">
        <f>AW682*BC682</f>
        <v/>
      </c>
    </row>
    <row r="683">
      <c r="A683" s="27">
        <f>A682+1</f>
        <v/>
      </c>
      <c r="B683" s="28">
        <f>Duration0+A683</f>
        <v/>
      </c>
      <c r="C683" s="27">
        <f>INT(B683/12)</f>
        <v/>
      </c>
      <c r="D683" s="28">
        <f>AgeAtEntry+C683</f>
        <v/>
      </c>
      <c r="E683" s="29">
        <f>IF(PremiumType="SINGLE",IF(B683=0,PremiumPPInput,0),IF(B683&lt;12*PolicyTerm,PremiumPPInput,0))</f>
        <v/>
      </c>
      <c r="F683" s="30">
        <f>INDEX(MortRates,MATCH(MIN(D683,120),MortAges,0),MAX(MIN(C683,5),0)+1)</f>
        <v/>
      </c>
      <c r="G683" s="31">
        <f>1-(1-F683)^(1/12)</f>
        <v/>
      </c>
      <c r="H683" s="32">
        <f>MAX(LapseBase-LapseStep*C683,LapseFloor)</f>
        <v/>
      </c>
      <c r="I683" s="32">
        <f>IF(HasSurrCharge,INDEX(SurrRates,MIN(C683,SurrDurMax)+1,MATCH(SurrChargeID,SurrTypes,0)),0)</f>
        <v/>
      </c>
      <c r="J683" s="33">
        <f>N682-P682-O682</f>
        <v/>
      </c>
      <c r="K683" s="30">
        <f>IF(B683=12*PolicyTerm,J683,0)</f>
        <v/>
      </c>
      <c r="L683" s="33">
        <f>J683-K683</f>
        <v/>
      </c>
      <c r="M683" s="30">
        <f>IF(B683=0,PolicyCount,0)</f>
        <v/>
      </c>
      <c r="N683" s="33">
        <f>L683+M683</f>
        <v/>
      </c>
      <c r="O683" s="31">
        <f>N683*G683</f>
        <v/>
      </c>
      <c r="P683" s="33">
        <f>(N683-O683)*(1-(1-H683)^(1/12))</f>
        <v/>
      </c>
      <c r="Q683" s="34">
        <f>X682+Z682</f>
        <v/>
      </c>
      <c r="R683" s="29">
        <f>(1-LoadPremRate)*E683</f>
        <v/>
      </c>
      <c r="S683" s="34">
        <f>Q683+R683</f>
        <v/>
      </c>
      <c r="T683" s="29">
        <f>MaintFeeRateAnn/12*S683</f>
        <v/>
      </c>
      <c r="U683" s="29">
        <f>MAX(SumAssured-S683,0)</f>
        <v/>
      </c>
      <c r="V683" s="35">
        <f>CoiMultiple*G683</f>
        <v/>
      </c>
      <c r="W683" s="34">
        <f>V683*U683</f>
        <v/>
      </c>
      <c r="X683" s="34">
        <f>S683-T683-W683</f>
        <v/>
      </c>
      <c r="Y683" s="36">
        <f>EXP((Mu-0.5*Sigma^2)/12+Sigma*SQRT(1/12)*INDEX(NormRand,ScenID,A683+1))-1</f>
        <v/>
      </c>
      <c r="Z683" s="34">
        <f>Y683*X683</f>
        <v/>
      </c>
      <c r="AA683" s="34">
        <f>X683+0.5*Z683</f>
        <v/>
      </c>
      <c r="AB683" s="34">
        <f>Q683*J683</f>
        <v/>
      </c>
      <c r="AC683" s="34">
        <f>Q683*L683</f>
        <v/>
      </c>
      <c r="AD683" s="34">
        <f>S683*N683</f>
        <v/>
      </c>
      <c r="AE683" s="34">
        <f>E683*N683</f>
        <v/>
      </c>
      <c r="AF683" s="34">
        <f>R683*N683</f>
        <v/>
      </c>
      <c r="AG683" s="29">
        <f>MAX(SumAssured,AA683)</f>
        <v/>
      </c>
      <c r="AH683" s="34">
        <f>AG683*O683</f>
        <v/>
      </c>
      <c r="AI683" s="34">
        <f>AA683*O683</f>
        <v/>
      </c>
      <c r="AJ683" s="34">
        <f>AA683*P683</f>
        <v/>
      </c>
      <c r="AK683" s="34">
        <f>I683*AA683*P683</f>
        <v/>
      </c>
      <c r="AL683" s="34">
        <f>AJ683-AK683</f>
        <v/>
      </c>
      <c r="AM683" s="34">
        <f>Q683*K683</f>
        <v/>
      </c>
      <c r="AN683" s="34">
        <f>AH683+AL683+AM683</f>
        <v/>
      </c>
      <c r="AO683" s="34">
        <f>(AG683-AA683)*O683</f>
        <v/>
      </c>
      <c r="AP683" s="34">
        <f>W683*N683</f>
        <v/>
      </c>
      <c r="AQ683" s="34">
        <f>T683*N683</f>
        <v/>
      </c>
      <c r="AR683" s="34">
        <f>Z683*J684+0.5*Z683*(O683+P683)</f>
        <v/>
      </c>
      <c r="AS683" s="30">
        <f>(1+InflationRate)^(A683/12)</f>
        <v/>
      </c>
      <c r="AT683" s="29">
        <f>ExpenseAcq*M683+N683*ExpenseMaint/12*AS683</f>
        <v/>
      </c>
      <c r="AU683" s="29">
        <f>CommissionRate*AE683</f>
        <v/>
      </c>
      <c r="AV683" s="34">
        <f>AB684-AB683</f>
        <v/>
      </c>
      <c r="AW683" s="34">
        <f>AE683+AR683-AN683-AT683-AU683-AV683</f>
        <v/>
      </c>
      <c r="AX683" s="29">
        <f>LoadPremRate*E683*N683+AK683+AQ683-AU683-AT683</f>
        <v/>
      </c>
      <c r="AY683" s="34">
        <f>AP683-AO683</f>
        <v/>
      </c>
      <c r="AZ683" s="37">
        <f>(AW683-AX683-AY683)/MAX(1,ABS(AW683),ABS(AX683),ABS(AY683))</f>
        <v/>
      </c>
      <c r="BA683" s="37">
        <f>IF(OR(K683&gt;0,K684&gt;0),0,(AC684-(AC683+AF683-AQ683-AP683+AR683-AI683-AJ683-AM683))/MAX(1,ABS(AC683),ABS(AC684)))</f>
        <v/>
      </c>
      <c r="BB683" s="35">
        <f>(1+INDEX(DiscRateAnn,INT(A683/12)+1))^(1/12)-1</f>
        <v/>
      </c>
      <c r="BC683" s="31">
        <f>(1+BB683)^-A683</f>
        <v/>
      </c>
      <c r="BD683" s="34">
        <f>AW683*BC683</f>
        <v/>
      </c>
    </row>
    <row r="684">
      <c r="A684" s="27">
        <f>A683+1</f>
        <v/>
      </c>
      <c r="B684" s="28">
        <f>Duration0+A684</f>
        <v/>
      </c>
      <c r="C684" s="27">
        <f>INT(B684/12)</f>
        <v/>
      </c>
      <c r="D684" s="28">
        <f>AgeAtEntry+C684</f>
        <v/>
      </c>
      <c r="E684" s="29">
        <f>IF(PremiumType="SINGLE",IF(B684=0,PremiumPPInput,0),IF(B684&lt;12*PolicyTerm,PremiumPPInput,0))</f>
        <v/>
      </c>
      <c r="F684" s="30">
        <f>INDEX(MortRates,MATCH(MIN(D684,120),MortAges,0),MAX(MIN(C684,5),0)+1)</f>
        <v/>
      </c>
      <c r="G684" s="31">
        <f>1-(1-F684)^(1/12)</f>
        <v/>
      </c>
      <c r="H684" s="32">
        <f>MAX(LapseBase-LapseStep*C684,LapseFloor)</f>
        <v/>
      </c>
      <c r="I684" s="32">
        <f>IF(HasSurrCharge,INDEX(SurrRates,MIN(C684,SurrDurMax)+1,MATCH(SurrChargeID,SurrTypes,0)),0)</f>
        <v/>
      </c>
      <c r="J684" s="33">
        <f>N683-P683-O683</f>
        <v/>
      </c>
      <c r="K684" s="30">
        <f>IF(B684=12*PolicyTerm,J684,0)</f>
        <v/>
      </c>
      <c r="L684" s="33">
        <f>J684-K684</f>
        <v/>
      </c>
      <c r="M684" s="30">
        <f>IF(B684=0,PolicyCount,0)</f>
        <v/>
      </c>
      <c r="N684" s="33">
        <f>L684+M684</f>
        <v/>
      </c>
      <c r="O684" s="31">
        <f>N684*G684</f>
        <v/>
      </c>
      <c r="P684" s="33">
        <f>(N684-O684)*(1-(1-H684)^(1/12))</f>
        <v/>
      </c>
      <c r="Q684" s="34">
        <f>X683+Z683</f>
        <v/>
      </c>
      <c r="R684" s="29">
        <f>(1-LoadPremRate)*E684</f>
        <v/>
      </c>
      <c r="S684" s="34">
        <f>Q684+R684</f>
        <v/>
      </c>
      <c r="T684" s="29">
        <f>MaintFeeRateAnn/12*S684</f>
        <v/>
      </c>
      <c r="U684" s="29">
        <f>MAX(SumAssured-S684,0)</f>
        <v/>
      </c>
      <c r="V684" s="35">
        <f>CoiMultiple*G684</f>
        <v/>
      </c>
      <c r="W684" s="34">
        <f>V684*U684</f>
        <v/>
      </c>
      <c r="X684" s="34">
        <f>S684-T684-W684</f>
        <v/>
      </c>
      <c r="Y684" s="36">
        <f>EXP((Mu-0.5*Sigma^2)/12+Sigma*SQRT(1/12)*INDEX(NormRand,ScenID,A684+1))-1</f>
        <v/>
      </c>
      <c r="Z684" s="34">
        <f>Y684*X684</f>
        <v/>
      </c>
      <c r="AA684" s="34">
        <f>X684+0.5*Z684</f>
        <v/>
      </c>
      <c r="AB684" s="34">
        <f>Q684*J684</f>
        <v/>
      </c>
      <c r="AC684" s="34">
        <f>Q684*L684</f>
        <v/>
      </c>
      <c r="AD684" s="34">
        <f>S684*N684</f>
        <v/>
      </c>
      <c r="AE684" s="34">
        <f>E684*N684</f>
        <v/>
      </c>
      <c r="AF684" s="34">
        <f>R684*N684</f>
        <v/>
      </c>
      <c r="AG684" s="29">
        <f>MAX(SumAssured,AA684)</f>
        <v/>
      </c>
      <c r="AH684" s="34">
        <f>AG684*O684</f>
        <v/>
      </c>
      <c r="AI684" s="34">
        <f>AA684*O684</f>
        <v/>
      </c>
      <c r="AJ684" s="34">
        <f>AA684*P684</f>
        <v/>
      </c>
      <c r="AK684" s="34">
        <f>I684*AA684*P684</f>
        <v/>
      </c>
      <c r="AL684" s="34">
        <f>AJ684-AK684</f>
        <v/>
      </c>
      <c r="AM684" s="34">
        <f>Q684*K684</f>
        <v/>
      </c>
      <c r="AN684" s="34">
        <f>AH684+AL684+AM684</f>
        <v/>
      </c>
      <c r="AO684" s="34">
        <f>(AG684-AA684)*O684</f>
        <v/>
      </c>
      <c r="AP684" s="34">
        <f>W684*N684</f>
        <v/>
      </c>
      <c r="AQ684" s="34">
        <f>T684*N684</f>
        <v/>
      </c>
      <c r="AR684" s="34">
        <f>Z684*J685+0.5*Z684*(O684+P684)</f>
        <v/>
      </c>
      <c r="AS684" s="30">
        <f>(1+InflationRate)^(A684/12)</f>
        <v/>
      </c>
      <c r="AT684" s="29">
        <f>ExpenseAcq*M684+N684*ExpenseMaint/12*AS684</f>
        <v/>
      </c>
      <c r="AU684" s="29">
        <f>CommissionRate*AE684</f>
        <v/>
      </c>
      <c r="AV684" s="34">
        <f>AB685-AB684</f>
        <v/>
      </c>
      <c r="AW684" s="34">
        <f>AE684+AR684-AN684-AT684-AU684-AV684</f>
        <v/>
      </c>
      <c r="AX684" s="29">
        <f>LoadPremRate*E684*N684+AK684+AQ684-AU684-AT684</f>
        <v/>
      </c>
      <c r="AY684" s="34">
        <f>AP684-AO684</f>
        <v/>
      </c>
      <c r="AZ684" s="37">
        <f>(AW684-AX684-AY684)/MAX(1,ABS(AW684),ABS(AX684),ABS(AY684))</f>
        <v/>
      </c>
      <c r="BA684" s="37">
        <f>IF(OR(K684&gt;0,K685&gt;0),0,(AC685-(AC684+AF684-AQ684-AP684+AR684-AI684-AJ684-AM684))/MAX(1,ABS(AC684),ABS(AC685)))</f>
        <v/>
      </c>
      <c r="BB684" s="35">
        <f>(1+INDEX(DiscRateAnn,INT(A684/12)+1))^(1/12)-1</f>
        <v/>
      </c>
      <c r="BC684" s="31">
        <f>(1+BB684)^-A684</f>
        <v/>
      </c>
      <c r="BD684" s="34">
        <f>AW684*BC684</f>
        <v/>
      </c>
    </row>
    <row r="685">
      <c r="A685" s="27">
        <f>A684+1</f>
        <v/>
      </c>
      <c r="B685" s="28">
        <f>Duration0+A685</f>
        <v/>
      </c>
      <c r="C685" s="27">
        <f>INT(B685/12)</f>
        <v/>
      </c>
      <c r="D685" s="28">
        <f>AgeAtEntry+C685</f>
        <v/>
      </c>
      <c r="E685" s="29">
        <f>IF(PremiumType="SINGLE",IF(B685=0,PremiumPPInput,0),IF(B685&lt;12*PolicyTerm,PremiumPPInput,0))</f>
        <v/>
      </c>
      <c r="F685" s="30">
        <f>INDEX(MortRates,MATCH(MIN(D685,120),MortAges,0),MAX(MIN(C685,5),0)+1)</f>
        <v/>
      </c>
      <c r="G685" s="31">
        <f>1-(1-F685)^(1/12)</f>
        <v/>
      </c>
      <c r="H685" s="32">
        <f>MAX(LapseBase-LapseStep*C685,LapseFloor)</f>
        <v/>
      </c>
      <c r="I685" s="32">
        <f>IF(HasSurrCharge,INDEX(SurrRates,MIN(C685,SurrDurMax)+1,MATCH(SurrChargeID,SurrTypes,0)),0)</f>
        <v/>
      </c>
      <c r="J685" s="33">
        <f>N684-P684-O684</f>
        <v/>
      </c>
      <c r="K685" s="30">
        <f>IF(B685=12*PolicyTerm,J685,0)</f>
        <v/>
      </c>
      <c r="L685" s="33">
        <f>J685-K685</f>
        <v/>
      </c>
      <c r="M685" s="30">
        <f>IF(B685=0,PolicyCount,0)</f>
        <v/>
      </c>
      <c r="N685" s="33">
        <f>L685+M685</f>
        <v/>
      </c>
      <c r="O685" s="31">
        <f>N685*G685</f>
        <v/>
      </c>
      <c r="P685" s="33">
        <f>(N685-O685)*(1-(1-H685)^(1/12))</f>
        <v/>
      </c>
      <c r="Q685" s="34">
        <f>X684+Z684</f>
        <v/>
      </c>
      <c r="R685" s="29">
        <f>(1-LoadPremRate)*E685</f>
        <v/>
      </c>
      <c r="S685" s="34">
        <f>Q685+R685</f>
        <v/>
      </c>
      <c r="T685" s="29">
        <f>MaintFeeRateAnn/12*S685</f>
        <v/>
      </c>
      <c r="U685" s="29">
        <f>MAX(SumAssured-S685,0)</f>
        <v/>
      </c>
      <c r="V685" s="35">
        <f>CoiMultiple*G685</f>
        <v/>
      </c>
      <c r="W685" s="34">
        <f>V685*U685</f>
        <v/>
      </c>
      <c r="X685" s="34">
        <f>S685-T685-W685</f>
        <v/>
      </c>
      <c r="Y685" s="36">
        <f>EXP((Mu-0.5*Sigma^2)/12+Sigma*SQRT(1/12)*INDEX(NormRand,ScenID,A685+1))-1</f>
        <v/>
      </c>
      <c r="Z685" s="34">
        <f>Y685*X685</f>
        <v/>
      </c>
      <c r="AA685" s="34">
        <f>X685+0.5*Z685</f>
        <v/>
      </c>
      <c r="AB685" s="34">
        <f>Q685*J685</f>
        <v/>
      </c>
      <c r="AC685" s="34">
        <f>Q685*L685</f>
        <v/>
      </c>
      <c r="AD685" s="34">
        <f>S685*N685</f>
        <v/>
      </c>
      <c r="AE685" s="34">
        <f>E685*N685</f>
        <v/>
      </c>
      <c r="AF685" s="34">
        <f>R685*N685</f>
        <v/>
      </c>
      <c r="AG685" s="29">
        <f>MAX(SumAssured,AA685)</f>
        <v/>
      </c>
      <c r="AH685" s="34">
        <f>AG685*O685</f>
        <v/>
      </c>
      <c r="AI685" s="34">
        <f>AA685*O685</f>
        <v/>
      </c>
      <c r="AJ685" s="34">
        <f>AA685*P685</f>
        <v/>
      </c>
      <c r="AK685" s="34">
        <f>I685*AA685*P685</f>
        <v/>
      </c>
      <c r="AL685" s="34">
        <f>AJ685-AK685</f>
        <v/>
      </c>
      <c r="AM685" s="34">
        <f>Q685*K685</f>
        <v/>
      </c>
      <c r="AN685" s="34">
        <f>AH685+AL685+AM685</f>
        <v/>
      </c>
      <c r="AO685" s="34">
        <f>(AG685-AA685)*O685</f>
        <v/>
      </c>
      <c r="AP685" s="34">
        <f>W685*N685</f>
        <v/>
      </c>
      <c r="AQ685" s="34">
        <f>T685*N685</f>
        <v/>
      </c>
      <c r="AR685" s="34">
        <f>Z685*J686+0.5*Z685*(O685+P685)</f>
        <v/>
      </c>
      <c r="AS685" s="30">
        <f>(1+InflationRate)^(A685/12)</f>
        <v/>
      </c>
      <c r="AT685" s="29">
        <f>ExpenseAcq*M685+N685*ExpenseMaint/12*AS685</f>
        <v/>
      </c>
      <c r="AU685" s="29">
        <f>CommissionRate*AE685</f>
        <v/>
      </c>
      <c r="AV685" s="34">
        <f>AB686-AB685</f>
        <v/>
      </c>
      <c r="AW685" s="34">
        <f>AE685+AR685-AN685-AT685-AU685-AV685</f>
        <v/>
      </c>
      <c r="AX685" s="29">
        <f>LoadPremRate*E685*N685+AK685+AQ685-AU685-AT685</f>
        <v/>
      </c>
      <c r="AY685" s="34">
        <f>AP685-AO685</f>
        <v/>
      </c>
      <c r="AZ685" s="37">
        <f>(AW685-AX685-AY685)/MAX(1,ABS(AW685),ABS(AX685),ABS(AY685))</f>
        <v/>
      </c>
      <c r="BA685" s="37">
        <f>IF(OR(K685&gt;0,K686&gt;0),0,(AC686-(AC685+AF685-AQ685-AP685+AR685-AI685-AJ685-AM685))/MAX(1,ABS(AC685),ABS(AC686)))</f>
        <v/>
      </c>
      <c r="BB685" s="35">
        <f>(1+INDEX(DiscRateAnn,INT(A685/12)+1))^(1/12)-1</f>
        <v/>
      </c>
      <c r="BC685" s="31">
        <f>(1+BB685)^-A685</f>
        <v/>
      </c>
      <c r="BD685" s="34">
        <f>AW685*BC685</f>
        <v/>
      </c>
    </row>
    <row r="686">
      <c r="A686" s="27">
        <f>A685+1</f>
        <v/>
      </c>
      <c r="B686" s="28">
        <f>Duration0+A686</f>
        <v/>
      </c>
      <c r="C686" s="27">
        <f>INT(B686/12)</f>
        <v/>
      </c>
      <c r="D686" s="28">
        <f>AgeAtEntry+C686</f>
        <v/>
      </c>
      <c r="E686" s="29">
        <f>IF(PremiumType="SINGLE",IF(B686=0,PremiumPPInput,0),IF(B686&lt;12*PolicyTerm,PremiumPPInput,0))</f>
        <v/>
      </c>
      <c r="F686" s="30">
        <f>INDEX(MortRates,MATCH(MIN(D686,120),MortAges,0),MAX(MIN(C686,5),0)+1)</f>
        <v/>
      </c>
      <c r="G686" s="31">
        <f>1-(1-F686)^(1/12)</f>
        <v/>
      </c>
      <c r="H686" s="32">
        <f>MAX(LapseBase-LapseStep*C686,LapseFloor)</f>
        <v/>
      </c>
      <c r="I686" s="32">
        <f>IF(HasSurrCharge,INDEX(SurrRates,MIN(C686,SurrDurMax)+1,MATCH(SurrChargeID,SurrTypes,0)),0)</f>
        <v/>
      </c>
      <c r="J686" s="33">
        <f>N685-P685-O685</f>
        <v/>
      </c>
      <c r="K686" s="30">
        <f>IF(B686=12*PolicyTerm,J686,0)</f>
        <v/>
      </c>
      <c r="L686" s="33">
        <f>J686-K686</f>
        <v/>
      </c>
      <c r="M686" s="30">
        <f>IF(B686=0,PolicyCount,0)</f>
        <v/>
      </c>
      <c r="N686" s="33">
        <f>L686+M686</f>
        <v/>
      </c>
      <c r="O686" s="31">
        <f>N686*G686</f>
        <v/>
      </c>
      <c r="P686" s="33">
        <f>(N686-O686)*(1-(1-H686)^(1/12))</f>
        <v/>
      </c>
      <c r="Q686" s="34">
        <f>X685+Z685</f>
        <v/>
      </c>
      <c r="R686" s="29">
        <f>(1-LoadPremRate)*E686</f>
        <v/>
      </c>
      <c r="S686" s="34">
        <f>Q686+R686</f>
        <v/>
      </c>
      <c r="T686" s="29">
        <f>MaintFeeRateAnn/12*S686</f>
        <v/>
      </c>
      <c r="U686" s="29">
        <f>MAX(SumAssured-S686,0)</f>
        <v/>
      </c>
      <c r="V686" s="35">
        <f>CoiMultiple*G686</f>
        <v/>
      </c>
      <c r="W686" s="34">
        <f>V686*U686</f>
        <v/>
      </c>
      <c r="X686" s="34">
        <f>S686-T686-W686</f>
        <v/>
      </c>
      <c r="Y686" s="36">
        <f>EXP((Mu-0.5*Sigma^2)/12+Sigma*SQRT(1/12)*INDEX(NormRand,ScenID,A686+1))-1</f>
        <v/>
      </c>
      <c r="Z686" s="34">
        <f>Y686*X686</f>
        <v/>
      </c>
      <c r="AA686" s="34">
        <f>X686+0.5*Z686</f>
        <v/>
      </c>
      <c r="AB686" s="34">
        <f>Q686*J686</f>
        <v/>
      </c>
      <c r="AC686" s="34">
        <f>Q686*L686</f>
        <v/>
      </c>
      <c r="AD686" s="34">
        <f>S686*N686</f>
        <v/>
      </c>
      <c r="AE686" s="34">
        <f>E686*N686</f>
        <v/>
      </c>
      <c r="AF686" s="34">
        <f>R686*N686</f>
        <v/>
      </c>
      <c r="AG686" s="29">
        <f>MAX(SumAssured,AA686)</f>
        <v/>
      </c>
      <c r="AH686" s="34">
        <f>AG686*O686</f>
        <v/>
      </c>
      <c r="AI686" s="34">
        <f>AA686*O686</f>
        <v/>
      </c>
      <c r="AJ686" s="34">
        <f>AA686*P686</f>
        <v/>
      </c>
      <c r="AK686" s="34">
        <f>I686*AA686*P686</f>
        <v/>
      </c>
      <c r="AL686" s="34">
        <f>AJ686-AK686</f>
        <v/>
      </c>
      <c r="AM686" s="34">
        <f>Q686*K686</f>
        <v/>
      </c>
      <c r="AN686" s="34">
        <f>AH686+AL686+AM686</f>
        <v/>
      </c>
      <c r="AO686" s="34">
        <f>(AG686-AA686)*O686</f>
        <v/>
      </c>
      <c r="AP686" s="34">
        <f>W686*N686</f>
        <v/>
      </c>
      <c r="AQ686" s="34">
        <f>T686*N686</f>
        <v/>
      </c>
      <c r="AR686" s="34">
        <f>Z686*J687+0.5*Z686*(O686+P686)</f>
        <v/>
      </c>
      <c r="AS686" s="30">
        <f>(1+InflationRate)^(A686/12)</f>
        <v/>
      </c>
      <c r="AT686" s="29">
        <f>ExpenseAcq*M686+N686*ExpenseMaint/12*AS686</f>
        <v/>
      </c>
      <c r="AU686" s="29">
        <f>CommissionRate*AE686</f>
        <v/>
      </c>
      <c r="AV686" s="34">
        <f>AB687-AB686</f>
        <v/>
      </c>
      <c r="AW686" s="34">
        <f>AE686+AR686-AN686-AT686-AU686-AV686</f>
        <v/>
      </c>
      <c r="AX686" s="29">
        <f>LoadPremRate*E686*N686+AK686+AQ686-AU686-AT686</f>
        <v/>
      </c>
      <c r="AY686" s="34">
        <f>AP686-AO686</f>
        <v/>
      </c>
      <c r="AZ686" s="37">
        <f>(AW686-AX686-AY686)/MAX(1,ABS(AW686),ABS(AX686),ABS(AY686))</f>
        <v/>
      </c>
      <c r="BA686" s="37">
        <f>IF(OR(K686&gt;0,K687&gt;0),0,(AC687-(AC686+AF686-AQ686-AP686+AR686-AI686-AJ686-AM686))/MAX(1,ABS(AC686),ABS(AC687)))</f>
        <v/>
      </c>
      <c r="BB686" s="35">
        <f>(1+INDEX(DiscRateAnn,INT(A686/12)+1))^(1/12)-1</f>
        <v/>
      </c>
      <c r="BC686" s="31">
        <f>(1+BB686)^-A686</f>
        <v/>
      </c>
      <c r="BD686" s="34">
        <f>AW686*BC686</f>
        <v/>
      </c>
    </row>
    <row r="687">
      <c r="A687" s="27">
        <f>A686+1</f>
        <v/>
      </c>
      <c r="B687" s="28">
        <f>Duration0+A687</f>
        <v/>
      </c>
      <c r="C687" s="27">
        <f>INT(B687/12)</f>
        <v/>
      </c>
      <c r="D687" s="28">
        <f>AgeAtEntry+C687</f>
        <v/>
      </c>
      <c r="E687" s="29">
        <f>IF(PremiumType="SINGLE",IF(B687=0,PremiumPPInput,0),IF(B687&lt;12*PolicyTerm,PremiumPPInput,0))</f>
        <v/>
      </c>
      <c r="F687" s="30">
        <f>INDEX(MortRates,MATCH(MIN(D687,120),MortAges,0),MAX(MIN(C687,5),0)+1)</f>
        <v/>
      </c>
      <c r="G687" s="31">
        <f>1-(1-F687)^(1/12)</f>
        <v/>
      </c>
      <c r="H687" s="32">
        <f>MAX(LapseBase-LapseStep*C687,LapseFloor)</f>
        <v/>
      </c>
      <c r="I687" s="32">
        <f>IF(HasSurrCharge,INDEX(SurrRates,MIN(C687,SurrDurMax)+1,MATCH(SurrChargeID,SurrTypes,0)),0)</f>
        <v/>
      </c>
      <c r="J687" s="33">
        <f>N686-P686-O686</f>
        <v/>
      </c>
      <c r="K687" s="30">
        <f>IF(B687=12*PolicyTerm,J687,0)</f>
        <v/>
      </c>
      <c r="L687" s="33">
        <f>J687-K687</f>
        <v/>
      </c>
      <c r="M687" s="30">
        <f>IF(B687=0,PolicyCount,0)</f>
        <v/>
      </c>
      <c r="N687" s="33">
        <f>L687+M687</f>
        <v/>
      </c>
      <c r="O687" s="31">
        <f>N687*G687</f>
        <v/>
      </c>
      <c r="P687" s="33">
        <f>(N687-O687)*(1-(1-H687)^(1/12))</f>
        <v/>
      </c>
      <c r="Q687" s="34">
        <f>X686+Z686</f>
        <v/>
      </c>
      <c r="R687" s="29">
        <f>(1-LoadPremRate)*E687</f>
        <v/>
      </c>
      <c r="S687" s="34">
        <f>Q687+R687</f>
        <v/>
      </c>
      <c r="T687" s="29">
        <f>MaintFeeRateAnn/12*S687</f>
        <v/>
      </c>
      <c r="U687" s="29">
        <f>MAX(SumAssured-S687,0)</f>
        <v/>
      </c>
      <c r="V687" s="35">
        <f>CoiMultiple*G687</f>
        <v/>
      </c>
      <c r="W687" s="34">
        <f>V687*U687</f>
        <v/>
      </c>
      <c r="X687" s="34">
        <f>S687-T687-W687</f>
        <v/>
      </c>
      <c r="Y687" s="36">
        <f>EXP((Mu-0.5*Sigma^2)/12+Sigma*SQRT(1/12)*INDEX(NormRand,ScenID,A687+1))-1</f>
        <v/>
      </c>
      <c r="Z687" s="34">
        <f>Y687*X687</f>
        <v/>
      </c>
      <c r="AA687" s="34">
        <f>X687+0.5*Z687</f>
        <v/>
      </c>
      <c r="AB687" s="34">
        <f>Q687*J687</f>
        <v/>
      </c>
      <c r="AC687" s="34">
        <f>Q687*L687</f>
        <v/>
      </c>
      <c r="AD687" s="34">
        <f>S687*N687</f>
        <v/>
      </c>
      <c r="AE687" s="34">
        <f>E687*N687</f>
        <v/>
      </c>
      <c r="AF687" s="34">
        <f>R687*N687</f>
        <v/>
      </c>
      <c r="AG687" s="29">
        <f>MAX(SumAssured,AA687)</f>
        <v/>
      </c>
      <c r="AH687" s="34">
        <f>AG687*O687</f>
        <v/>
      </c>
      <c r="AI687" s="34">
        <f>AA687*O687</f>
        <v/>
      </c>
      <c r="AJ687" s="34">
        <f>AA687*P687</f>
        <v/>
      </c>
      <c r="AK687" s="34">
        <f>I687*AA687*P687</f>
        <v/>
      </c>
      <c r="AL687" s="34">
        <f>AJ687-AK687</f>
        <v/>
      </c>
      <c r="AM687" s="34">
        <f>Q687*K687</f>
        <v/>
      </c>
      <c r="AN687" s="34">
        <f>AH687+AL687+AM687</f>
        <v/>
      </c>
      <c r="AO687" s="34">
        <f>(AG687-AA687)*O687</f>
        <v/>
      </c>
      <c r="AP687" s="34">
        <f>W687*N687</f>
        <v/>
      </c>
      <c r="AQ687" s="34">
        <f>T687*N687</f>
        <v/>
      </c>
      <c r="AR687" s="34">
        <f>Z687*J688+0.5*Z687*(O687+P687)</f>
        <v/>
      </c>
      <c r="AS687" s="30">
        <f>(1+InflationRate)^(A687/12)</f>
        <v/>
      </c>
      <c r="AT687" s="29">
        <f>ExpenseAcq*M687+N687*ExpenseMaint/12*AS687</f>
        <v/>
      </c>
      <c r="AU687" s="29">
        <f>CommissionRate*AE687</f>
        <v/>
      </c>
      <c r="AV687" s="34">
        <f>AB688-AB687</f>
        <v/>
      </c>
      <c r="AW687" s="34">
        <f>AE687+AR687-AN687-AT687-AU687-AV687</f>
        <v/>
      </c>
      <c r="AX687" s="29">
        <f>LoadPremRate*E687*N687+AK687+AQ687-AU687-AT687</f>
        <v/>
      </c>
      <c r="AY687" s="34">
        <f>AP687-AO687</f>
        <v/>
      </c>
      <c r="AZ687" s="37">
        <f>(AW687-AX687-AY687)/MAX(1,ABS(AW687),ABS(AX687),ABS(AY687))</f>
        <v/>
      </c>
      <c r="BA687" s="37">
        <f>IF(OR(K687&gt;0,K688&gt;0),0,(AC688-(AC687+AF687-AQ687-AP687+AR687-AI687-AJ687-AM687))/MAX(1,ABS(AC687),ABS(AC688)))</f>
        <v/>
      </c>
      <c r="BB687" s="35">
        <f>(1+INDEX(DiscRateAnn,INT(A687/12)+1))^(1/12)-1</f>
        <v/>
      </c>
      <c r="BC687" s="31">
        <f>(1+BB687)^-A687</f>
        <v/>
      </c>
      <c r="BD687" s="34">
        <f>AW687*BC687</f>
        <v/>
      </c>
    </row>
    <row r="688">
      <c r="A688" s="27">
        <f>A687+1</f>
        <v/>
      </c>
      <c r="B688" s="28">
        <f>Duration0+A688</f>
        <v/>
      </c>
      <c r="C688" s="27">
        <f>INT(B688/12)</f>
        <v/>
      </c>
      <c r="D688" s="28">
        <f>AgeAtEntry+C688</f>
        <v/>
      </c>
      <c r="E688" s="29">
        <f>IF(PremiumType="SINGLE",IF(B688=0,PremiumPPInput,0),IF(B688&lt;12*PolicyTerm,PremiumPPInput,0))</f>
        <v/>
      </c>
      <c r="F688" s="30">
        <f>INDEX(MortRates,MATCH(MIN(D688,120),MortAges,0),MAX(MIN(C688,5),0)+1)</f>
        <v/>
      </c>
      <c r="G688" s="31">
        <f>1-(1-F688)^(1/12)</f>
        <v/>
      </c>
      <c r="H688" s="32">
        <f>MAX(LapseBase-LapseStep*C688,LapseFloor)</f>
        <v/>
      </c>
      <c r="I688" s="32">
        <f>IF(HasSurrCharge,INDEX(SurrRates,MIN(C688,SurrDurMax)+1,MATCH(SurrChargeID,SurrTypes,0)),0)</f>
        <v/>
      </c>
      <c r="J688" s="33">
        <f>N687-P687-O687</f>
        <v/>
      </c>
      <c r="K688" s="30">
        <f>IF(B688=12*PolicyTerm,J688,0)</f>
        <v/>
      </c>
      <c r="L688" s="33">
        <f>J688-K688</f>
        <v/>
      </c>
      <c r="M688" s="30">
        <f>IF(B688=0,PolicyCount,0)</f>
        <v/>
      </c>
      <c r="N688" s="33">
        <f>L688+M688</f>
        <v/>
      </c>
      <c r="O688" s="31">
        <f>N688*G688</f>
        <v/>
      </c>
      <c r="P688" s="33">
        <f>(N688-O688)*(1-(1-H688)^(1/12))</f>
        <v/>
      </c>
      <c r="Q688" s="34">
        <f>X687+Z687</f>
        <v/>
      </c>
      <c r="R688" s="29">
        <f>(1-LoadPremRate)*E688</f>
        <v/>
      </c>
      <c r="S688" s="34">
        <f>Q688+R688</f>
        <v/>
      </c>
      <c r="T688" s="29">
        <f>MaintFeeRateAnn/12*S688</f>
        <v/>
      </c>
      <c r="U688" s="29">
        <f>MAX(SumAssured-S688,0)</f>
        <v/>
      </c>
      <c r="V688" s="35">
        <f>CoiMultiple*G688</f>
        <v/>
      </c>
      <c r="W688" s="34">
        <f>V688*U688</f>
        <v/>
      </c>
      <c r="X688" s="34">
        <f>S688-T688-W688</f>
        <v/>
      </c>
      <c r="Y688" s="36">
        <f>EXP((Mu-0.5*Sigma^2)/12+Sigma*SQRT(1/12)*INDEX(NormRand,ScenID,A688+1))-1</f>
        <v/>
      </c>
      <c r="Z688" s="34">
        <f>Y688*X688</f>
        <v/>
      </c>
      <c r="AA688" s="34">
        <f>X688+0.5*Z688</f>
        <v/>
      </c>
      <c r="AB688" s="34">
        <f>Q688*J688</f>
        <v/>
      </c>
      <c r="AC688" s="34">
        <f>Q688*L688</f>
        <v/>
      </c>
      <c r="AD688" s="34">
        <f>S688*N688</f>
        <v/>
      </c>
      <c r="AE688" s="34">
        <f>E688*N688</f>
        <v/>
      </c>
      <c r="AF688" s="34">
        <f>R688*N688</f>
        <v/>
      </c>
      <c r="AG688" s="29">
        <f>MAX(SumAssured,AA688)</f>
        <v/>
      </c>
      <c r="AH688" s="34">
        <f>AG688*O688</f>
        <v/>
      </c>
      <c r="AI688" s="34">
        <f>AA688*O688</f>
        <v/>
      </c>
      <c r="AJ688" s="34">
        <f>AA688*P688</f>
        <v/>
      </c>
      <c r="AK688" s="34">
        <f>I688*AA688*P688</f>
        <v/>
      </c>
      <c r="AL688" s="34">
        <f>AJ688-AK688</f>
        <v/>
      </c>
      <c r="AM688" s="34">
        <f>Q688*K688</f>
        <v/>
      </c>
      <c r="AN688" s="34">
        <f>AH688+AL688+AM688</f>
        <v/>
      </c>
      <c r="AO688" s="34">
        <f>(AG688-AA688)*O688</f>
        <v/>
      </c>
      <c r="AP688" s="34">
        <f>W688*N688</f>
        <v/>
      </c>
      <c r="AQ688" s="34">
        <f>T688*N688</f>
        <v/>
      </c>
      <c r="AR688" s="34">
        <f>Z688*J689+0.5*Z688*(O688+P688)</f>
        <v/>
      </c>
      <c r="AS688" s="30">
        <f>(1+InflationRate)^(A688/12)</f>
        <v/>
      </c>
      <c r="AT688" s="29">
        <f>ExpenseAcq*M688+N688*ExpenseMaint/12*AS688</f>
        <v/>
      </c>
      <c r="AU688" s="29">
        <f>CommissionRate*AE688</f>
        <v/>
      </c>
      <c r="AV688" s="34">
        <f>AB689-AB688</f>
        <v/>
      </c>
      <c r="AW688" s="34">
        <f>AE688+AR688-AN688-AT688-AU688-AV688</f>
        <v/>
      </c>
      <c r="AX688" s="29">
        <f>LoadPremRate*E688*N688+AK688+AQ688-AU688-AT688</f>
        <v/>
      </c>
      <c r="AY688" s="34">
        <f>AP688-AO688</f>
        <v/>
      </c>
      <c r="AZ688" s="37">
        <f>(AW688-AX688-AY688)/MAX(1,ABS(AW688),ABS(AX688),ABS(AY688))</f>
        <v/>
      </c>
      <c r="BA688" s="37">
        <f>IF(OR(K688&gt;0,K689&gt;0),0,(AC689-(AC688+AF688-AQ688-AP688+AR688-AI688-AJ688-AM688))/MAX(1,ABS(AC688),ABS(AC689)))</f>
        <v/>
      </c>
      <c r="BB688" s="35">
        <f>(1+INDEX(DiscRateAnn,INT(A688/12)+1))^(1/12)-1</f>
        <v/>
      </c>
      <c r="BC688" s="31">
        <f>(1+BB688)^-A688</f>
        <v/>
      </c>
      <c r="BD688" s="34">
        <f>AW688*BC688</f>
        <v/>
      </c>
    </row>
    <row r="689">
      <c r="A689" s="27">
        <f>A688+1</f>
        <v/>
      </c>
      <c r="B689" s="28">
        <f>Duration0+A689</f>
        <v/>
      </c>
      <c r="C689" s="27">
        <f>INT(B689/12)</f>
        <v/>
      </c>
      <c r="D689" s="28">
        <f>AgeAtEntry+C689</f>
        <v/>
      </c>
      <c r="E689" s="29">
        <f>IF(PremiumType="SINGLE",IF(B689=0,PremiumPPInput,0),IF(B689&lt;12*PolicyTerm,PremiumPPInput,0))</f>
        <v/>
      </c>
      <c r="F689" s="30">
        <f>INDEX(MortRates,MATCH(MIN(D689,120),MortAges,0),MAX(MIN(C689,5),0)+1)</f>
        <v/>
      </c>
      <c r="G689" s="31">
        <f>1-(1-F689)^(1/12)</f>
        <v/>
      </c>
      <c r="H689" s="32">
        <f>MAX(LapseBase-LapseStep*C689,LapseFloor)</f>
        <v/>
      </c>
      <c r="I689" s="32">
        <f>IF(HasSurrCharge,INDEX(SurrRates,MIN(C689,SurrDurMax)+1,MATCH(SurrChargeID,SurrTypes,0)),0)</f>
        <v/>
      </c>
      <c r="J689" s="33">
        <f>N688-P688-O688</f>
        <v/>
      </c>
      <c r="K689" s="30">
        <f>IF(B689=12*PolicyTerm,J689,0)</f>
        <v/>
      </c>
      <c r="L689" s="33">
        <f>J689-K689</f>
        <v/>
      </c>
      <c r="M689" s="30">
        <f>IF(B689=0,PolicyCount,0)</f>
        <v/>
      </c>
      <c r="N689" s="33">
        <f>L689+M689</f>
        <v/>
      </c>
      <c r="O689" s="31">
        <f>N689*G689</f>
        <v/>
      </c>
      <c r="P689" s="33">
        <f>(N689-O689)*(1-(1-H689)^(1/12))</f>
        <v/>
      </c>
      <c r="Q689" s="34">
        <f>X688+Z688</f>
        <v/>
      </c>
      <c r="R689" s="29">
        <f>(1-LoadPremRate)*E689</f>
        <v/>
      </c>
      <c r="S689" s="34">
        <f>Q689+R689</f>
        <v/>
      </c>
      <c r="T689" s="29">
        <f>MaintFeeRateAnn/12*S689</f>
        <v/>
      </c>
      <c r="U689" s="29">
        <f>MAX(SumAssured-S689,0)</f>
        <v/>
      </c>
      <c r="V689" s="35">
        <f>CoiMultiple*G689</f>
        <v/>
      </c>
      <c r="W689" s="34">
        <f>V689*U689</f>
        <v/>
      </c>
      <c r="X689" s="34">
        <f>S689-T689-W689</f>
        <v/>
      </c>
      <c r="Y689" s="36">
        <f>EXP((Mu-0.5*Sigma^2)/12+Sigma*SQRT(1/12)*INDEX(NormRand,ScenID,A689+1))-1</f>
        <v/>
      </c>
      <c r="Z689" s="34">
        <f>Y689*X689</f>
        <v/>
      </c>
      <c r="AA689" s="34">
        <f>X689+0.5*Z689</f>
        <v/>
      </c>
      <c r="AB689" s="34">
        <f>Q689*J689</f>
        <v/>
      </c>
      <c r="AC689" s="34">
        <f>Q689*L689</f>
        <v/>
      </c>
      <c r="AD689" s="34">
        <f>S689*N689</f>
        <v/>
      </c>
      <c r="AE689" s="34">
        <f>E689*N689</f>
        <v/>
      </c>
      <c r="AF689" s="34">
        <f>R689*N689</f>
        <v/>
      </c>
      <c r="AG689" s="29">
        <f>MAX(SumAssured,AA689)</f>
        <v/>
      </c>
      <c r="AH689" s="34">
        <f>AG689*O689</f>
        <v/>
      </c>
      <c r="AI689" s="34">
        <f>AA689*O689</f>
        <v/>
      </c>
      <c r="AJ689" s="34">
        <f>AA689*P689</f>
        <v/>
      </c>
      <c r="AK689" s="34">
        <f>I689*AA689*P689</f>
        <v/>
      </c>
      <c r="AL689" s="34">
        <f>AJ689-AK689</f>
        <v/>
      </c>
      <c r="AM689" s="34">
        <f>Q689*K689</f>
        <v/>
      </c>
      <c r="AN689" s="34">
        <f>AH689+AL689+AM689</f>
        <v/>
      </c>
      <c r="AO689" s="34">
        <f>(AG689-AA689)*O689</f>
        <v/>
      </c>
      <c r="AP689" s="34">
        <f>W689*N689</f>
        <v/>
      </c>
      <c r="AQ689" s="34">
        <f>T689*N689</f>
        <v/>
      </c>
      <c r="AR689" s="34">
        <f>Z689*J690+0.5*Z689*(O689+P689)</f>
        <v/>
      </c>
      <c r="AS689" s="30">
        <f>(1+InflationRate)^(A689/12)</f>
        <v/>
      </c>
      <c r="AT689" s="29">
        <f>ExpenseAcq*M689+N689*ExpenseMaint/12*AS689</f>
        <v/>
      </c>
      <c r="AU689" s="29">
        <f>CommissionRate*AE689</f>
        <v/>
      </c>
      <c r="AV689" s="34">
        <f>AB690-AB689</f>
        <v/>
      </c>
      <c r="AW689" s="34">
        <f>AE689+AR689-AN689-AT689-AU689-AV689</f>
        <v/>
      </c>
      <c r="AX689" s="29">
        <f>LoadPremRate*E689*N689+AK689+AQ689-AU689-AT689</f>
        <v/>
      </c>
      <c r="AY689" s="34">
        <f>AP689-AO689</f>
        <v/>
      </c>
      <c r="AZ689" s="37">
        <f>(AW689-AX689-AY689)/MAX(1,ABS(AW689),ABS(AX689),ABS(AY689))</f>
        <v/>
      </c>
      <c r="BA689" s="37">
        <f>IF(OR(K689&gt;0,K690&gt;0),0,(AC690-(AC689+AF689-AQ689-AP689+AR689-AI689-AJ689-AM689))/MAX(1,ABS(AC689),ABS(AC690)))</f>
        <v/>
      </c>
      <c r="BB689" s="35">
        <f>(1+INDEX(DiscRateAnn,INT(A689/12)+1))^(1/12)-1</f>
        <v/>
      </c>
      <c r="BC689" s="31">
        <f>(1+BB689)^-A689</f>
        <v/>
      </c>
      <c r="BD689" s="34">
        <f>AW689*BC689</f>
        <v/>
      </c>
    </row>
    <row r="690">
      <c r="A690" s="27">
        <f>A689+1</f>
        <v/>
      </c>
      <c r="B690" s="28">
        <f>Duration0+A690</f>
        <v/>
      </c>
      <c r="C690" s="27">
        <f>INT(B690/12)</f>
        <v/>
      </c>
      <c r="D690" s="28">
        <f>AgeAtEntry+C690</f>
        <v/>
      </c>
      <c r="E690" s="29">
        <f>IF(PremiumType="SINGLE",IF(B690=0,PremiumPPInput,0),IF(B690&lt;12*PolicyTerm,PremiumPPInput,0))</f>
        <v/>
      </c>
      <c r="F690" s="30">
        <f>INDEX(MortRates,MATCH(MIN(D690,120),MortAges,0),MAX(MIN(C690,5),0)+1)</f>
        <v/>
      </c>
      <c r="G690" s="31">
        <f>1-(1-F690)^(1/12)</f>
        <v/>
      </c>
      <c r="H690" s="32">
        <f>MAX(LapseBase-LapseStep*C690,LapseFloor)</f>
        <v/>
      </c>
      <c r="I690" s="32">
        <f>IF(HasSurrCharge,INDEX(SurrRates,MIN(C690,SurrDurMax)+1,MATCH(SurrChargeID,SurrTypes,0)),0)</f>
        <v/>
      </c>
      <c r="J690" s="33">
        <f>N689-P689-O689</f>
        <v/>
      </c>
      <c r="K690" s="30">
        <f>IF(B690=12*PolicyTerm,J690,0)</f>
        <v/>
      </c>
      <c r="L690" s="33">
        <f>J690-K690</f>
        <v/>
      </c>
      <c r="M690" s="30">
        <f>IF(B690=0,PolicyCount,0)</f>
        <v/>
      </c>
      <c r="N690" s="33">
        <f>L690+M690</f>
        <v/>
      </c>
      <c r="O690" s="31">
        <f>N690*G690</f>
        <v/>
      </c>
      <c r="P690" s="33">
        <f>(N690-O690)*(1-(1-H690)^(1/12))</f>
        <v/>
      </c>
      <c r="Q690" s="34">
        <f>X689+Z689</f>
        <v/>
      </c>
      <c r="R690" s="29">
        <f>(1-LoadPremRate)*E690</f>
        <v/>
      </c>
      <c r="S690" s="34">
        <f>Q690+R690</f>
        <v/>
      </c>
      <c r="T690" s="29">
        <f>MaintFeeRateAnn/12*S690</f>
        <v/>
      </c>
      <c r="U690" s="29">
        <f>MAX(SumAssured-S690,0)</f>
        <v/>
      </c>
      <c r="V690" s="35">
        <f>CoiMultiple*G690</f>
        <v/>
      </c>
      <c r="W690" s="34">
        <f>V690*U690</f>
        <v/>
      </c>
      <c r="X690" s="34">
        <f>S690-T690-W690</f>
        <v/>
      </c>
      <c r="Y690" s="36">
        <f>EXP((Mu-0.5*Sigma^2)/12+Sigma*SQRT(1/12)*INDEX(NormRand,ScenID,A690+1))-1</f>
        <v/>
      </c>
      <c r="Z690" s="34">
        <f>Y690*X690</f>
        <v/>
      </c>
      <c r="AA690" s="34">
        <f>X690+0.5*Z690</f>
        <v/>
      </c>
      <c r="AB690" s="34">
        <f>Q690*J690</f>
        <v/>
      </c>
      <c r="AC690" s="34">
        <f>Q690*L690</f>
        <v/>
      </c>
      <c r="AD690" s="34">
        <f>S690*N690</f>
        <v/>
      </c>
      <c r="AE690" s="34">
        <f>E690*N690</f>
        <v/>
      </c>
      <c r="AF690" s="34">
        <f>R690*N690</f>
        <v/>
      </c>
      <c r="AG690" s="29">
        <f>MAX(SumAssured,AA690)</f>
        <v/>
      </c>
      <c r="AH690" s="34">
        <f>AG690*O690</f>
        <v/>
      </c>
      <c r="AI690" s="34">
        <f>AA690*O690</f>
        <v/>
      </c>
      <c r="AJ690" s="34">
        <f>AA690*P690</f>
        <v/>
      </c>
      <c r="AK690" s="34">
        <f>I690*AA690*P690</f>
        <v/>
      </c>
      <c r="AL690" s="34">
        <f>AJ690-AK690</f>
        <v/>
      </c>
      <c r="AM690" s="34">
        <f>Q690*K690</f>
        <v/>
      </c>
      <c r="AN690" s="34">
        <f>AH690+AL690+AM690</f>
        <v/>
      </c>
      <c r="AO690" s="34">
        <f>(AG690-AA690)*O690</f>
        <v/>
      </c>
      <c r="AP690" s="34">
        <f>W690*N690</f>
        <v/>
      </c>
      <c r="AQ690" s="34">
        <f>T690*N690</f>
        <v/>
      </c>
      <c r="AR690" s="34">
        <f>Z690*J691+0.5*Z690*(O690+P690)</f>
        <v/>
      </c>
      <c r="AS690" s="30">
        <f>(1+InflationRate)^(A690/12)</f>
        <v/>
      </c>
      <c r="AT690" s="29">
        <f>ExpenseAcq*M690+N690*ExpenseMaint/12*AS690</f>
        <v/>
      </c>
      <c r="AU690" s="29">
        <f>CommissionRate*AE690</f>
        <v/>
      </c>
      <c r="AV690" s="34">
        <f>AB691-AB690</f>
        <v/>
      </c>
      <c r="AW690" s="34">
        <f>AE690+AR690-AN690-AT690-AU690-AV690</f>
        <v/>
      </c>
      <c r="AX690" s="29">
        <f>LoadPremRate*E690*N690+AK690+AQ690-AU690-AT690</f>
        <v/>
      </c>
      <c r="AY690" s="34">
        <f>AP690-AO690</f>
        <v/>
      </c>
      <c r="AZ690" s="37">
        <f>(AW690-AX690-AY690)/MAX(1,ABS(AW690),ABS(AX690),ABS(AY690))</f>
        <v/>
      </c>
      <c r="BA690" s="37">
        <f>IF(OR(K690&gt;0,K691&gt;0),0,(AC691-(AC690+AF690-AQ690-AP690+AR690-AI690-AJ690-AM690))/MAX(1,ABS(AC690),ABS(AC691)))</f>
        <v/>
      </c>
      <c r="BB690" s="35">
        <f>(1+INDEX(DiscRateAnn,INT(A690/12)+1))^(1/12)-1</f>
        <v/>
      </c>
      <c r="BC690" s="31">
        <f>(1+BB690)^-A690</f>
        <v/>
      </c>
      <c r="BD690" s="34">
        <f>AW690*BC690</f>
        <v/>
      </c>
    </row>
    <row r="691">
      <c r="A691" s="27">
        <f>A690+1</f>
        <v/>
      </c>
      <c r="B691" s="28">
        <f>Duration0+A691</f>
        <v/>
      </c>
      <c r="C691" s="27">
        <f>INT(B691/12)</f>
        <v/>
      </c>
      <c r="D691" s="28">
        <f>AgeAtEntry+C691</f>
        <v/>
      </c>
      <c r="E691" s="29">
        <f>IF(PremiumType="SINGLE",IF(B691=0,PremiumPPInput,0),IF(B691&lt;12*PolicyTerm,PremiumPPInput,0))</f>
        <v/>
      </c>
      <c r="F691" s="30">
        <f>INDEX(MortRates,MATCH(MIN(D691,120),MortAges,0),MAX(MIN(C691,5),0)+1)</f>
        <v/>
      </c>
      <c r="G691" s="31">
        <f>1-(1-F691)^(1/12)</f>
        <v/>
      </c>
      <c r="H691" s="32">
        <f>MAX(LapseBase-LapseStep*C691,LapseFloor)</f>
        <v/>
      </c>
      <c r="I691" s="32">
        <f>IF(HasSurrCharge,INDEX(SurrRates,MIN(C691,SurrDurMax)+1,MATCH(SurrChargeID,SurrTypes,0)),0)</f>
        <v/>
      </c>
      <c r="J691" s="33">
        <f>N690-P690-O690</f>
        <v/>
      </c>
      <c r="K691" s="30">
        <f>IF(B691=12*PolicyTerm,J691,0)</f>
        <v/>
      </c>
      <c r="L691" s="33">
        <f>J691-K691</f>
        <v/>
      </c>
      <c r="M691" s="30">
        <f>IF(B691=0,PolicyCount,0)</f>
        <v/>
      </c>
      <c r="N691" s="33">
        <f>L691+M691</f>
        <v/>
      </c>
      <c r="O691" s="31">
        <f>N691*G691</f>
        <v/>
      </c>
      <c r="P691" s="33">
        <f>(N691-O691)*(1-(1-H691)^(1/12))</f>
        <v/>
      </c>
      <c r="Q691" s="34">
        <f>X690+Z690</f>
        <v/>
      </c>
      <c r="R691" s="29">
        <f>(1-LoadPremRate)*E691</f>
        <v/>
      </c>
      <c r="S691" s="34">
        <f>Q691+R691</f>
        <v/>
      </c>
      <c r="T691" s="29">
        <f>MaintFeeRateAnn/12*S691</f>
        <v/>
      </c>
      <c r="U691" s="29">
        <f>MAX(SumAssured-S691,0)</f>
        <v/>
      </c>
      <c r="V691" s="35">
        <f>CoiMultiple*G691</f>
        <v/>
      </c>
      <c r="W691" s="34">
        <f>V691*U691</f>
        <v/>
      </c>
      <c r="X691" s="34">
        <f>S691-T691-W691</f>
        <v/>
      </c>
      <c r="Y691" s="36">
        <f>EXP((Mu-0.5*Sigma^2)/12+Sigma*SQRT(1/12)*INDEX(NormRand,ScenID,A691+1))-1</f>
        <v/>
      </c>
      <c r="Z691" s="34">
        <f>Y691*X691</f>
        <v/>
      </c>
      <c r="AA691" s="34">
        <f>X691+0.5*Z691</f>
        <v/>
      </c>
      <c r="AB691" s="34">
        <f>Q691*J691</f>
        <v/>
      </c>
      <c r="AC691" s="34">
        <f>Q691*L691</f>
        <v/>
      </c>
      <c r="AD691" s="34">
        <f>S691*N691</f>
        <v/>
      </c>
      <c r="AE691" s="34">
        <f>E691*N691</f>
        <v/>
      </c>
      <c r="AF691" s="34">
        <f>R691*N691</f>
        <v/>
      </c>
      <c r="AG691" s="29">
        <f>MAX(SumAssured,AA691)</f>
        <v/>
      </c>
      <c r="AH691" s="34">
        <f>AG691*O691</f>
        <v/>
      </c>
      <c r="AI691" s="34">
        <f>AA691*O691</f>
        <v/>
      </c>
      <c r="AJ691" s="34">
        <f>AA691*P691</f>
        <v/>
      </c>
      <c r="AK691" s="34">
        <f>I691*AA691*P691</f>
        <v/>
      </c>
      <c r="AL691" s="34">
        <f>AJ691-AK691</f>
        <v/>
      </c>
      <c r="AM691" s="34">
        <f>Q691*K691</f>
        <v/>
      </c>
      <c r="AN691" s="34">
        <f>AH691+AL691+AM691</f>
        <v/>
      </c>
      <c r="AO691" s="34">
        <f>(AG691-AA691)*O691</f>
        <v/>
      </c>
      <c r="AP691" s="34">
        <f>W691*N691</f>
        <v/>
      </c>
      <c r="AQ691" s="34">
        <f>T691*N691</f>
        <v/>
      </c>
      <c r="AR691" s="34">
        <f>Z691*J692+0.5*Z691*(O691+P691)</f>
        <v/>
      </c>
      <c r="AS691" s="30">
        <f>(1+InflationRate)^(A691/12)</f>
        <v/>
      </c>
      <c r="AT691" s="29">
        <f>ExpenseAcq*M691+N691*ExpenseMaint/12*AS691</f>
        <v/>
      </c>
      <c r="AU691" s="29">
        <f>CommissionRate*AE691</f>
        <v/>
      </c>
      <c r="AV691" s="34">
        <f>AB692-AB691</f>
        <v/>
      </c>
      <c r="AW691" s="34">
        <f>AE691+AR691-AN691-AT691-AU691-AV691</f>
        <v/>
      </c>
      <c r="AX691" s="29">
        <f>LoadPremRate*E691*N691+AK691+AQ691-AU691-AT691</f>
        <v/>
      </c>
      <c r="AY691" s="34">
        <f>AP691-AO691</f>
        <v/>
      </c>
      <c r="AZ691" s="37">
        <f>(AW691-AX691-AY691)/MAX(1,ABS(AW691),ABS(AX691),ABS(AY691))</f>
        <v/>
      </c>
      <c r="BA691" s="37">
        <f>IF(OR(K691&gt;0,K692&gt;0),0,(AC692-(AC691+AF691-AQ691-AP691+AR691-AI691-AJ691-AM691))/MAX(1,ABS(AC691),ABS(AC692)))</f>
        <v/>
      </c>
      <c r="BB691" s="35">
        <f>(1+INDEX(DiscRateAnn,INT(A691/12)+1))^(1/12)-1</f>
        <v/>
      </c>
      <c r="BC691" s="31">
        <f>(1+BB691)^-A691</f>
        <v/>
      </c>
      <c r="BD691" s="34">
        <f>AW691*BC691</f>
        <v/>
      </c>
    </row>
    <row r="692">
      <c r="A692" s="27">
        <f>A691+1</f>
        <v/>
      </c>
      <c r="B692" s="28">
        <f>Duration0+A692</f>
        <v/>
      </c>
      <c r="C692" s="27">
        <f>INT(B692/12)</f>
        <v/>
      </c>
      <c r="D692" s="28">
        <f>AgeAtEntry+C692</f>
        <v/>
      </c>
      <c r="E692" s="29">
        <f>IF(PremiumType="SINGLE",IF(B692=0,PremiumPPInput,0),IF(B692&lt;12*PolicyTerm,PremiumPPInput,0))</f>
        <v/>
      </c>
      <c r="F692" s="30">
        <f>INDEX(MortRates,MATCH(MIN(D692,120),MortAges,0),MAX(MIN(C692,5),0)+1)</f>
        <v/>
      </c>
      <c r="G692" s="31">
        <f>1-(1-F692)^(1/12)</f>
        <v/>
      </c>
      <c r="H692" s="32">
        <f>MAX(LapseBase-LapseStep*C692,LapseFloor)</f>
        <v/>
      </c>
      <c r="I692" s="32">
        <f>IF(HasSurrCharge,INDEX(SurrRates,MIN(C692,SurrDurMax)+1,MATCH(SurrChargeID,SurrTypes,0)),0)</f>
        <v/>
      </c>
      <c r="J692" s="33">
        <f>N691-P691-O691</f>
        <v/>
      </c>
      <c r="K692" s="30">
        <f>IF(B692=12*PolicyTerm,J692,0)</f>
        <v/>
      </c>
      <c r="L692" s="33">
        <f>J692-K692</f>
        <v/>
      </c>
      <c r="M692" s="30">
        <f>IF(B692=0,PolicyCount,0)</f>
        <v/>
      </c>
      <c r="N692" s="33">
        <f>L692+M692</f>
        <v/>
      </c>
      <c r="O692" s="31">
        <f>N692*G692</f>
        <v/>
      </c>
      <c r="P692" s="33">
        <f>(N692-O692)*(1-(1-H692)^(1/12))</f>
        <v/>
      </c>
      <c r="Q692" s="34">
        <f>X691+Z691</f>
        <v/>
      </c>
      <c r="R692" s="29">
        <f>(1-LoadPremRate)*E692</f>
        <v/>
      </c>
      <c r="S692" s="34">
        <f>Q692+R692</f>
        <v/>
      </c>
      <c r="T692" s="29">
        <f>MaintFeeRateAnn/12*S692</f>
        <v/>
      </c>
      <c r="U692" s="29">
        <f>MAX(SumAssured-S692,0)</f>
        <v/>
      </c>
      <c r="V692" s="35">
        <f>CoiMultiple*G692</f>
        <v/>
      </c>
      <c r="W692" s="34">
        <f>V692*U692</f>
        <v/>
      </c>
      <c r="X692" s="34">
        <f>S692-T692-W692</f>
        <v/>
      </c>
      <c r="Y692" s="36">
        <f>EXP((Mu-0.5*Sigma^2)/12+Sigma*SQRT(1/12)*INDEX(NormRand,ScenID,A692+1))-1</f>
        <v/>
      </c>
      <c r="Z692" s="34">
        <f>Y692*X692</f>
        <v/>
      </c>
      <c r="AA692" s="34">
        <f>X692+0.5*Z692</f>
        <v/>
      </c>
      <c r="AB692" s="34">
        <f>Q692*J692</f>
        <v/>
      </c>
      <c r="AC692" s="34">
        <f>Q692*L692</f>
        <v/>
      </c>
      <c r="AD692" s="34">
        <f>S692*N692</f>
        <v/>
      </c>
      <c r="AE692" s="34">
        <f>E692*N692</f>
        <v/>
      </c>
      <c r="AF692" s="34">
        <f>R692*N692</f>
        <v/>
      </c>
      <c r="AG692" s="29">
        <f>MAX(SumAssured,AA692)</f>
        <v/>
      </c>
      <c r="AH692" s="34">
        <f>AG692*O692</f>
        <v/>
      </c>
      <c r="AI692" s="34">
        <f>AA692*O692</f>
        <v/>
      </c>
      <c r="AJ692" s="34">
        <f>AA692*P692</f>
        <v/>
      </c>
      <c r="AK692" s="34">
        <f>I692*AA692*P692</f>
        <v/>
      </c>
      <c r="AL692" s="34">
        <f>AJ692-AK692</f>
        <v/>
      </c>
      <c r="AM692" s="34">
        <f>Q692*K692</f>
        <v/>
      </c>
      <c r="AN692" s="34">
        <f>AH692+AL692+AM692</f>
        <v/>
      </c>
      <c r="AO692" s="34">
        <f>(AG692-AA692)*O692</f>
        <v/>
      </c>
      <c r="AP692" s="34">
        <f>W692*N692</f>
        <v/>
      </c>
      <c r="AQ692" s="34">
        <f>T692*N692</f>
        <v/>
      </c>
      <c r="AR692" s="34">
        <f>Z692*J693+0.5*Z692*(O692+P692)</f>
        <v/>
      </c>
      <c r="AS692" s="30">
        <f>(1+InflationRate)^(A692/12)</f>
        <v/>
      </c>
      <c r="AT692" s="29">
        <f>ExpenseAcq*M692+N692*ExpenseMaint/12*AS692</f>
        <v/>
      </c>
      <c r="AU692" s="29">
        <f>CommissionRate*AE692</f>
        <v/>
      </c>
      <c r="AV692" s="34">
        <f>AB693-AB692</f>
        <v/>
      </c>
      <c r="AW692" s="34">
        <f>AE692+AR692-AN692-AT692-AU692-AV692</f>
        <v/>
      </c>
      <c r="AX692" s="29">
        <f>LoadPremRate*E692*N692+AK692+AQ692-AU692-AT692</f>
        <v/>
      </c>
      <c r="AY692" s="34">
        <f>AP692-AO692</f>
        <v/>
      </c>
      <c r="AZ692" s="37">
        <f>(AW692-AX692-AY692)/MAX(1,ABS(AW692),ABS(AX692),ABS(AY692))</f>
        <v/>
      </c>
      <c r="BA692" s="37">
        <f>IF(OR(K692&gt;0,K693&gt;0),0,(AC693-(AC692+AF692-AQ692-AP692+AR692-AI692-AJ692-AM692))/MAX(1,ABS(AC692),ABS(AC693)))</f>
        <v/>
      </c>
      <c r="BB692" s="35">
        <f>(1+INDEX(DiscRateAnn,INT(A692/12)+1))^(1/12)-1</f>
        <v/>
      </c>
      <c r="BC692" s="31">
        <f>(1+BB692)^-A692</f>
        <v/>
      </c>
      <c r="BD692" s="34">
        <f>AW692*BC692</f>
        <v/>
      </c>
    </row>
    <row r="693">
      <c r="A693" s="27">
        <f>A692+1</f>
        <v/>
      </c>
      <c r="B693" s="28">
        <f>Duration0+A693</f>
        <v/>
      </c>
      <c r="C693" s="27">
        <f>INT(B693/12)</f>
        <v/>
      </c>
      <c r="D693" s="28">
        <f>AgeAtEntry+C693</f>
        <v/>
      </c>
      <c r="E693" s="29">
        <f>IF(PremiumType="SINGLE",IF(B693=0,PremiumPPInput,0),IF(B693&lt;12*PolicyTerm,PremiumPPInput,0))</f>
        <v/>
      </c>
      <c r="F693" s="30">
        <f>INDEX(MortRates,MATCH(MIN(D693,120),MortAges,0),MAX(MIN(C693,5),0)+1)</f>
        <v/>
      </c>
      <c r="G693" s="31">
        <f>1-(1-F693)^(1/12)</f>
        <v/>
      </c>
      <c r="H693" s="32">
        <f>MAX(LapseBase-LapseStep*C693,LapseFloor)</f>
        <v/>
      </c>
      <c r="I693" s="32">
        <f>IF(HasSurrCharge,INDEX(SurrRates,MIN(C693,SurrDurMax)+1,MATCH(SurrChargeID,SurrTypes,0)),0)</f>
        <v/>
      </c>
      <c r="J693" s="33">
        <f>N692-P692-O692</f>
        <v/>
      </c>
      <c r="K693" s="30">
        <f>IF(B693=12*PolicyTerm,J693,0)</f>
        <v/>
      </c>
      <c r="L693" s="33">
        <f>J693-K693</f>
        <v/>
      </c>
      <c r="M693" s="30">
        <f>IF(B693=0,PolicyCount,0)</f>
        <v/>
      </c>
      <c r="N693" s="33">
        <f>L693+M693</f>
        <v/>
      </c>
      <c r="O693" s="31">
        <f>N693*G693</f>
        <v/>
      </c>
      <c r="P693" s="33">
        <f>(N693-O693)*(1-(1-H693)^(1/12))</f>
        <v/>
      </c>
      <c r="Q693" s="34">
        <f>X692+Z692</f>
        <v/>
      </c>
      <c r="R693" s="29">
        <f>(1-LoadPremRate)*E693</f>
        <v/>
      </c>
      <c r="S693" s="34">
        <f>Q693+R693</f>
        <v/>
      </c>
      <c r="T693" s="29">
        <f>MaintFeeRateAnn/12*S693</f>
        <v/>
      </c>
      <c r="U693" s="29">
        <f>MAX(SumAssured-S693,0)</f>
        <v/>
      </c>
      <c r="V693" s="35">
        <f>CoiMultiple*G693</f>
        <v/>
      </c>
      <c r="W693" s="34">
        <f>V693*U693</f>
        <v/>
      </c>
      <c r="X693" s="34">
        <f>S693-T693-W693</f>
        <v/>
      </c>
      <c r="Y693" s="36">
        <f>EXP((Mu-0.5*Sigma^2)/12+Sigma*SQRT(1/12)*INDEX(NormRand,ScenID,A693+1))-1</f>
        <v/>
      </c>
      <c r="Z693" s="34">
        <f>Y693*X693</f>
        <v/>
      </c>
      <c r="AA693" s="34">
        <f>X693+0.5*Z693</f>
        <v/>
      </c>
      <c r="AB693" s="34">
        <f>Q693*J693</f>
        <v/>
      </c>
      <c r="AC693" s="34">
        <f>Q693*L693</f>
        <v/>
      </c>
      <c r="AD693" s="34">
        <f>S693*N693</f>
        <v/>
      </c>
      <c r="AE693" s="34">
        <f>E693*N693</f>
        <v/>
      </c>
      <c r="AF693" s="34">
        <f>R693*N693</f>
        <v/>
      </c>
      <c r="AG693" s="29">
        <f>MAX(SumAssured,AA693)</f>
        <v/>
      </c>
      <c r="AH693" s="34">
        <f>AG693*O693</f>
        <v/>
      </c>
      <c r="AI693" s="34">
        <f>AA693*O693</f>
        <v/>
      </c>
      <c r="AJ693" s="34">
        <f>AA693*P693</f>
        <v/>
      </c>
      <c r="AK693" s="34">
        <f>I693*AA693*P693</f>
        <v/>
      </c>
      <c r="AL693" s="34">
        <f>AJ693-AK693</f>
        <v/>
      </c>
      <c r="AM693" s="34">
        <f>Q693*K693</f>
        <v/>
      </c>
      <c r="AN693" s="34">
        <f>AH693+AL693+AM693</f>
        <v/>
      </c>
      <c r="AO693" s="34">
        <f>(AG693-AA693)*O693</f>
        <v/>
      </c>
      <c r="AP693" s="34">
        <f>W693*N693</f>
        <v/>
      </c>
      <c r="AQ693" s="34">
        <f>T693*N693</f>
        <v/>
      </c>
      <c r="AR693" s="34">
        <f>Z693*J694+0.5*Z693*(O693+P693)</f>
        <v/>
      </c>
      <c r="AS693" s="30">
        <f>(1+InflationRate)^(A693/12)</f>
        <v/>
      </c>
      <c r="AT693" s="29">
        <f>ExpenseAcq*M693+N693*ExpenseMaint/12*AS693</f>
        <v/>
      </c>
      <c r="AU693" s="29">
        <f>CommissionRate*AE693</f>
        <v/>
      </c>
      <c r="AV693" s="34">
        <f>AB694-AB693</f>
        <v/>
      </c>
      <c r="AW693" s="34">
        <f>AE693+AR693-AN693-AT693-AU693-AV693</f>
        <v/>
      </c>
      <c r="AX693" s="29">
        <f>LoadPremRate*E693*N693+AK693+AQ693-AU693-AT693</f>
        <v/>
      </c>
      <c r="AY693" s="34">
        <f>AP693-AO693</f>
        <v/>
      </c>
      <c r="AZ693" s="37">
        <f>(AW693-AX693-AY693)/MAX(1,ABS(AW693),ABS(AX693),ABS(AY693))</f>
        <v/>
      </c>
      <c r="BA693" s="37">
        <f>IF(OR(K693&gt;0,K694&gt;0),0,(AC694-(AC693+AF693-AQ693-AP693+AR693-AI693-AJ693-AM693))/MAX(1,ABS(AC693),ABS(AC694)))</f>
        <v/>
      </c>
      <c r="BB693" s="35">
        <f>(1+INDEX(DiscRateAnn,INT(A693/12)+1))^(1/12)-1</f>
        <v/>
      </c>
      <c r="BC693" s="31">
        <f>(1+BB693)^-A693</f>
        <v/>
      </c>
      <c r="BD693" s="34">
        <f>AW693*BC693</f>
        <v/>
      </c>
    </row>
    <row r="694">
      <c r="A694" s="27">
        <f>A693+1</f>
        <v/>
      </c>
      <c r="B694" s="28">
        <f>Duration0+A694</f>
        <v/>
      </c>
      <c r="C694" s="27">
        <f>INT(B694/12)</f>
        <v/>
      </c>
      <c r="D694" s="28">
        <f>AgeAtEntry+C694</f>
        <v/>
      </c>
      <c r="E694" s="29">
        <f>IF(PremiumType="SINGLE",IF(B694=0,PremiumPPInput,0),IF(B694&lt;12*PolicyTerm,PremiumPPInput,0))</f>
        <v/>
      </c>
      <c r="F694" s="30">
        <f>INDEX(MortRates,MATCH(MIN(D694,120),MortAges,0),MAX(MIN(C694,5),0)+1)</f>
        <v/>
      </c>
      <c r="G694" s="31">
        <f>1-(1-F694)^(1/12)</f>
        <v/>
      </c>
      <c r="H694" s="32">
        <f>MAX(LapseBase-LapseStep*C694,LapseFloor)</f>
        <v/>
      </c>
      <c r="I694" s="32">
        <f>IF(HasSurrCharge,INDEX(SurrRates,MIN(C694,SurrDurMax)+1,MATCH(SurrChargeID,SurrTypes,0)),0)</f>
        <v/>
      </c>
      <c r="J694" s="33">
        <f>N693-P693-O693</f>
        <v/>
      </c>
      <c r="K694" s="30">
        <f>IF(B694=12*PolicyTerm,J694,0)</f>
        <v/>
      </c>
      <c r="L694" s="33">
        <f>J694-K694</f>
        <v/>
      </c>
      <c r="M694" s="30">
        <f>IF(B694=0,PolicyCount,0)</f>
        <v/>
      </c>
      <c r="N694" s="33">
        <f>L694+M694</f>
        <v/>
      </c>
      <c r="O694" s="31">
        <f>N694*G694</f>
        <v/>
      </c>
      <c r="P694" s="33">
        <f>(N694-O694)*(1-(1-H694)^(1/12))</f>
        <v/>
      </c>
      <c r="Q694" s="34">
        <f>X693+Z693</f>
        <v/>
      </c>
      <c r="R694" s="29">
        <f>(1-LoadPremRate)*E694</f>
        <v/>
      </c>
      <c r="S694" s="34">
        <f>Q694+R694</f>
        <v/>
      </c>
      <c r="T694" s="29">
        <f>MaintFeeRateAnn/12*S694</f>
        <v/>
      </c>
      <c r="U694" s="29">
        <f>MAX(SumAssured-S694,0)</f>
        <v/>
      </c>
      <c r="V694" s="35">
        <f>CoiMultiple*G694</f>
        <v/>
      </c>
      <c r="W694" s="34">
        <f>V694*U694</f>
        <v/>
      </c>
      <c r="X694" s="34">
        <f>S694-T694-W694</f>
        <v/>
      </c>
      <c r="Y694" s="36">
        <f>EXP((Mu-0.5*Sigma^2)/12+Sigma*SQRT(1/12)*INDEX(NormRand,ScenID,A694+1))-1</f>
        <v/>
      </c>
      <c r="Z694" s="34">
        <f>Y694*X694</f>
        <v/>
      </c>
      <c r="AA694" s="34">
        <f>X694+0.5*Z694</f>
        <v/>
      </c>
      <c r="AB694" s="34">
        <f>Q694*J694</f>
        <v/>
      </c>
      <c r="AC694" s="34">
        <f>Q694*L694</f>
        <v/>
      </c>
      <c r="AD694" s="34">
        <f>S694*N694</f>
        <v/>
      </c>
      <c r="AE694" s="34">
        <f>E694*N694</f>
        <v/>
      </c>
      <c r="AF694" s="34">
        <f>R694*N694</f>
        <v/>
      </c>
      <c r="AG694" s="29">
        <f>MAX(SumAssured,AA694)</f>
        <v/>
      </c>
      <c r="AH694" s="34">
        <f>AG694*O694</f>
        <v/>
      </c>
      <c r="AI694" s="34">
        <f>AA694*O694</f>
        <v/>
      </c>
      <c r="AJ694" s="34">
        <f>AA694*P694</f>
        <v/>
      </c>
      <c r="AK694" s="34">
        <f>I694*AA694*P694</f>
        <v/>
      </c>
      <c r="AL694" s="34">
        <f>AJ694-AK694</f>
        <v/>
      </c>
      <c r="AM694" s="34">
        <f>Q694*K694</f>
        <v/>
      </c>
      <c r="AN694" s="34">
        <f>AH694+AL694+AM694</f>
        <v/>
      </c>
      <c r="AO694" s="34">
        <f>(AG694-AA694)*O694</f>
        <v/>
      </c>
      <c r="AP694" s="34">
        <f>W694*N694</f>
        <v/>
      </c>
      <c r="AQ694" s="34">
        <f>T694*N694</f>
        <v/>
      </c>
      <c r="AR694" s="34">
        <f>Z694*J695+0.5*Z694*(O694+P694)</f>
        <v/>
      </c>
      <c r="AS694" s="30">
        <f>(1+InflationRate)^(A694/12)</f>
        <v/>
      </c>
      <c r="AT694" s="29">
        <f>ExpenseAcq*M694+N694*ExpenseMaint/12*AS694</f>
        <v/>
      </c>
      <c r="AU694" s="29">
        <f>CommissionRate*AE694</f>
        <v/>
      </c>
      <c r="AV694" s="34">
        <f>AB695-AB694</f>
        <v/>
      </c>
      <c r="AW694" s="34">
        <f>AE694+AR694-AN694-AT694-AU694-AV694</f>
        <v/>
      </c>
      <c r="AX694" s="29">
        <f>LoadPremRate*E694*N694+AK694+AQ694-AU694-AT694</f>
        <v/>
      </c>
      <c r="AY694" s="34">
        <f>AP694-AO694</f>
        <v/>
      </c>
      <c r="AZ694" s="37">
        <f>(AW694-AX694-AY694)/MAX(1,ABS(AW694),ABS(AX694),ABS(AY694))</f>
        <v/>
      </c>
      <c r="BA694" s="37">
        <f>IF(OR(K694&gt;0,K695&gt;0),0,(AC695-(AC694+AF694-AQ694-AP694+AR694-AI694-AJ694-AM694))/MAX(1,ABS(AC694),ABS(AC695)))</f>
        <v/>
      </c>
      <c r="BB694" s="35">
        <f>(1+INDEX(DiscRateAnn,INT(A694/12)+1))^(1/12)-1</f>
        <v/>
      </c>
      <c r="BC694" s="31">
        <f>(1+BB694)^-A694</f>
        <v/>
      </c>
      <c r="BD694" s="34">
        <f>AW694*BC694</f>
        <v/>
      </c>
    </row>
    <row r="695">
      <c r="A695" s="27">
        <f>A694+1</f>
        <v/>
      </c>
      <c r="B695" s="28">
        <f>Duration0+A695</f>
        <v/>
      </c>
      <c r="C695" s="27">
        <f>INT(B695/12)</f>
        <v/>
      </c>
      <c r="D695" s="28">
        <f>AgeAtEntry+C695</f>
        <v/>
      </c>
      <c r="E695" s="29">
        <f>IF(PremiumType="SINGLE",IF(B695=0,PremiumPPInput,0),IF(B695&lt;12*PolicyTerm,PremiumPPInput,0))</f>
        <v/>
      </c>
      <c r="F695" s="30">
        <f>INDEX(MortRates,MATCH(MIN(D695,120),MortAges,0),MAX(MIN(C695,5),0)+1)</f>
        <v/>
      </c>
      <c r="G695" s="31">
        <f>1-(1-F695)^(1/12)</f>
        <v/>
      </c>
      <c r="H695" s="32">
        <f>MAX(LapseBase-LapseStep*C695,LapseFloor)</f>
        <v/>
      </c>
      <c r="I695" s="32">
        <f>IF(HasSurrCharge,INDEX(SurrRates,MIN(C695,SurrDurMax)+1,MATCH(SurrChargeID,SurrTypes,0)),0)</f>
        <v/>
      </c>
      <c r="J695" s="33">
        <f>N694-P694-O694</f>
        <v/>
      </c>
      <c r="K695" s="30">
        <f>IF(B695=12*PolicyTerm,J695,0)</f>
        <v/>
      </c>
      <c r="L695" s="33">
        <f>J695-K695</f>
        <v/>
      </c>
      <c r="M695" s="30">
        <f>IF(B695=0,PolicyCount,0)</f>
        <v/>
      </c>
      <c r="N695" s="33">
        <f>L695+M695</f>
        <v/>
      </c>
      <c r="O695" s="31">
        <f>N695*G695</f>
        <v/>
      </c>
      <c r="P695" s="33">
        <f>(N695-O695)*(1-(1-H695)^(1/12))</f>
        <v/>
      </c>
      <c r="Q695" s="34">
        <f>X694+Z694</f>
        <v/>
      </c>
      <c r="R695" s="29">
        <f>(1-LoadPremRate)*E695</f>
        <v/>
      </c>
      <c r="S695" s="34">
        <f>Q695+R695</f>
        <v/>
      </c>
      <c r="T695" s="29">
        <f>MaintFeeRateAnn/12*S695</f>
        <v/>
      </c>
      <c r="U695" s="29">
        <f>MAX(SumAssured-S695,0)</f>
        <v/>
      </c>
      <c r="V695" s="35">
        <f>CoiMultiple*G695</f>
        <v/>
      </c>
      <c r="W695" s="34">
        <f>V695*U695</f>
        <v/>
      </c>
      <c r="X695" s="34">
        <f>S695-T695-W695</f>
        <v/>
      </c>
      <c r="Y695" s="36">
        <f>EXP((Mu-0.5*Sigma^2)/12+Sigma*SQRT(1/12)*INDEX(NormRand,ScenID,A695+1))-1</f>
        <v/>
      </c>
      <c r="Z695" s="34">
        <f>Y695*X695</f>
        <v/>
      </c>
      <c r="AA695" s="34">
        <f>X695+0.5*Z695</f>
        <v/>
      </c>
      <c r="AB695" s="34">
        <f>Q695*J695</f>
        <v/>
      </c>
      <c r="AC695" s="34">
        <f>Q695*L695</f>
        <v/>
      </c>
      <c r="AD695" s="34">
        <f>S695*N695</f>
        <v/>
      </c>
      <c r="AE695" s="34">
        <f>E695*N695</f>
        <v/>
      </c>
      <c r="AF695" s="34">
        <f>R695*N695</f>
        <v/>
      </c>
      <c r="AG695" s="29">
        <f>MAX(SumAssured,AA695)</f>
        <v/>
      </c>
      <c r="AH695" s="34">
        <f>AG695*O695</f>
        <v/>
      </c>
      <c r="AI695" s="34">
        <f>AA695*O695</f>
        <v/>
      </c>
      <c r="AJ695" s="34">
        <f>AA695*P695</f>
        <v/>
      </c>
      <c r="AK695" s="34">
        <f>I695*AA695*P695</f>
        <v/>
      </c>
      <c r="AL695" s="34">
        <f>AJ695-AK695</f>
        <v/>
      </c>
      <c r="AM695" s="34">
        <f>Q695*K695</f>
        <v/>
      </c>
      <c r="AN695" s="34">
        <f>AH695+AL695+AM695</f>
        <v/>
      </c>
      <c r="AO695" s="34">
        <f>(AG695-AA695)*O695</f>
        <v/>
      </c>
      <c r="AP695" s="34">
        <f>W695*N695</f>
        <v/>
      </c>
      <c r="AQ695" s="34">
        <f>T695*N695</f>
        <v/>
      </c>
      <c r="AR695" s="34">
        <f>Z695*J696+0.5*Z695*(O695+P695)</f>
        <v/>
      </c>
      <c r="AS695" s="30">
        <f>(1+InflationRate)^(A695/12)</f>
        <v/>
      </c>
      <c r="AT695" s="29">
        <f>ExpenseAcq*M695+N695*ExpenseMaint/12*AS695</f>
        <v/>
      </c>
      <c r="AU695" s="29">
        <f>CommissionRate*AE695</f>
        <v/>
      </c>
      <c r="AV695" s="34">
        <f>AB696-AB695</f>
        <v/>
      </c>
      <c r="AW695" s="34">
        <f>AE695+AR695-AN695-AT695-AU695-AV695</f>
        <v/>
      </c>
      <c r="AX695" s="29">
        <f>LoadPremRate*E695*N695+AK695+AQ695-AU695-AT695</f>
        <v/>
      </c>
      <c r="AY695" s="34">
        <f>AP695-AO695</f>
        <v/>
      </c>
      <c r="AZ695" s="37">
        <f>(AW695-AX695-AY695)/MAX(1,ABS(AW695),ABS(AX695),ABS(AY695))</f>
        <v/>
      </c>
      <c r="BA695" s="37">
        <f>IF(OR(K695&gt;0,K696&gt;0),0,(AC696-(AC695+AF695-AQ695-AP695+AR695-AI695-AJ695-AM695))/MAX(1,ABS(AC695),ABS(AC696)))</f>
        <v/>
      </c>
      <c r="BB695" s="35">
        <f>(1+INDEX(DiscRateAnn,INT(A695/12)+1))^(1/12)-1</f>
        <v/>
      </c>
      <c r="BC695" s="31">
        <f>(1+BB695)^-A695</f>
        <v/>
      </c>
      <c r="BD695" s="34">
        <f>AW695*BC695</f>
        <v/>
      </c>
    </row>
    <row r="696">
      <c r="A696" s="27">
        <f>A695+1</f>
        <v/>
      </c>
      <c r="B696" s="28">
        <f>Duration0+A696</f>
        <v/>
      </c>
      <c r="C696" s="27">
        <f>INT(B696/12)</f>
        <v/>
      </c>
      <c r="D696" s="28">
        <f>AgeAtEntry+C696</f>
        <v/>
      </c>
      <c r="E696" s="29">
        <f>IF(PremiumType="SINGLE",IF(B696=0,PremiumPPInput,0),IF(B696&lt;12*PolicyTerm,PremiumPPInput,0))</f>
        <v/>
      </c>
      <c r="F696" s="30">
        <f>INDEX(MortRates,MATCH(MIN(D696,120),MortAges,0),MAX(MIN(C696,5),0)+1)</f>
        <v/>
      </c>
      <c r="G696" s="31">
        <f>1-(1-F696)^(1/12)</f>
        <v/>
      </c>
      <c r="H696" s="32">
        <f>MAX(LapseBase-LapseStep*C696,LapseFloor)</f>
        <v/>
      </c>
      <c r="I696" s="32">
        <f>IF(HasSurrCharge,INDEX(SurrRates,MIN(C696,SurrDurMax)+1,MATCH(SurrChargeID,SurrTypes,0)),0)</f>
        <v/>
      </c>
      <c r="J696" s="33">
        <f>N695-P695-O695</f>
        <v/>
      </c>
      <c r="K696" s="30">
        <f>IF(B696=12*PolicyTerm,J696,0)</f>
        <v/>
      </c>
      <c r="L696" s="33">
        <f>J696-K696</f>
        <v/>
      </c>
      <c r="M696" s="30">
        <f>IF(B696=0,PolicyCount,0)</f>
        <v/>
      </c>
      <c r="N696" s="33">
        <f>L696+M696</f>
        <v/>
      </c>
      <c r="O696" s="31">
        <f>N696*G696</f>
        <v/>
      </c>
      <c r="P696" s="33">
        <f>(N696-O696)*(1-(1-H696)^(1/12))</f>
        <v/>
      </c>
      <c r="Q696" s="34">
        <f>X695+Z695</f>
        <v/>
      </c>
      <c r="R696" s="29">
        <f>(1-LoadPremRate)*E696</f>
        <v/>
      </c>
      <c r="S696" s="34">
        <f>Q696+R696</f>
        <v/>
      </c>
      <c r="T696" s="29">
        <f>MaintFeeRateAnn/12*S696</f>
        <v/>
      </c>
      <c r="U696" s="29">
        <f>MAX(SumAssured-S696,0)</f>
        <v/>
      </c>
      <c r="V696" s="35">
        <f>CoiMultiple*G696</f>
        <v/>
      </c>
      <c r="W696" s="34">
        <f>V696*U696</f>
        <v/>
      </c>
      <c r="X696" s="34">
        <f>S696-T696-W696</f>
        <v/>
      </c>
      <c r="Y696" s="36">
        <f>EXP((Mu-0.5*Sigma^2)/12+Sigma*SQRT(1/12)*INDEX(NormRand,ScenID,A696+1))-1</f>
        <v/>
      </c>
      <c r="Z696" s="34">
        <f>Y696*X696</f>
        <v/>
      </c>
      <c r="AA696" s="34">
        <f>X696+0.5*Z696</f>
        <v/>
      </c>
      <c r="AB696" s="34">
        <f>Q696*J696</f>
        <v/>
      </c>
      <c r="AC696" s="34">
        <f>Q696*L696</f>
        <v/>
      </c>
      <c r="AD696" s="34">
        <f>S696*N696</f>
        <v/>
      </c>
      <c r="AE696" s="34">
        <f>E696*N696</f>
        <v/>
      </c>
      <c r="AF696" s="34">
        <f>R696*N696</f>
        <v/>
      </c>
      <c r="AG696" s="29">
        <f>MAX(SumAssured,AA696)</f>
        <v/>
      </c>
      <c r="AH696" s="34">
        <f>AG696*O696</f>
        <v/>
      </c>
      <c r="AI696" s="34">
        <f>AA696*O696</f>
        <v/>
      </c>
      <c r="AJ696" s="34">
        <f>AA696*P696</f>
        <v/>
      </c>
      <c r="AK696" s="34">
        <f>I696*AA696*P696</f>
        <v/>
      </c>
      <c r="AL696" s="34">
        <f>AJ696-AK696</f>
        <v/>
      </c>
      <c r="AM696" s="34">
        <f>Q696*K696</f>
        <v/>
      </c>
      <c r="AN696" s="34">
        <f>AH696+AL696+AM696</f>
        <v/>
      </c>
      <c r="AO696" s="34">
        <f>(AG696-AA696)*O696</f>
        <v/>
      </c>
      <c r="AP696" s="34">
        <f>W696*N696</f>
        <v/>
      </c>
      <c r="AQ696" s="34">
        <f>T696*N696</f>
        <v/>
      </c>
      <c r="AR696" s="34">
        <f>Z696*J697+0.5*Z696*(O696+P696)</f>
        <v/>
      </c>
      <c r="AS696" s="30">
        <f>(1+InflationRate)^(A696/12)</f>
        <v/>
      </c>
      <c r="AT696" s="29">
        <f>ExpenseAcq*M696+N696*ExpenseMaint/12*AS696</f>
        <v/>
      </c>
      <c r="AU696" s="29">
        <f>CommissionRate*AE696</f>
        <v/>
      </c>
      <c r="AV696" s="34">
        <f>AB697-AB696</f>
        <v/>
      </c>
      <c r="AW696" s="34">
        <f>AE696+AR696-AN696-AT696-AU696-AV696</f>
        <v/>
      </c>
      <c r="AX696" s="29">
        <f>LoadPremRate*E696*N696+AK696+AQ696-AU696-AT696</f>
        <v/>
      </c>
      <c r="AY696" s="34">
        <f>AP696-AO696</f>
        <v/>
      </c>
      <c r="AZ696" s="37">
        <f>(AW696-AX696-AY696)/MAX(1,ABS(AW696),ABS(AX696),ABS(AY696))</f>
        <v/>
      </c>
      <c r="BA696" s="37">
        <f>IF(OR(K696&gt;0,K697&gt;0),0,(AC697-(AC696+AF696-AQ696-AP696+AR696-AI696-AJ696-AM696))/MAX(1,ABS(AC696),ABS(AC697)))</f>
        <v/>
      </c>
      <c r="BB696" s="35">
        <f>(1+INDEX(DiscRateAnn,INT(A696/12)+1))^(1/12)-1</f>
        <v/>
      </c>
      <c r="BC696" s="31">
        <f>(1+BB696)^-A696</f>
        <v/>
      </c>
      <c r="BD696" s="34">
        <f>AW696*BC696</f>
        <v/>
      </c>
    </row>
    <row r="697">
      <c r="A697" s="27">
        <f>A696+1</f>
        <v/>
      </c>
      <c r="B697" s="28">
        <f>Duration0+A697</f>
        <v/>
      </c>
      <c r="C697" s="27">
        <f>INT(B697/12)</f>
        <v/>
      </c>
      <c r="D697" s="28">
        <f>AgeAtEntry+C697</f>
        <v/>
      </c>
      <c r="E697" s="29">
        <f>IF(PremiumType="SINGLE",IF(B697=0,PremiumPPInput,0),IF(B697&lt;12*PolicyTerm,PremiumPPInput,0))</f>
        <v/>
      </c>
      <c r="F697" s="30">
        <f>INDEX(MortRates,MATCH(MIN(D697,120),MortAges,0),MAX(MIN(C697,5),0)+1)</f>
        <v/>
      </c>
      <c r="G697" s="31">
        <f>1-(1-F697)^(1/12)</f>
        <v/>
      </c>
      <c r="H697" s="32">
        <f>MAX(LapseBase-LapseStep*C697,LapseFloor)</f>
        <v/>
      </c>
      <c r="I697" s="32">
        <f>IF(HasSurrCharge,INDEX(SurrRates,MIN(C697,SurrDurMax)+1,MATCH(SurrChargeID,SurrTypes,0)),0)</f>
        <v/>
      </c>
      <c r="J697" s="33">
        <f>N696-P696-O696</f>
        <v/>
      </c>
      <c r="K697" s="30">
        <f>IF(B697=12*PolicyTerm,J697,0)</f>
        <v/>
      </c>
      <c r="L697" s="33">
        <f>J697-K697</f>
        <v/>
      </c>
      <c r="M697" s="30">
        <f>IF(B697=0,PolicyCount,0)</f>
        <v/>
      </c>
      <c r="N697" s="33">
        <f>L697+M697</f>
        <v/>
      </c>
      <c r="O697" s="31">
        <f>N697*G697</f>
        <v/>
      </c>
      <c r="P697" s="33">
        <f>(N697-O697)*(1-(1-H697)^(1/12))</f>
        <v/>
      </c>
      <c r="Q697" s="34">
        <f>X696+Z696</f>
        <v/>
      </c>
      <c r="R697" s="29">
        <f>(1-LoadPremRate)*E697</f>
        <v/>
      </c>
      <c r="S697" s="34">
        <f>Q697+R697</f>
        <v/>
      </c>
      <c r="T697" s="29">
        <f>MaintFeeRateAnn/12*S697</f>
        <v/>
      </c>
      <c r="U697" s="29">
        <f>MAX(SumAssured-S697,0)</f>
        <v/>
      </c>
      <c r="V697" s="35">
        <f>CoiMultiple*G697</f>
        <v/>
      </c>
      <c r="W697" s="34">
        <f>V697*U697</f>
        <v/>
      </c>
      <c r="X697" s="34">
        <f>S697-T697-W697</f>
        <v/>
      </c>
      <c r="Y697" s="36">
        <f>EXP((Mu-0.5*Sigma^2)/12+Sigma*SQRT(1/12)*INDEX(NormRand,ScenID,A697+1))-1</f>
        <v/>
      </c>
      <c r="Z697" s="34">
        <f>Y697*X697</f>
        <v/>
      </c>
      <c r="AA697" s="34">
        <f>X697+0.5*Z697</f>
        <v/>
      </c>
      <c r="AB697" s="34">
        <f>Q697*J697</f>
        <v/>
      </c>
      <c r="AC697" s="34">
        <f>Q697*L697</f>
        <v/>
      </c>
      <c r="AD697" s="34">
        <f>S697*N697</f>
        <v/>
      </c>
      <c r="AE697" s="34">
        <f>E697*N697</f>
        <v/>
      </c>
      <c r="AF697" s="34">
        <f>R697*N697</f>
        <v/>
      </c>
      <c r="AG697" s="29">
        <f>MAX(SumAssured,AA697)</f>
        <v/>
      </c>
      <c r="AH697" s="34">
        <f>AG697*O697</f>
        <v/>
      </c>
      <c r="AI697" s="34">
        <f>AA697*O697</f>
        <v/>
      </c>
      <c r="AJ697" s="34">
        <f>AA697*P697</f>
        <v/>
      </c>
      <c r="AK697" s="34">
        <f>I697*AA697*P697</f>
        <v/>
      </c>
      <c r="AL697" s="34">
        <f>AJ697-AK697</f>
        <v/>
      </c>
      <c r="AM697" s="34">
        <f>Q697*K697</f>
        <v/>
      </c>
      <c r="AN697" s="34">
        <f>AH697+AL697+AM697</f>
        <v/>
      </c>
      <c r="AO697" s="34">
        <f>(AG697-AA697)*O697</f>
        <v/>
      </c>
      <c r="AP697" s="34">
        <f>W697*N697</f>
        <v/>
      </c>
      <c r="AQ697" s="34">
        <f>T697*N697</f>
        <v/>
      </c>
      <c r="AR697" s="34">
        <f>Z697*J698+0.5*Z697*(O697+P697)</f>
        <v/>
      </c>
      <c r="AS697" s="30">
        <f>(1+InflationRate)^(A697/12)</f>
        <v/>
      </c>
      <c r="AT697" s="29">
        <f>ExpenseAcq*M697+N697*ExpenseMaint/12*AS697</f>
        <v/>
      </c>
      <c r="AU697" s="29">
        <f>CommissionRate*AE697</f>
        <v/>
      </c>
      <c r="AV697" s="34">
        <f>AB698-AB697</f>
        <v/>
      </c>
      <c r="AW697" s="34">
        <f>AE697+AR697-AN697-AT697-AU697-AV697</f>
        <v/>
      </c>
      <c r="AX697" s="29">
        <f>LoadPremRate*E697*N697+AK697+AQ697-AU697-AT697</f>
        <v/>
      </c>
      <c r="AY697" s="34">
        <f>AP697-AO697</f>
        <v/>
      </c>
      <c r="AZ697" s="37">
        <f>(AW697-AX697-AY697)/MAX(1,ABS(AW697),ABS(AX697),ABS(AY697))</f>
        <v/>
      </c>
      <c r="BA697" s="37">
        <f>IF(OR(K697&gt;0,K698&gt;0),0,(AC698-(AC697+AF697-AQ697-AP697+AR697-AI697-AJ697-AM697))/MAX(1,ABS(AC697),ABS(AC698)))</f>
        <v/>
      </c>
      <c r="BB697" s="35">
        <f>(1+INDEX(DiscRateAnn,INT(A697/12)+1))^(1/12)-1</f>
        <v/>
      </c>
      <c r="BC697" s="31">
        <f>(1+BB697)^-A697</f>
        <v/>
      </c>
      <c r="BD697" s="34">
        <f>AW697*BC697</f>
        <v/>
      </c>
    </row>
    <row r="698">
      <c r="A698" s="27">
        <f>A697+1</f>
        <v/>
      </c>
      <c r="B698" s="28">
        <f>Duration0+A698</f>
        <v/>
      </c>
      <c r="C698" s="27">
        <f>INT(B698/12)</f>
        <v/>
      </c>
      <c r="D698" s="28">
        <f>AgeAtEntry+C698</f>
        <v/>
      </c>
      <c r="E698" s="29">
        <f>IF(PremiumType="SINGLE",IF(B698=0,PremiumPPInput,0),IF(B698&lt;12*PolicyTerm,PremiumPPInput,0))</f>
        <v/>
      </c>
      <c r="F698" s="30">
        <f>INDEX(MortRates,MATCH(MIN(D698,120),MortAges,0),MAX(MIN(C698,5),0)+1)</f>
        <v/>
      </c>
      <c r="G698" s="31">
        <f>1-(1-F698)^(1/12)</f>
        <v/>
      </c>
      <c r="H698" s="32">
        <f>MAX(LapseBase-LapseStep*C698,LapseFloor)</f>
        <v/>
      </c>
      <c r="I698" s="32">
        <f>IF(HasSurrCharge,INDEX(SurrRates,MIN(C698,SurrDurMax)+1,MATCH(SurrChargeID,SurrTypes,0)),0)</f>
        <v/>
      </c>
      <c r="J698" s="33">
        <f>N697-P697-O697</f>
        <v/>
      </c>
      <c r="K698" s="30">
        <f>IF(B698=12*PolicyTerm,J698,0)</f>
        <v/>
      </c>
      <c r="L698" s="33">
        <f>J698-K698</f>
        <v/>
      </c>
      <c r="M698" s="30">
        <f>IF(B698=0,PolicyCount,0)</f>
        <v/>
      </c>
      <c r="N698" s="33">
        <f>L698+M698</f>
        <v/>
      </c>
      <c r="O698" s="31">
        <f>N698*G698</f>
        <v/>
      </c>
      <c r="P698" s="33">
        <f>(N698-O698)*(1-(1-H698)^(1/12))</f>
        <v/>
      </c>
      <c r="Q698" s="34">
        <f>X697+Z697</f>
        <v/>
      </c>
      <c r="R698" s="29">
        <f>(1-LoadPremRate)*E698</f>
        <v/>
      </c>
      <c r="S698" s="34">
        <f>Q698+R698</f>
        <v/>
      </c>
      <c r="T698" s="29">
        <f>MaintFeeRateAnn/12*S698</f>
        <v/>
      </c>
      <c r="U698" s="29">
        <f>MAX(SumAssured-S698,0)</f>
        <v/>
      </c>
      <c r="V698" s="35">
        <f>CoiMultiple*G698</f>
        <v/>
      </c>
      <c r="W698" s="34">
        <f>V698*U698</f>
        <v/>
      </c>
      <c r="X698" s="34">
        <f>S698-T698-W698</f>
        <v/>
      </c>
      <c r="Y698" s="36">
        <f>EXP((Mu-0.5*Sigma^2)/12+Sigma*SQRT(1/12)*INDEX(NormRand,ScenID,A698+1))-1</f>
        <v/>
      </c>
      <c r="Z698" s="34">
        <f>Y698*X698</f>
        <v/>
      </c>
      <c r="AA698" s="34">
        <f>X698+0.5*Z698</f>
        <v/>
      </c>
      <c r="AB698" s="34">
        <f>Q698*J698</f>
        <v/>
      </c>
      <c r="AC698" s="34">
        <f>Q698*L698</f>
        <v/>
      </c>
      <c r="AD698" s="34">
        <f>S698*N698</f>
        <v/>
      </c>
      <c r="AE698" s="34">
        <f>E698*N698</f>
        <v/>
      </c>
      <c r="AF698" s="34">
        <f>R698*N698</f>
        <v/>
      </c>
      <c r="AG698" s="29">
        <f>MAX(SumAssured,AA698)</f>
        <v/>
      </c>
      <c r="AH698" s="34">
        <f>AG698*O698</f>
        <v/>
      </c>
      <c r="AI698" s="34">
        <f>AA698*O698</f>
        <v/>
      </c>
      <c r="AJ698" s="34">
        <f>AA698*P698</f>
        <v/>
      </c>
      <c r="AK698" s="34">
        <f>I698*AA698*P698</f>
        <v/>
      </c>
      <c r="AL698" s="34">
        <f>AJ698-AK698</f>
        <v/>
      </c>
      <c r="AM698" s="34">
        <f>Q698*K698</f>
        <v/>
      </c>
      <c r="AN698" s="34">
        <f>AH698+AL698+AM698</f>
        <v/>
      </c>
      <c r="AO698" s="34">
        <f>(AG698-AA698)*O698</f>
        <v/>
      </c>
      <c r="AP698" s="34">
        <f>W698*N698</f>
        <v/>
      </c>
      <c r="AQ698" s="34">
        <f>T698*N698</f>
        <v/>
      </c>
      <c r="AR698" s="34">
        <f>Z698*J699+0.5*Z698*(O698+P698)</f>
        <v/>
      </c>
      <c r="AS698" s="30">
        <f>(1+InflationRate)^(A698/12)</f>
        <v/>
      </c>
      <c r="AT698" s="29">
        <f>ExpenseAcq*M698+N698*ExpenseMaint/12*AS698</f>
        <v/>
      </c>
      <c r="AU698" s="29">
        <f>CommissionRate*AE698</f>
        <v/>
      </c>
      <c r="AV698" s="34">
        <f>AB699-AB698</f>
        <v/>
      </c>
      <c r="AW698" s="34">
        <f>AE698+AR698-AN698-AT698-AU698-AV698</f>
        <v/>
      </c>
      <c r="AX698" s="29">
        <f>LoadPremRate*E698*N698+AK698+AQ698-AU698-AT698</f>
        <v/>
      </c>
      <c r="AY698" s="34">
        <f>AP698-AO698</f>
        <v/>
      </c>
      <c r="AZ698" s="37">
        <f>(AW698-AX698-AY698)/MAX(1,ABS(AW698),ABS(AX698),ABS(AY698))</f>
        <v/>
      </c>
      <c r="BA698" s="37">
        <f>IF(OR(K698&gt;0,K699&gt;0),0,(AC699-(AC698+AF698-AQ698-AP698+AR698-AI698-AJ698-AM698))/MAX(1,ABS(AC698),ABS(AC699)))</f>
        <v/>
      </c>
      <c r="BB698" s="35">
        <f>(1+INDEX(DiscRateAnn,INT(A698/12)+1))^(1/12)-1</f>
        <v/>
      </c>
      <c r="BC698" s="31">
        <f>(1+BB698)^-A698</f>
        <v/>
      </c>
      <c r="BD698" s="34">
        <f>AW698*BC698</f>
        <v/>
      </c>
    </row>
    <row r="699">
      <c r="A699" s="27">
        <f>A698+1</f>
        <v/>
      </c>
      <c r="B699" s="28">
        <f>Duration0+A699</f>
        <v/>
      </c>
      <c r="C699" s="27">
        <f>INT(B699/12)</f>
        <v/>
      </c>
      <c r="D699" s="28">
        <f>AgeAtEntry+C699</f>
        <v/>
      </c>
      <c r="E699" s="29">
        <f>IF(PremiumType="SINGLE",IF(B699=0,PremiumPPInput,0),IF(B699&lt;12*PolicyTerm,PremiumPPInput,0))</f>
        <v/>
      </c>
      <c r="F699" s="30">
        <f>INDEX(MortRates,MATCH(MIN(D699,120),MortAges,0),MAX(MIN(C699,5),0)+1)</f>
        <v/>
      </c>
      <c r="G699" s="31">
        <f>1-(1-F699)^(1/12)</f>
        <v/>
      </c>
      <c r="H699" s="32">
        <f>MAX(LapseBase-LapseStep*C699,LapseFloor)</f>
        <v/>
      </c>
      <c r="I699" s="32">
        <f>IF(HasSurrCharge,INDEX(SurrRates,MIN(C699,SurrDurMax)+1,MATCH(SurrChargeID,SurrTypes,0)),0)</f>
        <v/>
      </c>
      <c r="J699" s="33">
        <f>N698-P698-O698</f>
        <v/>
      </c>
      <c r="K699" s="30">
        <f>IF(B699=12*PolicyTerm,J699,0)</f>
        <v/>
      </c>
      <c r="L699" s="33">
        <f>J699-K699</f>
        <v/>
      </c>
      <c r="M699" s="30">
        <f>IF(B699=0,PolicyCount,0)</f>
        <v/>
      </c>
      <c r="N699" s="33">
        <f>L699+M699</f>
        <v/>
      </c>
      <c r="O699" s="31">
        <f>N699*G699</f>
        <v/>
      </c>
      <c r="P699" s="33">
        <f>(N699-O699)*(1-(1-H699)^(1/12))</f>
        <v/>
      </c>
      <c r="Q699" s="34">
        <f>X698+Z698</f>
        <v/>
      </c>
      <c r="R699" s="29">
        <f>(1-LoadPremRate)*E699</f>
        <v/>
      </c>
      <c r="S699" s="34">
        <f>Q699+R699</f>
        <v/>
      </c>
      <c r="T699" s="29">
        <f>MaintFeeRateAnn/12*S699</f>
        <v/>
      </c>
      <c r="U699" s="29">
        <f>MAX(SumAssured-S699,0)</f>
        <v/>
      </c>
      <c r="V699" s="35">
        <f>CoiMultiple*G699</f>
        <v/>
      </c>
      <c r="W699" s="34">
        <f>V699*U699</f>
        <v/>
      </c>
      <c r="X699" s="34">
        <f>S699-T699-W699</f>
        <v/>
      </c>
      <c r="Y699" s="36">
        <f>EXP((Mu-0.5*Sigma^2)/12+Sigma*SQRT(1/12)*INDEX(NormRand,ScenID,A699+1))-1</f>
        <v/>
      </c>
      <c r="Z699" s="34">
        <f>Y699*X699</f>
        <v/>
      </c>
      <c r="AA699" s="34">
        <f>X699+0.5*Z699</f>
        <v/>
      </c>
      <c r="AB699" s="34">
        <f>Q699*J699</f>
        <v/>
      </c>
      <c r="AC699" s="34">
        <f>Q699*L699</f>
        <v/>
      </c>
      <c r="AD699" s="34">
        <f>S699*N699</f>
        <v/>
      </c>
      <c r="AE699" s="34">
        <f>E699*N699</f>
        <v/>
      </c>
      <c r="AF699" s="34">
        <f>R699*N699</f>
        <v/>
      </c>
      <c r="AG699" s="29">
        <f>MAX(SumAssured,AA699)</f>
        <v/>
      </c>
      <c r="AH699" s="34">
        <f>AG699*O699</f>
        <v/>
      </c>
      <c r="AI699" s="34">
        <f>AA699*O699</f>
        <v/>
      </c>
      <c r="AJ699" s="34">
        <f>AA699*P699</f>
        <v/>
      </c>
      <c r="AK699" s="34">
        <f>I699*AA699*P699</f>
        <v/>
      </c>
      <c r="AL699" s="34">
        <f>AJ699-AK699</f>
        <v/>
      </c>
      <c r="AM699" s="34">
        <f>Q699*K699</f>
        <v/>
      </c>
      <c r="AN699" s="34">
        <f>AH699+AL699+AM699</f>
        <v/>
      </c>
      <c r="AO699" s="34">
        <f>(AG699-AA699)*O699</f>
        <v/>
      </c>
      <c r="AP699" s="34">
        <f>W699*N699</f>
        <v/>
      </c>
      <c r="AQ699" s="34">
        <f>T699*N699</f>
        <v/>
      </c>
      <c r="AR699" s="34">
        <f>Z699*J700+0.5*Z699*(O699+P699)</f>
        <v/>
      </c>
      <c r="AS699" s="30">
        <f>(1+InflationRate)^(A699/12)</f>
        <v/>
      </c>
      <c r="AT699" s="29">
        <f>ExpenseAcq*M699+N699*ExpenseMaint/12*AS699</f>
        <v/>
      </c>
      <c r="AU699" s="29">
        <f>CommissionRate*AE699</f>
        <v/>
      </c>
      <c r="AV699" s="34">
        <f>AB700-AB699</f>
        <v/>
      </c>
      <c r="AW699" s="34">
        <f>AE699+AR699-AN699-AT699-AU699-AV699</f>
        <v/>
      </c>
      <c r="AX699" s="29">
        <f>LoadPremRate*E699*N699+AK699+AQ699-AU699-AT699</f>
        <v/>
      </c>
      <c r="AY699" s="34">
        <f>AP699-AO699</f>
        <v/>
      </c>
      <c r="AZ699" s="37">
        <f>(AW699-AX699-AY699)/MAX(1,ABS(AW699),ABS(AX699),ABS(AY699))</f>
        <v/>
      </c>
      <c r="BA699" s="37">
        <f>IF(OR(K699&gt;0,K700&gt;0),0,(AC700-(AC699+AF699-AQ699-AP699+AR699-AI699-AJ699-AM699))/MAX(1,ABS(AC699),ABS(AC700)))</f>
        <v/>
      </c>
      <c r="BB699" s="35">
        <f>(1+INDEX(DiscRateAnn,INT(A699/12)+1))^(1/12)-1</f>
        <v/>
      </c>
      <c r="BC699" s="31">
        <f>(1+BB699)^-A699</f>
        <v/>
      </c>
      <c r="BD699" s="34">
        <f>AW699*BC699</f>
        <v/>
      </c>
    </row>
    <row r="700">
      <c r="A700" s="27">
        <f>A699+1</f>
        <v/>
      </c>
      <c r="B700" s="28">
        <f>Duration0+A700</f>
        <v/>
      </c>
      <c r="C700" s="27">
        <f>INT(B700/12)</f>
        <v/>
      </c>
      <c r="D700" s="28">
        <f>AgeAtEntry+C700</f>
        <v/>
      </c>
      <c r="E700" s="29">
        <f>IF(PremiumType="SINGLE",IF(B700=0,PremiumPPInput,0),IF(B700&lt;12*PolicyTerm,PremiumPPInput,0))</f>
        <v/>
      </c>
      <c r="F700" s="30">
        <f>INDEX(MortRates,MATCH(MIN(D700,120),MortAges,0),MAX(MIN(C700,5),0)+1)</f>
        <v/>
      </c>
      <c r="G700" s="31">
        <f>1-(1-F700)^(1/12)</f>
        <v/>
      </c>
      <c r="H700" s="32">
        <f>MAX(LapseBase-LapseStep*C700,LapseFloor)</f>
        <v/>
      </c>
      <c r="I700" s="32">
        <f>IF(HasSurrCharge,INDEX(SurrRates,MIN(C700,SurrDurMax)+1,MATCH(SurrChargeID,SurrTypes,0)),0)</f>
        <v/>
      </c>
      <c r="J700" s="33">
        <f>N699-P699-O699</f>
        <v/>
      </c>
      <c r="K700" s="30">
        <f>IF(B700=12*PolicyTerm,J700,0)</f>
        <v/>
      </c>
      <c r="L700" s="33">
        <f>J700-K700</f>
        <v/>
      </c>
      <c r="M700" s="30">
        <f>IF(B700=0,PolicyCount,0)</f>
        <v/>
      </c>
      <c r="N700" s="33">
        <f>L700+M700</f>
        <v/>
      </c>
      <c r="O700" s="31">
        <f>N700*G700</f>
        <v/>
      </c>
      <c r="P700" s="33">
        <f>(N700-O700)*(1-(1-H700)^(1/12))</f>
        <v/>
      </c>
      <c r="Q700" s="34">
        <f>X699+Z699</f>
        <v/>
      </c>
      <c r="R700" s="29">
        <f>(1-LoadPremRate)*E700</f>
        <v/>
      </c>
      <c r="S700" s="34">
        <f>Q700+R700</f>
        <v/>
      </c>
      <c r="T700" s="29">
        <f>MaintFeeRateAnn/12*S700</f>
        <v/>
      </c>
      <c r="U700" s="29">
        <f>MAX(SumAssured-S700,0)</f>
        <v/>
      </c>
      <c r="V700" s="35">
        <f>CoiMultiple*G700</f>
        <v/>
      </c>
      <c r="W700" s="34">
        <f>V700*U700</f>
        <v/>
      </c>
      <c r="X700" s="34">
        <f>S700-T700-W700</f>
        <v/>
      </c>
      <c r="Y700" s="36">
        <f>EXP((Mu-0.5*Sigma^2)/12+Sigma*SQRT(1/12)*INDEX(NormRand,ScenID,A700+1))-1</f>
        <v/>
      </c>
      <c r="Z700" s="34">
        <f>Y700*X700</f>
        <v/>
      </c>
      <c r="AA700" s="34">
        <f>X700+0.5*Z700</f>
        <v/>
      </c>
      <c r="AB700" s="34">
        <f>Q700*J700</f>
        <v/>
      </c>
      <c r="AC700" s="34">
        <f>Q700*L700</f>
        <v/>
      </c>
      <c r="AD700" s="34">
        <f>S700*N700</f>
        <v/>
      </c>
      <c r="AE700" s="34">
        <f>E700*N700</f>
        <v/>
      </c>
      <c r="AF700" s="34">
        <f>R700*N700</f>
        <v/>
      </c>
      <c r="AG700" s="29">
        <f>MAX(SumAssured,AA700)</f>
        <v/>
      </c>
      <c r="AH700" s="34">
        <f>AG700*O700</f>
        <v/>
      </c>
      <c r="AI700" s="34">
        <f>AA700*O700</f>
        <v/>
      </c>
      <c r="AJ700" s="34">
        <f>AA700*P700</f>
        <v/>
      </c>
      <c r="AK700" s="34">
        <f>I700*AA700*P700</f>
        <v/>
      </c>
      <c r="AL700" s="34">
        <f>AJ700-AK700</f>
        <v/>
      </c>
      <c r="AM700" s="34">
        <f>Q700*K700</f>
        <v/>
      </c>
      <c r="AN700" s="34">
        <f>AH700+AL700+AM700</f>
        <v/>
      </c>
      <c r="AO700" s="34">
        <f>(AG700-AA700)*O700</f>
        <v/>
      </c>
      <c r="AP700" s="34">
        <f>W700*N700</f>
        <v/>
      </c>
      <c r="AQ700" s="34">
        <f>T700*N700</f>
        <v/>
      </c>
      <c r="AR700" s="34">
        <f>Z700*J701+0.5*Z700*(O700+P700)</f>
        <v/>
      </c>
      <c r="AS700" s="30">
        <f>(1+InflationRate)^(A700/12)</f>
        <v/>
      </c>
      <c r="AT700" s="29">
        <f>ExpenseAcq*M700+N700*ExpenseMaint/12*AS700</f>
        <v/>
      </c>
      <c r="AU700" s="29">
        <f>CommissionRate*AE700</f>
        <v/>
      </c>
      <c r="AV700" s="34">
        <f>AB701-AB700</f>
        <v/>
      </c>
      <c r="AW700" s="34">
        <f>AE700+AR700-AN700-AT700-AU700-AV700</f>
        <v/>
      </c>
      <c r="AX700" s="29">
        <f>LoadPremRate*E700*N700+AK700+AQ700-AU700-AT700</f>
        <v/>
      </c>
      <c r="AY700" s="34">
        <f>AP700-AO700</f>
        <v/>
      </c>
      <c r="AZ700" s="37">
        <f>(AW700-AX700-AY700)/MAX(1,ABS(AW700),ABS(AX700),ABS(AY700))</f>
        <v/>
      </c>
      <c r="BA700" s="37">
        <f>IF(OR(K700&gt;0,K701&gt;0),0,(AC701-(AC700+AF700-AQ700-AP700+AR700-AI700-AJ700-AM700))/MAX(1,ABS(AC700),ABS(AC701)))</f>
        <v/>
      </c>
      <c r="BB700" s="35">
        <f>(1+INDEX(DiscRateAnn,INT(A700/12)+1))^(1/12)-1</f>
        <v/>
      </c>
      <c r="BC700" s="31">
        <f>(1+BB700)^-A700</f>
        <v/>
      </c>
      <c r="BD700" s="34">
        <f>AW700*BC700</f>
        <v/>
      </c>
    </row>
    <row r="701">
      <c r="A701" s="27">
        <f>A700+1</f>
        <v/>
      </c>
      <c r="B701" s="28">
        <f>Duration0+A701</f>
        <v/>
      </c>
      <c r="C701" s="27">
        <f>INT(B701/12)</f>
        <v/>
      </c>
      <c r="D701" s="28">
        <f>AgeAtEntry+C701</f>
        <v/>
      </c>
      <c r="E701" s="29">
        <f>IF(PremiumType="SINGLE",IF(B701=0,PremiumPPInput,0),IF(B701&lt;12*PolicyTerm,PremiumPPInput,0))</f>
        <v/>
      </c>
      <c r="F701" s="30">
        <f>INDEX(MortRates,MATCH(MIN(D701,120),MortAges,0),MAX(MIN(C701,5),0)+1)</f>
        <v/>
      </c>
      <c r="G701" s="31">
        <f>1-(1-F701)^(1/12)</f>
        <v/>
      </c>
      <c r="H701" s="32">
        <f>MAX(LapseBase-LapseStep*C701,LapseFloor)</f>
        <v/>
      </c>
      <c r="I701" s="32">
        <f>IF(HasSurrCharge,INDEX(SurrRates,MIN(C701,SurrDurMax)+1,MATCH(SurrChargeID,SurrTypes,0)),0)</f>
        <v/>
      </c>
      <c r="J701" s="33">
        <f>N700-P700-O700</f>
        <v/>
      </c>
      <c r="K701" s="30">
        <f>IF(B701=12*PolicyTerm,J701,0)</f>
        <v/>
      </c>
      <c r="L701" s="33">
        <f>J701-K701</f>
        <v/>
      </c>
      <c r="M701" s="30">
        <f>IF(B701=0,PolicyCount,0)</f>
        <v/>
      </c>
      <c r="N701" s="33">
        <f>L701+M701</f>
        <v/>
      </c>
      <c r="O701" s="31">
        <f>N701*G701</f>
        <v/>
      </c>
      <c r="P701" s="33">
        <f>(N701-O701)*(1-(1-H701)^(1/12))</f>
        <v/>
      </c>
      <c r="Q701" s="34">
        <f>X700+Z700</f>
        <v/>
      </c>
      <c r="R701" s="29">
        <f>(1-LoadPremRate)*E701</f>
        <v/>
      </c>
      <c r="S701" s="34">
        <f>Q701+R701</f>
        <v/>
      </c>
      <c r="T701" s="29">
        <f>MaintFeeRateAnn/12*S701</f>
        <v/>
      </c>
      <c r="U701" s="29">
        <f>MAX(SumAssured-S701,0)</f>
        <v/>
      </c>
      <c r="V701" s="35">
        <f>CoiMultiple*G701</f>
        <v/>
      </c>
      <c r="W701" s="34">
        <f>V701*U701</f>
        <v/>
      </c>
      <c r="X701" s="34">
        <f>S701-T701-W701</f>
        <v/>
      </c>
      <c r="Y701" s="36">
        <f>EXP((Mu-0.5*Sigma^2)/12+Sigma*SQRT(1/12)*INDEX(NormRand,ScenID,A701+1))-1</f>
        <v/>
      </c>
      <c r="Z701" s="34">
        <f>Y701*X701</f>
        <v/>
      </c>
      <c r="AA701" s="34">
        <f>X701+0.5*Z701</f>
        <v/>
      </c>
      <c r="AB701" s="34">
        <f>Q701*J701</f>
        <v/>
      </c>
      <c r="AC701" s="34">
        <f>Q701*L701</f>
        <v/>
      </c>
      <c r="AD701" s="34">
        <f>S701*N701</f>
        <v/>
      </c>
      <c r="AE701" s="34">
        <f>E701*N701</f>
        <v/>
      </c>
      <c r="AF701" s="34">
        <f>R701*N701</f>
        <v/>
      </c>
      <c r="AG701" s="29">
        <f>MAX(SumAssured,AA701)</f>
        <v/>
      </c>
      <c r="AH701" s="34">
        <f>AG701*O701</f>
        <v/>
      </c>
      <c r="AI701" s="34">
        <f>AA701*O701</f>
        <v/>
      </c>
      <c r="AJ701" s="34">
        <f>AA701*P701</f>
        <v/>
      </c>
      <c r="AK701" s="34">
        <f>I701*AA701*P701</f>
        <v/>
      </c>
      <c r="AL701" s="34">
        <f>AJ701-AK701</f>
        <v/>
      </c>
      <c r="AM701" s="34">
        <f>Q701*K701</f>
        <v/>
      </c>
      <c r="AN701" s="34">
        <f>AH701+AL701+AM701</f>
        <v/>
      </c>
      <c r="AO701" s="34">
        <f>(AG701-AA701)*O701</f>
        <v/>
      </c>
      <c r="AP701" s="34">
        <f>W701*N701</f>
        <v/>
      </c>
      <c r="AQ701" s="34">
        <f>T701*N701</f>
        <v/>
      </c>
      <c r="AR701" s="34">
        <f>Z701*J702+0.5*Z701*(O701+P701)</f>
        <v/>
      </c>
      <c r="AS701" s="30">
        <f>(1+InflationRate)^(A701/12)</f>
        <v/>
      </c>
      <c r="AT701" s="29">
        <f>ExpenseAcq*M701+N701*ExpenseMaint/12*AS701</f>
        <v/>
      </c>
      <c r="AU701" s="29">
        <f>CommissionRate*AE701</f>
        <v/>
      </c>
      <c r="AV701" s="34">
        <f>AB702-AB701</f>
        <v/>
      </c>
      <c r="AW701" s="34">
        <f>AE701+AR701-AN701-AT701-AU701-AV701</f>
        <v/>
      </c>
      <c r="AX701" s="29">
        <f>LoadPremRate*E701*N701+AK701+AQ701-AU701-AT701</f>
        <v/>
      </c>
      <c r="AY701" s="34">
        <f>AP701-AO701</f>
        <v/>
      </c>
      <c r="AZ701" s="37">
        <f>(AW701-AX701-AY701)/MAX(1,ABS(AW701),ABS(AX701),ABS(AY701))</f>
        <v/>
      </c>
      <c r="BA701" s="37">
        <f>IF(OR(K701&gt;0,K702&gt;0),0,(AC702-(AC701+AF701-AQ701-AP701+AR701-AI701-AJ701-AM701))/MAX(1,ABS(AC701),ABS(AC702)))</f>
        <v/>
      </c>
      <c r="BB701" s="35">
        <f>(1+INDEX(DiscRateAnn,INT(A701/12)+1))^(1/12)-1</f>
        <v/>
      </c>
      <c r="BC701" s="31">
        <f>(1+BB701)^-A701</f>
        <v/>
      </c>
      <c r="BD701" s="34">
        <f>AW701*BC701</f>
        <v/>
      </c>
    </row>
    <row r="702">
      <c r="A702" s="27">
        <f>A701+1</f>
        <v/>
      </c>
      <c r="B702" s="28">
        <f>Duration0+A702</f>
        <v/>
      </c>
      <c r="C702" s="27">
        <f>INT(B702/12)</f>
        <v/>
      </c>
      <c r="D702" s="28">
        <f>AgeAtEntry+C702</f>
        <v/>
      </c>
      <c r="E702" s="29">
        <f>IF(PremiumType="SINGLE",IF(B702=0,PremiumPPInput,0),IF(B702&lt;12*PolicyTerm,PremiumPPInput,0))</f>
        <v/>
      </c>
      <c r="F702" s="30">
        <f>INDEX(MortRates,MATCH(MIN(D702,120),MortAges,0),MAX(MIN(C702,5),0)+1)</f>
        <v/>
      </c>
      <c r="G702" s="31">
        <f>1-(1-F702)^(1/12)</f>
        <v/>
      </c>
      <c r="H702" s="32">
        <f>MAX(LapseBase-LapseStep*C702,LapseFloor)</f>
        <v/>
      </c>
      <c r="I702" s="32">
        <f>IF(HasSurrCharge,INDEX(SurrRates,MIN(C702,SurrDurMax)+1,MATCH(SurrChargeID,SurrTypes,0)),0)</f>
        <v/>
      </c>
      <c r="J702" s="33">
        <f>N701-P701-O701</f>
        <v/>
      </c>
      <c r="K702" s="30">
        <f>IF(B702=12*PolicyTerm,J702,0)</f>
        <v/>
      </c>
      <c r="L702" s="33">
        <f>J702-K702</f>
        <v/>
      </c>
      <c r="M702" s="30">
        <f>IF(B702=0,PolicyCount,0)</f>
        <v/>
      </c>
      <c r="N702" s="33">
        <f>L702+M702</f>
        <v/>
      </c>
      <c r="O702" s="31">
        <f>N702*G702</f>
        <v/>
      </c>
      <c r="P702" s="33">
        <f>(N702-O702)*(1-(1-H702)^(1/12))</f>
        <v/>
      </c>
      <c r="Q702" s="34">
        <f>X701+Z701</f>
        <v/>
      </c>
      <c r="R702" s="29">
        <f>(1-LoadPremRate)*E702</f>
        <v/>
      </c>
      <c r="S702" s="34">
        <f>Q702+R702</f>
        <v/>
      </c>
      <c r="T702" s="29">
        <f>MaintFeeRateAnn/12*S702</f>
        <v/>
      </c>
      <c r="U702" s="29">
        <f>MAX(SumAssured-S702,0)</f>
        <v/>
      </c>
      <c r="V702" s="35">
        <f>CoiMultiple*G702</f>
        <v/>
      </c>
      <c r="W702" s="34">
        <f>V702*U702</f>
        <v/>
      </c>
      <c r="X702" s="34">
        <f>S702-T702-W702</f>
        <v/>
      </c>
      <c r="Y702" s="36">
        <f>EXP((Mu-0.5*Sigma^2)/12+Sigma*SQRT(1/12)*INDEX(NormRand,ScenID,A702+1))-1</f>
        <v/>
      </c>
      <c r="Z702" s="34">
        <f>Y702*X702</f>
        <v/>
      </c>
      <c r="AA702" s="34">
        <f>X702+0.5*Z702</f>
        <v/>
      </c>
      <c r="AB702" s="34">
        <f>Q702*J702</f>
        <v/>
      </c>
      <c r="AC702" s="34">
        <f>Q702*L702</f>
        <v/>
      </c>
      <c r="AD702" s="34">
        <f>S702*N702</f>
        <v/>
      </c>
      <c r="AE702" s="34">
        <f>E702*N702</f>
        <v/>
      </c>
      <c r="AF702" s="34">
        <f>R702*N702</f>
        <v/>
      </c>
      <c r="AG702" s="29">
        <f>MAX(SumAssured,AA702)</f>
        <v/>
      </c>
      <c r="AH702" s="34">
        <f>AG702*O702</f>
        <v/>
      </c>
      <c r="AI702" s="34">
        <f>AA702*O702</f>
        <v/>
      </c>
      <c r="AJ702" s="34">
        <f>AA702*P702</f>
        <v/>
      </c>
      <c r="AK702" s="34">
        <f>I702*AA702*P702</f>
        <v/>
      </c>
      <c r="AL702" s="34">
        <f>AJ702-AK702</f>
        <v/>
      </c>
      <c r="AM702" s="34">
        <f>Q702*K702</f>
        <v/>
      </c>
      <c r="AN702" s="34">
        <f>AH702+AL702+AM702</f>
        <v/>
      </c>
      <c r="AO702" s="34">
        <f>(AG702-AA702)*O702</f>
        <v/>
      </c>
      <c r="AP702" s="34">
        <f>W702*N702</f>
        <v/>
      </c>
      <c r="AQ702" s="34">
        <f>T702*N702</f>
        <v/>
      </c>
      <c r="AR702" s="34">
        <f>Z702*J703+0.5*Z702*(O702+P702)</f>
        <v/>
      </c>
      <c r="AS702" s="30">
        <f>(1+InflationRate)^(A702/12)</f>
        <v/>
      </c>
      <c r="AT702" s="29">
        <f>ExpenseAcq*M702+N702*ExpenseMaint/12*AS702</f>
        <v/>
      </c>
      <c r="AU702" s="29">
        <f>CommissionRate*AE702</f>
        <v/>
      </c>
      <c r="AV702" s="34">
        <f>AB703-AB702</f>
        <v/>
      </c>
      <c r="AW702" s="34">
        <f>AE702+AR702-AN702-AT702-AU702-AV702</f>
        <v/>
      </c>
      <c r="AX702" s="29">
        <f>LoadPremRate*E702*N702+AK702+AQ702-AU702-AT702</f>
        <v/>
      </c>
      <c r="AY702" s="34">
        <f>AP702-AO702</f>
        <v/>
      </c>
      <c r="AZ702" s="37">
        <f>(AW702-AX702-AY702)/MAX(1,ABS(AW702),ABS(AX702),ABS(AY702))</f>
        <v/>
      </c>
      <c r="BA702" s="37">
        <f>IF(OR(K702&gt;0,K703&gt;0),0,(AC703-(AC702+AF702-AQ702-AP702+AR702-AI702-AJ702-AM702))/MAX(1,ABS(AC702),ABS(AC703)))</f>
        <v/>
      </c>
      <c r="BB702" s="35">
        <f>(1+INDEX(DiscRateAnn,INT(A702/12)+1))^(1/12)-1</f>
        <v/>
      </c>
      <c r="BC702" s="31">
        <f>(1+BB702)^-A702</f>
        <v/>
      </c>
      <c r="BD702" s="34">
        <f>AW702*BC702</f>
        <v/>
      </c>
    </row>
    <row r="703">
      <c r="A703" s="27">
        <f>A702+1</f>
        <v/>
      </c>
      <c r="B703" s="28">
        <f>Duration0+A703</f>
        <v/>
      </c>
      <c r="C703" s="27">
        <f>INT(B703/12)</f>
        <v/>
      </c>
      <c r="D703" s="28">
        <f>AgeAtEntry+C703</f>
        <v/>
      </c>
      <c r="E703" s="29">
        <f>IF(PremiumType="SINGLE",IF(B703=0,PremiumPPInput,0),IF(B703&lt;12*PolicyTerm,PremiumPPInput,0))</f>
        <v/>
      </c>
      <c r="F703" s="30">
        <f>INDEX(MortRates,MATCH(MIN(D703,120),MortAges,0),MAX(MIN(C703,5),0)+1)</f>
        <v/>
      </c>
      <c r="G703" s="31">
        <f>1-(1-F703)^(1/12)</f>
        <v/>
      </c>
      <c r="H703" s="32">
        <f>MAX(LapseBase-LapseStep*C703,LapseFloor)</f>
        <v/>
      </c>
      <c r="I703" s="32">
        <f>IF(HasSurrCharge,INDEX(SurrRates,MIN(C703,SurrDurMax)+1,MATCH(SurrChargeID,SurrTypes,0)),0)</f>
        <v/>
      </c>
      <c r="J703" s="33">
        <f>N702-P702-O702</f>
        <v/>
      </c>
      <c r="K703" s="30">
        <f>IF(B703=12*PolicyTerm,J703,0)</f>
        <v/>
      </c>
      <c r="L703" s="33">
        <f>J703-K703</f>
        <v/>
      </c>
      <c r="M703" s="30">
        <f>IF(B703=0,PolicyCount,0)</f>
        <v/>
      </c>
      <c r="N703" s="33">
        <f>L703+M703</f>
        <v/>
      </c>
      <c r="O703" s="31">
        <f>N703*G703</f>
        <v/>
      </c>
      <c r="P703" s="33">
        <f>(N703-O703)*(1-(1-H703)^(1/12))</f>
        <v/>
      </c>
      <c r="Q703" s="34">
        <f>X702+Z702</f>
        <v/>
      </c>
      <c r="R703" s="29">
        <f>(1-LoadPremRate)*E703</f>
        <v/>
      </c>
      <c r="S703" s="34">
        <f>Q703+R703</f>
        <v/>
      </c>
      <c r="T703" s="29">
        <f>MaintFeeRateAnn/12*S703</f>
        <v/>
      </c>
      <c r="U703" s="29">
        <f>MAX(SumAssured-S703,0)</f>
        <v/>
      </c>
      <c r="V703" s="35">
        <f>CoiMultiple*G703</f>
        <v/>
      </c>
      <c r="W703" s="34">
        <f>V703*U703</f>
        <v/>
      </c>
      <c r="X703" s="34">
        <f>S703-T703-W703</f>
        <v/>
      </c>
      <c r="Y703" s="36">
        <f>EXP((Mu-0.5*Sigma^2)/12+Sigma*SQRT(1/12)*INDEX(NormRand,ScenID,A703+1))-1</f>
        <v/>
      </c>
      <c r="Z703" s="34">
        <f>Y703*X703</f>
        <v/>
      </c>
      <c r="AA703" s="34">
        <f>X703+0.5*Z703</f>
        <v/>
      </c>
      <c r="AB703" s="34">
        <f>Q703*J703</f>
        <v/>
      </c>
      <c r="AC703" s="34">
        <f>Q703*L703</f>
        <v/>
      </c>
      <c r="AD703" s="34">
        <f>S703*N703</f>
        <v/>
      </c>
      <c r="AE703" s="34">
        <f>E703*N703</f>
        <v/>
      </c>
      <c r="AF703" s="34">
        <f>R703*N703</f>
        <v/>
      </c>
      <c r="AG703" s="29">
        <f>MAX(SumAssured,AA703)</f>
        <v/>
      </c>
      <c r="AH703" s="34">
        <f>AG703*O703</f>
        <v/>
      </c>
      <c r="AI703" s="34">
        <f>AA703*O703</f>
        <v/>
      </c>
      <c r="AJ703" s="34">
        <f>AA703*P703</f>
        <v/>
      </c>
      <c r="AK703" s="34">
        <f>I703*AA703*P703</f>
        <v/>
      </c>
      <c r="AL703" s="34">
        <f>AJ703-AK703</f>
        <v/>
      </c>
      <c r="AM703" s="34">
        <f>Q703*K703</f>
        <v/>
      </c>
      <c r="AN703" s="34">
        <f>AH703+AL703+AM703</f>
        <v/>
      </c>
      <c r="AO703" s="34">
        <f>(AG703-AA703)*O703</f>
        <v/>
      </c>
      <c r="AP703" s="34">
        <f>W703*N703</f>
        <v/>
      </c>
      <c r="AQ703" s="34">
        <f>T703*N703</f>
        <v/>
      </c>
      <c r="AR703" s="34">
        <f>Z703*J704+0.5*Z703*(O703+P703)</f>
        <v/>
      </c>
      <c r="AS703" s="30">
        <f>(1+InflationRate)^(A703/12)</f>
        <v/>
      </c>
      <c r="AT703" s="29">
        <f>ExpenseAcq*M703+N703*ExpenseMaint/12*AS703</f>
        <v/>
      </c>
      <c r="AU703" s="29">
        <f>CommissionRate*AE703</f>
        <v/>
      </c>
      <c r="AV703" s="34">
        <f>AB704-AB703</f>
        <v/>
      </c>
      <c r="AW703" s="34">
        <f>AE703+AR703-AN703-AT703-AU703-AV703</f>
        <v/>
      </c>
      <c r="AX703" s="29">
        <f>LoadPremRate*E703*N703+AK703+AQ703-AU703-AT703</f>
        <v/>
      </c>
      <c r="AY703" s="34">
        <f>AP703-AO703</f>
        <v/>
      </c>
      <c r="AZ703" s="37">
        <f>(AW703-AX703-AY703)/MAX(1,ABS(AW703),ABS(AX703),ABS(AY703))</f>
        <v/>
      </c>
      <c r="BA703" s="37">
        <f>IF(OR(K703&gt;0,K704&gt;0),0,(AC704-(AC703+AF703-AQ703-AP703+AR703-AI703-AJ703-AM703))/MAX(1,ABS(AC703),ABS(AC704)))</f>
        <v/>
      </c>
      <c r="BB703" s="35">
        <f>(1+INDEX(DiscRateAnn,INT(A703/12)+1))^(1/12)-1</f>
        <v/>
      </c>
      <c r="BC703" s="31">
        <f>(1+BB703)^-A703</f>
        <v/>
      </c>
      <c r="BD703" s="34">
        <f>AW703*BC703</f>
        <v/>
      </c>
    </row>
    <row r="704">
      <c r="A704" s="27">
        <f>A703+1</f>
        <v/>
      </c>
      <c r="B704" s="28">
        <f>Duration0+A704</f>
        <v/>
      </c>
      <c r="C704" s="27">
        <f>INT(B704/12)</f>
        <v/>
      </c>
      <c r="D704" s="28">
        <f>AgeAtEntry+C704</f>
        <v/>
      </c>
      <c r="E704" s="29">
        <f>IF(PremiumType="SINGLE",IF(B704=0,PremiumPPInput,0),IF(B704&lt;12*PolicyTerm,PremiumPPInput,0))</f>
        <v/>
      </c>
      <c r="F704" s="30">
        <f>INDEX(MortRates,MATCH(MIN(D704,120),MortAges,0),MAX(MIN(C704,5),0)+1)</f>
        <v/>
      </c>
      <c r="G704" s="31">
        <f>1-(1-F704)^(1/12)</f>
        <v/>
      </c>
      <c r="H704" s="32">
        <f>MAX(LapseBase-LapseStep*C704,LapseFloor)</f>
        <v/>
      </c>
      <c r="I704" s="32">
        <f>IF(HasSurrCharge,INDEX(SurrRates,MIN(C704,SurrDurMax)+1,MATCH(SurrChargeID,SurrTypes,0)),0)</f>
        <v/>
      </c>
      <c r="J704" s="33">
        <f>N703-P703-O703</f>
        <v/>
      </c>
      <c r="K704" s="30">
        <f>IF(B704=12*PolicyTerm,J704,0)</f>
        <v/>
      </c>
      <c r="L704" s="33">
        <f>J704-K704</f>
        <v/>
      </c>
      <c r="M704" s="30">
        <f>IF(B704=0,PolicyCount,0)</f>
        <v/>
      </c>
      <c r="N704" s="33">
        <f>L704+M704</f>
        <v/>
      </c>
      <c r="O704" s="31">
        <f>N704*G704</f>
        <v/>
      </c>
      <c r="P704" s="33">
        <f>(N704-O704)*(1-(1-H704)^(1/12))</f>
        <v/>
      </c>
      <c r="Q704" s="34">
        <f>X703+Z703</f>
        <v/>
      </c>
      <c r="R704" s="29">
        <f>(1-LoadPremRate)*E704</f>
        <v/>
      </c>
      <c r="S704" s="34">
        <f>Q704+R704</f>
        <v/>
      </c>
      <c r="T704" s="29">
        <f>MaintFeeRateAnn/12*S704</f>
        <v/>
      </c>
      <c r="U704" s="29">
        <f>MAX(SumAssured-S704,0)</f>
        <v/>
      </c>
      <c r="V704" s="35">
        <f>CoiMultiple*G704</f>
        <v/>
      </c>
      <c r="W704" s="34">
        <f>V704*U704</f>
        <v/>
      </c>
      <c r="X704" s="34">
        <f>S704-T704-W704</f>
        <v/>
      </c>
      <c r="Y704" s="36">
        <f>EXP((Mu-0.5*Sigma^2)/12+Sigma*SQRT(1/12)*INDEX(NormRand,ScenID,A704+1))-1</f>
        <v/>
      </c>
      <c r="Z704" s="34">
        <f>Y704*X704</f>
        <v/>
      </c>
      <c r="AA704" s="34">
        <f>X704+0.5*Z704</f>
        <v/>
      </c>
      <c r="AB704" s="34">
        <f>Q704*J704</f>
        <v/>
      </c>
      <c r="AC704" s="34">
        <f>Q704*L704</f>
        <v/>
      </c>
      <c r="AD704" s="34">
        <f>S704*N704</f>
        <v/>
      </c>
      <c r="AE704" s="34">
        <f>E704*N704</f>
        <v/>
      </c>
      <c r="AF704" s="34">
        <f>R704*N704</f>
        <v/>
      </c>
      <c r="AG704" s="29">
        <f>MAX(SumAssured,AA704)</f>
        <v/>
      </c>
      <c r="AH704" s="34">
        <f>AG704*O704</f>
        <v/>
      </c>
      <c r="AI704" s="34">
        <f>AA704*O704</f>
        <v/>
      </c>
      <c r="AJ704" s="34">
        <f>AA704*P704</f>
        <v/>
      </c>
      <c r="AK704" s="34">
        <f>I704*AA704*P704</f>
        <v/>
      </c>
      <c r="AL704" s="34">
        <f>AJ704-AK704</f>
        <v/>
      </c>
      <c r="AM704" s="34">
        <f>Q704*K704</f>
        <v/>
      </c>
      <c r="AN704" s="34">
        <f>AH704+AL704+AM704</f>
        <v/>
      </c>
      <c r="AO704" s="34">
        <f>(AG704-AA704)*O704</f>
        <v/>
      </c>
      <c r="AP704" s="34">
        <f>W704*N704</f>
        <v/>
      </c>
      <c r="AQ704" s="34">
        <f>T704*N704</f>
        <v/>
      </c>
      <c r="AR704" s="34">
        <f>Z704*J705+0.5*Z704*(O704+P704)</f>
        <v/>
      </c>
      <c r="AS704" s="30">
        <f>(1+InflationRate)^(A704/12)</f>
        <v/>
      </c>
      <c r="AT704" s="29">
        <f>ExpenseAcq*M704+N704*ExpenseMaint/12*AS704</f>
        <v/>
      </c>
      <c r="AU704" s="29">
        <f>CommissionRate*AE704</f>
        <v/>
      </c>
      <c r="AV704" s="34">
        <f>AB705-AB704</f>
        <v/>
      </c>
      <c r="AW704" s="34">
        <f>AE704+AR704-AN704-AT704-AU704-AV704</f>
        <v/>
      </c>
      <c r="AX704" s="29">
        <f>LoadPremRate*E704*N704+AK704+AQ704-AU704-AT704</f>
        <v/>
      </c>
      <c r="AY704" s="34">
        <f>AP704-AO704</f>
        <v/>
      </c>
      <c r="AZ704" s="37">
        <f>(AW704-AX704-AY704)/MAX(1,ABS(AW704),ABS(AX704),ABS(AY704))</f>
        <v/>
      </c>
      <c r="BA704" s="37">
        <f>IF(OR(K704&gt;0,K705&gt;0),0,(AC705-(AC704+AF704-AQ704-AP704+AR704-AI704-AJ704-AM704))/MAX(1,ABS(AC704),ABS(AC705)))</f>
        <v/>
      </c>
      <c r="BB704" s="35">
        <f>(1+INDEX(DiscRateAnn,INT(A704/12)+1))^(1/12)-1</f>
        <v/>
      </c>
      <c r="BC704" s="31">
        <f>(1+BB704)^-A704</f>
        <v/>
      </c>
      <c r="BD704" s="34">
        <f>AW704*BC704</f>
        <v/>
      </c>
    </row>
    <row r="705">
      <c r="A705" s="27">
        <f>A704+1</f>
        <v/>
      </c>
      <c r="B705" s="28">
        <f>Duration0+A705</f>
        <v/>
      </c>
      <c r="C705" s="27">
        <f>INT(B705/12)</f>
        <v/>
      </c>
      <c r="D705" s="28">
        <f>AgeAtEntry+C705</f>
        <v/>
      </c>
      <c r="E705" s="29">
        <f>IF(PremiumType="SINGLE",IF(B705=0,PremiumPPInput,0),IF(B705&lt;12*PolicyTerm,PremiumPPInput,0))</f>
        <v/>
      </c>
      <c r="F705" s="30">
        <f>INDEX(MortRates,MATCH(MIN(D705,120),MortAges,0),MAX(MIN(C705,5),0)+1)</f>
        <v/>
      </c>
      <c r="G705" s="31">
        <f>1-(1-F705)^(1/12)</f>
        <v/>
      </c>
      <c r="H705" s="32">
        <f>MAX(LapseBase-LapseStep*C705,LapseFloor)</f>
        <v/>
      </c>
      <c r="I705" s="32">
        <f>IF(HasSurrCharge,INDEX(SurrRates,MIN(C705,SurrDurMax)+1,MATCH(SurrChargeID,SurrTypes,0)),0)</f>
        <v/>
      </c>
      <c r="J705" s="33">
        <f>N704-P704-O704</f>
        <v/>
      </c>
      <c r="K705" s="30">
        <f>IF(B705=12*PolicyTerm,J705,0)</f>
        <v/>
      </c>
      <c r="L705" s="33">
        <f>J705-K705</f>
        <v/>
      </c>
      <c r="M705" s="30">
        <f>IF(B705=0,PolicyCount,0)</f>
        <v/>
      </c>
      <c r="N705" s="33">
        <f>L705+M705</f>
        <v/>
      </c>
      <c r="O705" s="31">
        <f>N705*G705</f>
        <v/>
      </c>
      <c r="P705" s="33">
        <f>(N705-O705)*(1-(1-H705)^(1/12))</f>
        <v/>
      </c>
      <c r="Q705" s="34">
        <f>X704+Z704</f>
        <v/>
      </c>
      <c r="R705" s="29">
        <f>(1-LoadPremRate)*E705</f>
        <v/>
      </c>
      <c r="S705" s="34">
        <f>Q705+R705</f>
        <v/>
      </c>
      <c r="T705" s="29">
        <f>MaintFeeRateAnn/12*S705</f>
        <v/>
      </c>
      <c r="U705" s="29">
        <f>MAX(SumAssured-S705,0)</f>
        <v/>
      </c>
      <c r="V705" s="35">
        <f>CoiMultiple*G705</f>
        <v/>
      </c>
      <c r="W705" s="34">
        <f>V705*U705</f>
        <v/>
      </c>
      <c r="X705" s="34">
        <f>S705-T705-W705</f>
        <v/>
      </c>
      <c r="Y705" s="36">
        <f>EXP((Mu-0.5*Sigma^2)/12+Sigma*SQRT(1/12)*INDEX(NormRand,ScenID,A705+1))-1</f>
        <v/>
      </c>
      <c r="Z705" s="34">
        <f>Y705*X705</f>
        <v/>
      </c>
      <c r="AA705" s="34">
        <f>X705+0.5*Z705</f>
        <v/>
      </c>
      <c r="AB705" s="34">
        <f>Q705*J705</f>
        <v/>
      </c>
      <c r="AC705" s="34">
        <f>Q705*L705</f>
        <v/>
      </c>
      <c r="AD705" s="34">
        <f>S705*N705</f>
        <v/>
      </c>
      <c r="AE705" s="34">
        <f>E705*N705</f>
        <v/>
      </c>
      <c r="AF705" s="34">
        <f>R705*N705</f>
        <v/>
      </c>
      <c r="AG705" s="29">
        <f>MAX(SumAssured,AA705)</f>
        <v/>
      </c>
      <c r="AH705" s="34">
        <f>AG705*O705</f>
        <v/>
      </c>
      <c r="AI705" s="34">
        <f>AA705*O705</f>
        <v/>
      </c>
      <c r="AJ705" s="34">
        <f>AA705*P705</f>
        <v/>
      </c>
      <c r="AK705" s="34">
        <f>I705*AA705*P705</f>
        <v/>
      </c>
      <c r="AL705" s="34">
        <f>AJ705-AK705</f>
        <v/>
      </c>
      <c r="AM705" s="34">
        <f>Q705*K705</f>
        <v/>
      </c>
      <c r="AN705" s="34">
        <f>AH705+AL705+AM705</f>
        <v/>
      </c>
      <c r="AO705" s="34">
        <f>(AG705-AA705)*O705</f>
        <v/>
      </c>
      <c r="AP705" s="34">
        <f>W705*N705</f>
        <v/>
      </c>
      <c r="AQ705" s="34">
        <f>T705*N705</f>
        <v/>
      </c>
      <c r="AR705" s="34">
        <f>Z705*J706+0.5*Z705*(O705+P705)</f>
        <v/>
      </c>
      <c r="AS705" s="30">
        <f>(1+InflationRate)^(A705/12)</f>
        <v/>
      </c>
      <c r="AT705" s="29">
        <f>ExpenseAcq*M705+N705*ExpenseMaint/12*AS705</f>
        <v/>
      </c>
      <c r="AU705" s="29">
        <f>CommissionRate*AE705</f>
        <v/>
      </c>
      <c r="AV705" s="34">
        <f>AB706-AB705</f>
        <v/>
      </c>
      <c r="AW705" s="34">
        <f>AE705+AR705-AN705-AT705-AU705-AV705</f>
        <v/>
      </c>
      <c r="AX705" s="29">
        <f>LoadPremRate*E705*N705+AK705+AQ705-AU705-AT705</f>
        <v/>
      </c>
      <c r="AY705" s="34">
        <f>AP705-AO705</f>
        <v/>
      </c>
      <c r="AZ705" s="37">
        <f>(AW705-AX705-AY705)/MAX(1,ABS(AW705),ABS(AX705),ABS(AY705))</f>
        <v/>
      </c>
      <c r="BA705" s="37">
        <f>IF(OR(K705&gt;0,K706&gt;0),0,(AC706-(AC705+AF705-AQ705-AP705+AR705-AI705-AJ705-AM705))/MAX(1,ABS(AC705),ABS(AC706)))</f>
        <v/>
      </c>
      <c r="BB705" s="35">
        <f>(1+INDEX(DiscRateAnn,INT(A705/12)+1))^(1/12)-1</f>
        <v/>
      </c>
      <c r="BC705" s="31">
        <f>(1+BB705)^-A705</f>
        <v/>
      </c>
      <c r="BD705" s="34">
        <f>AW705*BC705</f>
        <v/>
      </c>
    </row>
    <row r="706">
      <c r="A706" s="27">
        <f>A705+1</f>
        <v/>
      </c>
      <c r="B706" s="28">
        <f>Duration0+A706</f>
        <v/>
      </c>
      <c r="C706" s="27">
        <f>INT(B706/12)</f>
        <v/>
      </c>
      <c r="D706" s="28">
        <f>AgeAtEntry+C706</f>
        <v/>
      </c>
      <c r="E706" s="29">
        <f>IF(PremiumType="SINGLE",IF(B706=0,PremiumPPInput,0),IF(B706&lt;12*PolicyTerm,PremiumPPInput,0))</f>
        <v/>
      </c>
      <c r="F706" s="30">
        <f>INDEX(MortRates,MATCH(MIN(D706,120),MortAges,0),MAX(MIN(C706,5),0)+1)</f>
        <v/>
      </c>
      <c r="G706" s="31">
        <f>1-(1-F706)^(1/12)</f>
        <v/>
      </c>
      <c r="H706" s="32">
        <f>MAX(LapseBase-LapseStep*C706,LapseFloor)</f>
        <v/>
      </c>
      <c r="I706" s="32">
        <f>IF(HasSurrCharge,INDEX(SurrRates,MIN(C706,SurrDurMax)+1,MATCH(SurrChargeID,SurrTypes,0)),0)</f>
        <v/>
      </c>
      <c r="J706" s="33">
        <f>N705-P705-O705</f>
        <v/>
      </c>
      <c r="K706" s="30">
        <f>IF(B706=12*PolicyTerm,J706,0)</f>
        <v/>
      </c>
      <c r="L706" s="33">
        <f>J706-K706</f>
        <v/>
      </c>
      <c r="M706" s="30">
        <f>IF(B706=0,PolicyCount,0)</f>
        <v/>
      </c>
      <c r="N706" s="33">
        <f>L706+M706</f>
        <v/>
      </c>
      <c r="O706" s="31">
        <f>N706*G706</f>
        <v/>
      </c>
      <c r="P706" s="33">
        <f>(N706-O706)*(1-(1-H706)^(1/12))</f>
        <v/>
      </c>
      <c r="Q706" s="34">
        <f>X705+Z705</f>
        <v/>
      </c>
      <c r="R706" s="29">
        <f>(1-LoadPremRate)*E706</f>
        <v/>
      </c>
      <c r="S706" s="34">
        <f>Q706+R706</f>
        <v/>
      </c>
      <c r="T706" s="29">
        <f>MaintFeeRateAnn/12*S706</f>
        <v/>
      </c>
      <c r="U706" s="29">
        <f>MAX(SumAssured-S706,0)</f>
        <v/>
      </c>
      <c r="V706" s="35">
        <f>CoiMultiple*G706</f>
        <v/>
      </c>
      <c r="W706" s="34">
        <f>V706*U706</f>
        <v/>
      </c>
      <c r="X706" s="34">
        <f>S706-T706-W706</f>
        <v/>
      </c>
      <c r="Y706" s="36">
        <f>EXP((Mu-0.5*Sigma^2)/12+Sigma*SQRT(1/12)*INDEX(NormRand,ScenID,A706+1))-1</f>
        <v/>
      </c>
      <c r="Z706" s="34">
        <f>Y706*X706</f>
        <v/>
      </c>
      <c r="AA706" s="34">
        <f>X706+0.5*Z706</f>
        <v/>
      </c>
      <c r="AB706" s="34">
        <f>Q706*J706</f>
        <v/>
      </c>
      <c r="AC706" s="34">
        <f>Q706*L706</f>
        <v/>
      </c>
      <c r="AD706" s="34">
        <f>S706*N706</f>
        <v/>
      </c>
      <c r="AE706" s="34">
        <f>E706*N706</f>
        <v/>
      </c>
      <c r="AF706" s="34">
        <f>R706*N706</f>
        <v/>
      </c>
      <c r="AG706" s="29">
        <f>MAX(SumAssured,AA706)</f>
        <v/>
      </c>
      <c r="AH706" s="34">
        <f>AG706*O706</f>
        <v/>
      </c>
      <c r="AI706" s="34">
        <f>AA706*O706</f>
        <v/>
      </c>
      <c r="AJ706" s="34">
        <f>AA706*P706</f>
        <v/>
      </c>
      <c r="AK706" s="34">
        <f>I706*AA706*P706</f>
        <v/>
      </c>
      <c r="AL706" s="34">
        <f>AJ706-AK706</f>
        <v/>
      </c>
      <c r="AM706" s="34">
        <f>Q706*K706</f>
        <v/>
      </c>
      <c r="AN706" s="34">
        <f>AH706+AL706+AM706</f>
        <v/>
      </c>
      <c r="AO706" s="34">
        <f>(AG706-AA706)*O706</f>
        <v/>
      </c>
      <c r="AP706" s="34">
        <f>W706*N706</f>
        <v/>
      </c>
      <c r="AQ706" s="34">
        <f>T706*N706</f>
        <v/>
      </c>
      <c r="AR706" s="34">
        <f>Z706*J707+0.5*Z706*(O706+P706)</f>
        <v/>
      </c>
      <c r="AS706" s="30">
        <f>(1+InflationRate)^(A706/12)</f>
        <v/>
      </c>
      <c r="AT706" s="29">
        <f>ExpenseAcq*M706+N706*ExpenseMaint/12*AS706</f>
        <v/>
      </c>
      <c r="AU706" s="29">
        <f>CommissionRate*AE706</f>
        <v/>
      </c>
      <c r="AV706" s="34">
        <f>AB707-AB706</f>
        <v/>
      </c>
      <c r="AW706" s="34">
        <f>AE706+AR706-AN706-AT706-AU706-AV706</f>
        <v/>
      </c>
      <c r="AX706" s="29">
        <f>LoadPremRate*E706*N706+AK706+AQ706-AU706-AT706</f>
        <v/>
      </c>
      <c r="AY706" s="34">
        <f>AP706-AO706</f>
        <v/>
      </c>
      <c r="AZ706" s="37">
        <f>(AW706-AX706-AY706)/MAX(1,ABS(AW706),ABS(AX706),ABS(AY706))</f>
        <v/>
      </c>
      <c r="BA706" s="37">
        <f>IF(OR(K706&gt;0,K707&gt;0),0,(AC707-(AC706+AF706-AQ706-AP706+AR706-AI706-AJ706-AM706))/MAX(1,ABS(AC706),ABS(AC707)))</f>
        <v/>
      </c>
      <c r="BB706" s="35">
        <f>(1+INDEX(DiscRateAnn,INT(A706/12)+1))^(1/12)-1</f>
        <v/>
      </c>
      <c r="BC706" s="31">
        <f>(1+BB706)^-A706</f>
        <v/>
      </c>
      <c r="BD706" s="34">
        <f>AW706*BC706</f>
        <v/>
      </c>
    </row>
    <row r="707">
      <c r="A707" s="27">
        <f>A706+1</f>
        <v/>
      </c>
      <c r="B707" s="28">
        <f>Duration0+A707</f>
        <v/>
      </c>
      <c r="C707" s="27">
        <f>INT(B707/12)</f>
        <v/>
      </c>
      <c r="D707" s="28">
        <f>AgeAtEntry+C707</f>
        <v/>
      </c>
      <c r="E707" s="29">
        <f>IF(PremiumType="SINGLE",IF(B707=0,PremiumPPInput,0),IF(B707&lt;12*PolicyTerm,PremiumPPInput,0))</f>
        <v/>
      </c>
      <c r="F707" s="30">
        <f>INDEX(MortRates,MATCH(MIN(D707,120),MortAges,0),MAX(MIN(C707,5),0)+1)</f>
        <v/>
      </c>
      <c r="G707" s="31">
        <f>1-(1-F707)^(1/12)</f>
        <v/>
      </c>
      <c r="H707" s="32">
        <f>MAX(LapseBase-LapseStep*C707,LapseFloor)</f>
        <v/>
      </c>
      <c r="I707" s="32">
        <f>IF(HasSurrCharge,INDEX(SurrRates,MIN(C707,SurrDurMax)+1,MATCH(SurrChargeID,SurrTypes,0)),0)</f>
        <v/>
      </c>
      <c r="J707" s="33">
        <f>N706-P706-O706</f>
        <v/>
      </c>
      <c r="K707" s="30">
        <f>IF(B707=12*PolicyTerm,J707,0)</f>
        <v/>
      </c>
      <c r="L707" s="33">
        <f>J707-K707</f>
        <v/>
      </c>
      <c r="M707" s="30">
        <f>IF(B707=0,PolicyCount,0)</f>
        <v/>
      </c>
      <c r="N707" s="33">
        <f>L707+M707</f>
        <v/>
      </c>
      <c r="O707" s="31">
        <f>N707*G707</f>
        <v/>
      </c>
      <c r="P707" s="33">
        <f>(N707-O707)*(1-(1-H707)^(1/12))</f>
        <v/>
      </c>
      <c r="Q707" s="34">
        <f>X706+Z706</f>
        <v/>
      </c>
      <c r="R707" s="29">
        <f>(1-LoadPremRate)*E707</f>
        <v/>
      </c>
      <c r="S707" s="34">
        <f>Q707+R707</f>
        <v/>
      </c>
      <c r="T707" s="29">
        <f>MaintFeeRateAnn/12*S707</f>
        <v/>
      </c>
      <c r="U707" s="29">
        <f>MAX(SumAssured-S707,0)</f>
        <v/>
      </c>
      <c r="V707" s="35">
        <f>CoiMultiple*G707</f>
        <v/>
      </c>
      <c r="W707" s="34">
        <f>V707*U707</f>
        <v/>
      </c>
      <c r="X707" s="34">
        <f>S707-T707-W707</f>
        <v/>
      </c>
      <c r="Y707" s="36">
        <f>EXP((Mu-0.5*Sigma^2)/12+Sigma*SQRT(1/12)*INDEX(NormRand,ScenID,A707+1))-1</f>
        <v/>
      </c>
      <c r="Z707" s="34">
        <f>Y707*X707</f>
        <v/>
      </c>
      <c r="AA707" s="34">
        <f>X707+0.5*Z707</f>
        <v/>
      </c>
      <c r="AB707" s="34">
        <f>Q707*J707</f>
        <v/>
      </c>
      <c r="AC707" s="34">
        <f>Q707*L707</f>
        <v/>
      </c>
      <c r="AD707" s="34">
        <f>S707*N707</f>
        <v/>
      </c>
      <c r="AE707" s="34">
        <f>E707*N707</f>
        <v/>
      </c>
      <c r="AF707" s="34">
        <f>R707*N707</f>
        <v/>
      </c>
      <c r="AG707" s="29">
        <f>MAX(SumAssured,AA707)</f>
        <v/>
      </c>
      <c r="AH707" s="34">
        <f>AG707*O707</f>
        <v/>
      </c>
      <c r="AI707" s="34">
        <f>AA707*O707</f>
        <v/>
      </c>
      <c r="AJ707" s="34">
        <f>AA707*P707</f>
        <v/>
      </c>
      <c r="AK707" s="34">
        <f>I707*AA707*P707</f>
        <v/>
      </c>
      <c r="AL707" s="34">
        <f>AJ707-AK707</f>
        <v/>
      </c>
      <c r="AM707" s="34">
        <f>Q707*K707</f>
        <v/>
      </c>
      <c r="AN707" s="34">
        <f>AH707+AL707+AM707</f>
        <v/>
      </c>
      <c r="AO707" s="34">
        <f>(AG707-AA707)*O707</f>
        <v/>
      </c>
      <c r="AP707" s="34">
        <f>W707*N707</f>
        <v/>
      </c>
      <c r="AQ707" s="34">
        <f>T707*N707</f>
        <v/>
      </c>
      <c r="AR707" s="34">
        <f>Z707*J708+0.5*Z707*(O707+P707)</f>
        <v/>
      </c>
      <c r="AS707" s="30">
        <f>(1+InflationRate)^(A707/12)</f>
        <v/>
      </c>
      <c r="AT707" s="29">
        <f>ExpenseAcq*M707+N707*ExpenseMaint/12*AS707</f>
        <v/>
      </c>
      <c r="AU707" s="29">
        <f>CommissionRate*AE707</f>
        <v/>
      </c>
      <c r="AV707" s="34">
        <f>AB708-AB707</f>
        <v/>
      </c>
      <c r="AW707" s="34">
        <f>AE707+AR707-AN707-AT707-AU707-AV707</f>
        <v/>
      </c>
      <c r="AX707" s="29">
        <f>LoadPremRate*E707*N707+AK707+AQ707-AU707-AT707</f>
        <v/>
      </c>
      <c r="AY707" s="34">
        <f>AP707-AO707</f>
        <v/>
      </c>
      <c r="AZ707" s="37">
        <f>(AW707-AX707-AY707)/MAX(1,ABS(AW707),ABS(AX707),ABS(AY707))</f>
        <v/>
      </c>
      <c r="BA707" s="37">
        <f>IF(OR(K707&gt;0,K708&gt;0),0,(AC708-(AC707+AF707-AQ707-AP707+AR707-AI707-AJ707-AM707))/MAX(1,ABS(AC707),ABS(AC708)))</f>
        <v/>
      </c>
      <c r="BB707" s="35">
        <f>(1+INDEX(DiscRateAnn,INT(A707/12)+1))^(1/12)-1</f>
        <v/>
      </c>
      <c r="BC707" s="31">
        <f>(1+BB707)^-A707</f>
        <v/>
      </c>
      <c r="BD707" s="34">
        <f>AW707*BC707</f>
        <v/>
      </c>
    </row>
    <row r="708">
      <c r="A708" s="27">
        <f>A707+1</f>
        <v/>
      </c>
      <c r="B708" s="28">
        <f>Duration0+A708</f>
        <v/>
      </c>
      <c r="C708" s="27">
        <f>INT(B708/12)</f>
        <v/>
      </c>
      <c r="D708" s="28">
        <f>AgeAtEntry+C708</f>
        <v/>
      </c>
      <c r="E708" s="29">
        <f>IF(PremiumType="SINGLE",IF(B708=0,PremiumPPInput,0),IF(B708&lt;12*PolicyTerm,PremiumPPInput,0))</f>
        <v/>
      </c>
      <c r="F708" s="30">
        <f>INDEX(MortRates,MATCH(MIN(D708,120),MortAges,0),MAX(MIN(C708,5),0)+1)</f>
        <v/>
      </c>
      <c r="G708" s="31">
        <f>1-(1-F708)^(1/12)</f>
        <v/>
      </c>
      <c r="H708" s="32">
        <f>MAX(LapseBase-LapseStep*C708,LapseFloor)</f>
        <v/>
      </c>
      <c r="I708" s="32">
        <f>IF(HasSurrCharge,INDEX(SurrRates,MIN(C708,SurrDurMax)+1,MATCH(SurrChargeID,SurrTypes,0)),0)</f>
        <v/>
      </c>
      <c r="J708" s="33">
        <f>N707-P707-O707</f>
        <v/>
      </c>
      <c r="K708" s="30">
        <f>IF(B708=12*PolicyTerm,J708,0)</f>
        <v/>
      </c>
      <c r="L708" s="33">
        <f>J708-K708</f>
        <v/>
      </c>
      <c r="M708" s="30">
        <f>IF(B708=0,PolicyCount,0)</f>
        <v/>
      </c>
      <c r="N708" s="33">
        <f>L708+M708</f>
        <v/>
      </c>
      <c r="O708" s="31">
        <f>N708*G708</f>
        <v/>
      </c>
      <c r="P708" s="33">
        <f>(N708-O708)*(1-(1-H708)^(1/12))</f>
        <v/>
      </c>
      <c r="Q708" s="34">
        <f>X707+Z707</f>
        <v/>
      </c>
      <c r="R708" s="29">
        <f>(1-LoadPremRate)*E708</f>
        <v/>
      </c>
      <c r="S708" s="34">
        <f>Q708+R708</f>
        <v/>
      </c>
      <c r="T708" s="29">
        <f>MaintFeeRateAnn/12*S708</f>
        <v/>
      </c>
      <c r="U708" s="29">
        <f>MAX(SumAssured-S708,0)</f>
        <v/>
      </c>
      <c r="V708" s="35">
        <f>CoiMultiple*G708</f>
        <v/>
      </c>
      <c r="W708" s="34">
        <f>V708*U708</f>
        <v/>
      </c>
      <c r="X708" s="34">
        <f>S708-T708-W708</f>
        <v/>
      </c>
      <c r="Y708" s="36">
        <f>EXP((Mu-0.5*Sigma^2)/12+Sigma*SQRT(1/12)*INDEX(NormRand,ScenID,A708+1))-1</f>
        <v/>
      </c>
      <c r="Z708" s="34">
        <f>Y708*X708</f>
        <v/>
      </c>
      <c r="AA708" s="34">
        <f>X708+0.5*Z708</f>
        <v/>
      </c>
      <c r="AB708" s="34">
        <f>Q708*J708</f>
        <v/>
      </c>
      <c r="AC708" s="34">
        <f>Q708*L708</f>
        <v/>
      </c>
      <c r="AD708" s="34">
        <f>S708*N708</f>
        <v/>
      </c>
      <c r="AE708" s="34">
        <f>E708*N708</f>
        <v/>
      </c>
      <c r="AF708" s="34">
        <f>R708*N708</f>
        <v/>
      </c>
      <c r="AG708" s="29">
        <f>MAX(SumAssured,AA708)</f>
        <v/>
      </c>
      <c r="AH708" s="34">
        <f>AG708*O708</f>
        <v/>
      </c>
      <c r="AI708" s="34">
        <f>AA708*O708</f>
        <v/>
      </c>
      <c r="AJ708" s="34">
        <f>AA708*P708</f>
        <v/>
      </c>
      <c r="AK708" s="34">
        <f>I708*AA708*P708</f>
        <v/>
      </c>
      <c r="AL708" s="34">
        <f>AJ708-AK708</f>
        <v/>
      </c>
      <c r="AM708" s="34">
        <f>Q708*K708</f>
        <v/>
      </c>
      <c r="AN708" s="34">
        <f>AH708+AL708+AM708</f>
        <v/>
      </c>
      <c r="AO708" s="34">
        <f>(AG708-AA708)*O708</f>
        <v/>
      </c>
      <c r="AP708" s="34">
        <f>W708*N708</f>
        <v/>
      </c>
      <c r="AQ708" s="34">
        <f>T708*N708</f>
        <v/>
      </c>
      <c r="AR708" s="34">
        <f>Z708*J709+0.5*Z708*(O708+P708)</f>
        <v/>
      </c>
      <c r="AS708" s="30">
        <f>(1+InflationRate)^(A708/12)</f>
        <v/>
      </c>
      <c r="AT708" s="29">
        <f>ExpenseAcq*M708+N708*ExpenseMaint/12*AS708</f>
        <v/>
      </c>
      <c r="AU708" s="29">
        <f>CommissionRate*AE708</f>
        <v/>
      </c>
      <c r="AV708" s="34">
        <f>AB709-AB708</f>
        <v/>
      </c>
      <c r="AW708" s="34">
        <f>AE708+AR708-AN708-AT708-AU708-AV708</f>
        <v/>
      </c>
      <c r="AX708" s="29">
        <f>LoadPremRate*E708*N708+AK708+AQ708-AU708-AT708</f>
        <v/>
      </c>
      <c r="AY708" s="34">
        <f>AP708-AO708</f>
        <v/>
      </c>
      <c r="AZ708" s="37">
        <f>(AW708-AX708-AY708)/MAX(1,ABS(AW708),ABS(AX708),ABS(AY708))</f>
        <v/>
      </c>
      <c r="BA708" s="37">
        <f>IF(OR(K708&gt;0,K709&gt;0),0,(AC709-(AC708+AF708-AQ708-AP708+AR708-AI708-AJ708-AM708))/MAX(1,ABS(AC708),ABS(AC709)))</f>
        <v/>
      </c>
      <c r="BB708" s="35">
        <f>(1+INDEX(DiscRateAnn,INT(A708/12)+1))^(1/12)-1</f>
        <v/>
      </c>
      <c r="BC708" s="31">
        <f>(1+BB708)^-A708</f>
        <v/>
      </c>
      <c r="BD708" s="34">
        <f>AW708*BC708</f>
        <v/>
      </c>
    </row>
    <row r="709">
      <c r="A709" s="27">
        <f>A708+1</f>
        <v/>
      </c>
      <c r="B709" s="28">
        <f>Duration0+A709</f>
        <v/>
      </c>
      <c r="C709" s="27">
        <f>INT(B709/12)</f>
        <v/>
      </c>
      <c r="D709" s="28">
        <f>AgeAtEntry+C709</f>
        <v/>
      </c>
      <c r="E709" s="29">
        <f>IF(PremiumType="SINGLE",IF(B709=0,PremiumPPInput,0),IF(B709&lt;12*PolicyTerm,PremiumPPInput,0))</f>
        <v/>
      </c>
      <c r="F709" s="30">
        <f>INDEX(MortRates,MATCH(MIN(D709,120),MortAges,0),MAX(MIN(C709,5),0)+1)</f>
        <v/>
      </c>
      <c r="G709" s="31">
        <f>1-(1-F709)^(1/12)</f>
        <v/>
      </c>
      <c r="H709" s="32">
        <f>MAX(LapseBase-LapseStep*C709,LapseFloor)</f>
        <v/>
      </c>
      <c r="I709" s="32">
        <f>IF(HasSurrCharge,INDEX(SurrRates,MIN(C709,SurrDurMax)+1,MATCH(SurrChargeID,SurrTypes,0)),0)</f>
        <v/>
      </c>
      <c r="J709" s="33">
        <f>N708-P708-O708</f>
        <v/>
      </c>
      <c r="K709" s="30">
        <f>IF(B709=12*PolicyTerm,J709,0)</f>
        <v/>
      </c>
      <c r="L709" s="33">
        <f>J709-K709</f>
        <v/>
      </c>
      <c r="M709" s="30">
        <f>IF(B709=0,PolicyCount,0)</f>
        <v/>
      </c>
      <c r="N709" s="33">
        <f>L709+M709</f>
        <v/>
      </c>
      <c r="O709" s="31">
        <f>N709*G709</f>
        <v/>
      </c>
      <c r="P709" s="33">
        <f>(N709-O709)*(1-(1-H709)^(1/12))</f>
        <v/>
      </c>
      <c r="Q709" s="34">
        <f>X708+Z708</f>
        <v/>
      </c>
      <c r="R709" s="29">
        <f>(1-LoadPremRate)*E709</f>
        <v/>
      </c>
      <c r="S709" s="34">
        <f>Q709+R709</f>
        <v/>
      </c>
      <c r="T709" s="29">
        <f>MaintFeeRateAnn/12*S709</f>
        <v/>
      </c>
      <c r="U709" s="29">
        <f>MAX(SumAssured-S709,0)</f>
        <v/>
      </c>
      <c r="V709" s="35">
        <f>CoiMultiple*G709</f>
        <v/>
      </c>
      <c r="W709" s="34">
        <f>V709*U709</f>
        <v/>
      </c>
      <c r="X709" s="34">
        <f>S709-T709-W709</f>
        <v/>
      </c>
      <c r="Y709" s="36">
        <f>EXP((Mu-0.5*Sigma^2)/12+Sigma*SQRT(1/12)*INDEX(NormRand,ScenID,A709+1))-1</f>
        <v/>
      </c>
      <c r="Z709" s="34">
        <f>Y709*X709</f>
        <v/>
      </c>
      <c r="AA709" s="34">
        <f>X709+0.5*Z709</f>
        <v/>
      </c>
      <c r="AB709" s="34">
        <f>Q709*J709</f>
        <v/>
      </c>
      <c r="AC709" s="34">
        <f>Q709*L709</f>
        <v/>
      </c>
      <c r="AD709" s="34">
        <f>S709*N709</f>
        <v/>
      </c>
      <c r="AE709" s="34">
        <f>E709*N709</f>
        <v/>
      </c>
      <c r="AF709" s="34">
        <f>R709*N709</f>
        <v/>
      </c>
      <c r="AG709" s="29">
        <f>MAX(SumAssured,AA709)</f>
        <v/>
      </c>
      <c r="AH709" s="34">
        <f>AG709*O709</f>
        <v/>
      </c>
      <c r="AI709" s="34">
        <f>AA709*O709</f>
        <v/>
      </c>
      <c r="AJ709" s="34">
        <f>AA709*P709</f>
        <v/>
      </c>
      <c r="AK709" s="34">
        <f>I709*AA709*P709</f>
        <v/>
      </c>
      <c r="AL709" s="34">
        <f>AJ709-AK709</f>
        <v/>
      </c>
      <c r="AM709" s="34">
        <f>Q709*K709</f>
        <v/>
      </c>
      <c r="AN709" s="34">
        <f>AH709+AL709+AM709</f>
        <v/>
      </c>
      <c r="AO709" s="34">
        <f>(AG709-AA709)*O709</f>
        <v/>
      </c>
      <c r="AP709" s="34">
        <f>W709*N709</f>
        <v/>
      </c>
      <c r="AQ709" s="34">
        <f>T709*N709</f>
        <v/>
      </c>
      <c r="AR709" s="34">
        <f>Z709*J710+0.5*Z709*(O709+P709)</f>
        <v/>
      </c>
      <c r="AS709" s="30">
        <f>(1+InflationRate)^(A709/12)</f>
        <v/>
      </c>
      <c r="AT709" s="29">
        <f>ExpenseAcq*M709+N709*ExpenseMaint/12*AS709</f>
        <v/>
      </c>
      <c r="AU709" s="29">
        <f>CommissionRate*AE709</f>
        <v/>
      </c>
      <c r="AV709" s="34">
        <f>AB710-AB709</f>
        <v/>
      </c>
      <c r="AW709" s="34">
        <f>AE709+AR709-AN709-AT709-AU709-AV709</f>
        <v/>
      </c>
      <c r="AX709" s="29">
        <f>LoadPremRate*E709*N709+AK709+AQ709-AU709-AT709</f>
        <v/>
      </c>
      <c r="AY709" s="34">
        <f>AP709-AO709</f>
        <v/>
      </c>
      <c r="AZ709" s="37">
        <f>(AW709-AX709-AY709)/MAX(1,ABS(AW709),ABS(AX709),ABS(AY709))</f>
        <v/>
      </c>
      <c r="BA709" s="37">
        <f>IF(OR(K709&gt;0,K710&gt;0),0,(AC710-(AC709+AF709-AQ709-AP709+AR709-AI709-AJ709-AM709))/MAX(1,ABS(AC709),ABS(AC710)))</f>
        <v/>
      </c>
      <c r="BB709" s="35">
        <f>(1+INDEX(DiscRateAnn,INT(A709/12)+1))^(1/12)-1</f>
        <v/>
      </c>
      <c r="BC709" s="31">
        <f>(1+BB709)^-A709</f>
        <v/>
      </c>
      <c r="BD709" s="34">
        <f>AW709*BC709</f>
        <v/>
      </c>
    </row>
    <row r="710">
      <c r="A710" s="27">
        <f>A709+1</f>
        <v/>
      </c>
      <c r="B710" s="28">
        <f>Duration0+A710</f>
        <v/>
      </c>
      <c r="C710" s="27">
        <f>INT(B710/12)</f>
        <v/>
      </c>
      <c r="D710" s="28">
        <f>AgeAtEntry+C710</f>
        <v/>
      </c>
      <c r="E710" s="29">
        <f>IF(PremiumType="SINGLE",IF(B710=0,PremiumPPInput,0),IF(B710&lt;12*PolicyTerm,PremiumPPInput,0))</f>
        <v/>
      </c>
      <c r="F710" s="30">
        <f>INDEX(MortRates,MATCH(MIN(D710,120),MortAges,0),MAX(MIN(C710,5),0)+1)</f>
        <v/>
      </c>
      <c r="G710" s="31">
        <f>1-(1-F710)^(1/12)</f>
        <v/>
      </c>
      <c r="H710" s="32">
        <f>MAX(LapseBase-LapseStep*C710,LapseFloor)</f>
        <v/>
      </c>
      <c r="I710" s="32">
        <f>IF(HasSurrCharge,INDEX(SurrRates,MIN(C710,SurrDurMax)+1,MATCH(SurrChargeID,SurrTypes,0)),0)</f>
        <v/>
      </c>
      <c r="J710" s="33">
        <f>N709-P709-O709</f>
        <v/>
      </c>
      <c r="K710" s="30">
        <f>IF(B710=12*PolicyTerm,J710,0)</f>
        <v/>
      </c>
      <c r="L710" s="33">
        <f>J710-K710</f>
        <v/>
      </c>
      <c r="M710" s="30">
        <f>IF(B710=0,PolicyCount,0)</f>
        <v/>
      </c>
      <c r="N710" s="33">
        <f>L710+M710</f>
        <v/>
      </c>
      <c r="O710" s="31">
        <f>N710*G710</f>
        <v/>
      </c>
      <c r="P710" s="33">
        <f>(N710-O710)*(1-(1-H710)^(1/12))</f>
        <v/>
      </c>
      <c r="Q710" s="34">
        <f>X709+Z709</f>
        <v/>
      </c>
      <c r="R710" s="29">
        <f>(1-LoadPremRate)*E710</f>
        <v/>
      </c>
      <c r="S710" s="34">
        <f>Q710+R710</f>
        <v/>
      </c>
      <c r="T710" s="29">
        <f>MaintFeeRateAnn/12*S710</f>
        <v/>
      </c>
      <c r="U710" s="29">
        <f>MAX(SumAssured-S710,0)</f>
        <v/>
      </c>
      <c r="V710" s="35">
        <f>CoiMultiple*G710</f>
        <v/>
      </c>
      <c r="W710" s="34">
        <f>V710*U710</f>
        <v/>
      </c>
      <c r="X710" s="34">
        <f>S710-T710-W710</f>
        <v/>
      </c>
      <c r="Y710" s="36">
        <f>EXP((Mu-0.5*Sigma^2)/12+Sigma*SQRT(1/12)*INDEX(NormRand,ScenID,A710+1))-1</f>
        <v/>
      </c>
      <c r="Z710" s="34">
        <f>Y710*X710</f>
        <v/>
      </c>
      <c r="AA710" s="34">
        <f>X710+0.5*Z710</f>
        <v/>
      </c>
      <c r="AB710" s="34">
        <f>Q710*J710</f>
        <v/>
      </c>
      <c r="AC710" s="34">
        <f>Q710*L710</f>
        <v/>
      </c>
      <c r="AD710" s="34">
        <f>S710*N710</f>
        <v/>
      </c>
      <c r="AE710" s="34">
        <f>E710*N710</f>
        <v/>
      </c>
      <c r="AF710" s="34">
        <f>R710*N710</f>
        <v/>
      </c>
      <c r="AG710" s="29">
        <f>MAX(SumAssured,AA710)</f>
        <v/>
      </c>
      <c r="AH710" s="34">
        <f>AG710*O710</f>
        <v/>
      </c>
      <c r="AI710" s="34">
        <f>AA710*O710</f>
        <v/>
      </c>
      <c r="AJ710" s="34">
        <f>AA710*P710</f>
        <v/>
      </c>
      <c r="AK710" s="34">
        <f>I710*AA710*P710</f>
        <v/>
      </c>
      <c r="AL710" s="34">
        <f>AJ710-AK710</f>
        <v/>
      </c>
      <c r="AM710" s="34">
        <f>Q710*K710</f>
        <v/>
      </c>
      <c r="AN710" s="34">
        <f>AH710+AL710+AM710</f>
        <v/>
      </c>
      <c r="AO710" s="34">
        <f>(AG710-AA710)*O710</f>
        <v/>
      </c>
      <c r="AP710" s="34">
        <f>W710*N710</f>
        <v/>
      </c>
      <c r="AQ710" s="34">
        <f>T710*N710</f>
        <v/>
      </c>
      <c r="AR710" s="34">
        <f>Z710*J711+0.5*Z710*(O710+P710)</f>
        <v/>
      </c>
      <c r="AS710" s="30">
        <f>(1+InflationRate)^(A710/12)</f>
        <v/>
      </c>
      <c r="AT710" s="29">
        <f>ExpenseAcq*M710+N710*ExpenseMaint/12*AS710</f>
        <v/>
      </c>
      <c r="AU710" s="29">
        <f>CommissionRate*AE710</f>
        <v/>
      </c>
      <c r="AV710" s="34">
        <f>AB711-AB710</f>
        <v/>
      </c>
      <c r="AW710" s="34">
        <f>AE710+AR710-AN710-AT710-AU710-AV710</f>
        <v/>
      </c>
      <c r="AX710" s="29">
        <f>LoadPremRate*E710*N710+AK710+AQ710-AU710-AT710</f>
        <v/>
      </c>
      <c r="AY710" s="34">
        <f>AP710-AO710</f>
        <v/>
      </c>
      <c r="AZ710" s="37">
        <f>(AW710-AX710-AY710)/MAX(1,ABS(AW710),ABS(AX710),ABS(AY710))</f>
        <v/>
      </c>
      <c r="BA710" s="37">
        <f>IF(OR(K710&gt;0,K711&gt;0),0,(AC711-(AC710+AF710-AQ710-AP710+AR710-AI710-AJ710-AM710))/MAX(1,ABS(AC710),ABS(AC711)))</f>
        <v/>
      </c>
      <c r="BB710" s="35">
        <f>(1+INDEX(DiscRateAnn,INT(A710/12)+1))^(1/12)-1</f>
        <v/>
      </c>
      <c r="BC710" s="31">
        <f>(1+BB710)^-A710</f>
        <v/>
      </c>
      <c r="BD710" s="34">
        <f>AW710*BC710</f>
        <v/>
      </c>
    </row>
    <row r="711">
      <c r="A711" s="27">
        <f>A710+1</f>
        <v/>
      </c>
      <c r="B711" s="28">
        <f>Duration0+A711</f>
        <v/>
      </c>
      <c r="C711" s="27">
        <f>INT(B711/12)</f>
        <v/>
      </c>
      <c r="D711" s="28">
        <f>AgeAtEntry+C711</f>
        <v/>
      </c>
      <c r="E711" s="29">
        <f>IF(PremiumType="SINGLE",IF(B711=0,PremiumPPInput,0),IF(B711&lt;12*PolicyTerm,PremiumPPInput,0))</f>
        <v/>
      </c>
      <c r="F711" s="30">
        <f>INDEX(MortRates,MATCH(MIN(D711,120),MortAges,0),MAX(MIN(C711,5),0)+1)</f>
        <v/>
      </c>
      <c r="G711" s="31">
        <f>1-(1-F711)^(1/12)</f>
        <v/>
      </c>
      <c r="H711" s="32">
        <f>MAX(LapseBase-LapseStep*C711,LapseFloor)</f>
        <v/>
      </c>
      <c r="I711" s="32">
        <f>IF(HasSurrCharge,INDEX(SurrRates,MIN(C711,SurrDurMax)+1,MATCH(SurrChargeID,SurrTypes,0)),0)</f>
        <v/>
      </c>
      <c r="J711" s="33">
        <f>N710-P710-O710</f>
        <v/>
      </c>
      <c r="K711" s="30">
        <f>IF(B711=12*PolicyTerm,J711,0)</f>
        <v/>
      </c>
      <c r="L711" s="33">
        <f>J711-K711</f>
        <v/>
      </c>
      <c r="M711" s="30">
        <f>IF(B711=0,PolicyCount,0)</f>
        <v/>
      </c>
      <c r="N711" s="33">
        <f>L711+M711</f>
        <v/>
      </c>
      <c r="O711" s="31">
        <f>N711*G711</f>
        <v/>
      </c>
      <c r="P711" s="33">
        <f>(N711-O711)*(1-(1-H711)^(1/12))</f>
        <v/>
      </c>
      <c r="Q711" s="34">
        <f>X710+Z710</f>
        <v/>
      </c>
      <c r="R711" s="29">
        <f>(1-LoadPremRate)*E711</f>
        <v/>
      </c>
      <c r="S711" s="34">
        <f>Q711+R711</f>
        <v/>
      </c>
      <c r="T711" s="29">
        <f>MaintFeeRateAnn/12*S711</f>
        <v/>
      </c>
      <c r="U711" s="29">
        <f>MAX(SumAssured-S711,0)</f>
        <v/>
      </c>
      <c r="V711" s="35">
        <f>CoiMultiple*G711</f>
        <v/>
      </c>
      <c r="W711" s="34">
        <f>V711*U711</f>
        <v/>
      </c>
      <c r="X711" s="34">
        <f>S711-T711-W711</f>
        <v/>
      </c>
      <c r="Y711" s="36">
        <f>EXP((Mu-0.5*Sigma^2)/12+Sigma*SQRT(1/12)*INDEX(NormRand,ScenID,A711+1))-1</f>
        <v/>
      </c>
      <c r="Z711" s="34">
        <f>Y711*X711</f>
        <v/>
      </c>
      <c r="AA711" s="34">
        <f>X711+0.5*Z711</f>
        <v/>
      </c>
      <c r="AB711" s="34">
        <f>Q711*J711</f>
        <v/>
      </c>
      <c r="AC711" s="34">
        <f>Q711*L711</f>
        <v/>
      </c>
      <c r="AD711" s="34">
        <f>S711*N711</f>
        <v/>
      </c>
      <c r="AE711" s="34">
        <f>E711*N711</f>
        <v/>
      </c>
      <c r="AF711" s="34">
        <f>R711*N711</f>
        <v/>
      </c>
      <c r="AG711" s="29">
        <f>MAX(SumAssured,AA711)</f>
        <v/>
      </c>
      <c r="AH711" s="34">
        <f>AG711*O711</f>
        <v/>
      </c>
      <c r="AI711" s="34">
        <f>AA711*O711</f>
        <v/>
      </c>
      <c r="AJ711" s="34">
        <f>AA711*P711</f>
        <v/>
      </c>
      <c r="AK711" s="34">
        <f>I711*AA711*P711</f>
        <v/>
      </c>
      <c r="AL711" s="34">
        <f>AJ711-AK711</f>
        <v/>
      </c>
      <c r="AM711" s="34">
        <f>Q711*K711</f>
        <v/>
      </c>
      <c r="AN711" s="34">
        <f>AH711+AL711+AM711</f>
        <v/>
      </c>
      <c r="AO711" s="34">
        <f>(AG711-AA711)*O711</f>
        <v/>
      </c>
      <c r="AP711" s="34">
        <f>W711*N711</f>
        <v/>
      </c>
      <c r="AQ711" s="34">
        <f>T711*N711</f>
        <v/>
      </c>
      <c r="AR711" s="34">
        <f>Z711*J712+0.5*Z711*(O711+P711)</f>
        <v/>
      </c>
      <c r="AS711" s="30">
        <f>(1+InflationRate)^(A711/12)</f>
        <v/>
      </c>
      <c r="AT711" s="29">
        <f>ExpenseAcq*M711+N711*ExpenseMaint/12*AS711</f>
        <v/>
      </c>
      <c r="AU711" s="29">
        <f>CommissionRate*AE711</f>
        <v/>
      </c>
      <c r="AV711" s="34">
        <f>AB712-AB711</f>
        <v/>
      </c>
      <c r="AW711" s="34">
        <f>AE711+AR711-AN711-AT711-AU711-AV711</f>
        <v/>
      </c>
      <c r="AX711" s="29">
        <f>LoadPremRate*E711*N711+AK711+AQ711-AU711-AT711</f>
        <v/>
      </c>
      <c r="AY711" s="34">
        <f>AP711-AO711</f>
        <v/>
      </c>
      <c r="AZ711" s="37">
        <f>(AW711-AX711-AY711)/MAX(1,ABS(AW711),ABS(AX711),ABS(AY711))</f>
        <v/>
      </c>
      <c r="BA711" s="37">
        <f>IF(OR(K711&gt;0,K712&gt;0),0,(AC712-(AC711+AF711-AQ711-AP711+AR711-AI711-AJ711-AM711))/MAX(1,ABS(AC711),ABS(AC712)))</f>
        <v/>
      </c>
      <c r="BB711" s="35">
        <f>(1+INDEX(DiscRateAnn,INT(A711/12)+1))^(1/12)-1</f>
        <v/>
      </c>
      <c r="BC711" s="31">
        <f>(1+BB711)^-A711</f>
        <v/>
      </c>
      <c r="BD711" s="34">
        <f>AW711*BC711</f>
        <v/>
      </c>
    </row>
    <row r="712">
      <c r="A712" s="27">
        <f>A711+1</f>
        <v/>
      </c>
      <c r="B712" s="28">
        <f>Duration0+A712</f>
        <v/>
      </c>
      <c r="C712" s="27">
        <f>INT(B712/12)</f>
        <v/>
      </c>
      <c r="D712" s="28">
        <f>AgeAtEntry+C712</f>
        <v/>
      </c>
      <c r="E712" s="29">
        <f>IF(PremiumType="SINGLE",IF(B712=0,PremiumPPInput,0),IF(B712&lt;12*PolicyTerm,PremiumPPInput,0))</f>
        <v/>
      </c>
      <c r="F712" s="30">
        <f>INDEX(MortRates,MATCH(MIN(D712,120),MortAges,0),MAX(MIN(C712,5),0)+1)</f>
        <v/>
      </c>
      <c r="G712" s="31">
        <f>1-(1-F712)^(1/12)</f>
        <v/>
      </c>
      <c r="H712" s="32">
        <f>MAX(LapseBase-LapseStep*C712,LapseFloor)</f>
        <v/>
      </c>
      <c r="I712" s="32">
        <f>IF(HasSurrCharge,INDEX(SurrRates,MIN(C712,SurrDurMax)+1,MATCH(SurrChargeID,SurrTypes,0)),0)</f>
        <v/>
      </c>
      <c r="J712" s="33">
        <f>N711-P711-O711</f>
        <v/>
      </c>
      <c r="K712" s="30">
        <f>IF(B712=12*PolicyTerm,J712,0)</f>
        <v/>
      </c>
      <c r="L712" s="33">
        <f>J712-K712</f>
        <v/>
      </c>
      <c r="M712" s="30">
        <f>IF(B712=0,PolicyCount,0)</f>
        <v/>
      </c>
      <c r="N712" s="33">
        <f>L712+M712</f>
        <v/>
      </c>
      <c r="O712" s="31">
        <f>N712*G712</f>
        <v/>
      </c>
      <c r="P712" s="33">
        <f>(N712-O712)*(1-(1-H712)^(1/12))</f>
        <v/>
      </c>
      <c r="Q712" s="34">
        <f>X711+Z711</f>
        <v/>
      </c>
      <c r="R712" s="29">
        <f>(1-LoadPremRate)*E712</f>
        <v/>
      </c>
      <c r="S712" s="34">
        <f>Q712+R712</f>
        <v/>
      </c>
      <c r="T712" s="29">
        <f>MaintFeeRateAnn/12*S712</f>
        <v/>
      </c>
      <c r="U712" s="29">
        <f>MAX(SumAssured-S712,0)</f>
        <v/>
      </c>
      <c r="V712" s="35">
        <f>CoiMultiple*G712</f>
        <v/>
      </c>
      <c r="W712" s="34">
        <f>V712*U712</f>
        <v/>
      </c>
      <c r="X712" s="34">
        <f>S712-T712-W712</f>
        <v/>
      </c>
      <c r="Y712" s="36">
        <f>EXP((Mu-0.5*Sigma^2)/12+Sigma*SQRT(1/12)*INDEX(NormRand,ScenID,A712+1))-1</f>
        <v/>
      </c>
      <c r="Z712" s="34">
        <f>Y712*X712</f>
        <v/>
      </c>
      <c r="AA712" s="34">
        <f>X712+0.5*Z712</f>
        <v/>
      </c>
      <c r="AB712" s="34">
        <f>Q712*J712</f>
        <v/>
      </c>
      <c r="AC712" s="34">
        <f>Q712*L712</f>
        <v/>
      </c>
      <c r="AD712" s="34">
        <f>S712*N712</f>
        <v/>
      </c>
      <c r="AE712" s="34">
        <f>E712*N712</f>
        <v/>
      </c>
      <c r="AF712" s="34">
        <f>R712*N712</f>
        <v/>
      </c>
      <c r="AG712" s="29">
        <f>MAX(SumAssured,AA712)</f>
        <v/>
      </c>
      <c r="AH712" s="34">
        <f>AG712*O712</f>
        <v/>
      </c>
      <c r="AI712" s="34">
        <f>AA712*O712</f>
        <v/>
      </c>
      <c r="AJ712" s="34">
        <f>AA712*P712</f>
        <v/>
      </c>
      <c r="AK712" s="34">
        <f>I712*AA712*P712</f>
        <v/>
      </c>
      <c r="AL712" s="34">
        <f>AJ712-AK712</f>
        <v/>
      </c>
      <c r="AM712" s="34">
        <f>Q712*K712</f>
        <v/>
      </c>
      <c r="AN712" s="34">
        <f>AH712+AL712+AM712</f>
        <v/>
      </c>
      <c r="AO712" s="34">
        <f>(AG712-AA712)*O712</f>
        <v/>
      </c>
      <c r="AP712" s="34">
        <f>W712*N712</f>
        <v/>
      </c>
      <c r="AQ712" s="34">
        <f>T712*N712</f>
        <v/>
      </c>
      <c r="AR712" s="34">
        <f>Z712*J713+0.5*Z712*(O712+P712)</f>
        <v/>
      </c>
      <c r="AS712" s="30">
        <f>(1+InflationRate)^(A712/12)</f>
        <v/>
      </c>
      <c r="AT712" s="29">
        <f>ExpenseAcq*M712+N712*ExpenseMaint/12*AS712</f>
        <v/>
      </c>
      <c r="AU712" s="29">
        <f>CommissionRate*AE712</f>
        <v/>
      </c>
      <c r="AV712" s="34">
        <f>AB713-AB712</f>
        <v/>
      </c>
      <c r="AW712" s="34">
        <f>AE712+AR712-AN712-AT712-AU712-AV712</f>
        <v/>
      </c>
      <c r="AX712" s="29">
        <f>LoadPremRate*E712*N712+AK712+AQ712-AU712-AT712</f>
        <v/>
      </c>
      <c r="AY712" s="34">
        <f>AP712-AO712</f>
        <v/>
      </c>
      <c r="AZ712" s="37">
        <f>(AW712-AX712-AY712)/MAX(1,ABS(AW712),ABS(AX712),ABS(AY712))</f>
        <v/>
      </c>
      <c r="BA712" s="37">
        <f>IF(OR(K712&gt;0,K713&gt;0),0,(AC713-(AC712+AF712-AQ712-AP712+AR712-AI712-AJ712-AM712))/MAX(1,ABS(AC712),ABS(AC713)))</f>
        <v/>
      </c>
      <c r="BB712" s="35">
        <f>(1+INDEX(DiscRateAnn,INT(A712/12)+1))^(1/12)-1</f>
        <v/>
      </c>
      <c r="BC712" s="31">
        <f>(1+BB712)^-A712</f>
        <v/>
      </c>
      <c r="BD712" s="34">
        <f>AW712*BC712</f>
        <v/>
      </c>
    </row>
    <row r="713">
      <c r="A713" s="27">
        <f>A712+1</f>
        <v/>
      </c>
      <c r="B713" s="28">
        <f>Duration0+A713</f>
        <v/>
      </c>
      <c r="C713" s="27">
        <f>INT(B713/12)</f>
        <v/>
      </c>
      <c r="D713" s="28">
        <f>AgeAtEntry+C713</f>
        <v/>
      </c>
      <c r="E713" s="29">
        <f>IF(PremiumType="SINGLE",IF(B713=0,PremiumPPInput,0),IF(B713&lt;12*PolicyTerm,PremiumPPInput,0))</f>
        <v/>
      </c>
      <c r="F713" s="30">
        <f>INDEX(MortRates,MATCH(MIN(D713,120),MortAges,0),MAX(MIN(C713,5),0)+1)</f>
        <v/>
      </c>
      <c r="G713" s="31">
        <f>1-(1-F713)^(1/12)</f>
        <v/>
      </c>
      <c r="H713" s="32">
        <f>MAX(LapseBase-LapseStep*C713,LapseFloor)</f>
        <v/>
      </c>
      <c r="I713" s="32">
        <f>IF(HasSurrCharge,INDEX(SurrRates,MIN(C713,SurrDurMax)+1,MATCH(SurrChargeID,SurrTypes,0)),0)</f>
        <v/>
      </c>
      <c r="J713" s="33">
        <f>N712-P712-O712</f>
        <v/>
      </c>
      <c r="K713" s="30">
        <f>IF(B713=12*PolicyTerm,J713,0)</f>
        <v/>
      </c>
      <c r="L713" s="33">
        <f>J713-K713</f>
        <v/>
      </c>
      <c r="M713" s="30">
        <f>IF(B713=0,PolicyCount,0)</f>
        <v/>
      </c>
      <c r="N713" s="33">
        <f>L713+M713</f>
        <v/>
      </c>
      <c r="O713" s="31">
        <f>N713*G713</f>
        <v/>
      </c>
      <c r="P713" s="33">
        <f>(N713-O713)*(1-(1-H713)^(1/12))</f>
        <v/>
      </c>
      <c r="Q713" s="34">
        <f>X712+Z712</f>
        <v/>
      </c>
      <c r="R713" s="29">
        <f>(1-LoadPremRate)*E713</f>
        <v/>
      </c>
      <c r="S713" s="34">
        <f>Q713+R713</f>
        <v/>
      </c>
      <c r="T713" s="29">
        <f>MaintFeeRateAnn/12*S713</f>
        <v/>
      </c>
      <c r="U713" s="29">
        <f>MAX(SumAssured-S713,0)</f>
        <v/>
      </c>
      <c r="V713" s="35">
        <f>CoiMultiple*G713</f>
        <v/>
      </c>
      <c r="W713" s="34">
        <f>V713*U713</f>
        <v/>
      </c>
      <c r="X713" s="34">
        <f>S713-T713-W713</f>
        <v/>
      </c>
      <c r="Y713" s="36">
        <f>EXP((Mu-0.5*Sigma^2)/12+Sigma*SQRT(1/12)*INDEX(NormRand,ScenID,A713+1))-1</f>
        <v/>
      </c>
      <c r="Z713" s="34">
        <f>Y713*X713</f>
        <v/>
      </c>
      <c r="AA713" s="34">
        <f>X713+0.5*Z713</f>
        <v/>
      </c>
      <c r="AB713" s="34">
        <f>Q713*J713</f>
        <v/>
      </c>
      <c r="AC713" s="34">
        <f>Q713*L713</f>
        <v/>
      </c>
      <c r="AD713" s="34">
        <f>S713*N713</f>
        <v/>
      </c>
      <c r="AE713" s="34">
        <f>E713*N713</f>
        <v/>
      </c>
      <c r="AF713" s="34">
        <f>R713*N713</f>
        <v/>
      </c>
      <c r="AG713" s="29">
        <f>MAX(SumAssured,AA713)</f>
        <v/>
      </c>
      <c r="AH713" s="34">
        <f>AG713*O713</f>
        <v/>
      </c>
      <c r="AI713" s="34">
        <f>AA713*O713</f>
        <v/>
      </c>
      <c r="AJ713" s="34">
        <f>AA713*P713</f>
        <v/>
      </c>
      <c r="AK713" s="34">
        <f>I713*AA713*P713</f>
        <v/>
      </c>
      <c r="AL713" s="34">
        <f>AJ713-AK713</f>
        <v/>
      </c>
      <c r="AM713" s="34">
        <f>Q713*K713</f>
        <v/>
      </c>
      <c r="AN713" s="34">
        <f>AH713+AL713+AM713</f>
        <v/>
      </c>
      <c r="AO713" s="34">
        <f>(AG713-AA713)*O713</f>
        <v/>
      </c>
      <c r="AP713" s="34">
        <f>W713*N713</f>
        <v/>
      </c>
      <c r="AQ713" s="34">
        <f>T713*N713</f>
        <v/>
      </c>
      <c r="AR713" s="34">
        <f>Z713*J714+0.5*Z713*(O713+P713)</f>
        <v/>
      </c>
      <c r="AS713" s="30">
        <f>(1+InflationRate)^(A713/12)</f>
        <v/>
      </c>
      <c r="AT713" s="29">
        <f>ExpenseAcq*M713+N713*ExpenseMaint/12*AS713</f>
        <v/>
      </c>
      <c r="AU713" s="29">
        <f>CommissionRate*AE713</f>
        <v/>
      </c>
      <c r="AV713" s="34">
        <f>AB714-AB713</f>
        <v/>
      </c>
      <c r="AW713" s="34">
        <f>AE713+AR713-AN713-AT713-AU713-AV713</f>
        <v/>
      </c>
      <c r="AX713" s="29">
        <f>LoadPremRate*E713*N713+AK713+AQ713-AU713-AT713</f>
        <v/>
      </c>
      <c r="AY713" s="34">
        <f>AP713-AO713</f>
        <v/>
      </c>
      <c r="AZ713" s="37">
        <f>(AW713-AX713-AY713)/MAX(1,ABS(AW713),ABS(AX713),ABS(AY713))</f>
        <v/>
      </c>
      <c r="BA713" s="37">
        <f>IF(OR(K713&gt;0,K714&gt;0),0,(AC714-(AC713+AF713-AQ713-AP713+AR713-AI713-AJ713-AM713))/MAX(1,ABS(AC713),ABS(AC714)))</f>
        <v/>
      </c>
      <c r="BB713" s="35">
        <f>(1+INDEX(DiscRateAnn,INT(A713/12)+1))^(1/12)-1</f>
        <v/>
      </c>
      <c r="BC713" s="31">
        <f>(1+BB713)^-A713</f>
        <v/>
      </c>
      <c r="BD713" s="34">
        <f>AW713*BC713</f>
        <v/>
      </c>
    </row>
    <row r="714">
      <c r="A714" s="27">
        <f>A713+1</f>
        <v/>
      </c>
      <c r="B714" s="28">
        <f>Duration0+A714</f>
        <v/>
      </c>
      <c r="C714" s="27">
        <f>INT(B714/12)</f>
        <v/>
      </c>
      <c r="D714" s="28">
        <f>AgeAtEntry+C714</f>
        <v/>
      </c>
      <c r="E714" s="29">
        <f>IF(PremiumType="SINGLE",IF(B714=0,PremiumPPInput,0),IF(B714&lt;12*PolicyTerm,PremiumPPInput,0))</f>
        <v/>
      </c>
      <c r="F714" s="30">
        <f>INDEX(MortRates,MATCH(MIN(D714,120),MortAges,0),MAX(MIN(C714,5),0)+1)</f>
        <v/>
      </c>
      <c r="G714" s="31">
        <f>1-(1-F714)^(1/12)</f>
        <v/>
      </c>
      <c r="H714" s="32">
        <f>MAX(LapseBase-LapseStep*C714,LapseFloor)</f>
        <v/>
      </c>
      <c r="I714" s="32">
        <f>IF(HasSurrCharge,INDEX(SurrRates,MIN(C714,SurrDurMax)+1,MATCH(SurrChargeID,SurrTypes,0)),0)</f>
        <v/>
      </c>
      <c r="J714" s="33">
        <f>N713-P713-O713</f>
        <v/>
      </c>
      <c r="K714" s="30">
        <f>IF(B714=12*PolicyTerm,J714,0)</f>
        <v/>
      </c>
      <c r="L714" s="33">
        <f>J714-K714</f>
        <v/>
      </c>
      <c r="M714" s="30">
        <f>IF(B714=0,PolicyCount,0)</f>
        <v/>
      </c>
      <c r="N714" s="33">
        <f>L714+M714</f>
        <v/>
      </c>
      <c r="O714" s="31">
        <f>N714*G714</f>
        <v/>
      </c>
      <c r="P714" s="33">
        <f>(N714-O714)*(1-(1-H714)^(1/12))</f>
        <v/>
      </c>
      <c r="Q714" s="34">
        <f>X713+Z713</f>
        <v/>
      </c>
      <c r="R714" s="29">
        <f>(1-LoadPremRate)*E714</f>
        <v/>
      </c>
      <c r="S714" s="34">
        <f>Q714+R714</f>
        <v/>
      </c>
      <c r="T714" s="29">
        <f>MaintFeeRateAnn/12*S714</f>
        <v/>
      </c>
      <c r="U714" s="29">
        <f>MAX(SumAssured-S714,0)</f>
        <v/>
      </c>
      <c r="V714" s="35">
        <f>CoiMultiple*G714</f>
        <v/>
      </c>
      <c r="W714" s="34">
        <f>V714*U714</f>
        <v/>
      </c>
      <c r="X714" s="34">
        <f>S714-T714-W714</f>
        <v/>
      </c>
      <c r="Y714" s="36">
        <f>EXP((Mu-0.5*Sigma^2)/12+Sigma*SQRT(1/12)*INDEX(NormRand,ScenID,A714+1))-1</f>
        <v/>
      </c>
      <c r="Z714" s="34">
        <f>Y714*X714</f>
        <v/>
      </c>
      <c r="AA714" s="34">
        <f>X714+0.5*Z714</f>
        <v/>
      </c>
      <c r="AB714" s="34">
        <f>Q714*J714</f>
        <v/>
      </c>
      <c r="AC714" s="34">
        <f>Q714*L714</f>
        <v/>
      </c>
      <c r="AD714" s="34">
        <f>S714*N714</f>
        <v/>
      </c>
      <c r="AE714" s="34">
        <f>E714*N714</f>
        <v/>
      </c>
      <c r="AF714" s="34">
        <f>R714*N714</f>
        <v/>
      </c>
      <c r="AG714" s="29">
        <f>MAX(SumAssured,AA714)</f>
        <v/>
      </c>
      <c r="AH714" s="34">
        <f>AG714*O714</f>
        <v/>
      </c>
      <c r="AI714" s="34">
        <f>AA714*O714</f>
        <v/>
      </c>
      <c r="AJ714" s="34">
        <f>AA714*P714</f>
        <v/>
      </c>
      <c r="AK714" s="34">
        <f>I714*AA714*P714</f>
        <v/>
      </c>
      <c r="AL714" s="34">
        <f>AJ714-AK714</f>
        <v/>
      </c>
      <c r="AM714" s="34">
        <f>Q714*K714</f>
        <v/>
      </c>
      <c r="AN714" s="34">
        <f>AH714+AL714+AM714</f>
        <v/>
      </c>
      <c r="AO714" s="34">
        <f>(AG714-AA714)*O714</f>
        <v/>
      </c>
      <c r="AP714" s="34">
        <f>W714*N714</f>
        <v/>
      </c>
      <c r="AQ714" s="34">
        <f>T714*N714</f>
        <v/>
      </c>
      <c r="AR714" s="34">
        <f>Z714*J715+0.5*Z714*(O714+P714)</f>
        <v/>
      </c>
      <c r="AS714" s="30">
        <f>(1+InflationRate)^(A714/12)</f>
        <v/>
      </c>
      <c r="AT714" s="29">
        <f>ExpenseAcq*M714+N714*ExpenseMaint/12*AS714</f>
        <v/>
      </c>
      <c r="AU714" s="29">
        <f>CommissionRate*AE714</f>
        <v/>
      </c>
      <c r="AV714" s="34">
        <f>AB715-AB714</f>
        <v/>
      </c>
      <c r="AW714" s="34">
        <f>AE714+AR714-AN714-AT714-AU714-AV714</f>
        <v/>
      </c>
      <c r="AX714" s="29">
        <f>LoadPremRate*E714*N714+AK714+AQ714-AU714-AT714</f>
        <v/>
      </c>
      <c r="AY714" s="34">
        <f>AP714-AO714</f>
        <v/>
      </c>
      <c r="AZ714" s="37">
        <f>(AW714-AX714-AY714)/MAX(1,ABS(AW714),ABS(AX714),ABS(AY714))</f>
        <v/>
      </c>
      <c r="BA714" s="37">
        <f>IF(OR(K714&gt;0,K715&gt;0),0,(AC715-(AC714+AF714-AQ714-AP714+AR714-AI714-AJ714-AM714))/MAX(1,ABS(AC714),ABS(AC715)))</f>
        <v/>
      </c>
      <c r="BB714" s="35">
        <f>(1+INDEX(DiscRateAnn,INT(A714/12)+1))^(1/12)-1</f>
        <v/>
      </c>
      <c r="BC714" s="31">
        <f>(1+BB714)^-A714</f>
        <v/>
      </c>
      <c r="BD714" s="34">
        <f>AW714*BC714</f>
        <v/>
      </c>
    </row>
    <row r="715">
      <c r="A715" s="27">
        <f>A714+1</f>
        <v/>
      </c>
      <c r="B715" s="28">
        <f>Duration0+A715</f>
        <v/>
      </c>
      <c r="C715" s="27">
        <f>INT(B715/12)</f>
        <v/>
      </c>
      <c r="D715" s="28">
        <f>AgeAtEntry+C715</f>
        <v/>
      </c>
      <c r="E715" s="29">
        <f>IF(PremiumType="SINGLE",IF(B715=0,PremiumPPInput,0),IF(B715&lt;12*PolicyTerm,PremiumPPInput,0))</f>
        <v/>
      </c>
      <c r="F715" s="30">
        <f>INDEX(MortRates,MATCH(MIN(D715,120),MortAges,0),MAX(MIN(C715,5),0)+1)</f>
        <v/>
      </c>
      <c r="G715" s="31">
        <f>1-(1-F715)^(1/12)</f>
        <v/>
      </c>
      <c r="H715" s="32">
        <f>MAX(LapseBase-LapseStep*C715,LapseFloor)</f>
        <v/>
      </c>
      <c r="I715" s="32">
        <f>IF(HasSurrCharge,INDEX(SurrRates,MIN(C715,SurrDurMax)+1,MATCH(SurrChargeID,SurrTypes,0)),0)</f>
        <v/>
      </c>
      <c r="J715" s="33">
        <f>N714-P714-O714</f>
        <v/>
      </c>
      <c r="K715" s="30">
        <f>IF(B715=12*PolicyTerm,J715,0)</f>
        <v/>
      </c>
      <c r="L715" s="33">
        <f>J715-K715</f>
        <v/>
      </c>
      <c r="M715" s="30">
        <f>IF(B715=0,PolicyCount,0)</f>
        <v/>
      </c>
      <c r="N715" s="33">
        <f>L715+M715</f>
        <v/>
      </c>
      <c r="O715" s="31">
        <f>N715*G715</f>
        <v/>
      </c>
      <c r="P715" s="33">
        <f>(N715-O715)*(1-(1-H715)^(1/12))</f>
        <v/>
      </c>
      <c r="Q715" s="34">
        <f>X714+Z714</f>
        <v/>
      </c>
      <c r="R715" s="29">
        <f>(1-LoadPremRate)*E715</f>
        <v/>
      </c>
      <c r="S715" s="34">
        <f>Q715+R715</f>
        <v/>
      </c>
      <c r="T715" s="29">
        <f>MaintFeeRateAnn/12*S715</f>
        <v/>
      </c>
      <c r="U715" s="29">
        <f>MAX(SumAssured-S715,0)</f>
        <v/>
      </c>
      <c r="V715" s="35">
        <f>CoiMultiple*G715</f>
        <v/>
      </c>
      <c r="W715" s="34">
        <f>V715*U715</f>
        <v/>
      </c>
      <c r="X715" s="34">
        <f>S715-T715-W715</f>
        <v/>
      </c>
      <c r="Y715" s="36">
        <f>EXP((Mu-0.5*Sigma^2)/12+Sigma*SQRT(1/12)*INDEX(NormRand,ScenID,A715+1))-1</f>
        <v/>
      </c>
      <c r="Z715" s="34">
        <f>Y715*X715</f>
        <v/>
      </c>
      <c r="AA715" s="34">
        <f>X715+0.5*Z715</f>
        <v/>
      </c>
      <c r="AB715" s="34">
        <f>Q715*J715</f>
        <v/>
      </c>
      <c r="AC715" s="34">
        <f>Q715*L715</f>
        <v/>
      </c>
      <c r="AD715" s="34">
        <f>S715*N715</f>
        <v/>
      </c>
      <c r="AE715" s="34">
        <f>E715*N715</f>
        <v/>
      </c>
      <c r="AF715" s="34">
        <f>R715*N715</f>
        <v/>
      </c>
      <c r="AG715" s="29">
        <f>MAX(SumAssured,AA715)</f>
        <v/>
      </c>
      <c r="AH715" s="34">
        <f>AG715*O715</f>
        <v/>
      </c>
      <c r="AI715" s="34">
        <f>AA715*O715</f>
        <v/>
      </c>
      <c r="AJ715" s="34">
        <f>AA715*P715</f>
        <v/>
      </c>
      <c r="AK715" s="34">
        <f>I715*AA715*P715</f>
        <v/>
      </c>
      <c r="AL715" s="34">
        <f>AJ715-AK715</f>
        <v/>
      </c>
      <c r="AM715" s="34">
        <f>Q715*K715</f>
        <v/>
      </c>
      <c r="AN715" s="34">
        <f>AH715+AL715+AM715</f>
        <v/>
      </c>
      <c r="AO715" s="34">
        <f>(AG715-AA715)*O715</f>
        <v/>
      </c>
      <c r="AP715" s="34">
        <f>W715*N715</f>
        <v/>
      </c>
      <c r="AQ715" s="34">
        <f>T715*N715</f>
        <v/>
      </c>
      <c r="AR715" s="34">
        <f>Z715*J716+0.5*Z715*(O715+P715)</f>
        <v/>
      </c>
      <c r="AS715" s="30">
        <f>(1+InflationRate)^(A715/12)</f>
        <v/>
      </c>
      <c r="AT715" s="29">
        <f>ExpenseAcq*M715+N715*ExpenseMaint/12*AS715</f>
        <v/>
      </c>
      <c r="AU715" s="29">
        <f>CommissionRate*AE715</f>
        <v/>
      </c>
      <c r="AV715" s="34">
        <f>AB716-AB715</f>
        <v/>
      </c>
      <c r="AW715" s="34">
        <f>AE715+AR715-AN715-AT715-AU715-AV715</f>
        <v/>
      </c>
      <c r="AX715" s="29">
        <f>LoadPremRate*E715*N715+AK715+AQ715-AU715-AT715</f>
        <v/>
      </c>
      <c r="AY715" s="34">
        <f>AP715-AO715</f>
        <v/>
      </c>
      <c r="AZ715" s="37">
        <f>(AW715-AX715-AY715)/MAX(1,ABS(AW715),ABS(AX715),ABS(AY715))</f>
        <v/>
      </c>
      <c r="BA715" s="37">
        <f>IF(OR(K715&gt;0,K716&gt;0),0,(AC716-(AC715+AF715-AQ715-AP715+AR715-AI715-AJ715-AM715))/MAX(1,ABS(AC715),ABS(AC716)))</f>
        <v/>
      </c>
      <c r="BB715" s="35">
        <f>(1+INDEX(DiscRateAnn,INT(A715/12)+1))^(1/12)-1</f>
        <v/>
      </c>
      <c r="BC715" s="31">
        <f>(1+BB715)^-A715</f>
        <v/>
      </c>
      <c r="BD715" s="34">
        <f>AW715*BC715</f>
        <v/>
      </c>
    </row>
    <row r="716">
      <c r="A716" s="27">
        <f>A715+1</f>
        <v/>
      </c>
      <c r="B716" s="28">
        <f>Duration0+A716</f>
        <v/>
      </c>
      <c r="C716" s="27">
        <f>INT(B716/12)</f>
        <v/>
      </c>
      <c r="D716" s="28">
        <f>AgeAtEntry+C716</f>
        <v/>
      </c>
      <c r="E716" s="29">
        <f>IF(PremiumType="SINGLE",IF(B716=0,PremiumPPInput,0),IF(B716&lt;12*PolicyTerm,PremiumPPInput,0))</f>
        <v/>
      </c>
      <c r="F716" s="30">
        <f>INDEX(MortRates,MATCH(MIN(D716,120),MortAges,0),MAX(MIN(C716,5),0)+1)</f>
        <v/>
      </c>
      <c r="G716" s="31">
        <f>1-(1-F716)^(1/12)</f>
        <v/>
      </c>
      <c r="H716" s="32">
        <f>MAX(LapseBase-LapseStep*C716,LapseFloor)</f>
        <v/>
      </c>
      <c r="I716" s="32">
        <f>IF(HasSurrCharge,INDEX(SurrRates,MIN(C716,SurrDurMax)+1,MATCH(SurrChargeID,SurrTypes,0)),0)</f>
        <v/>
      </c>
      <c r="J716" s="33">
        <f>N715-P715-O715</f>
        <v/>
      </c>
      <c r="K716" s="30">
        <f>IF(B716=12*PolicyTerm,J716,0)</f>
        <v/>
      </c>
      <c r="L716" s="33">
        <f>J716-K716</f>
        <v/>
      </c>
      <c r="M716" s="30">
        <f>IF(B716=0,PolicyCount,0)</f>
        <v/>
      </c>
      <c r="N716" s="33">
        <f>L716+M716</f>
        <v/>
      </c>
      <c r="O716" s="31">
        <f>N716*G716</f>
        <v/>
      </c>
      <c r="P716" s="33">
        <f>(N716-O716)*(1-(1-H716)^(1/12))</f>
        <v/>
      </c>
      <c r="Q716" s="34">
        <f>X715+Z715</f>
        <v/>
      </c>
      <c r="R716" s="29">
        <f>(1-LoadPremRate)*E716</f>
        <v/>
      </c>
      <c r="S716" s="34">
        <f>Q716+R716</f>
        <v/>
      </c>
      <c r="T716" s="29">
        <f>MaintFeeRateAnn/12*S716</f>
        <v/>
      </c>
      <c r="U716" s="29">
        <f>MAX(SumAssured-S716,0)</f>
        <v/>
      </c>
      <c r="V716" s="35">
        <f>CoiMultiple*G716</f>
        <v/>
      </c>
      <c r="W716" s="34">
        <f>V716*U716</f>
        <v/>
      </c>
      <c r="X716" s="34">
        <f>S716-T716-W716</f>
        <v/>
      </c>
      <c r="Y716" s="36">
        <f>EXP((Mu-0.5*Sigma^2)/12+Sigma*SQRT(1/12)*INDEX(NormRand,ScenID,A716+1))-1</f>
        <v/>
      </c>
      <c r="Z716" s="34">
        <f>Y716*X716</f>
        <v/>
      </c>
      <c r="AA716" s="34">
        <f>X716+0.5*Z716</f>
        <v/>
      </c>
      <c r="AB716" s="34">
        <f>Q716*J716</f>
        <v/>
      </c>
      <c r="AC716" s="34">
        <f>Q716*L716</f>
        <v/>
      </c>
      <c r="AD716" s="34">
        <f>S716*N716</f>
        <v/>
      </c>
      <c r="AE716" s="34">
        <f>E716*N716</f>
        <v/>
      </c>
      <c r="AF716" s="34">
        <f>R716*N716</f>
        <v/>
      </c>
      <c r="AG716" s="29">
        <f>MAX(SumAssured,AA716)</f>
        <v/>
      </c>
      <c r="AH716" s="34">
        <f>AG716*O716</f>
        <v/>
      </c>
      <c r="AI716" s="34">
        <f>AA716*O716</f>
        <v/>
      </c>
      <c r="AJ716" s="34">
        <f>AA716*P716</f>
        <v/>
      </c>
      <c r="AK716" s="34">
        <f>I716*AA716*P716</f>
        <v/>
      </c>
      <c r="AL716" s="34">
        <f>AJ716-AK716</f>
        <v/>
      </c>
      <c r="AM716" s="34">
        <f>Q716*K716</f>
        <v/>
      </c>
      <c r="AN716" s="34">
        <f>AH716+AL716+AM716</f>
        <v/>
      </c>
      <c r="AO716" s="34">
        <f>(AG716-AA716)*O716</f>
        <v/>
      </c>
      <c r="AP716" s="34">
        <f>W716*N716</f>
        <v/>
      </c>
      <c r="AQ716" s="34">
        <f>T716*N716</f>
        <v/>
      </c>
      <c r="AR716" s="34">
        <f>Z716*J717+0.5*Z716*(O716+P716)</f>
        <v/>
      </c>
      <c r="AS716" s="30">
        <f>(1+InflationRate)^(A716/12)</f>
        <v/>
      </c>
      <c r="AT716" s="29">
        <f>ExpenseAcq*M716+N716*ExpenseMaint/12*AS716</f>
        <v/>
      </c>
      <c r="AU716" s="29">
        <f>CommissionRate*AE716</f>
        <v/>
      </c>
      <c r="AV716" s="34">
        <f>AB717-AB716</f>
        <v/>
      </c>
      <c r="AW716" s="34">
        <f>AE716+AR716-AN716-AT716-AU716-AV716</f>
        <v/>
      </c>
      <c r="AX716" s="29">
        <f>LoadPremRate*E716*N716+AK716+AQ716-AU716-AT716</f>
        <v/>
      </c>
      <c r="AY716" s="34">
        <f>AP716-AO716</f>
        <v/>
      </c>
      <c r="AZ716" s="37">
        <f>(AW716-AX716-AY716)/MAX(1,ABS(AW716),ABS(AX716),ABS(AY716))</f>
        <v/>
      </c>
      <c r="BA716" s="37">
        <f>IF(OR(K716&gt;0,K717&gt;0),0,(AC717-(AC716+AF716-AQ716-AP716+AR716-AI716-AJ716-AM716))/MAX(1,ABS(AC716),ABS(AC717)))</f>
        <v/>
      </c>
      <c r="BB716" s="35">
        <f>(1+INDEX(DiscRateAnn,INT(A716/12)+1))^(1/12)-1</f>
        <v/>
      </c>
      <c r="BC716" s="31">
        <f>(1+BB716)^-A716</f>
        <v/>
      </c>
      <c r="BD716" s="34">
        <f>AW716*BC716</f>
        <v/>
      </c>
    </row>
    <row r="717">
      <c r="A717" s="27">
        <f>A716+1</f>
        <v/>
      </c>
      <c r="B717" s="28">
        <f>Duration0+A717</f>
        <v/>
      </c>
      <c r="C717" s="27">
        <f>INT(B717/12)</f>
        <v/>
      </c>
      <c r="D717" s="28">
        <f>AgeAtEntry+C717</f>
        <v/>
      </c>
      <c r="E717" s="29">
        <f>IF(PremiumType="SINGLE",IF(B717=0,PremiumPPInput,0),IF(B717&lt;12*PolicyTerm,PremiumPPInput,0))</f>
        <v/>
      </c>
      <c r="F717" s="30">
        <f>INDEX(MortRates,MATCH(MIN(D717,120),MortAges,0),MAX(MIN(C717,5),0)+1)</f>
        <v/>
      </c>
      <c r="G717" s="31">
        <f>1-(1-F717)^(1/12)</f>
        <v/>
      </c>
      <c r="H717" s="32">
        <f>MAX(LapseBase-LapseStep*C717,LapseFloor)</f>
        <v/>
      </c>
      <c r="I717" s="32">
        <f>IF(HasSurrCharge,INDEX(SurrRates,MIN(C717,SurrDurMax)+1,MATCH(SurrChargeID,SurrTypes,0)),0)</f>
        <v/>
      </c>
      <c r="J717" s="33">
        <f>N716-P716-O716</f>
        <v/>
      </c>
      <c r="K717" s="30">
        <f>IF(B717=12*PolicyTerm,J717,0)</f>
        <v/>
      </c>
      <c r="L717" s="33">
        <f>J717-K717</f>
        <v/>
      </c>
      <c r="M717" s="30">
        <f>IF(B717=0,PolicyCount,0)</f>
        <v/>
      </c>
      <c r="N717" s="33">
        <f>L717+M717</f>
        <v/>
      </c>
      <c r="O717" s="31">
        <f>N717*G717</f>
        <v/>
      </c>
      <c r="P717" s="33">
        <f>(N717-O717)*(1-(1-H717)^(1/12))</f>
        <v/>
      </c>
      <c r="Q717" s="34">
        <f>X716+Z716</f>
        <v/>
      </c>
      <c r="R717" s="29">
        <f>(1-LoadPremRate)*E717</f>
        <v/>
      </c>
      <c r="S717" s="34">
        <f>Q717+R717</f>
        <v/>
      </c>
      <c r="T717" s="29">
        <f>MaintFeeRateAnn/12*S717</f>
        <v/>
      </c>
      <c r="U717" s="29">
        <f>MAX(SumAssured-S717,0)</f>
        <v/>
      </c>
      <c r="V717" s="35">
        <f>CoiMultiple*G717</f>
        <v/>
      </c>
      <c r="W717" s="34">
        <f>V717*U717</f>
        <v/>
      </c>
      <c r="X717" s="34">
        <f>S717-T717-W717</f>
        <v/>
      </c>
      <c r="Y717" s="36">
        <f>EXP((Mu-0.5*Sigma^2)/12+Sigma*SQRT(1/12)*INDEX(NormRand,ScenID,A717+1))-1</f>
        <v/>
      </c>
      <c r="Z717" s="34">
        <f>Y717*X717</f>
        <v/>
      </c>
      <c r="AA717" s="34">
        <f>X717+0.5*Z717</f>
        <v/>
      </c>
      <c r="AB717" s="34">
        <f>Q717*J717</f>
        <v/>
      </c>
      <c r="AC717" s="34">
        <f>Q717*L717</f>
        <v/>
      </c>
      <c r="AD717" s="34">
        <f>S717*N717</f>
        <v/>
      </c>
      <c r="AE717" s="34">
        <f>E717*N717</f>
        <v/>
      </c>
      <c r="AF717" s="34">
        <f>R717*N717</f>
        <v/>
      </c>
      <c r="AG717" s="29">
        <f>MAX(SumAssured,AA717)</f>
        <v/>
      </c>
      <c r="AH717" s="34">
        <f>AG717*O717</f>
        <v/>
      </c>
      <c r="AI717" s="34">
        <f>AA717*O717</f>
        <v/>
      </c>
      <c r="AJ717" s="34">
        <f>AA717*P717</f>
        <v/>
      </c>
      <c r="AK717" s="34">
        <f>I717*AA717*P717</f>
        <v/>
      </c>
      <c r="AL717" s="34">
        <f>AJ717-AK717</f>
        <v/>
      </c>
      <c r="AM717" s="34">
        <f>Q717*K717</f>
        <v/>
      </c>
      <c r="AN717" s="34">
        <f>AH717+AL717+AM717</f>
        <v/>
      </c>
      <c r="AO717" s="34">
        <f>(AG717-AA717)*O717</f>
        <v/>
      </c>
      <c r="AP717" s="34">
        <f>W717*N717</f>
        <v/>
      </c>
      <c r="AQ717" s="34">
        <f>T717*N717</f>
        <v/>
      </c>
      <c r="AR717" s="34">
        <f>Z717*J718+0.5*Z717*(O717+P717)</f>
        <v/>
      </c>
      <c r="AS717" s="30">
        <f>(1+InflationRate)^(A717/12)</f>
        <v/>
      </c>
      <c r="AT717" s="29">
        <f>ExpenseAcq*M717+N717*ExpenseMaint/12*AS717</f>
        <v/>
      </c>
      <c r="AU717" s="29">
        <f>CommissionRate*AE717</f>
        <v/>
      </c>
      <c r="AV717" s="34">
        <f>AB718-AB717</f>
        <v/>
      </c>
      <c r="AW717" s="34">
        <f>AE717+AR717-AN717-AT717-AU717-AV717</f>
        <v/>
      </c>
      <c r="AX717" s="29">
        <f>LoadPremRate*E717*N717+AK717+AQ717-AU717-AT717</f>
        <v/>
      </c>
      <c r="AY717" s="34">
        <f>AP717-AO717</f>
        <v/>
      </c>
      <c r="AZ717" s="37">
        <f>(AW717-AX717-AY717)/MAX(1,ABS(AW717),ABS(AX717),ABS(AY717))</f>
        <v/>
      </c>
      <c r="BA717" s="37">
        <f>IF(OR(K717&gt;0,K718&gt;0),0,(AC718-(AC717+AF717-AQ717-AP717+AR717-AI717-AJ717-AM717))/MAX(1,ABS(AC717),ABS(AC718)))</f>
        <v/>
      </c>
      <c r="BB717" s="35">
        <f>(1+INDEX(DiscRateAnn,INT(A717/12)+1))^(1/12)-1</f>
        <v/>
      </c>
      <c r="BC717" s="31">
        <f>(1+BB717)^-A717</f>
        <v/>
      </c>
      <c r="BD717" s="34">
        <f>AW717*BC717</f>
        <v/>
      </c>
    </row>
    <row r="718">
      <c r="A718" s="27">
        <f>A717+1</f>
        <v/>
      </c>
      <c r="B718" s="28">
        <f>Duration0+A718</f>
        <v/>
      </c>
      <c r="C718" s="27">
        <f>INT(B718/12)</f>
        <v/>
      </c>
      <c r="D718" s="28">
        <f>AgeAtEntry+C718</f>
        <v/>
      </c>
      <c r="E718" s="29">
        <f>IF(PremiumType="SINGLE",IF(B718=0,PremiumPPInput,0),IF(B718&lt;12*PolicyTerm,PremiumPPInput,0))</f>
        <v/>
      </c>
      <c r="F718" s="30">
        <f>INDEX(MortRates,MATCH(MIN(D718,120),MortAges,0),MAX(MIN(C718,5),0)+1)</f>
        <v/>
      </c>
      <c r="G718" s="31">
        <f>1-(1-F718)^(1/12)</f>
        <v/>
      </c>
      <c r="H718" s="32">
        <f>MAX(LapseBase-LapseStep*C718,LapseFloor)</f>
        <v/>
      </c>
      <c r="I718" s="32">
        <f>IF(HasSurrCharge,INDEX(SurrRates,MIN(C718,SurrDurMax)+1,MATCH(SurrChargeID,SurrTypes,0)),0)</f>
        <v/>
      </c>
      <c r="J718" s="33">
        <f>N717-P717-O717</f>
        <v/>
      </c>
      <c r="K718" s="30">
        <f>IF(B718=12*PolicyTerm,J718,0)</f>
        <v/>
      </c>
      <c r="L718" s="33">
        <f>J718-K718</f>
        <v/>
      </c>
      <c r="M718" s="30">
        <f>IF(B718=0,PolicyCount,0)</f>
        <v/>
      </c>
      <c r="N718" s="33">
        <f>L718+M718</f>
        <v/>
      </c>
      <c r="O718" s="31">
        <f>N718*G718</f>
        <v/>
      </c>
      <c r="P718" s="33">
        <f>(N718-O718)*(1-(1-H718)^(1/12))</f>
        <v/>
      </c>
      <c r="Q718" s="34">
        <f>X717+Z717</f>
        <v/>
      </c>
      <c r="R718" s="29">
        <f>(1-LoadPremRate)*E718</f>
        <v/>
      </c>
      <c r="S718" s="34">
        <f>Q718+R718</f>
        <v/>
      </c>
      <c r="T718" s="29">
        <f>MaintFeeRateAnn/12*S718</f>
        <v/>
      </c>
      <c r="U718" s="29">
        <f>MAX(SumAssured-S718,0)</f>
        <v/>
      </c>
      <c r="V718" s="35">
        <f>CoiMultiple*G718</f>
        <v/>
      </c>
      <c r="W718" s="34">
        <f>V718*U718</f>
        <v/>
      </c>
      <c r="X718" s="34">
        <f>S718-T718-W718</f>
        <v/>
      </c>
      <c r="Y718" s="36">
        <f>EXP((Mu-0.5*Sigma^2)/12+Sigma*SQRT(1/12)*INDEX(NormRand,ScenID,A718+1))-1</f>
        <v/>
      </c>
      <c r="Z718" s="34">
        <f>Y718*X718</f>
        <v/>
      </c>
      <c r="AA718" s="34">
        <f>X718+0.5*Z718</f>
        <v/>
      </c>
      <c r="AB718" s="34">
        <f>Q718*J718</f>
        <v/>
      </c>
      <c r="AC718" s="34">
        <f>Q718*L718</f>
        <v/>
      </c>
      <c r="AD718" s="34">
        <f>S718*N718</f>
        <v/>
      </c>
      <c r="AE718" s="34">
        <f>E718*N718</f>
        <v/>
      </c>
      <c r="AF718" s="34">
        <f>R718*N718</f>
        <v/>
      </c>
      <c r="AG718" s="29">
        <f>MAX(SumAssured,AA718)</f>
        <v/>
      </c>
      <c r="AH718" s="34">
        <f>AG718*O718</f>
        <v/>
      </c>
      <c r="AI718" s="34">
        <f>AA718*O718</f>
        <v/>
      </c>
      <c r="AJ718" s="34">
        <f>AA718*P718</f>
        <v/>
      </c>
      <c r="AK718" s="34">
        <f>I718*AA718*P718</f>
        <v/>
      </c>
      <c r="AL718" s="34">
        <f>AJ718-AK718</f>
        <v/>
      </c>
      <c r="AM718" s="34">
        <f>Q718*K718</f>
        <v/>
      </c>
      <c r="AN718" s="34">
        <f>AH718+AL718+AM718</f>
        <v/>
      </c>
      <c r="AO718" s="34">
        <f>(AG718-AA718)*O718</f>
        <v/>
      </c>
      <c r="AP718" s="34">
        <f>W718*N718</f>
        <v/>
      </c>
      <c r="AQ718" s="34">
        <f>T718*N718</f>
        <v/>
      </c>
      <c r="AR718" s="34">
        <f>Z718*J719+0.5*Z718*(O718+P718)</f>
        <v/>
      </c>
      <c r="AS718" s="30">
        <f>(1+InflationRate)^(A718/12)</f>
        <v/>
      </c>
      <c r="AT718" s="29">
        <f>ExpenseAcq*M718+N718*ExpenseMaint/12*AS718</f>
        <v/>
      </c>
      <c r="AU718" s="29">
        <f>CommissionRate*AE718</f>
        <v/>
      </c>
      <c r="AV718" s="34">
        <f>AB719-AB718</f>
        <v/>
      </c>
      <c r="AW718" s="34">
        <f>AE718+AR718-AN718-AT718-AU718-AV718</f>
        <v/>
      </c>
      <c r="AX718" s="29">
        <f>LoadPremRate*E718*N718+AK718+AQ718-AU718-AT718</f>
        <v/>
      </c>
      <c r="AY718" s="34">
        <f>AP718-AO718</f>
        <v/>
      </c>
      <c r="AZ718" s="37">
        <f>(AW718-AX718-AY718)/MAX(1,ABS(AW718),ABS(AX718),ABS(AY718))</f>
        <v/>
      </c>
      <c r="BA718" s="37">
        <f>IF(OR(K718&gt;0,K719&gt;0),0,(AC719-(AC718+AF718-AQ718-AP718+AR718-AI718-AJ718-AM718))/MAX(1,ABS(AC718),ABS(AC719)))</f>
        <v/>
      </c>
      <c r="BB718" s="35">
        <f>(1+INDEX(DiscRateAnn,INT(A718/12)+1))^(1/12)-1</f>
        <v/>
      </c>
      <c r="BC718" s="31">
        <f>(1+BB718)^-A718</f>
        <v/>
      </c>
      <c r="BD718" s="34">
        <f>AW718*BC718</f>
        <v/>
      </c>
    </row>
    <row r="719">
      <c r="A719" s="27">
        <f>A718+1</f>
        <v/>
      </c>
      <c r="B719" s="28">
        <f>Duration0+A719</f>
        <v/>
      </c>
      <c r="C719" s="27">
        <f>INT(B719/12)</f>
        <v/>
      </c>
      <c r="D719" s="28">
        <f>AgeAtEntry+C719</f>
        <v/>
      </c>
      <c r="E719" s="29">
        <f>IF(PremiumType="SINGLE",IF(B719=0,PremiumPPInput,0),IF(B719&lt;12*PolicyTerm,PremiumPPInput,0))</f>
        <v/>
      </c>
      <c r="F719" s="30">
        <f>INDEX(MortRates,MATCH(MIN(D719,120),MortAges,0),MAX(MIN(C719,5),0)+1)</f>
        <v/>
      </c>
      <c r="G719" s="31">
        <f>1-(1-F719)^(1/12)</f>
        <v/>
      </c>
      <c r="H719" s="32">
        <f>MAX(LapseBase-LapseStep*C719,LapseFloor)</f>
        <v/>
      </c>
      <c r="I719" s="32">
        <f>IF(HasSurrCharge,INDEX(SurrRates,MIN(C719,SurrDurMax)+1,MATCH(SurrChargeID,SurrTypes,0)),0)</f>
        <v/>
      </c>
      <c r="J719" s="33">
        <f>N718-P718-O718</f>
        <v/>
      </c>
      <c r="K719" s="30">
        <f>IF(B719=12*PolicyTerm,J719,0)</f>
        <v/>
      </c>
      <c r="L719" s="33">
        <f>J719-K719</f>
        <v/>
      </c>
      <c r="M719" s="30">
        <f>IF(B719=0,PolicyCount,0)</f>
        <v/>
      </c>
      <c r="N719" s="33">
        <f>L719+M719</f>
        <v/>
      </c>
      <c r="O719" s="31">
        <f>N719*G719</f>
        <v/>
      </c>
      <c r="P719" s="33">
        <f>(N719-O719)*(1-(1-H719)^(1/12))</f>
        <v/>
      </c>
      <c r="Q719" s="34">
        <f>X718+Z718</f>
        <v/>
      </c>
      <c r="R719" s="29">
        <f>(1-LoadPremRate)*E719</f>
        <v/>
      </c>
      <c r="S719" s="34">
        <f>Q719+R719</f>
        <v/>
      </c>
      <c r="T719" s="29">
        <f>MaintFeeRateAnn/12*S719</f>
        <v/>
      </c>
      <c r="U719" s="29">
        <f>MAX(SumAssured-S719,0)</f>
        <v/>
      </c>
      <c r="V719" s="35">
        <f>CoiMultiple*G719</f>
        <v/>
      </c>
      <c r="W719" s="34">
        <f>V719*U719</f>
        <v/>
      </c>
      <c r="X719" s="34">
        <f>S719-T719-W719</f>
        <v/>
      </c>
      <c r="Y719" s="36">
        <f>EXP((Mu-0.5*Sigma^2)/12+Sigma*SQRT(1/12)*INDEX(NormRand,ScenID,A719+1))-1</f>
        <v/>
      </c>
      <c r="Z719" s="34">
        <f>Y719*X719</f>
        <v/>
      </c>
      <c r="AA719" s="34">
        <f>X719+0.5*Z719</f>
        <v/>
      </c>
      <c r="AB719" s="34">
        <f>Q719*J719</f>
        <v/>
      </c>
      <c r="AC719" s="34">
        <f>Q719*L719</f>
        <v/>
      </c>
      <c r="AD719" s="34">
        <f>S719*N719</f>
        <v/>
      </c>
      <c r="AE719" s="34">
        <f>E719*N719</f>
        <v/>
      </c>
      <c r="AF719" s="34">
        <f>R719*N719</f>
        <v/>
      </c>
      <c r="AG719" s="29">
        <f>MAX(SumAssured,AA719)</f>
        <v/>
      </c>
      <c r="AH719" s="34">
        <f>AG719*O719</f>
        <v/>
      </c>
      <c r="AI719" s="34">
        <f>AA719*O719</f>
        <v/>
      </c>
      <c r="AJ719" s="34">
        <f>AA719*P719</f>
        <v/>
      </c>
      <c r="AK719" s="34">
        <f>I719*AA719*P719</f>
        <v/>
      </c>
      <c r="AL719" s="34">
        <f>AJ719-AK719</f>
        <v/>
      </c>
      <c r="AM719" s="34">
        <f>Q719*K719</f>
        <v/>
      </c>
      <c r="AN719" s="34">
        <f>AH719+AL719+AM719</f>
        <v/>
      </c>
      <c r="AO719" s="34">
        <f>(AG719-AA719)*O719</f>
        <v/>
      </c>
      <c r="AP719" s="34">
        <f>W719*N719</f>
        <v/>
      </c>
      <c r="AQ719" s="34">
        <f>T719*N719</f>
        <v/>
      </c>
      <c r="AR719" s="34">
        <f>Z719*J720+0.5*Z719*(O719+P719)</f>
        <v/>
      </c>
      <c r="AS719" s="30">
        <f>(1+InflationRate)^(A719/12)</f>
        <v/>
      </c>
      <c r="AT719" s="29">
        <f>ExpenseAcq*M719+N719*ExpenseMaint/12*AS719</f>
        <v/>
      </c>
      <c r="AU719" s="29">
        <f>CommissionRate*AE719</f>
        <v/>
      </c>
      <c r="AV719" s="34">
        <f>AB720-AB719</f>
        <v/>
      </c>
      <c r="AW719" s="34">
        <f>AE719+AR719-AN719-AT719-AU719-AV719</f>
        <v/>
      </c>
      <c r="AX719" s="29">
        <f>LoadPremRate*E719*N719+AK719+AQ719-AU719-AT719</f>
        <v/>
      </c>
      <c r="AY719" s="34">
        <f>AP719-AO719</f>
        <v/>
      </c>
      <c r="AZ719" s="37">
        <f>(AW719-AX719-AY719)/MAX(1,ABS(AW719),ABS(AX719),ABS(AY719))</f>
        <v/>
      </c>
      <c r="BA719" s="37">
        <f>IF(OR(K719&gt;0,K720&gt;0),0,(AC720-(AC719+AF719-AQ719-AP719+AR719-AI719-AJ719-AM719))/MAX(1,ABS(AC719),ABS(AC720)))</f>
        <v/>
      </c>
      <c r="BB719" s="35">
        <f>(1+INDEX(DiscRateAnn,INT(A719/12)+1))^(1/12)-1</f>
        <v/>
      </c>
      <c r="BC719" s="31">
        <f>(1+BB719)^-A719</f>
        <v/>
      </c>
      <c r="BD719" s="34">
        <f>AW719*BC719</f>
        <v/>
      </c>
    </row>
    <row r="720">
      <c r="A720" s="27">
        <f>A719+1</f>
        <v/>
      </c>
      <c r="B720" s="28">
        <f>Duration0+A720</f>
        <v/>
      </c>
      <c r="C720" s="27">
        <f>INT(B720/12)</f>
        <v/>
      </c>
      <c r="D720" s="28">
        <f>AgeAtEntry+C720</f>
        <v/>
      </c>
      <c r="E720" s="29">
        <f>IF(PremiumType="SINGLE",IF(B720=0,PremiumPPInput,0),IF(B720&lt;12*PolicyTerm,PremiumPPInput,0))</f>
        <v/>
      </c>
      <c r="F720" s="30">
        <f>INDEX(MortRates,MATCH(MIN(D720,120),MortAges,0),MAX(MIN(C720,5),0)+1)</f>
        <v/>
      </c>
      <c r="G720" s="31">
        <f>1-(1-F720)^(1/12)</f>
        <v/>
      </c>
      <c r="H720" s="32">
        <f>MAX(LapseBase-LapseStep*C720,LapseFloor)</f>
        <v/>
      </c>
      <c r="I720" s="32">
        <f>IF(HasSurrCharge,INDEX(SurrRates,MIN(C720,SurrDurMax)+1,MATCH(SurrChargeID,SurrTypes,0)),0)</f>
        <v/>
      </c>
      <c r="J720" s="33">
        <f>N719-P719-O719</f>
        <v/>
      </c>
      <c r="K720" s="30">
        <f>IF(B720=12*PolicyTerm,J720,0)</f>
        <v/>
      </c>
      <c r="L720" s="33">
        <f>J720-K720</f>
        <v/>
      </c>
      <c r="M720" s="30">
        <f>IF(B720=0,PolicyCount,0)</f>
        <v/>
      </c>
      <c r="N720" s="33">
        <f>L720+M720</f>
        <v/>
      </c>
      <c r="O720" s="31">
        <f>N720*G720</f>
        <v/>
      </c>
      <c r="P720" s="33">
        <f>(N720-O720)*(1-(1-H720)^(1/12))</f>
        <v/>
      </c>
      <c r="Q720" s="34">
        <f>X719+Z719</f>
        <v/>
      </c>
      <c r="R720" s="29">
        <f>(1-LoadPremRate)*E720</f>
        <v/>
      </c>
      <c r="S720" s="34">
        <f>Q720+R720</f>
        <v/>
      </c>
      <c r="T720" s="29">
        <f>MaintFeeRateAnn/12*S720</f>
        <v/>
      </c>
      <c r="U720" s="29">
        <f>MAX(SumAssured-S720,0)</f>
        <v/>
      </c>
      <c r="V720" s="35">
        <f>CoiMultiple*G720</f>
        <v/>
      </c>
      <c r="W720" s="34">
        <f>V720*U720</f>
        <v/>
      </c>
      <c r="X720" s="34">
        <f>S720-T720-W720</f>
        <v/>
      </c>
      <c r="Y720" s="36">
        <f>EXP((Mu-0.5*Sigma^2)/12+Sigma*SQRT(1/12)*INDEX(NormRand,ScenID,A720+1))-1</f>
        <v/>
      </c>
      <c r="Z720" s="34">
        <f>Y720*X720</f>
        <v/>
      </c>
      <c r="AA720" s="34">
        <f>X720+0.5*Z720</f>
        <v/>
      </c>
      <c r="AB720" s="34">
        <f>Q720*J720</f>
        <v/>
      </c>
      <c r="AC720" s="34">
        <f>Q720*L720</f>
        <v/>
      </c>
      <c r="AD720" s="34">
        <f>S720*N720</f>
        <v/>
      </c>
      <c r="AE720" s="34">
        <f>E720*N720</f>
        <v/>
      </c>
      <c r="AF720" s="34">
        <f>R720*N720</f>
        <v/>
      </c>
      <c r="AG720" s="29">
        <f>MAX(SumAssured,AA720)</f>
        <v/>
      </c>
      <c r="AH720" s="34">
        <f>AG720*O720</f>
        <v/>
      </c>
      <c r="AI720" s="34">
        <f>AA720*O720</f>
        <v/>
      </c>
      <c r="AJ720" s="34">
        <f>AA720*P720</f>
        <v/>
      </c>
      <c r="AK720" s="34">
        <f>I720*AA720*P720</f>
        <v/>
      </c>
      <c r="AL720" s="34">
        <f>AJ720-AK720</f>
        <v/>
      </c>
      <c r="AM720" s="34">
        <f>Q720*K720</f>
        <v/>
      </c>
      <c r="AN720" s="34">
        <f>AH720+AL720+AM720</f>
        <v/>
      </c>
      <c r="AO720" s="34">
        <f>(AG720-AA720)*O720</f>
        <v/>
      </c>
      <c r="AP720" s="34">
        <f>W720*N720</f>
        <v/>
      </c>
      <c r="AQ720" s="34">
        <f>T720*N720</f>
        <v/>
      </c>
      <c r="AR720" s="34">
        <f>Z720*J721+0.5*Z720*(O720+P720)</f>
        <v/>
      </c>
      <c r="AS720" s="30">
        <f>(1+InflationRate)^(A720/12)</f>
        <v/>
      </c>
      <c r="AT720" s="29">
        <f>ExpenseAcq*M720+N720*ExpenseMaint/12*AS720</f>
        <v/>
      </c>
      <c r="AU720" s="29">
        <f>CommissionRate*AE720</f>
        <v/>
      </c>
      <c r="AV720" s="34">
        <f>AB721-AB720</f>
        <v/>
      </c>
      <c r="AW720" s="34">
        <f>AE720+AR720-AN720-AT720-AU720-AV720</f>
        <v/>
      </c>
      <c r="AX720" s="29">
        <f>LoadPremRate*E720*N720+AK720+AQ720-AU720-AT720</f>
        <v/>
      </c>
      <c r="AY720" s="34">
        <f>AP720-AO720</f>
        <v/>
      </c>
      <c r="AZ720" s="37">
        <f>(AW720-AX720-AY720)/MAX(1,ABS(AW720),ABS(AX720),ABS(AY720))</f>
        <v/>
      </c>
      <c r="BA720" s="37">
        <f>IF(OR(K720&gt;0,K721&gt;0),0,(AC721-(AC720+AF720-AQ720-AP720+AR720-AI720-AJ720-AM720))/MAX(1,ABS(AC720),ABS(AC721)))</f>
        <v/>
      </c>
      <c r="BB720" s="35">
        <f>(1+INDEX(DiscRateAnn,INT(A720/12)+1))^(1/12)-1</f>
        <v/>
      </c>
      <c r="BC720" s="31">
        <f>(1+BB720)^-A720</f>
        <v/>
      </c>
      <c r="BD720" s="34">
        <f>AW720*BC720</f>
        <v/>
      </c>
    </row>
    <row r="721">
      <c r="A721" s="27">
        <f>A720+1</f>
        <v/>
      </c>
      <c r="B721" s="28">
        <f>Duration0+A721</f>
        <v/>
      </c>
      <c r="C721" s="27">
        <f>INT(B721/12)</f>
        <v/>
      </c>
      <c r="D721" s="28">
        <f>AgeAtEntry+C721</f>
        <v/>
      </c>
      <c r="E721" s="29">
        <f>IF(PremiumType="SINGLE",IF(B721=0,PremiumPPInput,0),IF(B721&lt;12*PolicyTerm,PremiumPPInput,0))</f>
        <v/>
      </c>
      <c r="F721" s="30">
        <f>INDEX(MortRates,MATCH(MIN(D721,120),MortAges,0),MAX(MIN(C721,5),0)+1)</f>
        <v/>
      </c>
      <c r="G721" s="31">
        <f>1-(1-F721)^(1/12)</f>
        <v/>
      </c>
      <c r="H721" s="32">
        <f>MAX(LapseBase-LapseStep*C721,LapseFloor)</f>
        <v/>
      </c>
      <c r="I721" s="32">
        <f>IF(HasSurrCharge,INDEX(SurrRates,MIN(C721,SurrDurMax)+1,MATCH(SurrChargeID,SurrTypes,0)),0)</f>
        <v/>
      </c>
      <c r="J721" s="33">
        <f>N720-P720-O720</f>
        <v/>
      </c>
      <c r="K721" s="30">
        <f>IF(B721=12*PolicyTerm,J721,0)</f>
        <v/>
      </c>
      <c r="L721" s="33">
        <f>J721-K721</f>
        <v/>
      </c>
      <c r="M721" s="30">
        <f>IF(B721=0,PolicyCount,0)</f>
        <v/>
      </c>
      <c r="N721" s="33">
        <f>L721+M721</f>
        <v/>
      </c>
      <c r="O721" s="31">
        <f>N721*G721</f>
        <v/>
      </c>
      <c r="P721" s="33">
        <f>(N721-O721)*(1-(1-H721)^(1/12))</f>
        <v/>
      </c>
      <c r="Q721" s="34">
        <f>X720+Z720</f>
        <v/>
      </c>
      <c r="R721" s="29">
        <f>(1-LoadPremRate)*E721</f>
        <v/>
      </c>
      <c r="S721" s="34">
        <f>Q721+R721</f>
        <v/>
      </c>
      <c r="T721" s="29">
        <f>MaintFeeRateAnn/12*S721</f>
        <v/>
      </c>
      <c r="U721" s="29">
        <f>MAX(SumAssured-S721,0)</f>
        <v/>
      </c>
      <c r="V721" s="35">
        <f>CoiMultiple*G721</f>
        <v/>
      </c>
      <c r="W721" s="34">
        <f>V721*U721</f>
        <v/>
      </c>
      <c r="X721" s="34">
        <f>S721-T721-W721</f>
        <v/>
      </c>
      <c r="Y721" s="36">
        <f>EXP((Mu-0.5*Sigma^2)/12+Sigma*SQRT(1/12)*INDEX(NormRand,ScenID,A721+1))-1</f>
        <v/>
      </c>
      <c r="Z721" s="34">
        <f>Y721*X721</f>
        <v/>
      </c>
      <c r="AA721" s="34">
        <f>X721+0.5*Z721</f>
        <v/>
      </c>
      <c r="AB721" s="34">
        <f>Q721*J721</f>
        <v/>
      </c>
      <c r="AC721" s="34">
        <f>Q721*L721</f>
        <v/>
      </c>
      <c r="AD721" s="34">
        <f>S721*N721</f>
        <v/>
      </c>
      <c r="AE721" s="34">
        <f>E721*N721</f>
        <v/>
      </c>
      <c r="AF721" s="34">
        <f>R721*N721</f>
        <v/>
      </c>
      <c r="AG721" s="29">
        <f>MAX(SumAssured,AA721)</f>
        <v/>
      </c>
      <c r="AH721" s="34">
        <f>AG721*O721</f>
        <v/>
      </c>
      <c r="AI721" s="34">
        <f>AA721*O721</f>
        <v/>
      </c>
      <c r="AJ721" s="34">
        <f>AA721*P721</f>
        <v/>
      </c>
      <c r="AK721" s="34">
        <f>I721*AA721*P721</f>
        <v/>
      </c>
      <c r="AL721" s="34">
        <f>AJ721-AK721</f>
        <v/>
      </c>
      <c r="AM721" s="34">
        <f>Q721*K721</f>
        <v/>
      </c>
      <c r="AN721" s="34">
        <f>AH721+AL721+AM721</f>
        <v/>
      </c>
      <c r="AO721" s="34">
        <f>(AG721-AA721)*O721</f>
        <v/>
      </c>
      <c r="AP721" s="34">
        <f>W721*N721</f>
        <v/>
      </c>
      <c r="AQ721" s="34">
        <f>T721*N721</f>
        <v/>
      </c>
      <c r="AR721" s="34">
        <f>Z721*J722+0.5*Z721*(O721+P721)</f>
        <v/>
      </c>
      <c r="AS721" s="30">
        <f>(1+InflationRate)^(A721/12)</f>
        <v/>
      </c>
      <c r="AT721" s="29">
        <f>ExpenseAcq*M721+N721*ExpenseMaint/12*AS721</f>
        <v/>
      </c>
      <c r="AU721" s="29">
        <f>CommissionRate*AE721</f>
        <v/>
      </c>
      <c r="AV721" s="34">
        <f>AB722-AB721</f>
        <v/>
      </c>
      <c r="AW721" s="34">
        <f>AE721+AR721-AN721-AT721-AU721-AV721</f>
        <v/>
      </c>
      <c r="AX721" s="29">
        <f>LoadPremRate*E721*N721+AK721+AQ721-AU721-AT721</f>
        <v/>
      </c>
      <c r="AY721" s="34">
        <f>AP721-AO721</f>
        <v/>
      </c>
      <c r="AZ721" s="37">
        <f>(AW721-AX721-AY721)/MAX(1,ABS(AW721),ABS(AX721),ABS(AY721))</f>
        <v/>
      </c>
      <c r="BA721" s="37">
        <f>IF(OR(K721&gt;0,K722&gt;0),0,(AC722-(AC721+AF721-AQ721-AP721+AR721-AI721-AJ721-AM721))/MAX(1,ABS(AC721),ABS(AC722)))</f>
        <v/>
      </c>
      <c r="BB721" s="35">
        <f>(1+INDEX(DiscRateAnn,INT(A721/12)+1))^(1/12)-1</f>
        <v/>
      </c>
      <c r="BC721" s="31">
        <f>(1+BB721)^-A721</f>
        <v/>
      </c>
      <c r="BD721" s="34">
        <f>AW721*BC721</f>
        <v/>
      </c>
    </row>
    <row r="722">
      <c r="A722" s="27">
        <f>A721+1</f>
        <v/>
      </c>
      <c r="B722" s="28">
        <f>Duration0+A722</f>
        <v/>
      </c>
      <c r="C722" s="27">
        <f>INT(B722/12)</f>
        <v/>
      </c>
      <c r="D722" s="28">
        <f>AgeAtEntry+C722</f>
        <v/>
      </c>
      <c r="E722" s="29">
        <f>IF(PremiumType="SINGLE",IF(B722=0,PremiumPPInput,0),IF(B722&lt;12*PolicyTerm,PremiumPPInput,0))</f>
        <v/>
      </c>
      <c r="F722" s="30">
        <f>INDEX(MortRates,MATCH(MIN(D722,120),MortAges,0),MAX(MIN(C722,5),0)+1)</f>
        <v/>
      </c>
      <c r="G722" s="31">
        <f>1-(1-F722)^(1/12)</f>
        <v/>
      </c>
      <c r="H722" s="32">
        <f>MAX(LapseBase-LapseStep*C722,LapseFloor)</f>
        <v/>
      </c>
      <c r="I722" s="32">
        <f>IF(HasSurrCharge,INDEX(SurrRates,MIN(C722,SurrDurMax)+1,MATCH(SurrChargeID,SurrTypes,0)),0)</f>
        <v/>
      </c>
      <c r="J722" s="33">
        <f>N721-P721-O721</f>
        <v/>
      </c>
      <c r="K722" s="30">
        <f>IF(B722=12*PolicyTerm,J722,0)</f>
        <v/>
      </c>
      <c r="L722" s="33">
        <f>J722-K722</f>
        <v/>
      </c>
      <c r="M722" s="30">
        <f>IF(B722=0,PolicyCount,0)</f>
        <v/>
      </c>
      <c r="N722" s="33">
        <f>L722+M722</f>
        <v/>
      </c>
      <c r="O722" s="31">
        <f>N722*G722</f>
        <v/>
      </c>
      <c r="P722" s="33">
        <f>(N722-O722)*(1-(1-H722)^(1/12))</f>
        <v/>
      </c>
      <c r="Q722" s="34">
        <f>X721+Z721</f>
        <v/>
      </c>
      <c r="R722" s="29">
        <f>(1-LoadPremRate)*E722</f>
        <v/>
      </c>
      <c r="S722" s="34">
        <f>Q722+R722</f>
        <v/>
      </c>
      <c r="T722" s="29">
        <f>MaintFeeRateAnn/12*S722</f>
        <v/>
      </c>
      <c r="U722" s="29">
        <f>MAX(SumAssured-S722,0)</f>
        <v/>
      </c>
      <c r="V722" s="35">
        <f>CoiMultiple*G722</f>
        <v/>
      </c>
      <c r="W722" s="34">
        <f>V722*U722</f>
        <v/>
      </c>
      <c r="X722" s="34">
        <f>S722-T722-W722</f>
        <v/>
      </c>
      <c r="Y722" s="36">
        <f>EXP((Mu-0.5*Sigma^2)/12+Sigma*SQRT(1/12)*INDEX(NormRand,ScenID,A722+1))-1</f>
        <v/>
      </c>
      <c r="Z722" s="34">
        <f>Y722*X722</f>
        <v/>
      </c>
      <c r="AA722" s="34">
        <f>X722+0.5*Z722</f>
        <v/>
      </c>
      <c r="AB722" s="34">
        <f>Q722*J722</f>
        <v/>
      </c>
      <c r="AC722" s="34">
        <f>Q722*L722</f>
        <v/>
      </c>
      <c r="AD722" s="34">
        <f>S722*N722</f>
        <v/>
      </c>
      <c r="AE722" s="34">
        <f>E722*N722</f>
        <v/>
      </c>
      <c r="AF722" s="34">
        <f>R722*N722</f>
        <v/>
      </c>
      <c r="AG722" s="29">
        <f>MAX(SumAssured,AA722)</f>
        <v/>
      </c>
      <c r="AH722" s="34">
        <f>AG722*O722</f>
        <v/>
      </c>
      <c r="AI722" s="34">
        <f>AA722*O722</f>
        <v/>
      </c>
      <c r="AJ722" s="34">
        <f>AA722*P722</f>
        <v/>
      </c>
      <c r="AK722" s="34">
        <f>I722*AA722*P722</f>
        <v/>
      </c>
      <c r="AL722" s="34">
        <f>AJ722-AK722</f>
        <v/>
      </c>
      <c r="AM722" s="34">
        <f>Q722*K722</f>
        <v/>
      </c>
      <c r="AN722" s="34">
        <f>AH722+AL722+AM722</f>
        <v/>
      </c>
      <c r="AO722" s="34">
        <f>(AG722-AA722)*O722</f>
        <v/>
      </c>
      <c r="AP722" s="34">
        <f>W722*N722</f>
        <v/>
      </c>
      <c r="AQ722" s="34">
        <f>T722*N722</f>
        <v/>
      </c>
      <c r="AR722" s="34">
        <f>Z722*J723+0.5*Z722*(O722+P722)</f>
        <v/>
      </c>
      <c r="AS722" s="30">
        <f>(1+InflationRate)^(A722/12)</f>
        <v/>
      </c>
      <c r="AT722" s="29">
        <f>ExpenseAcq*M722+N722*ExpenseMaint/12*AS722</f>
        <v/>
      </c>
      <c r="AU722" s="29">
        <f>CommissionRate*AE722</f>
        <v/>
      </c>
      <c r="AV722" s="34">
        <f>AB723-AB722</f>
        <v/>
      </c>
      <c r="AW722" s="34">
        <f>AE722+AR722-AN722-AT722-AU722-AV722</f>
        <v/>
      </c>
      <c r="AX722" s="29">
        <f>LoadPremRate*E722*N722+AK722+AQ722-AU722-AT722</f>
        <v/>
      </c>
      <c r="AY722" s="34">
        <f>AP722-AO722</f>
        <v/>
      </c>
      <c r="AZ722" s="37">
        <f>(AW722-AX722-AY722)/MAX(1,ABS(AW722),ABS(AX722),ABS(AY722))</f>
        <v/>
      </c>
      <c r="BA722" s="37">
        <f>IF(OR(K722&gt;0,K723&gt;0),0,(AC723-(AC722+AF722-AQ722-AP722+AR722-AI722-AJ722-AM722))/MAX(1,ABS(AC722),ABS(AC723)))</f>
        <v/>
      </c>
      <c r="BB722" s="35">
        <f>(1+INDEX(DiscRateAnn,INT(A722/12)+1))^(1/12)-1</f>
        <v/>
      </c>
      <c r="BC722" s="31">
        <f>(1+BB722)^-A722</f>
        <v/>
      </c>
      <c r="BD722" s="34">
        <f>AW722*BC722</f>
        <v/>
      </c>
    </row>
    <row r="723">
      <c r="A723" s="27">
        <f>A722+1</f>
        <v/>
      </c>
      <c r="B723" s="28">
        <f>Duration0+A723</f>
        <v/>
      </c>
      <c r="C723" s="27">
        <f>INT(B723/12)</f>
        <v/>
      </c>
      <c r="D723" s="28">
        <f>AgeAtEntry+C723</f>
        <v/>
      </c>
      <c r="E723" s="29">
        <f>IF(PremiumType="SINGLE",IF(B723=0,PremiumPPInput,0),IF(B723&lt;12*PolicyTerm,PremiumPPInput,0))</f>
        <v/>
      </c>
      <c r="F723" s="30">
        <f>INDEX(MortRates,MATCH(MIN(D723,120),MortAges,0),MAX(MIN(C723,5),0)+1)</f>
        <v/>
      </c>
      <c r="G723" s="31">
        <f>1-(1-F723)^(1/12)</f>
        <v/>
      </c>
      <c r="H723" s="32">
        <f>MAX(LapseBase-LapseStep*C723,LapseFloor)</f>
        <v/>
      </c>
      <c r="I723" s="32">
        <f>IF(HasSurrCharge,INDEX(SurrRates,MIN(C723,SurrDurMax)+1,MATCH(SurrChargeID,SurrTypes,0)),0)</f>
        <v/>
      </c>
      <c r="J723" s="33">
        <f>N722-P722-O722</f>
        <v/>
      </c>
      <c r="K723" s="30">
        <f>IF(B723=12*PolicyTerm,J723,0)</f>
        <v/>
      </c>
      <c r="L723" s="33">
        <f>J723-K723</f>
        <v/>
      </c>
      <c r="M723" s="30">
        <f>IF(B723=0,PolicyCount,0)</f>
        <v/>
      </c>
      <c r="N723" s="33">
        <f>L723+M723</f>
        <v/>
      </c>
      <c r="O723" s="31">
        <f>N723*G723</f>
        <v/>
      </c>
      <c r="P723" s="33">
        <f>(N723-O723)*(1-(1-H723)^(1/12))</f>
        <v/>
      </c>
      <c r="Q723" s="34">
        <f>X722+Z722</f>
        <v/>
      </c>
      <c r="R723" s="29">
        <f>(1-LoadPremRate)*E723</f>
        <v/>
      </c>
      <c r="S723" s="34">
        <f>Q723+R723</f>
        <v/>
      </c>
      <c r="T723" s="29">
        <f>MaintFeeRateAnn/12*S723</f>
        <v/>
      </c>
      <c r="U723" s="29">
        <f>MAX(SumAssured-S723,0)</f>
        <v/>
      </c>
      <c r="V723" s="35">
        <f>CoiMultiple*G723</f>
        <v/>
      </c>
      <c r="W723" s="34">
        <f>V723*U723</f>
        <v/>
      </c>
      <c r="X723" s="34">
        <f>S723-T723-W723</f>
        <v/>
      </c>
      <c r="Y723" s="36">
        <f>EXP((Mu-0.5*Sigma^2)/12+Sigma*SQRT(1/12)*INDEX(NormRand,ScenID,A723+1))-1</f>
        <v/>
      </c>
      <c r="Z723" s="34">
        <f>Y723*X723</f>
        <v/>
      </c>
      <c r="AA723" s="34">
        <f>X723+0.5*Z723</f>
        <v/>
      </c>
      <c r="AB723" s="34">
        <f>Q723*J723</f>
        <v/>
      </c>
      <c r="AC723" s="34">
        <f>Q723*L723</f>
        <v/>
      </c>
      <c r="AD723" s="34">
        <f>S723*N723</f>
        <v/>
      </c>
      <c r="AE723" s="34">
        <f>E723*N723</f>
        <v/>
      </c>
      <c r="AF723" s="34">
        <f>R723*N723</f>
        <v/>
      </c>
      <c r="AG723" s="29">
        <f>MAX(SumAssured,AA723)</f>
        <v/>
      </c>
      <c r="AH723" s="34">
        <f>AG723*O723</f>
        <v/>
      </c>
      <c r="AI723" s="34">
        <f>AA723*O723</f>
        <v/>
      </c>
      <c r="AJ723" s="34">
        <f>AA723*P723</f>
        <v/>
      </c>
      <c r="AK723" s="34">
        <f>I723*AA723*P723</f>
        <v/>
      </c>
      <c r="AL723" s="34">
        <f>AJ723-AK723</f>
        <v/>
      </c>
      <c r="AM723" s="34">
        <f>Q723*K723</f>
        <v/>
      </c>
      <c r="AN723" s="34">
        <f>AH723+AL723+AM723</f>
        <v/>
      </c>
      <c r="AO723" s="34">
        <f>(AG723-AA723)*O723</f>
        <v/>
      </c>
      <c r="AP723" s="34">
        <f>W723*N723</f>
        <v/>
      </c>
      <c r="AQ723" s="34">
        <f>T723*N723</f>
        <v/>
      </c>
      <c r="AR723" s="34">
        <f>Z723*J724+0.5*Z723*(O723+P723)</f>
        <v/>
      </c>
      <c r="AS723" s="30">
        <f>(1+InflationRate)^(A723/12)</f>
        <v/>
      </c>
      <c r="AT723" s="29">
        <f>ExpenseAcq*M723+N723*ExpenseMaint/12*AS723</f>
        <v/>
      </c>
      <c r="AU723" s="29">
        <f>CommissionRate*AE723</f>
        <v/>
      </c>
      <c r="AV723" s="34">
        <f>AB724-AB723</f>
        <v/>
      </c>
      <c r="AW723" s="34">
        <f>AE723+AR723-AN723-AT723-AU723-AV723</f>
        <v/>
      </c>
      <c r="AX723" s="29">
        <f>LoadPremRate*E723*N723+AK723+AQ723-AU723-AT723</f>
        <v/>
      </c>
      <c r="AY723" s="34">
        <f>AP723-AO723</f>
        <v/>
      </c>
      <c r="AZ723" s="37">
        <f>(AW723-AX723-AY723)/MAX(1,ABS(AW723),ABS(AX723),ABS(AY723))</f>
        <v/>
      </c>
      <c r="BA723" s="37">
        <f>IF(OR(K723&gt;0,K724&gt;0),0,(AC724-(AC723+AF723-AQ723-AP723+AR723-AI723-AJ723-AM723))/MAX(1,ABS(AC723),ABS(AC724)))</f>
        <v/>
      </c>
      <c r="BB723" s="35">
        <f>(1+INDEX(DiscRateAnn,INT(A723/12)+1))^(1/12)-1</f>
        <v/>
      </c>
      <c r="BC723" s="31">
        <f>(1+BB723)^-A723</f>
        <v/>
      </c>
      <c r="BD723" s="34">
        <f>AW723*BC723</f>
        <v/>
      </c>
    </row>
    <row r="724">
      <c r="A724" s="27">
        <f>A723+1</f>
        <v/>
      </c>
      <c r="B724" s="28">
        <f>Duration0+A724</f>
        <v/>
      </c>
      <c r="C724" s="27">
        <f>INT(B724/12)</f>
        <v/>
      </c>
      <c r="D724" s="28">
        <f>AgeAtEntry+C724</f>
        <v/>
      </c>
      <c r="E724" s="29">
        <f>IF(PremiumType="SINGLE",IF(B724=0,PremiumPPInput,0),IF(B724&lt;12*PolicyTerm,PremiumPPInput,0))</f>
        <v/>
      </c>
      <c r="F724" s="30">
        <f>INDEX(MortRates,MATCH(MIN(D724,120),MortAges,0),MAX(MIN(C724,5),0)+1)</f>
        <v/>
      </c>
      <c r="G724" s="31">
        <f>1-(1-F724)^(1/12)</f>
        <v/>
      </c>
      <c r="H724" s="32">
        <f>MAX(LapseBase-LapseStep*C724,LapseFloor)</f>
        <v/>
      </c>
      <c r="I724" s="32">
        <f>IF(HasSurrCharge,INDEX(SurrRates,MIN(C724,SurrDurMax)+1,MATCH(SurrChargeID,SurrTypes,0)),0)</f>
        <v/>
      </c>
      <c r="J724" s="33">
        <f>N723-P723-O723</f>
        <v/>
      </c>
      <c r="K724" s="30">
        <f>IF(B724=12*PolicyTerm,J724,0)</f>
        <v/>
      </c>
      <c r="L724" s="33">
        <f>J724-K724</f>
        <v/>
      </c>
      <c r="M724" s="30">
        <f>IF(B724=0,PolicyCount,0)</f>
        <v/>
      </c>
      <c r="N724" s="33">
        <f>L724+M724</f>
        <v/>
      </c>
      <c r="O724" s="31">
        <f>N724*G724</f>
        <v/>
      </c>
      <c r="P724" s="33">
        <f>(N724-O724)*(1-(1-H724)^(1/12))</f>
        <v/>
      </c>
      <c r="Q724" s="34">
        <f>X723+Z723</f>
        <v/>
      </c>
      <c r="R724" s="29">
        <f>(1-LoadPremRate)*E724</f>
        <v/>
      </c>
      <c r="S724" s="34">
        <f>Q724+R724</f>
        <v/>
      </c>
      <c r="T724" s="29">
        <f>MaintFeeRateAnn/12*S724</f>
        <v/>
      </c>
      <c r="U724" s="29">
        <f>MAX(SumAssured-S724,0)</f>
        <v/>
      </c>
      <c r="V724" s="35">
        <f>CoiMultiple*G724</f>
        <v/>
      </c>
      <c r="W724" s="34">
        <f>V724*U724</f>
        <v/>
      </c>
      <c r="X724" s="34">
        <f>S724-T724-W724</f>
        <v/>
      </c>
      <c r="Y724" s="36">
        <f>EXP((Mu-0.5*Sigma^2)/12+Sigma*SQRT(1/12)*INDEX(NormRand,ScenID,A724+1))-1</f>
        <v/>
      </c>
      <c r="Z724" s="34">
        <f>Y724*X724</f>
        <v/>
      </c>
      <c r="AA724" s="34">
        <f>X724+0.5*Z724</f>
        <v/>
      </c>
      <c r="AB724" s="34">
        <f>Q724*J724</f>
        <v/>
      </c>
      <c r="AC724" s="34">
        <f>Q724*L724</f>
        <v/>
      </c>
      <c r="AD724" s="34">
        <f>S724*N724</f>
        <v/>
      </c>
      <c r="AE724" s="34">
        <f>E724*N724</f>
        <v/>
      </c>
      <c r="AF724" s="34">
        <f>R724*N724</f>
        <v/>
      </c>
      <c r="AG724" s="29">
        <f>MAX(SumAssured,AA724)</f>
        <v/>
      </c>
      <c r="AH724" s="34">
        <f>AG724*O724</f>
        <v/>
      </c>
      <c r="AI724" s="34">
        <f>AA724*O724</f>
        <v/>
      </c>
      <c r="AJ724" s="34">
        <f>AA724*P724</f>
        <v/>
      </c>
      <c r="AK724" s="34">
        <f>I724*AA724*P724</f>
        <v/>
      </c>
      <c r="AL724" s="34">
        <f>AJ724-AK724</f>
        <v/>
      </c>
      <c r="AM724" s="34">
        <f>Q724*K724</f>
        <v/>
      </c>
      <c r="AN724" s="34">
        <f>AH724+AL724+AM724</f>
        <v/>
      </c>
      <c r="AO724" s="34">
        <f>(AG724-AA724)*O724</f>
        <v/>
      </c>
      <c r="AP724" s="34">
        <f>W724*N724</f>
        <v/>
      </c>
      <c r="AQ724" s="34">
        <f>T724*N724</f>
        <v/>
      </c>
      <c r="AR724" s="34">
        <f>Z724*J725+0.5*Z724*(O724+P724)</f>
        <v/>
      </c>
      <c r="AS724" s="30">
        <f>(1+InflationRate)^(A724/12)</f>
        <v/>
      </c>
      <c r="AT724" s="29">
        <f>ExpenseAcq*M724+N724*ExpenseMaint/12*AS724</f>
        <v/>
      </c>
      <c r="AU724" s="29">
        <f>CommissionRate*AE724</f>
        <v/>
      </c>
      <c r="AV724" s="34">
        <f>AB725-AB724</f>
        <v/>
      </c>
      <c r="AW724" s="34">
        <f>AE724+AR724-AN724-AT724-AU724-AV724</f>
        <v/>
      </c>
      <c r="AX724" s="29">
        <f>LoadPremRate*E724*N724+AK724+AQ724-AU724-AT724</f>
        <v/>
      </c>
      <c r="AY724" s="34">
        <f>AP724-AO724</f>
        <v/>
      </c>
      <c r="AZ724" s="37">
        <f>(AW724-AX724-AY724)/MAX(1,ABS(AW724),ABS(AX724),ABS(AY724))</f>
        <v/>
      </c>
      <c r="BA724" s="37">
        <f>IF(OR(K724&gt;0,K725&gt;0),0,(AC725-(AC724+AF724-AQ724-AP724+AR724-AI724-AJ724-AM724))/MAX(1,ABS(AC724),ABS(AC725)))</f>
        <v/>
      </c>
      <c r="BB724" s="35">
        <f>(1+INDEX(DiscRateAnn,INT(A724/12)+1))^(1/12)-1</f>
        <v/>
      </c>
      <c r="BC724" s="31">
        <f>(1+BB724)^-A724</f>
        <v/>
      </c>
      <c r="BD724" s="34">
        <f>AW724*BC724</f>
        <v/>
      </c>
    </row>
    <row r="725">
      <c r="A725" s="27">
        <f>A724+1</f>
        <v/>
      </c>
      <c r="B725" s="28">
        <f>Duration0+A725</f>
        <v/>
      </c>
      <c r="C725" s="27">
        <f>INT(B725/12)</f>
        <v/>
      </c>
      <c r="D725" s="28">
        <f>AgeAtEntry+C725</f>
        <v/>
      </c>
      <c r="E725" s="29">
        <f>IF(PremiumType="SINGLE",IF(B725=0,PremiumPPInput,0),IF(B725&lt;12*PolicyTerm,PremiumPPInput,0))</f>
        <v/>
      </c>
      <c r="F725" s="30">
        <f>INDEX(MortRates,MATCH(MIN(D725,120),MortAges,0),MAX(MIN(C725,5),0)+1)</f>
        <v/>
      </c>
      <c r="G725" s="31">
        <f>1-(1-F725)^(1/12)</f>
        <v/>
      </c>
      <c r="H725" s="32">
        <f>MAX(LapseBase-LapseStep*C725,LapseFloor)</f>
        <v/>
      </c>
      <c r="I725" s="32">
        <f>IF(HasSurrCharge,INDEX(SurrRates,MIN(C725,SurrDurMax)+1,MATCH(SurrChargeID,SurrTypes,0)),0)</f>
        <v/>
      </c>
      <c r="J725" s="33">
        <f>N724-P724-O724</f>
        <v/>
      </c>
      <c r="K725" s="30">
        <f>IF(B725=12*PolicyTerm,J725,0)</f>
        <v/>
      </c>
      <c r="L725" s="33">
        <f>J725-K725</f>
        <v/>
      </c>
      <c r="M725" s="30">
        <f>IF(B725=0,PolicyCount,0)</f>
        <v/>
      </c>
      <c r="N725" s="33">
        <f>L725+M725</f>
        <v/>
      </c>
      <c r="O725" s="31">
        <f>N725*G725</f>
        <v/>
      </c>
      <c r="P725" s="33">
        <f>(N725-O725)*(1-(1-H725)^(1/12))</f>
        <v/>
      </c>
      <c r="Q725" s="34">
        <f>X724+Z724</f>
        <v/>
      </c>
      <c r="R725" s="29">
        <f>(1-LoadPremRate)*E725</f>
        <v/>
      </c>
      <c r="S725" s="34">
        <f>Q725+R725</f>
        <v/>
      </c>
      <c r="T725" s="29">
        <f>MaintFeeRateAnn/12*S725</f>
        <v/>
      </c>
      <c r="U725" s="29">
        <f>MAX(SumAssured-S725,0)</f>
        <v/>
      </c>
      <c r="V725" s="35">
        <f>CoiMultiple*G725</f>
        <v/>
      </c>
      <c r="W725" s="34">
        <f>V725*U725</f>
        <v/>
      </c>
      <c r="X725" s="34">
        <f>S725-T725-W725</f>
        <v/>
      </c>
      <c r="Y725" s="36">
        <f>EXP((Mu-0.5*Sigma^2)/12+Sigma*SQRT(1/12)*INDEX(NormRand,ScenID,A725+1))-1</f>
        <v/>
      </c>
      <c r="Z725" s="34">
        <f>Y725*X725</f>
        <v/>
      </c>
      <c r="AA725" s="34">
        <f>X725+0.5*Z725</f>
        <v/>
      </c>
      <c r="AB725" s="34">
        <f>Q725*J725</f>
        <v/>
      </c>
      <c r="AC725" s="34">
        <f>Q725*L725</f>
        <v/>
      </c>
      <c r="AD725" s="34">
        <f>S725*N725</f>
        <v/>
      </c>
      <c r="AE725" s="34">
        <f>E725*N725</f>
        <v/>
      </c>
      <c r="AF725" s="34">
        <f>R725*N725</f>
        <v/>
      </c>
      <c r="AG725" s="29">
        <f>MAX(SumAssured,AA725)</f>
        <v/>
      </c>
      <c r="AH725" s="34">
        <f>AG725*O725</f>
        <v/>
      </c>
      <c r="AI725" s="34">
        <f>AA725*O725</f>
        <v/>
      </c>
      <c r="AJ725" s="34">
        <f>AA725*P725</f>
        <v/>
      </c>
      <c r="AK725" s="34">
        <f>I725*AA725*P725</f>
        <v/>
      </c>
      <c r="AL725" s="34">
        <f>AJ725-AK725</f>
        <v/>
      </c>
      <c r="AM725" s="34">
        <f>Q725*K725</f>
        <v/>
      </c>
      <c r="AN725" s="34">
        <f>AH725+AL725+AM725</f>
        <v/>
      </c>
      <c r="AO725" s="34">
        <f>(AG725-AA725)*O725</f>
        <v/>
      </c>
      <c r="AP725" s="34">
        <f>W725*N725</f>
        <v/>
      </c>
      <c r="AQ725" s="34">
        <f>T725*N725</f>
        <v/>
      </c>
      <c r="AR725" s="34">
        <f>Z725*J726+0.5*Z725*(O725+P725)</f>
        <v/>
      </c>
      <c r="AS725" s="30">
        <f>(1+InflationRate)^(A725/12)</f>
        <v/>
      </c>
      <c r="AT725" s="29">
        <f>ExpenseAcq*M725+N725*ExpenseMaint/12*AS725</f>
        <v/>
      </c>
      <c r="AU725" s="29">
        <f>CommissionRate*AE725</f>
        <v/>
      </c>
      <c r="AV725" s="34">
        <f>AB726-AB725</f>
        <v/>
      </c>
      <c r="AW725" s="34">
        <f>AE725+AR725-AN725-AT725-AU725-AV725</f>
        <v/>
      </c>
      <c r="AX725" s="29">
        <f>LoadPremRate*E725*N725+AK725+AQ725-AU725-AT725</f>
        <v/>
      </c>
      <c r="AY725" s="34">
        <f>AP725-AO725</f>
        <v/>
      </c>
      <c r="AZ725" s="37">
        <f>(AW725-AX725-AY725)/MAX(1,ABS(AW725),ABS(AX725),ABS(AY725))</f>
        <v/>
      </c>
      <c r="BA725" s="37">
        <f>IF(OR(K725&gt;0,K726&gt;0),0,(AC726-(AC725+AF725-AQ725-AP725+AR725-AI725-AJ725-AM725))/MAX(1,ABS(AC725),ABS(AC726)))</f>
        <v/>
      </c>
      <c r="BB725" s="35">
        <f>(1+INDEX(DiscRateAnn,INT(A725/12)+1))^(1/12)-1</f>
        <v/>
      </c>
      <c r="BC725" s="31">
        <f>(1+BB725)^-A725</f>
        <v/>
      </c>
      <c r="BD725" s="34">
        <f>AW725*BC725</f>
        <v/>
      </c>
    </row>
    <row r="726">
      <c r="A726" s="27">
        <f>A725+1</f>
        <v/>
      </c>
      <c r="B726" s="28">
        <f>Duration0+A726</f>
        <v/>
      </c>
      <c r="C726" s="27">
        <f>INT(B726/12)</f>
        <v/>
      </c>
      <c r="D726" s="28">
        <f>AgeAtEntry+C726</f>
        <v/>
      </c>
      <c r="E726" s="29">
        <f>IF(PremiumType="SINGLE",IF(B726=0,PremiumPPInput,0),IF(B726&lt;12*PolicyTerm,PremiumPPInput,0))</f>
        <v/>
      </c>
      <c r="F726" s="30">
        <f>INDEX(MortRates,MATCH(MIN(D726,120),MortAges,0),MAX(MIN(C726,5),0)+1)</f>
        <v/>
      </c>
      <c r="G726" s="31">
        <f>1-(1-F726)^(1/12)</f>
        <v/>
      </c>
      <c r="H726" s="32">
        <f>MAX(LapseBase-LapseStep*C726,LapseFloor)</f>
        <v/>
      </c>
      <c r="I726" s="32">
        <f>IF(HasSurrCharge,INDEX(SurrRates,MIN(C726,SurrDurMax)+1,MATCH(SurrChargeID,SurrTypes,0)),0)</f>
        <v/>
      </c>
      <c r="J726" s="33">
        <f>N725-P725-O725</f>
        <v/>
      </c>
      <c r="K726" s="30">
        <f>IF(B726=12*PolicyTerm,J726,0)</f>
        <v/>
      </c>
      <c r="L726" s="33">
        <f>J726-K726</f>
        <v/>
      </c>
      <c r="M726" s="30">
        <f>IF(B726=0,PolicyCount,0)</f>
        <v/>
      </c>
      <c r="N726" s="33">
        <f>L726+M726</f>
        <v/>
      </c>
      <c r="O726" s="31">
        <f>N726*G726</f>
        <v/>
      </c>
      <c r="P726" s="33">
        <f>(N726-O726)*(1-(1-H726)^(1/12))</f>
        <v/>
      </c>
      <c r="Q726" s="34">
        <f>X725+Z725</f>
        <v/>
      </c>
      <c r="R726" s="29">
        <f>(1-LoadPremRate)*E726</f>
        <v/>
      </c>
      <c r="S726" s="34">
        <f>Q726+R726</f>
        <v/>
      </c>
      <c r="T726" s="29">
        <f>MaintFeeRateAnn/12*S726</f>
        <v/>
      </c>
      <c r="U726" s="29">
        <f>MAX(SumAssured-S726,0)</f>
        <v/>
      </c>
      <c r="V726" s="35">
        <f>CoiMultiple*G726</f>
        <v/>
      </c>
      <c r="W726" s="34">
        <f>V726*U726</f>
        <v/>
      </c>
      <c r="X726" s="34">
        <f>S726-T726-W726</f>
        <v/>
      </c>
      <c r="Y726" s="36">
        <f>EXP((Mu-0.5*Sigma^2)/12+Sigma*SQRT(1/12)*INDEX(NormRand,ScenID,A726+1))-1</f>
        <v/>
      </c>
      <c r="Z726" s="34">
        <f>Y726*X726</f>
        <v/>
      </c>
      <c r="AA726" s="34">
        <f>X726+0.5*Z726</f>
        <v/>
      </c>
      <c r="AB726" s="34">
        <f>Q726*J726</f>
        <v/>
      </c>
      <c r="AC726" s="34">
        <f>Q726*L726</f>
        <v/>
      </c>
      <c r="AD726" s="34">
        <f>S726*N726</f>
        <v/>
      </c>
      <c r="AE726" s="34">
        <f>E726*N726</f>
        <v/>
      </c>
      <c r="AF726" s="34">
        <f>R726*N726</f>
        <v/>
      </c>
      <c r="AG726" s="29">
        <f>MAX(SumAssured,AA726)</f>
        <v/>
      </c>
      <c r="AH726" s="34">
        <f>AG726*O726</f>
        <v/>
      </c>
      <c r="AI726" s="34">
        <f>AA726*O726</f>
        <v/>
      </c>
      <c r="AJ726" s="34">
        <f>AA726*P726</f>
        <v/>
      </c>
      <c r="AK726" s="34">
        <f>I726*AA726*P726</f>
        <v/>
      </c>
      <c r="AL726" s="34">
        <f>AJ726-AK726</f>
        <v/>
      </c>
      <c r="AM726" s="34">
        <f>Q726*K726</f>
        <v/>
      </c>
      <c r="AN726" s="34">
        <f>AH726+AL726+AM726</f>
        <v/>
      </c>
      <c r="AO726" s="34">
        <f>(AG726-AA726)*O726</f>
        <v/>
      </c>
      <c r="AP726" s="34">
        <f>W726*N726</f>
        <v/>
      </c>
      <c r="AQ726" s="34">
        <f>T726*N726</f>
        <v/>
      </c>
      <c r="AR726" s="34">
        <f>Z726*J727+0.5*Z726*(O726+P726)</f>
        <v/>
      </c>
      <c r="AS726" s="30">
        <f>(1+InflationRate)^(A726/12)</f>
        <v/>
      </c>
      <c r="AT726" s="29">
        <f>ExpenseAcq*M726+N726*ExpenseMaint/12*AS726</f>
        <v/>
      </c>
      <c r="AU726" s="29">
        <f>CommissionRate*AE726</f>
        <v/>
      </c>
      <c r="AV726" s="34">
        <f>AB727-AB726</f>
        <v/>
      </c>
      <c r="AW726" s="34">
        <f>AE726+AR726-AN726-AT726-AU726-AV726</f>
        <v/>
      </c>
      <c r="AX726" s="29">
        <f>LoadPremRate*E726*N726+AK726+AQ726-AU726-AT726</f>
        <v/>
      </c>
      <c r="AY726" s="34">
        <f>AP726-AO726</f>
        <v/>
      </c>
      <c r="AZ726" s="37">
        <f>(AW726-AX726-AY726)/MAX(1,ABS(AW726),ABS(AX726),ABS(AY726))</f>
        <v/>
      </c>
      <c r="BA726" s="37">
        <f>IF(OR(K726&gt;0,K727&gt;0),0,(AC727-(AC726+AF726-AQ726-AP726+AR726-AI726-AJ726-AM726))/MAX(1,ABS(AC726),ABS(AC727)))</f>
        <v/>
      </c>
      <c r="BB726" s="35">
        <f>(1+INDEX(DiscRateAnn,INT(A726/12)+1))^(1/12)-1</f>
        <v/>
      </c>
      <c r="BC726" s="31">
        <f>(1+BB726)^-A726</f>
        <v/>
      </c>
      <c r="BD726" s="34">
        <f>AW726*BC726</f>
        <v/>
      </c>
    </row>
    <row r="727">
      <c r="A727" s="27">
        <f>A726+1</f>
        <v/>
      </c>
      <c r="B727" s="28">
        <f>Duration0+A727</f>
        <v/>
      </c>
      <c r="C727" s="27">
        <f>INT(B727/12)</f>
        <v/>
      </c>
      <c r="D727" s="28">
        <f>AgeAtEntry+C727</f>
        <v/>
      </c>
      <c r="E727" s="29">
        <f>IF(PremiumType="SINGLE",IF(B727=0,PremiumPPInput,0),IF(B727&lt;12*PolicyTerm,PremiumPPInput,0))</f>
        <v/>
      </c>
      <c r="F727" s="30">
        <f>INDEX(MortRates,MATCH(MIN(D727,120),MortAges,0),MAX(MIN(C727,5),0)+1)</f>
        <v/>
      </c>
      <c r="G727" s="31">
        <f>1-(1-F727)^(1/12)</f>
        <v/>
      </c>
      <c r="H727" s="32">
        <f>MAX(LapseBase-LapseStep*C727,LapseFloor)</f>
        <v/>
      </c>
      <c r="I727" s="32">
        <f>IF(HasSurrCharge,INDEX(SurrRates,MIN(C727,SurrDurMax)+1,MATCH(SurrChargeID,SurrTypes,0)),0)</f>
        <v/>
      </c>
      <c r="J727" s="33">
        <f>N726-P726-O726</f>
        <v/>
      </c>
      <c r="K727" s="30">
        <f>IF(B727=12*PolicyTerm,J727,0)</f>
        <v/>
      </c>
      <c r="L727" s="33">
        <f>J727-K727</f>
        <v/>
      </c>
      <c r="M727" s="30">
        <f>IF(B727=0,PolicyCount,0)</f>
        <v/>
      </c>
      <c r="N727" s="33">
        <f>L727+M727</f>
        <v/>
      </c>
      <c r="O727" s="31">
        <f>N727*G727</f>
        <v/>
      </c>
      <c r="P727" s="33">
        <f>(N727-O727)*(1-(1-H727)^(1/12))</f>
        <v/>
      </c>
      <c r="Q727" s="34">
        <f>X726+Z726</f>
        <v/>
      </c>
      <c r="R727" s="29">
        <f>(1-LoadPremRate)*E727</f>
        <v/>
      </c>
      <c r="S727" s="34">
        <f>Q727+R727</f>
        <v/>
      </c>
      <c r="T727" s="29">
        <f>MaintFeeRateAnn/12*S727</f>
        <v/>
      </c>
      <c r="U727" s="29">
        <f>MAX(SumAssured-S727,0)</f>
        <v/>
      </c>
      <c r="V727" s="35">
        <f>CoiMultiple*G727</f>
        <v/>
      </c>
      <c r="W727" s="34">
        <f>V727*U727</f>
        <v/>
      </c>
      <c r="X727" s="34">
        <f>S727-T727-W727</f>
        <v/>
      </c>
      <c r="Y727" s="36">
        <f>EXP((Mu-0.5*Sigma^2)/12+Sigma*SQRT(1/12)*INDEX(NormRand,ScenID,A727+1))-1</f>
        <v/>
      </c>
      <c r="Z727" s="34">
        <f>Y727*X727</f>
        <v/>
      </c>
      <c r="AA727" s="34">
        <f>X727+0.5*Z727</f>
        <v/>
      </c>
      <c r="AB727" s="34">
        <f>Q727*J727</f>
        <v/>
      </c>
      <c r="AC727" s="34">
        <f>Q727*L727</f>
        <v/>
      </c>
      <c r="AD727" s="34">
        <f>S727*N727</f>
        <v/>
      </c>
      <c r="AE727" s="34">
        <f>E727*N727</f>
        <v/>
      </c>
      <c r="AF727" s="34">
        <f>R727*N727</f>
        <v/>
      </c>
      <c r="AG727" s="29">
        <f>MAX(SumAssured,AA727)</f>
        <v/>
      </c>
      <c r="AH727" s="34">
        <f>AG727*O727</f>
        <v/>
      </c>
      <c r="AI727" s="34">
        <f>AA727*O727</f>
        <v/>
      </c>
      <c r="AJ727" s="34">
        <f>AA727*P727</f>
        <v/>
      </c>
      <c r="AK727" s="34">
        <f>I727*AA727*P727</f>
        <v/>
      </c>
      <c r="AL727" s="34">
        <f>AJ727-AK727</f>
        <v/>
      </c>
      <c r="AM727" s="34">
        <f>Q727*K727</f>
        <v/>
      </c>
      <c r="AN727" s="34">
        <f>AH727+AL727+AM727</f>
        <v/>
      </c>
      <c r="AO727" s="34">
        <f>(AG727-AA727)*O727</f>
        <v/>
      </c>
      <c r="AP727" s="34">
        <f>W727*N727</f>
        <v/>
      </c>
      <c r="AQ727" s="34">
        <f>T727*N727</f>
        <v/>
      </c>
      <c r="AR727" s="34">
        <f>Z727*J728+0.5*Z727*(O727+P727)</f>
        <v/>
      </c>
      <c r="AS727" s="30">
        <f>(1+InflationRate)^(A727/12)</f>
        <v/>
      </c>
      <c r="AT727" s="29">
        <f>ExpenseAcq*M727+N727*ExpenseMaint/12*AS727</f>
        <v/>
      </c>
      <c r="AU727" s="29">
        <f>CommissionRate*AE727</f>
        <v/>
      </c>
      <c r="AV727" s="34">
        <f>AB728-AB727</f>
        <v/>
      </c>
      <c r="AW727" s="34">
        <f>AE727+AR727-AN727-AT727-AU727-AV727</f>
        <v/>
      </c>
      <c r="AX727" s="29">
        <f>LoadPremRate*E727*N727+AK727+AQ727-AU727-AT727</f>
        <v/>
      </c>
      <c r="AY727" s="34">
        <f>AP727-AO727</f>
        <v/>
      </c>
      <c r="AZ727" s="37">
        <f>(AW727-AX727-AY727)/MAX(1,ABS(AW727),ABS(AX727),ABS(AY727))</f>
        <v/>
      </c>
      <c r="BA727" s="37">
        <f>IF(OR(K727&gt;0,K728&gt;0),0,(AC728-(AC727+AF727-AQ727-AP727+AR727-AI727-AJ727-AM727))/MAX(1,ABS(AC727),ABS(AC728)))</f>
        <v/>
      </c>
      <c r="BB727" s="35">
        <f>(1+INDEX(DiscRateAnn,INT(A727/12)+1))^(1/12)-1</f>
        <v/>
      </c>
      <c r="BC727" s="31">
        <f>(1+BB727)^-A727</f>
        <v/>
      </c>
      <c r="BD727" s="34">
        <f>AW727*BC727</f>
        <v/>
      </c>
    </row>
    <row r="728">
      <c r="A728" s="27">
        <f>A727+1</f>
        <v/>
      </c>
      <c r="B728" s="28">
        <f>Duration0+A728</f>
        <v/>
      </c>
      <c r="C728" s="27">
        <f>INT(B728/12)</f>
        <v/>
      </c>
      <c r="D728" s="28">
        <f>AgeAtEntry+C728</f>
        <v/>
      </c>
      <c r="E728" s="29">
        <f>IF(PremiumType="SINGLE",IF(B728=0,PremiumPPInput,0),IF(B728&lt;12*PolicyTerm,PremiumPPInput,0))</f>
        <v/>
      </c>
      <c r="F728" s="30">
        <f>INDEX(MortRates,MATCH(MIN(D728,120),MortAges,0),MAX(MIN(C728,5),0)+1)</f>
        <v/>
      </c>
      <c r="G728" s="31">
        <f>1-(1-F728)^(1/12)</f>
        <v/>
      </c>
      <c r="H728" s="32">
        <f>MAX(LapseBase-LapseStep*C728,LapseFloor)</f>
        <v/>
      </c>
      <c r="I728" s="32">
        <f>IF(HasSurrCharge,INDEX(SurrRates,MIN(C728,SurrDurMax)+1,MATCH(SurrChargeID,SurrTypes,0)),0)</f>
        <v/>
      </c>
      <c r="J728" s="33">
        <f>N727-P727-O727</f>
        <v/>
      </c>
      <c r="K728" s="30">
        <f>IF(B728=12*PolicyTerm,J728,0)</f>
        <v/>
      </c>
      <c r="L728" s="33">
        <f>J728-K728</f>
        <v/>
      </c>
      <c r="M728" s="30">
        <f>IF(B728=0,PolicyCount,0)</f>
        <v/>
      </c>
      <c r="N728" s="33">
        <f>L728+M728</f>
        <v/>
      </c>
      <c r="O728" s="31">
        <f>N728*G728</f>
        <v/>
      </c>
      <c r="P728" s="33">
        <f>(N728-O728)*(1-(1-H728)^(1/12))</f>
        <v/>
      </c>
      <c r="Q728" s="34">
        <f>X727+Z727</f>
        <v/>
      </c>
      <c r="R728" s="29">
        <f>(1-LoadPremRate)*E728</f>
        <v/>
      </c>
      <c r="S728" s="34">
        <f>Q728+R728</f>
        <v/>
      </c>
      <c r="T728" s="29">
        <f>MaintFeeRateAnn/12*S728</f>
        <v/>
      </c>
      <c r="U728" s="29">
        <f>MAX(SumAssured-S728,0)</f>
        <v/>
      </c>
      <c r="V728" s="35">
        <f>CoiMultiple*G728</f>
        <v/>
      </c>
      <c r="W728" s="34">
        <f>V728*U728</f>
        <v/>
      </c>
      <c r="X728" s="34">
        <f>S728-T728-W728</f>
        <v/>
      </c>
      <c r="Y728" s="36">
        <f>EXP((Mu-0.5*Sigma^2)/12+Sigma*SQRT(1/12)*INDEX(NormRand,ScenID,A728+1))-1</f>
        <v/>
      </c>
      <c r="Z728" s="34">
        <f>Y728*X728</f>
        <v/>
      </c>
      <c r="AA728" s="34">
        <f>X728+0.5*Z728</f>
        <v/>
      </c>
      <c r="AB728" s="34">
        <f>Q728*J728</f>
        <v/>
      </c>
      <c r="AC728" s="34">
        <f>Q728*L728</f>
        <v/>
      </c>
      <c r="AD728" s="34">
        <f>S728*N728</f>
        <v/>
      </c>
      <c r="AE728" s="34">
        <f>E728*N728</f>
        <v/>
      </c>
      <c r="AF728" s="34">
        <f>R728*N728</f>
        <v/>
      </c>
      <c r="AG728" s="29">
        <f>MAX(SumAssured,AA728)</f>
        <v/>
      </c>
      <c r="AH728" s="34">
        <f>AG728*O728</f>
        <v/>
      </c>
      <c r="AI728" s="34">
        <f>AA728*O728</f>
        <v/>
      </c>
      <c r="AJ728" s="34">
        <f>AA728*P728</f>
        <v/>
      </c>
      <c r="AK728" s="34">
        <f>I728*AA728*P728</f>
        <v/>
      </c>
      <c r="AL728" s="34">
        <f>AJ728-AK728</f>
        <v/>
      </c>
      <c r="AM728" s="34">
        <f>Q728*K728</f>
        <v/>
      </c>
      <c r="AN728" s="34">
        <f>AH728+AL728+AM728</f>
        <v/>
      </c>
      <c r="AO728" s="34">
        <f>(AG728-AA728)*O728</f>
        <v/>
      </c>
      <c r="AP728" s="34">
        <f>W728*N728</f>
        <v/>
      </c>
      <c r="AQ728" s="34">
        <f>T728*N728</f>
        <v/>
      </c>
      <c r="AR728" s="34">
        <f>Z728*J729+0.5*Z728*(O728+P728)</f>
        <v/>
      </c>
      <c r="AS728" s="30">
        <f>(1+InflationRate)^(A728/12)</f>
        <v/>
      </c>
      <c r="AT728" s="29">
        <f>ExpenseAcq*M728+N728*ExpenseMaint/12*AS728</f>
        <v/>
      </c>
      <c r="AU728" s="29">
        <f>CommissionRate*AE728</f>
        <v/>
      </c>
      <c r="AV728" s="34">
        <f>AB729-AB728</f>
        <v/>
      </c>
      <c r="AW728" s="34">
        <f>AE728+AR728-AN728-AT728-AU728-AV728</f>
        <v/>
      </c>
      <c r="AX728" s="29">
        <f>LoadPremRate*E728*N728+AK728+AQ728-AU728-AT728</f>
        <v/>
      </c>
      <c r="AY728" s="34">
        <f>AP728-AO728</f>
        <v/>
      </c>
      <c r="AZ728" s="37">
        <f>(AW728-AX728-AY728)/MAX(1,ABS(AW728),ABS(AX728),ABS(AY728))</f>
        <v/>
      </c>
      <c r="BA728" s="37">
        <f>IF(OR(K728&gt;0,K729&gt;0),0,(AC729-(AC728+AF728-AQ728-AP728+AR728-AI728-AJ728-AM728))/MAX(1,ABS(AC728),ABS(AC729)))</f>
        <v/>
      </c>
      <c r="BB728" s="35">
        <f>(1+INDEX(DiscRateAnn,INT(A728/12)+1))^(1/12)-1</f>
        <v/>
      </c>
      <c r="BC728" s="31">
        <f>(1+BB728)^-A728</f>
        <v/>
      </c>
      <c r="BD728" s="34">
        <f>AW728*BC728</f>
        <v/>
      </c>
    </row>
    <row r="729">
      <c r="A729" s="27">
        <f>A728+1</f>
        <v/>
      </c>
      <c r="B729" s="28">
        <f>Duration0+A729</f>
        <v/>
      </c>
      <c r="C729" s="27">
        <f>INT(B729/12)</f>
        <v/>
      </c>
      <c r="D729" s="28">
        <f>AgeAtEntry+C729</f>
        <v/>
      </c>
      <c r="E729" s="29">
        <f>IF(PremiumType="SINGLE",IF(B729=0,PremiumPPInput,0),IF(B729&lt;12*PolicyTerm,PremiumPPInput,0))</f>
        <v/>
      </c>
      <c r="F729" s="30">
        <f>INDEX(MortRates,MATCH(MIN(D729,120),MortAges,0),MAX(MIN(C729,5),0)+1)</f>
        <v/>
      </c>
      <c r="G729" s="31">
        <f>1-(1-F729)^(1/12)</f>
        <v/>
      </c>
      <c r="H729" s="32">
        <f>MAX(LapseBase-LapseStep*C729,LapseFloor)</f>
        <v/>
      </c>
      <c r="I729" s="32">
        <f>IF(HasSurrCharge,INDEX(SurrRates,MIN(C729,SurrDurMax)+1,MATCH(SurrChargeID,SurrTypes,0)),0)</f>
        <v/>
      </c>
      <c r="J729" s="33">
        <f>N728-P728-O728</f>
        <v/>
      </c>
      <c r="K729" s="30">
        <f>IF(B729=12*PolicyTerm,J729,0)</f>
        <v/>
      </c>
      <c r="L729" s="33">
        <f>J729-K729</f>
        <v/>
      </c>
      <c r="M729" s="30">
        <f>IF(B729=0,PolicyCount,0)</f>
        <v/>
      </c>
      <c r="N729" s="33">
        <f>L729+M729</f>
        <v/>
      </c>
      <c r="O729" s="31">
        <f>N729*G729</f>
        <v/>
      </c>
      <c r="P729" s="33">
        <f>(N729-O729)*(1-(1-H729)^(1/12))</f>
        <v/>
      </c>
      <c r="Q729" s="34">
        <f>X728+Z728</f>
        <v/>
      </c>
      <c r="R729" s="29">
        <f>(1-LoadPremRate)*E729</f>
        <v/>
      </c>
      <c r="S729" s="34">
        <f>Q729+R729</f>
        <v/>
      </c>
      <c r="T729" s="29">
        <f>MaintFeeRateAnn/12*S729</f>
        <v/>
      </c>
      <c r="U729" s="29">
        <f>MAX(SumAssured-S729,0)</f>
        <v/>
      </c>
      <c r="V729" s="35">
        <f>CoiMultiple*G729</f>
        <v/>
      </c>
      <c r="W729" s="34">
        <f>V729*U729</f>
        <v/>
      </c>
      <c r="X729" s="34">
        <f>S729-T729-W729</f>
        <v/>
      </c>
      <c r="Y729" s="36">
        <f>EXP((Mu-0.5*Sigma^2)/12+Sigma*SQRT(1/12)*INDEX(NormRand,ScenID,A729+1))-1</f>
        <v/>
      </c>
      <c r="Z729" s="34">
        <f>Y729*X729</f>
        <v/>
      </c>
      <c r="AA729" s="34">
        <f>X729+0.5*Z729</f>
        <v/>
      </c>
      <c r="AB729" s="34">
        <f>Q729*J729</f>
        <v/>
      </c>
      <c r="AC729" s="34">
        <f>Q729*L729</f>
        <v/>
      </c>
      <c r="AD729" s="34">
        <f>S729*N729</f>
        <v/>
      </c>
      <c r="AE729" s="34">
        <f>E729*N729</f>
        <v/>
      </c>
      <c r="AF729" s="34">
        <f>R729*N729</f>
        <v/>
      </c>
      <c r="AG729" s="29">
        <f>MAX(SumAssured,AA729)</f>
        <v/>
      </c>
      <c r="AH729" s="34">
        <f>AG729*O729</f>
        <v/>
      </c>
      <c r="AI729" s="34">
        <f>AA729*O729</f>
        <v/>
      </c>
      <c r="AJ729" s="34">
        <f>AA729*P729</f>
        <v/>
      </c>
      <c r="AK729" s="34">
        <f>I729*AA729*P729</f>
        <v/>
      </c>
      <c r="AL729" s="34">
        <f>AJ729-AK729</f>
        <v/>
      </c>
      <c r="AM729" s="34">
        <f>Q729*K729</f>
        <v/>
      </c>
      <c r="AN729" s="34">
        <f>AH729+AL729+AM729</f>
        <v/>
      </c>
      <c r="AO729" s="34">
        <f>(AG729-AA729)*O729</f>
        <v/>
      </c>
      <c r="AP729" s="34">
        <f>W729*N729</f>
        <v/>
      </c>
      <c r="AQ729" s="34">
        <f>T729*N729</f>
        <v/>
      </c>
      <c r="AR729" s="34">
        <f>Z729*J730+0.5*Z729*(O729+P729)</f>
        <v/>
      </c>
      <c r="AS729" s="30">
        <f>(1+InflationRate)^(A729/12)</f>
        <v/>
      </c>
      <c r="AT729" s="29">
        <f>ExpenseAcq*M729+N729*ExpenseMaint/12*AS729</f>
        <v/>
      </c>
      <c r="AU729" s="29">
        <f>CommissionRate*AE729</f>
        <v/>
      </c>
      <c r="AV729" s="34">
        <f>AB730-AB729</f>
        <v/>
      </c>
      <c r="AW729" s="34">
        <f>AE729+AR729-AN729-AT729-AU729-AV729</f>
        <v/>
      </c>
      <c r="AX729" s="29">
        <f>LoadPremRate*E729*N729+AK729+AQ729-AU729-AT729</f>
        <v/>
      </c>
      <c r="AY729" s="34">
        <f>AP729-AO729</f>
        <v/>
      </c>
      <c r="AZ729" s="37">
        <f>(AW729-AX729-AY729)/MAX(1,ABS(AW729),ABS(AX729),ABS(AY729))</f>
        <v/>
      </c>
      <c r="BA729" s="37">
        <f>IF(OR(K729&gt;0,K730&gt;0),0,(AC730-(AC729+AF729-AQ729-AP729+AR729-AI729-AJ729-AM729))/MAX(1,ABS(AC729),ABS(AC730)))</f>
        <v/>
      </c>
      <c r="BB729" s="35">
        <f>(1+INDEX(DiscRateAnn,INT(A729/12)+1))^(1/12)-1</f>
        <v/>
      </c>
      <c r="BC729" s="31">
        <f>(1+BB729)^-A729</f>
        <v/>
      </c>
      <c r="BD729" s="34">
        <f>AW729*BC729</f>
        <v/>
      </c>
    </row>
    <row r="730">
      <c r="A730" s="27">
        <f>A729+1</f>
        <v/>
      </c>
      <c r="B730" s="28">
        <f>Duration0+A730</f>
        <v/>
      </c>
      <c r="C730" s="27">
        <f>INT(B730/12)</f>
        <v/>
      </c>
      <c r="D730" s="28">
        <f>AgeAtEntry+C730</f>
        <v/>
      </c>
      <c r="E730" s="29">
        <f>IF(PremiumType="SINGLE",IF(B730=0,PremiumPPInput,0),IF(B730&lt;12*PolicyTerm,PremiumPPInput,0))</f>
        <v/>
      </c>
      <c r="F730" s="30">
        <f>INDEX(MortRates,MATCH(MIN(D730,120),MortAges,0),MAX(MIN(C730,5),0)+1)</f>
        <v/>
      </c>
      <c r="G730" s="31">
        <f>1-(1-F730)^(1/12)</f>
        <v/>
      </c>
      <c r="H730" s="32">
        <f>MAX(LapseBase-LapseStep*C730,LapseFloor)</f>
        <v/>
      </c>
      <c r="I730" s="32">
        <f>IF(HasSurrCharge,INDEX(SurrRates,MIN(C730,SurrDurMax)+1,MATCH(SurrChargeID,SurrTypes,0)),0)</f>
        <v/>
      </c>
      <c r="J730" s="33">
        <f>N729-P729-O729</f>
        <v/>
      </c>
      <c r="K730" s="30">
        <f>IF(B730=12*PolicyTerm,J730,0)</f>
        <v/>
      </c>
      <c r="L730" s="33">
        <f>J730-K730</f>
        <v/>
      </c>
      <c r="M730" s="30">
        <f>IF(B730=0,PolicyCount,0)</f>
        <v/>
      </c>
      <c r="N730" s="33">
        <f>L730+M730</f>
        <v/>
      </c>
      <c r="O730" s="31">
        <f>N730*G730</f>
        <v/>
      </c>
      <c r="P730" s="33">
        <f>(N730-O730)*(1-(1-H730)^(1/12))</f>
        <v/>
      </c>
      <c r="Q730" s="34">
        <f>X729+Z729</f>
        <v/>
      </c>
      <c r="R730" s="29">
        <f>(1-LoadPremRate)*E730</f>
        <v/>
      </c>
      <c r="S730" s="34">
        <f>Q730+R730</f>
        <v/>
      </c>
      <c r="T730" s="29">
        <f>MaintFeeRateAnn/12*S730</f>
        <v/>
      </c>
      <c r="U730" s="29">
        <f>MAX(SumAssured-S730,0)</f>
        <v/>
      </c>
      <c r="V730" s="35">
        <f>CoiMultiple*G730</f>
        <v/>
      </c>
      <c r="W730" s="34">
        <f>V730*U730</f>
        <v/>
      </c>
      <c r="X730" s="34">
        <f>S730-T730-W730</f>
        <v/>
      </c>
      <c r="Y730" s="36">
        <f>EXP((Mu-0.5*Sigma^2)/12+Sigma*SQRT(1/12)*INDEX(NormRand,ScenID,A730+1))-1</f>
        <v/>
      </c>
      <c r="Z730" s="34">
        <f>Y730*X730</f>
        <v/>
      </c>
      <c r="AA730" s="34">
        <f>X730+0.5*Z730</f>
        <v/>
      </c>
      <c r="AB730" s="34">
        <f>Q730*J730</f>
        <v/>
      </c>
      <c r="AC730" s="34">
        <f>Q730*L730</f>
        <v/>
      </c>
      <c r="AD730" s="34">
        <f>S730*N730</f>
        <v/>
      </c>
      <c r="AE730" s="34">
        <f>E730*N730</f>
        <v/>
      </c>
      <c r="AF730" s="34">
        <f>R730*N730</f>
        <v/>
      </c>
      <c r="AG730" s="29">
        <f>MAX(SumAssured,AA730)</f>
        <v/>
      </c>
      <c r="AH730" s="34">
        <f>AG730*O730</f>
        <v/>
      </c>
      <c r="AI730" s="34">
        <f>AA730*O730</f>
        <v/>
      </c>
      <c r="AJ730" s="34">
        <f>AA730*P730</f>
        <v/>
      </c>
      <c r="AK730" s="34">
        <f>I730*AA730*P730</f>
        <v/>
      </c>
      <c r="AL730" s="34">
        <f>AJ730-AK730</f>
        <v/>
      </c>
      <c r="AM730" s="34">
        <f>Q730*K730</f>
        <v/>
      </c>
      <c r="AN730" s="34">
        <f>AH730+AL730+AM730</f>
        <v/>
      </c>
      <c r="AO730" s="34">
        <f>(AG730-AA730)*O730</f>
        <v/>
      </c>
      <c r="AP730" s="34">
        <f>W730*N730</f>
        <v/>
      </c>
      <c r="AQ730" s="34">
        <f>T730*N730</f>
        <v/>
      </c>
      <c r="AR730" s="34">
        <f>Z730*J731+0.5*Z730*(O730+P730)</f>
        <v/>
      </c>
      <c r="AS730" s="30">
        <f>(1+InflationRate)^(A730/12)</f>
        <v/>
      </c>
      <c r="AT730" s="29">
        <f>ExpenseAcq*M730+N730*ExpenseMaint/12*AS730</f>
        <v/>
      </c>
      <c r="AU730" s="29">
        <f>CommissionRate*AE730</f>
        <v/>
      </c>
      <c r="AV730" s="34">
        <f>AB731-AB730</f>
        <v/>
      </c>
      <c r="AW730" s="34">
        <f>AE730+AR730-AN730-AT730-AU730-AV730</f>
        <v/>
      </c>
      <c r="AX730" s="29">
        <f>LoadPremRate*E730*N730+AK730+AQ730-AU730-AT730</f>
        <v/>
      </c>
      <c r="AY730" s="34">
        <f>AP730-AO730</f>
        <v/>
      </c>
      <c r="AZ730" s="37">
        <f>(AW730-AX730-AY730)/MAX(1,ABS(AW730),ABS(AX730),ABS(AY730))</f>
        <v/>
      </c>
      <c r="BA730" s="37">
        <f>IF(OR(K730&gt;0,K731&gt;0),0,(AC731-(AC730+AF730-AQ730-AP730+AR730-AI730-AJ730-AM730))/MAX(1,ABS(AC730),ABS(AC731)))</f>
        <v/>
      </c>
      <c r="BB730" s="35">
        <f>(1+INDEX(DiscRateAnn,INT(A730/12)+1))^(1/12)-1</f>
        <v/>
      </c>
      <c r="BC730" s="31">
        <f>(1+BB730)^-A730</f>
        <v/>
      </c>
      <c r="BD730" s="34">
        <f>AW730*BC730</f>
        <v/>
      </c>
    </row>
    <row r="731">
      <c r="A731" s="27">
        <f>A730+1</f>
        <v/>
      </c>
      <c r="B731" s="28">
        <f>Duration0+A731</f>
        <v/>
      </c>
      <c r="C731" s="27">
        <f>INT(B731/12)</f>
        <v/>
      </c>
      <c r="D731" s="28">
        <f>AgeAtEntry+C731</f>
        <v/>
      </c>
      <c r="E731" s="29">
        <f>IF(PremiumType="SINGLE",IF(B731=0,PremiumPPInput,0),IF(B731&lt;12*PolicyTerm,PremiumPPInput,0))</f>
        <v/>
      </c>
      <c r="F731" s="30">
        <f>INDEX(MortRates,MATCH(MIN(D731,120),MortAges,0),MAX(MIN(C731,5),0)+1)</f>
        <v/>
      </c>
      <c r="G731" s="31">
        <f>1-(1-F731)^(1/12)</f>
        <v/>
      </c>
      <c r="H731" s="32">
        <f>MAX(LapseBase-LapseStep*C731,LapseFloor)</f>
        <v/>
      </c>
      <c r="I731" s="32">
        <f>IF(HasSurrCharge,INDEX(SurrRates,MIN(C731,SurrDurMax)+1,MATCH(SurrChargeID,SurrTypes,0)),0)</f>
        <v/>
      </c>
      <c r="J731" s="33">
        <f>N730-P730-O730</f>
        <v/>
      </c>
      <c r="K731" s="30">
        <f>IF(B731=12*PolicyTerm,J731,0)</f>
        <v/>
      </c>
      <c r="L731" s="33">
        <f>J731-K731</f>
        <v/>
      </c>
      <c r="M731" s="30">
        <f>IF(B731=0,PolicyCount,0)</f>
        <v/>
      </c>
      <c r="N731" s="33">
        <f>L731+M731</f>
        <v/>
      </c>
      <c r="O731" s="31">
        <f>N731*G731</f>
        <v/>
      </c>
      <c r="P731" s="33">
        <f>(N731-O731)*(1-(1-H731)^(1/12))</f>
        <v/>
      </c>
      <c r="Q731" s="34">
        <f>X730+Z730</f>
        <v/>
      </c>
      <c r="R731" s="29">
        <f>(1-LoadPremRate)*E731</f>
        <v/>
      </c>
      <c r="S731" s="34">
        <f>Q731+R731</f>
        <v/>
      </c>
      <c r="T731" s="29">
        <f>MaintFeeRateAnn/12*S731</f>
        <v/>
      </c>
      <c r="U731" s="29">
        <f>MAX(SumAssured-S731,0)</f>
        <v/>
      </c>
      <c r="V731" s="35">
        <f>CoiMultiple*G731</f>
        <v/>
      </c>
      <c r="W731" s="34">
        <f>V731*U731</f>
        <v/>
      </c>
      <c r="X731" s="34">
        <f>S731-T731-W731</f>
        <v/>
      </c>
      <c r="Y731" s="36">
        <f>EXP((Mu-0.5*Sigma^2)/12+Sigma*SQRT(1/12)*INDEX(NormRand,ScenID,A731+1))-1</f>
        <v/>
      </c>
      <c r="Z731" s="34">
        <f>Y731*X731</f>
        <v/>
      </c>
      <c r="AA731" s="34">
        <f>X731+0.5*Z731</f>
        <v/>
      </c>
      <c r="AB731" s="34">
        <f>Q731*J731</f>
        <v/>
      </c>
      <c r="AC731" s="34">
        <f>Q731*L731</f>
        <v/>
      </c>
      <c r="AD731" s="34">
        <f>S731*N731</f>
        <v/>
      </c>
      <c r="AE731" s="34">
        <f>E731*N731</f>
        <v/>
      </c>
      <c r="AF731" s="34">
        <f>R731*N731</f>
        <v/>
      </c>
      <c r="AG731" s="29">
        <f>MAX(SumAssured,AA731)</f>
        <v/>
      </c>
      <c r="AH731" s="34">
        <f>AG731*O731</f>
        <v/>
      </c>
      <c r="AI731" s="34">
        <f>AA731*O731</f>
        <v/>
      </c>
      <c r="AJ731" s="34">
        <f>AA731*P731</f>
        <v/>
      </c>
      <c r="AK731" s="34">
        <f>I731*AA731*P731</f>
        <v/>
      </c>
      <c r="AL731" s="34">
        <f>AJ731-AK731</f>
        <v/>
      </c>
      <c r="AM731" s="34">
        <f>Q731*K731</f>
        <v/>
      </c>
      <c r="AN731" s="34">
        <f>AH731+AL731+AM731</f>
        <v/>
      </c>
      <c r="AO731" s="34">
        <f>(AG731-AA731)*O731</f>
        <v/>
      </c>
      <c r="AP731" s="34">
        <f>W731*N731</f>
        <v/>
      </c>
      <c r="AQ731" s="34">
        <f>T731*N731</f>
        <v/>
      </c>
      <c r="AR731" s="34">
        <f>Z731*J732+0.5*Z731*(O731+P731)</f>
        <v/>
      </c>
      <c r="AS731" s="30">
        <f>(1+InflationRate)^(A731/12)</f>
        <v/>
      </c>
      <c r="AT731" s="29">
        <f>ExpenseAcq*M731+N731*ExpenseMaint/12*AS731</f>
        <v/>
      </c>
      <c r="AU731" s="29">
        <f>CommissionRate*AE731</f>
        <v/>
      </c>
      <c r="AV731" s="34">
        <f>AB732-AB731</f>
        <v/>
      </c>
      <c r="AW731" s="34">
        <f>AE731+AR731-AN731-AT731-AU731-AV731</f>
        <v/>
      </c>
      <c r="AX731" s="29">
        <f>LoadPremRate*E731*N731+AK731+AQ731-AU731-AT731</f>
        <v/>
      </c>
      <c r="AY731" s="34">
        <f>AP731-AO731</f>
        <v/>
      </c>
      <c r="AZ731" s="37">
        <f>(AW731-AX731-AY731)/MAX(1,ABS(AW731),ABS(AX731),ABS(AY731))</f>
        <v/>
      </c>
      <c r="BA731" s="37">
        <f>IF(OR(K731&gt;0,K732&gt;0),0,(AC732-(AC731+AF731-AQ731-AP731+AR731-AI731-AJ731-AM731))/MAX(1,ABS(AC731),ABS(AC732)))</f>
        <v/>
      </c>
      <c r="BB731" s="35">
        <f>(1+INDEX(DiscRateAnn,INT(A731/12)+1))^(1/12)-1</f>
        <v/>
      </c>
      <c r="BC731" s="31">
        <f>(1+BB731)^-A731</f>
        <v/>
      </c>
      <c r="BD731" s="34">
        <f>AW731*BC731</f>
        <v/>
      </c>
    </row>
    <row r="732">
      <c r="A732" s="27">
        <f>A731+1</f>
        <v/>
      </c>
      <c r="B732" s="28">
        <f>Duration0+A732</f>
        <v/>
      </c>
      <c r="C732" s="27">
        <f>INT(B732/12)</f>
        <v/>
      </c>
      <c r="D732" s="28">
        <f>AgeAtEntry+C732</f>
        <v/>
      </c>
      <c r="E732" s="29">
        <f>IF(PremiumType="SINGLE",IF(B732=0,PremiumPPInput,0),IF(B732&lt;12*PolicyTerm,PremiumPPInput,0))</f>
        <v/>
      </c>
      <c r="F732" s="30">
        <f>INDEX(MortRates,MATCH(MIN(D732,120),MortAges,0),MAX(MIN(C732,5),0)+1)</f>
        <v/>
      </c>
      <c r="G732" s="31">
        <f>1-(1-F732)^(1/12)</f>
        <v/>
      </c>
      <c r="H732" s="32">
        <f>MAX(LapseBase-LapseStep*C732,LapseFloor)</f>
        <v/>
      </c>
      <c r="I732" s="32">
        <f>IF(HasSurrCharge,INDEX(SurrRates,MIN(C732,SurrDurMax)+1,MATCH(SurrChargeID,SurrTypes,0)),0)</f>
        <v/>
      </c>
      <c r="J732" s="33">
        <f>N731-P731-O731</f>
        <v/>
      </c>
      <c r="K732" s="30">
        <f>IF(B732=12*PolicyTerm,J732,0)</f>
        <v/>
      </c>
      <c r="L732" s="33">
        <f>J732-K732</f>
        <v/>
      </c>
      <c r="M732" s="30">
        <f>IF(B732=0,PolicyCount,0)</f>
        <v/>
      </c>
      <c r="N732" s="33">
        <f>L732+M732</f>
        <v/>
      </c>
      <c r="O732" s="31">
        <f>N732*G732</f>
        <v/>
      </c>
      <c r="P732" s="33">
        <f>(N732-O732)*(1-(1-H732)^(1/12))</f>
        <v/>
      </c>
      <c r="Q732" s="34">
        <f>X731+Z731</f>
        <v/>
      </c>
      <c r="R732" s="29">
        <f>(1-LoadPremRate)*E732</f>
        <v/>
      </c>
      <c r="S732" s="34">
        <f>Q732+R732</f>
        <v/>
      </c>
      <c r="T732" s="29">
        <f>MaintFeeRateAnn/12*S732</f>
        <v/>
      </c>
      <c r="U732" s="29">
        <f>MAX(SumAssured-S732,0)</f>
        <v/>
      </c>
      <c r="V732" s="35">
        <f>CoiMultiple*G732</f>
        <v/>
      </c>
      <c r="W732" s="34">
        <f>V732*U732</f>
        <v/>
      </c>
      <c r="X732" s="34">
        <f>S732-T732-W732</f>
        <v/>
      </c>
      <c r="Y732" s="36">
        <f>EXP((Mu-0.5*Sigma^2)/12+Sigma*SQRT(1/12)*INDEX(NormRand,ScenID,A732+1))-1</f>
        <v/>
      </c>
      <c r="Z732" s="34">
        <f>Y732*X732</f>
        <v/>
      </c>
      <c r="AA732" s="34">
        <f>X732+0.5*Z732</f>
        <v/>
      </c>
      <c r="AB732" s="34">
        <f>Q732*J732</f>
        <v/>
      </c>
      <c r="AC732" s="34">
        <f>Q732*L732</f>
        <v/>
      </c>
      <c r="AD732" s="34">
        <f>S732*N732</f>
        <v/>
      </c>
      <c r="AE732" s="34">
        <f>E732*N732</f>
        <v/>
      </c>
      <c r="AF732" s="34">
        <f>R732*N732</f>
        <v/>
      </c>
      <c r="AG732" s="29">
        <f>MAX(SumAssured,AA732)</f>
        <v/>
      </c>
      <c r="AH732" s="34">
        <f>AG732*O732</f>
        <v/>
      </c>
      <c r="AI732" s="34">
        <f>AA732*O732</f>
        <v/>
      </c>
      <c r="AJ732" s="34">
        <f>AA732*P732</f>
        <v/>
      </c>
      <c r="AK732" s="34">
        <f>I732*AA732*P732</f>
        <v/>
      </c>
      <c r="AL732" s="34">
        <f>AJ732-AK732</f>
        <v/>
      </c>
      <c r="AM732" s="34">
        <f>Q732*K732</f>
        <v/>
      </c>
      <c r="AN732" s="34">
        <f>AH732+AL732+AM732</f>
        <v/>
      </c>
      <c r="AO732" s="34">
        <f>(AG732-AA732)*O732</f>
        <v/>
      </c>
      <c r="AP732" s="34">
        <f>W732*N732</f>
        <v/>
      </c>
      <c r="AQ732" s="34">
        <f>T732*N732</f>
        <v/>
      </c>
      <c r="AR732" s="34">
        <f>Z732*J733+0.5*Z732*(O732+P732)</f>
        <v/>
      </c>
      <c r="AS732" s="30">
        <f>(1+InflationRate)^(A732/12)</f>
        <v/>
      </c>
      <c r="AT732" s="29">
        <f>ExpenseAcq*M732+N732*ExpenseMaint/12*AS732</f>
        <v/>
      </c>
      <c r="AU732" s="29">
        <f>CommissionRate*AE732</f>
        <v/>
      </c>
      <c r="AV732" s="34">
        <f>AB733-AB732</f>
        <v/>
      </c>
      <c r="AW732" s="34">
        <f>AE732+AR732-AN732-AT732-AU732-AV732</f>
        <v/>
      </c>
      <c r="AX732" s="29">
        <f>LoadPremRate*E732*N732+AK732+AQ732-AU732-AT732</f>
        <v/>
      </c>
      <c r="AY732" s="34">
        <f>AP732-AO732</f>
        <v/>
      </c>
      <c r="AZ732" s="37">
        <f>(AW732-AX732-AY732)/MAX(1,ABS(AW732),ABS(AX732),ABS(AY732))</f>
        <v/>
      </c>
      <c r="BA732" s="37">
        <f>IF(OR(K732&gt;0,K733&gt;0),0,(AC733-(AC732+AF732-AQ732-AP732+AR732-AI732-AJ732-AM732))/MAX(1,ABS(AC732),ABS(AC733)))</f>
        <v/>
      </c>
      <c r="BB732" s="35">
        <f>(1+INDEX(DiscRateAnn,INT(A732/12)+1))^(1/12)-1</f>
        <v/>
      </c>
      <c r="BC732" s="31">
        <f>(1+BB732)^-A732</f>
        <v/>
      </c>
      <c r="BD732" s="34">
        <f>AW732*BC732</f>
        <v/>
      </c>
    </row>
    <row r="733">
      <c r="A733" s="27">
        <f>A732+1</f>
        <v/>
      </c>
      <c r="B733" s="28">
        <f>Duration0+A733</f>
        <v/>
      </c>
      <c r="C733" s="27">
        <f>INT(B733/12)</f>
        <v/>
      </c>
      <c r="D733" s="28">
        <f>AgeAtEntry+C733</f>
        <v/>
      </c>
      <c r="E733" s="29">
        <f>IF(PremiumType="SINGLE",IF(B733=0,PremiumPPInput,0),IF(B733&lt;12*PolicyTerm,PremiumPPInput,0))</f>
        <v/>
      </c>
      <c r="F733" s="30">
        <f>INDEX(MortRates,MATCH(MIN(D733,120),MortAges,0),MAX(MIN(C733,5),0)+1)</f>
        <v/>
      </c>
      <c r="G733" s="31">
        <f>1-(1-F733)^(1/12)</f>
        <v/>
      </c>
      <c r="H733" s="32">
        <f>MAX(LapseBase-LapseStep*C733,LapseFloor)</f>
        <v/>
      </c>
      <c r="I733" s="32">
        <f>IF(HasSurrCharge,INDEX(SurrRates,MIN(C733,SurrDurMax)+1,MATCH(SurrChargeID,SurrTypes,0)),0)</f>
        <v/>
      </c>
      <c r="J733" s="33">
        <f>N732-P732-O732</f>
        <v/>
      </c>
      <c r="K733" s="30">
        <f>IF(B733=12*PolicyTerm,J733,0)</f>
        <v/>
      </c>
      <c r="L733" s="33">
        <f>J733-K733</f>
        <v/>
      </c>
      <c r="M733" s="30">
        <f>IF(B733=0,PolicyCount,0)</f>
        <v/>
      </c>
      <c r="N733" s="33">
        <f>L733+M733</f>
        <v/>
      </c>
      <c r="O733" s="31">
        <f>N733*G733</f>
        <v/>
      </c>
      <c r="P733" s="33">
        <f>(N733-O733)*(1-(1-H733)^(1/12))</f>
        <v/>
      </c>
      <c r="Q733" s="34">
        <f>X732+Z732</f>
        <v/>
      </c>
      <c r="R733" s="29">
        <f>(1-LoadPremRate)*E733</f>
        <v/>
      </c>
      <c r="S733" s="34">
        <f>Q733+R733</f>
        <v/>
      </c>
      <c r="T733" s="29">
        <f>MaintFeeRateAnn/12*S733</f>
        <v/>
      </c>
      <c r="U733" s="29">
        <f>MAX(SumAssured-S733,0)</f>
        <v/>
      </c>
      <c r="V733" s="35">
        <f>CoiMultiple*G733</f>
        <v/>
      </c>
      <c r="W733" s="34">
        <f>V733*U733</f>
        <v/>
      </c>
      <c r="X733" s="34">
        <f>S733-T733-W733</f>
        <v/>
      </c>
      <c r="Y733" s="36">
        <f>EXP((Mu-0.5*Sigma^2)/12+Sigma*SQRT(1/12)*INDEX(NormRand,ScenID,A733+1))-1</f>
        <v/>
      </c>
      <c r="Z733" s="34">
        <f>Y733*X733</f>
        <v/>
      </c>
      <c r="AA733" s="34">
        <f>X733+0.5*Z733</f>
        <v/>
      </c>
      <c r="AB733" s="34">
        <f>Q733*J733</f>
        <v/>
      </c>
      <c r="AC733" s="34">
        <f>Q733*L733</f>
        <v/>
      </c>
      <c r="AD733" s="34">
        <f>S733*N733</f>
        <v/>
      </c>
      <c r="AE733" s="34">
        <f>E733*N733</f>
        <v/>
      </c>
      <c r="AF733" s="34">
        <f>R733*N733</f>
        <v/>
      </c>
      <c r="AG733" s="29">
        <f>MAX(SumAssured,AA733)</f>
        <v/>
      </c>
      <c r="AH733" s="34">
        <f>AG733*O733</f>
        <v/>
      </c>
      <c r="AI733" s="34">
        <f>AA733*O733</f>
        <v/>
      </c>
      <c r="AJ733" s="34">
        <f>AA733*P733</f>
        <v/>
      </c>
      <c r="AK733" s="34">
        <f>I733*AA733*P733</f>
        <v/>
      </c>
      <c r="AL733" s="34">
        <f>AJ733-AK733</f>
        <v/>
      </c>
      <c r="AM733" s="34">
        <f>Q733*K733</f>
        <v/>
      </c>
      <c r="AN733" s="34">
        <f>AH733+AL733+AM733</f>
        <v/>
      </c>
      <c r="AO733" s="34">
        <f>(AG733-AA733)*O733</f>
        <v/>
      </c>
      <c r="AP733" s="34">
        <f>W733*N733</f>
        <v/>
      </c>
      <c r="AQ733" s="34">
        <f>T733*N733</f>
        <v/>
      </c>
      <c r="AR733" s="34">
        <f>Z733*J734+0.5*Z733*(O733+P733)</f>
        <v/>
      </c>
      <c r="AS733" s="30">
        <f>(1+InflationRate)^(A733/12)</f>
        <v/>
      </c>
      <c r="AT733" s="29">
        <f>ExpenseAcq*M733+N733*ExpenseMaint/12*AS733</f>
        <v/>
      </c>
      <c r="AU733" s="29">
        <f>CommissionRate*AE733</f>
        <v/>
      </c>
      <c r="AV733" s="34">
        <f>AB734-AB733</f>
        <v/>
      </c>
      <c r="AW733" s="34">
        <f>AE733+AR733-AN733-AT733-AU733-AV733</f>
        <v/>
      </c>
      <c r="AX733" s="29">
        <f>LoadPremRate*E733*N733+AK733+AQ733-AU733-AT733</f>
        <v/>
      </c>
      <c r="AY733" s="34">
        <f>AP733-AO733</f>
        <v/>
      </c>
      <c r="AZ733" s="37">
        <f>(AW733-AX733-AY733)/MAX(1,ABS(AW733),ABS(AX733),ABS(AY733))</f>
        <v/>
      </c>
      <c r="BA733" s="37">
        <f>IF(OR(K733&gt;0,K734&gt;0),0,(AC734-(AC733+AF733-AQ733-AP733+AR733-AI733-AJ733-AM733))/MAX(1,ABS(AC733),ABS(AC734)))</f>
        <v/>
      </c>
      <c r="BB733" s="35">
        <f>(1+INDEX(DiscRateAnn,INT(A733/12)+1))^(1/12)-1</f>
        <v/>
      </c>
      <c r="BC733" s="31">
        <f>(1+BB733)^-A733</f>
        <v/>
      </c>
      <c r="BD733" s="34">
        <f>AW733*BC733</f>
        <v/>
      </c>
    </row>
    <row r="734">
      <c r="A734" s="27">
        <f>A733+1</f>
        <v/>
      </c>
      <c r="B734" s="28">
        <f>Duration0+A734</f>
        <v/>
      </c>
      <c r="C734" s="27">
        <f>INT(B734/12)</f>
        <v/>
      </c>
      <c r="D734" s="28">
        <f>AgeAtEntry+C734</f>
        <v/>
      </c>
      <c r="E734" s="29">
        <f>IF(PremiumType="SINGLE",IF(B734=0,PremiumPPInput,0),IF(B734&lt;12*PolicyTerm,PremiumPPInput,0))</f>
        <v/>
      </c>
      <c r="F734" s="30">
        <f>INDEX(MortRates,MATCH(MIN(D734,120),MortAges,0),MAX(MIN(C734,5),0)+1)</f>
        <v/>
      </c>
      <c r="G734" s="31">
        <f>1-(1-F734)^(1/12)</f>
        <v/>
      </c>
      <c r="H734" s="32">
        <f>MAX(LapseBase-LapseStep*C734,LapseFloor)</f>
        <v/>
      </c>
      <c r="I734" s="32">
        <f>IF(HasSurrCharge,INDEX(SurrRates,MIN(C734,SurrDurMax)+1,MATCH(SurrChargeID,SurrTypes,0)),0)</f>
        <v/>
      </c>
      <c r="J734" s="33">
        <f>N733-P733-O733</f>
        <v/>
      </c>
      <c r="K734" s="30">
        <f>IF(B734=12*PolicyTerm,J734,0)</f>
        <v/>
      </c>
      <c r="L734" s="33">
        <f>J734-K734</f>
        <v/>
      </c>
      <c r="M734" s="30">
        <f>IF(B734=0,PolicyCount,0)</f>
        <v/>
      </c>
      <c r="N734" s="33">
        <f>L734+M734</f>
        <v/>
      </c>
      <c r="O734" s="31">
        <f>N734*G734</f>
        <v/>
      </c>
      <c r="P734" s="33">
        <f>(N734-O734)*(1-(1-H734)^(1/12))</f>
        <v/>
      </c>
      <c r="Q734" s="34">
        <f>X733+Z733</f>
        <v/>
      </c>
      <c r="R734" s="29">
        <f>(1-LoadPremRate)*E734</f>
        <v/>
      </c>
      <c r="S734" s="34">
        <f>Q734+R734</f>
        <v/>
      </c>
      <c r="T734" s="29">
        <f>MaintFeeRateAnn/12*S734</f>
        <v/>
      </c>
      <c r="U734" s="29">
        <f>MAX(SumAssured-S734,0)</f>
        <v/>
      </c>
      <c r="V734" s="35">
        <f>CoiMultiple*G734</f>
        <v/>
      </c>
      <c r="W734" s="34">
        <f>V734*U734</f>
        <v/>
      </c>
      <c r="X734" s="34">
        <f>S734-T734-W734</f>
        <v/>
      </c>
      <c r="Y734" s="36">
        <f>EXP((Mu-0.5*Sigma^2)/12+Sigma*SQRT(1/12)*INDEX(NormRand,ScenID,A734+1))-1</f>
        <v/>
      </c>
      <c r="Z734" s="34">
        <f>Y734*X734</f>
        <v/>
      </c>
      <c r="AA734" s="34">
        <f>X734+0.5*Z734</f>
        <v/>
      </c>
      <c r="AB734" s="34">
        <f>Q734*J734</f>
        <v/>
      </c>
      <c r="AC734" s="34">
        <f>Q734*L734</f>
        <v/>
      </c>
      <c r="AD734" s="34">
        <f>S734*N734</f>
        <v/>
      </c>
      <c r="AE734" s="34">
        <f>E734*N734</f>
        <v/>
      </c>
      <c r="AF734" s="34">
        <f>R734*N734</f>
        <v/>
      </c>
      <c r="AG734" s="29">
        <f>MAX(SumAssured,AA734)</f>
        <v/>
      </c>
      <c r="AH734" s="34">
        <f>AG734*O734</f>
        <v/>
      </c>
      <c r="AI734" s="34">
        <f>AA734*O734</f>
        <v/>
      </c>
      <c r="AJ734" s="34">
        <f>AA734*P734</f>
        <v/>
      </c>
      <c r="AK734" s="34">
        <f>I734*AA734*P734</f>
        <v/>
      </c>
      <c r="AL734" s="34">
        <f>AJ734-AK734</f>
        <v/>
      </c>
      <c r="AM734" s="34">
        <f>Q734*K734</f>
        <v/>
      </c>
      <c r="AN734" s="34">
        <f>AH734+AL734+AM734</f>
        <v/>
      </c>
      <c r="AO734" s="34">
        <f>(AG734-AA734)*O734</f>
        <v/>
      </c>
      <c r="AP734" s="34">
        <f>W734*N734</f>
        <v/>
      </c>
      <c r="AQ734" s="34">
        <f>T734*N734</f>
        <v/>
      </c>
      <c r="AR734" s="34">
        <f>Z734*J735+0.5*Z734*(O734+P734)</f>
        <v/>
      </c>
      <c r="AS734" s="30">
        <f>(1+InflationRate)^(A734/12)</f>
        <v/>
      </c>
      <c r="AT734" s="29">
        <f>ExpenseAcq*M734+N734*ExpenseMaint/12*AS734</f>
        <v/>
      </c>
      <c r="AU734" s="29">
        <f>CommissionRate*AE734</f>
        <v/>
      </c>
      <c r="AV734" s="34">
        <f>AB735-AB734</f>
        <v/>
      </c>
      <c r="AW734" s="34">
        <f>AE734+AR734-AN734-AT734-AU734-AV734</f>
        <v/>
      </c>
      <c r="AX734" s="29">
        <f>LoadPremRate*E734*N734+AK734+AQ734-AU734-AT734</f>
        <v/>
      </c>
      <c r="AY734" s="34">
        <f>AP734-AO734</f>
        <v/>
      </c>
      <c r="AZ734" s="37">
        <f>(AW734-AX734-AY734)/MAX(1,ABS(AW734),ABS(AX734),ABS(AY734))</f>
        <v/>
      </c>
      <c r="BA734" s="37">
        <f>IF(OR(K734&gt;0,K735&gt;0),0,(AC735-(AC734+AF734-AQ734-AP734+AR734-AI734-AJ734-AM734))/MAX(1,ABS(AC734),ABS(AC735)))</f>
        <v/>
      </c>
      <c r="BB734" s="35">
        <f>(1+INDEX(DiscRateAnn,INT(A734/12)+1))^(1/12)-1</f>
        <v/>
      </c>
      <c r="BC734" s="31">
        <f>(1+BB734)^-A734</f>
        <v/>
      </c>
      <c r="BD734" s="34">
        <f>AW734*BC734</f>
        <v/>
      </c>
    </row>
    <row r="735">
      <c r="A735" s="27">
        <f>A734+1</f>
        <v/>
      </c>
      <c r="B735" s="28">
        <f>Duration0+A735</f>
        <v/>
      </c>
      <c r="C735" s="27">
        <f>INT(B735/12)</f>
        <v/>
      </c>
      <c r="D735" s="28">
        <f>AgeAtEntry+C735</f>
        <v/>
      </c>
      <c r="E735" s="29">
        <f>IF(PremiumType="SINGLE",IF(B735=0,PremiumPPInput,0),IF(B735&lt;12*PolicyTerm,PremiumPPInput,0))</f>
        <v/>
      </c>
      <c r="F735" s="30">
        <f>INDEX(MortRates,MATCH(MIN(D735,120),MortAges,0),MAX(MIN(C735,5),0)+1)</f>
        <v/>
      </c>
      <c r="G735" s="31">
        <f>1-(1-F735)^(1/12)</f>
        <v/>
      </c>
      <c r="H735" s="32">
        <f>MAX(LapseBase-LapseStep*C735,LapseFloor)</f>
        <v/>
      </c>
      <c r="I735" s="32">
        <f>IF(HasSurrCharge,INDEX(SurrRates,MIN(C735,SurrDurMax)+1,MATCH(SurrChargeID,SurrTypes,0)),0)</f>
        <v/>
      </c>
      <c r="J735" s="33">
        <f>N734-P734-O734</f>
        <v/>
      </c>
      <c r="K735" s="30">
        <f>IF(B735=12*PolicyTerm,J735,0)</f>
        <v/>
      </c>
      <c r="L735" s="33">
        <f>J735-K735</f>
        <v/>
      </c>
      <c r="M735" s="30">
        <f>IF(B735=0,PolicyCount,0)</f>
        <v/>
      </c>
      <c r="N735" s="33">
        <f>L735+M735</f>
        <v/>
      </c>
      <c r="O735" s="31">
        <f>N735*G735</f>
        <v/>
      </c>
      <c r="P735" s="33">
        <f>(N735-O735)*(1-(1-H735)^(1/12))</f>
        <v/>
      </c>
      <c r="Q735" s="34">
        <f>X734+Z734</f>
        <v/>
      </c>
      <c r="R735" s="29">
        <f>(1-LoadPremRate)*E735</f>
        <v/>
      </c>
      <c r="S735" s="34">
        <f>Q735+R735</f>
        <v/>
      </c>
      <c r="T735" s="29">
        <f>MaintFeeRateAnn/12*S735</f>
        <v/>
      </c>
      <c r="U735" s="29">
        <f>MAX(SumAssured-S735,0)</f>
        <v/>
      </c>
      <c r="V735" s="35">
        <f>CoiMultiple*G735</f>
        <v/>
      </c>
      <c r="W735" s="34">
        <f>V735*U735</f>
        <v/>
      </c>
      <c r="X735" s="34">
        <f>S735-T735-W735</f>
        <v/>
      </c>
      <c r="Y735" s="36">
        <f>EXP((Mu-0.5*Sigma^2)/12+Sigma*SQRT(1/12)*INDEX(NormRand,ScenID,A735+1))-1</f>
        <v/>
      </c>
      <c r="Z735" s="34">
        <f>Y735*X735</f>
        <v/>
      </c>
      <c r="AA735" s="34">
        <f>X735+0.5*Z735</f>
        <v/>
      </c>
      <c r="AB735" s="34">
        <f>Q735*J735</f>
        <v/>
      </c>
      <c r="AC735" s="34">
        <f>Q735*L735</f>
        <v/>
      </c>
      <c r="AD735" s="34">
        <f>S735*N735</f>
        <v/>
      </c>
      <c r="AE735" s="34">
        <f>E735*N735</f>
        <v/>
      </c>
      <c r="AF735" s="34">
        <f>R735*N735</f>
        <v/>
      </c>
      <c r="AG735" s="29">
        <f>MAX(SumAssured,AA735)</f>
        <v/>
      </c>
      <c r="AH735" s="34">
        <f>AG735*O735</f>
        <v/>
      </c>
      <c r="AI735" s="34">
        <f>AA735*O735</f>
        <v/>
      </c>
      <c r="AJ735" s="34">
        <f>AA735*P735</f>
        <v/>
      </c>
      <c r="AK735" s="34">
        <f>I735*AA735*P735</f>
        <v/>
      </c>
      <c r="AL735" s="34">
        <f>AJ735-AK735</f>
        <v/>
      </c>
      <c r="AM735" s="34">
        <f>Q735*K735</f>
        <v/>
      </c>
      <c r="AN735" s="34">
        <f>AH735+AL735+AM735</f>
        <v/>
      </c>
      <c r="AO735" s="34">
        <f>(AG735-AA735)*O735</f>
        <v/>
      </c>
      <c r="AP735" s="34">
        <f>W735*N735</f>
        <v/>
      </c>
      <c r="AQ735" s="34">
        <f>T735*N735</f>
        <v/>
      </c>
      <c r="AR735" s="34">
        <f>Z735*J736+0.5*Z735*(O735+P735)</f>
        <v/>
      </c>
      <c r="AS735" s="30">
        <f>(1+InflationRate)^(A735/12)</f>
        <v/>
      </c>
      <c r="AT735" s="29">
        <f>ExpenseAcq*M735+N735*ExpenseMaint/12*AS735</f>
        <v/>
      </c>
      <c r="AU735" s="29">
        <f>CommissionRate*AE735</f>
        <v/>
      </c>
      <c r="AV735" s="34">
        <f>AB736-AB735</f>
        <v/>
      </c>
      <c r="AW735" s="34">
        <f>AE735+AR735-AN735-AT735-AU735-AV735</f>
        <v/>
      </c>
      <c r="AX735" s="29">
        <f>LoadPremRate*E735*N735+AK735+AQ735-AU735-AT735</f>
        <v/>
      </c>
      <c r="AY735" s="34">
        <f>AP735-AO735</f>
        <v/>
      </c>
      <c r="AZ735" s="37">
        <f>(AW735-AX735-AY735)/MAX(1,ABS(AW735),ABS(AX735),ABS(AY735))</f>
        <v/>
      </c>
      <c r="BA735" s="37">
        <f>IF(OR(K735&gt;0,K736&gt;0),0,(AC736-(AC735+AF735-AQ735-AP735+AR735-AI735-AJ735-AM735))/MAX(1,ABS(AC735),ABS(AC736)))</f>
        <v/>
      </c>
      <c r="BB735" s="35">
        <f>(1+INDEX(DiscRateAnn,INT(A735/12)+1))^(1/12)-1</f>
        <v/>
      </c>
      <c r="BC735" s="31">
        <f>(1+BB735)^-A735</f>
        <v/>
      </c>
      <c r="BD735" s="34">
        <f>AW735*BC735</f>
        <v/>
      </c>
    </row>
    <row r="736">
      <c r="A736" s="27">
        <f>A735+1</f>
        <v/>
      </c>
      <c r="B736" s="28">
        <f>Duration0+A736</f>
        <v/>
      </c>
      <c r="C736" s="27">
        <f>INT(B736/12)</f>
        <v/>
      </c>
      <c r="D736" s="28">
        <f>AgeAtEntry+C736</f>
        <v/>
      </c>
      <c r="E736" s="29">
        <f>IF(PremiumType="SINGLE",IF(B736=0,PremiumPPInput,0),IF(B736&lt;12*PolicyTerm,PremiumPPInput,0))</f>
        <v/>
      </c>
      <c r="F736" s="30">
        <f>INDEX(MortRates,MATCH(MIN(D736,120),MortAges,0),MAX(MIN(C736,5),0)+1)</f>
        <v/>
      </c>
      <c r="G736" s="31">
        <f>1-(1-F736)^(1/12)</f>
        <v/>
      </c>
      <c r="H736" s="32">
        <f>MAX(LapseBase-LapseStep*C736,LapseFloor)</f>
        <v/>
      </c>
      <c r="I736" s="32">
        <f>IF(HasSurrCharge,INDEX(SurrRates,MIN(C736,SurrDurMax)+1,MATCH(SurrChargeID,SurrTypes,0)),0)</f>
        <v/>
      </c>
      <c r="J736" s="33">
        <f>N735-P735-O735</f>
        <v/>
      </c>
      <c r="K736" s="30">
        <f>IF(B736=12*PolicyTerm,J736,0)</f>
        <v/>
      </c>
      <c r="L736" s="33">
        <f>J736-K736</f>
        <v/>
      </c>
      <c r="M736" s="30">
        <f>IF(B736=0,PolicyCount,0)</f>
        <v/>
      </c>
      <c r="N736" s="33">
        <f>L736+M736</f>
        <v/>
      </c>
      <c r="O736" s="31">
        <f>N736*G736</f>
        <v/>
      </c>
      <c r="P736" s="33">
        <f>(N736-O736)*(1-(1-H736)^(1/12))</f>
        <v/>
      </c>
      <c r="Q736" s="34">
        <f>X735+Z735</f>
        <v/>
      </c>
      <c r="R736" s="29">
        <f>(1-LoadPremRate)*E736</f>
        <v/>
      </c>
      <c r="S736" s="34">
        <f>Q736+R736</f>
        <v/>
      </c>
      <c r="T736" s="29">
        <f>MaintFeeRateAnn/12*S736</f>
        <v/>
      </c>
      <c r="U736" s="29">
        <f>MAX(SumAssured-S736,0)</f>
        <v/>
      </c>
      <c r="V736" s="35">
        <f>CoiMultiple*G736</f>
        <v/>
      </c>
      <c r="W736" s="34">
        <f>V736*U736</f>
        <v/>
      </c>
      <c r="X736" s="34">
        <f>S736-T736-W736</f>
        <v/>
      </c>
      <c r="Y736" s="36">
        <f>EXP((Mu-0.5*Sigma^2)/12+Sigma*SQRT(1/12)*INDEX(NormRand,ScenID,A736+1))-1</f>
        <v/>
      </c>
      <c r="Z736" s="34">
        <f>Y736*X736</f>
        <v/>
      </c>
      <c r="AA736" s="34">
        <f>X736+0.5*Z736</f>
        <v/>
      </c>
      <c r="AB736" s="34">
        <f>Q736*J736</f>
        <v/>
      </c>
      <c r="AC736" s="34">
        <f>Q736*L736</f>
        <v/>
      </c>
      <c r="AD736" s="34">
        <f>S736*N736</f>
        <v/>
      </c>
      <c r="AE736" s="34">
        <f>E736*N736</f>
        <v/>
      </c>
      <c r="AF736" s="34">
        <f>R736*N736</f>
        <v/>
      </c>
      <c r="AG736" s="29">
        <f>MAX(SumAssured,AA736)</f>
        <v/>
      </c>
      <c r="AH736" s="34">
        <f>AG736*O736</f>
        <v/>
      </c>
      <c r="AI736" s="34">
        <f>AA736*O736</f>
        <v/>
      </c>
      <c r="AJ736" s="34">
        <f>AA736*P736</f>
        <v/>
      </c>
      <c r="AK736" s="34">
        <f>I736*AA736*P736</f>
        <v/>
      </c>
      <c r="AL736" s="34">
        <f>AJ736-AK736</f>
        <v/>
      </c>
      <c r="AM736" s="34">
        <f>Q736*K736</f>
        <v/>
      </c>
      <c r="AN736" s="34">
        <f>AH736+AL736+AM736</f>
        <v/>
      </c>
      <c r="AO736" s="34">
        <f>(AG736-AA736)*O736</f>
        <v/>
      </c>
      <c r="AP736" s="34">
        <f>W736*N736</f>
        <v/>
      </c>
      <c r="AQ736" s="34">
        <f>T736*N736</f>
        <v/>
      </c>
      <c r="AR736" s="34">
        <f>Z736*J737+0.5*Z736*(O736+P736)</f>
        <v/>
      </c>
      <c r="AS736" s="30">
        <f>(1+InflationRate)^(A736/12)</f>
        <v/>
      </c>
      <c r="AT736" s="29">
        <f>ExpenseAcq*M736+N736*ExpenseMaint/12*AS736</f>
        <v/>
      </c>
      <c r="AU736" s="29">
        <f>CommissionRate*AE736</f>
        <v/>
      </c>
      <c r="AV736" s="34">
        <f>AB737-AB736</f>
        <v/>
      </c>
      <c r="AW736" s="34">
        <f>AE736+AR736-AN736-AT736-AU736-AV736</f>
        <v/>
      </c>
      <c r="AX736" s="29">
        <f>LoadPremRate*E736*N736+AK736+AQ736-AU736-AT736</f>
        <v/>
      </c>
      <c r="AY736" s="34">
        <f>AP736-AO736</f>
        <v/>
      </c>
      <c r="AZ736" s="37">
        <f>(AW736-AX736-AY736)/MAX(1,ABS(AW736),ABS(AX736),ABS(AY736))</f>
        <v/>
      </c>
      <c r="BA736" s="37">
        <f>IF(OR(K736&gt;0,K737&gt;0),0,(AC737-(AC736+AF736-AQ736-AP736+AR736-AI736-AJ736-AM736))/MAX(1,ABS(AC736),ABS(AC737)))</f>
        <v/>
      </c>
      <c r="BB736" s="35">
        <f>(1+INDEX(DiscRateAnn,INT(A736/12)+1))^(1/12)-1</f>
        <v/>
      </c>
      <c r="BC736" s="31">
        <f>(1+BB736)^-A736</f>
        <v/>
      </c>
      <c r="BD736" s="34">
        <f>AW736*BC736</f>
        <v/>
      </c>
    </row>
    <row r="737">
      <c r="A737" s="27">
        <f>A736+1</f>
        <v/>
      </c>
      <c r="B737" s="28">
        <f>Duration0+A737</f>
        <v/>
      </c>
      <c r="C737" s="27">
        <f>INT(B737/12)</f>
        <v/>
      </c>
      <c r="D737" s="28">
        <f>AgeAtEntry+C737</f>
        <v/>
      </c>
      <c r="E737" s="29">
        <f>IF(PremiumType="SINGLE",IF(B737=0,PremiumPPInput,0),IF(B737&lt;12*PolicyTerm,PremiumPPInput,0))</f>
        <v/>
      </c>
      <c r="F737" s="30">
        <f>INDEX(MortRates,MATCH(MIN(D737,120),MortAges,0),MAX(MIN(C737,5),0)+1)</f>
        <v/>
      </c>
      <c r="G737" s="31">
        <f>1-(1-F737)^(1/12)</f>
        <v/>
      </c>
      <c r="H737" s="32">
        <f>MAX(LapseBase-LapseStep*C737,LapseFloor)</f>
        <v/>
      </c>
      <c r="I737" s="32">
        <f>IF(HasSurrCharge,INDEX(SurrRates,MIN(C737,SurrDurMax)+1,MATCH(SurrChargeID,SurrTypes,0)),0)</f>
        <v/>
      </c>
      <c r="J737" s="33">
        <f>N736-P736-O736</f>
        <v/>
      </c>
      <c r="K737" s="30">
        <f>IF(B737=12*PolicyTerm,J737,0)</f>
        <v/>
      </c>
      <c r="L737" s="33">
        <f>J737-K737</f>
        <v/>
      </c>
      <c r="M737" s="30">
        <f>IF(B737=0,PolicyCount,0)</f>
        <v/>
      </c>
      <c r="N737" s="33">
        <f>L737+M737</f>
        <v/>
      </c>
      <c r="O737" s="31">
        <f>N737*G737</f>
        <v/>
      </c>
      <c r="P737" s="33">
        <f>(N737-O737)*(1-(1-H737)^(1/12))</f>
        <v/>
      </c>
      <c r="Q737" s="34">
        <f>X736+Z736</f>
        <v/>
      </c>
      <c r="R737" s="29">
        <f>(1-LoadPremRate)*E737</f>
        <v/>
      </c>
      <c r="S737" s="34">
        <f>Q737+R737</f>
        <v/>
      </c>
      <c r="T737" s="29">
        <f>MaintFeeRateAnn/12*S737</f>
        <v/>
      </c>
      <c r="U737" s="29">
        <f>MAX(SumAssured-S737,0)</f>
        <v/>
      </c>
      <c r="V737" s="35">
        <f>CoiMultiple*G737</f>
        <v/>
      </c>
      <c r="W737" s="34">
        <f>V737*U737</f>
        <v/>
      </c>
      <c r="X737" s="34">
        <f>S737-T737-W737</f>
        <v/>
      </c>
      <c r="Y737" s="36">
        <f>EXP((Mu-0.5*Sigma^2)/12+Sigma*SQRT(1/12)*INDEX(NormRand,ScenID,A737+1))-1</f>
        <v/>
      </c>
      <c r="Z737" s="34">
        <f>Y737*X737</f>
        <v/>
      </c>
      <c r="AA737" s="34">
        <f>X737+0.5*Z737</f>
        <v/>
      </c>
      <c r="AB737" s="34">
        <f>Q737*J737</f>
        <v/>
      </c>
      <c r="AC737" s="34">
        <f>Q737*L737</f>
        <v/>
      </c>
      <c r="AD737" s="34">
        <f>S737*N737</f>
        <v/>
      </c>
      <c r="AE737" s="34">
        <f>E737*N737</f>
        <v/>
      </c>
      <c r="AF737" s="34">
        <f>R737*N737</f>
        <v/>
      </c>
      <c r="AG737" s="29">
        <f>MAX(SumAssured,AA737)</f>
        <v/>
      </c>
      <c r="AH737" s="34">
        <f>AG737*O737</f>
        <v/>
      </c>
      <c r="AI737" s="34">
        <f>AA737*O737</f>
        <v/>
      </c>
      <c r="AJ737" s="34">
        <f>AA737*P737</f>
        <v/>
      </c>
      <c r="AK737" s="34">
        <f>I737*AA737*P737</f>
        <v/>
      </c>
      <c r="AL737" s="34">
        <f>AJ737-AK737</f>
        <v/>
      </c>
      <c r="AM737" s="34">
        <f>Q737*K737</f>
        <v/>
      </c>
      <c r="AN737" s="34">
        <f>AH737+AL737+AM737</f>
        <v/>
      </c>
      <c r="AO737" s="34">
        <f>(AG737-AA737)*O737</f>
        <v/>
      </c>
      <c r="AP737" s="34">
        <f>W737*N737</f>
        <v/>
      </c>
      <c r="AQ737" s="34">
        <f>T737*N737</f>
        <v/>
      </c>
      <c r="AR737" s="34">
        <f>Z737*J738+0.5*Z737*(O737+P737)</f>
        <v/>
      </c>
      <c r="AS737" s="30">
        <f>(1+InflationRate)^(A737/12)</f>
        <v/>
      </c>
      <c r="AT737" s="29">
        <f>ExpenseAcq*M737+N737*ExpenseMaint/12*AS737</f>
        <v/>
      </c>
      <c r="AU737" s="29">
        <f>CommissionRate*AE737</f>
        <v/>
      </c>
      <c r="AV737" s="34">
        <f>AB738-AB737</f>
        <v/>
      </c>
      <c r="AW737" s="34">
        <f>AE737+AR737-AN737-AT737-AU737-AV737</f>
        <v/>
      </c>
      <c r="AX737" s="29">
        <f>LoadPremRate*E737*N737+AK737+AQ737-AU737-AT737</f>
        <v/>
      </c>
      <c r="AY737" s="34">
        <f>AP737-AO737</f>
        <v/>
      </c>
      <c r="AZ737" s="37">
        <f>(AW737-AX737-AY737)/MAX(1,ABS(AW737),ABS(AX737),ABS(AY737))</f>
        <v/>
      </c>
      <c r="BA737" s="37">
        <f>IF(OR(K737&gt;0,K738&gt;0),0,(AC738-(AC737+AF737-AQ737-AP737+AR737-AI737-AJ737-AM737))/MAX(1,ABS(AC737),ABS(AC738)))</f>
        <v/>
      </c>
      <c r="BB737" s="35">
        <f>(1+INDEX(DiscRateAnn,INT(A737/12)+1))^(1/12)-1</f>
        <v/>
      </c>
      <c r="BC737" s="31">
        <f>(1+BB737)^-A737</f>
        <v/>
      </c>
      <c r="BD737" s="34">
        <f>AW737*BC737</f>
        <v/>
      </c>
    </row>
    <row r="738">
      <c r="A738" s="27">
        <f>A737+1</f>
        <v/>
      </c>
      <c r="B738" s="28">
        <f>Duration0+A738</f>
        <v/>
      </c>
      <c r="C738" s="27">
        <f>INT(B738/12)</f>
        <v/>
      </c>
      <c r="D738" s="28">
        <f>AgeAtEntry+C738</f>
        <v/>
      </c>
      <c r="E738" s="29">
        <f>IF(PremiumType="SINGLE",IF(B738=0,PremiumPPInput,0),IF(B738&lt;12*PolicyTerm,PremiumPPInput,0))</f>
        <v/>
      </c>
      <c r="F738" s="30">
        <f>INDEX(MortRates,MATCH(MIN(D738,120),MortAges,0),MAX(MIN(C738,5),0)+1)</f>
        <v/>
      </c>
      <c r="G738" s="31">
        <f>1-(1-F738)^(1/12)</f>
        <v/>
      </c>
      <c r="H738" s="32">
        <f>MAX(LapseBase-LapseStep*C738,LapseFloor)</f>
        <v/>
      </c>
      <c r="I738" s="32">
        <f>IF(HasSurrCharge,INDEX(SurrRates,MIN(C738,SurrDurMax)+1,MATCH(SurrChargeID,SurrTypes,0)),0)</f>
        <v/>
      </c>
      <c r="J738" s="33">
        <f>N737-P737-O737</f>
        <v/>
      </c>
      <c r="K738" s="30">
        <f>IF(B738=12*PolicyTerm,J738,0)</f>
        <v/>
      </c>
      <c r="L738" s="33">
        <f>J738-K738</f>
        <v/>
      </c>
      <c r="M738" s="30">
        <f>IF(B738=0,PolicyCount,0)</f>
        <v/>
      </c>
      <c r="N738" s="33">
        <f>L738+M738</f>
        <v/>
      </c>
      <c r="O738" s="31">
        <f>N738*G738</f>
        <v/>
      </c>
      <c r="P738" s="33">
        <f>(N738-O738)*(1-(1-H738)^(1/12))</f>
        <v/>
      </c>
      <c r="Q738" s="34">
        <f>X737+Z737</f>
        <v/>
      </c>
      <c r="R738" s="29">
        <f>(1-LoadPremRate)*E738</f>
        <v/>
      </c>
      <c r="S738" s="34">
        <f>Q738+R738</f>
        <v/>
      </c>
      <c r="T738" s="29">
        <f>MaintFeeRateAnn/12*S738</f>
        <v/>
      </c>
      <c r="U738" s="29">
        <f>MAX(SumAssured-S738,0)</f>
        <v/>
      </c>
      <c r="V738" s="35">
        <f>CoiMultiple*G738</f>
        <v/>
      </c>
      <c r="W738" s="34">
        <f>V738*U738</f>
        <v/>
      </c>
      <c r="X738" s="34">
        <f>S738-T738-W738</f>
        <v/>
      </c>
      <c r="Y738" s="36">
        <f>EXP((Mu-0.5*Sigma^2)/12+Sigma*SQRT(1/12)*INDEX(NormRand,ScenID,A738+1))-1</f>
        <v/>
      </c>
      <c r="Z738" s="34">
        <f>Y738*X738</f>
        <v/>
      </c>
      <c r="AA738" s="34">
        <f>X738+0.5*Z738</f>
        <v/>
      </c>
      <c r="AB738" s="34">
        <f>Q738*J738</f>
        <v/>
      </c>
      <c r="AC738" s="34">
        <f>Q738*L738</f>
        <v/>
      </c>
      <c r="AD738" s="34">
        <f>S738*N738</f>
        <v/>
      </c>
      <c r="AE738" s="34">
        <f>E738*N738</f>
        <v/>
      </c>
      <c r="AF738" s="34">
        <f>R738*N738</f>
        <v/>
      </c>
      <c r="AG738" s="29">
        <f>MAX(SumAssured,AA738)</f>
        <v/>
      </c>
      <c r="AH738" s="34">
        <f>AG738*O738</f>
        <v/>
      </c>
      <c r="AI738" s="34">
        <f>AA738*O738</f>
        <v/>
      </c>
      <c r="AJ738" s="34">
        <f>AA738*P738</f>
        <v/>
      </c>
      <c r="AK738" s="34">
        <f>I738*AA738*P738</f>
        <v/>
      </c>
      <c r="AL738" s="34">
        <f>AJ738-AK738</f>
        <v/>
      </c>
      <c r="AM738" s="34">
        <f>Q738*K738</f>
        <v/>
      </c>
      <c r="AN738" s="34">
        <f>AH738+AL738+AM738</f>
        <v/>
      </c>
      <c r="AO738" s="34">
        <f>(AG738-AA738)*O738</f>
        <v/>
      </c>
      <c r="AP738" s="34">
        <f>W738*N738</f>
        <v/>
      </c>
      <c r="AQ738" s="34">
        <f>T738*N738</f>
        <v/>
      </c>
      <c r="AR738" s="34">
        <f>Z738*J739+0.5*Z738*(O738+P738)</f>
        <v/>
      </c>
      <c r="AS738" s="30">
        <f>(1+InflationRate)^(A738/12)</f>
        <v/>
      </c>
      <c r="AT738" s="29">
        <f>ExpenseAcq*M738+N738*ExpenseMaint/12*AS738</f>
        <v/>
      </c>
      <c r="AU738" s="29">
        <f>CommissionRate*AE738</f>
        <v/>
      </c>
      <c r="AV738" s="34">
        <f>AB739-AB738</f>
        <v/>
      </c>
      <c r="AW738" s="34">
        <f>AE738+AR738-AN738-AT738-AU738-AV738</f>
        <v/>
      </c>
      <c r="AX738" s="29">
        <f>LoadPremRate*E738*N738+AK738+AQ738-AU738-AT738</f>
        <v/>
      </c>
      <c r="AY738" s="34">
        <f>AP738-AO738</f>
        <v/>
      </c>
      <c r="AZ738" s="37">
        <f>(AW738-AX738-AY738)/MAX(1,ABS(AW738),ABS(AX738),ABS(AY738))</f>
        <v/>
      </c>
      <c r="BA738" s="37">
        <f>IF(OR(K738&gt;0,K739&gt;0),0,(AC739-(AC738+AF738-AQ738-AP738+AR738-AI738-AJ738-AM738))/MAX(1,ABS(AC738),ABS(AC739)))</f>
        <v/>
      </c>
      <c r="BB738" s="35">
        <f>(1+INDEX(DiscRateAnn,INT(A738/12)+1))^(1/12)-1</f>
        <v/>
      </c>
      <c r="BC738" s="31">
        <f>(1+BB738)^-A738</f>
        <v/>
      </c>
      <c r="BD738" s="34">
        <f>AW738*BC738</f>
        <v/>
      </c>
    </row>
    <row r="739">
      <c r="A739" s="27">
        <f>A738+1</f>
        <v/>
      </c>
      <c r="B739" s="28">
        <f>Duration0+A739</f>
        <v/>
      </c>
      <c r="C739" s="27">
        <f>INT(B739/12)</f>
        <v/>
      </c>
      <c r="D739" s="28">
        <f>AgeAtEntry+C739</f>
        <v/>
      </c>
      <c r="E739" s="29">
        <f>IF(PremiumType="SINGLE",IF(B739=0,PremiumPPInput,0),IF(B739&lt;12*PolicyTerm,PremiumPPInput,0))</f>
        <v/>
      </c>
      <c r="F739" s="30">
        <f>INDEX(MortRates,MATCH(MIN(D739,120),MortAges,0),MAX(MIN(C739,5),0)+1)</f>
        <v/>
      </c>
      <c r="G739" s="31">
        <f>1-(1-F739)^(1/12)</f>
        <v/>
      </c>
      <c r="H739" s="32">
        <f>MAX(LapseBase-LapseStep*C739,LapseFloor)</f>
        <v/>
      </c>
      <c r="I739" s="32">
        <f>IF(HasSurrCharge,INDEX(SurrRates,MIN(C739,SurrDurMax)+1,MATCH(SurrChargeID,SurrTypes,0)),0)</f>
        <v/>
      </c>
      <c r="J739" s="33">
        <f>N738-P738-O738</f>
        <v/>
      </c>
      <c r="K739" s="30">
        <f>IF(B739=12*PolicyTerm,J739,0)</f>
        <v/>
      </c>
      <c r="L739" s="33">
        <f>J739-K739</f>
        <v/>
      </c>
      <c r="M739" s="30">
        <f>IF(B739=0,PolicyCount,0)</f>
        <v/>
      </c>
      <c r="N739" s="33">
        <f>L739+M739</f>
        <v/>
      </c>
      <c r="O739" s="31">
        <f>N739*G739</f>
        <v/>
      </c>
      <c r="P739" s="33">
        <f>(N739-O739)*(1-(1-H739)^(1/12))</f>
        <v/>
      </c>
      <c r="Q739" s="34">
        <f>X738+Z738</f>
        <v/>
      </c>
      <c r="R739" s="29">
        <f>(1-LoadPremRate)*E739</f>
        <v/>
      </c>
      <c r="S739" s="34">
        <f>Q739+R739</f>
        <v/>
      </c>
      <c r="T739" s="29">
        <f>MaintFeeRateAnn/12*S739</f>
        <v/>
      </c>
      <c r="U739" s="29">
        <f>MAX(SumAssured-S739,0)</f>
        <v/>
      </c>
      <c r="V739" s="35">
        <f>CoiMultiple*G739</f>
        <v/>
      </c>
      <c r="W739" s="34">
        <f>V739*U739</f>
        <v/>
      </c>
      <c r="X739" s="34">
        <f>S739-T739-W739</f>
        <v/>
      </c>
      <c r="Y739" s="36">
        <f>EXP((Mu-0.5*Sigma^2)/12+Sigma*SQRT(1/12)*INDEX(NormRand,ScenID,A739+1))-1</f>
        <v/>
      </c>
      <c r="Z739" s="34">
        <f>Y739*X739</f>
        <v/>
      </c>
      <c r="AA739" s="34">
        <f>X739+0.5*Z739</f>
        <v/>
      </c>
      <c r="AB739" s="34">
        <f>Q739*J739</f>
        <v/>
      </c>
      <c r="AC739" s="34">
        <f>Q739*L739</f>
        <v/>
      </c>
      <c r="AD739" s="34">
        <f>S739*N739</f>
        <v/>
      </c>
      <c r="AE739" s="34">
        <f>E739*N739</f>
        <v/>
      </c>
      <c r="AF739" s="34">
        <f>R739*N739</f>
        <v/>
      </c>
      <c r="AG739" s="29">
        <f>MAX(SumAssured,AA739)</f>
        <v/>
      </c>
      <c r="AH739" s="34">
        <f>AG739*O739</f>
        <v/>
      </c>
      <c r="AI739" s="34">
        <f>AA739*O739</f>
        <v/>
      </c>
      <c r="AJ739" s="34">
        <f>AA739*P739</f>
        <v/>
      </c>
      <c r="AK739" s="34">
        <f>I739*AA739*P739</f>
        <v/>
      </c>
      <c r="AL739" s="34">
        <f>AJ739-AK739</f>
        <v/>
      </c>
      <c r="AM739" s="34">
        <f>Q739*K739</f>
        <v/>
      </c>
      <c r="AN739" s="34">
        <f>AH739+AL739+AM739</f>
        <v/>
      </c>
      <c r="AO739" s="34">
        <f>(AG739-AA739)*O739</f>
        <v/>
      </c>
      <c r="AP739" s="34">
        <f>W739*N739</f>
        <v/>
      </c>
      <c r="AQ739" s="34">
        <f>T739*N739</f>
        <v/>
      </c>
      <c r="AR739" s="34">
        <f>Z739*J740+0.5*Z739*(O739+P739)</f>
        <v/>
      </c>
      <c r="AS739" s="30">
        <f>(1+InflationRate)^(A739/12)</f>
        <v/>
      </c>
      <c r="AT739" s="29">
        <f>ExpenseAcq*M739+N739*ExpenseMaint/12*AS739</f>
        <v/>
      </c>
      <c r="AU739" s="29">
        <f>CommissionRate*AE739</f>
        <v/>
      </c>
      <c r="AV739" s="34">
        <f>AB740-AB739</f>
        <v/>
      </c>
      <c r="AW739" s="34">
        <f>AE739+AR739-AN739-AT739-AU739-AV739</f>
        <v/>
      </c>
      <c r="AX739" s="29">
        <f>LoadPremRate*E739*N739+AK739+AQ739-AU739-AT739</f>
        <v/>
      </c>
      <c r="AY739" s="34">
        <f>AP739-AO739</f>
        <v/>
      </c>
      <c r="AZ739" s="37">
        <f>(AW739-AX739-AY739)/MAX(1,ABS(AW739),ABS(AX739),ABS(AY739))</f>
        <v/>
      </c>
      <c r="BA739" s="37">
        <f>IF(OR(K739&gt;0,K740&gt;0),0,(AC740-(AC739+AF739-AQ739-AP739+AR739-AI739-AJ739-AM739))/MAX(1,ABS(AC739),ABS(AC740)))</f>
        <v/>
      </c>
      <c r="BB739" s="35">
        <f>(1+INDEX(DiscRateAnn,INT(A739/12)+1))^(1/12)-1</f>
        <v/>
      </c>
      <c r="BC739" s="31">
        <f>(1+BB739)^-A739</f>
        <v/>
      </c>
      <c r="BD739" s="34">
        <f>AW739*BC739</f>
        <v/>
      </c>
    </row>
    <row r="740">
      <c r="A740" s="27">
        <f>A739+1</f>
        <v/>
      </c>
      <c r="B740" s="28">
        <f>Duration0+A740</f>
        <v/>
      </c>
      <c r="C740" s="27">
        <f>INT(B740/12)</f>
        <v/>
      </c>
      <c r="D740" s="28">
        <f>AgeAtEntry+C740</f>
        <v/>
      </c>
      <c r="E740" s="29">
        <f>IF(PremiumType="SINGLE",IF(B740=0,PremiumPPInput,0),IF(B740&lt;12*PolicyTerm,PremiumPPInput,0))</f>
        <v/>
      </c>
      <c r="F740" s="30">
        <f>INDEX(MortRates,MATCH(MIN(D740,120),MortAges,0),MAX(MIN(C740,5),0)+1)</f>
        <v/>
      </c>
      <c r="G740" s="31">
        <f>1-(1-F740)^(1/12)</f>
        <v/>
      </c>
      <c r="H740" s="32">
        <f>MAX(LapseBase-LapseStep*C740,LapseFloor)</f>
        <v/>
      </c>
      <c r="I740" s="32">
        <f>IF(HasSurrCharge,INDEX(SurrRates,MIN(C740,SurrDurMax)+1,MATCH(SurrChargeID,SurrTypes,0)),0)</f>
        <v/>
      </c>
      <c r="J740" s="33">
        <f>N739-P739-O739</f>
        <v/>
      </c>
      <c r="K740" s="30">
        <f>IF(B740=12*PolicyTerm,J740,0)</f>
        <v/>
      </c>
      <c r="L740" s="33">
        <f>J740-K740</f>
        <v/>
      </c>
      <c r="M740" s="30">
        <f>IF(B740=0,PolicyCount,0)</f>
        <v/>
      </c>
      <c r="N740" s="33">
        <f>L740+M740</f>
        <v/>
      </c>
      <c r="O740" s="31">
        <f>N740*G740</f>
        <v/>
      </c>
      <c r="P740" s="33">
        <f>(N740-O740)*(1-(1-H740)^(1/12))</f>
        <v/>
      </c>
      <c r="Q740" s="34">
        <f>X739+Z739</f>
        <v/>
      </c>
      <c r="R740" s="29">
        <f>(1-LoadPremRate)*E740</f>
        <v/>
      </c>
      <c r="S740" s="34">
        <f>Q740+R740</f>
        <v/>
      </c>
      <c r="T740" s="29">
        <f>MaintFeeRateAnn/12*S740</f>
        <v/>
      </c>
      <c r="U740" s="29">
        <f>MAX(SumAssured-S740,0)</f>
        <v/>
      </c>
      <c r="V740" s="35">
        <f>CoiMultiple*G740</f>
        <v/>
      </c>
      <c r="W740" s="34">
        <f>V740*U740</f>
        <v/>
      </c>
      <c r="X740" s="34">
        <f>S740-T740-W740</f>
        <v/>
      </c>
      <c r="Y740" s="36">
        <f>EXP((Mu-0.5*Sigma^2)/12+Sigma*SQRT(1/12)*INDEX(NormRand,ScenID,A740+1))-1</f>
        <v/>
      </c>
      <c r="Z740" s="34">
        <f>Y740*X740</f>
        <v/>
      </c>
      <c r="AA740" s="34">
        <f>X740+0.5*Z740</f>
        <v/>
      </c>
      <c r="AB740" s="34">
        <f>Q740*J740</f>
        <v/>
      </c>
      <c r="AC740" s="34">
        <f>Q740*L740</f>
        <v/>
      </c>
      <c r="AD740" s="34">
        <f>S740*N740</f>
        <v/>
      </c>
      <c r="AE740" s="34">
        <f>E740*N740</f>
        <v/>
      </c>
      <c r="AF740" s="34">
        <f>R740*N740</f>
        <v/>
      </c>
      <c r="AG740" s="29">
        <f>MAX(SumAssured,AA740)</f>
        <v/>
      </c>
      <c r="AH740" s="34">
        <f>AG740*O740</f>
        <v/>
      </c>
      <c r="AI740" s="34">
        <f>AA740*O740</f>
        <v/>
      </c>
      <c r="AJ740" s="34">
        <f>AA740*P740</f>
        <v/>
      </c>
      <c r="AK740" s="34">
        <f>I740*AA740*P740</f>
        <v/>
      </c>
      <c r="AL740" s="34">
        <f>AJ740-AK740</f>
        <v/>
      </c>
      <c r="AM740" s="34">
        <f>Q740*K740</f>
        <v/>
      </c>
      <c r="AN740" s="34">
        <f>AH740+AL740+AM740</f>
        <v/>
      </c>
      <c r="AO740" s="34">
        <f>(AG740-AA740)*O740</f>
        <v/>
      </c>
      <c r="AP740" s="34">
        <f>W740*N740</f>
        <v/>
      </c>
      <c r="AQ740" s="34">
        <f>T740*N740</f>
        <v/>
      </c>
      <c r="AR740" s="34">
        <f>Z740*J741+0.5*Z740*(O740+P740)</f>
        <v/>
      </c>
      <c r="AS740" s="30">
        <f>(1+InflationRate)^(A740/12)</f>
        <v/>
      </c>
      <c r="AT740" s="29">
        <f>ExpenseAcq*M740+N740*ExpenseMaint/12*AS740</f>
        <v/>
      </c>
      <c r="AU740" s="29">
        <f>CommissionRate*AE740</f>
        <v/>
      </c>
      <c r="AV740" s="34">
        <f>AB741-AB740</f>
        <v/>
      </c>
      <c r="AW740" s="34">
        <f>AE740+AR740-AN740-AT740-AU740-AV740</f>
        <v/>
      </c>
      <c r="AX740" s="29">
        <f>LoadPremRate*E740*N740+AK740+AQ740-AU740-AT740</f>
        <v/>
      </c>
      <c r="AY740" s="34">
        <f>AP740-AO740</f>
        <v/>
      </c>
      <c r="AZ740" s="37">
        <f>(AW740-AX740-AY740)/MAX(1,ABS(AW740),ABS(AX740),ABS(AY740))</f>
        <v/>
      </c>
      <c r="BA740" s="37">
        <f>IF(OR(K740&gt;0,K741&gt;0),0,(AC741-(AC740+AF740-AQ740-AP740+AR740-AI740-AJ740-AM740))/MAX(1,ABS(AC740),ABS(AC741)))</f>
        <v/>
      </c>
      <c r="BB740" s="35">
        <f>(1+INDEX(DiscRateAnn,INT(A740/12)+1))^(1/12)-1</f>
        <v/>
      </c>
      <c r="BC740" s="31">
        <f>(1+BB740)^-A740</f>
        <v/>
      </c>
      <c r="BD740" s="34">
        <f>AW740*BC740</f>
        <v/>
      </c>
    </row>
    <row r="741">
      <c r="A741" s="27">
        <f>A740+1</f>
        <v/>
      </c>
      <c r="B741" s="28">
        <f>Duration0+A741</f>
        <v/>
      </c>
      <c r="C741" s="27">
        <f>INT(B741/12)</f>
        <v/>
      </c>
      <c r="D741" s="28">
        <f>AgeAtEntry+C741</f>
        <v/>
      </c>
      <c r="E741" s="29">
        <f>IF(PremiumType="SINGLE",IF(B741=0,PremiumPPInput,0),IF(B741&lt;12*PolicyTerm,PremiumPPInput,0))</f>
        <v/>
      </c>
      <c r="F741" s="30">
        <f>INDEX(MortRates,MATCH(MIN(D741,120),MortAges,0),MAX(MIN(C741,5),0)+1)</f>
        <v/>
      </c>
      <c r="G741" s="31">
        <f>1-(1-F741)^(1/12)</f>
        <v/>
      </c>
      <c r="H741" s="32">
        <f>MAX(LapseBase-LapseStep*C741,LapseFloor)</f>
        <v/>
      </c>
      <c r="I741" s="32">
        <f>IF(HasSurrCharge,INDEX(SurrRates,MIN(C741,SurrDurMax)+1,MATCH(SurrChargeID,SurrTypes,0)),0)</f>
        <v/>
      </c>
      <c r="J741" s="33">
        <f>N740-P740-O740</f>
        <v/>
      </c>
      <c r="K741" s="30">
        <f>IF(B741=12*PolicyTerm,J741,0)</f>
        <v/>
      </c>
      <c r="L741" s="33">
        <f>J741-K741</f>
        <v/>
      </c>
      <c r="M741" s="30">
        <f>IF(B741=0,PolicyCount,0)</f>
        <v/>
      </c>
      <c r="N741" s="33">
        <f>L741+M741</f>
        <v/>
      </c>
      <c r="O741" s="31">
        <f>N741*G741</f>
        <v/>
      </c>
      <c r="P741" s="33">
        <f>(N741-O741)*(1-(1-H741)^(1/12))</f>
        <v/>
      </c>
      <c r="Q741" s="34">
        <f>X740+Z740</f>
        <v/>
      </c>
      <c r="R741" s="29">
        <f>(1-LoadPremRate)*E741</f>
        <v/>
      </c>
      <c r="S741" s="34">
        <f>Q741+R741</f>
        <v/>
      </c>
      <c r="T741" s="29">
        <f>MaintFeeRateAnn/12*S741</f>
        <v/>
      </c>
      <c r="U741" s="29">
        <f>MAX(SumAssured-S741,0)</f>
        <v/>
      </c>
      <c r="V741" s="35">
        <f>CoiMultiple*G741</f>
        <v/>
      </c>
      <c r="W741" s="34">
        <f>V741*U741</f>
        <v/>
      </c>
      <c r="X741" s="34">
        <f>S741-T741-W741</f>
        <v/>
      </c>
      <c r="Y741" s="36">
        <f>EXP((Mu-0.5*Sigma^2)/12+Sigma*SQRT(1/12)*INDEX(NormRand,ScenID,A741+1))-1</f>
        <v/>
      </c>
      <c r="Z741" s="34">
        <f>Y741*X741</f>
        <v/>
      </c>
      <c r="AA741" s="34">
        <f>X741+0.5*Z741</f>
        <v/>
      </c>
      <c r="AB741" s="34">
        <f>Q741*J741</f>
        <v/>
      </c>
      <c r="AC741" s="34">
        <f>Q741*L741</f>
        <v/>
      </c>
      <c r="AD741" s="34">
        <f>S741*N741</f>
        <v/>
      </c>
      <c r="AE741" s="34">
        <f>E741*N741</f>
        <v/>
      </c>
      <c r="AF741" s="34">
        <f>R741*N741</f>
        <v/>
      </c>
      <c r="AG741" s="29">
        <f>MAX(SumAssured,AA741)</f>
        <v/>
      </c>
      <c r="AH741" s="34">
        <f>AG741*O741</f>
        <v/>
      </c>
      <c r="AI741" s="34">
        <f>AA741*O741</f>
        <v/>
      </c>
      <c r="AJ741" s="34">
        <f>AA741*P741</f>
        <v/>
      </c>
      <c r="AK741" s="34">
        <f>I741*AA741*P741</f>
        <v/>
      </c>
      <c r="AL741" s="34">
        <f>AJ741-AK741</f>
        <v/>
      </c>
      <c r="AM741" s="34">
        <f>Q741*K741</f>
        <v/>
      </c>
      <c r="AN741" s="34">
        <f>AH741+AL741+AM741</f>
        <v/>
      </c>
      <c r="AO741" s="34">
        <f>(AG741-AA741)*O741</f>
        <v/>
      </c>
      <c r="AP741" s="34">
        <f>W741*N741</f>
        <v/>
      </c>
      <c r="AQ741" s="34">
        <f>T741*N741</f>
        <v/>
      </c>
      <c r="AR741" s="34">
        <f>Z741*J742+0.5*Z741*(O741+P741)</f>
        <v/>
      </c>
      <c r="AS741" s="30">
        <f>(1+InflationRate)^(A741/12)</f>
        <v/>
      </c>
      <c r="AT741" s="29">
        <f>ExpenseAcq*M741+N741*ExpenseMaint/12*AS741</f>
        <v/>
      </c>
      <c r="AU741" s="29">
        <f>CommissionRate*AE741</f>
        <v/>
      </c>
      <c r="AV741" s="34">
        <f>AB742-AB741</f>
        <v/>
      </c>
      <c r="AW741" s="34">
        <f>AE741+AR741-AN741-AT741-AU741-AV741</f>
        <v/>
      </c>
      <c r="AX741" s="29">
        <f>LoadPremRate*E741*N741+AK741+AQ741-AU741-AT741</f>
        <v/>
      </c>
      <c r="AY741" s="34">
        <f>AP741-AO741</f>
        <v/>
      </c>
      <c r="AZ741" s="37">
        <f>(AW741-AX741-AY741)/MAX(1,ABS(AW741),ABS(AX741),ABS(AY741))</f>
        <v/>
      </c>
      <c r="BA741" s="37">
        <f>IF(OR(K741&gt;0,K742&gt;0),0,(AC742-(AC741+AF741-AQ741-AP741+AR741-AI741-AJ741-AM741))/MAX(1,ABS(AC741),ABS(AC742)))</f>
        <v/>
      </c>
      <c r="BB741" s="35">
        <f>(1+INDEX(DiscRateAnn,INT(A741/12)+1))^(1/12)-1</f>
        <v/>
      </c>
      <c r="BC741" s="31">
        <f>(1+BB741)^-A741</f>
        <v/>
      </c>
      <c r="BD741" s="34">
        <f>AW741*BC741</f>
        <v/>
      </c>
    </row>
    <row r="742">
      <c r="A742" s="27">
        <f>A741+1</f>
        <v/>
      </c>
      <c r="B742" s="28">
        <f>Duration0+A742</f>
        <v/>
      </c>
      <c r="C742" s="27">
        <f>INT(B742/12)</f>
        <v/>
      </c>
      <c r="D742" s="28">
        <f>AgeAtEntry+C742</f>
        <v/>
      </c>
      <c r="E742" s="29">
        <f>IF(PremiumType="SINGLE",IF(B742=0,PremiumPPInput,0),IF(B742&lt;12*PolicyTerm,PremiumPPInput,0))</f>
        <v/>
      </c>
      <c r="F742" s="30">
        <f>INDEX(MortRates,MATCH(MIN(D742,120),MortAges,0),MAX(MIN(C742,5),0)+1)</f>
        <v/>
      </c>
      <c r="G742" s="31">
        <f>1-(1-F742)^(1/12)</f>
        <v/>
      </c>
      <c r="H742" s="32">
        <f>MAX(LapseBase-LapseStep*C742,LapseFloor)</f>
        <v/>
      </c>
      <c r="I742" s="32">
        <f>IF(HasSurrCharge,INDEX(SurrRates,MIN(C742,SurrDurMax)+1,MATCH(SurrChargeID,SurrTypes,0)),0)</f>
        <v/>
      </c>
      <c r="J742" s="33">
        <f>N741-P741-O741</f>
        <v/>
      </c>
      <c r="K742" s="30">
        <f>IF(B742=12*PolicyTerm,J742,0)</f>
        <v/>
      </c>
      <c r="L742" s="33">
        <f>J742-K742</f>
        <v/>
      </c>
      <c r="M742" s="30">
        <f>IF(B742=0,PolicyCount,0)</f>
        <v/>
      </c>
      <c r="N742" s="33">
        <f>L742+M742</f>
        <v/>
      </c>
      <c r="O742" s="31">
        <f>N742*G742</f>
        <v/>
      </c>
      <c r="P742" s="33">
        <f>(N742-O742)*(1-(1-H742)^(1/12))</f>
        <v/>
      </c>
      <c r="Q742" s="34">
        <f>X741+Z741</f>
        <v/>
      </c>
      <c r="R742" s="29">
        <f>(1-LoadPremRate)*E742</f>
        <v/>
      </c>
      <c r="S742" s="34">
        <f>Q742+R742</f>
        <v/>
      </c>
      <c r="T742" s="29">
        <f>MaintFeeRateAnn/12*S742</f>
        <v/>
      </c>
      <c r="U742" s="29">
        <f>MAX(SumAssured-S742,0)</f>
        <v/>
      </c>
      <c r="V742" s="35">
        <f>CoiMultiple*G742</f>
        <v/>
      </c>
      <c r="W742" s="34">
        <f>V742*U742</f>
        <v/>
      </c>
      <c r="X742" s="34">
        <f>S742-T742-W742</f>
        <v/>
      </c>
      <c r="Y742" s="36">
        <f>EXP((Mu-0.5*Sigma^2)/12+Sigma*SQRT(1/12)*INDEX(NormRand,ScenID,A742+1))-1</f>
        <v/>
      </c>
      <c r="Z742" s="34">
        <f>Y742*X742</f>
        <v/>
      </c>
      <c r="AA742" s="34">
        <f>X742+0.5*Z742</f>
        <v/>
      </c>
      <c r="AB742" s="34">
        <f>Q742*J742</f>
        <v/>
      </c>
      <c r="AC742" s="34">
        <f>Q742*L742</f>
        <v/>
      </c>
      <c r="AD742" s="34">
        <f>S742*N742</f>
        <v/>
      </c>
      <c r="AE742" s="34">
        <f>E742*N742</f>
        <v/>
      </c>
      <c r="AF742" s="34">
        <f>R742*N742</f>
        <v/>
      </c>
      <c r="AG742" s="29">
        <f>MAX(SumAssured,AA742)</f>
        <v/>
      </c>
      <c r="AH742" s="34">
        <f>AG742*O742</f>
        <v/>
      </c>
      <c r="AI742" s="34">
        <f>AA742*O742</f>
        <v/>
      </c>
      <c r="AJ742" s="34">
        <f>AA742*P742</f>
        <v/>
      </c>
      <c r="AK742" s="34">
        <f>I742*AA742*P742</f>
        <v/>
      </c>
      <c r="AL742" s="34">
        <f>AJ742-AK742</f>
        <v/>
      </c>
      <c r="AM742" s="34">
        <f>Q742*K742</f>
        <v/>
      </c>
      <c r="AN742" s="34">
        <f>AH742+AL742+AM742</f>
        <v/>
      </c>
      <c r="AO742" s="34">
        <f>(AG742-AA742)*O742</f>
        <v/>
      </c>
      <c r="AP742" s="34">
        <f>W742*N742</f>
        <v/>
      </c>
      <c r="AQ742" s="34">
        <f>T742*N742</f>
        <v/>
      </c>
      <c r="AR742" s="34">
        <f>Z742*J743+0.5*Z742*(O742+P742)</f>
        <v/>
      </c>
      <c r="AS742" s="30">
        <f>(1+InflationRate)^(A742/12)</f>
        <v/>
      </c>
      <c r="AT742" s="29">
        <f>ExpenseAcq*M742+N742*ExpenseMaint/12*AS742</f>
        <v/>
      </c>
      <c r="AU742" s="29">
        <f>CommissionRate*AE742</f>
        <v/>
      </c>
      <c r="AV742" s="34">
        <f>AB743-AB742</f>
        <v/>
      </c>
      <c r="AW742" s="34">
        <f>AE742+AR742-AN742-AT742-AU742-AV742</f>
        <v/>
      </c>
      <c r="AX742" s="29">
        <f>LoadPremRate*E742*N742+AK742+AQ742-AU742-AT742</f>
        <v/>
      </c>
      <c r="AY742" s="34">
        <f>AP742-AO742</f>
        <v/>
      </c>
      <c r="AZ742" s="37">
        <f>(AW742-AX742-AY742)/MAX(1,ABS(AW742),ABS(AX742),ABS(AY742))</f>
        <v/>
      </c>
      <c r="BA742" s="37">
        <f>IF(OR(K742&gt;0,K743&gt;0),0,(AC743-(AC742+AF742-AQ742-AP742+AR742-AI742-AJ742-AM742))/MAX(1,ABS(AC742),ABS(AC743)))</f>
        <v/>
      </c>
      <c r="BB742" s="35">
        <f>(1+INDEX(DiscRateAnn,INT(A742/12)+1))^(1/12)-1</f>
        <v/>
      </c>
      <c r="BC742" s="31">
        <f>(1+BB742)^-A742</f>
        <v/>
      </c>
      <c r="BD742" s="34">
        <f>AW742*BC742</f>
        <v/>
      </c>
    </row>
    <row r="743">
      <c r="A743" s="27">
        <f>A742+1</f>
        <v/>
      </c>
      <c r="B743" s="28">
        <f>Duration0+A743</f>
        <v/>
      </c>
      <c r="C743" s="27">
        <f>INT(B743/12)</f>
        <v/>
      </c>
      <c r="D743" s="28">
        <f>AgeAtEntry+C743</f>
        <v/>
      </c>
      <c r="E743" s="29">
        <f>IF(PremiumType="SINGLE",IF(B743=0,PremiumPPInput,0),IF(B743&lt;12*PolicyTerm,PremiumPPInput,0))</f>
        <v/>
      </c>
      <c r="F743" s="30">
        <f>INDEX(MortRates,MATCH(MIN(D743,120),MortAges,0),MAX(MIN(C743,5),0)+1)</f>
        <v/>
      </c>
      <c r="G743" s="31">
        <f>1-(1-F743)^(1/12)</f>
        <v/>
      </c>
      <c r="H743" s="32">
        <f>MAX(LapseBase-LapseStep*C743,LapseFloor)</f>
        <v/>
      </c>
      <c r="I743" s="32">
        <f>IF(HasSurrCharge,INDEX(SurrRates,MIN(C743,SurrDurMax)+1,MATCH(SurrChargeID,SurrTypes,0)),0)</f>
        <v/>
      </c>
      <c r="J743" s="33">
        <f>N742-P742-O742</f>
        <v/>
      </c>
      <c r="K743" s="30">
        <f>IF(B743=12*PolicyTerm,J743,0)</f>
        <v/>
      </c>
      <c r="L743" s="33">
        <f>J743-K743</f>
        <v/>
      </c>
      <c r="M743" s="30">
        <f>IF(B743=0,PolicyCount,0)</f>
        <v/>
      </c>
      <c r="N743" s="33">
        <f>L743+M743</f>
        <v/>
      </c>
      <c r="O743" s="31">
        <f>N743*G743</f>
        <v/>
      </c>
      <c r="P743" s="33">
        <f>(N743-O743)*(1-(1-H743)^(1/12))</f>
        <v/>
      </c>
      <c r="Q743" s="34">
        <f>X742+Z742</f>
        <v/>
      </c>
      <c r="R743" s="29">
        <f>(1-LoadPremRate)*E743</f>
        <v/>
      </c>
      <c r="S743" s="34">
        <f>Q743+R743</f>
        <v/>
      </c>
      <c r="T743" s="29">
        <f>MaintFeeRateAnn/12*S743</f>
        <v/>
      </c>
      <c r="U743" s="29">
        <f>MAX(SumAssured-S743,0)</f>
        <v/>
      </c>
      <c r="V743" s="35">
        <f>CoiMultiple*G743</f>
        <v/>
      </c>
      <c r="W743" s="34">
        <f>V743*U743</f>
        <v/>
      </c>
      <c r="X743" s="34">
        <f>S743-T743-W743</f>
        <v/>
      </c>
      <c r="Y743" s="36">
        <f>EXP((Mu-0.5*Sigma^2)/12+Sigma*SQRT(1/12)*INDEX(NormRand,ScenID,A743+1))-1</f>
        <v/>
      </c>
      <c r="Z743" s="34">
        <f>Y743*X743</f>
        <v/>
      </c>
      <c r="AA743" s="34">
        <f>X743+0.5*Z743</f>
        <v/>
      </c>
      <c r="AB743" s="34">
        <f>Q743*J743</f>
        <v/>
      </c>
      <c r="AC743" s="34">
        <f>Q743*L743</f>
        <v/>
      </c>
      <c r="AD743" s="34">
        <f>S743*N743</f>
        <v/>
      </c>
      <c r="AE743" s="34">
        <f>E743*N743</f>
        <v/>
      </c>
      <c r="AF743" s="34">
        <f>R743*N743</f>
        <v/>
      </c>
      <c r="AG743" s="29">
        <f>MAX(SumAssured,AA743)</f>
        <v/>
      </c>
      <c r="AH743" s="34">
        <f>AG743*O743</f>
        <v/>
      </c>
      <c r="AI743" s="34">
        <f>AA743*O743</f>
        <v/>
      </c>
      <c r="AJ743" s="34">
        <f>AA743*P743</f>
        <v/>
      </c>
      <c r="AK743" s="34">
        <f>I743*AA743*P743</f>
        <v/>
      </c>
      <c r="AL743" s="34">
        <f>AJ743-AK743</f>
        <v/>
      </c>
      <c r="AM743" s="34">
        <f>Q743*K743</f>
        <v/>
      </c>
      <c r="AN743" s="34">
        <f>AH743+AL743+AM743</f>
        <v/>
      </c>
      <c r="AO743" s="34">
        <f>(AG743-AA743)*O743</f>
        <v/>
      </c>
      <c r="AP743" s="34">
        <f>W743*N743</f>
        <v/>
      </c>
      <c r="AQ743" s="34">
        <f>T743*N743</f>
        <v/>
      </c>
      <c r="AR743" s="34">
        <f>Z743*J744+0.5*Z743*(O743+P743)</f>
        <v/>
      </c>
      <c r="AS743" s="30">
        <f>(1+InflationRate)^(A743/12)</f>
        <v/>
      </c>
      <c r="AT743" s="29">
        <f>ExpenseAcq*M743+N743*ExpenseMaint/12*AS743</f>
        <v/>
      </c>
      <c r="AU743" s="29">
        <f>CommissionRate*AE743</f>
        <v/>
      </c>
      <c r="AV743" s="34">
        <f>AB744-AB743</f>
        <v/>
      </c>
      <c r="AW743" s="34">
        <f>AE743+AR743-AN743-AT743-AU743-AV743</f>
        <v/>
      </c>
      <c r="AX743" s="29">
        <f>LoadPremRate*E743*N743+AK743+AQ743-AU743-AT743</f>
        <v/>
      </c>
      <c r="AY743" s="34">
        <f>AP743-AO743</f>
        <v/>
      </c>
      <c r="AZ743" s="37">
        <f>(AW743-AX743-AY743)/MAX(1,ABS(AW743),ABS(AX743),ABS(AY743))</f>
        <v/>
      </c>
      <c r="BA743" s="37">
        <f>IF(OR(K743&gt;0,K744&gt;0),0,(AC744-(AC743+AF743-AQ743-AP743+AR743-AI743-AJ743-AM743))/MAX(1,ABS(AC743),ABS(AC744)))</f>
        <v/>
      </c>
      <c r="BB743" s="35">
        <f>(1+INDEX(DiscRateAnn,INT(A743/12)+1))^(1/12)-1</f>
        <v/>
      </c>
      <c r="BC743" s="31">
        <f>(1+BB743)^-A743</f>
        <v/>
      </c>
      <c r="BD743" s="34">
        <f>AW743*BC743</f>
        <v/>
      </c>
    </row>
    <row r="744">
      <c r="A744" s="27">
        <f>A743+1</f>
        <v/>
      </c>
      <c r="B744" s="28">
        <f>Duration0+A744</f>
        <v/>
      </c>
      <c r="C744" s="27">
        <f>INT(B744/12)</f>
        <v/>
      </c>
      <c r="D744" s="28">
        <f>AgeAtEntry+C744</f>
        <v/>
      </c>
      <c r="E744" s="29">
        <f>IF(PremiumType="SINGLE",IF(B744=0,PremiumPPInput,0),IF(B744&lt;12*PolicyTerm,PremiumPPInput,0))</f>
        <v/>
      </c>
      <c r="F744" s="30">
        <f>INDEX(MortRates,MATCH(MIN(D744,120),MortAges,0),MAX(MIN(C744,5),0)+1)</f>
        <v/>
      </c>
      <c r="G744" s="31">
        <f>1-(1-F744)^(1/12)</f>
        <v/>
      </c>
      <c r="H744" s="32">
        <f>MAX(LapseBase-LapseStep*C744,LapseFloor)</f>
        <v/>
      </c>
      <c r="I744" s="32">
        <f>IF(HasSurrCharge,INDEX(SurrRates,MIN(C744,SurrDurMax)+1,MATCH(SurrChargeID,SurrTypes,0)),0)</f>
        <v/>
      </c>
      <c r="J744" s="33">
        <f>N743-P743-O743</f>
        <v/>
      </c>
      <c r="K744" s="30">
        <f>IF(B744=12*PolicyTerm,J744,0)</f>
        <v/>
      </c>
      <c r="L744" s="33">
        <f>J744-K744</f>
        <v/>
      </c>
      <c r="M744" s="30">
        <f>IF(B744=0,PolicyCount,0)</f>
        <v/>
      </c>
      <c r="N744" s="33">
        <f>L744+M744</f>
        <v/>
      </c>
      <c r="O744" s="31">
        <f>N744*G744</f>
        <v/>
      </c>
      <c r="P744" s="33">
        <f>(N744-O744)*(1-(1-H744)^(1/12))</f>
        <v/>
      </c>
      <c r="Q744" s="34">
        <f>X743+Z743</f>
        <v/>
      </c>
      <c r="R744" s="29">
        <f>(1-LoadPremRate)*E744</f>
        <v/>
      </c>
      <c r="S744" s="34">
        <f>Q744+R744</f>
        <v/>
      </c>
      <c r="T744" s="29">
        <f>MaintFeeRateAnn/12*S744</f>
        <v/>
      </c>
      <c r="U744" s="29">
        <f>MAX(SumAssured-S744,0)</f>
        <v/>
      </c>
      <c r="V744" s="35">
        <f>CoiMultiple*G744</f>
        <v/>
      </c>
      <c r="W744" s="34">
        <f>V744*U744</f>
        <v/>
      </c>
      <c r="X744" s="34">
        <f>S744-T744-W744</f>
        <v/>
      </c>
      <c r="Y744" s="36">
        <f>EXP((Mu-0.5*Sigma^2)/12+Sigma*SQRT(1/12)*INDEX(NormRand,ScenID,A744+1))-1</f>
        <v/>
      </c>
      <c r="Z744" s="34">
        <f>Y744*X744</f>
        <v/>
      </c>
      <c r="AA744" s="34">
        <f>X744+0.5*Z744</f>
        <v/>
      </c>
      <c r="AB744" s="34">
        <f>Q744*J744</f>
        <v/>
      </c>
      <c r="AC744" s="34">
        <f>Q744*L744</f>
        <v/>
      </c>
      <c r="AD744" s="34">
        <f>S744*N744</f>
        <v/>
      </c>
      <c r="AE744" s="34">
        <f>E744*N744</f>
        <v/>
      </c>
      <c r="AF744" s="34">
        <f>R744*N744</f>
        <v/>
      </c>
      <c r="AG744" s="29">
        <f>MAX(SumAssured,AA744)</f>
        <v/>
      </c>
      <c r="AH744" s="34">
        <f>AG744*O744</f>
        <v/>
      </c>
      <c r="AI744" s="34">
        <f>AA744*O744</f>
        <v/>
      </c>
      <c r="AJ744" s="34">
        <f>AA744*P744</f>
        <v/>
      </c>
      <c r="AK744" s="34">
        <f>I744*AA744*P744</f>
        <v/>
      </c>
      <c r="AL744" s="34">
        <f>AJ744-AK744</f>
        <v/>
      </c>
      <c r="AM744" s="34">
        <f>Q744*K744</f>
        <v/>
      </c>
      <c r="AN744" s="34">
        <f>AH744+AL744+AM744</f>
        <v/>
      </c>
      <c r="AO744" s="34">
        <f>(AG744-AA744)*O744</f>
        <v/>
      </c>
      <c r="AP744" s="34">
        <f>W744*N744</f>
        <v/>
      </c>
      <c r="AQ744" s="34">
        <f>T744*N744</f>
        <v/>
      </c>
      <c r="AR744" s="34">
        <f>Z744*J745+0.5*Z744*(O744+P744)</f>
        <v/>
      </c>
      <c r="AS744" s="30">
        <f>(1+InflationRate)^(A744/12)</f>
        <v/>
      </c>
      <c r="AT744" s="29">
        <f>ExpenseAcq*M744+N744*ExpenseMaint/12*AS744</f>
        <v/>
      </c>
      <c r="AU744" s="29">
        <f>CommissionRate*AE744</f>
        <v/>
      </c>
      <c r="AV744" s="34">
        <f>AB745-AB744</f>
        <v/>
      </c>
      <c r="AW744" s="34">
        <f>AE744+AR744-AN744-AT744-AU744-AV744</f>
        <v/>
      </c>
      <c r="AX744" s="29">
        <f>LoadPremRate*E744*N744+AK744+AQ744-AU744-AT744</f>
        <v/>
      </c>
      <c r="AY744" s="34">
        <f>AP744-AO744</f>
        <v/>
      </c>
      <c r="AZ744" s="37">
        <f>(AW744-AX744-AY744)/MAX(1,ABS(AW744),ABS(AX744),ABS(AY744))</f>
        <v/>
      </c>
      <c r="BA744" s="37">
        <f>IF(OR(K744&gt;0,K745&gt;0),0,(AC745-(AC744+AF744-AQ744-AP744+AR744-AI744-AJ744-AM744))/MAX(1,ABS(AC744),ABS(AC745)))</f>
        <v/>
      </c>
      <c r="BB744" s="35">
        <f>(1+INDEX(DiscRateAnn,INT(A744/12)+1))^(1/12)-1</f>
        <v/>
      </c>
      <c r="BC744" s="31">
        <f>(1+BB744)^-A744</f>
        <v/>
      </c>
      <c r="BD744" s="34">
        <f>AW744*BC744</f>
        <v/>
      </c>
    </row>
    <row r="745">
      <c r="A745" s="27">
        <f>A744+1</f>
        <v/>
      </c>
      <c r="B745" s="28">
        <f>Duration0+A745</f>
        <v/>
      </c>
      <c r="C745" s="27">
        <f>INT(B745/12)</f>
        <v/>
      </c>
      <c r="D745" s="28">
        <f>AgeAtEntry+C745</f>
        <v/>
      </c>
      <c r="E745" s="29">
        <f>IF(PremiumType="SINGLE",IF(B745=0,PremiumPPInput,0),IF(B745&lt;12*PolicyTerm,PremiumPPInput,0))</f>
        <v/>
      </c>
      <c r="F745" s="30">
        <f>INDEX(MortRates,MATCH(MIN(D745,120),MortAges,0),MAX(MIN(C745,5),0)+1)</f>
        <v/>
      </c>
      <c r="G745" s="31">
        <f>1-(1-F745)^(1/12)</f>
        <v/>
      </c>
      <c r="H745" s="32">
        <f>MAX(LapseBase-LapseStep*C745,LapseFloor)</f>
        <v/>
      </c>
      <c r="I745" s="32">
        <f>IF(HasSurrCharge,INDEX(SurrRates,MIN(C745,SurrDurMax)+1,MATCH(SurrChargeID,SurrTypes,0)),0)</f>
        <v/>
      </c>
      <c r="J745" s="33">
        <f>N744-P744-O744</f>
        <v/>
      </c>
      <c r="K745" s="30">
        <f>IF(B745=12*PolicyTerm,J745,0)</f>
        <v/>
      </c>
      <c r="L745" s="33">
        <f>J745-K745</f>
        <v/>
      </c>
      <c r="M745" s="30">
        <f>IF(B745=0,PolicyCount,0)</f>
        <v/>
      </c>
      <c r="N745" s="33">
        <f>L745+M745</f>
        <v/>
      </c>
      <c r="O745" s="31">
        <f>N745*G745</f>
        <v/>
      </c>
      <c r="P745" s="33">
        <f>(N745-O745)*(1-(1-H745)^(1/12))</f>
        <v/>
      </c>
      <c r="Q745" s="34">
        <f>X744+Z744</f>
        <v/>
      </c>
      <c r="R745" s="29">
        <f>(1-LoadPremRate)*E745</f>
        <v/>
      </c>
      <c r="S745" s="34">
        <f>Q745+R745</f>
        <v/>
      </c>
      <c r="T745" s="29">
        <f>MaintFeeRateAnn/12*S745</f>
        <v/>
      </c>
      <c r="U745" s="29">
        <f>MAX(SumAssured-S745,0)</f>
        <v/>
      </c>
      <c r="V745" s="35">
        <f>CoiMultiple*G745</f>
        <v/>
      </c>
      <c r="W745" s="34">
        <f>V745*U745</f>
        <v/>
      </c>
      <c r="X745" s="34">
        <f>S745-T745-W745</f>
        <v/>
      </c>
      <c r="Y745" s="36">
        <f>EXP((Mu-0.5*Sigma^2)/12+Sigma*SQRT(1/12)*INDEX(NormRand,ScenID,A745+1))-1</f>
        <v/>
      </c>
      <c r="Z745" s="34">
        <f>Y745*X745</f>
        <v/>
      </c>
      <c r="AA745" s="34">
        <f>X745+0.5*Z745</f>
        <v/>
      </c>
      <c r="AB745" s="34">
        <f>Q745*J745</f>
        <v/>
      </c>
      <c r="AC745" s="34">
        <f>Q745*L745</f>
        <v/>
      </c>
      <c r="AD745" s="34">
        <f>S745*N745</f>
        <v/>
      </c>
      <c r="AE745" s="34">
        <f>E745*N745</f>
        <v/>
      </c>
      <c r="AF745" s="34">
        <f>R745*N745</f>
        <v/>
      </c>
      <c r="AG745" s="29">
        <f>MAX(SumAssured,AA745)</f>
        <v/>
      </c>
      <c r="AH745" s="34">
        <f>AG745*O745</f>
        <v/>
      </c>
      <c r="AI745" s="34">
        <f>AA745*O745</f>
        <v/>
      </c>
      <c r="AJ745" s="34">
        <f>AA745*P745</f>
        <v/>
      </c>
      <c r="AK745" s="34">
        <f>I745*AA745*P745</f>
        <v/>
      </c>
      <c r="AL745" s="34">
        <f>AJ745-AK745</f>
        <v/>
      </c>
      <c r="AM745" s="34">
        <f>Q745*K745</f>
        <v/>
      </c>
      <c r="AN745" s="34">
        <f>AH745+AL745+AM745</f>
        <v/>
      </c>
      <c r="AO745" s="34">
        <f>(AG745-AA745)*O745</f>
        <v/>
      </c>
      <c r="AP745" s="34">
        <f>W745*N745</f>
        <v/>
      </c>
      <c r="AQ745" s="34">
        <f>T745*N745</f>
        <v/>
      </c>
      <c r="AR745" s="34">
        <f>Z745*J746+0.5*Z745*(O745+P745)</f>
        <v/>
      </c>
      <c r="AS745" s="30">
        <f>(1+InflationRate)^(A745/12)</f>
        <v/>
      </c>
      <c r="AT745" s="29">
        <f>ExpenseAcq*M745+N745*ExpenseMaint/12*AS745</f>
        <v/>
      </c>
      <c r="AU745" s="29">
        <f>CommissionRate*AE745</f>
        <v/>
      </c>
      <c r="AV745" s="34">
        <f>AB746-AB745</f>
        <v/>
      </c>
      <c r="AW745" s="34">
        <f>AE745+AR745-AN745-AT745-AU745-AV745</f>
        <v/>
      </c>
      <c r="AX745" s="29">
        <f>LoadPremRate*E745*N745+AK745+AQ745-AU745-AT745</f>
        <v/>
      </c>
      <c r="AY745" s="34">
        <f>AP745-AO745</f>
        <v/>
      </c>
      <c r="AZ745" s="37">
        <f>(AW745-AX745-AY745)/MAX(1,ABS(AW745),ABS(AX745),ABS(AY745))</f>
        <v/>
      </c>
      <c r="BA745" s="37">
        <f>IF(OR(K745&gt;0,K746&gt;0),0,(AC746-(AC745+AF745-AQ745-AP745+AR745-AI745-AJ745-AM745))/MAX(1,ABS(AC745),ABS(AC746)))</f>
        <v/>
      </c>
      <c r="BB745" s="35">
        <f>(1+INDEX(DiscRateAnn,INT(A745/12)+1))^(1/12)-1</f>
        <v/>
      </c>
      <c r="BC745" s="31">
        <f>(1+BB745)^-A745</f>
        <v/>
      </c>
      <c r="BD745" s="34">
        <f>AW745*BC745</f>
        <v/>
      </c>
    </row>
    <row r="746">
      <c r="A746" s="27">
        <f>A745+1</f>
        <v/>
      </c>
      <c r="B746" s="28">
        <f>Duration0+A746</f>
        <v/>
      </c>
      <c r="C746" s="27">
        <f>INT(B746/12)</f>
        <v/>
      </c>
      <c r="D746" s="28">
        <f>AgeAtEntry+C746</f>
        <v/>
      </c>
      <c r="E746" s="29">
        <f>IF(PremiumType="SINGLE",IF(B746=0,PremiumPPInput,0),IF(B746&lt;12*PolicyTerm,PremiumPPInput,0))</f>
        <v/>
      </c>
      <c r="F746" s="30">
        <f>INDEX(MortRates,MATCH(MIN(D746,120),MortAges,0),MAX(MIN(C746,5),0)+1)</f>
        <v/>
      </c>
      <c r="G746" s="31">
        <f>1-(1-F746)^(1/12)</f>
        <v/>
      </c>
      <c r="H746" s="32">
        <f>MAX(LapseBase-LapseStep*C746,LapseFloor)</f>
        <v/>
      </c>
      <c r="I746" s="32">
        <f>IF(HasSurrCharge,INDEX(SurrRates,MIN(C746,SurrDurMax)+1,MATCH(SurrChargeID,SurrTypes,0)),0)</f>
        <v/>
      </c>
      <c r="J746" s="33">
        <f>N745-P745-O745</f>
        <v/>
      </c>
      <c r="K746" s="30">
        <f>IF(B746=12*PolicyTerm,J746,0)</f>
        <v/>
      </c>
      <c r="L746" s="33">
        <f>J746-K746</f>
        <v/>
      </c>
      <c r="M746" s="30">
        <f>IF(B746=0,PolicyCount,0)</f>
        <v/>
      </c>
      <c r="N746" s="33">
        <f>L746+M746</f>
        <v/>
      </c>
      <c r="O746" s="31">
        <f>N746*G746</f>
        <v/>
      </c>
      <c r="P746" s="33">
        <f>(N746-O746)*(1-(1-H746)^(1/12))</f>
        <v/>
      </c>
      <c r="Q746" s="34">
        <f>X745+Z745</f>
        <v/>
      </c>
      <c r="R746" s="29">
        <f>(1-LoadPremRate)*E746</f>
        <v/>
      </c>
      <c r="S746" s="34">
        <f>Q746+R746</f>
        <v/>
      </c>
      <c r="T746" s="29">
        <f>MaintFeeRateAnn/12*S746</f>
        <v/>
      </c>
      <c r="U746" s="29">
        <f>MAX(SumAssured-S746,0)</f>
        <v/>
      </c>
      <c r="V746" s="35">
        <f>CoiMultiple*G746</f>
        <v/>
      </c>
      <c r="W746" s="34">
        <f>V746*U746</f>
        <v/>
      </c>
      <c r="X746" s="34">
        <f>S746-T746-W746</f>
        <v/>
      </c>
      <c r="Y746" s="36">
        <f>EXP((Mu-0.5*Sigma^2)/12+Sigma*SQRT(1/12)*INDEX(NormRand,ScenID,A746+1))-1</f>
        <v/>
      </c>
      <c r="Z746" s="34">
        <f>Y746*X746</f>
        <v/>
      </c>
      <c r="AA746" s="34">
        <f>X746+0.5*Z746</f>
        <v/>
      </c>
      <c r="AB746" s="34">
        <f>Q746*J746</f>
        <v/>
      </c>
      <c r="AC746" s="34">
        <f>Q746*L746</f>
        <v/>
      </c>
      <c r="AD746" s="34">
        <f>S746*N746</f>
        <v/>
      </c>
      <c r="AE746" s="34">
        <f>E746*N746</f>
        <v/>
      </c>
      <c r="AF746" s="34">
        <f>R746*N746</f>
        <v/>
      </c>
      <c r="AG746" s="29">
        <f>MAX(SumAssured,AA746)</f>
        <v/>
      </c>
      <c r="AH746" s="34">
        <f>AG746*O746</f>
        <v/>
      </c>
      <c r="AI746" s="34">
        <f>AA746*O746</f>
        <v/>
      </c>
      <c r="AJ746" s="34">
        <f>AA746*P746</f>
        <v/>
      </c>
      <c r="AK746" s="34">
        <f>I746*AA746*P746</f>
        <v/>
      </c>
      <c r="AL746" s="34">
        <f>AJ746-AK746</f>
        <v/>
      </c>
      <c r="AM746" s="34">
        <f>Q746*K746</f>
        <v/>
      </c>
      <c r="AN746" s="34">
        <f>AH746+AL746+AM746</f>
        <v/>
      </c>
      <c r="AO746" s="34">
        <f>(AG746-AA746)*O746</f>
        <v/>
      </c>
      <c r="AP746" s="34">
        <f>W746*N746</f>
        <v/>
      </c>
      <c r="AQ746" s="34">
        <f>T746*N746</f>
        <v/>
      </c>
      <c r="AR746" s="34">
        <f>Z746*J747+0.5*Z746*(O746+P746)</f>
        <v/>
      </c>
      <c r="AS746" s="30">
        <f>(1+InflationRate)^(A746/12)</f>
        <v/>
      </c>
      <c r="AT746" s="29">
        <f>ExpenseAcq*M746+N746*ExpenseMaint/12*AS746</f>
        <v/>
      </c>
      <c r="AU746" s="29">
        <f>CommissionRate*AE746</f>
        <v/>
      </c>
      <c r="AV746" s="34">
        <f>AB747-AB746</f>
        <v/>
      </c>
      <c r="AW746" s="34">
        <f>AE746+AR746-AN746-AT746-AU746-AV746</f>
        <v/>
      </c>
      <c r="AX746" s="29">
        <f>LoadPremRate*E746*N746+AK746+AQ746-AU746-AT746</f>
        <v/>
      </c>
      <c r="AY746" s="34">
        <f>AP746-AO746</f>
        <v/>
      </c>
      <c r="AZ746" s="37">
        <f>(AW746-AX746-AY746)/MAX(1,ABS(AW746),ABS(AX746),ABS(AY746))</f>
        <v/>
      </c>
      <c r="BA746" s="37">
        <f>IF(OR(K746&gt;0,K747&gt;0),0,(AC747-(AC746+AF746-AQ746-AP746+AR746-AI746-AJ746-AM746))/MAX(1,ABS(AC746),ABS(AC747)))</f>
        <v/>
      </c>
      <c r="BB746" s="35">
        <f>(1+INDEX(DiscRateAnn,INT(A746/12)+1))^(1/12)-1</f>
        <v/>
      </c>
      <c r="BC746" s="31">
        <f>(1+BB746)^-A746</f>
        <v/>
      </c>
      <c r="BD746" s="34">
        <f>AW746*BC746</f>
        <v/>
      </c>
    </row>
    <row r="747">
      <c r="A747" s="27">
        <f>A746+1</f>
        <v/>
      </c>
      <c r="B747" s="28">
        <f>Duration0+A747</f>
        <v/>
      </c>
      <c r="C747" s="27">
        <f>INT(B747/12)</f>
        <v/>
      </c>
      <c r="D747" s="28">
        <f>AgeAtEntry+C747</f>
        <v/>
      </c>
      <c r="E747" s="29">
        <f>IF(PremiumType="SINGLE",IF(B747=0,PremiumPPInput,0),IF(B747&lt;12*PolicyTerm,PremiumPPInput,0))</f>
        <v/>
      </c>
      <c r="F747" s="30">
        <f>INDEX(MortRates,MATCH(MIN(D747,120),MortAges,0),MAX(MIN(C747,5),0)+1)</f>
        <v/>
      </c>
      <c r="G747" s="31">
        <f>1-(1-F747)^(1/12)</f>
        <v/>
      </c>
      <c r="H747" s="32">
        <f>MAX(LapseBase-LapseStep*C747,LapseFloor)</f>
        <v/>
      </c>
      <c r="I747" s="32">
        <f>IF(HasSurrCharge,INDEX(SurrRates,MIN(C747,SurrDurMax)+1,MATCH(SurrChargeID,SurrTypes,0)),0)</f>
        <v/>
      </c>
      <c r="J747" s="33">
        <f>N746-P746-O746</f>
        <v/>
      </c>
      <c r="K747" s="30">
        <f>IF(B747=12*PolicyTerm,J747,0)</f>
        <v/>
      </c>
      <c r="L747" s="33">
        <f>J747-K747</f>
        <v/>
      </c>
      <c r="M747" s="30">
        <f>IF(B747=0,PolicyCount,0)</f>
        <v/>
      </c>
      <c r="N747" s="33">
        <f>L747+M747</f>
        <v/>
      </c>
      <c r="O747" s="31">
        <f>N747*G747</f>
        <v/>
      </c>
      <c r="P747" s="33">
        <f>(N747-O747)*(1-(1-H747)^(1/12))</f>
        <v/>
      </c>
      <c r="Q747" s="34">
        <f>X746+Z746</f>
        <v/>
      </c>
      <c r="R747" s="29">
        <f>(1-LoadPremRate)*E747</f>
        <v/>
      </c>
      <c r="S747" s="34">
        <f>Q747+R747</f>
        <v/>
      </c>
      <c r="T747" s="29">
        <f>MaintFeeRateAnn/12*S747</f>
        <v/>
      </c>
      <c r="U747" s="29">
        <f>MAX(SumAssured-S747,0)</f>
        <v/>
      </c>
      <c r="V747" s="35">
        <f>CoiMultiple*G747</f>
        <v/>
      </c>
      <c r="W747" s="34">
        <f>V747*U747</f>
        <v/>
      </c>
      <c r="X747" s="34">
        <f>S747-T747-W747</f>
        <v/>
      </c>
      <c r="Y747" s="36">
        <f>EXP((Mu-0.5*Sigma^2)/12+Sigma*SQRT(1/12)*INDEX(NormRand,ScenID,A747+1))-1</f>
        <v/>
      </c>
      <c r="Z747" s="34">
        <f>Y747*X747</f>
        <v/>
      </c>
      <c r="AA747" s="34">
        <f>X747+0.5*Z747</f>
        <v/>
      </c>
      <c r="AB747" s="34">
        <f>Q747*J747</f>
        <v/>
      </c>
      <c r="AC747" s="34">
        <f>Q747*L747</f>
        <v/>
      </c>
      <c r="AD747" s="34">
        <f>S747*N747</f>
        <v/>
      </c>
      <c r="AE747" s="34">
        <f>E747*N747</f>
        <v/>
      </c>
      <c r="AF747" s="34">
        <f>R747*N747</f>
        <v/>
      </c>
      <c r="AG747" s="29">
        <f>MAX(SumAssured,AA747)</f>
        <v/>
      </c>
      <c r="AH747" s="34">
        <f>AG747*O747</f>
        <v/>
      </c>
      <c r="AI747" s="34">
        <f>AA747*O747</f>
        <v/>
      </c>
      <c r="AJ747" s="34">
        <f>AA747*P747</f>
        <v/>
      </c>
      <c r="AK747" s="34">
        <f>I747*AA747*P747</f>
        <v/>
      </c>
      <c r="AL747" s="34">
        <f>AJ747-AK747</f>
        <v/>
      </c>
      <c r="AM747" s="34">
        <f>Q747*K747</f>
        <v/>
      </c>
      <c r="AN747" s="34">
        <f>AH747+AL747+AM747</f>
        <v/>
      </c>
      <c r="AO747" s="34">
        <f>(AG747-AA747)*O747</f>
        <v/>
      </c>
      <c r="AP747" s="34">
        <f>W747*N747</f>
        <v/>
      </c>
      <c r="AQ747" s="34">
        <f>T747*N747</f>
        <v/>
      </c>
      <c r="AR747" s="34">
        <f>Z747*J748+0.5*Z747*(O747+P747)</f>
        <v/>
      </c>
      <c r="AS747" s="30">
        <f>(1+InflationRate)^(A747/12)</f>
        <v/>
      </c>
      <c r="AT747" s="29">
        <f>ExpenseAcq*M747+N747*ExpenseMaint/12*AS747</f>
        <v/>
      </c>
      <c r="AU747" s="29">
        <f>CommissionRate*AE747</f>
        <v/>
      </c>
      <c r="AV747" s="34">
        <f>AB748-AB747</f>
        <v/>
      </c>
      <c r="AW747" s="34">
        <f>AE747+AR747-AN747-AT747-AU747-AV747</f>
        <v/>
      </c>
      <c r="AX747" s="29">
        <f>LoadPremRate*E747*N747+AK747+AQ747-AU747-AT747</f>
        <v/>
      </c>
      <c r="AY747" s="34">
        <f>AP747-AO747</f>
        <v/>
      </c>
      <c r="AZ747" s="37">
        <f>(AW747-AX747-AY747)/MAX(1,ABS(AW747),ABS(AX747),ABS(AY747))</f>
        <v/>
      </c>
      <c r="BA747" s="37">
        <f>IF(OR(K747&gt;0,K748&gt;0),0,(AC748-(AC747+AF747-AQ747-AP747+AR747-AI747-AJ747-AM747))/MAX(1,ABS(AC747),ABS(AC748)))</f>
        <v/>
      </c>
      <c r="BB747" s="35">
        <f>(1+INDEX(DiscRateAnn,INT(A747/12)+1))^(1/12)-1</f>
        <v/>
      </c>
      <c r="BC747" s="31">
        <f>(1+BB747)^-A747</f>
        <v/>
      </c>
      <c r="BD747" s="34">
        <f>AW747*BC747</f>
        <v/>
      </c>
    </row>
    <row r="748">
      <c r="A748" s="27">
        <f>A747+1</f>
        <v/>
      </c>
      <c r="B748" s="28">
        <f>Duration0+A748</f>
        <v/>
      </c>
      <c r="C748" s="27">
        <f>INT(B748/12)</f>
        <v/>
      </c>
      <c r="D748" s="28">
        <f>AgeAtEntry+C748</f>
        <v/>
      </c>
      <c r="E748" s="29">
        <f>IF(PremiumType="SINGLE",IF(B748=0,PremiumPPInput,0),IF(B748&lt;12*PolicyTerm,PremiumPPInput,0))</f>
        <v/>
      </c>
      <c r="F748" s="30">
        <f>INDEX(MortRates,MATCH(MIN(D748,120),MortAges,0),MAX(MIN(C748,5),0)+1)</f>
        <v/>
      </c>
      <c r="G748" s="31">
        <f>1-(1-F748)^(1/12)</f>
        <v/>
      </c>
      <c r="H748" s="32">
        <f>MAX(LapseBase-LapseStep*C748,LapseFloor)</f>
        <v/>
      </c>
      <c r="I748" s="32">
        <f>IF(HasSurrCharge,INDEX(SurrRates,MIN(C748,SurrDurMax)+1,MATCH(SurrChargeID,SurrTypes,0)),0)</f>
        <v/>
      </c>
      <c r="J748" s="33">
        <f>N747-P747-O747</f>
        <v/>
      </c>
      <c r="K748" s="30">
        <f>IF(B748=12*PolicyTerm,J748,0)</f>
        <v/>
      </c>
      <c r="L748" s="33">
        <f>J748-K748</f>
        <v/>
      </c>
      <c r="M748" s="30">
        <f>IF(B748=0,PolicyCount,0)</f>
        <v/>
      </c>
      <c r="N748" s="33">
        <f>L748+M748</f>
        <v/>
      </c>
      <c r="O748" s="31">
        <f>N748*G748</f>
        <v/>
      </c>
      <c r="P748" s="33">
        <f>(N748-O748)*(1-(1-H748)^(1/12))</f>
        <v/>
      </c>
      <c r="Q748" s="34">
        <f>X747+Z747</f>
        <v/>
      </c>
      <c r="R748" s="29">
        <f>(1-LoadPremRate)*E748</f>
        <v/>
      </c>
      <c r="S748" s="34">
        <f>Q748+R748</f>
        <v/>
      </c>
      <c r="T748" s="29">
        <f>MaintFeeRateAnn/12*S748</f>
        <v/>
      </c>
      <c r="U748" s="29">
        <f>MAX(SumAssured-S748,0)</f>
        <v/>
      </c>
      <c r="V748" s="35">
        <f>CoiMultiple*G748</f>
        <v/>
      </c>
      <c r="W748" s="34">
        <f>V748*U748</f>
        <v/>
      </c>
      <c r="X748" s="34">
        <f>S748-T748-W748</f>
        <v/>
      </c>
      <c r="Y748" s="36">
        <f>EXP((Mu-0.5*Sigma^2)/12+Sigma*SQRT(1/12)*INDEX(NormRand,ScenID,A748+1))-1</f>
        <v/>
      </c>
      <c r="Z748" s="34">
        <f>Y748*X748</f>
        <v/>
      </c>
      <c r="AA748" s="34">
        <f>X748+0.5*Z748</f>
        <v/>
      </c>
      <c r="AB748" s="34">
        <f>Q748*J748</f>
        <v/>
      </c>
      <c r="AC748" s="34">
        <f>Q748*L748</f>
        <v/>
      </c>
      <c r="AD748" s="34">
        <f>S748*N748</f>
        <v/>
      </c>
      <c r="AE748" s="34">
        <f>E748*N748</f>
        <v/>
      </c>
      <c r="AF748" s="34">
        <f>R748*N748</f>
        <v/>
      </c>
      <c r="AG748" s="29">
        <f>MAX(SumAssured,AA748)</f>
        <v/>
      </c>
      <c r="AH748" s="34">
        <f>AG748*O748</f>
        <v/>
      </c>
      <c r="AI748" s="34">
        <f>AA748*O748</f>
        <v/>
      </c>
      <c r="AJ748" s="34">
        <f>AA748*P748</f>
        <v/>
      </c>
      <c r="AK748" s="34">
        <f>I748*AA748*P748</f>
        <v/>
      </c>
      <c r="AL748" s="34">
        <f>AJ748-AK748</f>
        <v/>
      </c>
      <c r="AM748" s="34">
        <f>Q748*K748</f>
        <v/>
      </c>
      <c r="AN748" s="34">
        <f>AH748+AL748+AM748</f>
        <v/>
      </c>
      <c r="AO748" s="34">
        <f>(AG748-AA748)*O748</f>
        <v/>
      </c>
      <c r="AP748" s="34">
        <f>W748*N748</f>
        <v/>
      </c>
      <c r="AQ748" s="34">
        <f>T748*N748</f>
        <v/>
      </c>
      <c r="AR748" s="34">
        <f>Z748*J749+0.5*Z748*(O748+P748)</f>
        <v/>
      </c>
      <c r="AS748" s="30">
        <f>(1+InflationRate)^(A748/12)</f>
        <v/>
      </c>
      <c r="AT748" s="29">
        <f>ExpenseAcq*M748+N748*ExpenseMaint/12*AS748</f>
        <v/>
      </c>
      <c r="AU748" s="29">
        <f>CommissionRate*AE748</f>
        <v/>
      </c>
      <c r="AV748" s="34">
        <f>AB749-AB748</f>
        <v/>
      </c>
      <c r="AW748" s="34">
        <f>AE748+AR748-AN748-AT748-AU748-AV748</f>
        <v/>
      </c>
      <c r="AX748" s="29">
        <f>LoadPremRate*E748*N748+AK748+AQ748-AU748-AT748</f>
        <v/>
      </c>
      <c r="AY748" s="34">
        <f>AP748-AO748</f>
        <v/>
      </c>
      <c r="AZ748" s="37">
        <f>(AW748-AX748-AY748)/MAX(1,ABS(AW748),ABS(AX748),ABS(AY748))</f>
        <v/>
      </c>
      <c r="BA748" s="37">
        <f>IF(OR(K748&gt;0,K749&gt;0),0,(AC749-(AC748+AF748-AQ748-AP748+AR748-AI748-AJ748-AM748))/MAX(1,ABS(AC748),ABS(AC749)))</f>
        <v/>
      </c>
      <c r="BB748" s="35">
        <f>(1+INDEX(DiscRateAnn,INT(A748/12)+1))^(1/12)-1</f>
        <v/>
      </c>
      <c r="BC748" s="31">
        <f>(1+BB748)^-A748</f>
        <v/>
      </c>
      <c r="BD748" s="34">
        <f>AW748*BC748</f>
        <v/>
      </c>
    </row>
    <row r="749">
      <c r="A749" s="27">
        <f>A748+1</f>
        <v/>
      </c>
      <c r="B749" s="28">
        <f>Duration0+A749</f>
        <v/>
      </c>
      <c r="C749" s="27">
        <f>INT(B749/12)</f>
        <v/>
      </c>
      <c r="D749" s="28">
        <f>AgeAtEntry+C749</f>
        <v/>
      </c>
      <c r="E749" s="29">
        <f>IF(PremiumType="SINGLE",IF(B749=0,PremiumPPInput,0),IF(B749&lt;12*PolicyTerm,PremiumPPInput,0))</f>
        <v/>
      </c>
      <c r="F749" s="30">
        <f>INDEX(MortRates,MATCH(MIN(D749,120),MortAges,0),MAX(MIN(C749,5),0)+1)</f>
        <v/>
      </c>
      <c r="G749" s="31">
        <f>1-(1-F749)^(1/12)</f>
        <v/>
      </c>
      <c r="H749" s="32">
        <f>MAX(LapseBase-LapseStep*C749,LapseFloor)</f>
        <v/>
      </c>
      <c r="I749" s="32">
        <f>IF(HasSurrCharge,INDEX(SurrRates,MIN(C749,SurrDurMax)+1,MATCH(SurrChargeID,SurrTypes,0)),0)</f>
        <v/>
      </c>
      <c r="J749" s="33">
        <f>N748-P748-O748</f>
        <v/>
      </c>
      <c r="K749" s="30">
        <f>IF(B749=12*PolicyTerm,J749,0)</f>
        <v/>
      </c>
      <c r="L749" s="33">
        <f>J749-K749</f>
        <v/>
      </c>
      <c r="M749" s="30">
        <f>IF(B749=0,PolicyCount,0)</f>
        <v/>
      </c>
      <c r="N749" s="33">
        <f>L749+M749</f>
        <v/>
      </c>
      <c r="O749" s="31">
        <f>N749*G749</f>
        <v/>
      </c>
      <c r="P749" s="33">
        <f>(N749-O749)*(1-(1-H749)^(1/12))</f>
        <v/>
      </c>
      <c r="Q749" s="34">
        <f>X748+Z748</f>
        <v/>
      </c>
      <c r="R749" s="29">
        <f>(1-LoadPremRate)*E749</f>
        <v/>
      </c>
      <c r="S749" s="34">
        <f>Q749+R749</f>
        <v/>
      </c>
      <c r="T749" s="29">
        <f>MaintFeeRateAnn/12*S749</f>
        <v/>
      </c>
      <c r="U749" s="29">
        <f>MAX(SumAssured-S749,0)</f>
        <v/>
      </c>
      <c r="V749" s="35">
        <f>CoiMultiple*G749</f>
        <v/>
      </c>
      <c r="W749" s="34">
        <f>V749*U749</f>
        <v/>
      </c>
      <c r="X749" s="34">
        <f>S749-T749-W749</f>
        <v/>
      </c>
      <c r="Y749" s="36">
        <f>EXP((Mu-0.5*Sigma^2)/12+Sigma*SQRT(1/12)*INDEX(NormRand,ScenID,A749+1))-1</f>
        <v/>
      </c>
      <c r="Z749" s="34">
        <f>Y749*X749</f>
        <v/>
      </c>
      <c r="AA749" s="34">
        <f>X749+0.5*Z749</f>
        <v/>
      </c>
      <c r="AB749" s="34">
        <f>Q749*J749</f>
        <v/>
      </c>
      <c r="AC749" s="34">
        <f>Q749*L749</f>
        <v/>
      </c>
      <c r="AD749" s="34">
        <f>S749*N749</f>
        <v/>
      </c>
      <c r="AE749" s="34">
        <f>E749*N749</f>
        <v/>
      </c>
      <c r="AF749" s="34">
        <f>R749*N749</f>
        <v/>
      </c>
      <c r="AG749" s="29">
        <f>MAX(SumAssured,AA749)</f>
        <v/>
      </c>
      <c r="AH749" s="34">
        <f>AG749*O749</f>
        <v/>
      </c>
      <c r="AI749" s="34">
        <f>AA749*O749</f>
        <v/>
      </c>
      <c r="AJ749" s="34">
        <f>AA749*P749</f>
        <v/>
      </c>
      <c r="AK749" s="34">
        <f>I749*AA749*P749</f>
        <v/>
      </c>
      <c r="AL749" s="34">
        <f>AJ749-AK749</f>
        <v/>
      </c>
      <c r="AM749" s="34">
        <f>Q749*K749</f>
        <v/>
      </c>
      <c r="AN749" s="34">
        <f>AH749+AL749+AM749</f>
        <v/>
      </c>
      <c r="AO749" s="34">
        <f>(AG749-AA749)*O749</f>
        <v/>
      </c>
      <c r="AP749" s="34">
        <f>W749*N749</f>
        <v/>
      </c>
      <c r="AQ749" s="34">
        <f>T749*N749</f>
        <v/>
      </c>
      <c r="AR749" s="34">
        <f>Z749*J750+0.5*Z749*(O749+P749)</f>
        <v/>
      </c>
      <c r="AS749" s="30">
        <f>(1+InflationRate)^(A749/12)</f>
        <v/>
      </c>
      <c r="AT749" s="29">
        <f>ExpenseAcq*M749+N749*ExpenseMaint/12*AS749</f>
        <v/>
      </c>
      <c r="AU749" s="29">
        <f>CommissionRate*AE749</f>
        <v/>
      </c>
      <c r="AV749" s="34">
        <f>AB750-AB749</f>
        <v/>
      </c>
      <c r="AW749" s="34">
        <f>AE749+AR749-AN749-AT749-AU749-AV749</f>
        <v/>
      </c>
      <c r="AX749" s="29">
        <f>LoadPremRate*E749*N749+AK749+AQ749-AU749-AT749</f>
        <v/>
      </c>
      <c r="AY749" s="34">
        <f>AP749-AO749</f>
        <v/>
      </c>
      <c r="AZ749" s="37">
        <f>(AW749-AX749-AY749)/MAX(1,ABS(AW749),ABS(AX749),ABS(AY749))</f>
        <v/>
      </c>
      <c r="BA749" s="37">
        <f>IF(OR(K749&gt;0,K750&gt;0),0,(AC750-(AC749+AF749-AQ749-AP749+AR749-AI749-AJ749-AM749))/MAX(1,ABS(AC749),ABS(AC750)))</f>
        <v/>
      </c>
      <c r="BB749" s="35">
        <f>(1+INDEX(DiscRateAnn,INT(A749/12)+1))^(1/12)-1</f>
        <v/>
      </c>
      <c r="BC749" s="31">
        <f>(1+BB749)^-A749</f>
        <v/>
      </c>
      <c r="BD749" s="34">
        <f>AW749*BC749</f>
        <v/>
      </c>
    </row>
    <row r="750">
      <c r="A750" s="27">
        <f>A749+1</f>
        <v/>
      </c>
      <c r="B750" s="28">
        <f>Duration0+A750</f>
        <v/>
      </c>
      <c r="C750" s="27">
        <f>INT(B750/12)</f>
        <v/>
      </c>
      <c r="D750" s="28">
        <f>AgeAtEntry+C750</f>
        <v/>
      </c>
      <c r="E750" s="29">
        <f>IF(PremiumType="SINGLE",IF(B750=0,PremiumPPInput,0),IF(B750&lt;12*PolicyTerm,PremiumPPInput,0))</f>
        <v/>
      </c>
      <c r="F750" s="30">
        <f>INDEX(MortRates,MATCH(MIN(D750,120),MortAges,0),MAX(MIN(C750,5),0)+1)</f>
        <v/>
      </c>
      <c r="G750" s="31">
        <f>1-(1-F750)^(1/12)</f>
        <v/>
      </c>
      <c r="H750" s="32">
        <f>MAX(LapseBase-LapseStep*C750,LapseFloor)</f>
        <v/>
      </c>
      <c r="I750" s="32">
        <f>IF(HasSurrCharge,INDEX(SurrRates,MIN(C750,SurrDurMax)+1,MATCH(SurrChargeID,SurrTypes,0)),0)</f>
        <v/>
      </c>
      <c r="J750" s="33">
        <f>N749-P749-O749</f>
        <v/>
      </c>
      <c r="K750" s="30">
        <f>IF(B750=12*PolicyTerm,J750,0)</f>
        <v/>
      </c>
      <c r="L750" s="33">
        <f>J750-K750</f>
        <v/>
      </c>
      <c r="M750" s="30">
        <f>IF(B750=0,PolicyCount,0)</f>
        <v/>
      </c>
      <c r="N750" s="33">
        <f>L750+M750</f>
        <v/>
      </c>
      <c r="O750" s="31">
        <f>N750*G750</f>
        <v/>
      </c>
      <c r="P750" s="33">
        <f>(N750-O750)*(1-(1-H750)^(1/12))</f>
        <v/>
      </c>
      <c r="Q750" s="34">
        <f>X749+Z749</f>
        <v/>
      </c>
      <c r="R750" s="29">
        <f>(1-LoadPremRate)*E750</f>
        <v/>
      </c>
      <c r="S750" s="34">
        <f>Q750+R750</f>
        <v/>
      </c>
      <c r="T750" s="29">
        <f>MaintFeeRateAnn/12*S750</f>
        <v/>
      </c>
      <c r="U750" s="29">
        <f>MAX(SumAssured-S750,0)</f>
        <v/>
      </c>
      <c r="V750" s="35">
        <f>CoiMultiple*G750</f>
        <v/>
      </c>
      <c r="W750" s="34">
        <f>V750*U750</f>
        <v/>
      </c>
      <c r="X750" s="34">
        <f>S750-T750-W750</f>
        <v/>
      </c>
      <c r="Y750" s="36">
        <f>EXP((Mu-0.5*Sigma^2)/12+Sigma*SQRT(1/12)*INDEX(NormRand,ScenID,A750+1))-1</f>
        <v/>
      </c>
      <c r="Z750" s="34">
        <f>Y750*X750</f>
        <v/>
      </c>
      <c r="AA750" s="34">
        <f>X750+0.5*Z750</f>
        <v/>
      </c>
      <c r="AB750" s="34">
        <f>Q750*J750</f>
        <v/>
      </c>
      <c r="AC750" s="34">
        <f>Q750*L750</f>
        <v/>
      </c>
      <c r="AD750" s="34">
        <f>S750*N750</f>
        <v/>
      </c>
      <c r="AE750" s="34">
        <f>E750*N750</f>
        <v/>
      </c>
      <c r="AF750" s="34">
        <f>R750*N750</f>
        <v/>
      </c>
      <c r="AG750" s="29">
        <f>MAX(SumAssured,AA750)</f>
        <v/>
      </c>
      <c r="AH750" s="34">
        <f>AG750*O750</f>
        <v/>
      </c>
      <c r="AI750" s="34">
        <f>AA750*O750</f>
        <v/>
      </c>
      <c r="AJ750" s="34">
        <f>AA750*P750</f>
        <v/>
      </c>
      <c r="AK750" s="34">
        <f>I750*AA750*P750</f>
        <v/>
      </c>
      <c r="AL750" s="34">
        <f>AJ750-AK750</f>
        <v/>
      </c>
      <c r="AM750" s="34">
        <f>Q750*K750</f>
        <v/>
      </c>
      <c r="AN750" s="34">
        <f>AH750+AL750+AM750</f>
        <v/>
      </c>
      <c r="AO750" s="34">
        <f>(AG750-AA750)*O750</f>
        <v/>
      </c>
      <c r="AP750" s="34">
        <f>W750*N750</f>
        <v/>
      </c>
      <c r="AQ750" s="34">
        <f>T750*N750</f>
        <v/>
      </c>
      <c r="AR750" s="34">
        <f>Z750*J751+0.5*Z750*(O750+P750)</f>
        <v/>
      </c>
      <c r="AS750" s="30">
        <f>(1+InflationRate)^(A750/12)</f>
        <v/>
      </c>
      <c r="AT750" s="29">
        <f>ExpenseAcq*M750+N750*ExpenseMaint/12*AS750</f>
        <v/>
      </c>
      <c r="AU750" s="29">
        <f>CommissionRate*AE750</f>
        <v/>
      </c>
      <c r="AV750" s="34">
        <f>AB751-AB750</f>
        <v/>
      </c>
      <c r="AW750" s="34">
        <f>AE750+AR750-AN750-AT750-AU750-AV750</f>
        <v/>
      </c>
      <c r="AX750" s="29">
        <f>LoadPremRate*E750*N750+AK750+AQ750-AU750-AT750</f>
        <v/>
      </c>
      <c r="AY750" s="34">
        <f>AP750-AO750</f>
        <v/>
      </c>
      <c r="AZ750" s="37">
        <f>(AW750-AX750-AY750)/MAX(1,ABS(AW750),ABS(AX750),ABS(AY750))</f>
        <v/>
      </c>
      <c r="BA750" s="37">
        <f>IF(OR(K750&gt;0,K751&gt;0),0,(AC751-(AC750+AF750-AQ750-AP750+AR750-AI750-AJ750-AM750))/MAX(1,ABS(AC750),ABS(AC751)))</f>
        <v/>
      </c>
      <c r="BB750" s="35">
        <f>(1+INDEX(DiscRateAnn,INT(A750/12)+1))^(1/12)-1</f>
        <v/>
      </c>
      <c r="BC750" s="31">
        <f>(1+BB750)^-A750</f>
        <v/>
      </c>
      <c r="BD750" s="34">
        <f>AW750*BC750</f>
        <v/>
      </c>
    </row>
    <row r="751">
      <c r="A751" s="27">
        <f>A750+1</f>
        <v/>
      </c>
      <c r="B751" s="28">
        <f>Duration0+A751</f>
        <v/>
      </c>
      <c r="C751" s="27">
        <f>INT(B751/12)</f>
        <v/>
      </c>
      <c r="D751" s="28">
        <f>AgeAtEntry+C751</f>
        <v/>
      </c>
      <c r="E751" s="29">
        <f>IF(PremiumType="SINGLE",IF(B751=0,PremiumPPInput,0),IF(B751&lt;12*PolicyTerm,PremiumPPInput,0))</f>
        <v/>
      </c>
      <c r="F751" s="30">
        <f>INDEX(MortRates,MATCH(MIN(D751,120),MortAges,0),MAX(MIN(C751,5),0)+1)</f>
        <v/>
      </c>
      <c r="G751" s="31">
        <f>1-(1-F751)^(1/12)</f>
        <v/>
      </c>
      <c r="H751" s="32">
        <f>MAX(LapseBase-LapseStep*C751,LapseFloor)</f>
        <v/>
      </c>
      <c r="I751" s="32">
        <f>IF(HasSurrCharge,INDEX(SurrRates,MIN(C751,SurrDurMax)+1,MATCH(SurrChargeID,SurrTypes,0)),0)</f>
        <v/>
      </c>
      <c r="J751" s="33">
        <f>N750-P750-O750</f>
        <v/>
      </c>
      <c r="K751" s="30">
        <f>IF(B751=12*PolicyTerm,J751,0)</f>
        <v/>
      </c>
      <c r="L751" s="33">
        <f>J751-K751</f>
        <v/>
      </c>
      <c r="M751" s="30">
        <f>IF(B751=0,PolicyCount,0)</f>
        <v/>
      </c>
      <c r="N751" s="33">
        <f>L751+M751</f>
        <v/>
      </c>
      <c r="O751" s="31">
        <f>N751*G751</f>
        <v/>
      </c>
      <c r="P751" s="33">
        <f>(N751-O751)*(1-(1-H751)^(1/12))</f>
        <v/>
      </c>
      <c r="Q751" s="34">
        <f>X750+Z750</f>
        <v/>
      </c>
      <c r="R751" s="29">
        <f>(1-LoadPremRate)*E751</f>
        <v/>
      </c>
      <c r="S751" s="34">
        <f>Q751+R751</f>
        <v/>
      </c>
      <c r="T751" s="29">
        <f>MaintFeeRateAnn/12*S751</f>
        <v/>
      </c>
      <c r="U751" s="29">
        <f>MAX(SumAssured-S751,0)</f>
        <v/>
      </c>
      <c r="V751" s="35">
        <f>CoiMultiple*G751</f>
        <v/>
      </c>
      <c r="W751" s="34">
        <f>V751*U751</f>
        <v/>
      </c>
      <c r="X751" s="34">
        <f>S751-T751-W751</f>
        <v/>
      </c>
      <c r="Y751" s="36">
        <f>EXP((Mu-0.5*Sigma^2)/12+Sigma*SQRT(1/12)*INDEX(NormRand,ScenID,A751+1))-1</f>
        <v/>
      </c>
      <c r="Z751" s="34">
        <f>Y751*X751</f>
        <v/>
      </c>
      <c r="AA751" s="34">
        <f>X751+0.5*Z751</f>
        <v/>
      </c>
      <c r="AB751" s="34">
        <f>Q751*J751</f>
        <v/>
      </c>
      <c r="AC751" s="34">
        <f>Q751*L751</f>
        <v/>
      </c>
      <c r="AD751" s="34">
        <f>S751*N751</f>
        <v/>
      </c>
      <c r="AE751" s="34">
        <f>E751*N751</f>
        <v/>
      </c>
      <c r="AF751" s="34">
        <f>R751*N751</f>
        <v/>
      </c>
      <c r="AG751" s="29">
        <f>MAX(SumAssured,AA751)</f>
        <v/>
      </c>
      <c r="AH751" s="34">
        <f>AG751*O751</f>
        <v/>
      </c>
      <c r="AI751" s="34">
        <f>AA751*O751</f>
        <v/>
      </c>
      <c r="AJ751" s="34">
        <f>AA751*P751</f>
        <v/>
      </c>
      <c r="AK751" s="34">
        <f>I751*AA751*P751</f>
        <v/>
      </c>
      <c r="AL751" s="34">
        <f>AJ751-AK751</f>
        <v/>
      </c>
      <c r="AM751" s="34">
        <f>Q751*K751</f>
        <v/>
      </c>
      <c r="AN751" s="34">
        <f>AH751+AL751+AM751</f>
        <v/>
      </c>
      <c r="AO751" s="34">
        <f>(AG751-AA751)*O751</f>
        <v/>
      </c>
      <c r="AP751" s="34">
        <f>W751*N751</f>
        <v/>
      </c>
      <c r="AQ751" s="34">
        <f>T751*N751</f>
        <v/>
      </c>
      <c r="AR751" s="34">
        <f>Z751*J752+0.5*Z751*(O751+P751)</f>
        <v/>
      </c>
      <c r="AS751" s="30">
        <f>(1+InflationRate)^(A751/12)</f>
        <v/>
      </c>
      <c r="AT751" s="29">
        <f>ExpenseAcq*M751+N751*ExpenseMaint/12*AS751</f>
        <v/>
      </c>
      <c r="AU751" s="29">
        <f>CommissionRate*AE751</f>
        <v/>
      </c>
      <c r="AV751" s="34">
        <f>AB752-AB751</f>
        <v/>
      </c>
      <c r="AW751" s="34">
        <f>AE751+AR751-AN751-AT751-AU751-AV751</f>
        <v/>
      </c>
      <c r="AX751" s="29">
        <f>LoadPremRate*E751*N751+AK751+AQ751-AU751-AT751</f>
        <v/>
      </c>
      <c r="AY751" s="34">
        <f>AP751-AO751</f>
        <v/>
      </c>
      <c r="AZ751" s="37">
        <f>(AW751-AX751-AY751)/MAX(1,ABS(AW751),ABS(AX751),ABS(AY751))</f>
        <v/>
      </c>
      <c r="BA751" s="37">
        <f>IF(OR(K751&gt;0,K752&gt;0),0,(AC752-(AC751+AF751-AQ751-AP751+AR751-AI751-AJ751-AM751))/MAX(1,ABS(AC751),ABS(AC752)))</f>
        <v/>
      </c>
      <c r="BB751" s="35">
        <f>(1+INDEX(DiscRateAnn,INT(A751/12)+1))^(1/12)-1</f>
        <v/>
      </c>
      <c r="BC751" s="31">
        <f>(1+BB751)^-A751</f>
        <v/>
      </c>
      <c r="BD751" s="34">
        <f>AW751*BC751</f>
        <v/>
      </c>
    </row>
    <row r="752">
      <c r="A752" s="27">
        <f>A751+1</f>
        <v/>
      </c>
      <c r="B752" s="28">
        <f>Duration0+A752</f>
        <v/>
      </c>
      <c r="C752" s="27">
        <f>INT(B752/12)</f>
        <v/>
      </c>
      <c r="D752" s="28">
        <f>AgeAtEntry+C752</f>
        <v/>
      </c>
      <c r="E752" s="29">
        <f>IF(PremiumType="SINGLE",IF(B752=0,PremiumPPInput,0),IF(B752&lt;12*PolicyTerm,PremiumPPInput,0))</f>
        <v/>
      </c>
      <c r="F752" s="30">
        <f>INDEX(MortRates,MATCH(MIN(D752,120),MortAges,0),MAX(MIN(C752,5),0)+1)</f>
        <v/>
      </c>
      <c r="G752" s="31">
        <f>1-(1-F752)^(1/12)</f>
        <v/>
      </c>
      <c r="H752" s="32">
        <f>MAX(LapseBase-LapseStep*C752,LapseFloor)</f>
        <v/>
      </c>
      <c r="I752" s="32">
        <f>IF(HasSurrCharge,INDEX(SurrRates,MIN(C752,SurrDurMax)+1,MATCH(SurrChargeID,SurrTypes,0)),0)</f>
        <v/>
      </c>
      <c r="J752" s="33">
        <f>N751-P751-O751</f>
        <v/>
      </c>
      <c r="K752" s="30">
        <f>IF(B752=12*PolicyTerm,J752,0)</f>
        <v/>
      </c>
      <c r="L752" s="33">
        <f>J752-K752</f>
        <v/>
      </c>
      <c r="M752" s="30">
        <f>IF(B752=0,PolicyCount,0)</f>
        <v/>
      </c>
      <c r="N752" s="33">
        <f>L752+M752</f>
        <v/>
      </c>
      <c r="O752" s="31">
        <f>N752*G752</f>
        <v/>
      </c>
      <c r="P752" s="33">
        <f>(N752-O752)*(1-(1-H752)^(1/12))</f>
        <v/>
      </c>
      <c r="Q752" s="34">
        <f>X751+Z751</f>
        <v/>
      </c>
      <c r="R752" s="29">
        <f>(1-LoadPremRate)*E752</f>
        <v/>
      </c>
      <c r="S752" s="34">
        <f>Q752+R752</f>
        <v/>
      </c>
      <c r="T752" s="29">
        <f>MaintFeeRateAnn/12*S752</f>
        <v/>
      </c>
      <c r="U752" s="29">
        <f>MAX(SumAssured-S752,0)</f>
        <v/>
      </c>
      <c r="V752" s="35">
        <f>CoiMultiple*G752</f>
        <v/>
      </c>
      <c r="W752" s="34">
        <f>V752*U752</f>
        <v/>
      </c>
      <c r="X752" s="34">
        <f>S752-T752-W752</f>
        <v/>
      </c>
      <c r="Y752" s="36">
        <f>EXP((Mu-0.5*Sigma^2)/12+Sigma*SQRT(1/12)*INDEX(NormRand,ScenID,A752+1))-1</f>
        <v/>
      </c>
      <c r="Z752" s="34">
        <f>Y752*X752</f>
        <v/>
      </c>
      <c r="AA752" s="34">
        <f>X752+0.5*Z752</f>
        <v/>
      </c>
      <c r="AB752" s="34">
        <f>Q752*J752</f>
        <v/>
      </c>
      <c r="AC752" s="34">
        <f>Q752*L752</f>
        <v/>
      </c>
      <c r="AD752" s="34">
        <f>S752*N752</f>
        <v/>
      </c>
      <c r="AE752" s="34">
        <f>E752*N752</f>
        <v/>
      </c>
      <c r="AF752" s="34">
        <f>R752*N752</f>
        <v/>
      </c>
      <c r="AG752" s="29">
        <f>MAX(SumAssured,AA752)</f>
        <v/>
      </c>
      <c r="AH752" s="34">
        <f>AG752*O752</f>
        <v/>
      </c>
      <c r="AI752" s="34">
        <f>AA752*O752</f>
        <v/>
      </c>
      <c r="AJ752" s="34">
        <f>AA752*P752</f>
        <v/>
      </c>
      <c r="AK752" s="34">
        <f>I752*AA752*P752</f>
        <v/>
      </c>
      <c r="AL752" s="34">
        <f>AJ752-AK752</f>
        <v/>
      </c>
      <c r="AM752" s="34">
        <f>Q752*K752</f>
        <v/>
      </c>
      <c r="AN752" s="34">
        <f>AH752+AL752+AM752</f>
        <v/>
      </c>
      <c r="AO752" s="34">
        <f>(AG752-AA752)*O752</f>
        <v/>
      </c>
      <c r="AP752" s="34">
        <f>W752*N752</f>
        <v/>
      </c>
      <c r="AQ752" s="34">
        <f>T752*N752</f>
        <v/>
      </c>
      <c r="AR752" s="34">
        <f>Z752*J753+0.5*Z752*(O752+P752)</f>
        <v/>
      </c>
      <c r="AS752" s="30">
        <f>(1+InflationRate)^(A752/12)</f>
        <v/>
      </c>
      <c r="AT752" s="29">
        <f>ExpenseAcq*M752+N752*ExpenseMaint/12*AS752</f>
        <v/>
      </c>
      <c r="AU752" s="29">
        <f>CommissionRate*AE752</f>
        <v/>
      </c>
      <c r="AV752" s="34">
        <f>AB753-AB752</f>
        <v/>
      </c>
      <c r="AW752" s="34">
        <f>AE752+AR752-AN752-AT752-AU752-AV752</f>
        <v/>
      </c>
      <c r="AX752" s="29">
        <f>LoadPremRate*E752*N752+AK752+AQ752-AU752-AT752</f>
        <v/>
      </c>
      <c r="AY752" s="34">
        <f>AP752-AO752</f>
        <v/>
      </c>
      <c r="AZ752" s="37">
        <f>(AW752-AX752-AY752)/MAX(1,ABS(AW752),ABS(AX752),ABS(AY752))</f>
        <v/>
      </c>
      <c r="BA752" s="37">
        <f>IF(OR(K752&gt;0,K753&gt;0),0,(AC753-(AC752+AF752-AQ752-AP752+AR752-AI752-AJ752-AM752))/MAX(1,ABS(AC752),ABS(AC753)))</f>
        <v/>
      </c>
      <c r="BB752" s="35">
        <f>(1+INDEX(DiscRateAnn,INT(A752/12)+1))^(1/12)-1</f>
        <v/>
      </c>
      <c r="BC752" s="31">
        <f>(1+BB752)^-A752</f>
        <v/>
      </c>
      <c r="BD752" s="34">
        <f>AW752*BC752</f>
        <v/>
      </c>
    </row>
    <row r="753">
      <c r="A753" s="27">
        <f>A752+1</f>
        <v/>
      </c>
      <c r="B753" s="28">
        <f>Duration0+A753</f>
        <v/>
      </c>
      <c r="C753" s="27">
        <f>INT(B753/12)</f>
        <v/>
      </c>
      <c r="D753" s="28">
        <f>AgeAtEntry+C753</f>
        <v/>
      </c>
      <c r="E753" s="29">
        <f>IF(PremiumType="SINGLE",IF(B753=0,PremiumPPInput,0),IF(B753&lt;12*PolicyTerm,PremiumPPInput,0))</f>
        <v/>
      </c>
      <c r="F753" s="30">
        <f>INDEX(MortRates,MATCH(MIN(D753,120),MortAges,0),MAX(MIN(C753,5),0)+1)</f>
        <v/>
      </c>
      <c r="G753" s="31">
        <f>1-(1-F753)^(1/12)</f>
        <v/>
      </c>
      <c r="H753" s="32">
        <f>MAX(LapseBase-LapseStep*C753,LapseFloor)</f>
        <v/>
      </c>
      <c r="I753" s="32">
        <f>IF(HasSurrCharge,INDEX(SurrRates,MIN(C753,SurrDurMax)+1,MATCH(SurrChargeID,SurrTypes,0)),0)</f>
        <v/>
      </c>
      <c r="J753" s="33">
        <f>N752-P752-O752</f>
        <v/>
      </c>
      <c r="K753" s="30">
        <f>IF(B753=12*PolicyTerm,J753,0)</f>
        <v/>
      </c>
      <c r="L753" s="33">
        <f>J753-K753</f>
        <v/>
      </c>
      <c r="M753" s="30">
        <f>IF(B753=0,PolicyCount,0)</f>
        <v/>
      </c>
      <c r="N753" s="33">
        <f>L753+M753</f>
        <v/>
      </c>
      <c r="O753" s="31">
        <f>N753*G753</f>
        <v/>
      </c>
      <c r="P753" s="33">
        <f>(N753-O753)*(1-(1-H753)^(1/12))</f>
        <v/>
      </c>
      <c r="Q753" s="34">
        <f>X752+Z752</f>
        <v/>
      </c>
      <c r="R753" s="29">
        <f>(1-LoadPremRate)*E753</f>
        <v/>
      </c>
      <c r="S753" s="34">
        <f>Q753+R753</f>
        <v/>
      </c>
      <c r="T753" s="29">
        <f>MaintFeeRateAnn/12*S753</f>
        <v/>
      </c>
      <c r="U753" s="29">
        <f>MAX(SumAssured-S753,0)</f>
        <v/>
      </c>
      <c r="V753" s="35">
        <f>CoiMultiple*G753</f>
        <v/>
      </c>
      <c r="W753" s="34">
        <f>V753*U753</f>
        <v/>
      </c>
      <c r="X753" s="34">
        <f>S753-T753-W753</f>
        <v/>
      </c>
      <c r="Y753" s="36">
        <f>EXP((Mu-0.5*Sigma^2)/12+Sigma*SQRT(1/12)*INDEX(NormRand,ScenID,A753+1))-1</f>
        <v/>
      </c>
      <c r="Z753" s="34">
        <f>Y753*X753</f>
        <v/>
      </c>
      <c r="AA753" s="34">
        <f>X753+0.5*Z753</f>
        <v/>
      </c>
      <c r="AB753" s="34">
        <f>Q753*J753</f>
        <v/>
      </c>
      <c r="AC753" s="34">
        <f>Q753*L753</f>
        <v/>
      </c>
      <c r="AD753" s="34">
        <f>S753*N753</f>
        <v/>
      </c>
      <c r="AE753" s="34">
        <f>E753*N753</f>
        <v/>
      </c>
      <c r="AF753" s="34">
        <f>R753*N753</f>
        <v/>
      </c>
      <c r="AG753" s="29">
        <f>MAX(SumAssured,AA753)</f>
        <v/>
      </c>
      <c r="AH753" s="34">
        <f>AG753*O753</f>
        <v/>
      </c>
      <c r="AI753" s="34">
        <f>AA753*O753</f>
        <v/>
      </c>
      <c r="AJ753" s="34">
        <f>AA753*P753</f>
        <v/>
      </c>
      <c r="AK753" s="34">
        <f>I753*AA753*P753</f>
        <v/>
      </c>
      <c r="AL753" s="34">
        <f>AJ753-AK753</f>
        <v/>
      </c>
      <c r="AM753" s="34">
        <f>Q753*K753</f>
        <v/>
      </c>
      <c r="AN753" s="34">
        <f>AH753+AL753+AM753</f>
        <v/>
      </c>
      <c r="AO753" s="34">
        <f>(AG753-AA753)*O753</f>
        <v/>
      </c>
      <c r="AP753" s="34">
        <f>W753*N753</f>
        <v/>
      </c>
      <c r="AQ753" s="34">
        <f>T753*N753</f>
        <v/>
      </c>
      <c r="AR753" s="34">
        <f>Z753*J754+0.5*Z753*(O753+P753)</f>
        <v/>
      </c>
      <c r="AS753" s="30">
        <f>(1+InflationRate)^(A753/12)</f>
        <v/>
      </c>
      <c r="AT753" s="29">
        <f>ExpenseAcq*M753+N753*ExpenseMaint/12*AS753</f>
        <v/>
      </c>
      <c r="AU753" s="29">
        <f>CommissionRate*AE753</f>
        <v/>
      </c>
      <c r="AV753" s="34">
        <f>AB754-AB753</f>
        <v/>
      </c>
      <c r="AW753" s="34">
        <f>AE753+AR753-AN753-AT753-AU753-AV753</f>
        <v/>
      </c>
      <c r="AX753" s="29">
        <f>LoadPremRate*E753*N753+AK753+AQ753-AU753-AT753</f>
        <v/>
      </c>
      <c r="AY753" s="34">
        <f>AP753-AO753</f>
        <v/>
      </c>
      <c r="AZ753" s="37">
        <f>(AW753-AX753-AY753)/MAX(1,ABS(AW753),ABS(AX753),ABS(AY753))</f>
        <v/>
      </c>
      <c r="BA753" s="37">
        <f>IF(OR(K753&gt;0,K754&gt;0),0,(AC754-(AC753+AF753-AQ753-AP753+AR753-AI753-AJ753-AM753))/MAX(1,ABS(AC753),ABS(AC754)))</f>
        <v/>
      </c>
      <c r="BB753" s="35">
        <f>(1+INDEX(DiscRateAnn,INT(A753/12)+1))^(1/12)-1</f>
        <v/>
      </c>
      <c r="BC753" s="31">
        <f>(1+BB753)^-A753</f>
        <v/>
      </c>
      <c r="BD753" s="34">
        <f>AW753*BC753</f>
        <v/>
      </c>
    </row>
    <row r="754">
      <c r="A754" s="27">
        <f>A753+1</f>
        <v/>
      </c>
      <c r="B754" s="28">
        <f>Duration0+A754</f>
        <v/>
      </c>
      <c r="C754" s="27">
        <f>INT(B754/12)</f>
        <v/>
      </c>
      <c r="D754" s="28">
        <f>AgeAtEntry+C754</f>
        <v/>
      </c>
      <c r="E754" s="29">
        <f>IF(PremiumType="SINGLE",IF(B754=0,PremiumPPInput,0),IF(B754&lt;12*PolicyTerm,PremiumPPInput,0))</f>
        <v/>
      </c>
      <c r="F754" s="30">
        <f>INDEX(MortRates,MATCH(MIN(D754,120),MortAges,0),MAX(MIN(C754,5),0)+1)</f>
        <v/>
      </c>
      <c r="G754" s="31">
        <f>1-(1-F754)^(1/12)</f>
        <v/>
      </c>
      <c r="H754" s="32">
        <f>MAX(LapseBase-LapseStep*C754,LapseFloor)</f>
        <v/>
      </c>
      <c r="I754" s="32">
        <f>IF(HasSurrCharge,INDEX(SurrRates,MIN(C754,SurrDurMax)+1,MATCH(SurrChargeID,SurrTypes,0)),0)</f>
        <v/>
      </c>
      <c r="J754" s="33">
        <f>N753-P753-O753</f>
        <v/>
      </c>
      <c r="K754" s="30">
        <f>IF(B754=12*PolicyTerm,J754,0)</f>
        <v/>
      </c>
      <c r="L754" s="33">
        <f>J754-K754</f>
        <v/>
      </c>
      <c r="M754" s="30">
        <f>IF(B754=0,PolicyCount,0)</f>
        <v/>
      </c>
      <c r="N754" s="33">
        <f>L754+M754</f>
        <v/>
      </c>
      <c r="O754" s="31">
        <f>N754*G754</f>
        <v/>
      </c>
      <c r="P754" s="33">
        <f>(N754-O754)*(1-(1-H754)^(1/12))</f>
        <v/>
      </c>
      <c r="Q754" s="34">
        <f>X753+Z753</f>
        <v/>
      </c>
      <c r="R754" s="29">
        <f>(1-LoadPremRate)*E754</f>
        <v/>
      </c>
      <c r="S754" s="34">
        <f>Q754+R754</f>
        <v/>
      </c>
      <c r="T754" s="29">
        <f>MaintFeeRateAnn/12*S754</f>
        <v/>
      </c>
      <c r="U754" s="29">
        <f>MAX(SumAssured-S754,0)</f>
        <v/>
      </c>
      <c r="V754" s="35">
        <f>CoiMultiple*G754</f>
        <v/>
      </c>
      <c r="W754" s="34">
        <f>V754*U754</f>
        <v/>
      </c>
      <c r="X754" s="34">
        <f>S754-T754-W754</f>
        <v/>
      </c>
      <c r="Y754" s="36">
        <f>EXP((Mu-0.5*Sigma^2)/12+Sigma*SQRT(1/12)*INDEX(NormRand,ScenID,A754+1))-1</f>
        <v/>
      </c>
      <c r="Z754" s="34">
        <f>Y754*X754</f>
        <v/>
      </c>
      <c r="AA754" s="34">
        <f>X754+0.5*Z754</f>
        <v/>
      </c>
      <c r="AB754" s="34">
        <f>Q754*J754</f>
        <v/>
      </c>
      <c r="AC754" s="34">
        <f>Q754*L754</f>
        <v/>
      </c>
      <c r="AD754" s="34">
        <f>S754*N754</f>
        <v/>
      </c>
      <c r="AE754" s="34">
        <f>E754*N754</f>
        <v/>
      </c>
      <c r="AF754" s="34">
        <f>R754*N754</f>
        <v/>
      </c>
      <c r="AG754" s="29">
        <f>MAX(SumAssured,AA754)</f>
        <v/>
      </c>
      <c r="AH754" s="34">
        <f>AG754*O754</f>
        <v/>
      </c>
      <c r="AI754" s="34">
        <f>AA754*O754</f>
        <v/>
      </c>
      <c r="AJ754" s="34">
        <f>AA754*P754</f>
        <v/>
      </c>
      <c r="AK754" s="34">
        <f>I754*AA754*P754</f>
        <v/>
      </c>
      <c r="AL754" s="34">
        <f>AJ754-AK754</f>
        <v/>
      </c>
      <c r="AM754" s="34">
        <f>Q754*K754</f>
        <v/>
      </c>
      <c r="AN754" s="34">
        <f>AH754+AL754+AM754</f>
        <v/>
      </c>
      <c r="AO754" s="34">
        <f>(AG754-AA754)*O754</f>
        <v/>
      </c>
      <c r="AP754" s="34">
        <f>W754*N754</f>
        <v/>
      </c>
      <c r="AQ754" s="34">
        <f>T754*N754</f>
        <v/>
      </c>
      <c r="AR754" s="34">
        <f>Z754*J755+0.5*Z754*(O754+P754)</f>
        <v/>
      </c>
      <c r="AS754" s="30">
        <f>(1+InflationRate)^(A754/12)</f>
        <v/>
      </c>
      <c r="AT754" s="29">
        <f>ExpenseAcq*M754+N754*ExpenseMaint/12*AS754</f>
        <v/>
      </c>
      <c r="AU754" s="29">
        <f>CommissionRate*AE754</f>
        <v/>
      </c>
      <c r="AV754" s="34">
        <f>AB755-AB754</f>
        <v/>
      </c>
      <c r="AW754" s="34">
        <f>AE754+AR754-AN754-AT754-AU754-AV754</f>
        <v/>
      </c>
      <c r="AX754" s="29">
        <f>LoadPremRate*E754*N754+AK754+AQ754-AU754-AT754</f>
        <v/>
      </c>
      <c r="AY754" s="34">
        <f>AP754-AO754</f>
        <v/>
      </c>
      <c r="AZ754" s="37">
        <f>(AW754-AX754-AY754)/MAX(1,ABS(AW754),ABS(AX754),ABS(AY754))</f>
        <v/>
      </c>
      <c r="BA754" s="37">
        <f>IF(OR(K754&gt;0,K755&gt;0),0,(AC755-(AC754+AF754-AQ754-AP754+AR754-AI754-AJ754-AM754))/MAX(1,ABS(AC754),ABS(AC755)))</f>
        <v/>
      </c>
      <c r="BB754" s="35">
        <f>(1+INDEX(DiscRateAnn,INT(A754/12)+1))^(1/12)-1</f>
        <v/>
      </c>
      <c r="BC754" s="31">
        <f>(1+BB754)^-A754</f>
        <v/>
      </c>
      <c r="BD754" s="34">
        <f>AW754*BC754</f>
        <v/>
      </c>
    </row>
    <row r="755">
      <c r="A755" s="27">
        <f>A754+1</f>
        <v/>
      </c>
      <c r="B755" s="28">
        <f>Duration0+A755</f>
        <v/>
      </c>
      <c r="C755" s="27">
        <f>INT(B755/12)</f>
        <v/>
      </c>
      <c r="D755" s="28">
        <f>AgeAtEntry+C755</f>
        <v/>
      </c>
      <c r="E755" s="29">
        <f>IF(PremiumType="SINGLE",IF(B755=0,PremiumPPInput,0),IF(B755&lt;12*PolicyTerm,PremiumPPInput,0))</f>
        <v/>
      </c>
      <c r="F755" s="30">
        <f>INDEX(MortRates,MATCH(MIN(D755,120),MortAges,0),MAX(MIN(C755,5),0)+1)</f>
        <v/>
      </c>
      <c r="G755" s="31">
        <f>1-(1-F755)^(1/12)</f>
        <v/>
      </c>
      <c r="H755" s="32">
        <f>MAX(LapseBase-LapseStep*C755,LapseFloor)</f>
        <v/>
      </c>
      <c r="I755" s="32">
        <f>IF(HasSurrCharge,INDEX(SurrRates,MIN(C755,SurrDurMax)+1,MATCH(SurrChargeID,SurrTypes,0)),0)</f>
        <v/>
      </c>
      <c r="J755" s="33">
        <f>N754-P754-O754</f>
        <v/>
      </c>
      <c r="K755" s="30">
        <f>IF(B755=12*PolicyTerm,J755,0)</f>
        <v/>
      </c>
      <c r="L755" s="33">
        <f>J755-K755</f>
        <v/>
      </c>
      <c r="M755" s="30">
        <f>IF(B755=0,PolicyCount,0)</f>
        <v/>
      </c>
      <c r="N755" s="33">
        <f>L755+M755</f>
        <v/>
      </c>
      <c r="O755" s="31">
        <f>N755*G755</f>
        <v/>
      </c>
      <c r="P755" s="33">
        <f>(N755-O755)*(1-(1-H755)^(1/12))</f>
        <v/>
      </c>
      <c r="Q755" s="34">
        <f>X754+Z754</f>
        <v/>
      </c>
      <c r="R755" s="29">
        <f>(1-LoadPremRate)*E755</f>
        <v/>
      </c>
      <c r="S755" s="34">
        <f>Q755+R755</f>
        <v/>
      </c>
      <c r="T755" s="29">
        <f>MaintFeeRateAnn/12*S755</f>
        <v/>
      </c>
      <c r="U755" s="29">
        <f>MAX(SumAssured-S755,0)</f>
        <v/>
      </c>
      <c r="V755" s="35">
        <f>CoiMultiple*G755</f>
        <v/>
      </c>
      <c r="W755" s="34">
        <f>V755*U755</f>
        <v/>
      </c>
      <c r="X755" s="34">
        <f>S755-T755-W755</f>
        <v/>
      </c>
      <c r="Y755" s="36">
        <f>EXP((Mu-0.5*Sigma^2)/12+Sigma*SQRT(1/12)*INDEX(NormRand,ScenID,A755+1))-1</f>
        <v/>
      </c>
      <c r="Z755" s="34">
        <f>Y755*X755</f>
        <v/>
      </c>
      <c r="AA755" s="34">
        <f>X755+0.5*Z755</f>
        <v/>
      </c>
      <c r="AB755" s="34">
        <f>Q755*J755</f>
        <v/>
      </c>
      <c r="AC755" s="34">
        <f>Q755*L755</f>
        <v/>
      </c>
      <c r="AD755" s="34">
        <f>S755*N755</f>
        <v/>
      </c>
      <c r="AE755" s="34">
        <f>E755*N755</f>
        <v/>
      </c>
      <c r="AF755" s="34">
        <f>R755*N755</f>
        <v/>
      </c>
      <c r="AG755" s="29">
        <f>MAX(SumAssured,AA755)</f>
        <v/>
      </c>
      <c r="AH755" s="34">
        <f>AG755*O755</f>
        <v/>
      </c>
      <c r="AI755" s="34">
        <f>AA755*O755</f>
        <v/>
      </c>
      <c r="AJ755" s="34">
        <f>AA755*P755</f>
        <v/>
      </c>
      <c r="AK755" s="34">
        <f>I755*AA755*P755</f>
        <v/>
      </c>
      <c r="AL755" s="34">
        <f>AJ755-AK755</f>
        <v/>
      </c>
      <c r="AM755" s="34">
        <f>Q755*K755</f>
        <v/>
      </c>
      <c r="AN755" s="34">
        <f>AH755+AL755+AM755</f>
        <v/>
      </c>
      <c r="AO755" s="34">
        <f>(AG755-AA755)*O755</f>
        <v/>
      </c>
      <c r="AP755" s="34">
        <f>W755*N755</f>
        <v/>
      </c>
      <c r="AQ755" s="34">
        <f>T755*N755</f>
        <v/>
      </c>
      <c r="AR755" s="34">
        <f>Z755*J756+0.5*Z755*(O755+P755)</f>
        <v/>
      </c>
      <c r="AS755" s="30">
        <f>(1+InflationRate)^(A755/12)</f>
        <v/>
      </c>
      <c r="AT755" s="29">
        <f>ExpenseAcq*M755+N755*ExpenseMaint/12*AS755</f>
        <v/>
      </c>
      <c r="AU755" s="29">
        <f>CommissionRate*AE755</f>
        <v/>
      </c>
      <c r="AV755" s="34">
        <f>AB756-AB755</f>
        <v/>
      </c>
      <c r="AW755" s="34">
        <f>AE755+AR755-AN755-AT755-AU755-AV755</f>
        <v/>
      </c>
      <c r="AX755" s="29">
        <f>LoadPremRate*E755*N755+AK755+AQ755-AU755-AT755</f>
        <v/>
      </c>
      <c r="AY755" s="34">
        <f>AP755-AO755</f>
        <v/>
      </c>
      <c r="AZ755" s="37">
        <f>(AW755-AX755-AY755)/MAX(1,ABS(AW755),ABS(AX755),ABS(AY755))</f>
        <v/>
      </c>
      <c r="BA755" s="37">
        <f>IF(OR(K755&gt;0,K756&gt;0),0,(AC756-(AC755+AF755-AQ755-AP755+AR755-AI755-AJ755-AM755))/MAX(1,ABS(AC755),ABS(AC756)))</f>
        <v/>
      </c>
      <c r="BB755" s="35">
        <f>(1+INDEX(DiscRateAnn,INT(A755/12)+1))^(1/12)-1</f>
        <v/>
      </c>
      <c r="BC755" s="31">
        <f>(1+BB755)^-A755</f>
        <v/>
      </c>
      <c r="BD755" s="34">
        <f>AW755*BC755</f>
        <v/>
      </c>
    </row>
    <row r="756">
      <c r="A756" s="27">
        <f>A755+1</f>
        <v/>
      </c>
      <c r="B756" s="28">
        <f>Duration0+A756</f>
        <v/>
      </c>
      <c r="C756" s="27">
        <f>INT(B756/12)</f>
        <v/>
      </c>
      <c r="D756" s="28">
        <f>AgeAtEntry+C756</f>
        <v/>
      </c>
      <c r="E756" s="29">
        <f>IF(PremiumType="SINGLE",IF(B756=0,PremiumPPInput,0),IF(B756&lt;12*PolicyTerm,PremiumPPInput,0))</f>
        <v/>
      </c>
      <c r="F756" s="30">
        <f>INDEX(MortRates,MATCH(MIN(D756,120),MortAges,0),MAX(MIN(C756,5),0)+1)</f>
        <v/>
      </c>
      <c r="G756" s="31">
        <f>1-(1-F756)^(1/12)</f>
        <v/>
      </c>
      <c r="H756" s="32">
        <f>MAX(LapseBase-LapseStep*C756,LapseFloor)</f>
        <v/>
      </c>
      <c r="I756" s="32">
        <f>IF(HasSurrCharge,INDEX(SurrRates,MIN(C756,SurrDurMax)+1,MATCH(SurrChargeID,SurrTypes,0)),0)</f>
        <v/>
      </c>
      <c r="J756" s="33">
        <f>N755-P755-O755</f>
        <v/>
      </c>
      <c r="K756" s="30">
        <f>IF(B756=12*PolicyTerm,J756,0)</f>
        <v/>
      </c>
      <c r="L756" s="33">
        <f>J756-K756</f>
        <v/>
      </c>
      <c r="M756" s="30">
        <f>IF(B756=0,PolicyCount,0)</f>
        <v/>
      </c>
      <c r="N756" s="33">
        <f>L756+M756</f>
        <v/>
      </c>
      <c r="O756" s="31">
        <f>N756*G756</f>
        <v/>
      </c>
      <c r="P756" s="33">
        <f>(N756-O756)*(1-(1-H756)^(1/12))</f>
        <v/>
      </c>
      <c r="Q756" s="34">
        <f>X755+Z755</f>
        <v/>
      </c>
      <c r="R756" s="29">
        <f>(1-LoadPremRate)*E756</f>
        <v/>
      </c>
      <c r="S756" s="34">
        <f>Q756+R756</f>
        <v/>
      </c>
      <c r="T756" s="29">
        <f>MaintFeeRateAnn/12*S756</f>
        <v/>
      </c>
      <c r="U756" s="29">
        <f>MAX(SumAssured-S756,0)</f>
        <v/>
      </c>
      <c r="V756" s="35">
        <f>CoiMultiple*G756</f>
        <v/>
      </c>
      <c r="W756" s="34">
        <f>V756*U756</f>
        <v/>
      </c>
      <c r="X756" s="34">
        <f>S756-T756-W756</f>
        <v/>
      </c>
      <c r="Y756" s="36">
        <f>EXP((Mu-0.5*Sigma^2)/12+Sigma*SQRT(1/12)*INDEX(NormRand,ScenID,A756+1))-1</f>
        <v/>
      </c>
      <c r="Z756" s="34">
        <f>Y756*X756</f>
        <v/>
      </c>
      <c r="AA756" s="34">
        <f>X756+0.5*Z756</f>
        <v/>
      </c>
      <c r="AB756" s="34">
        <f>Q756*J756</f>
        <v/>
      </c>
      <c r="AC756" s="34">
        <f>Q756*L756</f>
        <v/>
      </c>
      <c r="AD756" s="34">
        <f>S756*N756</f>
        <v/>
      </c>
      <c r="AE756" s="34">
        <f>E756*N756</f>
        <v/>
      </c>
      <c r="AF756" s="34">
        <f>R756*N756</f>
        <v/>
      </c>
      <c r="AG756" s="29">
        <f>MAX(SumAssured,AA756)</f>
        <v/>
      </c>
      <c r="AH756" s="34">
        <f>AG756*O756</f>
        <v/>
      </c>
      <c r="AI756" s="34">
        <f>AA756*O756</f>
        <v/>
      </c>
      <c r="AJ756" s="34">
        <f>AA756*P756</f>
        <v/>
      </c>
      <c r="AK756" s="34">
        <f>I756*AA756*P756</f>
        <v/>
      </c>
      <c r="AL756" s="34">
        <f>AJ756-AK756</f>
        <v/>
      </c>
      <c r="AM756" s="34">
        <f>Q756*K756</f>
        <v/>
      </c>
      <c r="AN756" s="34">
        <f>AH756+AL756+AM756</f>
        <v/>
      </c>
      <c r="AO756" s="34">
        <f>(AG756-AA756)*O756</f>
        <v/>
      </c>
      <c r="AP756" s="34">
        <f>W756*N756</f>
        <v/>
      </c>
      <c r="AQ756" s="34">
        <f>T756*N756</f>
        <v/>
      </c>
      <c r="AR756" s="34">
        <f>Z756*J757+0.5*Z756*(O756+P756)</f>
        <v/>
      </c>
      <c r="AS756" s="30">
        <f>(1+InflationRate)^(A756/12)</f>
        <v/>
      </c>
      <c r="AT756" s="29">
        <f>ExpenseAcq*M756+N756*ExpenseMaint/12*AS756</f>
        <v/>
      </c>
      <c r="AU756" s="29">
        <f>CommissionRate*AE756</f>
        <v/>
      </c>
      <c r="AV756" s="34">
        <f>AB757-AB756</f>
        <v/>
      </c>
      <c r="AW756" s="34">
        <f>AE756+AR756-AN756-AT756-AU756-AV756</f>
        <v/>
      </c>
      <c r="AX756" s="29">
        <f>LoadPremRate*E756*N756+AK756+AQ756-AU756-AT756</f>
        <v/>
      </c>
      <c r="AY756" s="34">
        <f>AP756-AO756</f>
        <v/>
      </c>
      <c r="AZ756" s="37">
        <f>(AW756-AX756-AY756)/MAX(1,ABS(AW756),ABS(AX756),ABS(AY756))</f>
        <v/>
      </c>
      <c r="BA756" s="37">
        <f>IF(OR(K756&gt;0,K757&gt;0),0,(AC757-(AC756+AF756-AQ756-AP756+AR756-AI756-AJ756-AM756))/MAX(1,ABS(AC756),ABS(AC757)))</f>
        <v/>
      </c>
      <c r="BB756" s="35">
        <f>(1+INDEX(DiscRateAnn,INT(A756/12)+1))^(1/12)-1</f>
        <v/>
      </c>
      <c r="BC756" s="31">
        <f>(1+BB756)^-A756</f>
        <v/>
      </c>
      <c r="BD756" s="34">
        <f>AW756*BC756</f>
        <v/>
      </c>
    </row>
    <row r="757">
      <c r="A757" s="27">
        <f>A756+1</f>
        <v/>
      </c>
      <c r="B757" s="28">
        <f>Duration0+A757</f>
        <v/>
      </c>
      <c r="C757" s="27">
        <f>INT(B757/12)</f>
        <v/>
      </c>
      <c r="D757" s="28">
        <f>AgeAtEntry+C757</f>
        <v/>
      </c>
      <c r="E757" s="29">
        <f>IF(PremiumType="SINGLE",IF(B757=0,PremiumPPInput,0),IF(B757&lt;12*PolicyTerm,PremiumPPInput,0))</f>
        <v/>
      </c>
      <c r="F757" s="30">
        <f>INDEX(MortRates,MATCH(MIN(D757,120),MortAges,0),MAX(MIN(C757,5),0)+1)</f>
        <v/>
      </c>
      <c r="G757" s="31">
        <f>1-(1-F757)^(1/12)</f>
        <v/>
      </c>
      <c r="H757" s="32">
        <f>MAX(LapseBase-LapseStep*C757,LapseFloor)</f>
        <v/>
      </c>
      <c r="I757" s="32">
        <f>IF(HasSurrCharge,INDEX(SurrRates,MIN(C757,SurrDurMax)+1,MATCH(SurrChargeID,SurrTypes,0)),0)</f>
        <v/>
      </c>
      <c r="J757" s="33">
        <f>N756-P756-O756</f>
        <v/>
      </c>
      <c r="K757" s="30">
        <f>IF(B757=12*PolicyTerm,J757,0)</f>
        <v/>
      </c>
      <c r="L757" s="33">
        <f>J757-K757</f>
        <v/>
      </c>
      <c r="M757" s="30">
        <f>IF(B757=0,PolicyCount,0)</f>
        <v/>
      </c>
      <c r="N757" s="33">
        <f>L757+M757</f>
        <v/>
      </c>
      <c r="O757" s="31">
        <f>N757*G757</f>
        <v/>
      </c>
      <c r="P757" s="33">
        <f>(N757-O757)*(1-(1-H757)^(1/12))</f>
        <v/>
      </c>
      <c r="Q757" s="34">
        <f>X756+Z756</f>
        <v/>
      </c>
      <c r="R757" s="29">
        <f>(1-LoadPremRate)*E757</f>
        <v/>
      </c>
      <c r="S757" s="34">
        <f>Q757+R757</f>
        <v/>
      </c>
      <c r="T757" s="29">
        <f>MaintFeeRateAnn/12*S757</f>
        <v/>
      </c>
      <c r="U757" s="29">
        <f>MAX(SumAssured-S757,0)</f>
        <v/>
      </c>
      <c r="V757" s="35">
        <f>CoiMultiple*G757</f>
        <v/>
      </c>
      <c r="W757" s="34">
        <f>V757*U757</f>
        <v/>
      </c>
      <c r="X757" s="34">
        <f>S757-T757-W757</f>
        <v/>
      </c>
      <c r="Y757" s="36">
        <f>EXP((Mu-0.5*Sigma^2)/12+Sigma*SQRT(1/12)*INDEX(NormRand,ScenID,A757+1))-1</f>
        <v/>
      </c>
      <c r="Z757" s="34">
        <f>Y757*X757</f>
        <v/>
      </c>
      <c r="AA757" s="34">
        <f>X757+0.5*Z757</f>
        <v/>
      </c>
      <c r="AB757" s="34">
        <f>Q757*J757</f>
        <v/>
      </c>
      <c r="AC757" s="34">
        <f>Q757*L757</f>
        <v/>
      </c>
      <c r="AD757" s="34">
        <f>S757*N757</f>
        <v/>
      </c>
      <c r="AE757" s="34">
        <f>E757*N757</f>
        <v/>
      </c>
      <c r="AF757" s="34">
        <f>R757*N757</f>
        <v/>
      </c>
      <c r="AG757" s="29">
        <f>MAX(SumAssured,AA757)</f>
        <v/>
      </c>
      <c r="AH757" s="34">
        <f>AG757*O757</f>
        <v/>
      </c>
      <c r="AI757" s="34">
        <f>AA757*O757</f>
        <v/>
      </c>
      <c r="AJ757" s="34">
        <f>AA757*P757</f>
        <v/>
      </c>
      <c r="AK757" s="34">
        <f>I757*AA757*P757</f>
        <v/>
      </c>
      <c r="AL757" s="34">
        <f>AJ757-AK757</f>
        <v/>
      </c>
      <c r="AM757" s="34">
        <f>Q757*K757</f>
        <v/>
      </c>
      <c r="AN757" s="34">
        <f>AH757+AL757+AM757</f>
        <v/>
      </c>
      <c r="AO757" s="34">
        <f>(AG757-AA757)*O757</f>
        <v/>
      </c>
      <c r="AP757" s="34">
        <f>W757*N757</f>
        <v/>
      </c>
      <c r="AQ757" s="34">
        <f>T757*N757</f>
        <v/>
      </c>
      <c r="AR757" s="34">
        <f>Z757*J758+0.5*Z757*(O757+P757)</f>
        <v/>
      </c>
      <c r="AS757" s="30">
        <f>(1+InflationRate)^(A757/12)</f>
        <v/>
      </c>
      <c r="AT757" s="29">
        <f>ExpenseAcq*M757+N757*ExpenseMaint/12*AS757</f>
        <v/>
      </c>
      <c r="AU757" s="29">
        <f>CommissionRate*AE757</f>
        <v/>
      </c>
      <c r="AV757" s="34">
        <f>AB758-AB757</f>
        <v/>
      </c>
      <c r="AW757" s="34">
        <f>AE757+AR757-AN757-AT757-AU757-AV757</f>
        <v/>
      </c>
      <c r="AX757" s="29">
        <f>LoadPremRate*E757*N757+AK757+AQ757-AU757-AT757</f>
        <v/>
      </c>
      <c r="AY757" s="34">
        <f>AP757-AO757</f>
        <v/>
      </c>
      <c r="AZ757" s="37">
        <f>(AW757-AX757-AY757)/MAX(1,ABS(AW757),ABS(AX757),ABS(AY757))</f>
        <v/>
      </c>
      <c r="BA757" s="37">
        <f>IF(OR(K757&gt;0,K758&gt;0),0,(AC758-(AC757+AF757-AQ757-AP757+AR757-AI757-AJ757-AM757))/MAX(1,ABS(AC757),ABS(AC758)))</f>
        <v/>
      </c>
      <c r="BB757" s="35">
        <f>(1+INDEX(DiscRateAnn,INT(A757/12)+1))^(1/12)-1</f>
        <v/>
      </c>
      <c r="BC757" s="31">
        <f>(1+BB757)^-A757</f>
        <v/>
      </c>
      <c r="BD757" s="34">
        <f>AW757*BC757</f>
        <v/>
      </c>
    </row>
    <row r="758">
      <c r="A758" s="27">
        <f>A757+1</f>
        <v/>
      </c>
      <c r="B758" s="28">
        <f>Duration0+A758</f>
        <v/>
      </c>
      <c r="C758" s="27">
        <f>INT(B758/12)</f>
        <v/>
      </c>
      <c r="D758" s="28">
        <f>AgeAtEntry+C758</f>
        <v/>
      </c>
      <c r="E758" s="29">
        <f>IF(PremiumType="SINGLE",IF(B758=0,PremiumPPInput,0),IF(B758&lt;12*PolicyTerm,PremiumPPInput,0))</f>
        <v/>
      </c>
      <c r="F758" s="30">
        <f>INDEX(MortRates,MATCH(MIN(D758,120),MortAges,0),MAX(MIN(C758,5),0)+1)</f>
        <v/>
      </c>
      <c r="G758" s="31">
        <f>1-(1-F758)^(1/12)</f>
        <v/>
      </c>
      <c r="H758" s="32">
        <f>MAX(LapseBase-LapseStep*C758,LapseFloor)</f>
        <v/>
      </c>
      <c r="I758" s="32">
        <f>IF(HasSurrCharge,INDEX(SurrRates,MIN(C758,SurrDurMax)+1,MATCH(SurrChargeID,SurrTypes,0)),0)</f>
        <v/>
      </c>
      <c r="J758" s="33">
        <f>N757-P757-O757</f>
        <v/>
      </c>
      <c r="K758" s="30">
        <f>IF(B758=12*PolicyTerm,J758,0)</f>
        <v/>
      </c>
      <c r="L758" s="33">
        <f>J758-K758</f>
        <v/>
      </c>
      <c r="M758" s="30">
        <f>IF(B758=0,PolicyCount,0)</f>
        <v/>
      </c>
      <c r="N758" s="33">
        <f>L758+M758</f>
        <v/>
      </c>
      <c r="O758" s="31">
        <f>N758*G758</f>
        <v/>
      </c>
      <c r="P758" s="33">
        <f>(N758-O758)*(1-(1-H758)^(1/12))</f>
        <v/>
      </c>
      <c r="Q758" s="34">
        <f>X757+Z757</f>
        <v/>
      </c>
      <c r="R758" s="29">
        <f>(1-LoadPremRate)*E758</f>
        <v/>
      </c>
      <c r="S758" s="34">
        <f>Q758+R758</f>
        <v/>
      </c>
      <c r="T758" s="29">
        <f>MaintFeeRateAnn/12*S758</f>
        <v/>
      </c>
      <c r="U758" s="29">
        <f>MAX(SumAssured-S758,0)</f>
        <v/>
      </c>
      <c r="V758" s="35">
        <f>CoiMultiple*G758</f>
        <v/>
      </c>
      <c r="W758" s="34">
        <f>V758*U758</f>
        <v/>
      </c>
      <c r="X758" s="34">
        <f>S758-T758-W758</f>
        <v/>
      </c>
      <c r="Y758" s="36">
        <f>EXP((Mu-0.5*Sigma^2)/12+Sigma*SQRT(1/12)*INDEX(NormRand,ScenID,A758+1))-1</f>
        <v/>
      </c>
      <c r="Z758" s="34">
        <f>Y758*X758</f>
        <v/>
      </c>
      <c r="AA758" s="34">
        <f>X758+0.5*Z758</f>
        <v/>
      </c>
      <c r="AB758" s="34">
        <f>Q758*J758</f>
        <v/>
      </c>
      <c r="AC758" s="34">
        <f>Q758*L758</f>
        <v/>
      </c>
      <c r="AD758" s="34">
        <f>S758*N758</f>
        <v/>
      </c>
      <c r="AE758" s="34">
        <f>E758*N758</f>
        <v/>
      </c>
      <c r="AF758" s="34">
        <f>R758*N758</f>
        <v/>
      </c>
      <c r="AG758" s="29">
        <f>MAX(SumAssured,AA758)</f>
        <v/>
      </c>
      <c r="AH758" s="34">
        <f>AG758*O758</f>
        <v/>
      </c>
      <c r="AI758" s="34">
        <f>AA758*O758</f>
        <v/>
      </c>
      <c r="AJ758" s="34">
        <f>AA758*P758</f>
        <v/>
      </c>
      <c r="AK758" s="34">
        <f>I758*AA758*P758</f>
        <v/>
      </c>
      <c r="AL758" s="34">
        <f>AJ758-AK758</f>
        <v/>
      </c>
      <c r="AM758" s="34">
        <f>Q758*K758</f>
        <v/>
      </c>
      <c r="AN758" s="34">
        <f>AH758+AL758+AM758</f>
        <v/>
      </c>
      <c r="AO758" s="34">
        <f>(AG758-AA758)*O758</f>
        <v/>
      </c>
      <c r="AP758" s="34">
        <f>W758*N758</f>
        <v/>
      </c>
      <c r="AQ758" s="34">
        <f>T758*N758</f>
        <v/>
      </c>
      <c r="AR758" s="34">
        <f>Z758*J759+0.5*Z758*(O758+P758)</f>
        <v/>
      </c>
      <c r="AS758" s="30">
        <f>(1+InflationRate)^(A758/12)</f>
        <v/>
      </c>
      <c r="AT758" s="29">
        <f>ExpenseAcq*M758+N758*ExpenseMaint/12*AS758</f>
        <v/>
      </c>
      <c r="AU758" s="29">
        <f>CommissionRate*AE758</f>
        <v/>
      </c>
      <c r="AV758" s="34">
        <f>AB759-AB758</f>
        <v/>
      </c>
      <c r="AW758" s="34">
        <f>AE758+AR758-AN758-AT758-AU758-AV758</f>
        <v/>
      </c>
      <c r="AX758" s="29">
        <f>LoadPremRate*E758*N758+AK758+AQ758-AU758-AT758</f>
        <v/>
      </c>
      <c r="AY758" s="34">
        <f>AP758-AO758</f>
        <v/>
      </c>
      <c r="AZ758" s="37">
        <f>(AW758-AX758-AY758)/MAX(1,ABS(AW758),ABS(AX758),ABS(AY758))</f>
        <v/>
      </c>
      <c r="BA758" s="37">
        <f>IF(OR(K758&gt;0,K759&gt;0),0,(AC759-(AC758+AF758-AQ758-AP758+AR758-AI758-AJ758-AM758))/MAX(1,ABS(AC758),ABS(AC759)))</f>
        <v/>
      </c>
      <c r="BB758" s="35">
        <f>(1+INDEX(DiscRateAnn,INT(A758/12)+1))^(1/12)-1</f>
        <v/>
      </c>
      <c r="BC758" s="31">
        <f>(1+BB758)^-A758</f>
        <v/>
      </c>
      <c r="BD758" s="34">
        <f>AW758*BC758</f>
        <v/>
      </c>
    </row>
    <row r="759">
      <c r="A759" s="27">
        <f>A758+1</f>
        <v/>
      </c>
      <c r="B759" s="28">
        <f>Duration0+A759</f>
        <v/>
      </c>
      <c r="C759" s="27">
        <f>INT(B759/12)</f>
        <v/>
      </c>
      <c r="D759" s="28">
        <f>AgeAtEntry+C759</f>
        <v/>
      </c>
      <c r="E759" s="29">
        <f>IF(PremiumType="SINGLE",IF(B759=0,PremiumPPInput,0),IF(B759&lt;12*PolicyTerm,PremiumPPInput,0))</f>
        <v/>
      </c>
      <c r="F759" s="30">
        <f>INDEX(MortRates,MATCH(MIN(D759,120),MortAges,0),MAX(MIN(C759,5),0)+1)</f>
        <v/>
      </c>
      <c r="G759" s="31">
        <f>1-(1-F759)^(1/12)</f>
        <v/>
      </c>
      <c r="H759" s="32">
        <f>MAX(LapseBase-LapseStep*C759,LapseFloor)</f>
        <v/>
      </c>
      <c r="I759" s="32">
        <f>IF(HasSurrCharge,INDEX(SurrRates,MIN(C759,SurrDurMax)+1,MATCH(SurrChargeID,SurrTypes,0)),0)</f>
        <v/>
      </c>
      <c r="J759" s="33">
        <f>N758-P758-O758</f>
        <v/>
      </c>
      <c r="K759" s="30">
        <f>IF(B759=12*PolicyTerm,J759,0)</f>
        <v/>
      </c>
      <c r="L759" s="33">
        <f>J759-K759</f>
        <v/>
      </c>
      <c r="M759" s="30">
        <f>IF(B759=0,PolicyCount,0)</f>
        <v/>
      </c>
      <c r="N759" s="33">
        <f>L759+M759</f>
        <v/>
      </c>
      <c r="O759" s="31">
        <f>N759*G759</f>
        <v/>
      </c>
      <c r="P759" s="33">
        <f>(N759-O759)*(1-(1-H759)^(1/12))</f>
        <v/>
      </c>
      <c r="Q759" s="34">
        <f>X758+Z758</f>
        <v/>
      </c>
      <c r="R759" s="29">
        <f>(1-LoadPremRate)*E759</f>
        <v/>
      </c>
      <c r="S759" s="34">
        <f>Q759+R759</f>
        <v/>
      </c>
      <c r="T759" s="29">
        <f>MaintFeeRateAnn/12*S759</f>
        <v/>
      </c>
      <c r="U759" s="29">
        <f>MAX(SumAssured-S759,0)</f>
        <v/>
      </c>
      <c r="V759" s="35">
        <f>CoiMultiple*G759</f>
        <v/>
      </c>
      <c r="W759" s="34">
        <f>V759*U759</f>
        <v/>
      </c>
      <c r="X759" s="34">
        <f>S759-T759-W759</f>
        <v/>
      </c>
      <c r="Y759" s="36">
        <f>EXP((Mu-0.5*Sigma^2)/12+Sigma*SQRT(1/12)*INDEX(NormRand,ScenID,A759+1))-1</f>
        <v/>
      </c>
      <c r="Z759" s="34">
        <f>Y759*X759</f>
        <v/>
      </c>
      <c r="AA759" s="34">
        <f>X759+0.5*Z759</f>
        <v/>
      </c>
      <c r="AB759" s="34">
        <f>Q759*J759</f>
        <v/>
      </c>
      <c r="AC759" s="34">
        <f>Q759*L759</f>
        <v/>
      </c>
      <c r="AD759" s="34">
        <f>S759*N759</f>
        <v/>
      </c>
      <c r="AE759" s="34">
        <f>E759*N759</f>
        <v/>
      </c>
      <c r="AF759" s="34">
        <f>R759*N759</f>
        <v/>
      </c>
      <c r="AG759" s="29">
        <f>MAX(SumAssured,AA759)</f>
        <v/>
      </c>
      <c r="AH759" s="34">
        <f>AG759*O759</f>
        <v/>
      </c>
      <c r="AI759" s="34">
        <f>AA759*O759</f>
        <v/>
      </c>
      <c r="AJ759" s="34">
        <f>AA759*P759</f>
        <v/>
      </c>
      <c r="AK759" s="34">
        <f>I759*AA759*P759</f>
        <v/>
      </c>
      <c r="AL759" s="34">
        <f>AJ759-AK759</f>
        <v/>
      </c>
      <c r="AM759" s="34">
        <f>Q759*K759</f>
        <v/>
      </c>
      <c r="AN759" s="34">
        <f>AH759+AL759+AM759</f>
        <v/>
      </c>
      <c r="AO759" s="34">
        <f>(AG759-AA759)*O759</f>
        <v/>
      </c>
      <c r="AP759" s="34">
        <f>W759*N759</f>
        <v/>
      </c>
      <c r="AQ759" s="34">
        <f>T759*N759</f>
        <v/>
      </c>
      <c r="AR759" s="34">
        <f>Z759*J760+0.5*Z759*(O759+P759)</f>
        <v/>
      </c>
      <c r="AS759" s="30">
        <f>(1+InflationRate)^(A759/12)</f>
        <v/>
      </c>
      <c r="AT759" s="29">
        <f>ExpenseAcq*M759+N759*ExpenseMaint/12*AS759</f>
        <v/>
      </c>
      <c r="AU759" s="29">
        <f>CommissionRate*AE759</f>
        <v/>
      </c>
      <c r="AV759" s="34">
        <f>AB760-AB759</f>
        <v/>
      </c>
      <c r="AW759" s="34">
        <f>AE759+AR759-AN759-AT759-AU759-AV759</f>
        <v/>
      </c>
      <c r="AX759" s="29">
        <f>LoadPremRate*E759*N759+AK759+AQ759-AU759-AT759</f>
        <v/>
      </c>
      <c r="AY759" s="34">
        <f>AP759-AO759</f>
        <v/>
      </c>
      <c r="AZ759" s="37">
        <f>(AW759-AX759-AY759)/MAX(1,ABS(AW759),ABS(AX759),ABS(AY759))</f>
        <v/>
      </c>
      <c r="BA759" s="37">
        <f>IF(OR(K759&gt;0,K760&gt;0),0,(AC760-(AC759+AF759-AQ759-AP759+AR759-AI759-AJ759-AM759))/MAX(1,ABS(AC759),ABS(AC760)))</f>
        <v/>
      </c>
      <c r="BB759" s="35">
        <f>(1+INDEX(DiscRateAnn,INT(A759/12)+1))^(1/12)-1</f>
        <v/>
      </c>
      <c r="BC759" s="31">
        <f>(1+BB759)^-A759</f>
        <v/>
      </c>
      <c r="BD759" s="34">
        <f>AW759*BC759</f>
        <v/>
      </c>
    </row>
    <row r="760">
      <c r="A760" s="27">
        <f>A759+1</f>
        <v/>
      </c>
      <c r="B760" s="28">
        <f>Duration0+A760</f>
        <v/>
      </c>
      <c r="C760" s="27">
        <f>INT(B760/12)</f>
        <v/>
      </c>
      <c r="D760" s="28">
        <f>AgeAtEntry+C760</f>
        <v/>
      </c>
      <c r="E760" s="29">
        <f>IF(PremiumType="SINGLE",IF(B760=0,PremiumPPInput,0),IF(B760&lt;12*PolicyTerm,PremiumPPInput,0))</f>
        <v/>
      </c>
      <c r="F760" s="30">
        <f>INDEX(MortRates,MATCH(MIN(D760,120),MortAges,0),MAX(MIN(C760,5),0)+1)</f>
        <v/>
      </c>
      <c r="G760" s="31">
        <f>1-(1-F760)^(1/12)</f>
        <v/>
      </c>
      <c r="H760" s="32">
        <f>MAX(LapseBase-LapseStep*C760,LapseFloor)</f>
        <v/>
      </c>
      <c r="I760" s="32">
        <f>IF(HasSurrCharge,INDEX(SurrRates,MIN(C760,SurrDurMax)+1,MATCH(SurrChargeID,SurrTypes,0)),0)</f>
        <v/>
      </c>
      <c r="J760" s="33">
        <f>N759-P759-O759</f>
        <v/>
      </c>
      <c r="K760" s="30">
        <f>IF(B760=12*PolicyTerm,J760,0)</f>
        <v/>
      </c>
      <c r="L760" s="33">
        <f>J760-K760</f>
        <v/>
      </c>
      <c r="M760" s="30">
        <f>IF(B760=0,PolicyCount,0)</f>
        <v/>
      </c>
      <c r="N760" s="33">
        <f>L760+M760</f>
        <v/>
      </c>
      <c r="O760" s="31">
        <f>N760*G760</f>
        <v/>
      </c>
      <c r="P760" s="33">
        <f>(N760-O760)*(1-(1-H760)^(1/12))</f>
        <v/>
      </c>
      <c r="Q760" s="34">
        <f>X759+Z759</f>
        <v/>
      </c>
      <c r="R760" s="29">
        <f>(1-LoadPremRate)*E760</f>
        <v/>
      </c>
      <c r="S760" s="34">
        <f>Q760+R760</f>
        <v/>
      </c>
      <c r="T760" s="29">
        <f>MaintFeeRateAnn/12*S760</f>
        <v/>
      </c>
      <c r="U760" s="29">
        <f>MAX(SumAssured-S760,0)</f>
        <v/>
      </c>
      <c r="V760" s="35">
        <f>CoiMultiple*G760</f>
        <v/>
      </c>
      <c r="W760" s="34">
        <f>V760*U760</f>
        <v/>
      </c>
      <c r="X760" s="34">
        <f>S760-T760-W760</f>
        <v/>
      </c>
      <c r="Y760" s="36">
        <f>EXP((Mu-0.5*Sigma^2)/12+Sigma*SQRT(1/12)*INDEX(NormRand,ScenID,A760+1))-1</f>
        <v/>
      </c>
      <c r="Z760" s="34">
        <f>Y760*X760</f>
        <v/>
      </c>
      <c r="AA760" s="34">
        <f>X760+0.5*Z760</f>
        <v/>
      </c>
      <c r="AB760" s="34">
        <f>Q760*J760</f>
        <v/>
      </c>
      <c r="AC760" s="34">
        <f>Q760*L760</f>
        <v/>
      </c>
      <c r="AD760" s="34">
        <f>S760*N760</f>
        <v/>
      </c>
      <c r="AE760" s="34">
        <f>E760*N760</f>
        <v/>
      </c>
      <c r="AF760" s="34">
        <f>R760*N760</f>
        <v/>
      </c>
      <c r="AG760" s="29">
        <f>MAX(SumAssured,AA760)</f>
        <v/>
      </c>
      <c r="AH760" s="34">
        <f>AG760*O760</f>
        <v/>
      </c>
      <c r="AI760" s="34">
        <f>AA760*O760</f>
        <v/>
      </c>
      <c r="AJ760" s="34">
        <f>AA760*P760</f>
        <v/>
      </c>
      <c r="AK760" s="34">
        <f>I760*AA760*P760</f>
        <v/>
      </c>
      <c r="AL760" s="34">
        <f>AJ760-AK760</f>
        <v/>
      </c>
      <c r="AM760" s="34">
        <f>Q760*K760</f>
        <v/>
      </c>
      <c r="AN760" s="34">
        <f>AH760+AL760+AM760</f>
        <v/>
      </c>
      <c r="AO760" s="34">
        <f>(AG760-AA760)*O760</f>
        <v/>
      </c>
      <c r="AP760" s="34">
        <f>W760*N760</f>
        <v/>
      </c>
      <c r="AQ760" s="34">
        <f>T760*N760</f>
        <v/>
      </c>
      <c r="AR760" s="34">
        <f>Z760*J761+0.5*Z760*(O760+P760)</f>
        <v/>
      </c>
      <c r="AS760" s="30">
        <f>(1+InflationRate)^(A760/12)</f>
        <v/>
      </c>
      <c r="AT760" s="29">
        <f>ExpenseAcq*M760+N760*ExpenseMaint/12*AS760</f>
        <v/>
      </c>
      <c r="AU760" s="29">
        <f>CommissionRate*AE760</f>
        <v/>
      </c>
      <c r="AV760" s="34">
        <f>AB761-AB760</f>
        <v/>
      </c>
      <c r="AW760" s="34">
        <f>AE760+AR760-AN760-AT760-AU760-AV760</f>
        <v/>
      </c>
      <c r="AX760" s="29">
        <f>LoadPremRate*E760*N760+AK760+AQ760-AU760-AT760</f>
        <v/>
      </c>
      <c r="AY760" s="34">
        <f>AP760-AO760</f>
        <v/>
      </c>
      <c r="AZ760" s="37">
        <f>(AW760-AX760-AY760)/MAX(1,ABS(AW760),ABS(AX760),ABS(AY760))</f>
        <v/>
      </c>
      <c r="BA760" s="37">
        <f>IF(OR(K760&gt;0,K761&gt;0),0,(AC761-(AC760+AF760-AQ760-AP760+AR760-AI760-AJ760-AM760))/MAX(1,ABS(AC760),ABS(AC761)))</f>
        <v/>
      </c>
      <c r="BB760" s="35">
        <f>(1+INDEX(DiscRateAnn,INT(A760/12)+1))^(1/12)-1</f>
        <v/>
      </c>
      <c r="BC760" s="31">
        <f>(1+BB760)^-A760</f>
        <v/>
      </c>
      <c r="BD760" s="34">
        <f>AW760*BC760</f>
        <v/>
      </c>
    </row>
    <row r="761">
      <c r="A761" s="27">
        <f>A760+1</f>
        <v/>
      </c>
      <c r="B761" s="28">
        <f>Duration0+A761</f>
        <v/>
      </c>
      <c r="C761" s="27">
        <f>INT(B761/12)</f>
        <v/>
      </c>
      <c r="D761" s="28">
        <f>AgeAtEntry+C761</f>
        <v/>
      </c>
      <c r="E761" s="29">
        <f>IF(PremiumType="SINGLE",IF(B761=0,PremiumPPInput,0),IF(B761&lt;12*PolicyTerm,PremiumPPInput,0))</f>
        <v/>
      </c>
      <c r="F761" s="30">
        <f>INDEX(MortRates,MATCH(MIN(D761,120),MortAges,0),MAX(MIN(C761,5),0)+1)</f>
        <v/>
      </c>
      <c r="G761" s="31">
        <f>1-(1-F761)^(1/12)</f>
        <v/>
      </c>
      <c r="H761" s="32">
        <f>MAX(LapseBase-LapseStep*C761,LapseFloor)</f>
        <v/>
      </c>
      <c r="I761" s="32">
        <f>IF(HasSurrCharge,INDEX(SurrRates,MIN(C761,SurrDurMax)+1,MATCH(SurrChargeID,SurrTypes,0)),0)</f>
        <v/>
      </c>
      <c r="J761" s="33">
        <f>N760-P760-O760</f>
        <v/>
      </c>
      <c r="K761" s="30">
        <f>IF(B761=12*PolicyTerm,J761,0)</f>
        <v/>
      </c>
      <c r="L761" s="33">
        <f>J761-K761</f>
        <v/>
      </c>
      <c r="M761" s="30">
        <f>IF(B761=0,PolicyCount,0)</f>
        <v/>
      </c>
      <c r="N761" s="33">
        <f>L761+M761</f>
        <v/>
      </c>
      <c r="O761" s="31">
        <f>N761*G761</f>
        <v/>
      </c>
      <c r="P761" s="33">
        <f>(N761-O761)*(1-(1-H761)^(1/12))</f>
        <v/>
      </c>
      <c r="Q761" s="34">
        <f>X760+Z760</f>
        <v/>
      </c>
      <c r="R761" s="29">
        <f>(1-LoadPremRate)*E761</f>
        <v/>
      </c>
      <c r="S761" s="34">
        <f>Q761+R761</f>
        <v/>
      </c>
      <c r="T761" s="29">
        <f>MaintFeeRateAnn/12*S761</f>
        <v/>
      </c>
      <c r="U761" s="29">
        <f>MAX(SumAssured-S761,0)</f>
        <v/>
      </c>
      <c r="V761" s="35">
        <f>CoiMultiple*G761</f>
        <v/>
      </c>
      <c r="W761" s="34">
        <f>V761*U761</f>
        <v/>
      </c>
      <c r="X761" s="34">
        <f>S761-T761-W761</f>
        <v/>
      </c>
      <c r="Y761" s="36">
        <f>EXP((Mu-0.5*Sigma^2)/12+Sigma*SQRT(1/12)*INDEX(NormRand,ScenID,A761+1))-1</f>
        <v/>
      </c>
      <c r="Z761" s="34">
        <f>Y761*X761</f>
        <v/>
      </c>
      <c r="AA761" s="34">
        <f>X761+0.5*Z761</f>
        <v/>
      </c>
      <c r="AB761" s="34">
        <f>Q761*J761</f>
        <v/>
      </c>
      <c r="AC761" s="34">
        <f>Q761*L761</f>
        <v/>
      </c>
      <c r="AD761" s="34">
        <f>S761*N761</f>
        <v/>
      </c>
      <c r="AE761" s="34">
        <f>E761*N761</f>
        <v/>
      </c>
      <c r="AF761" s="34">
        <f>R761*N761</f>
        <v/>
      </c>
      <c r="AG761" s="29">
        <f>MAX(SumAssured,AA761)</f>
        <v/>
      </c>
      <c r="AH761" s="34">
        <f>AG761*O761</f>
        <v/>
      </c>
      <c r="AI761" s="34">
        <f>AA761*O761</f>
        <v/>
      </c>
      <c r="AJ761" s="34">
        <f>AA761*P761</f>
        <v/>
      </c>
      <c r="AK761" s="34">
        <f>I761*AA761*P761</f>
        <v/>
      </c>
      <c r="AL761" s="34">
        <f>AJ761-AK761</f>
        <v/>
      </c>
      <c r="AM761" s="34">
        <f>Q761*K761</f>
        <v/>
      </c>
      <c r="AN761" s="34">
        <f>AH761+AL761+AM761</f>
        <v/>
      </c>
      <c r="AO761" s="34">
        <f>(AG761-AA761)*O761</f>
        <v/>
      </c>
      <c r="AP761" s="34">
        <f>W761*N761</f>
        <v/>
      </c>
      <c r="AQ761" s="34">
        <f>T761*N761</f>
        <v/>
      </c>
      <c r="AR761" s="34">
        <f>Z761*J762+0.5*Z761*(O761+P761)</f>
        <v/>
      </c>
      <c r="AS761" s="30">
        <f>(1+InflationRate)^(A761/12)</f>
        <v/>
      </c>
      <c r="AT761" s="29">
        <f>ExpenseAcq*M761+N761*ExpenseMaint/12*AS761</f>
        <v/>
      </c>
      <c r="AU761" s="29">
        <f>CommissionRate*AE761</f>
        <v/>
      </c>
      <c r="AV761" s="34">
        <f>AB762-AB761</f>
        <v/>
      </c>
      <c r="AW761" s="34">
        <f>AE761+AR761-AN761-AT761-AU761-AV761</f>
        <v/>
      </c>
      <c r="AX761" s="29">
        <f>LoadPremRate*E761*N761+AK761+AQ761-AU761-AT761</f>
        <v/>
      </c>
      <c r="AY761" s="34">
        <f>AP761-AO761</f>
        <v/>
      </c>
      <c r="AZ761" s="37">
        <f>(AW761-AX761-AY761)/MAX(1,ABS(AW761),ABS(AX761),ABS(AY761))</f>
        <v/>
      </c>
      <c r="BA761" s="37">
        <f>IF(OR(K761&gt;0,K762&gt;0),0,(AC762-(AC761+AF761-AQ761-AP761+AR761-AI761-AJ761-AM761))/MAX(1,ABS(AC761),ABS(AC762)))</f>
        <v/>
      </c>
      <c r="BB761" s="35">
        <f>(1+INDEX(DiscRateAnn,INT(A761/12)+1))^(1/12)-1</f>
        <v/>
      </c>
      <c r="BC761" s="31">
        <f>(1+BB761)^-A761</f>
        <v/>
      </c>
      <c r="BD761" s="34">
        <f>AW761*BC761</f>
        <v/>
      </c>
    </row>
    <row r="762">
      <c r="A762" s="27">
        <f>A761+1</f>
        <v/>
      </c>
      <c r="B762" s="28">
        <f>Duration0+A762</f>
        <v/>
      </c>
      <c r="C762" s="27">
        <f>INT(B762/12)</f>
        <v/>
      </c>
      <c r="D762" s="28">
        <f>AgeAtEntry+C762</f>
        <v/>
      </c>
      <c r="E762" s="29">
        <f>IF(PremiumType="SINGLE",IF(B762=0,PremiumPPInput,0),IF(B762&lt;12*PolicyTerm,PremiumPPInput,0))</f>
        <v/>
      </c>
      <c r="F762" s="30">
        <f>INDEX(MortRates,MATCH(MIN(D762,120),MortAges,0),MAX(MIN(C762,5),0)+1)</f>
        <v/>
      </c>
      <c r="G762" s="31">
        <f>1-(1-F762)^(1/12)</f>
        <v/>
      </c>
      <c r="H762" s="32">
        <f>MAX(LapseBase-LapseStep*C762,LapseFloor)</f>
        <v/>
      </c>
      <c r="I762" s="32">
        <f>IF(HasSurrCharge,INDEX(SurrRates,MIN(C762,SurrDurMax)+1,MATCH(SurrChargeID,SurrTypes,0)),0)</f>
        <v/>
      </c>
      <c r="J762" s="33">
        <f>N761-P761-O761</f>
        <v/>
      </c>
      <c r="K762" s="30">
        <f>IF(B762=12*PolicyTerm,J762,0)</f>
        <v/>
      </c>
      <c r="L762" s="33">
        <f>J762-K762</f>
        <v/>
      </c>
      <c r="M762" s="30">
        <f>IF(B762=0,PolicyCount,0)</f>
        <v/>
      </c>
      <c r="N762" s="33">
        <f>L762+M762</f>
        <v/>
      </c>
      <c r="O762" s="31">
        <f>N762*G762</f>
        <v/>
      </c>
      <c r="P762" s="33">
        <f>(N762-O762)*(1-(1-H762)^(1/12))</f>
        <v/>
      </c>
      <c r="Q762" s="34">
        <f>X761+Z761</f>
        <v/>
      </c>
      <c r="R762" s="29">
        <f>(1-LoadPremRate)*E762</f>
        <v/>
      </c>
      <c r="S762" s="34">
        <f>Q762+R762</f>
        <v/>
      </c>
      <c r="T762" s="29">
        <f>MaintFeeRateAnn/12*S762</f>
        <v/>
      </c>
      <c r="U762" s="29">
        <f>MAX(SumAssured-S762,0)</f>
        <v/>
      </c>
      <c r="V762" s="35">
        <f>CoiMultiple*G762</f>
        <v/>
      </c>
      <c r="W762" s="34">
        <f>V762*U762</f>
        <v/>
      </c>
      <c r="X762" s="34">
        <f>S762-T762-W762</f>
        <v/>
      </c>
      <c r="Y762" s="36">
        <f>EXP((Mu-0.5*Sigma^2)/12+Sigma*SQRT(1/12)*INDEX(NormRand,ScenID,A762+1))-1</f>
        <v/>
      </c>
      <c r="Z762" s="34">
        <f>Y762*X762</f>
        <v/>
      </c>
      <c r="AA762" s="34">
        <f>X762+0.5*Z762</f>
        <v/>
      </c>
      <c r="AB762" s="34">
        <f>Q762*J762</f>
        <v/>
      </c>
      <c r="AC762" s="34">
        <f>Q762*L762</f>
        <v/>
      </c>
      <c r="AD762" s="34">
        <f>S762*N762</f>
        <v/>
      </c>
      <c r="AE762" s="34">
        <f>E762*N762</f>
        <v/>
      </c>
      <c r="AF762" s="34">
        <f>R762*N762</f>
        <v/>
      </c>
      <c r="AG762" s="29">
        <f>MAX(SumAssured,AA762)</f>
        <v/>
      </c>
      <c r="AH762" s="34">
        <f>AG762*O762</f>
        <v/>
      </c>
      <c r="AI762" s="34">
        <f>AA762*O762</f>
        <v/>
      </c>
      <c r="AJ762" s="34">
        <f>AA762*P762</f>
        <v/>
      </c>
      <c r="AK762" s="34">
        <f>I762*AA762*P762</f>
        <v/>
      </c>
      <c r="AL762" s="34">
        <f>AJ762-AK762</f>
        <v/>
      </c>
      <c r="AM762" s="34">
        <f>Q762*K762</f>
        <v/>
      </c>
      <c r="AN762" s="34">
        <f>AH762+AL762+AM762</f>
        <v/>
      </c>
      <c r="AO762" s="34">
        <f>(AG762-AA762)*O762</f>
        <v/>
      </c>
      <c r="AP762" s="34">
        <f>W762*N762</f>
        <v/>
      </c>
      <c r="AQ762" s="34">
        <f>T762*N762</f>
        <v/>
      </c>
      <c r="AR762" s="34">
        <f>Z762*J763+0.5*Z762*(O762+P762)</f>
        <v/>
      </c>
      <c r="AS762" s="30">
        <f>(1+InflationRate)^(A762/12)</f>
        <v/>
      </c>
      <c r="AT762" s="29">
        <f>ExpenseAcq*M762+N762*ExpenseMaint/12*AS762</f>
        <v/>
      </c>
      <c r="AU762" s="29">
        <f>CommissionRate*AE762</f>
        <v/>
      </c>
      <c r="AV762" s="34">
        <f>AB763-AB762</f>
        <v/>
      </c>
      <c r="AW762" s="34">
        <f>AE762+AR762-AN762-AT762-AU762-AV762</f>
        <v/>
      </c>
      <c r="AX762" s="29">
        <f>LoadPremRate*E762*N762+AK762+AQ762-AU762-AT762</f>
        <v/>
      </c>
      <c r="AY762" s="34">
        <f>AP762-AO762</f>
        <v/>
      </c>
      <c r="AZ762" s="37">
        <f>(AW762-AX762-AY762)/MAX(1,ABS(AW762),ABS(AX762),ABS(AY762))</f>
        <v/>
      </c>
      <c r="BA762" s="37">
        <f>IF(OR(K762&gt;0,K763&gt;0),0,(AC763-(AC762+AF762-AQ762-AP762+AR762-AI762-AJ762-AM762))/MAX(1,ABS(AC762),ABS(AC763)))</f>
        <v/>
      </c>
      <c r="BB762" s="35">
        <f>(1+INDEX(DiscRateAnn,INT(A762/12)+1))^(1/12)-1</f>
        <v/>
      </c>
      <c r="BC762" s="31">
        <f>(1+BB762)^-A762</f>
        <v/>
      </c>
      <c r="BD762" s="34">
        <f>AW762*BC762</f>
        <v/>
      </c>
    </row>
    <row r="763">
      <c r="A763" s="27">
        <f>A762+1</f>
        <v/>
      </c>
      <c r="B763" s="28">
        <f>Duration0+A763</f>
        <v/>
      </c>
      <c r="C763" s="27">
        <f>INT(B763/12)</f>
        <v/>
      </c>
      <c r="D763" s="28">
        <f>AgeAtEntry+C763</f>
        <v/>
      </c>
      <c r="E763" s="29">
        <f>IF(PremiumType="SINGLE",IF(B763=0,PremiumPPInput,0),IF(B763&lt;12*PolicyTerm,PremiumPPInput,0))</f>
        <v/>
      </c>
      <c r="F763" s="30">
        <f>INDEX(MortRates,MATCH(MIN(D763,120),MortAges,0),MAX(MIN(C763,5),0)+1)</f>
        <v/>
      </c>
      <c r="G763" s="31">
        <f>1-(1-F763)^(1/12)</f>
        <v/>
      </c>
      <c r="H763" s="32">
        <f>MAX(LapseBase-LapseStep*C763,LapseFloor)</f>
        <v/>
      </c>
      <c r="I763" s="32">
        <f>IF(HasSurrCharge,INDEX(SurrRates,MIN(C763,SurrDurMax)+1,MATCH(SurrChargeID,SurrTypes,0)),0)</f>
        <v/>
      </c>
      <c r="J763" s="33">
        <f>N762-P762-O762</f>
        <v/>
      </c>
      <c r="K763" s="30">
        <f>IF(B763=12*PolicyTerm,J763,0)</f>
        <v/>
      </c>
      <c r="L763" s="33">
        <f>J763-K763</f>
        <v/>
      </c>
      <c r="M763" s="30">
        <f>IF(B763=0,PolicyCount,0)</f>
        <v/>
      </c>
      <c r="N763" s="33">
        <f>L763+M763</f>
        <v/>
      </c>
      <c r="O763" s="31">
        <f>N763*G763</f>
        <v/>
      </c>
      <c r="P763" s="33">
        <f>(N763-O763)*(1-(1-H763)^(1/12))</f>
        <v/>
      </c>
      <c r="Q763" s="34">
        <f>X762+Z762</f>
        <v/>
      </c>
      <c r="R763" s="29">
        <f>(1-LoadPremRate)*E763</f>
        <v/>
      </c>
      <c r="S763" s="34">
        <f>Q763+R763</f>
        <v/>
      </c>
      <c r="T763" s="29">
        <f>MaintFeeRateAnn/12*S763</f>
        <v/>
      </c>
      <c r="U763" s="29">
        <f>MAX(SumAssured-S763,0)</f>
        <v/>
      </c>
      <c r="V763" s="35">
        <f>CoiMultiple*G763</f>
        <v/>
      </c>
      <c r="W763" s="34">
        <f>V763*U763</f>
        <v/>
      </c>
      <c r="X763" s="34">
        <f>S763-T763-W763</f>
        <v/>
      </c>
      <c r="Y763" s="36">
        <f>EXP((Mu-0.5*Sigma^2)/12+Sigma*SQRT(1/12)*INDEX(NormRand,ScenID,A763+1))-1</f>
        <v/>
      </c>
      <c r="Z763" s="34">
        <f>Y763*X763</f>
        <v/>
      </c>
      <c r="AA763" s="34">
        <f>X763+0.5*Z763</f>
        <v/>
      </c>
      <c r="AB763" s="34">
        <f>Q763*J763</f>
        <v/>
      </c>
      <c r="AC763" s="34">
        <f>Q763*L763</f>
        <v/>
      </c>
      <c r="AD763" s="34">
        <f>S763*N763</f>
        <v/>
      </c>
      <c r="AE763" s="34">
        <f>E763*N763</f>
        <v/>
      </c>
      <c r="AF763" s="34">
        <f>R763*N763</f>
        <v/>
      </c>
      <c r="AG763" s="29">
        <f>MAX(SumAssured,AA763)</f>
        <v/>
      </c>
      <c r="AH763" s="34">
        <f>AG763*O763</f>
        <v/>
      </c>
      <c r="AI763" s="34">
        <f>AA763*O763</f>
        <v/>
      </c>
      <c r="AJ763" s="34">
        <f>AA763*P763</f>
        <v/>
      </c>
      <c r="AK763" s="34">
        <f>I763*AA763*P763</f>
        <v/>
      </c>
      <c r="AL763" s="34">
        <f>AJ763-AK763</f>
        <v/>
      </c>
      <c r="AM763" s="34">
        <f>Q763*K763</f>
        <v/>
      </c>
      <c r="AN763" s="34">
        <f>AH763+AL763+AM763</f>
        <v/>
      </c>
      <c r="AO763" s="34">
        <f>(AG763-AA763)*O763</f>
        <v/>
      </c>
      <c r="AP763" s="34">
        <f>W763*N763</f>
        <v/>
      </c>
      <c r="AQ763" s="34">
        <f>T763*N763</f>
        <v/>
      </c>
      <c r="AR763" s="34">
        <f>Z763*J764+0.5*Z763*(O763+P763)</f>
        <v/>
      </c>
      <c r="AS763" s="30">
        <f>(1+InflationRate)^(A763/12)</f>
        <v/>
      </c>
      <c r="AT763" s="29">
        <f>ExpenseAcq*M763+N763*ExpenseMaint/12*AS763</f>
        <v/>
      </c>
      <c r="AU763" s="29">
        <f>CommissionRate*AE763</f>
        <v/>
      </c>
      <c r="AV763" s="34">
        <f>AB764-AB763</f>
        <v/>
      </c>
      <c r="AW763" s="34">
        <f>AE763+AR763-AN763-AT763-AU763-AV763</f>
        <v/>
      </c>
      <c r="AX763" s="29">
        <f>LoadPremRate*E763*N763+AK763+AQ763-AU763-AT763</f>
        <v/>
      </c>
      <c r="AY763" s="34">
        <f>AP763-AO763</f>
        <v/>
      </c>
      <c r="AZ763" s="37">
        <f>(AW763-AX763-AY763)/MAX(1,ABS(AW763),ABS(AX763),ABS(AY763))</f>
        <v/>
      </c>
      <c r="BA763" s="37">
        <f>IF(OR(K763&gt;0,K764&gt;0),0,(AC764-(AC763+AF763-AQ763-AP763+AR763-AI763-AJ763-AM763))/MAX(1,ABS(AC763),ABS(AC764)))</f>
        <v/>
      </c>
      <c r="BB763" s="35">
        <f>(1+INDEX(DiscRateAnn,INT(A763/12)+1))^(1/12)-1</f>
        <v/>
      </c>
      <c r="BC763" s="31">
        <f>(1+BB763)^-A763</f>
        <v/>
      </c>
      <c r="BD763" s="34">
        <f>AW763*BC763</f>
        <v/>
      </c>
    </row>
    <row r="764">
      <c r="A764" s="27">
        <f>A763+1</f>
        <v/>
      </c>
      <c r="B764" s="28">
        <f>Duration0+A764</f>
        <v/>
      </c>
      <c r="C764" s="27">
        <f>INT(B764/12)</f>
        <v/>
      </c>
      <c r="D764" s="28">
        <f>AgeAtEntry+C764</f>
        <v/>
      </c>
      <c r="E764" s="29">
        <f>IF(PremiumType="SINGLE",IF(B764=0,PremiumPPInput,0),IF(B764&lt;12*PolicyTerm,PremiumPPInput,0))</f>
        <v/>
      </c>
      <c r="F764" s="30">
        <f>INDEX(MortRates,MATCH(MIN(D764,120),MortAges,0),MAX(MIN(C764,5),0)+1)</f>
        <v/>
      </c>
      <c r="G764" s="31">
        <f>1-(1-F764)^(1/12)</f>
        <v/>
      </c>
      <c r="H764" s="32">
        <f>MAX(LapseBase-LapseStep*C764,LapseFloor)</f>
        <v/>
      </c>
      <c r="I764" s="32">
        <f>IF(HasSurrCharge,INDEX(SurrRates,MIN(C764,SurrDurMax)+1,MATCH(SurrChargeID,SurrTypes,0)),0)</f>
        <v/>
      </c>
      <c r="J764" s="33">
        <f>N763-P763-O763</f>
        <v/>
      </c>
      <c r="K764" s="30">
        <f>IF(B764=12*PolicyTerm,J764,0)</f>
        <v/>
      </c>
      <c r="L764" s="33">
        <f>J764-K764</f>
        <v/>
      </c>
      <c r="M764" s="30">
        <f>IF(B764=0,PolicyCount,0)</f>
        <v/>
      </c>
      <c r="N764" s="33">
        <f>L764+M764</f>
        <v/>
      </c>
      <c r="O764" s="31">
        <f>N764*G764</f>
        <v/>
      </c>
      <c r="P764" s="33">
        <f>(N764-O764)*(1-(1-H764)^(1/12))</f>
        <v/>
      </c>
      <c r="Q764" s="34">
        <f>X763+Z763</f>
        <v/>
      </c>
      <c r="R764" s="29">
        <f>(1-LoadPremRate)*E764</f>
        <v/>
      </c>
      <c r="S764" s="34">
        <f>Q764+R764</f>
        <v/>
      </c>
      <c r="T764" s="29">
        <f>MaintFeeRateAnn/12*S764</f>
        <v/>
      </c>
      <c r="U764" s="29">
        <f>MAX(SumAssured-S764,0)</f>
        <v/>
      </c>
      <c r="V764" s="35">
        <f>CoiMultiple*G764</f>
        <v/>
      </c>
      <c r="W764" s="34">
        <f>V764*U764</f>
        <v/>
      </c>
      <c r="X764" s="34">
        <f>S764-T764-W764</f>
        <v/>
      </c>
      <c r="Y764" s="36">
        <f>EXP((Mu-0.5*Sigma^2)/12+Sigma*SQRT(1/12)*INDEX(NormRand,ScenID,A764+1))-1</f>
        <v/>
      </c>
      <c r="Z764" s="34">
        <f>Y764*X764</f>
        <v/>
      </c>
      <c r="AA764" s="34">
        <f>X764+0.5*Z764</f>
        <v/>
      </c>
      <c r="AB764" s="34">
        <f>Q764*J764</f>
        <v/>
      </c>
      <c r="AC764" s="34">
        <f>Q764*L764</f>
        <v/>
      </c>
      <c r="AD764" s="34">
        <f>S764*N764</f>
        <v/>
      </c>
      <c r="AE764" s="34">
        <f>E764*N764</f>
        <v/>
      </c>
      <c r="AF764" s="34">
        <f>R764*N764</f>
        <v/>
      </c>
      <c r="AG764" s="29">
        <f>MAX(SumAssured,AA764)</f>
        <v/>
      </c>
      <c r="AH764" s="34">
        <f>AG764*O764</f>
        <v/>
      </c>
      <c r="AI764" s="34">
        <f>AA764*O764</f>
        <v/>
      </c>
      <c r="AJ764" s="34">
        <f>AA764*P764</f>
        <v/>
      </c>
      <c r="AK764" s="34">
        <f>I764*AA764*P764</f>
        <v/>
      </c>
      <c r="AL764" s="34">
        <f>AJ764-AK764</f>
        <v/>
      </c>
      <c r="AM764" s="34">
        <f>Q764*K764</f>
        <v/>
      </c>
      <c r="AN764" s="34">
        <f>AH764+AL764+AM764</f>
        <v/>
      </c>
      <c r="AO764" s="34">
        <f>(AG764-AA764)*O764</f>
        <v/>
      </c>
      <c r="AP764" s="34">
        <f>W764*N764</f>
        <v/>
      </c>
      <c r="AQ764" s="34">
        <f>T764*N764</f>
        <v/>
      </c>
      <c r="AR764" s="34">
        <f>Z764*J765+0.5*Z764*(O764+P764)</f>
        <v/>
      </c>
      <c r="AS764" s="30">
        <f>(1+InflationRate)^(A764/12)</f>
        <v/>
      </c>
      <c r="AT764" s="29">
        <f>ExpenseAcq*M764+N764*ExpenseMaint/12*AS764</f>
        <v/>
      </c>
      <c r="AU764" s="29">
        <f>CommissionRate*AE764</f>
        <v/>
      </c>
      <c r="AV764" s="34">
        <f>AB765-AB764</f>
        <v/>
      </c>
      <c r="AW764" s="34">
        <f>AE764+AR764-AN764-AT764-AU764-AV764</f>
        <v/>
      </c>
      <c r="AX764" s="29">
        <f>LoadPremRate*E764*N764+AK764+AQ764-AU764-AT764</f>
        <v/>
      </c>
      <c r="AY764" s="34">
        <f>AP764-AO764</f>
        <v/>
      </c>
      <c r="AZ764" s="37">
        <f>(AW764-AX764-AY764)/MAX(1,ABS(AW764),ABS(AX764),ABS(AY764))</f>
        <v/>
      </c>
      <c r="BA764" s="37">
        <f>IF(OR(K764&gt;0,K765&gt;0),0,(AC765-(AC764+AF764-AQ764-AP764+AR764-AI764-AJ764-AM764))/MAX(1,ABS(AC764),ABS(AC765)))</f>
        <v/>
      </c>
      <c r="BB764" s="35">
        <f>(1+INDEX(DiscRateAnn,INT(A764/12)+1))^(1/12)-1</f>
        <v/>
      </c>
      <c r="BC764" s="31">
        <f>(1+BB764)^-A764</f>
        <v/>
      </c>
      <c r="BD764" s="34">
        <f>AW764*BC764</f>
        <v/>
      </c>
    </row>
    <row r="765">
      <c r="A765" s="27">
        <f>A764+1</f>
        <v/>
      </c>
      <c r="B765" s="28">
        <f>Duration0+A765</f>
        <v/>
      </c>
      <c r="C765" s="27">
        <f>INT(B765/12)</f>
        <v/>
      </c>
      <c r="D765" s="28">
        <f>AgeAtEntry+C765</f>
        <v/>
      </c>
      <c r="E765" s="29">
        <f>IF(PremiumType="SINGLE",IF(B765=0,PremiumPPInput,0),IF(B765&lt;12*PolicyTerm,PremiumPPInput,0))</f>
        <v/>
      </c>
      <c r="F765" s="30">
        <f>INDEX(MortRates,MATCH(MIN(D765,120),MortAges,0),MAX(MIN(C765,5),0)+1)</f>
        <v/>
      </c>
      <c r="G765" s="31">
        <f>1-(1-F765)^(1/12)</f>
        <v/>
      </c>
      <c r="H765" s="32">
        <f>MAX(LapseBase-LapseStep*C765,LapseFloor)</f>
        <v/>
      </c>
      <c r="I765" s="32">
        <f>IF(HasSurrCharge,INDEX(SurrRates,MIN(C765,SurrDurMax)+1,MATCH(SurrChargeID,SurrTypes,0)),0)</f>
        <v/>
      </c>
      <c r="J765" s="33">
        <f>N764-P764-O764</f>
        <v/>
      </c>
      <c r="K765" s="30">
        <f>IF(B765=12*PolicyTerm,J765,0)</f>
        <v/>
      </c>
      <c r="L765" s="33">
        <f>J765-K765</f>
        <v/>
      </c>
      <c r="M765" s="30">
        <f>IF(B765=0,PolicyCount,0)</f>
        <v/>
      </c>
      <c r="N765" s="33">
        <f>L765+M765</f>
        <v/>
      </c>
      <c r="O765" s="31">
        <f>N765*G765</f>
        <v/>
      </c>
      <c r="P765" s="33">
        <f>(N765-O765)*(1-(1-H765)^(1/12))</f>
        <v/>
      </c>
      <c r="Q765" s="34">
        <f>X764+Z764</f>
        <v/>
      </c>
      <c r="R765" s="29">
        <f>(1-LoadPremRate)*E765</f>
        <v/>
      </c>
      <c r="S765" s="34">
        <f>Q765+R765</f>
        <v/>
      </c>
      <c r="T765" s="29">
        <f>MaintFeeRateAnn/12*S765</f>
        <v/>
      </c>
      <c r="U765" s="29">
        <f>MAX(SumAssured-S765,0)</f>
        <v/>
      </c>
      <c r="V765" s="35">
        <f>CoiMultiple*G765</f>
        <v/>
      </c>
      <c r="W765" s="34">
        <f>V765*U765</f>
        <v/>
      </c>
      <c r="X765" s="34">
        <f>S765-T765-W765</f>
        <v/>
      </c>
      <c r="Y765" s="36">
        <f>EXP((Mu-0.5*Sigma^2)/12+Sigma*SQRT(1/12)*INDEX(NormRand,ScenID,A765+1))-1</f>
        <v/>
      </c>
      <c r="Z765" s="34">
        <f>Y765*X765</f>
        <v/>
      </c>
      <c r="AA765" s="34">
        <f>X765+0.5*Z765</f>
        <v/>
      </c>
      <c r="AB765" s="34">
        <f>Q765*J765</f>
        <v/>
      </c>
      <c r="AC765" s="34">
        <f>Q765*L765</f>
        <v/>
      </c>
      <c r="AD765" s="34">
        <f>S765*N765</f>
        <v/>
      </c>
      <c r="AE765" s="34">
        <f>E765*N765</f>
        <v/>
      </c>
      <c r="AF765" s="34">
        <f>R765*N765</f>
        <v/>
      </c>
      <c r="AG765" s="29">
        <f>MAX(SumAssured,AA765)</f>
        <v/>
      </c>
      <c r="AH765" s="34">
        <f>AG765*O765</f>
        <v/>
      </c>
      <c r="AI765" s="34">
        <f>AA765*O765</f>
        <v/>
      </c>
      <c r="AJ765" s="34">
        <f>AA765*P765</f>
        <v/>
      </c>
      <c r="AK765" s="34">
        <f>I765*AA765*P765</f>
        <v/>
      </c>
      <c r="AL765" s="34">
        <f>AJ765-AK765</f>
        <v/>
      </c>
      <c r="AM765" s="34">
        <f>Q765*K765</f>
        <v/>
      </c>
      <c r="AN765" s="34">
        <f>AH765+AL765+AM765</f>
        <v/>
      </c>
      <c r="AO765" s="34">
        <f>(AG765-AA765)*O765</f>
        <v/>
      </c>
      <c r="AP765" s="34">
        <f>W765*N765</f>
        <v/>
      </c>
      <c r="AQ765" s="34">
        <f>T765*N765</f>
        <v/>
      </c>
      <c r="AR765" s="34">
        <f>Z765*J766+0.5*Z765*(O765+P765)</f>
        <v/>
      </c>
      <c r="AS765" s="30">
        <f>(1+InflationRate)^(A765/12)</f>
        <v/>
      </c>
      <c r="AT765" s="29">
        <f>ExpenseAcq*M765+N765*ExpenseMaint/12*AS765</f>
        <v/>
      </c>
      <c r="AU765" s="29">
        <f>CommissionRate*AE765</f>
        <v/>
      </c>
      <c r="AV765" s="34">
        <f>AB766-AB765</f>
        <v/>
      </c>
      <c r="AW765" s="34">
        <f>AE765+AR765-AN765-AT765-AU765-AV765</f>
        <v/>
      </c>
      <c r="AX765" s="29">
        <f>LoadPremRate*E765*N765+AK765+AQ765-AU765-AT765</f>
        <v/>
      </c>
      <c r="AY765" s="34">
        <f>AP765-AO765</f>
        <v/>
      </c>
      <c r="AZ765" s="37">
        <f>(AW765-AX765-AY765)/MAX(1,ABS(AW765),ABS(AX765),ABS(AY765))</f>
        <v/>
      </c>
      <c r="BA765" s="37">
        <f>IF(OR(K765&gt;0,K766&gt;0),0,(AC766-(AC765+AF765-AQ765-AP765+AR765-AI765-AJ765-AM765))/MAX(1,ABS(AC765),ABS(AC766)))</f>
        <v/>
      </c>
      <c r="BB765" s="35">
        <f>(1+INDEX(DiscRateAnn,INT(A765/12)+1))^(1/12)-1</f>
        <v/>
      </c>
      <c r="BC765" s="31">
        <f>(1+BB765)^-A765</f>
        <v/>
      </c>
      <c r="BD765" s="34">
        <f>AW765*BC765</f>
        <v/>
      </c>
    </row>
    <row r="766">
      <c r="A766" s="27">
        <f>A765+1</f>
        <v/>
      </c>
      <c r="B766" s="28">
        <f>Duration0+A766</f>
        <v/>
      </c>
      <c r="C766" s="27">
        <f>INT(B766/12)</f>
        <v/>
      </c>
      <c r="D766" s="28">
        <f>AgeAtEntry+C766</f>
        <v/>
      </c>
      <c r="E766" s="29">
        <f>IF(PremiumType="SINGLE",IF(B766=0,PremiumPPInput,0),IF(B766&lt;12*PolicyTerm,PremiumPPInput,0))</f>
        <v/>
      </c>
      <c r="F766" s="30">
        <f>INDEX(MortRates,MATCH(MIN(D766,120),MortAges,0),MAX(MIN(C766,5),0)+1)</f>
        <v/>
      </c>
      <c r="G766" s="31">
        <f>1-(1-F766)^(1/12)</f>
        <v/>
      </c>
      <c r="H766" s="32">
        <f>MAX(LapseBase-LapseStep*C766,LapseFloor)</f>
        <v/>
      </c>
      <c r="I766" s="32">
        <f>IF(HasSurrCharge,INDEX(SurrRates,MIN(C766,SurrDurMax)+1,MATCH(SurrChargeID,SurrTypes,0)),0)</f>
        <v/>
      </c>
      <c r="J766" s="33">
        <f>N765-P765-O765</f>
        <v/>
      </c>
      <c r="K766" s="30">
        <f>IF(B766=12*PolicyTerm,J766,0)</f>
        <v/>
      </c>
      <c r="L766" s="33">
        <f>J766-K766</f>
        <v/>
      </c>
      <c r="M766" s="30">
        <f>IF(B766=0,PolicyCount,0)</f>
        <v/>
      </c>
      <c r="N766" s="33">
        <f>L766+M766</f>
        <v/>
      </c>
      <c r="O766" s="31">
        <f>N766*G766</f>
        <v/>
      </c>
      <c r="P766" s="33">
        <f>(N766-O766)*(1-(1-H766)^(1/12))</f>
        <v/>
      </c>
      <c r="Q766" s="34">
        <f>X765+Z765</f>
        <v/>
      </c>
      <c r="R766" s="29">
        <f>(1-LoadPremRate)*E766</f>
        <v/>
      </c>
      <c r="S766" s="34">
        <f>Q766+R766</f>
        <v/>
      </c>
      <c r="T766" s="29">
        <f>MaintFeeRateAnn/12*S766</f>
        <v/>
      </c>
      <c r="U766" s="29">
        <f>MAX(SumAssured-S766,0)</f>
        <v/>
      </c>
      <c r="V766" s="35">
        <f>CoiMultiple*G766</f>
        <v/>
      </c>
      <c r="W766" s="34">
        <f>V766*U766</f>
        <v/>
      </c>
      <c r="X766" s="34">
        <f>S766-T766-W766</f>
        <v/>
      </c>
      <c r="Y766" s="36">
        <f>EXP((Mu-0.5*Sigma^2)/12+Sigma*SQRT(1/12)*INDEX(NormRand,ScenID,A766+1))-1</f>
        <v/>
      </c>
      <c r="Z766" s="34">
        <f>Y766*X766</f>
        <v/>
      </c>
      <c r="AA766" s="34">
        <f>X766+0.5*Z766</f>
        <v/>
      </c>
      <c r="AB766" s="34">
        <f>Q766*J766</f>
        <v/>
      </c>
      <c r="AC766" s="34">
        <f>Q766*L766</f>
        <v/>
      </c>
      <c r="AD766" s="34">
        <f>S766*N766</f>
        <v/>
      </c>
      <c r="AE766" s="34">
        <f>E766*N766</f>
        <v/>
      </c>
      <c r="AF766" s="34">
        <f>R766*N766</f>
        <v/>
      </c>
      <c r="AG766" s="29">
        <f>MAX(SumAssured,AA766)</f>
        <v/>
      </c>
      <c r="AH766" s="34">
        <f>AG766*O766</f>
        <v/>
      </c>
      <c r="AI766" s="34">
        <f>AA766*O766</f>
        <v/>
      </c>
      <c r="AJ766" s="34">
        <f>AA766*P766</f>
        <v/>
      </c>
      <c r="AK766" s="34">
        <f>I766*AA766*P766</f>
        <v/>
      </c>
      <c r="AL766" s="34">
        <f>AJ766-AK766</f>
        <v/>
      </c>
      <c r="AM766" s="34">
        <f>Q766*K766</f>
        <v/>
      </c>
      <c r="AN766" s="34">
        <f>AH766+AL766+AM766</f>
        <v/>
      </c>
      <c r="AO766" s="34">
        <f>(AG766-AA766)*O766</f>
        <v/>
      </c>
      <c r="AP766" s="34">
        <f>W766*N766</f>
        <v/>
      </c>
      <c r="AQ766" s="34">
        <f>T766*N766</f>
        <v/>
      </c>
      <c r="AR766" s="34">
        <f>Z766*J767+0.5*Z766*(O766+P766)</f>
        <v/>
      </c>
      <c r="AS766" s="30">
        <f>(1+InflationRate)^(A766/12)</f>
        <v/>
      </c>
      <c r="AT766" s="29">
        <f>ExpenseAcq*M766+N766*ExpenseMaint/12*AS766</f>
        <v/>
      </c>
      <c r="AU766" s="29">
        <f>CommissionRate*AE766</f>
        <v/>
      </c>
      <c r="AV766" s="34">
        <f>AB767-AB766</f>
        <v/>
      </c>
      <c r="AW766" s="34">
        <f>AE766+AR766-AN766-AT766-AU766-AV766</f>
        <v/>
      </c>
      <c r="AX766" s="29">
        <f>LoadPremRate*E766*N766+AK766+AQ766-AU766-AT766</f>
        <v/>
      </c>
      <c r="AY766" s="34">
        <f>AP766-AO766</f>
        <v/>
      </c>
      <c r="AZ766" s="37">
        <f>(AW766-AX766-AY766)/MAX(1,ABS(AW766),ABS(AX766),ABS(AY766))</f>
        <v/>
      </c>
      <c r="BA766" s="37">
        <f>IF(OR(K766&gt;0,K767&gt;0),0,(AC767-(AC766+AF766-AQ766-AP766+AR766-AI766-AJ766-AM766))/MAX(1,ABS(AC766),ABS(AC767)))</f>
        <v/>
      </c>
      <c r="BB766" s="35">
        <f>(1+INDEX(DiscRateAnn,INT(A766/12)+1))^(1/12)-1</f>
        <v/>
      </c>
      <c r="BC766" s="31">
        <f>(1+BB766)^-A766</f>
        <v/>
      </c>
      <c r="BD766" s="34">
        <f>AW766*BC766</f>
        <v/>
      </c>
    </row>
    <row r="767">
      <c r="A767" s="27">
        <f>A766+1</f>
        <v/>
      </c>
      <c r="B767" s="28">
        <f>Duration0+A767</f>
        <v/>
      </c>
      <c r="C767" s="27">
        <f>INT(B767/12)</f>
        <v/>
      </c>
      <c r="D767" s="28">
        <f>AgeAtEntry+C767</f>
        <v/>
      </c>
      <c r="E767" s="29">
        <f>IF(PremiumType="SINGLE",IF(B767=0,PremiumPPInput,0),IF(B767&lt;12*PolicyTerm,PremiumPPInput,0))</f>
        <v/>
      </c>
      <c r="F767" s="30">
        <f>INDEX(MortRates,MATCH(MIN(D767,120),MortAges,0),MAX(MIN(C767,5),0)+1)</f>
        <v/>
      </c>
      <c r="G767" s="31">
        <f>1-(1-F767)^(1/12)</f>
        <v/>
      </c>
      <c r="H767" s="32">
        <f>MAX(LapseBase-LapseStep*C767,LapseFloor)</f>
        <v/>
      </c>
      <c r="I767" s="32">
        <f>IF(HasSurrCharge,INDEX(SurrRates,MIN(C767,SurrDurMax)+1,MATCH(SurrChargeID,SurrTypes,0)),0)</f>
        <v/>
      </c>
      <c r="J767" s="33">
        <f>N766-P766-O766</f>
        <v/>
      </c>
      <c r="K767" s="30">
        <f>IF(B767=12*PolicyTerm,J767,0)</f>
        <v/>
      </c>
      <c r="L767" s="33">
        <f>J767-K767</f>
        <v/>
      </c>
      <c r="M767" s="30">
        <f>IF(B767=0,PolicyCount,0)</f>
        <v/>
      </c>
      <c r="N767" s="33">
        <f>L767+M767</f>
        <v/>
      </c>
      <c r="O767" s="31">
        <f>N767*G767</f>
        <v/>
      </c>
      <c r="P767" s="33">
        <f>(N767-O767)*(1-(1-H767)^(1/12))</f>
        <v/>
      </c>
      <c r="Q767" s="34">
        <f>X766+Z766</f>
        <v/>
      </c>
      <c r="R767" s="29">
        <f>(1-LoadPremRate)*E767</f>
        <v/>
      </c>
      <c r="S767" s="34">
        <f>Q767+R767</f>
        <v/>
      </c>
      <c r="T767" s="29">
        <f>MaintFeeRateAnn/12*S767</f>
        <v/>
      </c>
      <c r="U767" s="29">
        <f>MAX(SumAssured-S767,0)</f>
        <v/>
      </c>
      <c r="V767" s="35">
        <f>CoiMultiple*G767</f>
        <v/>
      </c>
      <c r="W767" s="34">
        <f>V767*U767</f>
        <v/>
      </c>
      <c r="X767" s="34">
        <f>S767-T767-W767</f>
        <v/>
      </c>
      <c r="Y767" s="36">
        <f>EXP((Mu-0.5*Sigma^2)/12+Sigma*SQRT(1/12)*INDEX(NormRand,ScenID,A767+1))-1</f>
        <v/>
      </c>
      <c r="Z767" s="34">
        <f>Y767*X767</f>
        <v/>
      </c>
      <c r="AA767" s="34">
        <f>X767+0.5*Z767</f>
        <v/>
      </c>
      <c r="AB767" s="34">
        <f>Q767*J767</f>
        <v/>
      </c>
      <c r="AC767" s="34">
        <f>Q767*L767</f>
        <v/>
      </c>
      <c r="AD767" s="34">
        <f>S767*N767</f>
        <v/>
      </c>
      <c r="AE767" s="34">
        <f>E767*N767</f>
        <v/>
      </c>
      <c r="AF767" s="34">
        <f>R767*N767</f>
        <v/>
      </c>
      <c r="AG767" s="29">
        <f>MAX(SumAssured,AA767)</f>
        <v/>
      </c>
      <c r="AH767" s="34">
        <f>AG767*O767</f>
        <v/>
      </c>
      <c r="AI767" s="34">
        <f>AA767*O767</f>
        <v/>
      </c>
      <c r="AJ767" s="34">
        <f>AA767*P767</f>
        <v/>
      </c>
      <c r="AK767" s="34">
        <f>I767*AA767*P767</f>
        <v/>
      </c>
      <c r="AL767" s="34">
        <f>AJ767-AK767</f>
        <v/>
      </c>
      <c r="AM767" s="34">
        <f>Q767*K767</f>
        <v/>
      </c>
      <c r="AN767" s="34">
        <f>AH767+AL767+AM767</f>
        <v/>
      </c>
      <c r="AO767" s="34">
        <f>(AG767-AA767)*O767</f>
        <v/>
      </c>
      <c r="AP767" s="34">
        <f>W767*N767</f>
        <v/>
      </c>
      <c r="AQ767" s="34">
        <f>T767*N767</f>
        <v/>
      </c>
      <c r="AR767" s="34">
        <f>Z767*J768+0.5*Z767*(O767+P767)</f>
        <v/>
      </c>
      <c r="AS767" s="30">
        <f>(1+InflationRate)^(A767/12)</f>
        <v/>
      </c>
      <c r="AT767" s="29">
        <f>ExpenseAcq*M767+N767*ExpenseMaint/12*AS767</f>
        <v/>
      </c>
      <c r="AU767" s="29">
        <f>CommissionRate*AE767</f>
        <v/>
      </c>
      <c r="AV767" s="34">
        <f>AB768-AB767</f>
        <v/>
      </c>
      <c r="AW767" s="34">
        <f>AE767+AR767-AN767-AT767-AU767-AV767</f>
        <v/>
      </c>
      <c r="AX767" s="29">
        <f>LoadPremRate*E767*N767+AK767+AQ767-AU767-AT767</f>
        <v/>
      </c>
      <c r="AY767" s="34">
        <f>AP767-AO767</f>
        <v/>
      </c>
      <c r="AZ767" s="37">
        <f>(AW767-AX767-AY767)/MAX(1,ABS(AW767),ABS(AX767),ABS(AY767))</f>
        <v/>
      </c>
      <c r="BA767" s="37">
        <f>IF(OR(K767&gt;0,K768&gt;0),0,(AC768-(AC767+AF767-AQ767-AP767+AR767-AI767-AJ767-AM767))/MAX(1,ABS(AC767),ABS(AC768)))</f>
        <v/>
      </c>
      <c r="BB767" s="35">
        <f>(1+INDEX(DiscRateAnn,INT(A767/12)+1))^(1/12)-1</f>
        <v/>
      </c>
      <c r="BC767" s="31">
        <f>(1+BB767)^-A767</f>
        <v/>
      </c>
      <c r="BD767" s="34">
        <f>AW767*BC767</f>
        <v/>
      </c>
    </row>
    <row r="768">
      <c r="A768" s="27">
        <f>A767+1</f>
        <v/>
      </c>
      <c r="B768" s="28">
        <f>Duration0+A768</f>
        <v/>
      </c>
      <c r="C768" s="27">
        <f>INT(B768/12)</f>
        <v/>
      </c>
      <c r="D768" s="28">
        <f>AgeAtEntry+C768</f>
        <v/>
      </c>
      <c r="E768" s="29">
        <f>IF(PremiumType="SINGLE",IF(B768=0,PremiumPPInput,0),IF(B768&lt;12*PolicyTerm,PremiumPPInput,0))</f>
        <v/>
      </c>
      <c r="F768" s="30">
        <f>INDEX(MortRates,MATCH(MIN(D768,120),MortAges,0),MAX(MIN(C768,5),0)+1)</f>
        <v/>
      </c>
      <c r="G768" s="31">
        <f>1-(1-F768)^(1/12)</f>
        <v/>
      </c>
      <c r="H768" s="32">
        <f>MAX(LapseBase-LapseStep*C768,LapseFloor)</f>
        <v/>
      </c>
      <c r="I768" s="32">
        <f>IF(HasSurrCharge,INDEX(SurrRates,MIN(C768,SurrDurMax)+1,MATCH(SurrChargeID,SurrTypes,0)),0)</f>
        <v/>
      </c>
      <c r="J768" s="33">
        <f>N767-P767-O767</f>
        <v/>
      </c>
      <c r="K768" s="30">
        <f>IF(B768=12*PolicyTerm,J768,0)</f>
        <v/>
      </c>
      <c r="L768" s="33">
        <f>J768-K768</f>
        <v/>
      </c>
      <c r="M768" s="30">
        <f>IF(B768=0,PolicyCount,0)</f>
        <v/>
      </c>
      <c r="N768" s="33">
        <f>L768+M768</f>
        <v/>
      </c>
      <c r="O768" s="31">
        <f>N768*G768</f>
        <v/>
      </c>
      <c r="P768" s="33">
        <f>(N768-O768)*(1-(1-H768)^(1/12))</f>
        <v/>
      </c>
      <c r="Q768" s="34">
        <f>X767+Z767</f>
        <v/>
      </c>
      <c r="R768" s="29">
        <f>(1-LoadPremRate)*E768</f>
        <v/>
      </c>
      <c r="S768" s="34">
        <f>Q768+R768</f>
        <v/>
      </c>
      <c r="T768" s="29">
        <f>MaintFeeRateAnn/12*S768</f>
        <v/>
      </c>
      <c r="U768" s="29">
        <f>MAX(SumAssured-S768,0)</f>
        <v/>
      </c>
      <c r="V768" s="35">
        <f>CoiMultiple*G768</f>
        <v/>
      </c>
      <c r="W768" s="34">
        <f>V768*U768</f>
        <v/>
      </c>
      <c r="X768" s="34">
        <f>S768-T768-W768</f>
        <v/>
      </c>
      <c r="Y768" s="36">
        <f>EXP((Mu-0.5*Sigma^2)/12+Sigma*SQRT(1/12)*INDEX(NormRand,ScenID,A768+1))-1</f>
        <v/>
      </c>
      <c r="Z768" s="34">
        <f>Y768*X768</f>
        <v/>
      </c>
      <c r="AA768" s="34">
        <f>X768+0.5*Z768</f>
        <v/>
      </c>
      <c r="AB768" s="34">
        <f>Q768*J768</f>
        <v/>
      </c>
      <c r="AC768" s="34">
        <f>Q768*L768</f>
        <v/>
      </c>
      <c r="AD768" s="34">
        <f>S768*N768</f>
        <v/>
      </c>
      <c r="AE768" s="34">
        <f>E768*N768</f>
        <v/>
      </c>
      <c r="AF768" s="34">
        <f>R768*N768</f>
        <v/>
      </c>
      <c r="AG768" s="29">
        <f>MAX(SumAssured,AA768)</f>
        <v/>
      </c>
      <c r="AH768" s="34">
        <f>AG768*O768</f>
        <v/>
      </c>
      <c r="AI768" s="34">
        <f>AA768*O768</f>
        <v/>
      </c>
      <c r="AJ768" s="34">
        <f>AA768*P768</f>
        <v/>
      </c>
      <c r="AK768" s="34">
        <f>I768*AA768*P768</f>
        <v/>
      </c>
      <c r="AL768" s="34">
        <f>AJ768-AK768</f>
        <v/>
      </c>
      <c r="AM768" s="34">
        <f>Q768*K768</f>
        <v/>
      </c>
      <c r="AN768" s="34">
        <f>AH768+AL768+AM768</f>
        <v/>
      </c>
      <c r="AO768" s="34">
        <f>(AG768-AA768)*O768</f>
        <v/>
      </c>
      <c r="AP768" s="34">
        <f>W768*N768</f>
        <v/>
      </c>
      <c r="AQ768" s="34">
        <f>T768*N768</f>
        <v/>
      </c>
      <c r="AR768" s="34">
        <f>Z768*J769+0.5*Z768*(O768+P768)</f>
        <v/>
      </c>
      <c r="AS768" s="30">
        <f>(1+InflationRate)^(A768/12)</f>
        <v/>
      </c>
      <c r="AT768" s="29">
        <f>ExpenseAcq*M768+N768*ExpenseMaint/12*AS768</f>
        <v/>
      </c>
      <c r="AU768" s="29">
        <f>CommissionRate*AE768</f>
        <v/>
      </c>
      <c r="AV768" s="34">
        <f>AB769-AB768</f>
        <v/>
      </c>
      <c r="AW768" s="34">
        <f>AE768+AR768-AN768-AT768-AU768-AV768</f>
        <v/>
      </c>
      <c r="AX768" s="29">
        <f>LoadPremRate*E768*N768+AK768+AQ768-AU768-AT768</f>
        <v/>
      </c>
      <c r="AY768" s="34">
        <f>AP768-AO768</f>
        <v/>
      </c>
      <c r="AZ768" s="37">
        <f>(AW768-AX768-AY768)/MAX(1,ABS(AW768),ABS(AX768),ABS(AY768))</f>
        <v/>
      </c>
      <c r="BA768" s="37">
        <f>IF(OR(K768&gt;0,K769&gt;0),0,(AC769-(AC768+AF768-AQ768-AP768+AR768-AI768-AJ768-AM768))/MAX(1,ABS(AC768),ABS(AC769)))</f>
        <v/>
      </c>
      <c r="BB768" s="35">
        <f>(1+INDEX(DiscRateAnn,INT(A768/12)+1))^(1/12)-1</f>
        <v/>
      </c>
      <c r="BC768" s="31">
        <f>(1+BB768)^-A768</f>
        <v/>
      </c>
      <c r="BD768" s="34">
        <f>AW768*BC768</f>
        <v/>
      </c>
    </row>
    <row r="769">
      <c r="A769" s="27">
        <f>A768+1</f>
        <v/>
      </c>
      <c r="B769" s="28">
        <f>Duration0+A769</f>
        <v/>
      </c>
      <c r="C769" s="27">
        <f>INT(B769/12)</f>
        <v/>
      </c>
      <c r="D769" s="28">
        <f>AgeAtEntry+C769</f>
        <v/>
      </c>
      <c r="E769" s="29">
        <f>IF(PremiumType="SINGLE",IF(B769=0,PremiumPPInput,0),IF(B769&lt;12*PolicyTerm,PremiumPPInput,0))</f>
        <v/>
      </c>
      <c r="F769" s="30">
        <f>INDEX(MortRates,MATCH(MIN(D769,120),MortAges,0),MAX(MIN(C769,5),0)+1)</f>
        <v/>
      </c>
      <c r="G769" s="31">
        <f>1-(1-F769)^(1/12)</f>
        <v/>
      </c>
      <c r="H769" s="32">
        <f>MAX(LapseBase-LapseStep*C769,LapseFloor)</f>
        <v/>
      </c>
      <c r="I769" s="32">
        <f>IF(HasSurrCharge,INDEX(SurrRates,MIN(C769,SurrDurMax)+1,MATCH(SurrChargeID,SurrTypes,0)),0)</f>
        <v/>
      </c>
      <c r="J769" s="33">
        <f>N768-P768-O768</f>
        <v/>
      </c>
      <c r="K769" s="30">
        <f>IF(B769=12*PolicyTerm,J769,0)</f>
        <v/>
      </c>
      <c r="L769" s="33">
        <f>J769-K769</f>
        <v/>
      </c>
      <c r="M769" s="30">
        <f>IF(B769=0,PolicyCount,0)</f>
        <v/>
      </c>
      <c r="N769" s="33">
        <f>L769+M769</f>
        <v/>
      </c>
      <c r="O769" s="31">
        <f>N769*G769</f>
        <v/>
      </c>
      <c r="P769" s="33">
        <f>(N769-O769)*(1-(1-H769)^(1/12))</f>
        <v/>
      </c>
      <c r="Q769" s="34">
        <f>X768+Z768</f>
        <v/>
      </c>
      <c r="R769" s="29">
        <f>(1-LoadPremRate)*E769</f>
        <v/>
      </c>
      <c r="S769" s="34">
        <f>Q769+R769</f>
        <v/>
      </c>
      <c r="T769" s="29">
        <f>MaintFeeRateAnn/12*S769</f>
        <v/>
      </c>
      <c r="U769" s="29">
        <f>MAX(SumAssured-S769,0)</f>
        <v/>
      </c>
      <c r="V769" s="35">
        <f>CoiMultiple*G769</f>
        <v/>
      </c>
      <c r="W769" s="34">
        <f>V769*U769</f>
        <v/>
      </c>
      <c r="X769" s="34">
        <f>S769-T769-W769</f>
        <v/>
      </c>
      <c r="Y769" s="36">
        <f>EXP((Mu-0.5*Sigma^2)/12+Sigma*SQRT(1/12)*INDEX(NormRand,ScenID,A769+1))-1</f>
        <v/>
      </c>
      <c r="Z769" s="34">
        <f>Y769*X769</f>
        <v/>
      </c>
      <c r="AA769" s="34">
        <f>X769+0.5*Z769</f>
        <v/>
      </c>
      <c r="AB769" s="34">
        <f>Q769*J769</f>
        <v/>
      </c>
      <c r="AC769" s="34">
        <f>Q769*L769</f>
        <v/>
      </c>
      <c r="AD769" s="34">
        <f>S769*N769</f>
        <v/>
      </c>
      <c r="AE769" s="34">
        <f>E769*N769</f>
        <v/>
      </c>
      <c r="AF769" s="34">
        <f>R769*N769</f>
        <v/>
      </c>
      <c r="AG769" s="29">
        <f>MAX(SumAssured,AA769)</f>
        <v/>
      </c>
      <c r="AH769" s="34">
        <f>AG769*O769</f>
        <v/>
      </c>
      <c r="AI769" s="34">
        <f>AA769*O769</f>
        <v/>
      </c>
      <c r="AJ769" s="34">
        <f>AA769*P769</f>
        <v/>
      </c>
      <c r="AK769" s="34">
        <f>I769*AA769*P769</f>
        <v/>
      </c>
      <c r="AL769" s="34">
        <f>AJ769-AK769</f>
        <v/>
      </c>
      <c r="AM769" s="34">
        <f>Q769*K769</f>
        <v/>
      </c>
      <c r="AN769" s="34">
        <f>AH769+AL769+AM769</f>
        <v/>
      </c>
      <c r="AO769" s="34">
        <f>(AG769-AA769)*O769</f>
        <v/>
      </c>
      <c r="AP769" s="34">
        <f>W769*N769</f>
        <v/>
      </c>
      <c r="AQ769" s="34">
        <f>T769*N769</f>
        <v/>
      </c>
      <c r="AR769" s="34">
        <f>Z769*J770+0.5*Z769*(O769+P769)</f>
        <v/>
      </c>
      <c r="AS769" s="30">
        <f>(1+InflationRate)^(A769/12)</f>
        <v/>
      </c>
      <c r="AT769" s="29">
        <f>ExpenseAcq*M769+N769*ExpenseMaint/12*AS769</f>
        <v/>
      </c>
      <c r="AU769" s="29">
        <f>CommissionRate*AE769</f>
        <v/>
      </c>
      <c r="AV769" s="34">
        <f>AB770-AB769</f>
        <v/>
      </c>
      <c r="AW769" s="34">
        <f>AE769+AR769-AN769-AT769-AU769-AV769</f>
        <v/>
      </c>
      <c r="AX769" s="29">
        <f>LoadPremRate*E769*N769+AK769+AQ769-AU769-AT769</f>
        <v/>
      </c>
      <c r="AY769" s="34">
        <f>AP769-AO769</f>
        <v/>
      </c>
      <c r="AZ769" s="37">
        <f>(AW769-AX769-AY769)/MAX(1,ABS(AW769),ABS(AX769),ABS(AY769))</f>
        <v/>
      </c>
      <c r="BA769" s="37">
        <f>IF(OR(K769&gt;0,K770&gt;0),0,(AC770-(AC769+AF769-AQ769-AP769+AR769-AI769-AJ769-AM769))/MAX(1,ABS(AC769),ABS(AC770)))</f>
        <v/>
      </c>
      <c r="BB769" s="35">
        <f>(1+INDEX(DiscRateAnn,INT(A769/12)+1))^(1/12)-1</f>
        <v/>
      </c>
      <c r="BC769" s="31">
        <f>(1+BB769)^-A769</f>
        <v/>
      </c>
      <c r="BD769" s="34">
        <f>AW769*BC769</f>
        <v/>
      </c>
    </row>
    <row r="770">
      <c r="A770" s="27">
        <f>A769+1</f>
        <v/>
      </c>
      <c r="B770" s="28">
        <f>Duration0+A770</f>
        <v/>
      </c>
      <c r="C770" s="27">
        <f>INT(B770/12)</f>
        <v/>
      </c>
      <c r="D770" s="28">
        <f>AgeAtEntry+C770</f>
        <v/>
      </c>
      <c r="E770" s="29">
        <f>IF(PremiumType="SINGLE",IF(B770=0,PremiumPPInput,0),IF(B770&lt;12*PolicyTerm,PremiumPPInput,0))</f>
        <v/>
      </c>
      <c r="F770" s="30">
        <f>INDEX(MortRates,MATCH(MIN(D770,120),MortAges,0),MAX(MIN(C770,5),0)+1)</f>
        <v/>
      </c>
      <c r="G770" s="31">
        <f>1-(1-F770)^(1/12)</f>
        <v/>
      </c>
      <c r="H770" s="32">
        <f>MAX(LapseBase-LapseStep*C770,LapseFloor)</f>
        <v/>
      </c>
      <c r="I770" s="32">
        <f>IF(HasSurrCharge,INDEX(SurrRates,MIN(C770,SurrDurMax)+1,MATCH(SurrChargeID,SurrTypes,0)),0)</f>
        <v/>
      </c>
      <c r="J770" s="33">
        <f>N769-P769-O769</f>
        <v/>
      </c>
      <c r="K770" s="30">
        <f>IF(B770=12*PolicyTerm,J770,0)</f>
        <v/>
      </c>
      <c r="L770" s="33">
        <f>J770-K770</f>
        <v/>
      </c>
      <c r="M770" s="30">
        <f>IF(B770=0,PolicyCount,0)</f>
        <v/>
      </c>
      <c r="N770" s="33">
        <f>L770+M770</f>
        <v/>
      </c>
      <c r="O770" s="31">
        <f>N770*G770</f>
        <v/>
      </c>
      <c r="P770" s="33">
        <f>(N770-O770)*(1-(1-H770)^(1/12))</f>
        <v/>
      </c>
      <c r="Q770" s="34">
        <f>X769+Z769</f>
        <v/>
      </c>
      <c r="R770" s="29">
        <f>(1-LoadPremRate)*E770</f>
        <v/>
      </c>
      <c r="S770" s="34">
        <f>Q770+R770</f>
        <v/>
      </c>
      <c r="T770" s="29">
        <f>MaintFeeRateAnn/12*S770</f>
        <v/>
      </c>
      <c r="U770" s="29">
        <f>MAX(SumAssured-S770,0)</f>
        <v/>
      </c>
      <c r="V770" s="35">
        <f>CoiMultiple*G770</f>
        <v/>
      </c>
      <c r="W770" s="34">
        <f>V770*U770</f>
        <v/>
      </c>
      <c r="X770" s="34">
        <f>S770-T770-W770</f>
        <v/>
      </c>
      <c r="Y770" s="36">
        <f>EXP((Mu-0.5*Sigma^2)/12+Sigma*SQRT(1/12)*INDEX(NormRand,ScenID,A770+1))-1</f>
        <v/>
      </c>
      <c r="Z770" s="34">
        <f>Y770*X770</f>
        <v/>
      </c>
      <c r="AA770" s="34">
        <f>X770+0.5*Z770</f>
        <v/>
      </c>
      <c r="AB770" s="34">
        <f>Q770*J770</f>
        <v/>
      </c>
      <c r="AC770" s="34">
        <f>Q770*L770</f>
        <v/>
      </c>
      <c r="AD770" s="34">
        <f>S770*N770</f>
        <v/>
      </c>
      <c r="AE770" s="34">
        <f>E770*N770</f>
        <v/>
      </c>
      <c r="AF770" s="34">
        <f>R770*N770</f>
        <v/>
      </c>
      <c r="AG770" s="29">
        <f>MAX(SumAssured,AA770)</f>
        <v/>
      </c>
      <c r="AH770" s="34">
        <f>AG770*O770</f>
        <v/>
      </c>
      <c r="AI770" s="34">
        <f>AA770*O770</f>
        <v/>
      </c>
      <c r="AJ770" s="34">
        <f>AA770*P770</f>
        <v/>
      </c>
      <c r="AK770" s="34">
        <f>I770*AA770*P770</f>
        <v/>
      </c>
      <c r="AL770" s="34">
        <f>AJ770-AK770</f>
        <v/>
      </c>
      <c r="AM770" s="34">
        <f>Q770*K770</f>
        <v/>
      </c>
      <c r="AN770" s="34">
        <f>AH770+AL770+AM770</f>
        <v/>
      </c>
      <c r="AO770" s="34">
        <f>(AG770-AA770)*O770</f>
        <v/>
      </c>
      <c r="AP770" s="34">
        <f>W770*N770</f>
        <v/>
      </c>
      <c r="AQ770" s="34">
        <f>T770*N770</f>
        <v/>
      </c>
      <c r="AR770" s="34">
        <f>Z770*J771+0.5*Z770*(O770+P770)</f>
        <v/>
      </c>
      <c r="AS770" s="30">
        <f>(1+InflationRate)^(A770/12)</f>
        <v/>
      </c>
      <c r="AT770" s="29">
        <f>ExpenseAcq*M770+N770*ExpenseMaint/12*AS770</f>
        <v/>
      </c>
      <c r="AU770" s="29">
        <f>CommissionRate*AE770</f>
        <v/>
      </c>
      <c r="AV770" s="34">
        <f>AB771-AB770</f>
        <v/>
      </c>
      <c r="AW770" s="34">
        <f>AE770+AR770-AN770-AT770-AU770-AV770</f>
        <v/>
      </c>
      <c r="AX770" s="29">
        <f>LoadPremRate*E770*N770+AK770+AQ770-AU770-AT770</f>
        <v/>
      </c>
      <c r="AY770" s="34">
        <f>AP770-AO770</f>
        <v/>
      </c>
      <c r="AZ770" s="37">
        <f>(AW770-AX770-AY770)/MAX(1,ABS(AW770),ABS(AX770),ABS(AY770))</f>
        <v/>
      </c>
      <c r="BA770" s="37">
        <f>IF(OR(K770&gt;0,K771&gt;0),0,(AC771-(AC770+AF770-AQ770-AP770+AR770-AI770-AJ770-AM770))/MAX(1,ABS(AC770),ABS(AC771)))</f>
        <v/>
      </c>
      <c r="BB770" s="35">
        <f>(1+INDEX(DiscRateAnn,INT(A770/12)+1))^(1/12)-1</f>
        <v/>
      </c>
      <c r="BC770" s="31">
        <f>(1+BB770)^-A770</f>
        <v/>
      </c>
      <c r="BD770" s="34">
        <f>AW770*BC770</f>
        <v/>
      </c>
    </row>
    <row r="771">
      <c r="A771" s="27">
        <f>A770+1</f>
        <v/>
      </c>
      <c r="B771" s="28">
        <f>Duration0+A771</f>
        <v/>
      </c>
      <c r="C771" s="27">
        <f>INT(B771/12)</f>
        <v/>
      </c>
      <c r="D771" s="28">
        <f>AgeAtEntry+C771</f>
        <v/>
      </c>
      <c r="E771" s="29">
        <f>IF(PremiumType="SINGLE",IF(B771=0,PremiumPPInput,0),IF(B771&lt;12*PolicyTerm,PremiumPPInput,0))</f>
        <v/>
      </c>
      <c r="F771" s="30">
        <f>INDEX(MortRates,MATCH(MIN(D771,120),MortAges,0),MAX(MIN(C771,5),0)+1)</f>
        <v/>
      </c>
      <c r="G771" s="31">
        <f>1-(1-F771)^(1/12)</f>
        <v/>
      </c>
      <c r="H771" s="32">
        <f>MAX(LapseBase-LapseStep*C771,LapseFloor)</f>
        <v/>
      </c>
      <c r="I771" s="32">
        <f>IF(HasSurrCharge,INDEX(SurrRates,MIN(C771,SurrDurMax)+1,MATCH(SurrChargeID,SurrTypes,0)),0)</f>
        <v/>
      </c>
      <c r="J771" s="33">
        <f>N770-P770-O770</f>
        <v/>
      </c>
      <c r="K771" s="30">
        <f>IF(B771=12*PolicyTerm,J771,0)</f>
        <v/>
      </c>
      <c r="L771" s="33">
        <f>J771-K771</f>
        <v/>
      </c>
      <c r="M771" s="30">
        <f>IF(B771=0,PolicyCount,0)</f>
        <v/>
      </c>
      <c r="N771" s="33">
        <f>L771+M771</f>
        <v/>
      </c>
      <c r="O771" s="31">
        <f>N771*G771</f>
        <v/>
      </c>
      <c r="P771" s="33">
        <f>(N771-O771)*(1-(1-H771)^(1/12))</f>
        <v/>
      </c>
      <c r="Q771" s="34">
        <f>X770+Z770</f>
        <v/>
      </c>
      <c r="R771" s="29">
        <f>(1-LoadPremRate)*E771</f>
        <v/>
      </c>
      <c r="S771" s="34">
        <f>Q771+R771</f>
        <v/>
      </c>
      <c r="T771" s="29">
        <f>MaintFeeRateAnn/12*S771</f>
        <v/>
      </c>
      <c r="U771" s="29">
        <f>MAX(SumAssured-S771,0)</f>
        <v/>
      </c>
      <c r="V771" s="35">
        <f>CoiMultiple*G771</f>
        <v/>
      </c>
      <c r="W771" s="34">
        <f>V771*U771</f>
        <v/>
      </c>
      <c r="X771" s="34">
        <f>S771-T771-W771</f>
        <v/>
      </c>
      <c r="Y771" s="36">
        <f>EXP((Mu-0.5*Sigma^2)/12+Sigma*SQRT(1/12)*INDEX(NormRand,ScenID,A771+1))-1</f>
        <v/>
      </c>
      <c r="Z771" s="34">
        <f>Y771*X771</f>
        <v/>
      </c>
      <c r="AA771" s="34">
        <f>X771+0.5*Z771</f>
        <v/>
      </c>
      <c r="AB771" s="34">
        <f>Q771*J771</f>
        <v/>
      </c>
      <c r="AC771" s="34">
        <f>Q771*L771</f>
        <v/>
      </c>
      <c r="AD771" s="34">
        <f>S771*N771</f>
        <v/>
      </c>
      <c r="AE771" s="34">
        <f>E771*N771</f>
        <v/>
      </c>
      <c r="AF771" s="34">
        <f>R771*N771</f>
        <v/>
      </c>
      <c r="AG771" s="29">
        <f>MAX(SumAssured,AA771)</f>
        <v/>
      </c>
      <c r="AH771" s="34">
        <f>AG771*O771</f>
        <v/>
      </c>
      <c r="AI771" s="34">
        <f>AA771*O771</f>
        <v/>
      </c>
      <c r="AJ771" s="34">
        <f>AA771*P771</f>
        <v/>
      </c>
      <c r="AK771" s="34">
        <f>I771*AA771*P771</f>
        <v/>
      </c>
      <c r="AL771" s="34">
        <f>AJ771-AK771</f>
        <v/>
      </c>
      <c r="AM771" s="34">
        <f>Q771*K771</f>
        <v/>
      </c>
      <c r="AN771" s="34">
        <f>AH771+AL771+AM771</f>
        <v/>
      </c>
      <c r="AO771" s="34">
        <f>(AG771-AA771)*O771</f>
        <v/>
      </c>
      <c r="AP771" s="34">
        <f>W771*N771</f>
        <v/>
      </c>
      <c r="AQ771" s="34">
        <f>T771*N771</f>
        <v/>
      </c>
      <c r="AR771" s="34">
        <f>Z771*J772+0.5*Z771*(O771+P771)</f>
        <v/>
      </c>
      <c r="AS771" s="30">
        <f>(1+InflationRate)^(A771/12)</f>
        <v/>
      </c>
      <c r="AT771" s="29">
        <f>ExpenseAcq*M771+N771*ExpenseMaint/12*AS771</f>
        <v/>
      </c>
      <c r="AU771" s="29">
        <f>CommissionRate*AE771</f>
        <v/>
      </c>
      <c r="AV771" s="34">
        <f>AB772-AB771</f>
        <v/>
      </c>
      <c r="AW771" s="34">
        <f>AE771+AR771-AN771-AT771-AU771-AV771</f>
        <v/>
      </c>
      <c r="AX771" s="29">
        <f>LoadPremRate*E771*N771+AK771+AQ771-AU771-AT771</f>
        <v/>
      </c>
      <c r="AY771" s="34">
        <f>AP771-AO771</f>
        <v/>
      </c>
      <c r="AZ771" s="37">
        <f>(AW771-AX771-AY771)/MAX(1,ABS(AW771),ABS(AX771),ABS(AY771))</f>
        <v/>
      </c>
      <c r="BA771" s="37">
        <f>IF(OR(K771&gt;0,K772&gt;0),0,(AC772-(AC771+AF771-AQ771-AP771+AR771-AI771-AJ771-AM771))/MAX(1,ABS(AC771),ABS(AC772)))</f>
        <v/>
      </c>
      <c r="BB771" s="35">
        <f>(1+INDEX(DiscRateAnn,INT(A771/12)+1))^(1/12)-1</f>
        <v/>
      </c>
      <c r="BC771" s="31">
        <f>(1+BB771)^-A771</f>
        <v/>
      </c>
      <c r="BD771" s="34">
        <f>AW771*BC771</f>
        <v/>
      </c>
    </row>
    <row r="772">
      <c r="A772" s="27">
        <f>A771+1</f>
        <v/>
      </c>
      <c r="B772" s="28">
        <f>Duration0+A772</f>
        <v/>
      </c>
      <c r="C772" s="27">
        <f>INT(B772/12)</f>
        <v/>
      </c>
      <c r="D772" s="28">
        <f>AgeAtEntry+C772</f>
        <v/>
      </c>
      <c r="E772" s="29">
        <f>IF(PremiumType="SINGLE",IF(B772=0,PremiumPPInput,0),IF(B772&lt;12*PolicyTerm,PremiumPPInput,0))</f>
        <v/>
      </c>
      <c r="F772" s="30">
        <f>INDEX(MortRates,MATCH(MIN(D772,120),MortAges,0),MAX(MIN(C772,5),0)+1)</f>
        <v/>
      </c>
      <c r="G772" s="31">
        <f>1-(1-F772)^(1/12)</f>
        <v/>
      </c>
      <c r="H772" s="32">
        <f>MAX(LapseBase-LapseStep*C772,LapseFloor)</f>
        <v/>
      </c>
      <c r="I772" s="32">
        <f>IF(HasSurrCharge,INDEX(SurrRates,MIN(C772,SurrDurMax)+1,MATCH(SurrChargeID,SurrTypes,0)),0)</f>
        <v/>
      </c>
      <c r="J772" s="33">
        <f>N771-P771-O771</f>
        <v/>
      </c>
      <c r="K772" s="30">
        <f>IF(B772=12*PolicyTerm,J772,0)</f>
        <v/>
      </c>
      <c r="L772" s="33">
        <f>J772-K772</f>
        <v/>
      </c>
      <c r="M772" s="30">
        <f>IF(B772=0,PolicyCount,0)</f>
        <v/>
      </c>
      <c r="N772" s="33">
        <f>L772+M772</f>
        <v/>
      </c>
      <c r="O772" s="31">
        <f>N772*G772</f>
        <v/>
      </c>
      <c r="P772" s="33">
        <f>(N772-O772)*(1-(1-H772)^(1/12))</f>
        <v/>
      </c>
      <c r="Q772" s="34">
        <f>X771+Z771</f>
        <v/>
      </c>
      <c r="R772" s="29">
        <f>(1-LoadPremRate)*E772</f>
        <v/>
      </c>
      <c r="S772" s="34">
        <f>Q772+R772</f>
        <v/>
      </c>
      <c r="T772" s="29">
        <f>MaintFeeRateAnn/12*S772</f>
        <v/>
      </c>
      <c r="U772" s="29">
        <f>MAX(SumAssured-S772,0)</f>
        <v/>
      </c>
      <c r="V772" s="35">
        <f>CoiMultiple*G772</f>
        <v/>
      </c>
      <c r="W772" s="34">
        <f>V772*U772</f>
        <v/>
      </c>
      <c r="X772" s="34">
        <f>S772-T772-W772</f>
        <v/>
      </c>
      <c r="Y772" s="36">
        <f>EXP((Mu-0.5*Sigma^2)/12+Sigma*SQRT(1/12)*INDEX(NormRand,ScenID,A772+1))-1</f>
        <v/>
      </c>
      <c r="Z772" s="34">
        <f>Y772*X772</f>
        <v/>
      </c>
      <c r="AA772" s="34">
        <f>X772+0.5*Z772</f>
        <v/>
      </c>
      <c r="AB772" s="34">
        <f>Q772*J772</f>
        <v/>
      </c>
      <c r="AC772" s="34">
        <f>Q772*L772</f>
        <v/>
      </c>
      <c r="AD772" s="34">
        <f>S772*N772</f>
        <v/>
      </c>
      <c r="AE772" s="34">
        <f>E772*N772</f>
        <v/>
      </c>
      <c r="AF772" s="34">
        <f>R772*N772</f>
        <v/>
      </c>
      <c r="AG772" s="29">
        <f>MAX(SumAssured,AA772)</f>
        <v/>
      </c>
      <c r="AH772" s="34">
        <f>AG772*O772</f>
        <v/>
      </c>
      <c r="AI772" s="34">
        <f>AA772*O772</f>
        <v/>
      </c>
      <c r="AJ772" s="34">
        <f>AA772*P772</f>
        <v/>
      </c>
      <c r="AK772" s="34">
        <f>I772*AA772*P772</f>
        <v/>
      </c>
      <c r="AL772" s="34">
        <f>AJ772-AK772</f>
        <v/>
      </c>
      <c r="AM772" s="34">
        <f>Q772*K772</f>
        <v/>
      </c>
      <c r="AN772" s="34">
        <f>AH772+AL772+AM772</f>
        <v/>
      </c>
      <c r="AO772" s="34">
        <f>(AG772-AA772)*O772</f>
        <v/>
      </c>
      <c r="AP772" s="34">
        <f>W772*N772</f>
        <v/>
      </c>
      <c r="AQ772" s="34">
        <f>T772*N772</f>
        <v/>
      </c>
      <c r="AR772" s="34">
        <f>Z772*J773+0.5*Z772*(O772+P772)</f>
        <v/>
      </c>
      <c r="AS772" s="30">
        <f>(1+InflationRate)^(A772/12)</f>
        <v/>
      </c>
      <c r="AT772" s="29">
        <f>ExpenseAcq*M772+N772*ExpenseMaint/12*AS772</f>
        <v/>
      </c>
      <c r="AU772" s="29">
        <f>CommissionRate*AE772</f>
        <v/>
      </c>
      <c r="AV772" s="34">
        <f>AB773-AB772</f>
        <v/>
      </c>
      <c r="AW772" s="34">
        <f>AE772+AR772-AN772-AT772-AU772-AV772</f>
        <v/>
      </c>
      <c r="AX772" s="29">
        <f>LoadPremRate*E772*N772+AK772+AQ772-AU772-AT772</f>
        <v/>
      </c>
      <c r="AY772" s="34">
        <f>AP772-AO772</f>
        <v/>
      </c>
      <c r="AZ772" s="37">
        <f>(AW772-AX772-AY772)/MAX(1,ABS(AW772),ABS(AX772),ABS(AY772))</f>
        <v/>
      </c>
      <c r="BA772" s="37">
        <f>IF(OR(K772&gt;0,K773&gt;0),0,(AC773-(AC772+AF772-AQ772-AP772+AR772-AI772-AJ772-AM772))/MAX(1,ABS(AC772),ABS(AC773)))</f>
        <v/>
      </c>
      <c r="BB772" s="35">
        <f>(1+INDEX(DiscRateAnn,INT(A772/12)+1))^(1/12)-1</f>
        <v/>
      </c>
      <c r="BC772" s="31">
        <f>(1+BB772)^-A772</f>
        <v/>
      </c>
      <c r="BD772" s="34">
        <f>AW772*BC772</f>
        <v/>
      </c>
    </row>
    <row r="773">
      <c r="A773" s="27">
        <f>A772+1</f>
        <v/>
      </c>
      <c r="B773" s="28">
        <f>Duration0+A773</f>
        <v/>
      </c>
      <c r="C773" s="27">
        <f>INT(B773/12)</f>
        <v/>
      </c>
      <c r="D773" s="28">
        <f>AgeAtEntry+C773</f>
        <v/>
      </c>
      <c r="E773" s="29">
        <f>IF(PremiumType="SINGLE",IF(B773=0,PremiumPPInput,0),IF(B773&lt;12*PolicyTerm,PremiumPPInput,0))</f>
        <v/>
      </c>
      <c r="F773" s="30">
        <f>INDEX(MortRates,MATCH(MIN(D773,120),MortAges,0),MAX(MIN(C773,5),0)+1)</f>
        <v/>
      </c>
      <c r="G773" s="31">
        <f>1-(1-F773)^(1/12)</f>
        <v/>
      </c>
      <c r="H773" s="32">
        <f>MAX(LapseBase-LapseStep*C773,LapseFloor)</f>
        <v/>
      </c>
      <c r="I773" s="32">
        <f>IF(HasSurrCharge,INDEX(SurrRates,MIN(C773,SurrDurMax)+1,MATCH(SurrChargeID,SurrTypes,0)),0)</f>
        <v/>
      </c>
      <c r="J773" s="33">
        <f>N772-P772-O772</f>
        <v/>
      </c>
      <c r="K773" s="30">
        <f>IF(B773=12*PolicyTerm,J773,0)</f>
        <v/>
      </c>
      <c r="L773" s="33">
        <f>J773-K773</f>
        <v/>
      </c>
      <c r="M773" s="30">
        <f>IF(B773=0,PolicyCount,0)</f>
        <v/>
      </c>
      <c r="N773" s="33">
        <f>L773+M773</f>
        <v/>
      </c>
      <c r="O773" s="31">
        <f>N773*G773</f>
        <v/>
      </c>
      <c r="P773" s="33">
        <f>(N773-O773)*(1-(1-H773)^(1/12))</f>
        <v/>
      </c>
      <c r="Q773" s="34">
        <f>X772+Z772</f>
        <v/>
      </c>
      <c r="R773" s="29">
        <f>(1-LoadPremRate)*E773</f>
        <v/>
      </c>
      <c r="S773" s="34">
        <f>Q773+R773</f>
        <v/>
      </c>
      <c r="T773" s="29">
        <f>MaintFeeRateAnn/12*S773</f>
        <v/>
      </c>
      <c r="U773" s="29">
        <f>MAX(SumAssured-S773,0)</f>
        <v/>
      </c>
      <c r="V773" s="35">
        <f>CoiMultiple*G773</f>
        <v/>
      </c>
      <c r="W773" s="34">
        <f>V773*U773</f>
        <v/>
      </c>
      <c r="X773" s="34">
        <f>S773-T773-W773</f>
        <v/>
      </c>
      <c r="Y773" s="36">
        <f>EXP((Mu-0.5*Sigma^2)/12+Sigma*SQRT(1/12)*INDEX(NormRand,ScenID,A773+1))-1</f>
        <v/>
      </c>
      <c r="Z773" s="34">
        <f>Y773*X773</f>
        <v/>
      </c>
      <c r="AA773" s="34">
        <f>X773+0.5*Z773</f>
        <v/>
      </c>
      <c r="AB773" s="34">
        <f>Q773*J773</f>
        <v/>
      </c>
      <c r="AC773" s="34">
        <f>Q773*L773</f>
        <v/>
      </c>
      <c r="AD773" s="34">
        <f>S773*N773</f>
        <v/>
      </c>
      <c r="AE773" s="34">
        <f>E773*N773</f>
        <v/>
      </c>
      <c r="AF773" s="34">
        <f>R773*N773</f>
        <v/>
      </c>
      <c r="AG773" s="29">
        <f>MAX(SumAssured,AA773)</f>
        <v/>
      </c>
      <c r="AH773" s="34">
        <f>AG773*O773</f>
        <v/>
      </c>
      <c r="AI773" s="34">
        <f>AA773*O773</f>
        <v/>
      </c>
      <c r="AJ773" s="34">
        <f>AA773*P773</f>
        <v/>
      </c>
      <c r="AK773" s="34">
        <f>I773*AA773*P773</f>
        <v/>
      </c>
      <c r="AL773" s="34">
        <f>AJ773-AK773</f>
        <v/>
      </c>
      <c r="AM773" s="34">
        <f>Q773*K773</f>
        <v/>
      </c>
      <c r="AN773" s="34">
        <f>AH773+AL773+AM773</f>
        <v/>
      </c>
      <c r="AO773" s="34">
        <f>(AG773-AA773)*O773</f>
        <v/>
      </c>
      <c r="AP773" s="34">
        <f>W773*N773</f>
        <v/>
      </c>
      <c r="AQ773" s="34">
        <f>T773*N773</f>
        <v/>
      </c>
      <c r="AR773" s="34">
        <f>Z773*J774+0.5*Z773*(O773+P773)</f>
        <v/>
      </c>
      <c r="AS773" s="30">
        <f>(1+InflationRate)^(A773/12)</f>
        <v/>
      </c>
      <c r="AT773" s="29">
        <f>ExpenseAcq*M773+N773*ExpenseMaint/12*AS773</f>
        <v/>
      </c>
      <c r="AU773" s="29">
        <f>CommissionRate*AE773</f>
        <v/>
      </c>
      <c r="AV773" s="34">
        <f>AB774-AB773</f>
        <v/>
      </c>
      <c r="AW773" s="34">
        <f>AE773+AR773-AN773-AT773-AU773-AV773</f>
        <v/>
      </c>
      <c r="AX773" s="29">
        <f>LoadPremRate*E773*N773+AK773+AQ773-AU773-AT773</f>
        <v/>
      </c>
      <c r="AY773" s="34">
        <f>AP773-AO773</f>
        <v/>
      </c>
      <c r="AZ773" s="37">
        <f>(AW773-AX773-AY773)/MAX(1,ABS(AW773),ABS(AX773),ABS(AY773))</f>
        <v/>
      </c>
      <c r="BA773" s="37">
        <f>IF(OR(K773&gt;0,K774&gt;0),0,(AC774-(AC773+AF773-AQ773-AP773+AR773-AI773-AJ773-AM773))/MAX(1,ABS(AC773),ABS(AC774)))</f>
        <v/>
      </c>
      <c r="BB773" s="35">
        <f>(1+INDEX(DiscRateAnn,INT(A773/12)+1))^(1/12)-1</f>
        <v/>
      </c>
      <c r="BC773" s="31">
        <f>(1+BB773)^-A773</f>
        <v/>
      </c>
      <c r="BD773" s="34">
        <f>AW773*BC773</f>
        <v/>
      </c>
    </row>
    <row r="774">
      <c r="A774" s="27">
        <f>A773+1</f>
        <v/>
      </c>
      <c r="B774" s="28">
        <f>Duration0+A774</f>
        <v/>
      </c>
      <c r="C774" s="27">
        <f>INT(B774/12)</f>
        <v/>
      </c>
      <c r="D774" s="28">
        <f>AgeAtEntry+C774</f>
        <v/>
      </c>
      <c r="E774" s="29">
        <f>IF(PremiumType="SINGLE",IF(B774=0,PremiumPPInput,0),IF(B774&lt;12*PolicyTerm,PremiumPPInput,0))</f>
        <v/>
      </c>
      <c r="F774" s="30">
        <f>INDEX(MortRates,MATCH(MIN(D774,120),MortAges,0),MAX(MIN(C774,5),0)+1)</f>
        <v/>
      </c>
      <c r="G774" s="31">
        <f>1-(1-F774)^(1/12)</f>
        <v/>
      </c>
      <c r="H774" s="32">
        <f>MAX(LapseBase-LapseStep*C774,LapseFloor)</f>
        <v/>
      </c>
      <c r="I774" s="32">
        <f>IF(HasSurrCharge,INDEX(SurrRates,MIN(C774,SurrDurMax)+1,MATCH(SurrChargeID,SurrTypes,0)),0)</f>
        <v/>
      </c>
      <c r="J774" s="33">
        <f>N773-P773-O773</f>
        <v/>
      </c>
      <c r="K774" s="30">
        <f>IF(B774=12*PolicyTerm,J774,0)</f>
        <v/>
      </c>
      <c r="L774" s="33">
        <f>J774-K774</f>
        <v/>
      </c>
      <c r="M774" s="30">
        <f>IF(B774=0,PolicyCount,0)</f>
        <v/>
      </c>
      <c r="N774" s="33">
        <f>L774+M774</f>
        <v/>
      </c>
      <c r="O774" s="31">
        <f>N774*G774</f>
        <v/>
      </c>
      <c r="P774" s="33">
        <f>(N774-O774)*(1-(1-H774)^(1/12))</f>
        <v/>
      </c>
      <c r="Q774" s="34">
        <f>X773+Z773</f>
        <v/>
      </c>
      <c r="R774" s="29">
        <f>(1-LoadPremRate)*E774</f>
        <v/>
      </c>
      <c r="S774" s="34">
        <f>Q774+R774</f>
        <v/>
      </c>
      <c r="T774" s="29">
        <f>MaintFeeRateAnn/12*S774</f>
        <v/>
      </c>
      <c r="U774" s="29">
        <f>MAX(SumAssured-S774,0)</f>
        <v/>
      </c>
      <c r="V774" s="35">
        <f>CoiMultiple*G774</f>
        <v/>
      </c>
      <c r="W774" s="34">
        <f>V774*U774</f>
        <v/>
      </c>
      <c r="X774" s="34">
        <f>S774-T774-W774</f>
        <v/>
      </c>
      <c r="Y774" s="36">
        <f>EXP((Mu-0.5*Sigma^2)/12+Sigma*SQRT(1/12)*INDEX(NormRand,ScenID,A774+1))-1</f>
        <v/>
      </c>
      <c r="Z774" s="34">
        <f>Y774*X774</f>
        <v/>
      </c>
      <c r="AA774" s="34">
        <f>X774+0.5*Z774</f>
        <v/>
      </c>
      <c r="AB774" s="34">
        <f>Q774*J774</f>
        <v/>
      </c>
      <c r="AC774" s="34">
        <f>Q774*L774</f>
        <v/>
      </c>
      <c r="AD774" s="34">
        <f>S774*N774</f>
        <v/>
      </c>
      <c r="AE774" s="34">
        <f>E774*N774</f>
        <v/>
      </c>
      <c r="AF774" s="34">
        <f>R774*N774</f>
        <v/>
      </c>
      <c r="AG774" s="29">
        <f>MAX(SumAssured,AA774)</f>
        <v/>
      </c>
      <c r="AH774" s="34">
        <f>AG774*O774</f>
        <v/>
      </c>
      <c r="AI774" s="34">
        <f>AA774*O774</f>
        <v/>
      </c>
      <c r="AJ774" s="34">
        <f>AA774*P774</f>
        <v/>
      </c>
      <c r="AK774" s="34">
        <f>I774*AA774*P774</f>
        <v/>
      </c>
      <c r="AL774" s="34">
        <f>AJ774-AK774</f>
        <v/>
      </c>
      <c r="AM774" s="34">
        <f>Q774*K774</f>
        <v/>
      </c>
      <c r="AN774" s="34">
        <f>AH774+AL774+AM774</f>
        <v/>
      </c>
      <c r="AO774" s="34">
        <f>(AG774-AA774)*O774</f>
        <v/>
      </c>
      <c r="AP774" s="34">
        <f>W774*N774</f>
        <v/>
      </c>
      <c r="AQ774" s="34">
        <f>T774*N774</f>
        <v/>
      </c>
      <c r="AR774" s="34">
        <f>Z774*J775+0.5*Z774*(O774+P774)</f>
        <v/>
      </c>
      <c r="AS774" s="30">
        <f>(1+InflationRate)^(A774/12)</f>
        <v/>
      </c>
      <c r="AT774" s="29">
        <f>ExpenseAcq*M774+N774*ExpenseMaint/12*AS774</f>
        <v/>
      </c>
      <c r="AU774" s="29">
        <f>CommissionRate*AE774</f>
        <v/>
      </c>
      <c r="AV774" s="34">
        <f>AB775-AB774</f>
        <v/>
      </c>
      <c r="AW774" s="34">
        <f>AE774+AR774-AN774-AT774-AU774-AV774</f>
        <v/>
      </c>
      <c r="AX774" s="29">
        <f>LoadPremRate*E774*N774+AK774+AQ774-AU774-AT774</f>
        <v/>
      </c>
      <c r="AY774" s="34">
        <f>AP774-AO774</f>
        <v/>
      </c>
      <c r="AZ774" s="37">
        <f>(AW774-AX774-AY774)/MAX(1,ABS(AW774),ABS(AX774),ABS(AY774))</f>
        <v/>
      </c>
      <c r="BA774" s="37">
        <f>IF(OR(K774&gt;0,K775&gt;0),0,(AC775-(AC774+AF774-AQ774-AP774+AR774-AI774-AJ774-AM774))/MAX(1,ABS(AC774),ABS(AC775)))</f>
        <v/>
      </c>
      <c r="BB774" s="35">
        <f>(1+INDEX(DiscRateAnn,INT(A774/12)+1))^(1/12)-1</f>
        <v/>
      </c>
      <c r="BC774" s="31">
        <f>(1+BB774)^-A774</f>
        <v/>
      </c>
      <c r="BD774" s="34">
        <f>AW774*BC774</f>
        <v/>
      </c>
    </row>
    <row r="775">
      <c r="A775" s="27">
        <f>A774+1</f>
        <v/>
      </c>
      <c r="B775" s="28">
        <f>Duration0+A775</f>
        <v/>
      </c>
      <c r="C775" s="27">
        <f>INT(B775/12)</f>
        <v/>
      </c>
      <c r="D775" s="28">
        <f>AgeAtEntry+C775</f>
        <v/>
      </c>
      <c r="E775" s="29">
        <f>IF(PremiumType="SINGLE",IF(B775=0,PremiumPPInput,0),IF(B775&lt;12*PolicyTerm,PremiumPPInput,0))</f>
        <v/>
      </c>
      <c r="F775" s="30">
        <f>INDEX(MortRates,MATCH(MIN(D775,120),MortAges,0),MAX(MIN(C775,5),0)+1)</f>
        <v/>
      </c>
      <c r="G775" s="31">
        <f>1-(1-F775)^(1/12)</f>
        <v/>
      </c>
      <c r="H775" s="32">
        <f>MAX(LapseBase-LapseStep*C775,LapseFloor)</f>
        <v/>
      </c>
      <c r="I775" s="32">
        <f>IF(HasSurrCharge,INDEX(SurrRates,MIN(C775,SurrDurMax)+1,MATCH(SurrChargeID,SurrTypes,0)),0)</f>
        <v/>
      </c>
      <c r="J775" s="33">
        <f>N774-P774-O774</f>
        <v/>
      </c>
      <c r="K775" s="30">
        <f>IF(B775=12*PolicyTerm,J775,0)</f>
        <v/>
      </c>
      <c r="L775" s="33">
        <f>J775-K775</f>
        <v/>
      </c>
      <c r="M775" s="30">
        <f>IF(B775=0,PolicyCount,0)</f>
        <v/>
      </c>
      <c r="N775" s="33">
        <f>L775+M775</f>
        <v/>
      </c>
      <c r="O775" s="31">
        <f>N775*G775</f>
        <v/>
      </c>
      <c r="P775" s="33">
        <f>(N775-O775)*(1-(1-H775)^(1/12))</f>
        <v/>
      </c>
      <c r="Q775" s="34">
        <f>X774+Z774</f>
        <v/>
      </c>
      <c r="R775" s="29">
        <f>(1-LoadPremRate)*E775</f>
        <v/>
      </c>
      <c r="S775" s="34">
        <f>Q775+R775</f>
        <v/>
      </c>
      <c r="T775" s="29">
        <f>MaintFeeRateAnn/12*S775</f>
        <v/>
      </c>
      <c r="U775" s="29">
        <f>MAX(SumAssured-S775,0)</f>
        <v/>
      </c>
      <c r="V775" s="35">
        <f>CoiMultiple*G775</f>
        <v/>
      </c>
      <c r="W775" s="34">
        <f>V775*U775</f>
        <v/>
      </c>
      <c r="X775" s="34">
        <f>S775-T775-W775</f>
        <v/>
      </c>
      <c r="Y775" s="36">
        <f>EXP((Mu-0.5*Sigma^2)/12+Sigma*SQRT(1/12)*INDEX(NormRand,ScenID,A775+1))-1</f>
        <v/>
      </c>
      <c r="Z775" s="34">
        <f>Y775*X775</f>
        <v/>
      </c>
      <c r="AA775" s="34">
        <f>X775+0.5*Z775</f>
        <v/>
      </c>
      <c r="AB775" s="34">
        <f>Q775*J775</f>
        <v/>
      </c>
      <c r="AC775" s="34">
        <f>Q775*L775</f>
        <v/>
      </c>
      <c r="AD775" s="34">
        <f>S775*N775</f>
        <v/>
      </c>
      <c r="AE775" s="34">
        <f>E775*N775</f>
        <v/>
      </c>
      <c r="AF775" s="34">
        <f>R775*N775</f>
        <v/>
      </c>
      <c r="AG775" s="29">
        <f>MAX(SumAssured,AA775)</f>
        <v/>
      </c>
      <c r="AH775" s="34">
        <f>AG775*O775</f>
        <v/>
      </c>
      <c r="AI775" s="34">
        <f>AA775*O775</f>
        <v/>
      </c>
      <c r="AJ775" s="34">
        <f>AA775*P775</f>
        <v/>
      </c>
      <c r="AK775" s="34">
        <f>I775*AA775*P775</f>
        <v/>
      </c>
      <c r="AL775" s="34">
        <f>AJ775-AK775</f>
        <v/>
      </c>
      <c r="AM775" s="34">
        <f>Q775*K775</f>
        <v/>
      </c>
      <c r="AN775" s="34">
        <f>AH775+AL775+AM775</f>
        <v/>
      </c>
      <c r="AO775" s="34">
        <f>(AG775-AA775)*O775</f>
        <v/>
      </c>
      <c r="AP775" s="34">
        <f>W775*N775</f>
        <v/>
      </c>
      <c r="AQ775" s="34">
        <f>T775*N775</f>
        <v/>
      </c>
      <c r="AR775" s="34">
        <f>Z775*J776+0.5*Z775*(O775+P775)</f>
        <v/>
      </c>
      <c r="AS775" s="30">
        <f>(1+InflationRate)^(A775/12)</f>
        <v/>
      </c>
      <c r="AT775" s="29">
        <f>ExpenseAcq*M775+N775*ExpenseMaint/12*AS775</f>
        <v/>
      </c>
      <c r="AU775" s="29">
        <f>CommissionRate*AE775</f>
        <v/>
      </c>
      <c r="AV775" s="34">
        <f>AB776-AB775</f>
        <v/>
      </c>
      <c r="AW775" s="34">
        <f>AE775+AR775-AN775-AT775-AU775-AV775</f>
        <v/>
      </c>
      <c r="AX775" s="29">
        <f>LoadPremRate*E775*N775+AK775+AQ775-AU775-AT775</f>
        <v/>
      </c>
      <c r="AY775" s="34">
        <f>AP775-AO775</f>
        <v/>
      </c>
      <c r="AZ775" s="37">
        <f>(AW775-AX775-AY775)/MAX(1,ABS(AW775),ABS(AX775),ABS(AY775))</f>
        <v/>
      </c>
      <c r="BA775" s="37">
        <f>IF(OR(K775&gt;0,K776&gt;0),0,(AC776-(AC775+AF775-AQ775-AP775+AR775-AI775-AJ775-AM775))/MAX(1,ABS(AC775),ABS(AC776)))</f>
        <v/>
      </c>
      <c r="BB775" s="35">
        <f>(1+INDEX(DiscRateAnn,INT(A775/12)+1))^(1/12)-1</f>
        <v/>
      </c>
      <c r="BC775" s="31">
        <f>(1+BB775)^-A775</f>
        <v/>
      </c>
      <c r="BD775" s="34">
        <f>AW775*BC775</f>
        <v/>
      </c>
    </row>
    <row r="776">
      <c r="A776" s="27">
        <f>A775+1</f>
        <v/>
      </c>
      <c r="B776" s="28">
        <f>Duration0+A776</f>
        <v/>
      </c>
      <c r="C776" s="27">
        <f>INT(B776/12)</f>
        <v/>
      </c>
      <c r="D776" s="28">
        <f>AgeAtEntry+C776</f>
        <v/>
      </c>
      <c r="E776" s="29">
        <f>IF(PremiumType="SINGLE",IF(B776=0,PremiumPPInput,0),IF(B776&lt;12*PolicyTerm,PremiumPPInput,0))</f>
        <v/>
      </c>
      <c r="F776" s="30">
        <f>INDEX(MortRates,MATCH(MIN(D776,120),MortAges,0),MAX(MIN(C776,5),0)+1)</f>
        <v/>
      </c>
      <c r="G776" s="31">
        <f>1-(1-F776)^(1/12)</f>
        <v/>
      </c>
      <c r="H776" s="32">
        <f>MAX(LapseBase-LapseStep*C776,LapseFloor)</f>
        <v/>
      </c>
      <c r="I776" s="32">
        <f>IF(HasSurrCharge,INDEX(SurrRates,MIN(C776,SurrDurMax)+1,MATCH(SurrChargeID,SurrTypes,0)),0)</f>
        <v/>
      </c>
      <c r="J776" s="33">
        <f>N775-P775-O775</f>
        <v/>
      </c>
      <c r="K776" s="30">
        <f>IF(B776=12*PolicyTerm,J776,0)</f>
        <v/>
      </c>
      <c r="L776" s="33">
        <f>J776-K776</f>
        <v/>
      </c>
      <c r="M776" s="30">
        <f>IF(B776=0,PolicyCount,0)</f>
        <v/>
      </c>
      <c r="N776" s="33">
        <f>L776+M776</f>
        <v/>
      </c>
      <c r="O776" s="31">
        <f>N776*G776</f>
        <v/>
      </c>
      <c r="P776" s="33">
        <f>(N776-O776)*(1-(1-H776)^(1/12))</f>
        <v/>
      </c>
      <c r="Q776" s="34">
        <f>X775+Z775</f>
        <v/>
      </c>
      <c r="R776" s="29">
        <f>(1-LoadPremRate)*E776</f>
        <v/>
      </c>
      <c r="S776" s="34">
        <f>Q776+R776</f>
        <v/>
      </c>
      <c r="T776" s="29">
        <f>MaintFeeRateAnn/12*S776</f>
        <v/>
      </c>
      <c r="U776" s="29">
        <f>MAX(SumAssured-S776,0)</f>
        <v/>
      </c>
      <c r="V776" s="35">
        <f>CoiMultiple*G776</f>
        <v/>
      </c>
      <c r="W776" s="34">
        <f>V776*U776</f>
        <v/>
      </c>
      <c r="X776" s="34">
        <f>S776-T776-W776</f>
        <v/>
      </c>
      <c r="Y776" s="36">
        <f>EXP((Mu-0.5*Sigma^2)/12+Sigma*SQRT(1/12)*INDEX(NormRand,ScenID,A776+1))-1</f>
        <v/>
      </c>
      <c r="Z776" s="34">
        <f>Y776*X776</f>
        <v/>
      </c>
      <c r="AA776" s="34">
        <f>X776+0.5*Z776</f>
        <v/>
      </c>
      <c r="AB776" s="34">
        <f>Q776*J776</f>
        <v/>
      </c>
      <c r="AC776" s="34">
        <f>Q776*L776</f>
        <v/>
      </c>
      <c r="AD776" s="34">
        <f>S776*N776</f>
        <v/>
      </c>
      <c r="AE776" s="34">
        <f>E776*N776</f>
        <v/>
      </c>
      <c r="AF776" s="34">
        <f>R776*N776</f>
        <v/>
      </c>
      <c r="AG776" s="29">
        <f>MAX(SumAssured,AA776)</f>
        <v/>
      </c>
      <c r="AH776" s="34">
        <f>AG776*O776</f>
        <v/>
      </c>
      <c r="AI776" s="34">
        <f>AA776*O776</f>
        <v/>
      </c>
      <c r="AJ776" s="34">
        <f>AA776*P776</f>
        <v/>
      </c>
      <c r="AK776" s="34">
        <f>I776*AA776*P776</f>
        <v/>
      </c>
      <c r="AL776" s="34">
        <f>AJ776-AK776</f>
        <v/>
      </c>
      <c r="AM776" s="34">
        <f>Q776*K776</f>
        <v/>
      </c>
      <c r="AN776" s="34">
        <f>AH776+AL776+AM776</f>
        <v/>
      </c>
      <c r="AO776" s="34">
        <f>(AG776-AA776)*O776</f>
        <v/>
      </c>
      <c r="AP776" s="34">
        <f>W776*N776</f>
        <v/>
      </c>
      <c r="AQ776" s="34">
        <f>T776*N776</f>
        <v/>
      </c>
      <c r="AR776" s="34">
        <f>Z776*J777+0.5*Z776*(O776+P776)</f>
        <v/>
      </c>
      <c r="AS776" s="30">
        <f>(1+InflationRate)^(A776/12)</f>
        <v/>
      </c>
      <c r="AT776" s="29">
        <f>ExpenseAcq*M776+N776*ExpenseMaint/12*AS776</f>
        <v/>
      </c>
      <c r="AU776" s="29">
        <f>CommissionRate*AE776</f>
        <v/>
      </c>
      <c r="AV776" s="34">
        <f>AB777-AB776</f>
        <v/>
      </c>
      <c r="AW776" s="34">
        <f>AE776+AR776-AN776-AT776-AU776-AV776</f>
        <v/>
      </c>
      <c r="AX776" s="29">
        <f>LoadPremRate*E776*N776+AK776+AQ776-AU776-AT776</f>
        <v/>
      </c>
      <c r="AY776" s="34">
        <f>AP776-AO776</f>
        <v/>
      </c>
      <c r="AZ776" s="37">
        <f>(AW776-AX776-AY776)/MAX(1,ABS(AW776),ABS(AX776),ABS(AY776))</f>
        <v/>
      </c>
      <c r="BA776" s="37">
        <f>IF(OR(K776&gt;0,K777&gt;0),0,(AC777-(AC776+AF776-AQ776-AP776+AR776-AI776-AJ776-AM776))/MAX(1,ABS(AC776),ABS(AC777)))</f>
        <v/>
      </c>
      <c r="BB776" s="35">
        <f>(1+INDEX(DiscRateAnn,INT(A776/12)+1))^(1/12)-1</f>
        <v/>
      </c>
      <c r="BC776" s="31">
        <f>(1+BB776)^-A776</f>
        <v/>
      </c>
      <c r="BD776" s="34">
        <f>AW776*BC776</f>
        <v/>
      </c>
    </row>
    <row r="777">
      <c r="A777" s="27">
        <f>A776+1</f>
        <v/>
      </c>
      <c r="B777" s="28">
        <f>Duration0+A777</f>
        <v/>
      </c>
      <c r="C777" s="27">
        <f>INT(B777/12)</f>
        <v/>
      </c>
      <c r="D777" s="28">
        <f>AgeAtEntry+C777</f>
        <v/>
      </c>
      <c r="E777" s="29">
        <f>IF(PremiumType="SINGLE",IF(B777=0,PremiumPPInput,0),IF(B777&lt;12*PolicyTerm,PremiumPPInput,0))</f>
        <v/>
      </c>
      <c r="F777" s="30">
        <f>INDEX(MortRates,MATCH(MIN(D777,120),MortAges,0),MAX(MIN(C777,5),0)+1)</f>
        <v/>
      </c>
      <c r="G777" s="31">
        <f>1-(1-F777)^(1/12)</f>
        <v/>
      </c>
      <c r="H777" s="32">
        <f>MAX(LapseBase-LapseStep*C777,LapseFloor)</f>
        <v/>
      </c>
      <c r="I777" s="32">
        <f>IF(HasSurrCharge,INDEX(SurrRates,MIN(C777,SurrDurMax)+1,MATCH(SurrChargeID,SurrTypes,0)),0)</f>
        <v/>
      </c>
      <c r="J777" s="33">
        <f>N776-P776-O776</f>
        <v/>
      </c>
      <c r="K777" s="30">
        <f>IF(B777=12*PolicyTerm,J777,0)</f>
        <v/>
      </c>
      <c r="L777" s="33">
        <f>J777-K777</f>
        <v/>
      </c>
      <c r="M777" s="30">
        <f>IF(B777=0,PolicyCount,0)</f>
        <v/>
      </c>
      <c r="N777" s="33">
        <f>L777+M777</f>
        <v/>
      </c>
      <c r="O777" s="31">
        <f>N777*G777</f>
        <v/>
      </c>
      <c r="P777" s="33">
        <f>(N777-O777)*(1-(1-H777)^(1/12))</f>
        <v/>
      </c>
      <c r="Q777" s="34">
        <f>X776+Z776</f>
        <v/>
      </c>
      <c r="R777" s="29">
        <f>(1-LoadPremRate)*E777</f>
        <v/>
      </c>
      <c r="S777" s="34">
        <f>Q777+R777</f>
        <v/>
      </c>
      <c r="T777" s="29">
        <f>MaintFeeRateAnn/12*S777</f>
        <v/>
      </c>
      <c r="U777" s="29">
        <f>MAX(SumAssured-S777,0)</f>
        <v/>
      </c>
      <c r="V777" s="35">
        <f>CoiMultiple*G777</f>
        <v/>
      </c>
      <c r="W777" s="34">
        <f>V777*U777</f>
        <v/>
      </c>
      <c r="X777" s="34">
        <f>S777-T777-W777</f>
        <v/>
      </c>
      <c r="Y777" s="36">
        <f>EXP((Mu-0.5*Sigma^2)/12+Sigma*SQRT(1/12)*INDEX(NormRand,ScenID,A777+1))-1</f>
        <v/>
      </c>
      <c r="Z777" s="34">
        <f>Y777*X777</f>
        <v/>
      </c>
      <c r="AA777" s="34">
        <f>X777+0.5*Z777</f>
        <v/>
      </c>
      <c r="AB777" s="34">
        <f>Q777*J777</f>
        <v/>
      </c>
      <c r="AC777" s="34">
        <f>Q777*L777</f>
        <v/>
      </c>
      <c r="AD777" s="34">
        <f>S777*N777</f>
        <v/>
      </c>
      <c r="AE777" s="34">
        <f>E777*N777</f>
        <v/>
      </c>
      <c r="AF777" s="34">
        <f>R777*N777</f>
        <v/>
      </c>
      <c r="AG777" s="29">
        <f>MAX(SumAssured,AA777)</f>
        <v/>
      </c>
      <c r="AH777" s="34">
        <f>AG777*O777</f>
        <v/>
      </c>
      <c r="AI777" s="34">
        <f>AA777*O777</f>
        <v/>
      </c>
      <c r="AJ777" s="34">
        <f>AA777*P777</f>
        <v/>
      </c>
      <c r="AK777" s="34">
        <f>I777*AA777*P777</f>
        <v/>
      </c>
      <c r="AL777" s="34">
        <f>AJ777-AK777</f>
        <v/>
      </c>
      <c r="AM777" s="34">
        <f>Q777*K777</f>
        <v/>
      </c>
      <c r="AN777" s="34">
        <f>AH777+AL777+AM777</f>
        <v/>
      </c>
      <c r="AO777" s="34">
        <f>(AG777-AA777)*O777</f>
        <v/>
      </c>
      <c r="AP777" s="34">
        <f>W777*N777</f>
        <v/>
      </c>
      <c r="AQ777" s="34">
        <f>T777*N777</f>
        <v/>
      </c>
      <c r="AR777" s="34">
        <f>Z777*J778+0.5*Z777*(O777+P777)</f>
        <v/>
      </c>
      <c r="AS777" s="30">
        <f>(1+InflationRate)^(A777/12)</f>
        <v/>
      </c>
      <c r="AT777" s="29">
        <f>ExpenseAcq*M777+N777*ExpenseMaint/12*AS777</f>
        <v/>
      </c>
      <c r="AU777" s="29">
        <f>CommissionRate*AE777</f>
        <v/>
      </c>
      <c r="AV777" s="34">
        <f>AB778-AB777</f>
        <v/>
      </c>
      <c r="AW777" s="34">
        <f>AE777+AR777-AN777-AT777-AU777-AV777</f>
        <v/>
      </c>
      <c r="AX777" s="29">
        <f>LoadPremRate*E777*N777+AK777+AQ777-AU777-AT777</f>
        <v/>
      </c>
      <c r="AY777" s="34">
        <f>AP777-AO777</f>
        <v/>
      </c>
      <c r="AZ777" s="37">
        <f>(AW777-AX777-AY777)/MAX(1,ABS(AW777),ABS(AX777),ABS(AY777))</f>
        <v/>
      </c>
      <c r="BA777" s="37">
        <f>IF(OR(K777&gt;0,K778&gt;0),0,(AC778-(AC777+AF777-AQ777-AP777+AR777-AI777-AJ777-AM777))/MAX(1,ABS(AC777),ABS(AC778)))</f>
        <v/>
      </c>
      <c r="BB777" s="35">
        <f>(1+INDEX(DiscRateAnn,INT(A777/12)+1))^(1/12)-1</f>
        <v/>
      </c>
      <c r="BC777" s="31">
        <f>(1+BB777)^-A777</f>
        <v/>
      </c>
      <c r="BD777" s="34">
        <f>AW777*BC777</f>
        <v/>
      </c>
    </row>
    <row r="778">
      <c r="A778" s="27">
        <f>A777+1</f>
        <v/>
      </c>
      <c r="B778" s="28">
        <f>Duration0+A778</f>
        <v/>
      </c>
      <c r="C778" s="27">
        <f>INT(B778/12)</f>
        <v/>
      </c>
      <c r="D778" s="28">
        <f>AgeAtEntry+C778</f>
        <v/>
      </c>
      <c r="E778" s="29">
        <f>IF(PremiumType="SINGLE",IF(B778=0,PremiumPPInput,0),IF(B778&lt;12*PolicyTerm,PremiumPPInput,0))</f>
        <v/>
      </c>
      <c r="F778" s="30">
        <f>INDEX(MortRates,MATCH(MIN(D778,120),MortAges,0),MAX(MIN(C778,5),0)+1)</f>
        <v/>
      </c>
      <c r="G778" s="31">
        <f>1-(1-F778)^(1/12)</f>
        <v/>
      </c>
      <c r="H778" s="32">
        <f>MAX(LapseBase-LapseStep*C778,LapseFloor)</f>
        <v/>
      </c>
      <c r="I778" s="32">
        <f>IF(HasSurrCharge,INDEX(SurrRates,MIN(C778,SurrDurMax)+1,MATCH(SurrChargeID,SurrTypes,0)),0)</f>
        <v/>
      </c>
      <c r="J778" s="33">
        <f>N777-P777-O777</f>
        <v/>
      </c>
      <c r="K778" s="30">
        <f>IF(B778=12*PolicyTerm,J778,0)</f>
        <v/>
      </c>
      <c r="L778" s="33">
        <f>J778-K778</f>
        <v/>
      </c>
      <c r="M778" s="30">
        <f>IF(B778=0,PolicyCount,0)</f>
        <v/>
      </c>
      <c r="N778" s="33">
        <f>L778+M778</f>
        <v/>
      </c>
      <c r="O778" s="31">
        <f>N778*G778</f>
        <v/>
      </c>
      <c r="P778" s="33">
        <f>(N778-O778)*(1-(1-H778)^(1/12))</f>
        <v/>
      </c>
      <c r="Q778" s="34">
        <f>X777+Z777</f>
        <v/>
      </c>
      <c r="R778" s="29">
        <f>(1-LoadPremRate)*E778</f>
        <v/>
      </c>
      <c r="S778" s="34">
        <f>Q778+R778</f>
        <v/>
      </c>
      <c r="T778" s="29">
        <f>MaintFeeRateAnn/12*S778</f>
        <v/>
      </c>
      <c r="U778" s="29">
        <f>MAX(SumAssured-S778,0)</f>
        <v/>
      </c>
      <c r="V778" s="35">
        <f>CoiMultiple*G778</f>
        <v/>
      </c>
      <c r="W778" s="34">
        <f>V778*U778</f>
        <v/>
      </c>
      <c r="X778" s="34">
        <f>S778-T778-W778</f>
        <v/>
      </c>
      <c r="Y778" s="36">
        <f>EXP((Mu-0.5*Sigma^2)/12+Sigma*SQRT(1/12)*INDEX(NormRand,ScenID,A778+1))-1</f>
        <v/>
      </c>
      <c r="Z778" s="34">
        <f>Y778*X778</f>
        <v/>
      </c>
      <c r="AA778" s="34">
        <f>X778+0.5*Z778</f>
        <v/>
      </c>
      <c r="AB778" s="34">
        <f>Q778*J778</f>
        <v/>
      </c>
      <c r="AC778" s="34">
        <f>Q778*L778</f>
        <v/>
      </c>
      <c r="AD778" s="34">
        <f>S778*N778</f>
        <v/>
      </c>
      <c r="AE778" s="34">
        <f>E778*N778</f>
        <v/>
      </c>
      <c r="AF778" s="34">
        <f>R778*N778</f>
        <v/>
      </c>
      <c r="AG778" s="29">
        <f>MAX(SumAssured,AA778)</f>
        <v/>
      </c>
      <c r="AH778" s="34">
        <f>AG778*O778</f>
        <v/>
      </c>
      <c r="AI778" s="34">
        <f>AA778*O778</f>
        <v/>
      </c>
      <c r="AJ778" s="34">
        <f>AA778*P778</f>
        <v/>
      </c>
      <c r="AK778" s="34">
        <f>I778*AA778*P778</f>
        <v/>
      </c>
      <c r="AL778" s="34">
        <f>AJ778-AK778</f>
        <v/>
      </c>
      <c r="AM778" s="34">
        <f>Q778*K778</f>
        <v/>
      </c>
      <c r="AN778" s="34">
        <f>AH778+AL778+AM778</f>
        <v/>
      </c>
      <c r="AO778" s="34">
        <f>(AG778-AA778)*O778</f>
        <v/>
      </c>
      <c r="AP778" s="34">
        <f>W778*N778</f>
        <v/>
      </c>
      <c r="AQ778" s="34">
        <f>T778*N778</f>
        <v/>
      </c>
      <c r="AR778" s="34">
        <f>Z778*J779+0.5*Z778*(O778+P778)</f>
        <v/>
      </c>
      <c r="AS778" s="30">
        <f>(1+InflationRate)^(A778/12)</f>
        <v/>
      </c>
      <c r="AT778" s="29">
        <f>ExpenseAcq*M778+N778*ExpenseMaint/12*AS778</f>
        <v/>
      </c>
      <c r="AU778" s="29">
        <f>CommissionRate*AE778</f>
        <v/>
      </c>
      <c r="AV778" s="34">
        <f>AB779-AB778</f>
        <v/>
      </c>
      <c r="AW778" s="34">
        <f>AE778+AR778-AN778-AT778-AU778-AV778</f>
        <v/>
      </c>
      <c r="AX778" s="29">
        <f>LoadPremRate*E778*N778+AK778+AQ778-AU778-AT778</f>
        <v/>
      </c>
      <c r="AY778" s="34">
        <f>AP778-AO778</f>
        <v/>
      </c>
      <c r="AZ778" s="37">
        <f>(AW778-AX778-AY778)/MAX(1,ABS(AW778),ABS(AX778),ABS(AY778))</f>
        <v/>
      </c>
      <c r="BA778" s="37">
        <f>IF(OR(K778&gt;0,K779&gt;0),0,(AC779-(AC778+AF778-AQ778-AP778+AR778-AI778-AJ778-AM778))/MAX(1,ABS(AC778),ABS(AC779)))</f>
        <v/>
      </c>
      <c r="BB778" s="35">
        <f>(1+INDEX(DiscRateAnn,INT(A778/12)+1))^(1/12)-1</f>
        <v/>
      </c>
      <c r="BC778" s="31">
        <f>(1+BB778)^-A778</f>
        <v/>
      </c>
      <c r="BD778" s="34">
        <f>AW778*BC778</f>
        <v/>
      </c>
    </row>
    <row r="779">
      <c r="A779" s="27">
        <f>A778+1</f>
        <v/>
      </c>
      <c r="B779" s="28">
        <f>Duration0+A779</f>
        <v/>
      </c>
      <c r="C779" s="27">
        <f>INT(B779/12)</f>
        <v/>
      </c>
      <c r="D779" s="28">
        <f>AgeAtEntry+C779</f>
        <v/>
      </c>
      <c r="E779" s="29">
        <f>IF(PremiumType="SINGLE",IF(B779=0,PremiumPPInput,0),IF(B779&lt;12*PolicyTerm,PremiumPPInput,0))</f>
        <v/>
      </c>
      <c r="F779" s="30">
        <f>INDEX(MortRates,MATCH(MIN(D779,120),MortAges,0),MAX(MIN(C779,5),0)+1)</f>
        <v/>
      </c>
      <c r="G779" s="31">
        <f>1-(1-F779)^(1/12)</f>
        <v/>
      </c>
      <c r="H779" s="32">
        <f>MAX(LapseBase-LapseStep*C779,LapseFloor)</f>
        <v/>
      </c>
      <c r="I779" s="32">
        <f>IF(HasSurrCharge,INDEX(SurrRates,MIN(C779,SurrDurMax)+1,MATCH(SurrChargeID,SurrTypes,0)),0)</f>
        <v/>
      </c>
      <c r="J779" s="33">
        <f>N778-P778-O778</f>
        <v/>
      </c>
      <c r="K779" s="30">
        <f>IF(B779=12*PolicyTerm,J779,0)</f>
        <v/>
      </c>
      <c r="L779" s="33">
        <f>J779-K779</f>
        <v/>
      </c>
      <c r="M779" s="30">
        <f>IF(B779=0,PolicyCount,0)</f>
        <v/>
      </c>
      <c r="N779" s="33">
        <f>L779+M779</f>
        <v/>
      </c>
      <c r="O779" s="31">
        <f>N779*G779</f>
        <v/>
      </c>
      <c r="P779" s="33">
        <f>(N779-O779)*(1-(1-H779)^(1/12))</f>
        <v/>
      </c>
      <c r="Q779" s="34">
        <f>X778+Z778</f>
        <v/>
      </c>
      <c r="R779" s="29">
        <f>(1-LoadPremRate)*E779</f>
        <v/>
      </c>
      <c r="S779" s="34">
        <f>Q779+R779</f>
        <v/>
      </c>
      <c r="T779" s="29">
        <f>MaintFeeRateAnn/12*S779</f>
        <v/>
      </c>
      <c r="U779" s="29">
        <f>MAX(SumAssured-S779,0)</f>
        <v/>
      </c>
      <c r="V779" s="35">
        <f>CoiMultiple*G779</f>
        <v/>
      </c>
      <c r="W779" s="34">
        <f>V779*U779</f>
        <v/>
      </c>
      <c r="X779" s="34">
        <f>S779-T779-W779</f>
        <v/>
      </c>
      <c r="Y779" s="36">
        <f>EXP((Mu-0.5*Sigma^2)/12+Sigma*SQRT(1/12)*INDEX(NormRand,ScenID,A779+1))-1</f>
        <v/>
      </c>
      <c r="Z779" s="34">
        <f>Y779*X779</f>
        <v/>
      </c>
      <c r="AA779" s="34">
        <f>X779+0.5*Z779</f>
        <v/>
      </c>
      <c r="AB779" s="34">
        <f>Q779*J779</f>
        <v/>
      </c>
      <c r="AC779" s="34">
        <f>Q779*L779</f>
        <v/>
      </c>
      <c r="AD779" s="34">
        <f>S779*N779</f>
        <v/>
      </c>
      <c r="AE779" s="34">
        <f>E779*N779</f>
        <v/>
      </c>
      <c r="AF779" s="34">
        <f>R779*N779</f>
        <v/>
      </c>
      <c r="AG779" s="29">
        <f>MAX(SumAssured,AA779)</f>
        <v/>
      </c>
      <c r="AH779" s="34">
        <f>AG779*O779</f>
        <v/>
      </c>
      <c r="AI779" s="34">
        <f>AA779*O779</f>
        <v/>
      </c>
      <c r="AJ779" s="34">
        <f>AA779*P779</f>
        <v/>
      </c>
      <c r="AK779" s="34">
        <f>I779*AA779*P779</f>
        <v/>
      </c>
      <c r="AL779" s="34">
        <f>AJ779-AK779</f>
        <v/>
      </c>
      <c r="AM779" s="34">
        <f>Q779*K779</f>
        <v/>
      </c>
      <c r="AN779" s="34">
        <f>AH779+AL779+AM779</f>
        <v/>
      </c>
      <c r="AO779" s="34">
        <f>(AG779-AA779)*O779</f>
        <v/>
      </c>
      <c r="AP779" s="34">
        <f>W779*N779</f>
        <v/>
      </c>
      <c r="AQ779" s="34">
        <f>T779*N779</f>
        <v/>
      </c>
      <c r="AR779" s="34">
        <f>Z779*J780+0.5*Z779*(O779+P779)</f>
        <v/>
      </c>
      <c r="AS779" s="30">
        <f>(1+InflationRate)^(A779/12)</f>
        <v/>
      </c>
      <c r="AT779" s="29">
        <f>ExpenseAcq*M779+N779*ExpenseMaint/12*AS779</f>
        <v/>
      </c>
      <c r="AU779" s="29">
        <f>CommissionRate*AE779</f>
        <v/>
      </c>
      <c r="AV779" s="34">
        <f>AB780-AB779</f>
        <v/>
      </c>
      <c r="AW779" s="34">
        <f>AE779+AR779-AN779-AT779-AU779-AV779</f>
        <v/>
      </c>
      <c r="AX779" s="29">
        <f>LoadPremRate*E779*N779+AK779+AQ779-AU779-AT779</f>
        <v/>
      </c>
      <c r="AY779" s="34">
        <f>AP779-AO779</f>
        <v/>
      </c>
      <c r="AZ779" s="37">
        <f>(AW779-AX779-AY779)/MAX(1,ABS(AW779),ABS(AX779),ABS(AY779))</f>
        <v/>
      </c>
      <c r="BA779" s="37">
        <f>IF(OR(K779&gt;0,K780&gt;0),0,(AC780-(AC779+AF779-AQ779-AP779+AR779-AI779-AJ779-AM779))/MAX(1,ABS(AC779),ABS(AC780)))</f>
        <v/>
      </c>
      <c r="BB779" s="35">
        <f>(1+INDEX(DiscRateAnn,INT(A779/12)+1))^(1/12)-1</f>
        <v/>
      </c>
      <c r="BC779" s="31">
        <f>(1+BB779)^-A779</f>
        <v/>
      </c>
      <c r="BD779" s="34">
        <f>AW779*BC779</f>
        <v/>
      </c>
    </row>
    <row r="780">
      <c r="A780" s="27">
        <f>A779+1</f>
        <v/>
      </c>
      <c r="B780" s="28">
        <f>Duration0+A780</f>
        <v/>
      </c>
      <c r="C780" s="27">
        <f>INT(B780/12)</f>
        <v/>
      </c>
      <c r="D780" s="28">
        <f>AgeAtEntry+C780</f>
        <v/>
      </c>
      <c r="E780" s="29">
        <f>IF(PremiumType="SINGLE",IF(B780=0,PremiumPPInput,0),IF(B780&lt;12*PolicyTerm,PremiumPPInput,0))</f>
        <v/>
      </c>
      <c r="F780" s="30">
        <f>INDEX(MortRates,MATCH(MIN(D780,120),MortAges,0),MAX(MIN(C780,5),0)+1)</f>
        <v/>
      </c>
      <c r="G780" s="31">
        <f>1-(1-F780)^(1/12)</f>
        <v/>
      </c>
      <c r="H780" s="32">
        <f>MAX(LapseBase-LapseStep*C780,LapseFloor)</f>
        <v/>
      </c>
      <c r="I780" s="32">
        <f>IF(HasSurrCharge,INDEX(SurrRates,MIN(C780,SurrDurMax)+1,MATCH(SurrChargeID,SurrTypes,0)),0)</f>
        <v/>
      </c>
      <c r="J780" s="33">
        <f>N779-P779-O779</f>
        <v/>
      </c>
      <c r="K780" s="30">
        <f>IF(B780=12*PolicyTerm,J780,0)</f>
        <v/>
      </c>
      <c r="L780" s="33">
        <f>J780-K780</f>
        <v/>
      </c>
      <c r="M780" s="30">
        <f>IF(B780=0,PolicyCount,0)</f>
        <v/>
      </c>
      <c r="N780" s="33">
        <f>L780+M780</f>
        <v/>
      </c>
      <c r="O780" s="31">
        <f>N780*G780</f>
        <v/>
      </c>
      <c r="P780" s="33">
        <f>(N780-O780)*(1-(1-H780)^(1/12))</f>
        <v/>
      </c>
      <c r="Q780" s="34">
        <f>X779+Z779</f>
        <v/>
      </c>
      <c r="R780" s="29">
        <f>(1-LoadPremRate)*E780</f>
        <v/>
      </c>
      <c r="S780" s="34">
        <f>Q780+R780</f>
        <v/>
      </c>
      <c r="T780" s="29">
        <f>MaintFeeRateAnn/12*S780</f>
        <v/>
      </c>
      <c r="U780" s="29">
        <f>MAX(SumAssured-S780,0)</f>
        <v/>
      </c>
      <c r="V780" s="35">
        <f>CoiMultiple*G780</f>
        <v/>
      </c>
      <c r="W780" s="34">
        <f>V780*U780</f>
        <v/>
      </c>
      <c r="X780" s="34">
        <f>S780-T780-W780</f>
        <v/>
      </c>
      <c r="Y780" s="36">
        <f>EXP((Mu-0.5*Sigma^2)/12+Sigma*SQRT(1/12)*INDEX(NormRand,ScenID,A780+1))-1</f>
        <v/>
      </c>
      <c r="Z780" s="34">
        <f>Y780*X780</f>
        <v/>
      </c>
      <c r="AA780" s="34">
        <f>X780+0.5*Z780</f>
        <v/>
      </c>
      <c r="AB780" s="34">
        <f>Q780*J780</f>
        <v/>
      </c>
      <c r="AC780" s="34">
        <f>Q780*L780</f>
        <v/>
      </c>
      <c r="AD780" s="34">
        <f>S780*N780</f>
        <v/>
      </c>
      <c r="AE780" s="34">
        <f>E780*N780</f>
        <v/>
      </c>
      <c r="AF780" s="34">
        <f>R780*N780</f>
        <v/>
      </c>
      <c r="AG780" s="29">
        <f>MAX(SumAssured,AA780)</f>
        <v/>
      </c>
      <c r="AH780" s="34">
        <f>AG780*O780</f>
        <v/>
      </c>
      <c r="AI780" s="34">
        <f>AA780*O780</f>
        <v/>
      </c>
      <c r="AJ780" s="34">
        <f>AA780*P780</f>
        <v/>
      </c>
      <c r="AK780" s="34">
        <f>I780*AA780*P780</f>
        <v/>
      </c>
      <c r="AL780" s="34">
        <f>AJ780-AK780</f>
        <v/>
      </c>
      <c r="AM780" s="34">
        <f>Q780*K780</f>
        <v/>
      </c>
      <c r="AN780" s="34">
        <f>AH780+AL780+AM780</f>
        <v/>
      </c>
      <c r="AO780" s="34">
        <f>(AG780-AA780)*O780</f>
        <v/>
      </c>
      <c r="AP780" s="34">
        <f>W780*N780</f>
        <v/>
      </c>
      <c r="AQ780" s="34">
        <f>T780*N780</f>
        <v/>
      </c>
      <c r="AR780" s="34">
        <f>Z780*J781+0.5*Z780*(O780+P780)</f>
        <v/>
      </c>
      <c r="AS780" s="30">
        <f>(1+InflationRate)^(A780/12)</f>
        <v/>
      </c>
      <c r="AT780" s="29">
        <f>ExpenseAcq*M780+N780*ExpenseMaint/12*AS780</f>
        <v/>
      </c>
      <c r="AU780" s="29">
        <f>CommissionRate*AE780</f>
        <v/>
      </c>
      <c r="AV780" s="34">
        <f>AB781-AB780</f>
        <v/>
      </c>
      <c r="AW780" s="34">
        <f>AE780+AR780-AN780-AT780-AU780-AV780</f>
        <v/>
      </c>
      <c r="AX780" s="29">
        <f>LoadPremRate*E780*N780+AK780+AQ780-AU780-AT780</f>
        <v/>
      </c>
      <c r="AY780" s="34">
        <f>AP780-AO780</f>
        <v/>
      </c>
      <c r="AZ780" s="37">
        <f>(AW780-AX780-AY780)/MAX(1,ABS(AW780),ABS(AX780),ABS(AY780))</f>
        <v/>
      </c>
      <c r="BA780" s="37">
        <f>IF(OR(K780&gt;0,K781&gt;0),0,(AC781-(AC780+AF780-AQ780-AP780+AR780-AI780-AJ780-AM780))/MAX(1,ABS(AC780),ABS(AC781)))</f>
        <v/>
      </c>
      <c r="BB780" s="35">
        <f>(1+INDEX(DiscRateAnn,INT(A780/12)+1))^(1/12)-1</f>
        <v/>
      </c>
      <c r="BC780" s="31">
        <f>(1+BB780)^-A780</f>
        <v/>
      </c>
      <c r="BD780" s="34">
        <f>AW780*BC780</f>
        <v/>
      </c>
    </row>
    <row r="781">
      <c r="A781" s="27">
        <f>A780+1</f>
        <v/>
      </c>
      <c r="B781" s="28">
        <f>Duration0+A781</f>
        <v/>
      </c>
      <c r="C781" s="27">
        <f>INT(B781/12)</f>
        <v/>
      </c>
      <c r="D781" s="28">
        <f>AgeAtEntry+C781</f>
        <v/>
      </c>
      <c r="E781" s="29">
        <f>IF(PremiumType="SINGLE",IF(B781=0,PremiumPPInput,0),IF(B781&lt;12*PolicyTerm,PremiumPPInput,0))</f>
        <v/>
      </c>
      <c r="F781" s="30">
        <f>INDEX(MortRates,MATCH(MIN(D781,120),MortAges,0),MAX(MIN(C781,5),0)+1)</f>
        <v/>
      </c>
      <c r="G781" s="31">
        <f>1-(1-F781)^(1/12)</f>
        <v/>
      </c>
      <c r="H781" s="32">
        <f>MAX(LapseBase-LapseStep*C781,LapseFloor)</f>
        <v/>
      </c>
      <c r="I781" s="32">
        <f>IF(HasSurrCharge,INDEX(SurrRates,MIN(C781,SurrDurMax)+1,MATCH(SurrChargeID,SurrTypes,0)),0)</f>
        <v/>
      </c>
      <c r="J781" s="33">
        <f>N780-P780-O780</f>
        <v/>
      </c>
      <c r="K781" s="30">
        <f>IF(B781=12*PolicyTerm,J781,0)</f>
        <v/>
      </c>
      <c r="L781" s="33">
        <f>J781-K781</f>
        <v/>
      </c>
      <c r="M781" s="30">
        <f>IF(B781=0,PolicyCount,0)</f>
        <v/>
      </c>
      <c r="N781" s="33">
        <f>L781+M781</f>
        <v/>
      </c>
      <c r="O781" s="31">
        <f>N781*G781</f>
        <v/>
      </c>
      <c r="P781" s="33">
        <f>(N781-O781)*(1-(1-H781)^(1/12))</f>
        <v/>
      </c>
      <c r="Q781" s="34">
        <f>X780+Z780</f>
        <v/>
      </c>
      <c r="R781" s="29">
        <f>(1-LoadPremRate)*E781</f>
        <v/>
      </c>
      <c r="S781" s="34">
        <f>Q781+R781</f>
        <v/>
      </c>
      <c r="T781" s="29">
        <f>MaintFeeRateAnn/12*S781</f>
        <v/>
      </c>
      <c r="U781" s="29">
        <f>MAX(SumAssured-S781,0)</f>
        <v/>
      </c>
      <c r="V781" s="35">
        <f>CoiMultiple*G781</f>
        <v/>
      </c>
      <c r="W781" s="34">
        <f>V781*U781</f>
        <v/>
      </c>
      <c r="X781" s="34">
        <f>S781-T781-W781</f>
        <v/>
      </c>
      <c r="Y781" s="36">
        <f>EXP((Mu-0.5*Sigma^2)/12+Sigma*SQRT(1/12)*INDEX(NormRand,ScenID,A781+1))-1</f>
        <v/>
      </c>
      <c r="Z781" s="34">
        <f>Y781*X781</f>
        <v/>
      </c>
      <c r="AA781" s="34">
        <f>X781+0.5*Z781</f>
        <v/>
      </c>
      <c r="AB781" s="34">
        <f>Q781*J781</f>
        <v/>
      </c>
      <c r="AC781" s="34">
        <f>Q781*L781</f>
        <v/>
      </c>
      <c r="AD781" s="34">
        <f>S781*N781</f>
        <v/>
      </c>
      <c r="AE781" s="34">
        <f>E781*N781</f>
        <v/>
      </c>
      <c r="AF781" s="34">
        <f>R781*N781</f>
        <v/>
      </c>
      <c r="AG781" s="29">
        <f>MAX(SumAssured,AA781)</f>
        <v/>
      </c>
      <c r="AH781" s="34">
        <f>AG781*O781</f>
        <v/>
      </c>
      <c r="AI781" s="34">
        <f>AA781*O781</f>
        <v/>
      </c>
      <c r="AJ781" s="34">
        <f>AA781*P781</f>
        <v/>
      </c>
      <c r="AK781" s="34">
        <f>I781*AA781*P781</f>
        <v/>
      </c>
      <c r="AL781" s="34">
        <f>AJ781-AK781</f>
        <v/>
      </c>
      <c r="AM781" s="34">
        <f>Q781*K781</f>
        <v/>
      </c>
      <c r="AN781" s="34">
        <f>AH781+AL781+AM781</f>
        <v/>
      </c>
      <c r="AO781" s="34">
        <f>(AG781-AA781)*O781</f>
        <v/>
      </c>
      <c r="AP781" s="34">
        <f>W781*N781</f>
        <v/>
      </c>
      <c r="AQ781" s="34">
        <f>T781*N781</f>
        <v/>
      </c>
      <c r="AR781" s="34">
        <f>Z781*J782+0.5*Z781*(O781+P781)</f>
        <v/>
      </c>
      <c r="AS781" s="30">
        <f>(1+InflationRate)^(A781/12)</f>
        <v/>
      </c>
      <c r="AT781" s="29">
        <f>ExpenseAcq*M781+N781*ExpenseMaint/12*AS781</f>
        <v/>
      </c>
      <c r="AU781" s="29">
        <f>CommissionRate*AE781</f>
        <v/>
      </c>
      <c r="AV781" s="34">
        <f>AB782-AB781</f>
        <v/>
      </c>
      <c r="AW781" s="34">
        <f>AE781+AR781-AN781-AT781-AU781-AV781</f>
        <v/>
      </c>
      <c r="AX781" s="29">
        <f>LoadPremRate*E781*N781+AK781+AQ781-AU781-AT781</f>
        <v/>
      </c>
      <c r="AY781" s="34">
        <f>AP781-AO781</f>
        <v/>
      </c>
      <c r="AZ781" s="37">
        <f>(AW781-AX781-AY781)/MAX(1,ABS(AW781),ABS(AX781),ABS(AY781))</f>
        <v/>
      </c>
      <c r="BA781" s="37">
        <f>IF(OR(K781&gt;0,K782&gt;0),0,(AC782-(AC781+AF781-AQ781-AP781+AR781-AI781-AJ781-AM781))/MAX(1,ABS(AC781),ABS(AC782)))</f>
        <v/>
      </c>
      <c r="BB781" s="35">
        <f>(1+INDEX(DiscRateAnn,INT(A781/12)+1))^(1/12)-1</f>
        <v/>
      </c>
      <c r="BC781" s="31">
        <f>(1+BB781)^-A781</f>
        <v/>
      </c>
      <c r="BD781" s="34">
        <f>AW781*BC781</f>
        <v/>
      </c>
    </row>
    <row r="782">
      <c r="A782" s="27">
        <f>A781+1</f>
        <v/>
      </c>
      <c r="B782" s="28">
        <f>Duration0+A782</f>
        <v/>
      </c>
      <c r="C782" s="27">
        <f>INT(B782/12)</f>
        <v/>
      </c>
      <c r="D782" s="28">
        <f>AgeAtEntry+C782</f>
        <v/>
      </c>
      <c r="E782" s="29">
        <f>IF(PremiumType="SINGLE",IF(B782=0,PremiumPPInput,0),IF(B782&lt;12*PolicyTerm,PremiumPPInput,0))</f>
        <v/>
      </c>
      <c r="F782" s="30">
        <f>INDEX(MortRates,MATCH(MIN(D782,120),MortAges,0),MAX(MIN(C782,5),0)+1)</f>
        <v/>
      </c>
      <c r="G782" s="31">
        <f>1-(1-F782)^(1/12)</f>
        <v/>
      </c>
      <c r="H782" s="32">
        <f>MAX(LapseBase-LapseStep*C782,LapseFloor)</f>
        <v/>
      </c>
      <c r="I782" s="32">
        <f>IF(HasSurrCharge,INDEX(SurrRates,MIN(C782,SurrDurMax)+1,MATCH(SurrChargeID,SurrTypes,0)),0)</f>
        <v/>
      </c>
      <c r="J782" s="33">
        <f>N781-P781-O781</f>
        <v/>
      </c>
      <c r="K782" s="30">
        <f>IF(B782=12*PolicyTerm,J782,0)</f>
        <v/>
      </c>
      <c r="L782" s="33">
        <f>J782-K782</f>
        <v/>
      </c>
      <c r="M782" s="30">
        <f>IF(B782=0,PolicyCount,0)</f>
        <v/>
      </c>
      <c r="N782" s="33">
        <f>L782+M782</f>
        <v/>
      </c>
      <c r="O782" s="31">
        <f>N782*G782</f>
        <v/>
      </c>
      <c r="P782" s="33">
        <f>(N782-O782)*(1-(1-H782)^(1/12))</f>
        <v/>
      </c>
      <c r="Q782" s="34">
        <f>X781+Z781</f>
        <v/>
      </c>
      <c r="R782" s="29">
        <f>(1-LoadPremRate)*E782</f>
        <v/>
      </c>
      <c r="S782" s="34">
        <f>Q782+R782</f>
        <v/>
      </c>
      <c r="T782" s="29">
        <f>MaintFeeRateAnn/12*S782</f>
        <v/>
      </c>
      <c r="U782" s="29">
        <f>MAX(SumAssured-S782,0)</f>
        <v/>
      </c>
      <c r="V782" s="35">
        <f>CoiMultiple*G782</f>
        <v/>
      </c>
      <c r="W782" s="34">
        <f>V782*U782</f>
        <v/>
      </c>
      <c r="X782" s="34">
        <f>S782-T782-W782</f>
        <v/>
      </c>
      <c r="Y782" s="36">
        <f>EXP((Mu-0.5*Sigma^2)/12+Sigma*SQRT(1/12)*INDEX(NormRand,ScenID,A782+1))-1</f>
        <v/>
      </c>
      <c r="Z782" s="34">
        <f>Y782*X782</f>
        <v/>
      </c>
      <c r="AA782" s="34">
        <f>X782+0.5*Z782</f>
        <v/>
      </c>
      <c r="AB782" s="34">
        <f>Q782*J782</f>
        <v/>
      </c>
      <c r="AC782" s="34">
        <f>Q782*L782</f>
        <v/>
      </c>
      <c r="AD782" s="34">
        <f>S782*N782</f>
        <v/>
      </c>
      <c r="AE782" s="34">
        <f>E782*N782</f>
        <v/>
      </c>
      <c r="AF782" s="34">
        <f>R782*N782</f>
        <v/>
      </c>
      <c r="AG782" s="29">
        <f>MAX(SumAssured,AA782)</f>
        <v/>
      </c>
      <c r="AH782" s="34">
        <f>AG782*O782</f>
        <v/>
      </c>
      <c r="AI782" s="34">
        <f>AA782*O782</f>
        <v/>
      </c>
      <c r="AJ782" s="34">
        <f>AA782*P782</f>
        <v/>
      </c>
      <c r="AK782" s="34">
        <f>I782*AA782*P782</f>
        <v/>
      </c>
      <c r="AL782" s="34">
        <f>AJ782-AK782</f>
        <v/>
      </c>
      <c r="AM782" s="34">
        <f>Q782*K782</f>
        <v/>
      </c>
      <c r="AN782" s="34">
        <f>AH782+AL782+AM782</f>
        <v/>
      </c>
      <c r="AO782" s="34">
        <f>(AG782-AA782)*O782</f>
        <v/>
      </c>
      <c r="AP782" s="34">
        <f>W782*N782</f>
        <v/>
      </c>
      <c r="AQ782" s="34">
        <f>T782*N782</f>
        <v/>
      </c>
      <c r="AR782" s="34">
        <f>Z782*J783+0.5*Z782*(O782+P782)</f>
        <v/>
      </c>
      <c r="AS782" s="30">
        <f>(1+InflationRate)^(A782/12)</f>
        <v/>
      </c>
      <c r="AT782" s="29">
        <f>ExpenseAcq*M782+N782*ExpenseMaint/12*AS782</f>
        <v/>
      </c>
      <c r="AU782" s="29">
        <f>CommissionRate*AE782</f>
        <v/>
      </c>
      <c r="AV782" s="34">
        <f>AB783-AB782</f>
        <v/>
      </c>
      <c r="AW782" s="34">
        <f>AE782+AR782-AN782-AT782-AU782-AV782</f>
        <v/>
      </c>
      <c r="AX782" s="29">
        <f>LoadPremRate*E782*N782+AK782+AQ782-AU782-AT782</f>
        <v/>
      </c>
      <c r="AY782" s="34">
        <f>AP782-AO782</f>
        <v/>
      </c>
      <c r="AZ782" s="37">
        <f>(AW782-AX782-AY782)/MAX(1,ABS(AW782),ABS(AX782),ABS(AY782))</f>
        <v/>
      </c>
      <c r="BA782" s="37">
        <f>IF(OR(K782&gt;0,K783&gt;0),0,(AC783-(AC782+AF782-AQ782-AP782+AR782-AI782-AJ782-AM782))/MAX(1,ABS(AC782),ABS(AC783)))</f>
        <v/>
      </c>
      <c r="BB782" s="35">
        <f>(1+INDEX(DiscRateAnn,INT(A782/12)+1))^(1/12)-1</f>
        <v/>
      </c>
      <c r="BC782" s="31">
        <f>(1+BB782)^-A782</f>
        <v/>
      </c>
      <c r="BD782" s="34">
        <f>AW782*BC782</f>
        <v/>
      </c>
    </row>
    <row r="783">
      <c r="A783" s="27">
        <f>A782+1</f>
        <v/>
      </c>
      <c r="B783" s="28">
        <f>Duration0+A783</f>
        <v/>
      </c>
      <c r="C783" s="27">
        <f>INT(B783/12)</f>
        <v/>
      </c>
      <c r="D783" s="28">
        <f>AgeAtEntry+C783</f>
        <v/>
      </c>
      <c r="E783" s="29">
        <f>IF(PremiumType="SINGLE",IF(B783=0,PremiumPPInput,0),IF(B783&lt;12*PolicyTerm,PremiumPPInput,0))</f>
        <v/>
      </c>
      <c r="F783" s="30">
        <f>INDEX(MortRates,MATCH(MIN(D783,120),MortAges,0),MAX(MIN(C783,5),0)+1)</f>
        <v/>
      </c>
      <c r="G783" s="31">
        <f>1-(1-F783)^(1/12)</f>
        <v/>
      </c>
      <c r="H783" s="32">
        <f>MAX(LapseBase-LapseStep*C783,LapseFloor)</f>
        <v/>
      </c>
      <c r="I783" s="32">
        <f>IF(HasSurrCharge,INDEX(SurrRates,MIN(C783,SurrDurMax)+1,MATCH(SurrChargeID,SurrTypes,0)),0)</f>
        <v/>
      </c>
      <c r="J783" s="33">
        <f>N782-P782-O782</f>
        <v/>
      </c>
      <c r="K783" s="30">
        <f>IF(B783=12*PolicyTerm,J783,0)</f>
        <v/>
      </c>
      <c r="L783" s="33">
        <f>J783-K783</f>
        <v/>
      </c>
      <c r="M783" s="30">
        <f>IF(B783=0,PolicyCount,0)</f>
        <v/>
      </c>
      <c r="N783" s="33">
        <f>L783+M783</f>
        <v/>
      </c>
      <c r="O783" s="31">
        <f>N783*G783</f>
        <v/>
      </c>
      <c r="P783" s="33">
        <f>(N783-O783)*(1-(1-H783)^(1/12))</f>
        <v/>
      </c>
      <c r="Q783" s="34">
        <f>X782+Z782</f>
        <v/>
      </c>
      <c r="R783" s="29">
        <f>(1-LoadPremRate)*E783</f>
        <v/>
      </c>
      <c r="S783" s="34">
        <f>Q783+R783</f>
        <v/>
      </c>
      <c r="T783" s="29">
        <f>MaintFeeRateAnn/12*S783</f>
        <v/>
      </c>
      <c r="U783" s="29">
        <f>MAX(SumAssured-S783,0)</f>
        <v/>
      </c>
      <c r="V783" s="35">
        <f>CoiMultiple*G783</f>
        <v/>
      </c>
      <c r="W783" s="34">
        <f>V783*U783</f>
        <v/>
      </c>
      <c r="X783" s="34">
        <f>S783-T783-W783</f>
        <v/>
      </c>
      <c r="Y783" s="36">
        <f>EXP((Mu-0.5*Sigma^2)/12+Sigma*SQRT(1/12)*INDEX(NormRand,ScenID,A783+1))-1</f>
        <v/>
      </c>
      <c r="Z783" s="34">
        <f>Y783*X783</f>
        <v/>
      </c>
      <c r="AA783" s="34">
        <f>X783+0.5*Z783</f>
        <v/>
      </c>
      <c r="AB783" s="34">
        <f>Q783*J783</f>
        <v/>
      </c>
      <c r="AC783" s="34">
        <f>Q783*L783</f>
        <v/>
      </c>
      <c r="AD783" s="34">
        <f>S783*N783</f>
        <v/>
      </c>
      <c r="AE783" s="34">
        <f>E783*N783</f>
        <v/>
      </c>
      <c r="AF783" s="34">
        <f>R783*N783</f>
        <v/>
      </c>
      <c r="AG783" s="29">
        <f>MAX(SumAssured,AA783)</f>
        <v/>
      </c>
      <c r="AH783" s="34">
        <f>AG783*O783</f>
        <v/>
      </c>
      <c r="AI783" s="34">
        <f>AA783*O783</f>
        <v/>
      </c>
      <c r="AJ783" s="34">
        <f>AA783*P783</f>
        <v/>
      </c>
      <c r="AK783" s="34">
        <f>I783*AA783*P783</f>
        <v/>
      </c>
      <c r="AL783" s="34">
        <f>AJ783-AK783</f>
        <v/>
      </c>
      <c r="AM783" s="34">
        <f>Q783*K783</f>
        <v/>
      </c>
      <c r="AN783" s="34">
        <f>AH783+AL783+AM783</f>
        <v/>
      </c>
      <c r="AO783" s="34">
        <f>(AG783-AA783)*O783</f>
        <v/>
      </c>
      <c r="AP783" s="34">
        <f>W783*N783</f>
        <v/>
      </c>
      <c r="AQ783" s="34">
        <f>T783*N783</f>
        <v/>
      </c>
      <c r="AR783" s="34">
        <f>Z783*J784+0.5*Z783*(O783+P783)</f>
        <v/>
      </c>
      <c r="AS783" s="30">
        <f>(1+InflationRate)^(A783/12)</f>
        <v/>
      </c>
      <c r="AT783" s="29">
        <f>ExpenseAcq*M783+N783*ExpenseMaint/12*AS783</f>
        <v/>
      </c>
      <c r="AU783" s="29">
        <f>CommissionRate*AE783</f>
        <v/>
      </c>
      <c r="AV783" s="34">
        <f>AB784-AB783</f>
        <v/>
      </c>
      <c r="AW783" s="34">
        <f>AE783+AR783-AN783-AT783-AU783-AV783</f>
        <v/>
      </c>
      <c r="AX783" s="29">
        <f>LoadPremRate*E783*N783+AK783+AQ783-AU783-AT783</f>
        <v/>
      </c>
      <c r="AY783" s="34">
        <f>AP783-AO783</f>
        <v/>
      </c>
      <c r="AZ783" s="37">
        <f>(AW783-AX783-AY783)/MAX(1,ABS(AW783),ABS(AX783),ABS(AY783))</f>
        <v/>
      </c>
      <c r="BA783" s="37">
        <f>IF(OR(K783&gt;0,K784&gt;0),0,(AC784-(AC783+AF783-AQ783-AP783+AR783-AI783-AJ783-AM783))/MAX(1,ABS(AC783),ABS(AC784)))</f>
        <v/>
      </c>
      <c r="BB783" s="35">
        <f>(1+INDEX(DiscRateAnn,INT(A783/12)+1))^(1/12)-1</f>
        <v/>
      </c>
      <c r="BC783" s="31">
        <f>(1+BB783)^-A783</f>
        <v/>
      </c>
      <c r="BD783" s="34">
        <f>AW783*BC783</f>
        <v/>
      </c>
    </row>
    <row r="784">
      <c r="A784" s="27">
        <f>A783+1</f>
        <v/>
      </c>
      <c r="B784" s="28">
        <f>Duration0+A784</f>
        <v/>
      </c>
      <c r="C784" s="27">
        <f>INT(B784/12)</f>
        <v/>
      </c>
      <c r="D784" s="28">
        <f>AgeAtEntry+C784</f>
        <v/>
      </c>
      <c r="E784" s="29">
        <f>IF(PremiumType="SINGLE",IF(B784=0,PremiumPPInput,0),IF(B784&lt;12*PolicyTerm,PremiumPPInput,0))</f>
        <v/>
      </c>
      <c r="F784" s="30">
        <f>INDEX(MortRates,MATCH(MIN(D784,120),MortAges,0),MAX(MIN(C784,5),0)+1)</f>
        <v/>
      </c>
      <c r="G784" s="31">
        <f>1-(1-F784)^(1/12)</f>
        <v/>
      </c>
      <c r="H784" s="32">
        <f>MAX(LapseBase-LapseStep*C784,LapseFloor)</f>
        <v/>
      </c>
      <c r="I784" s="32">
        <f>IF(HasSurrCharge,INDEX(SurrRates,MIN(C784,SurrDurMax)+1,MATCH(SurrChargeID,SurrTypes,0)),0)</f>
        <v/>
      </c>
      <c r="J784" s="33">
        <f>N783-P783-O783</f>
        <v/>
      </c>
      <c r="K784" s="30">
        <f>IF(B784=12*PolicyTerm,J784,0)</f>
        <v/>
      </c>
      <c r="L784" s="33">
        <f>J784-K784</f>
        <v/>
      </c>
      <c r="M784" s="30">
        <f>IF(B784=0,PolicyCount,0)</f>
        <v/>
      </c>
      <c r="N784" s="33">
        <f>L784+M784</f>
        <v/>
      </c>
      <c r="O784" s="31">
        <f>N784*G784</f>
        <v/>
      </c>
      <c r="P784" s="33">
        <f>(N784-O784)*(1-(1-H784)^(1/12))</f>
        <v/>
      </c>
      <c r="Q784" s="34">
        <f>X783+Z783</f>
        <v/>
      </c>
      <c r="R784" s="29">
        <f>(1-LoadPremRate)*E784</f>
        <v/>
      </c>
      <c r="S784" s="34">
        <f>Q784+R784</f>
        <v/>
      </c>
      <c r="T784" s="29">
        <f>MaintFeeRateAnn/12*S784</f>
        <v/>
      </c>
      <c r="U784" s="29">
        <f>MAX(SumAssured-S784,0)</f>
        <v/>
      </c>
      <c r="V784" s="35">
        <f>CoiMultiple*G784</f>
        <v/>
      </c>
      <c r="W784" s="34">
        <f>V784*U784</f>
        <v/>
      </c>
      <c r="X784" s="34">
        <f>S784-T784-W784</f>
        <v/>
      </c>
      <c r="Y784" s="36">
        <f>EXP((Mu-0.5*Sigma^2)/12+Sigma*SQRT(1/12)*INDEX(NormRand,ScenID,A784+1))-1</f>
        <v/>
      </c>
      <c r="Z784" s="34">
        <f>Y784*X784</f>
        <v/>
      </c>
      <c r="AA784" s="34">
        <f>X784+0.5*Z784</f>
        <v/>
      </c>
      <c r="AB784" s="34">
        <f>Q784*J784</f>
        <v/>
      </c>
      <c r="AC784" s="34">
        <f>Q784*L784</f>
        <v/>
      </c>
      <c r="AD784" s="34">
        <f>S784*N784</f>
        <v/>
      </c>
      <c r="AE784" s="34">
        <f>E784*N784</f>
        <v/>
      </c>
      <c r="AF784" s="34">
        <f>R784*N784</f>
        <v/>
      </c>
      <c r="AG784" s="29">
        <f>MAX(SumAssured,AA784)</f>
        <v/>
      </c>
      <c r="AH784" s="34">
        <f>AG784*O784</f>
        <v/>
      </c>
      <c r="AI784" s="34">
        <f>AA784*O784</f>
        <v/>
      </c>
      <c r="AJ784" s="34">
        <f>AA784*P784</f>
        <v/>
      </c>
      <c r="AK784" s="34">
        <f>I784*AA784*P784</f>
        <v/>
      </c>
      <c r="AL784" s="34">
        <f>AJ784-AK784</f>
        <v/>
      </c>
      <c r="AM784" s="34">
        <f>Q784*K784</f>
        <v/>
      </c>
      <c r="AN784" s="34">
        <f>AH784+AL784+AM784</f>
        <v/>
      </c>
      <c r="AO784" s="34">
        <f>(AG784-AA784)*O784</f>
        <v/>
      </c>
      <c r="AP784" s="34">
        <f>W784*N784</f>
        <v/>
      </c>
      <c r="AQ784" s="34">
        <f>T784*N784</f>
        <v/>
      </c>
      <c r="AR784" s="34">
        <f>Z784*J785+0.5*Z784*(O784+P784)</f>
        <v/>
      </c>
      <c r="AS784" s="30">
        <f>(1+InflationRate)^(A784/12)</f>
        <v/>
      </c>
      <c r="AT784" s="29">
        <f>ExpenseAcq*M784+N784*ExpenseMaint/12*AS784</f>
        <v/>
      </c>
      <c r="AU784" s="29">
        <f>CommissionRate*AE784</f>
        <v/>
      </c>
      <c r="AV784" s="34">
        <f>AB785-AB784</f>
        <v/>
      </c>
      <c r="AW784" s="34">
        <f>AE784+AR784-AN784-AT784-AU784-AV784</f>
        <v/>
      </c>
      <c r="AX784" s="29">
        <f>LoadPremRate*E784*N784+AK784+AQ784-AU784-AT784</f>
        <v/>
      </c>
      <c r="AY784" s="34">
        <f>AP784-AO784</f>
        <v/>
      </c>
      <c r="AZ784" s="37">
        <f>(AW784-AX784-AY784)/MAX(1,ABS(AW784),ABS(AX784),ABS(AY784))</f>
        <v/>
      </c>
      <c r="BA784" s="37">
        <f>IF(OR(K784&gt;0,K785&gt;0),0,(AC785-(AC784+AF784-AQ784-AP784+AR784-AI784-AJ784-AM784))/MAX(1,ABS(AC784),ABS(AC785)))</f>
        <v/>
      </c>
      <c r="BB784" s="35">
        <f>(1+INDEX(DiscRateAnn,INT(A784/12)+1))^(1/12)-1</f>
        <v/>
      </c>
      <c r="BC784" s="31">
        <f>(1+BB784)^-A784</f>
        <v/>
      </c>
      <c r="BD784" s="34">
        <f>AW784*BC784</f>
        <v/>
      </c>
    </row>
    <row r="785">
      <c r="A785" s="27">
        <f>A784+1</f>
        <v/>
      </c>
      <c r="B785" s="28">
        <f>Duration0+A785</f>
        <v/>
      </c>
      <c r="C785" s="27">
        <f>INT(B785/12)</f>
        <v/>
      </c>
      <c r="D785" s="28">
        <f>AgeAtEntry+C785</f>
        <v/>
      </c>
      <c r="E785" s="29">
        <f>IF(PremiumType="SINGLE",IF(B785=0,PremiumPPInput,0),IF(B785&lt;12*PolicyTerm,PremiumPPInput,0))</f>
        <v/>
      </c>
      <c r="F785" s="30">
        <f>INDEX(MortRates,MATCH(MIN(D785,120),MortAges,0),MAX(MIN(C785,5),0)+1)</f>
        <v/>
      </c>
      <c r="G785" s="31">
        <f>1-(1-F785)^(1/12)</f>
        <v/>
      </c>
      <c r="H785" s="32">
        <f>MAX(LapseBase-LapseStep*C785,LapseFloor)</f>
        <v/>
      </c>
      <c r="I785" s="32">
        <f>IF(HasSurrCharge,INDEX(SurrRates,MIN(C785,SurrDurMax)+1,MATCH(SurrChargeID,SurrTypes,0)),0)</f>
        <v/>
      </c>
      <c r="J785" s="33">
        <f>N784-P784-O784</f>
        <v/>
      </c>
      <c r="K785" s="30">
        <f>IF(B785=12*PolicyTerm,J785,0)</f>
        <v/>
      </c>
      <c r="L785" s="33">
        <f>J785-K785</f>
        <v/>
      </c>
      <c r="M785" s="30">
        <f>IF(B785=0,PolicyCount,0)</f>
        <v/>
      </c>
      <c r="N785" s="33">
        <f>L785+M785</f>
        <v/>
      </c>
      <c r="O785" s="31">
        <f>N785*G785</f>
        <v/>
      </c>
      <c r="P785" s="33">
        <f>(N785-O785)*(1-(1-H785)^(1/12))</f>
        <v/>
      </c>
      <c r="Q785" s="34">
        <f>X784+Z784</f>
        <v/>
      </c>
      <c r="R785" s="29">
        <f>(1-LoadPremRate)*E785</f>
        <v/>
      </c>
      <c r="S785" s="34">
        <f>Q785+R785</f>
        <v/>
      </c>
      <c r="T785" s="29">
        <f>MaintFeeRateAnn/12*S785</f>
        <v/>
      </c>
      <c r="U785" s="29">
        <f>MAX(SumAssured-S785,0)</f>
        <v/>
      </c>
      <c r="V785" s="35">
        <f>CoiMultiple*G785</f>
        <v/>
      </c>
      <c r="W785" s="34">
        <f>V785*U785</f>
        <v/>
      </c>
      <c r="X785" s="34">
        <f>S785-T785-W785</f>
        <v/>
      </c>
      <c r="Y785" s="36">
        <f>EXP((Mu-0.5*Sigma^2)/12+Sigma*SQRT(1/12)*INDEX(NormRand,ScenID,A785+1))-1</f>
        <v/>
      </c>
      <c r="Z785" s="34">
        <f>Y785*X785</f>
        <v/>
      </c>
      <c r="AA785" s="34">
        <f>X785+0.5*Z785</f>
        <v/>
      </c>
      <c r="AB785" s="34">
        <f>Q785*J785</f>
        <v/>
      </c>
      <c r="AC785" s="34">
        <f>Q785*L785</f>
        <v/>
      </c>
      <c r="AD785" s="34">
        <f>S785*N785</f>
        <v/>
      </c>
      <c r="AE785" s="34">
        <f>E785*N785</f>
        <v/>
      </c>
      <c r="AF785" s="34">
        <f>R785*N785</f>
        <v/>
      </c>
      <c r="AG785" s="29">
        <f>MAX(SumAssured,AA785)</f>
        <v/>
      </c>
      <c r="AH785" s="34">
        <f>AG785*O785</f>
        <v/>
      </c>
      <c r="AI785" s="34">
        <f>AA785*O785</f>
        <v/>
      </c>
      <c r="AJ785" s="34">
        <f>AA785*P785</f>
        <v/>
      </c>
      <c r="AK785" s="34">
        <f>I785*AA785*P785</f>
        <v/>
      </c>
      <c r="AL785" s="34">
        <f>AJ785-AK785</f>
        <v/>
      </c>
      <c r="AM785" s="34">
        <f>Q785*K785</f>
        <v/>
      </c>
      <c r="AN785" s="34">
        <f>AH785+AL785+AM785</f>
        <v/>
      </c>
      <c r="AO785" s="34">
        <f>(AG785-AA785)*O785</f>
        <v/>
      </c>
      <c r="AP785" s="34">
        <f>W785*N785</f>
        <v/>
      </c>
      <c r="AQ785" s="34">
        <f>T785*N785</f>
        <v/>
      </c>
      <c r="AR785" s="34">
        <f>Z785*J786+0.5*Z785*(O785+P785)</f>
        <v/>
      </c>
      <c r="AS785" s="30">
        <f>(1+InflationRate)^(A785/12)</f>
        <v/>
      </c>
      <c r="AT785" s="29">
        <f>ExpenseAcq*M785+N785*ExpenseMaint/12*AS785</f>
        <v/>
      </c>
      <c r="AU785" s="29">
        <f>CommissionRate*AE785</f>
        <v/>
      </c>
      <c r="AV785" s="34">
        <f>AB786-AB785</f>
        <v/>
      </c>
      <c r="AW785" s="34">
        <f>AE785+AR785-AN785-AT785-AU785-AV785</f>
        <v/>
      </c>
      <c r="AX785" s="29">
        <f>LoadPremRate*E785*N785+AK785+AQ785-AU785-AT785</f>
        <v/>
      </c>
      <c r="AY785" s="34">
        <f>AP785-AO785</f>
        <v/>
      </c>
      <c r="AZ785" s="37">
        <f>(AW785-AX785-AY785)/MAX(1,ABS(AW785),ABS(AX785),ABS(AY785))</f>
        <v/>
      </c>
      <c r="BA785" s="37">
        <f>IF(OR(K785&gt;0,K786&gt;0),0,(AC786-(AC785+AF785-AQ785-AP785+AR785-AI785-AJ785-AM785))/MAX(1,ABS(AC785),ABS(AC786)))</f>
        <v/>
      </c>
      <c r="BB785" s="35">
        <f>(1+INDEX(DiscRateAnn,INT(A785/12)+1))^(1/12)-1</f>
        <v/>
      </c>
      <c r="BC785" s="31">
        <f>(1+BB785)^-A785</f>
        <v/>
      </c>
      <c r="BD785" s="34">
        <f>AW785*BC785</f>
        <v/>
      </c>
    </row>
    <row r="786">
      <c r="A786" s="27">
        <f>A785+1</f>
        <v/>
      </c>
      <c r="B786" s="28">
        <f>Duration0+A786</f>
        <v/>
      </c>
      <c r="C786" s="27">
        <f>INT(B786/12)</f>
        <v/>
      </c>
      <c r="D786" s="28">
        <f>AgeAtEntry+C786</f>
        <v/>
      </c>
      <c r="E786" s="29">
        <f>IF(PremiumType="SINGLE",IF(B786=0,PremiumPPInput,0),IF(B786&lt;12*PolicyTerm,PremiumPPInput,0))</f>
        <v/>
      </c>
      <c r="F786" s="30">
        <f>INDEX(MortRates,MATCH(MIN(D786,120),MortAges,0),MAX(MIN(C786,5),0)+1)</f>
        <v/>
      </c>
      <c r="G786" s="31">
        <f>1-(1-F786)^(1/12)</f>
        <v/>
      </c>
      <c r="H786" s="32">
        <f>MAX(LapseBase-LapseStep*C786,LapseFloor)</f>
        <v/>
      </c>
      <c r="I786" s="32">
        <f>IF(HasSurrCharge,INDEX(SurrRates,MIN(C786,SurrDurMax)+1,MATCH(SurrChargeID,SurrTypes,0)),0)</f>
        <v/>
      </c>
      <c r="J786" s="33">
        <f>N785-P785-O785</f>
        <v/>
      </c>
      <c r="K786" s="30">
        <f>IF(B786=12*PolicyTerm,J786,0)</f>
        <v/>
      </c>
      <c r="L786" s="33">
        <f>J786-K786</f>
        <v/>
      </c>
      <c r="M786" s="30">
        <f>IF(B786=0,PolicyCount,0)</f>
        <v/>
      </c>
      <c r="N786" s="33">
        <f>L786+M786</f>
        <v/>
      </c>
      <c r="O786" s="31">
        <f>N786*G786</f>
        <v/>
      </c>
      <c r="P786" s="33">
        <f>(N786-O786)*(1-(1-H786)^(1/12))</f>
        <v/>
      </c>
      <c r="Q786" s="34">
        <f>X785+Z785</f>
        <v/>
      </c>
      <c r="R786" s="29">
        <f>(1-LoadPremRate)*E786</f>
        <v/>
      </c>
      <c r="S786" s="34">
        <f>Q786+R786</f>
        <v/>
      </c>
      <c r="T786" s="29">
        <f>MaintFeeRateAnn/12*S786</f>
        <v/>
      </c>
      <c r="U786" s="29">
        <f>MAX(SumAssured-S786,0)</f>
        <v/>
      </c>
      <c r="V786" s="35">
        <f>CoiMultiple*G786</f>
        <v/>
      </c>
      <c r="W786" s="34">
        <f>V786*U786</f>
        <v/>
      </c>
      <c r="X786" s="34">
        <f>S786-T786-W786</f>
        <v/>
      </c>
      <c r="Y786" s="36">
        <f>EXP((Mu-0.5*Sigma^2)/12+Sigma*SQRT(1/12)*INDEX(NormRand,ScenID,A786+1))-1</f>
        <v/>
      </c>
      <c r="Z786" s="34">
        <f>Y786*X786</f>
        <v/>
      </c>
      <c r="AA786" s="34">
        <f>X786+0.5*Z786</f>
        <v/>
      </c>
      <c r="AB786" s="34">
        <f>Q786*J786</f>
        <v/>
      </c>
      <c r="AC786" s="34">
        <f>Q786*L786</f>
        <v/>
      </c>
      <c r="AD786" s="34">
        <f>S786*N786</f>
        <v/>
      </c>
      <c r="AE786" s="34">
        <f>E786*N786</f>
        <v/>
      </c>
      <c r="AF786" s="34">
        <f>R786*N786</f>
        <v/>
      </c>
      <c r="AG786" s="29">
        <f>MAX(SumAssured,AA786)</f>
        <v/>
      </c>
      <c r="AH786" s="34">
        <f>AG786*O786</f>
        <v/>
      </c>
      <c r="AI786" s="34">
        <f>AA786*O786</f>
        <v/>
      </c>
      <c r="AJ786" s="34">
        <f>AA786*P786</f>
        <v/>
      </c>
      <c r="AK786" s="34">
        <f>I786*AA786*P786</f>
        <v/>
      </c>
      <c r="AL786" s="34">
        <f>AJ786-AK786</f>
        <v/>
      </c>
      <c r="AM786" s="34">
        <f>Q786*K786</f>
        <v/>
      </c>
      <c r="AN786" s="34">
        <f>AH786+AL786+AM786</f>
        <v/>
      </c>
      <c r="AO786" s="34">
        <f>(AG786-AA786)*O786</f>
        <v/>
      </c>
      <c r="AP786" s="34">
        <f>W786*N786</f>
        <v/>
      </c>
      <c r="AQ786" s="34">
        <f>T786*N786</f>
        <v/>
      </c>
      <c r="AR786" s="34">
        <f>Z786*J787+0.5*Z786*(O786+P786)</f>
        <v/>
      </c>
      <c r="AS786" s="30">
        <f>(1+InflationRate)^(A786/12)</f>
        <v/>
      </c>
      <c r="AT786" s="29">
        <f>ExpenseAcq*M786+N786*ExpenseMaint/12*AS786</f>
        <v/>
      </c>
      <c r="AU786" s="29">
        <f>CommissionRate*AE786</f>
        <v/>
      </c>
      <c r="AV786" s="34">
        <f>AB787-AB786</f>
        <v/>
      </c>
      <c r="AW786" s="34">
        <f>AE786+AR786-AN786-AT786-AU786-AV786</f>
        <v/>
      </c>
      <c r="AX786" s="29">
        <f>LoadPremRate*E786*N786+AK786+AQ786-AU786-AT786</f>
        <v/>
      </c>
      <c r="AY786" s="34">
        <f>AP786-AO786</f>
        <v/>
      </c>
      <c r="AZ786" s="37">
        <f>(AW786-AX786-AY786)/MAX(1,ABS(AW786),ABS(AX786),ABS(AY786))</f>
        <v/>
      </c>
      <c r="BA786" s="37">
        <f>IF(OR(K786&gt;0,K787&gt;0),0,(AC787-(AC786+AF786-AQ786-AP786+AR786-AI786-AJ786-AM786))/MAX(1,ABS(AC786),ABS(AC787)))</f>
        <v/>
      </c>
      <c r="BB786" s="35">
        <f>(1+INDEX(DiscRateAnn,INT(A786/12)+1))^(1/12)-1</f>
        <v/>
      </c>
      <c r="BC786" s="31">
        <f>(1+BB786)^-A786</f>
        <v/>
      </c>
      <c r="BD786" s="34">
        <f>AW786*BC786</f>
        <v/>
      </c>
    </row>
    <row r="787">
      <c r="A787" s="27">
        <f>A786+1</f>
        <v/>
      </c>
      <c r="B787" s="28">
        <f>Duration0+A787</f>
        <v/>
      </c>
      <c r="C787" s="27">
        <f>INT(B787/12)</f>
        <v/>
      </c>
      <c r="D787" s="28">
        <f>AgeAtEntry+C787</f>
        <v/>
      </c>
      <c r="E787" s="29">
        <f>IF(PremiumType="SINGLE",IF(B787=0,PremiumPPInput,0),IF(B787&lt;12*PolicyTerm,PremiumPPInput,0))</f>
        <v/>
      </c>
      <c r="F787" s="30">
        <f>INDEX(MortRates,MATCH(MIN(D787,120),MortAges,0),MAX(MIN(C787,5),0)+1)</f>
        <v/>
      </c>
      <c r="G787" s="31">
        <f>1-(1-F787)^(1/12)</f>
        <v/>
      </c>
      <c r="H787" s="32">
        <f>MAX(LapseBase-LapseStep*C787,LapseFloor)</f>
        <v/>
      </c>
      <c r="I787" s="32">
        <f>IF(HasSurrCharge,INDEX(SurrRates,MIN(C787,SurrDurMax)+1,MATCH(SurrChargeID,SurrTypes,0)),0)</f>
        <v/>
      </c>
      <c r="J787" s="33">
        <f>N786-P786-O786</f>
        <v/>
      </c>
      <c r="K787" s="30">
        <f>IF(B787=12*PolicyTerm,J787,0)</f>
        <v/>
      </c>
      <c r="L787" s="33">
        <f>J787-K787</f>
        <v/>
      </c>
      <c r="M787" s="30">
        <f>IF(B787=0,PolicyCount,0)</f>
        <v/>
      </c>
      <c r="N787" s="33">
        <f>L787+M787</f>
        <v/>
      </c>
      <c r="O787" s="31">
        <f>N787*G787</f>
        <v/>
      </c>
      <c r="P787" s="33">
        <f>(N787-O787)*(1-(1-H787)^(1/12))</f>
        <v/>
      </c>
      <c r="Q787" s="34">
        <f>X786+Z786</f>
        <v/>
      </c>
      <c r="R787" s="29">
        <f>(1-LoadPremRate)*E787</f>
        <v/>
      </c>
      <c r="S787" s="34">
        <f>Q787+R787</f>
        <v/>
      </c>
      <c r="T787" s="29">
        <f>MaintFeeRateAnn/12*S787</f>
        <v/>
      </c>
      <c r="U787" s="29">
        <f>MAX(SumAssured-S787,0)</f>
        <v/>
      </c>
      <c r="V787" s="35">
        <f>CoiMultiple*G787</f>
        <v/>
      </c>
      <c r="W787" s="34">
        <f>V787*U787</f>
        <v/>
      </c>
      <c r="X787" s="34">
        <f>S787-T787-W787</f>
        <v/>
      </c>
      <c r="Y787" s="36">
        <f>EXP((Mu-0.5*Sigma^2)/12+Sigma*SQRT(1/12)*INDEX(NormRand,ScenID,A787+1))-1</f>
        <v/>
      </c>
      <c r="Z787" s="34">
        <f>Y787*X787</f>
        <v/>
      </c>
      <c r="AA787" s="34">
        <f>X787+0.5*Z787</f>
        <v/>
      </c>
      <c r="AB787" s="34">
        <f>Q787*J787</f>
        <v/>
      </c>
      <c r="AC787" s="34">
        <f>Q787*L787</f>
        <v/>
      </c>
      <c r="AD787" s="34">
        <f>S787*N787</f>
        <v/>
      </c>
      <c r="AE787" s="34">
        <f>E787*N787</f>
        <v/>
      </c>
      <c r="AF787" s="34">
        <f>R787*N787</f>
        <v/>
      </c>
      <c r="AG787" s="29">
        <f>MAX(SumAssured,AA787)</f>
        <v/>
      </c>
      <c r="AH787" s="34">
        <f>AG787*O787</f>
        <v/>
      </c>
      <c r="AI787" s="34">
        <f>AA787*O787</f>
        <v/>
      </c>
      <c r="AJ787" s="34">
        <f>AA787*P787</f>
        <v/>
      </c>
      <c r="AK787" s="34">
        <f>I787*AA787*P787</f>
        <v/>
      </c>
      <c r="AL787" s="34">
        <f>AJ787-AK787</f>
        <v/>
      </c>
      <c r="AM787" s="34">
        <f>Q787*K787</f>
        <v/>
      </c>
      <c r="AN787" s="34">
        <f>AH787+AL787+AM787</f>
        <v/>
      </c>
      <c r="AO787" s="34">
        <f>(AG787-AA787)*O787</f>
        <v/>
      </c>
      <c r="AP787" s="34">
        <f>W787*N787</f>
        <v/>
      </c>
      <c r="AQ787" s="34">
        <f>T787*N787</f>
        <v/>
      </c>
      <c r="AR787" s="34">
        <f>Z787*J788+0.5*Z787*(O787+P787)</f>
        <v/>
      </c>
      <c r="AS787" s="30">
        <f>(1+InflationRate)^(A787/12)</f>
        <v/>
      </c>
      <c r="AT787" s="29">
        <f>ExpenseAcq*M787+N787*ExpenseMaint/12*AS787</f>
        <v/>
      </c>
      <c r="AU787" s="29">
        <f>CommissionRate*AE787</f>
        <v/>
      </c>
      <c r="AV787" s="34">
        <f>AB788-AB787</f>
        <v/>
      </c>
      <c r="AW787" s="34">
        <f>AE787+AR787-AN787-AT787-AU787-AV787</f>
        <v/>
      </c>
      <c r="AX787" s="29">
        <f>LoadPremRate*E787*N787+AK787+AQ787-AU787-AT787</f>
        <v/>
      </c>
      <c r="AY787" s="34">
        <f>AP787-AO787</f>
        <v/>
      </c>
      <c r="AZ787" s="37">
        <f>(AW787-AX787-AY787)/MAX(1,ABS(AW787),ABS(AX787),ABS(AY787))</f>
        <v/>
      </c>
      <c r="BA787" s="37">
        <f>IF(OR(K787&gt;0,K788&gt;0),0,(AC788-(AC787+AF787-AQ787-AP787+AR787-AI787-AJ787-AM787))/MAX(1,ABS(AC787),ABS(AC788)))</f>
        <v/>
      </c>
      <c r="BB787" s="35">
        <f>(1+INDEX(DiscRateAnn,INT(A787/12)+1))^(1/12)-1</f>
        <v/>
      </c>
      <c r="BC787" s="31">
        <f>(1+BB787)^-A787</f>
        <v/>
      </c>
      <c r="BD787" s="34">
        <f>AW787*BC787</f>
        <v/>
      </c>
    </row>
    <row r="788">
      <c r="A788" s="27">
        <f>A787+1</f>
        <v/>
      </c>
      <c r="B788" s="28">
        <f>Duration0+A788</f>
        <v/>
      </c>
      <c r="C788" s="27">
        <f>INT(B788/12)</f>
        <v/>
      </c>
      <c r="D788" s="28">
        <f>AgeAtEntry+C788</f>
        <v/>
      </c>
      <c r="E788" s="29">
        <f>IF(PremiumType="SINGLE",IF(B788=0,PremiumPPInput,0),IF(B788&lt;12*PolicyTerm,PremiumPPInput,0))</f>
        <v/>
      </c>
      <c r="F788" s="30">
        <f>INDEX(MortRates,MATCH(MIN(D788,120),MortAges,0),MAX(MIN(C788,5),0)+1)</f>
        <v/>
      </c>
      <c r="G788" s="31">
        <f>1-(1-F788)^(1/12)</f>
        <v/>
      </c>
      <c r="H788" s="32">
        <f>MAX(LapseBase-LapseStep*C788,LapseFloor)</f>
        <v/>
      </c>
      <c r="I788" s="32">
        <f>IF(HasSurrCharge,INDEX(SurrRates,MIN(C788,SurrDurMax)+1,MATCH(SurrChargeID,SurrTypes,0)),0)</f>
        <v/>
      </c>
      <c r="J788" s="33">
        <f>N787-P787-O787</f>
        <v/>
      </c>
      <c r="K788" s="30">
        <f>IF(B788=12*PolicyTerm,J788,0)</f>
        <v/>
      </c>
      <c r="L788" s="33">
        <f>J788-K788</f>
        <v/>
      </c>
      <c r="M788" s="30">
        <f>IF(B788=0,PolicyCount,0)</f>
        <v/>
      </c>
      <c r="N788" s="33">
        <f>L788+M788</f>
        <v/>
      </c>
      <c r="O788" s="31">
        <f>N788*G788</f>
        <v/>
      </c>
      <c r="P788" s="33">
        <f>(N788-O788)*(1-(1-H788)^(1/12))</f>
        <v/>
      </c>
      <c r="Q788" s="34">
        <f>X787+Z787</f>
        <v/>
      </c>
      <c r="R788" s="29">
        <f>(1-LoadPremRate)*E788</f>
        <v/>
      </c>
      <c r="S788" s="34">
        <f>Q788+R788</f>
        <v/>
      </c>
      <c r="T788" s="29">
        <f>MaintFeeRateAnn/12*S788</f>
        <v/>
      </c>
      <c r="U788" s="29">
        <f>MAX(SumAssured-S788,0)</f>
        <v/>
      </c>
      <c r="V788" s="35">
        <f>CoiMultiple*G788</f>
        <v/>
      </c>
      <c r="W788" s="34">
        <f>V788*U788</f>
        <v/>
      </c>
      <c r="X788" s="34">
        <f>S788-T788-W788</f>
        <v/>
      </c>
      <c r="Y788" s="36">
        <f>EXP((Mu-0.5*Sigma^2)/12+Sigma*SQRT(1/12)*INDEX(NormRand,ScenID,A788+1))-1</f>
        <v/>
      </c>
      <c r="Z788" s="34">
        <f>Y788*X788</f>
        <v/>
      </c>
      <c r="AA788" s="34">
        <f>X788+0.5*Z788</f>
        <v/>
      </c>
      <c r="AB788" s="34">
        <f>Q788*J788</f>
        <v/>
      </c>
      <c r="AC788" s="34">
        <f>Q788*L788</f>
        <v/>
      </c>
      <c r="AD788" s="34">
        <f>S788*N788</f>
        <v/>
      </c>
      <c r="AE788" s="34">
        <f>E788*N788</f>
        <v/>
      </c>
      <c r="AF788" s="34">
        <f>R788*N788</f>
        <v/>
      </c>
      <c r="AG788" s="29">
        <f>MAX(SumAssured,AA788)</f>
        <v/>
      </c>
      <c r="AH788" s="34">
        <f>AG788*O788</f>
        <v/>
      </c>
      <c r="AI788" s="34">
        <f>AA788*O788</f>
        <v/>
      </c>
      <c r="AJ788" s="34">
        <f>AA788*P788</f>
        <v/>
      </c>
      <c r="AK788" s="34">
        <f>I788*AA788*P788</f>
        <v/>
      </c>
      <c r="AL788" s="34">
        <f>AJ788-AK788</f>
        <v/>
      </c>
      <c r="AM788" s="34">
        <f>Q788*K788</f>
        <v/>
      </c>
      <c r="AN788" s="34">
        <f>AH788+AL788+AM788</f>
        <v/>
      </c>
      <c r="AO788" s="34">
        <f>(AG788-AA788)*O788</f>
        <v/>
      </c>
      <c r="AP788" s="34">
        <f>W788*N788</f>
        <v/>
      </c>
      <c r="AQ788" s="34">
        <f>T788*N788</f>
        <v/>
      </c>
      <c r="AR788" s="34">
        <f>Z788*J789+0.5*Z788*(O788+P788)</f>
        <v/>
      </c>
      <c r="AS788" s="30">
        <f>(1+InflationRate)^(A788/12)</f>
        <v/>
      </c>
      <c r="AT788" s="29">
        <f>ExpenseAcq*M788+N788*ExpenseMaint/12*AS788</f>
        <v/>
      </c>
      <c r="AU788" s="29">
        <f>CommissionRate*AE788</f>
        <v/>
      </c>
      <c r="AV788" s="34">
        <f>AB789-AB788</f>
        <v/>
      </c>
      <c r="AW788" s="34">
        <f>AE788+AR788-AN788-AT788-AU788-AV788</f>
        <v/>
      </c>
      <c r="AX788" s="29">
        <f>LoadPremRate*E788*N788+AK788+AQ788-AU788-AT788</f>
        <v/>
      </c>
      <c r="AY788" s="34">
        <f>AP788-AO788</f>
        <v/>
      </c>
      <c r="AZ788" s="37">
        <f>(AW788-AX788-AY788)/MAX(1,ABS(AW788),ABS(AX788),ABS(AY788))</f>
        <v/>
      </c>
      <c r="BA788" s="37">
        <f>IF(OR(K788&gt;0,K789&gt;0),0,(AC789-(AC788+AF788-AQ788-AP788+AR788-AI788-AJ788-AM788))/MAX(1,ABS(AC788),ABS(AC789)))</f>
        <v/>
      </c>
      <c r="BB788" s="35">
        <f>(1+INDEX(DiscRateAnn,INT(A788/12)+1))^(1/12)-1</f>
        <v/>
      </c>
      <c r="BC788" s="31">
        <f>(1+BB788)^-A788</f>
        <v/>
      </c>
      <c r="BD788" s="34">
        <f>AW788*BC788</f>
        <v/>
      </c>
    </row>
    <row r="789">
      <c r="A789" s="27">
        <f>A788+1</f>
        <v/>
      </c>
      <c r="B789" s="28">
        <f>Duration0+A789</f>
        <v/>
      </c>
      <c r="C789" s="27">
        <f>INT(B789/12)</f>
        <v/>
      </c>
      <c r="D789" s="28">
        <f>AgeAtEntry+C789</f>
        <v/>
      </c>
      <c r="E789" s="29">
        <f>IF(PremiumType="SINGLE",IF(B789=0,PremiumPPInput,0),IF(B789&lt;12*PolicyTerm,PremiumPPInput,0))</f>
        <v/>
      </c>
      <c r="F789" s="30">
        <f>INDEX(MortRates,MATCH(MIN(D789,120),MortAges,0),MAX(MIN(C789,5),0)+1)</f>
        <v/>
      </c>
      <c r="G789" s="31">
        <f>1-(1-F789)^(1/12)</f>
        <v/>
      </c>
      <c r="H789" s="32">
        <f>MAX(LapseBase-LapseStep*C789,LapseFloor)</f>
        <v/>
      </c>
      <c r="I789" s="32">
        <f>IF(HasSurrCharge,INDEX(SurrRates,MIN(C789,SurrDurMax)+1,MATCH(SurrChargeID,SurrTypes,0)),0)</f>
        <v/>
      </c>
      <c r="J789" s="33">
        <f>N788-P788-O788</f>
        <v/>
      </c>
      <c r="K789" s="30">
        <f>IF(B789=12*PolicyTerm,J789,0)</f>
        <v/>
      </c>
      <c r="L789" s="33">
        <f>J789-K789</f>
        <v/>
      </c>
      <c r="M789" s="30">
        <f>IF(B789=0,PolicyCount,0)</f>
        <v/>
      </c>
      <c r="N789" s="33">
        <f>L789+M789</f>
        <v/>
      </c>
      <c r="O789" s="31">
        <f>N789*G789</f>
        <v/>
      </c>
      <c r="P789" s="33">
        <f>(N789-O789)*(1-(1-H789)^(1/12))</f>
        <v/>
      </c>
      <c r="Q789" s="34">
        <f>X788+Z788</f>
        <v/>
      </c>
      <c r="R789" s="29">
        <f>(1-LoadPremRate)*E789</f>
        <v/>
      </c>
      <c r="S789" s="34">
        <f>Q789+R789</f>
        <v/>
      </c>
      <c r="T789" s="29">
        <f>MaintFeeRateAnn/12*S789</f>
        <v/>
      </c>
      <c r="U789" s="29">
        <f>MAX(SumAssured-S789,0)</f>
        <v/>
      </c>
      <c r="V789" s="35">
        <f>CoiMultiple*G789</f>
        <v/>
      </c>
      <c r="W789" s="34">
        <f>V789*U789</f>
        <v/>
      </c>
      <c r="X789" s="34">
        <f>S789-T789-W789</f>
        <v/>
      </c>
      <c r="Y789" s="36">
        <f>EXP((Mu-0.5*Sigma^2)/12+Sigma*SQRT(1/12)*INDEX(NormRand,ScenID,A789+1))-1</f>
        <v/>
      </c>
      <c r="Z789" s="34">
        <f>Y789*X789</f>
        <v/>
      </c>
      <c r="AA789" s="34">
        <f>X789+0.5*Z789</f>
        <v/>
      </c>
      <c r="AB789" s="34">
        <f>Q789*J789</f>
        <v/>
      </c>
      <c r="AC789" s="34">
        <f>Q789*L789</f>
        <v/>
      </c>
      <c r="AD789" s="34">
        <f>S789*N789</f>
        <v/>
      </c>
      <c r="AE789" s="34">
        <f>E789*N789</f>
        <v/>
      </c>
      <c r="AF789" s="34">
        <f>R789*N789</f>
        <v/>
      </c>
      <c r="AG789" s="29">
        <f>MAX(SumAssured,AA789)</f>
        <v/>
      </c>
      <c r="AH789" s="34">
        <f>AG789*O789</f>
        <v/>
      </c>
      <c r="AI789" s="34">
        <f>AA789*O789</f>
        <v/>
      </c>
      <c r="AJ789" s="34">
        <f>AA789*P789</f>
        <v/>
      </c>
      <c r="AK789" s="34">
        <f>I789*AA789*P789</f>
        <v/>
      </c>
      <c r="AL789" s="34">
        <f>AJ789-AK789</f>
        <v/>
      </c>
      <c r="AM789" s="34">
        <f>Q789*K789</f>
        <v/>
      </c>
      <c r="AN789" s="34">
        <f>AH789+AL789+AM789</f>
        <v/>
      </c>
      <c r="AO789" s="34">
        <f>(AG789-AA789)*O789</f>
        <v/>
      </c>
      <c r="AP789" s="34">
        <f>W789*N789</f>
        <v/>
      </c>
      <c r="AQ789" s="34">
        <f>T789*N789</f>
        <v/>
      </c>
      <c r="AR789" s="34">
        <f>Z789*J790+0.5*Z789*(O789+P789)</f>
        <v/>
      </c>
      <c r="AS789" s="30">
        <f>(1+InflationRate)^(A789/12)</f>
        <v/>
      </c>
      <c r="AT789" s="29">
        <f>ExpenseAcq*M789+N789*ExpenseMaint/12*AS789</f>
        <v/>
      </c>
      <c r="AU789" s="29">
        <f>CommissionRate*AE789</f>
        <v/>
      </c>
      <c r="AV789" s="34">
        <f>AB790-AB789</f>
        <v/>
      </c>
      <c r="AW789" s="34">
        <f>AE789+AR789-AN789-AT789-AU789-AV789</f>
        <v/>
      </c>
      <c r="AX789" s="29">
        <f>LoadPremRate*E789*N789+AK789+AQ789-AU789-AT789</f>
        <v/>
      </c>
      <c r="AY789" s="34">
        <f>AP789-AO789</f>
        <v/>
      </c>
      <c r="AZ789" s="37">
        <f>(AW789-AX789-AY789)/MAX(1,ABS(AW789),ABS(AX789),ABS(AY789))</f>
        <v/>
      </c>
      <c r="BA789" s="37">
        <f>IF(OR(K789&gt;0,K790&gt;0),0,(AC790-(AC789+AF789-AQ789-AP789+AR789-AI789-AJ789-AM789))/MAX(1,ABS(AC789),ABS(AC790)))</f>
        <v/>
      </c>
      <c r="BB789" s="35">
        <f>(1+INDEX(DiscRateAnn,INT(A789/12)+1))^(1/12)-1</f>
        <v/>
      </c>
      <c r="BC789" s="31">
        <f>(1+BB789)^-A789</f>
        <v/>
      </c>
      <c r="BD789" s="34">
        <f>AW789*BC789</f>
        <v/>
      </c>
    </row>
    <row r="790">
      <c r="A790" s="27">
        <f>A789+1</f>
        <v/>
      </c>
      <c r="B790" s="28">
        <f>Duration0+A790</f>
        <v/>
      </c>
      <c r="C790" s="27">
        <f>INT(B790/12)</f>
        <v/>
      </c>
      <c r="D790" s="28">
        <f>AgeAtEntry+C790</f>
        <v/>
      </c>
      <c r="E790" s="29">
        <f>IF(PremiumType="SINGLE",IF(B790=0,PremiumPPInput,0),IF(B790&lt;12*PolicyTerm,PremiumPPInput,0))</f>
        <v/>
      </c>
      <c r="F790" s="30">
        <f>INDEX(MortRates,MATCH(MIN(D790,120),MortAges,0),MAX(MIN(C790,5),0)+1)</f>
        <v/>
      </c>
      <c r="G790" s="31">
        <f>1-(1-F790)^(1/12)</f>
        <v/>
      </c>
      <c r="H790" s="32">
        <f>MAX(LapseBase-LapseStep*C790,LapseFloor)</f>
        <v/>
      </c>
      <c r="I790" s="32">
        <f>IF(HasSurrCharge,INDEX(SurrRates,MIN(C790,SurrDurMax)+1,MATCH(SurrChargeID,SurrTypes,0)),0)</f>
        <v/>
      </c>
      <c r="J790" s="33">
        <f>N789-P789-O789</f>
        <v/>
      </c>
      <c r="K790" s="30">
        <f>IF(B790=12*PolicyTerm,J790,0)</f>
        <v/>
      </c>
      <c r="L790" s="33">
        <f>J790-K790</f>
        <v/>
      </c>
      <c r="M790" s="30">
        <f>IF(B790=0,PolicyCount,0)</f>
        <v/>
      </c>
      <c r="N790" s="33">
        <f>L790+M790</f>
        <v/>
      </c>
      <c r="O790" s="31">
        <f>N790*G790</f>
        <v/>
      </c>
      <c r="P790" s="33">
        <f>(N790-O790)*(1-(1-H790)^(1/12))</f>
        <v/>
      </c>
      <c r="Q790" s="34">
        <f>X789+Z789</f>
        <v/>
      </c>
      <c r="R790" s="29">
        <f>(1-LoadPremRate)*E790</f>
        <v/>
      </c>
      <c r="S790" s="34">
        <f>Q790+R790</f>
        <v/>
      </c>
      <c r="T790" s="29">
        <f>MaintFeeRateAnn/12*S790</f>
        <v/>
      </c>
      <c r="U790" s="29">
        <f>MAX(SumAssured-S790,0)</f>
        <v/>
      </c>
      <c r="V790" s="35">
        <f>CoiMultiple*G790</f>
        <v/>
      </c>
      <c r="W790" s="34">
        <f>V790*U790</f>
        <v/>
      </c>
      <c r="X790" s="34">
        <f>S790-T790-W790</f>
        <v/>
      </c>
      <c r="Y790" s="36">
        <f>EXP((Mu-0.5*Sigma^2)/12+Sigma*SQRT(1/12)*INDEX(NormRand,ScenID,A790+1))-1</f>
        <v/>
      </c>
      <c r="Z790" s="34">
        <f>Y790*X790</f>
        <v/>
      </c>
      <c r="AA790" s="34">
        <f>X790+0.5*Z790</f>
        <v/>
      </c>
      <c r="AB790" s="34">
        <f>Q790*J790</f>
        <v/>
      </c>
      <c r="AC790" s="34">
        <f>Q790*L790</f>
        <v/>
      </c>
      <c r="AD790" s="34">
        <f>S790*N790</f>
        <v/>
      </c>
      <c r="AE790" s="34">
        <f>E790*N790</f>
        <v/>
      </c>
      <c r="AF790" s="34">
        <f>R790*N790</f>
        <v/>
      </c>
      <c r="AG790" s="29">
        <f>MAX(SumAssured,AA790)</f>
        <v/>
      </c>
      <c r="AH790" s="34">
        <f>AG790*O790</f>
        <v/>
      </c>
      <c r="AI790" s="34">
        <f>AA790*O790</f>
        <v/>
      </c>
      <c r="AJ790" s="34">
        <f>AA790*P790</f>
        <v/>
      </c>
      <c r="AK790" s="34">
        <f>I790*AA790*P790</f>
        <v/>
      </c>
      <c r="AL790" s="34">
        <f>AJ790-AK790</f>
        <v/>
      </c>
      <c r="AM790" s="34">
        <f>Q790*K790</f>
        <v/>
      </c>
      <c r="AN790" s="34">
        <f>AH790+AL790+AM790</f>
        <v/>
      </c>
      <c r="AO790" s="34">
        <f>(AG790-AA790)*O790</f>
        <v/>
      </c>
      <c r="AP790" s="34">
        <f>W790*N790</f>
        <v/>
      </c>
      <c r="AQ790" s="34">
        <f>T790*N790</f>
        <v/>
      </c>
      <c r="AR790" s="34">
        <f>Z790*J791+0.5*Z790*(O790+P790)</f>
        <v/>
      </c>
      <c r="AS790" s="30">
        <f>(1+InflationRate)^(A790/12)</f>
        <v/>
      </c>
      <c r="AT790" s="29">
        <f>ExpenseAcq*M790+N790*ExpenseMaint/12*AS790</f>
        <v/>
      </c>
      <c r="AU790" s="29">
        <f>CommissionRate*AE790</f>
        <v/>
      </c>
      <c r="AV790" s="34">
        <f>AB791-AB790</f>
        <v/>
      </c>
      <c r="AW790" s="34">
        <f>AE790+AR790-AN790-AT790-AU790-AV790</f>
        <v/>
      </c>
      <c r="AX790" s="29">
        <f>LoadPremRate*E790*N790+AK790+AQ790-AU790-AT790</f>
        <v/>
      </c>
      <c r="AY790" s="34">
        <f>AP790-AO790</f>
        <v/>
      </c>
      <c r="AZ790" s="37">
        <f>(AW790-AX790-AY790)/MAX(1,ABS(AW790),ABS(AX790),ABS(AY790))</f>
        <v/>
      </c>
      <c r="BA790" s="37">
        <f>IF(OR(K790&gt;0,K791&gt;0),0,(AC791-(AC790+AF790-AQ790-AP790+AR790-AI790-AJ790-AM790))/MAX(1,ABS(AC790),ABS(AC791)))</f>
        <v/>
      </c>
      <c r="BB790" s="35">
        <f>(1+INDEX(DiscRateAnn,INT(A790/12)+1))^(1/12)-1</f>
        <v/>
      </c>
      <c r="BC790" s="31">
        <f>(1+BB790)^-A790</f>
        <v/>
      </c>
      <c r="BD790" s="34">
        <f>AW790*BC790</f>
        <v/>
      </c>
    </row>
    <row r="791">
      <c r="A791" s="27">
        <f>A790+1</f>
        <v/>
      </c>
      <c r="B791" s="28">
        <f>Duration0+A791</f>
        <v/>
      </c>
      <c r="C791" s="27">
        <f>INT(B791/12)</f>
        <v/>
      </c>
      <c r="D791" s="28">
        <f>AgeAtEntry+C791</f>
        <v/>
      </c>
      <c r="E791" s="29">
        <f>IF(PremiumType="SINGLE",IF(B791=0,PremiumPPInput,0),IF(B791&lt;12*PolicyTerm,PremiumPPInput,0))</f>
        <v/>
      </c>
      <c r="F791" s="30">
        <f>INDEX(MortRates,MATCH(MIN(D791,120),MortAges,0),MAX(MIN(C791,5),0)+1)</f>
        <v/>
      </c>
      <c r="G791" s="31">
        <f>1-(1-F791)^(1/12)</f>
        <v/>
      </c>
      <c r="H791" s="32">
        <f>MAX(LapseBase-LapseStep*C791,LapseFloor)</f>
        <v/>
      </c>
      <c r="I791" s="32">
        <f>IF(HasSurrCharge,INDEX(SurrRates,MIN(C791,SurrDurMax)+1,MATCH(SurrChargeID,SurrTypes,0)),0)</f>
        <v/>
      </c>
      <c r="J791" s="33">
        <f>N790-P790-O790</f>
        <v/>
      </c>
      <c r="K791" s="30">
        <f>IF(B791=12*PolicyTerm,J791,0)</f>
        <v/>
      </c>
      <c r="L791" s="33">
        <f>J791-K791</f>
        <v/>
      </c>
      <c r="M791" s="30">
        <f>IF(B791=0,PolicyCount,0)</f>
        <v/>
      </c>
      <c r="N791" s="33">
        <f>L791+M791</f>
        <v/>
      </c>
      <c r="O791" s="31">
        <f>N791*G791</f>
        <v/>
      </c>
      <c r="P791" s="33">
        <f>(N791-O791)*(1-(1-H791)^(1/12))</f>
        <v/>
      </c>
      <c r="Q791" s="34">
        <f>X790+Z790</f>
        <v/>
      </c>
      <c r="R791" s="29">
        <f>(1-LoadPremRate)*E791</f>
        <v/>
      </c>
      <c r="S791" s="34">
        <f>Q791+R791</f>
        <v/>
      </c>
      <c r="T791" s="29">
        <f>MaintFeeRateAnn/12*S791</f>
        <v/>
      </c>
      <c r="U791" s="29">
        <f>MAX(SumAssured-S791,0)</f>
        <v/>
      </c>
      <c r="V791" s="35">
        <f>CoiMultiple*G791</f>
        <v/>
      </c>
      <c r="W791" s="34">
        <f>V791*U791</f>
        <v/>
      </c>
      <c r="X791" s="34">
        <f>S791-T791-W791</f>
        <v/>
      </c>
      <c r="Y791" s="36">
        <f>EXP((Mu-0.5*Sigma^2)/12+Sigma*SQRT(1/12)*INDEX(NormRand,ScenID,A791+1))-1</f>
        <v/>
      </c>
      <c r="Z791" s="34">
        <f>Y791*X791</f>
        <v/>
      </c>
      <c r="AA791" s="34">
        <f>X791+0.5*Z791</f>
        <v/>
      </c>
      <c r="AB791" s="34">
        <f>Q791*J791</f>
        <v/>
      </c>
      <c r="AC791" s="34">
        <f>Q791*L791</f>
        <v/>
      </c>
      <c r="AD791" s="34">
        <f>S791*N791</f>
        <v/>
      </c>
      <c r="AE791" s="34">
        <f>E791*N791</f>
        <v/>
      </c>
      <c r="AF791" s="34">
        <f>R791*N791</f>
        <v/>
      </c>
      <c r="AG791" s="29">
        <f>MAX(SumAssured,AA791)</f>
        <v/>
      </c>
      <c r="AH791" s="34">
        <f>AG791*O791</f>
        <v/>
      </c>
      <c r="AI791" s="34">
        <f>AA791*O791</f>
        <v/>
      </c>
      <c r="AJ791" s="34">
        <f>AA791*P791</f>
        <v/>
      </c>
      <c r="AK791" s="34">
        <f>I791*AA791*P791</f>
        <v/>
      </c>
      <c r="AL791" s="34">
        <f>AJ791-AK791</f>
        <v/>
      </c>
      <c r="AM791" s="34">
        <f>Q791*K791</f>
        <v/>
      </c>
      <c r="AN791" s="34">
        <f>AH791+AL791+AM791</f>
        <v/>
      </c>
      <c r="AO791" s="34">
        <f>(AG791-AA791)*O791</f>
        <v/>
      </c>
      <c r="AP791" s="34">
        <f>W791*N791</f>
        <v/>
      </c>
      <c r="AQ791" s="34">
        <f>T791*N791</f>
        <v/>
      </c>
      <c r="AR791" s="34">
        <f>Z791*J792+0.5*Z791*(O791+P791)</f>
        <v/>
      </c>
      <c r="AS791" s="30">
        <f>(1+InflationRate)^(A791/12)</f>
        <v/>
      </c>
      <c r="AT791" s="29">
        <f>ExpenseAcq*M791+N791*ExpenseMaint/12*AS791</f>
        <v/>
      </c>
      <c r="AU791" s="29">
        <f>CommissionRate*AE791</f>
        <v/>
      </c>
      <c r="AV791" s="34">
        <f>AB792-AB791</f>
        <v/>
      </c>
      <c r="AW791" s="34">
        <f>AE791+AR791-AN791-AT791-AU791-AV791</f>
        <v/>
      </c>
      <c r="AX791" s="29">
        <f>LoadPremRate*E791*N791+AK791+AQ791-AU791-AT791</f>
        <v/>
      </c>
      <c r="AY791" s="34">
        <f>AP791-AO791</f>
        <v/>
      </c>
      <c r="AZ791" s="37">
        <f>(AW791-AX791-AY791)/MAX(1,ABS(AW791),ABS(AX791),ABS(AY791))</f>
        <v/>
      </c>
      <c r="BA791" s="37">
        <f>IF(OR(K791&gt;0,K792&gt;0),0,(AC792-(AC791+AF791-AQ791-AP791+AR791-AI791-AJ791-AM791))/MAX(1,ABS(AC791),ABS(AC792)))</f>
        <v/>
      </c>
      <c r="BB791" s="35">
        <f>(1+INDEX(DiscRateAnn,INT(A791/12)+1))^(1/12)-1</f>
        <v/>
      </c>
      <c r="BC791" s="31">
        <f>(1+BB791)^-A791</f>
        <v/>
      </c>
      <c r="BD791" s="34">
        <f>AW791*BC791</f>
        <v/>
      </c>
    </row>
    <row r="792">
      <c r="A792" s="27">
        <f>A791+1</f>
        <v/>
      </c>
      <c r="B792" s="28">
        <f>Duration0+A792</f>
        <v/>
      </c>
      <c r="C792" s="27">
        <f>INT(B792/12)</f>
        <v/>
      </c>
      <c r="D792" s="28">
        <f>AgeAtEntry+C792</f>
        <v/>
      </c>
      <c r="E792" s="29">
        <f>IF(PremiumType="SINGLE",IF(B792=0,PremiumPPInput,0),IF(B792&lt;12*PolicyTerm,PremiumPPInput,0))</f>
        <v/>
      </c>
      <c r="F792" s="30">
        <f>INDEX(MortRates,MATCH(MIN(D792,120),MortAges,0),MAX(MIN(C792,5),0)+1)</f>
        <v/>
      </c>
      <c r="G792" s="31">
        <f>1-(1-F792)^(1/12)</f>
        <v/>
      </c>
      <c r="H792" s="32">
        <f>MAX(LapseBase-LapseStep*C792,LapseFloor)</f>
        <v/>
      </c>
      <c r="I792" s="32">
        <f>IF(HasSurrCharge,INDEX(SurrRates,MIN(C792,SurrDurMax)+1,MATCH(SurrChargeID,SurrTypes,0)),0)</f>
        <v/>
      </c>
      <c r="J792" s="33">
        <f>N791-P791-O791</f>
        <v/>
      </c>
      <c r="K792" s="30">
        <f>IF(B792=12*PolicyTerm,J792,0)</f>
        <v/>
      </c>
      <c r="L792" s="33">
        <f>J792-K792</f>
        <v/>
      </c>
      <c r="M792" s="30">
        <f>IF(B792=0,PolicyCount,0)</f>
        <v/>
      </c>
      <c r="N792" s="33">
        <f>L792+M792</f>
        <v/>
      </c>
      <c r="O792" s="31">
        <f>N792*G792</f>
        <v/>
      </c>
      <c r="P792" s="33">
        <f>(N792-O792)*(1-(1-H792)^(1/12))</f>
        <v/>
      </c>
      <c r="Q792" s="34">
        <f>X791+Z791</f>
        <v/>
      </c>
      <c r="R792" s="29">
        <f>(1-LoadPremRate)*E792</f>
        <v/>
      </c>
      <c r="S792" s="34">
        <f>Q792+R792</f>
        <v/>
      </c>
      <c r="T792" s="29">
        <f>MaintFeeRateAnn/12*S792</f>
        <v/>
      </c>
      <c r="U792" s="29">
        <f>MAX(SumAssured-S792,0)</f>
        <v/>
      </c>
      <c r="V792" s="35">
        <f>CoiMultiple*G792</f>
        <v/>
      </c>
      <c r="W792" s="34">
        <f>V792*U792</f>
        <v/>
      </c>
      <c r="X792" s="34">
        <f>S792-T792-W792</f>
        <v/>
      </c>
      <c r="Y792" s="36">
        <f>EXP((Mu-0.5*Sigma^2)/12+Sigma*SQRT(1/12)*INDEX(NormRand,ScenID,A792+1))-1</f>
        <v/>
      </c>
      <c r="Z792" s="34">
        <f>Y792*X792</f>
        <v/>
      </c>
      <c r="AA792" s="34">
        <f>X792+0.5*Z792</f>
        <v/>
      </c>
      <c r="AB792" s="34">
        <f>Q792*J792</f>
        <v/>
      </c>
      <c r="AC792" s="34">
        <f>Q792*L792</f>
        <v/>
      </c>
      <c r="AD792" s="34">
        <f>S792*N792</f>
        <v/>
      </c>
      <c r="AE792" s="34">
        <f>E792*N792</f>
        <v/>
      </c>
      <c r="AF792" s="34">
        <f>R792*N792</f>
        <v/>
      </c>
      <c r="AG792" s="29">
        <f>MAX(SumAssured,AA792)</f>
        <v/>
      </c>
      <c r="AH792" s="34">
        <f>AG792*O792</f>
        <v/>
      </c>
      <c r="AI792" s="34">
        <f>AA792*O792</f>
        <v/>
      </c>
      <c r="AJ792" s="34">
        <f>AA792*P792</f>
        <v/>
      </c>
      <c r="AK792" s="34">
        <f>I792*AA792*P792</f>
        <v/>
      </c>
      <c r="AL792" s="34">
        <f>AJ792-AK792</f>
        <v/>
      </c>
      <c r="AM792" s="34">
        <f>Q792*K792</f>
        <v/>
      </c>
      <c r="AN792" s="34">
        <f>AH792+AL792+AM792</f>
        <v/>
      </c>
      <c r="AO792" s="34">
        <f>(AG792-AA792)*O792</f>
        <v/>
      </c>
      <c r="AP792" s="34">
        <f>W792*N792</f>
        <v/>
      </c>
      <c r="AQ792" s="34">
        <f>T792*N792</f>
        <v/>
      </c>
      <c r="AR792" s="34">
        <f>Z792*J793+0.5*Z792*(O792+P792)</f>
        <v/>
      </c>
      <c r="AS792" s="30">
        <f>(1+InflationRate)^(A792/12)</f>
        <v/>
      </c>
      <c r="AT792" s="29">
        <f>ExpenseAcq*M792+N792*ExpenseMaint/12*AS792</f>
        <v/>
      </c>
      <c r="AU792" s="29">
        <f>CommissionRate*AE792</f>
        <v/>
      </c>
      <c r="AV792" s="34">
        <f>AB793-AB792</f>
        <v/>
      </c>
      <c r="AW792" s="34">
        <f>AE792+AR792-AN792-AT792-AU792-AV792</f>
        <v/>
      </c>
      <c r="AX792" s="29">
        <f>LoadPremRate*E792*N792+AK792+AQ792-AU792-AT792</f>
        <v/>
      </c>
      <c r="AY792" s="34">
        <f>AP792-AO792</f>
        <v/>
      </c>
      <c r="AZ792" s="37">
        <f>(AW792-AX792-AY792)/MAX(1,ABS(AW792),ABS(AX792),ABS(AY792))</f>
        <v/>
      </c>
      <c r="BA792" s="37">
        <f>IF(OR(K792&gt;0,K793&gt;0),0,(AC793-(AC792+AF792-AQ792-AP792+AR792-AI792-AJ792-AM792))/MAX(1,ABS(AC792),ABS(AC793)))</f>
        <v/>
      </c>
      <c r="BB792" s="35">
        <f>(1+INDEX(DiscRateAnn,INT(A792/12)+1))^(1/12)-1</f>
        <v/>
      </c>
      <c r="BC792" s="31">
        <f>(1+BB792)^-A792</f>
        <v/>
      </c>
      <c r="BD792" s="34">
        <f>AW792*BC792</f>
        <v/>
      </c>
    </row>
    <row r="793">
      <c r="A793" s="27">
        <f>A792+1</f>
        <v/>
      </c>
      <c r="B793" s="28">
        <f>Duration0+A793</f>
        <v/>
      </c>
      <c r="C793" s="27">
        <f>INT(B793/12)</f>
        <v/>
      </c>
      <c r="D793" s="28">
        <f>AgeAtEntry+C793</f>
        <v/>
      </c>
      <c r="E793" s="29">
        <f>IF(PremiumType="SINGLE",IF(B793=0,PremiumPPInput,0),IF(B793&lt;12*PolicyTerm,PremiumPPInput,0))</f>
        <v/>
      </c>
      <c r="F793" s="30">
        <f>INDEX(MortRates,MATCH(MIN(D793,120),MortAges,0),MAX(MIN(C793,5),0)+1)</f>
        <v/>
      </c>
      <c r="G793" s="31">
        <f>1-(1-F793)^(1/12)</f>
        <v/>
      </c>
      <c r="H793" s="32">
        <f>MAX(LapseBase-LapseStep*C793,LapseFloor)</f>
        <v/>
      </c>
      <c r="I793" s="32">
        <f>IF(HasSurrCharge,INDEX(SurrRates,MIN(C793,SurrDurMax)+1,MATCH(SurrChargeID,SurrTypes,0)),0)</f>
        <v/>
      </c>
      <c r="J793" s="33">
        <f>N792-P792-O792</f>
        <v/>
      </c>
      <c r="K793" s="30">
        <f>IF(B793=12*PolicyTerm,J793,0)</f>
        <v/>
      </c>
      <c r="L793" s="33">
        <f>J793-K793</f>
        <v/>
      </c>
      <c r="M793" s="30">
        <f>IF(B793=0,PolicyCount,0)</f>
        <v/>
      </c>
      <c r="N793" s="33">
        <f>L793+M793</f>
        <v/>
      </c>
      <c r="O793" s="31">
        <f>N793*G793</f>
        <v/>
      </c>
      <c r="P793" s="33">
        <f>(N793-O793)*(1-(1-H793)^(1/12))</f>
        <v/>
      </c>
      <c r="Q793" s="34">
        <f>X792+Z792</f>
        <v/>
      </c>
      <c r="R793" s="29">
        <f>(1-LoadPremRate)*E793</f>
        <v/>
      </c>
      <c r="S793" s="34">
        <f>Q793+R793</f>
        <v/>
      </c>
      <c r="T793" s="29">
        <f>MaintFeeRateAnn/12*S793</f>
        <v/>
      </c>
      <c r="U793" s="29">
        <f>MAX(SumAssured-S793,0)</f>
        <v/>
      </c>
      <c r="V793" s="35">
        <f>CoiMultiple*G793</f>
        <v/>
      </c>
      <c r="W793" s="34">
        <f>V793*U793</f>
        <v/>
      </c>
      <c r="X793" s="34">
        <f>S793-T793-W793</f>
        <v/>
      </c>
      <c r="Y793" s="36">
        <f>EXP((Mu-0.5*Sigma^2)/12+Sigma*SQRT(1/12)*INDEX(NormRand,ScenID,A793+1))-1</f>
        <v/>
      </c>
      <c r="Z793" s="34">
        <f>Y793*X793</f>
        <v/>
      </c>
      <c r="AA793" s="34">
        <f>X793+0.5*Z793</f>
        <v/>
      </c>
      <c r="AB793" s="34">
        <f>Q793*J793</f>
        <v/>
      </c>
      <c r="AC793" s="34">
        <f>Q793*L793</f>
        <v/>
      </c>
      <c r="AD793" s="34">
        <f>S793*N793</f>
        <v/>
      </c>
      <c r="AE793" s="34">
        <f>E793*N793</f>
        <v/>
      </c>
      <c r="AF793" s="34">
        <f>R793*N793</f>
        <v/>
      </c>
      <c r="AG793" s="29">
        <f>MAX(SumAssured,AA793)</f>
        <v/>
      </c>
      <c r="AH793" s="34">
        <f>AG793*O793</f>
        <v/>
      </c>
      <c r="AI793" s="34">
        <f>AA793*O793</f>
        <v/>
      </c>
      <c r="AJ793" s="34">
        <f>AA793*P793</f>
        <v/>
      </c>
      <c r="AK793" s="34">
        <f>I793*AA793*P793</f>
        <v/>
      </c>
      <c r="AL793" s="34">
        <f>AJ793-AK793</f>
        <v/>
      </c>
      <c r="AM793" s="34">
        <f>Q793*K793</f>
        <v/>
      </c>
      <c r="AN793" s="34">
        <f>AH793+AL793+AM793</f>
        <v/>
      </c>
      <c r="AO793" s="34">
        <f>(AG793-AA793)*O793</f>
        <v/>
      </c>
      <c r="AP793" s="34">
        <f>W793*N793</f>
        <v/>
      </c>
      <c r="AQ793" s="34">
        <f>T793*N793</f>
        <v/>
      </c>
      <c r="AR793" s="34">
        <f>Z793*J794+0.5*Z793*(O793+P793)</f>
        <v/>
      </c>
      <c r="AS793" s="30">
        <f>(1+InflationRate)^(A793/12)</f>
        <v/>
      </c>
      <c r="AT793" s="29">
        <f>ExpenseAcq*M793+N793*ExpenseMaint/12*AS793</f>
        <v/>
      </c>
      <c r="AU793" s="29">
        <f>CommissionRate*AE793</f>
        <v/>
      </c>
      <c r="AV793" s="34">
        <f>AB794-AB793</f>
        <v/>
      </c>
      <c r="AW793" s="34">
        <f>AE793+AR793-AN793-AT793-AU793-AV793</f>
        <v/>
      </c>
      <c r="AX793" s="29">
        <f>LoadPremRate*E793*N793+AK793+AQ793-AU793-AT793</f>
        <v/>
      </c>
      <c r="AY793" s="34">
        <f>AP793-AO793</f>
        <v/>
      </c>
      <c r="AZ793" s="37">
        <f>(AW793-AX793-AY793)/MAX(1,ABS(AW793),ABS(AX793),ABS(AY793))</f>
        <v/>
      </c>
      <c r="BA793" s="37">
        <f>IF(OR(K793&gt;0,K794&gt;0),0,(AC794-(AC793+AF793-AQ793-AP793+AR793-AI793-AJ793-AM793))/MAX(1,ABS(AC793),ABS(AC794)))</f>
        <v/>
      </c>
      <c r="BB793" s="35">
        <f>(1+INDEX(DiscRateAnn,INT(A793/12)+1))^(1/12)-1</f>
        <v/>
      </c>
      <c r="BC793" s="31">
        <f>(1+BB793)^-A793</f>
        <v/>
      </c>
      <c r="BD793" s="34">
        <f>AW793*BC793</f>
        <v/>
      </c>
    </row>
    <row r="794">
      <c r="A794" s="27">
        <f>A793+1</f>
        <v/>
      </c>
      <c r="B794" s="28">
        <f>Duration0+A794</f>
        <v/>
      </c>
      <c r="C794" s="27">
        <f>INT(B794/12)</f>
        <v/>
      </c>
      <c r="D794" s="28">
        <f>AgeAtEntry+C794</f>
        <v/>
      </c>
      <c r="E794" s="29">
        <f>IF(PremiumType="SINGLE",IF(B794=0,PremiumPPInput,0),IF(B794&lt;12*PolicyTerm,PremiumPPInput,0))</f>
        <v/>
      </c>
      <c r="F794" s="30">
        <f>INDEX(MortRates,MATCH(MIN(D794,120),MortAges,0),MAX(MIN(C794,5),0)+1)</f>
        <v/>
      </c>
      <c r="G794" s="31">
        <f>1-(1-F794)^(1/12)</f>
        <v/>
      </c>
      <c r="H794" s="32">
        <f>MAX(LapseBase-LapseStep*C794,LapseFloor)</f>
        <v/>
      </c>
      <c r="I794" s="32">
        <f>IF(HasSurrCharge,INDEX(SurrRates,MIN(C794,SurrDurMax)+1,MATCH(SurrChargeID,SurrTypes,0)),0)</f>
        <v/>
      </c>
      <c r="J794" s="33">
        <f>N793-P793-O793</f>
        <v/>
      </c>
      <c r="K794" s="30">
        <f>IF(B794=12*PolicyTerm,J794,0)</f>
        <v/>
      </c>
      <c r="L794" s="33">
        <f>J794-K794</f>
        <v/>
      </c>
      <c r="M794" s="30">
        <f>IF(B794=0,PolicyCount,0)</f>
        <v/>
      </c>
      <c r="N794" s="33">
        <f>L794+M794</f>
        <v/>
      </c>
      <c r="O794" s="31">
        <f>N794*G794</f>
        <v/>
      </c>
      <c r="P794" s="33">
        <f>(N794-O794)*(1-(1-H794)^(1/12))</f>
        <v/>
      </c>
      <c r="Q794" s="34">
        <f>X793+Z793</f>
        <v/>
      </c>
      <c r="R794" s="29">
        <f>(1-LoadPremRate)*E794</f>
        <v/>
      </c>
      <c r="S794" s="34">
        <f>Q794+R794</f>
        <v/>
      </c>
      <c r="T794" s="29">
        <f>MaintFeeRateAnn/12*S794</f>
        <v/>
      </c>
      <c r="U794" s="29">
        <f>MAX(SumAssured-S794,0)</f>
        <v/>
      </c>
      <c r="V794" s="35">
        <f>CoiMultiple*G794</f>
        <v/>
      </c>
      <c r="W794" s="34">
        <f>V794*U794</f>
        <v/>
      </c>
      <c r="X794" s="34">
        <f>S794-T794-W794</f>
        <v/>
      </c>
      <c r="Y794" s="36">
        <f>EXP((Mu-0.5*Sigma^2)/12+Sigma*SQRT(1/12)*INDEX(NormRand,ScenID,A794+1))-1</f>
        <v/>
      </c>
      <c r="Z794" s="34">
        <f>Y794*X794</f>
        <v/>
      </c>
      <c r="AA794" s="34">
        <f>X794+0.5*Z794</f>
        <v/>
      </c>
      <c r="AB794" s="34">
        <f>Q794*J794</f>
        <v/>
      </c>
      <c r="AC794" s="34">
        <f>Q794*L794</f>
        <v/>
      </c>
      <c r="AD794" s="34">
        <f>S794*N794</f>
        <v/>
      </c>
      <c r="AE794" s="34">
        <f>E794*N794</f>
        <v/>
      </c>
      <c r="AF794" s="34">
        <f>R794*N794</f>
        <v/>
      </c>
      <c r="AG794" s="29">
        <f>MAX(SumAssured,AA794)</f>
        <v/>
      </c>
      <c r="AH794" s="34">
        <f>AG794*O794</f>
        <v/>
      </c>
      <c r="AI794" s="34">
        <f>AA794*O794</f>
        <v/>
      </c>
      <c r="AJ794" s="34">
        <f>AA794*P794</f>
        <v/>
      </c>
      <c r="AK794" s="34">
        <f>I794*AA794*P794</f>
        <v/>
      </c>
      <c r="AL794" s="34">
        <f>AJ794-AK794</f>
        <v/>
      </c>
      <c r="AM794" s="34">
        <f>Q794*K794</f>
        <v/>
      </c>
      <c r="AN794" s="34">
        <f>AH794+AL794+AM794</f>
        <v/>
      </c>
      <c r="AO794" s="34">
        <f>(AG794-AA794)*O794</f>
        <v/>
      </c>
      <c r="AP794" s="34">
        <f>W794*N794</f>
        <v/>
      </c>
      <c r="AQ794" s="34">
        <f>T794*N794</f>
        <v/>
      </c>
      <c r="AR794" s="34">
        <f>Z794*J795+0.5*Z794*(O794+P794)</f>
        <v/>
      </c>
      <c r="AS794" s="30">
        <f>(1+InflationRate)^(A794/12)</f>
        <v/>
      </c>
      <c r="AT794" s="29">
        <f>ExpenseAcq*M794+N794*ExpenseMaint/12*AS794</f>
        <v/>
      </c>
      <c r="AU794" s="29">
        <f>CommissionRate*AE794</f>
        <v/>
      </c>
      <c r="AV794" s="34">
        <f>AB795-AB794</f>
        <v/>
      </c>
      <c r="AW794" s="34">
        <f>AE794+AR794-AN794-AT794-AU794-AV794</f>
        <v/>
      </c>
      <c r="AX794" s="29">
        <f>LoadPremRate*E794*N794+AK794+AQ794-AU794-AT794</f>
        <v/>
      </c>
      <c r="AY794" s="34">
        <f>AP794-AO794</f>
        <v/>
      </c>
      <c r="AZ794" s="37">
        <f>(AW794-AX794-AY794)/MAX(1,ABS(AW794),ABS(AX794),ABS(AY794))</f>
        <v/>
      </c>
      <c r="BA794" s="37">
        <f>IF(OR(K794&gt;0,K795&gt;0),0,(AC795-(AC794+AF794-AQ794-AP794+AR794-AI794-AJ794-AM794))/MAX(1,ABS(AC794),ABS(AC795)))</f>
        <v/>
      </c>
      <c r="BB794" s="35">
        <f>(1+INDEX(DiscRateAnn,INT(A794/12)+1))^(1/12)-1</f>
        <v/>
      </c>
      <c r="BC794" s="31">
        <f>(1+BB794)^-A794</f>
        <v/>
      </c>
      <c r="BD794" s="34">
        <f>AW794*BC794</f>
        <v/>
      </c>
    </row>
    <row r="795">
      <c r="A795" s="27">
        <f>A794+1</f>
        <v/>
      </c>
      <c r="B795" s="28">
        <f>Duration0+A795</f>
        <v/>
      </c>
      <c r="C795" s="27">
        <f>INT(B795/12)</f>
        <v/>
      </c>
      <c r="D795" s="28">
        <f>AgeAtEntry+C795</f>
        <v/>
      </c>
      <c r="E795" s="29">
        <f>IF(PremiumType="SINGLE",IF(B795=0,PremiumPPInput,0),IF(B795&lt;12*PolicyTerm,PremiumPPInput,0))</f>
        <v/>
      </c>
      <c r="F795" s="30">
        <f>INDEX(MortRates,MATCH(MIN(D795,120),MortAges,0),MAX(MIN(C795,5),0)+1)</f>
        <v/>
      </c>
      <c r="G795" s="31">
        <f>1-(1-F795)^(1/12)</f>
        <v/>
      </c>
      <c r="H795" s="32">
        <f>MAX(LapseBase-LapseStep*C795,LapseFloor)</f>
        <v/>
      </c>
      <c r="I795" s="32">
        <f>IF(HasSurrCharge,INDEX(SurrRates,MIN(C795,SurrDurMax)+1,MATCH(SurrChargeID,SurrTypes,0)),0)</f>
        <v/>
      </c>
      <c r="J795" s="33">
        <f>N794-P794-O794</f>
        <v/>
      </c>
      <c r="K795" s="30">
        <f>IF(B795=12*PolicyTerm,J795,0)</f>
        <v/>
      </c>
      <c r="L795" s="33">
        <f>J795-K795</f>
        <v/>
      </c>
      <c r="M795" s="30">
        <f>IF(B795=0,PolicyCount,0)</f>
        <v/>
      </c>
      <c r="N795" s="33">
        <f>L795+M795</f>
        <v/>
      </c>
      <c r="O795" s="31">
        <f>N795*G795</f>
        <v/>
      </c>
      <c r="P795" s="33">
        <f>(N795-O795)*(1-(1-H795)^(1/12))</f>
        <v/>
      </c>
      <c r="Q795" s="34">
        <f>X794+Z794</f>
        <v/>
      </c>
      <c r="R795" s="29">
        <f>(1-LoadPremRate)*E795</f>
        <v/>
      </c>
      <c r="S795" s="34">
        <f>Q795+R795</f>
        <v/>
      </c>
      <c r="T795" s="29">
        <f>MaintFeeRateAnn/12*S795</f>
        <v/>
      </c>
      <c r="U795" s="29">
        <f>MAX(SumAssured-S795,0)</f>
        <v/>
      </c>
      <c r="V795" s="35">
        <f>CoiMultiple*G795</f>
        <v/>
      </c>
      <c r="W795" s="34">
        <f>V795*U795</f>
        <v/>
      </c>
      <c r="X795" s="34">
        <f>S795-T795-W795</f>
        <v/>
      </c>
      <c r="Y795" s="36">
        <f>EXP((Mu-0.5*Sigma^2)/12+Sigma*SQRT(1/12)*INDEX(NormRand,ScenID,A795+1))-1</f>
        <v/>
      </c>
      <c r="Z795" s="34">
        <f>Y795*X795</f>
        <v/>
      </c>
      <c r="AA795" s="34">
        <f>X795+0.5*Z795</f>
        <v/>
      </c>
      <c r="AB795" s="34">
        <f>Q795*J795</f>
        <v/>
      </c>
      <c r="AC795" s="34">
        <f>Q795*L795</f>
        <v/>
      </c>
      <c r="AD795" s="34">
        <f>S795*N795</f>
        <v/>
      </c>
      <c r="AE795" s="34">
        <f>E795*N795</f>
        <v/>
      </c>
      <c r="AF795" s="34">
        <f>R795*N795</f>
        <v/>
      </c>
      <c r="AG795" s="29">
        <f>MAX(SumAssured,AA795)</f>
        <v/>
      </c>
      <c r="AH795" s="34">
        <f>AG795*O795</f>
        <v/>
      </c>
      <c r="AI795" s="34">
        <f>AA795*O795</f>
        <v/>
      </c>
      <c r="AJ795" s="34">
        <f>AA795*P795</f>
        <v/>
      </c>
      <c r="AK795" s="34">
        <f>I795*AA795*P795</f>
        <v/>
      </c>
      <c r="AL795" s="34">
        <f>AJ795-AK795</f>
        <v/>
      </c>
      <c r="AM795" s="34">
        <f>Q795*K795</f>
        <v/>
      </c>
      <c r="AN795" s="34">
        <f>AH795+AL795+AM795</f>
        <v/>
      </c>
      <c r="AO795" s="34">
        <f>(AG795-AA795)*O795</f>
        <v/>
      </c>
      <c r="AP795" s="34">
        <f>W795*N795</f>
        <v/>
      </c>
      <c r="AQ795" s="34">
        <f>T795*N795</f>
        <v/>
      </c>
      <c r="AR795" s="34">
        <f>Z795*J796+0.5*Z795*(O795+P795)</f>
        <v/>
      </c>
      <c r="AS795" s="30">
        <f>(1+InflationRate)^(A795/12)</f>
        <v/>
      </c>
      <c r="AT795" s="29">
        <f>ExpenseAcq*M795+N795*ExpenseMaint/12*AS795</f>
        <v/>
      </c>
      <c r="AU795" s="29">
        <f>CommissionRate*AE795</f>
        <v/>
      </c>
      <c r="AV795" s="34">
        <f>AB796-AB795</f>
        <v/>
      </c>
      <c r="AW795" s="34">
        <f>AE795+AR795-AN795-AT795-AU795-AV795</f>
        <v/>
      </c>
      <c r="AX795" s="29">
        <f>LoadPremRate*E795*N795+AK795+AQ795-AU795-AT795</f>
        <v/>
      </c>
      <c r="AY795" s="34">
        <f>AP795-AO795</f>
        <v/>
      </c>
      <c r="AZ795" s="37">
        <f>(AW795-AX795-AY795)/MAX(1,ABS(AW795),ABS(AX795),ABS(AY795))</f>
        <v/>
      </c>
      <c r="BA795" s="37">
        <f>IF(OR(K795&gt;0,K796&gt;0),0,(AC796-(AC795+AF795-AQ795-AP795+AR795-AI795-AJ795-AM795))/MAX(1,ABS(AC795),ABS(AC796)))</f>
        <v/>
      </c>
      <c r="BB795" s="35">
        <f>(1+INDEX(DiscRateAnn,INT(A795/12)+1))^(1/12)-1</f>
        <v/>
      </c>
      <c r="BC795" s="31">
        <f>(1+BB795)^-A795</f>
        <v/>
      </c>
      <c r="BD795" s="34">
        <f>AW795*BC795</f>
        <v/>
      </c>
    </row>
    <row r="796">
      <c r="A796" s="27">
        <f>A795+1</f>
        <v/>
      </c>
      <c r="B796" s="28">
        <f>Duration0+A796</f>
        <v/>
      </c>
      <c r="C796" s="27">
        <f>INT(B796/12)</f>
        <v/>
      </c>
      <c r="D796" s="28">
        <f>AgeAtEntry+C796</f>
        <v/>
      </c>
      <c r="E796" s="29">
        <f>IF(PremiumType="SINGLE",IF(B796=0,PremiumPPInput,0),IF(B796&lt;12*PolicyTerm,PremiumPPInput,0))</f>
        <v/>
      </c>
      <c r="F796" s="30">
        <f>INDEX(MortRates,MATCH(MIN(D796,120),MortAges,0),MAX(MIN(C796,5),0)+1)</f>
        <v/>
      </c>
      <c r="G796" s="31">
        <f>1-(1-F796)^(1/12)</f>
        <v/>
      </c>
      <c r="H796" s="32">
        <f>MAX(LapseBase-LapseStep*C796,LapseFloor)</f>
        <v/>
      </c>
      <c r="I796" s="32">
        <f>IF(HasSurrCharge,INDEX(SurrRates,MIN(C796,SurrDurMax)+1,MATCH(SurrChargeID,SurrTypes,0)),0)</f>
        <v/>
      </c>
      <c r="J796" s="33">
        <f>N795-P795-O795</f>
        <v/>
      </c>
      <c r="K796" s="30">
        <f>IF(B796=12*PolicyTerm,J796,0)</f>
        <v/>
      </c>
      <c r="L796" s="33">
        <f>J796-K796</f>
        <v/>
      </c>
      <c r="M796" s="30">
        <f>IF(B796=0,PolicyCount,0)</f>
        <v/>
      </c>
      <c r="N796" s="33">
        <f>L796+M796</f>
        <v/>
      </c>
      <c r="O796" s="31">
        <f>N796*G796</f>
        <v/>
      </c>
      <c r="P796" s="33">
        <f>(N796-O796)*(1-(1-H796)^(1/12))</f>
        <v/>
      </c>
      <c r="Q796" s="34">
        <f>X795+Z795</f>
        <v/>
      </c>
      <c r="R796" s="29">
        <f>(1-LoadPremRate)*E796</f>
        <v/>
      </c>
      <c r="S796" s="34">
        <f>Q796+R796</f>
        <v/>
      </c>
      <c r="T796" s="29">
        <f>MaintFeeRateAnn/12*S796</f>
        <v/>
      </c>
      <c r="U796" s="29">
        <f>MAX(SumAssured-S796,0)</f>
        <v/>
      </c>
      <c r="V796" s="35">
        <f>CoiMultiple*G796</f>
        <v/>
      </c>
      <c r="W796" s="34">
        <f>V796*U796</f>
        <v/>
      </c>
      <c r="X796" s="34">
        <f>S796-T796-W796</f>
        <v/>
      </c>
      <c r="Y796" s="36">
        <f>EXP((Mu-0.5*Sigma^2)/12+Sigma*SQRT(1/12)*INDEX(NormRand,ScenID,A796+1))-1</f>
        <v/>
      </c>
      <c r="Z796" s="34">
        <f>Y796*X796</f>
        <v/>
      </c>
      <c r="AA796" s="34">
        <f>X796+0.5*Z796</f>
        <v/>
      </c>
      <c r="AB796" s="34">
        <f>Q796*J796</f>
        <v/>
      </c>
      <c r="AC796" s="34">
        <f>Q796*L796</f>
        <v/>
      </c>
      <c r="AD796" s="34">
        <f>S796*N796</f>
        <v/>
      </c>
      <c r="AE796" s="34">
        <f>E796*N796</f>
        <v/>
      </c>
      <c r="AF796" s="34">
        <f>R796*N796</f>
        <v/>
      </c>
      <c r="AG796" s="29">
        <f>MAX(SumAssured,AA796)</f>
        <v/>
      </c>
      <c r="AH796" s="34">
        <f>AG796*O796</f>
        <v/>
      </c>
      <c r="AI796" s="34">
        <f>AA796*O796</f>
        <v/>
      </c>
      <c r="AJ796" s="34">
        <f>AA796*P796</f>
        <v/>
      </c>
      <c r="AK796" s="34">
        <f>I796*AA796*P796</f>
        <v/>
      </c>
      <c r="AL796" s="34">
        <f>AJ796-AK796</f>
        <v/>
      </c>
      <c r="AM796" s="34">
        <f>Q796*K796</f>
        <v/>
      </c>
      <c r="AN796" s="34">
        <f>AH796+AL796+AM796</f>
        <v/>
      </c>
      <c r="AO796" s="34">
        <f>(AG796-AA796)*O796</f>
        <v/>
      </c>
      <c r="AP796" s="34">
        <f>W796*N796</f>
        <v/>
      </c>
      <c r="AQ796" s="34">
        <f>T796*N796</f>
        <v/>
      </c>
      <c r="AR796" s="34">
        <f>Z796*J797+0.5*Z796*(O796+P796)</f>
        <v/>
      </c>
      <c r="AS796" s="30">
        <f>(1+InflationRate)^(A796/12)</f>
        <v/>
      </c>
      <c r="AT796" s="29">
        <f>ExpenseAcq*M796+N796*ExpenseMaint/12*AS796</f>
        <v/>
      </c>
      <c r="AU796" s="29">
        <f>CommissionRate*AE796</f>
        <v/>
      </c>
      <c r="AV796" s="34">
        <f>AB797-AB796</f>
        <v/>
      </c>
      <c r="AW796" s="34">
        <f>AE796+AR796-AN796-AT796-AU796-AV796</f>
        <v/>
      </c>
      <c r="AX796" s="29">
        <f>LoadPremRate*E796*N796+AK796+AQ796-AU796-AT796</f>
        <v/>
      </c>
      <c r="AY796" s="34">
        <f>AP796-AO796</f>
        <v/>
      </c>
      <c r="AZ796" s="37">
        <f>(AW796-AX796-AY796)/MAX(1,ABS(AW796),ABS(AX796),ABS(AY796))</f>
        <v/>
      </c>
      <c r="BA796" s="37">
        <f>IF(OR(K796&gt;0,K797&gt;0),0,(AC797-(AC796+AF796-AQ796-AP796+AR796-AI796-AJ796-AM796))/MAX(1,ABS(AC796),ABS(AC797)))</f>
        <v/>
      </c>
      <c r="BB796" s="35">
        <f>(1+INDEX(DiscRateAnn,INT(A796/12)+1))^(1/12)-1</f>
        <v/>
      </c>
      <c r="BC796" s="31">
        <f>(1+BB796)^-A796</f>
        <v/>
      </c>
      <c r="BD796" s="34">
        <f>AW796*BC796</f>
        <v/>
      </c>
    </row>
    <row r="797">
      <c r="A797" s="27">
        <f>A796+1</f>
        <v/>
      </c>
      <c r="B797" s="28">
        <f>Duration0+A797</f>
        <v/>
      </c>
      <c r="C797" s="27">
        <f>INT(B797/12)</f>
        <v/>
      </c>
      <c r="D797" s="28">
        <f>AgeAtEntry+C797</f>
        <v/>
      </c>
      <c r="E797" s="29">
        <f>IF(PremiumType="SINGLE",IF(B797=0,PremiumPPInput,0),IF(B797&lt;12*PolicyTerm,PremiumPPInput,0))</f>
        <v/>
      </c>
      <c r="F797" s="30">
        <f>INDEX(MortRates,MATCH(MIN(D797,120),MortAges,0),MAX(MIN(C797,5),0)+1)</f>
        <v/>
      </c>
      <c r="G797" s="31">
        <f>1-(1-F797)^(1/12)</f>
        <v/>
      </c>
      <c r="H797" s="32">
        <f>MAX(LapseBase-LapseStep*C797,LapseFloor)</f>
        <v/>
      </c>
      <c r="I797" s="32">
        <f>IF(HasSurrCharge,INDEX(SurrRates,MIN(C797,SurrDurMax)+1,MATCH(SurrChargeID,SurrTypes,0)),0)</f>
        <v/>
      </c>
      <c r="J797" s="33">
        <f>N796-P796-O796</f>
        <v/>
      </c>
      <c r="K797" s="30">
        <f>IF(B797=12*PolicyTerm,J797,0)</f>
        <v/>
      </c>
      <c r="L797" s="33">
        <f>J797-K797</f>
        <v/>
      </c>
      <c r="M797" s="30">
        <f>IF(B797=0,PolicyCount,0)</f>
        <v/>
      </c>
      <c r="N797" s="33">
        <f>L797+M797</f>
        <v/>
      </c>
      <c r="O797" s="31">
        <f>N797*G797</f>
        <v/>
      </c>
      <c r="P797" s="33">
        <f>(N797-O797)*(1-(1-H797)^(1/12))</f>
        <v/>
      </c>
      <c r="Q797" s="34">
        <f>X796+Z796</f>
        <v/>
      </c>
      <c r="R797" s="29">
        <f>(1-LoadPremRate)*E797</f>
        <v/>
      </c>
      <c r="S797" s="34">
        <f>Q797+R797</f>
        <v/>
      </c>
      <c r="T797" s="29">
        <f>MaintFeeRateAnn/12*S797</f>
        <v/>
      </c>
      <c r="U797" s="29">
        <f>MAX(SumAssured-S797,0)</f>
        <v/>
      </c>
      <c r="V797" s="35">
        <f>CoiMultiple*G797</f>
        <v/>
      </c>
      <c r="W797" s="34">
        <f>V797*U797</f>
        <v/>
      </c>
      <c r="X797" s="34">
        <f>S797-T797-W797</f>
        <v/>
      </c>
      <c r="Y797" s="36">
        <f>EXP((Mu-0.5*Sigma^2)/12+Sigma*SQRT(1/12)*INDEX(NormRand,ScenID,A797+1))-1</f>
        <v/>
      </c>
      <c r="Z797" s="34">
        <f>Y797*X797</f>
        <v/>
      </c>
      <c r="AA797" s="34">
        <f>X797+0.5*Z797</f>
        <v/>
      </c>
      <c r="AB797" s="34">
        <f>Q797*J797</f>
        <v/>
      </c>
      <c r="AC797" s="34">
        <f>Q797*L797</f>
        <v/>
      </c>
      <c r="AD797" s="34">
        <f>S797*N797</f>
        <v/>
      </c>
      <c r="AE797" s="34">
        <f>E797*N797</f>
        <v/>
      </c>
      <c r="AF797" s="34">
        <f>R797*N797</f>
        <v/>
      </c>
      <c r="AG797" s="29">
        <f>MAX(SumAssured,AA797)</f>
        <v/>
      </c>
      <c r="AH797" s="34">
        <f>AG797*O797</f>
        <v/>
      </c>
      <c r="AI797" s="34">
        <f>AA797*O797</f>
        <v/>
      </c>
      <c r="AJ797" s="34">
        <f>AA797*P797</f>
        <v/>
      </c>
      <c r="AK797" s="34">
        <f>I797*AA797*P797</f>
        <v/>
      </c>
      <c r="AL797" s="34">
        <f>AJ797-AK797</f>
        <v/>
      </c>
      <c r="AM797" s="34">
        <f>Q797*K797</f>
        <v/>
      </c>
      <c r="AN797" s="34">
        <f>AH797+AL797+AM797</f>
        <v/>
      </c>
      <c r="AO797" s="34">
        <f>(AG797-AA797)*O797</f>
        <v/>
      </c>
      <c r="AP797" s="34">
        <f>W797*N797</f>
        <v/>
      </c>
      <c r="AQ797" s="34">
        <f>T797*N797</f>
        <v/>
      </c>
      <c r="AR797" s="34">
        <f>Z797*J798+0.5*Z797*(O797+P797)</f>
        <v/>
      </c>
      <c r="AS797" s="30">
        <f>(1+InflationRate)^(A797/12)</f>
        <v/>
      </c>
      <c r="AT797" s="29">
        <f>ExpenseAcq*M797+N797*ExpenseMaint/12*AS797</f>
        <v/>
      </c>
      <c r="AU797" s="29">
        <f>CommissionRate*AE797</f>
        <v/>
      </c>
      <c r="AV797" s="34">
        <f>AB798-AB797</f>
        <v/>
      </c>
      <c r="AW797" s="34">
        <f>AE797+AR797-AN797-AT797-AU797-AV797</f>
        <v/>
      </c>
      <c r="AX797" s="29">
        <f>LoadPremRate*E797*N797+AK797+AQ797-AU797-AT797</f>
        <v/>
      </c>
      <c r="AY797" s="34">
        <f>AP797-AO797</f>
        <v/>
      </c>
      <c r="AZ797" s="37">
        <f>(AW797-AX797-AY797)/MAX(1,ABS(AW797),ABS(AX797),ABS(AY797))</f>
        <v/>
      </c>
      <c r="BA797" s="37">
        <f>IF(OR(K797&gt;0,K798&gt;0),0,(AC798-(AC797+AF797-AQ797-AP797+AR797-AI797-AJ797-AM797))/MAX(1,ABS(AC797),ABS(AC798)))</f>
        <v/>
      </c>
      <c r="BB797" s="35">
        <f>(1+INDEX(DiscRateAnn,INT(A797/12)+1))^(1/12)-1</f>
        <v/>
      </c>
      <c r="BC797" s="31">
        <f>(1+BB797)^-A797</f>
        <v/>
      </c>
      <c r="BD797" s="34">
        <f>AW797*BC797</f>
        <v/>
      </c>
    </row>
    <row r="798">
      <c r="A798" s="27">
        <f>A797+1</f>
        <v/>
      </c>
      <c r="B798" s="28">
        <f>Duration0+A798</f>
        <v/>
      </c>
      <c r="C798" s="27">
        <f>INT(B798/12)</f>
        <v/>
      </c>
      <c r="D798" s="28">
        <f>AgeAtEntry+C798</f>
        <v/>
      </c>
      <c r="E798" s="29">
        <f>IF(PremiumType="SINGLE",IF(B798=0,PremiumPPInput,0),IF(B798&lt;12*PolicyTerm,PremiumPPInput,0))</f>
        <v/>
      </c>
      <c r="F798" s="30">
        <f>INDEX(MortRates,MATCH(MIN(D798,120),MortAges,0),MAX(MIN(C798,5),0)+1)</f>
        <v/>
      </c>
      <c r="G798" s="31">
        <f>1-(1-F798)^(1/12)</f>
        <v/>
      </c>
      <c r="H798" s="32">
        <f>MAX(LapseBase-LapseStep*C798,LapseFloor)</f>
        <v/>
      </c>
      <c r="I798" s="32">
        <f>IF(HasSurrCharge,INDEX(SurrRates,MIN(C798,SurrDurMax)+1,MATCH(SurrChargeID,SurrTypes,0)),0)</f>
        <v/>
      </c>
      <c r="J798" s="33">
        <f>N797-P797-O797</f>
        <v/>
      </c>
      <c r="K798" s="30">
        <f>IF(B798=12*PolicyTerm,J798,0)</f>
        <v/>
      </c>
      <c r="L798" s="33">
        <f>J798-K798</f>
        <v/>
      </c>
      <c r="M798" s="30">
        <f>IF(B798=0,PolicyCount,0)</f>
        <v/>
      </c>
      <c r="N798" s="33">
        <f>L798+M798</f>
        <v/>
      </c>
      <c r="O798" s="31">
        <f>N798*G798</f>
        <v/>
      </c>
      <c r="P798" s="33">
        <f>(N798-O798)*(1-(1-H798)^(1/12))</f>
        <v/>
      </c>
      <c r="Q798" s="34">
        <f>X797+Z797</f>
        <v/>
      </c>
      <c r="R798" s="29">
        <f>(1-LoadPremRate)*E798</f>
        <v/>
      </c>
      <c r="S798" s="34">
        <f>Q798+R798</f>
        <v/>
      </c>
      <c r="T798" s="29">
        <f>MaintFeeRateAnn/12*S798</f>
        <v/>
      </c>
      <c r="U798" s="29">
        <f>MAX(SumAssured-S798,0)</f>
        <v/>
      </c>
      <c r="V798" s="35">
        <f>CoiMultiple*G798</f>
        <v/>
      </c>
      <c r="W798" s="34">
        <f>V798*U798</f>
        <v/>
      </c>
      <c r="X798" s="34">
        <f>S798-T798-W798</f>
        <v/>
      </c>
      <c r="Y798" s="36">
        <f>EXP((Mu-0.5*Sigma^2)/12+Sigma*SQRT(1/12)*INDEX(NormRand,ScenID,A798+1))-1</f>
        <v/>
      </c>
      <c r="Z798" s="34">
        <f>Y798*X798</f>
        <v/>
      </c>
      <c r="AA798" s="34">
        <f>X798+0.5*Z798</f>
        <v/>
      </c>
      <c r="AB798" s="34">
        <f>Q798*J798</f>
        <v/>
      </c>
      <c r="AC798" s="34">
        <f>Q798*L798</f>
        <v/>
      </c>
      <c r="AD798" s="34">
        <f>S798*N798</f>
        <v/>
      </c>
      <c r="AE798" s="34">
        <f>E798*N798</f>
        <v/>
      </c>
      <c r="AF798" s="34">
        <f>R798*N798</f>
        <v/>
      </c>
      <c r="AG798" s="29">
        <f>MAX(SumAssured,AA798)</f>
        <v/>
      </c>
      <c r="AH798" s="34">
        <f>AG798*O798</f>
        <v/>
      </c>
      <c r="AI798" s="34">
        <f>AA798*O798</f>
        <v/>
      </c>
      <c r="AJ798" s="34">
        <f>AA798*P798</f>
        <v/>
      </c>
      <c r="AK798" s="34">
        <f>I798*AA798*P798</f>
        <v/>
      </c>
      <c r="AL798" s="34">
        <f>AJ798-AK798</f>
        <v/>
      </c>
      <c r="AM798" s="34">
        <f>Q798*K798</f>
        <v/>
      </c>
      <c r="AN798" s="34">
        <f>AH798+AL798+AM798</f>
        <v/>
      </c>
      <c r="AO798" s="34">
        <f>(AG798-AA798)*O798</f>
        <v/>
      </c>
      <c r="AP798" s="34">
        <f>W798*N798</f>
        <v/>
      </c>
      <c r="AQ798" s="34">
        <f>T798*N798</f>
        <v/>
      </c>
      <c r="AR798" s="34">
        <f>Z798*J799+0.5*Z798*(O798+P798)</f>
        <v/>
      </c>
      <c r="AS798" s="30">
        <f>(1+InflationRate)^(A798/12)</f>
        <v/>
      </c>
      <c r="AT798" s="29">
        <f>ExpenseAcq*M798+N798*ExpenseMaint/12*AS798</f>
        <v/>
      </c>
      <c r="AU798" s="29">
        <f>CommissionRate*AE798</f>
        <v/>
      </c>
      <c r="AV798" s="34">
        <f>AB799-AB798</f>
        <v/>
      </c>
      <c r="AW798" s="34">
        <f>AE798+AR798-AN798-AT798-AU798-AV798</f>
        <v/>
      </c>
      <c r="AX798" s="29">
        <f>LoadPremRate*E798*N798+AK798+AQ798-AU798-AT798</f>
        <v/>
      </c>
      <c r="AY798" s="34">
        <f>AP798-AO798</f>
        <v/>
      </c>
      <c r="AZ798" s="37">
        <f>(AW798-AX798-AY798)/MAX(1,ABS(AW798),ABS(AX798),ABS(AY798))</f>
        <v/>
      </c>
      <c r="BA798" s="37">
        <f>IF(OR(K798&gt;0,K799&gt;0),0,(AC799-(AC798+AF798-AQ798-AP798+AR798-AI798-AJ798-AM798))/MAX(1,ABS(AC798),ABS(AC799)))</f>
        <v/>
      </c>
      <c r="BB798" s="35">
        <f>(1+INDEX(DiscRateAnn,INT(A798/12)+1))^(1/12)-1</f>
        <v/>
      </c>
      <c r="BC798" s="31">
        <f>(1+BB798)^-A798</f>
        <v/>
      </c>
      <c r="BD798" s="34">
        <f>AW798*BC798</f>
        <v/>
      </c>
    </row>
    <row r="799">
      <c r="A799" s="27">
        <f>A798+1</f>
        <v/>
      </c>
      <c r="B799" s="28">
        <f>Duration0+A799</f>
        <v/>
      </c>
      <c r="C799" s="27">
        <f>INT(B799/12)</f>
        <v/>
      </c>
      <c r="D799" s="28">
        <f>AgeAtEntry+C799</f>
        <v/>
      </c>
      <c r="E799" s="29">
        <f>IF(PremiumType="SINGLE",IF(B799=0,PremiumPPInput,0),IF(B799&lt;12*PolicyTerm,PremiumPPInput,0))</f>
        <v/>
      </c>
      <c r="F799" s="30">
        <f>INDEX(MortRates,MATCH(MIN(D799,120),MortAges,0),MAX(MIN(C799,5),0)+1)</f>
        <v/>
      </c>
      <c r="G799" s="31">
        <f>1-(1-F799)^(1/12)</f>
        <v/>
      </c>
      <c r="H799" s="32">
        <f>MAX(LapseBase-LapseStep*C799,LapseFloor)</f>
        <v/>
      </c>
      <c r="I799" s="32">
        <f>IF(HasSurrCharge,INDEX(SurrRates,MIN(C799,SurrDurMax)+1,MATCH(SurrChargeID,SurrTypes,0)),0)</f>
        <v/>
      </c>
      <c r="J799" s="33">
        <f>N798-P798-O798</f>
        <v/>
      </c>
      <c r="K799" s="30">
        <f>IF(B799=12*PolicyTerm,J799,0)</f>
        <v/>
      </c>
      <c r="L799" s="33">
        <f>J799-K799</f>
        <v/>
      </c>
      <c r="M799" s="30">
        <f>IF(B799=0,PolicyCount,0)</f>
        <v/>
      </c>
      <c r="N799" s="33">
        <f>L799+M799</f>
        <v/>
      </c>
      <c r="O799" s="31">
        <f>N799*G799</f>
        <v/>
      </c>
      <c r="P799" s="33">
        <f>(N799-O799)*(1-(1-H799)^(1/12))</f>
        <v/>
      </c>
      <c r="Q799" s="34">
        <f>X798+Z798</f>
        <v/>
      </c>
      <c r="R799" s="29">
        <f>(1-LoadPremRate)*E799</f>
        <v/>
      </c>
      <c r="S799" s="34">
        <f>Q799+R799</f>
        <v/>
      </c>
      <c r="T799" s="29">
        <f>MaintFeeRateAnn/12*S799</f>
        <v/>
      </c>
      <c r="U799" s="29">
        <f>MAX(SumAssured-S799,0)</f>
        <v/>
      </c>
      <c r="V799" s="35">
        <f>CoiMultiple*G799</f>
        <v/>
      </c>
      <c r="W799" s="34">
        <f>V799*U799</f>
        <v/>
      </c>
      <c r="X799" s="34">
        <f>S799-T799-W799</f>
        <v/>
      </c>
      <c r="Y799" s="36">
        <f>EXP((Mu-0.5*Sigma^2)/12+Sigma*SQRT(1/12)*INDEX(NormRand,ScenID,A799+1))-1</f>
        <v/>
      </c>
      <c r="Z799" s="34">
        <f>Y799*X799</f>
        <v/>
      </c>
      <c r="AA799" s="34">
        <f>X799+0.5*Z799</f>
        <v/>
      </c>
      <c r="AB799" s="34">
        <f>Q799*J799</f>
        <v/>
      </c>
      <c r="AC799" s="34">
        <f>Q799*L799</f>
        <v/>
      </c>
      <c r="AD799" s="34">
        <f>S799*N799</f>
        <v/>
      </c>
      <c r="AE799" s="34">
        <f>E799*N799</f>
        <v/>
      </c>
      <c r="AF799" s="34">
        <f>R799*N799</f>
        <v/>
      </c>
      <c r="AG799" s="29">
        <f>MAX(SumAssured,AA799)</f>
        <v/>
      </c>
      <c r="AH799" s="34">
        <f>AG799*O799</f>
        <v/>
      </c>
      <c r="AI799" s="34">
        <f>AA799*O799</f>
        <v/>
      </c>
      <c r="AJ799" s="34">
        <f>AA799*P799</f>
        <v/>
      </c>
      <c r="AK799" s="34">
        <f>I799*AA799*P799</f>
        <v/>
      </c>
      <c r="AL799" s="34">
        <f>AJ799-AK799</f>
        <v/>
      </c>
      <c r="AM799" s="34">
        <f>Q799*K799</f>
        <v/>
      </c>
      <c r="AN799" s="34">
        <f>AH799+AL799+AM799</f>
        <v/>
      </c>
      <c r="AO799" s="34">
        <f>(AG799-AA799)*O799</f>
        <v/>
      </c>
      <c r="AP799" s="34">
        <f>W799*N799</f>
        <v/>
      </c>
      <c r="AQ799" s="34">
        <f>T799*N799</f>
        <v/>
      </c>
      <c r="AR799" s="34">
        <f>Z799*J800+0.5*Z799*(O799+P799)</f>
        <v/>
      </c>
      <c r="AS799" s="30">
        <f>(1+InflationRate)^(A799/12)</f>
        <v/>
      </c>
      <c r="AT799" s="29">
        <f>ExpenseAcq*M799+N799*ExpenseMaint/12*AS799</f>
        <v/>
      </c>
      <c r="AU799" s="29">
        <f>CommissionRate*AE799</f>
        <v/>
      </c>
      <c r="AV799" s="34">
        <f>AB800-AB799</f>
        <v/>
      </c>
      <c r="AW799" s="34">
        <f>AE799+AR799-AN799-AT799-AU799-AV799</f>
        <v/>
      </c>
      <c r="AX799" s="29">
        <f>LoadPremRate*E799*N799+AK799+AQ799-AU799-AT799</f>
        <v/>
      </c>
      <c r="AY799" s="34">
        <f>AP799-AO799</f>
        <v/>
      </c>
      <c r="AZ799" s="37">
        <f>(AW799-AX799-AY799)/MAX(1,ABS(AW799),ABS(AX799),ABS(AY799))</f>
        <v/>
      </c>
      <c r="BA799" s="37">
        <f>IF(OR(K799&gt;0,K800&gt;0),0,(AC800-(AC799+AF799-AQ799-AP799+AR799-AI799-AJ799-AM799))/MAX(1,ABS(AC799),ABS(AC800)))</f>
        <v/>
      </c>
      <c r="BB799" s="35">
        <f>(1+INDEX(DiscRateAnn,INT(A799/12)+1))^(1/12)-1</f>
        <v/>
      </c>
      <c r="BC799" s="31">
        <f>(1+BB799)^-A799</f>
        <v/>
      </c>
      <c r="BD799" s="34">
        <f>AW799*BC799</f>
        <v/>
      </c>
    </row>
    <row r="800">
      <c r="A800" s="27">
        <f>A799+1</f>
        <v/>
      </c>
      <c r="B800" s="28">
        <f>Duration0+A800</f>
        <v/>
      </c>
      <c r="C800" s="27">
        <f>INT(B800/12)</f>
        <v/>
      </c>
      <c r="D800" s="28">
        <f>AgeAtEntry+C800</f>
        <v/>
      </c>
      <c r="E800" s="29">
        <f>IF(PremiumType="SINGLE",IF(B800=0,PremiumPPInput,0),IF(B800&lt;12*PolicyTerm,PremiumPPInput,0))</f>
        <v/>
      </c>
      <c r="F800" s="30">
        <f>INDEX(MortRates,MATCH(MIN(D800,120),MortAges,0),MAX(MIN(C800,5),0)+1)</f>
        <v/>
      </c>
      <c r="G800" s="31">
        <f>1-(1-F800)^(1/12)</f>
        <v/>
      </c>
      <c r="H800" s="32">
        <f>MAX(LapseBase-LapseStep*C800,LapseFloor)</f>
        <v/>
      </c>
      <c r="I800" s="32">
        <f>IF(HasSurrCharge,INDEX(SurrRates,MIN(C800,SurrDurMax)+1,MATCH(SurrChargeID,SurrTypes,0)),0)</f>
        <v/>
      </c>
      <c r="J800" s="33">
        <f>N799-P799-O799</f>
        <v/>
      </c>
      <c r="K800" s="30">
        <f>IF(B800=12*PolicyTerm,J800,0)</f>
        <v/>
      </c>
      <c r="L800" s="33">
        <f>J800-K800</f>
        <v/>
      </c>
      <c r="M800" s="30">
        <f>IF(B800=0,PolicyCount,0)</f>
        <v/>
      </c>
      <c r="N800" s="33">
        <f>L800+M800</f>
        <v/>
      </c>
      <c r="O800" s="31">
        <f>N800*G800</f>
        <v/>
      </c>
      <c r="P800" s="33">
        <f>(N800-O800)*(1-(1-H800)^(1/12))</f>
        <v/>
      </c>
      <c r="Q800" s="34">
        <f>X799+Z799</f>
        <v/>
      </c>
      <c r="R800" s="29">
        <f>(1-LoadPremRate)*E800</f>
        <v/>
      </c>
      <c r="S800" s="34">
        <f>Q800+R800</f>
        <v/>
      </c>
      <c r="T800" s="29">
        <f>MaintFeeRateAnn/12*S800</f>
        <v/>
      </c>
      <c r="U800" s="29">
        <f>MAX(SumAssured-S800,0)</f>
        <v/>
      </c>
      <c r="V800" s="35">
        <f>CoiMultiple*G800</f>
        <v/>
      </c>
      <c r="W800" s="34">
        <f>V800*U800</f>
        <v/>
      </c>
      <c r="X800" s="34">
        <f>S800-T800-W800</f>
        <v/>
      </c>
      <c r="Y800" s="36">
        <f>EXP((Mu-0.5*Sigma^2)/12+Sigma*SQRT(1/12)*INDEX(NormRand,ScenID,A800+1))-1</f>
        <v/>
      </c>
      <c r="Z800" s="34">
        <f>Y800*X800</f>
        <v/>
      </c>
      <c r="AA800" s="34">
        <f>X800+0.5*Z800</f>
        <v/>
      </c>
      <c r="AB800" s="34">
        <f>Q800*J800</f>
        <v/>
      </c>
      <c r="AC800" s="34">
        <f>Q800*L800</f>
        <v/>
      </c>
      <c r="AD800" s="34">
        <f>S800*N800</f>
        <v/>
      </c>
      <c r="AE800" s="34">
        <f>E800*N800</f>
        <v/>
      </c>
      <c r="AF800" s="34">
        <f>R800*N800</f>
        <v/>
      </c>
      <c r="AG800" s="29">
        <f>MAX(SumAssured,AA800)</f>
        <v/>
      </c>
      <c r="AH800" s="34">
        <f>AG800*O800</f>
        <v/>
      </c>
      <c r="AI800" s="34">
        <f>AA800*O800</f>
        <v/>
      </c>
      <c r="AJ800" s="34">
        <f>AA800*P800</f>
        <v/>
      </c>
      <c r="AK800" s="34">
        <f>I800*AA800*P800</f>
        <v/>
      </c>
      <c r="AL800" s="34">
        <f>AJ800-AK800</f>
        <v/>
      </c>
      <c r="AM800" s="34">
        <f>Q800*K800</f>
        <v/>
      </c>
      <c r="AN800" s="34">
        <f>AH800+AL800+AM800</f>
        <v/>
      </c>
      <c r="AO800" s="34">
        <f>(AG800-AA800)*O800</f>
        <v/>
      </c>
      <c r="AP800" s="34">
        <f>W800*N800</f>
        <v/>
      </c>
      <c r="AQ800" s="34">
        <f>T800*N800</f>
        <v/>
      </c>
      <c r="AR800" s="34">
        <f>Z800*J801+0.5*Z800*(O800+P800)</f>
        <v/>
      </c>
      <c r="AS800" s="30">
        <f>(1+InflationRate)^(A800/12)</f>
        <v/>
      </c>
      <c r="AT800" s="29">
        <f>ExpenseAcq*M800+N800*ExpenseMaint/12*AS800</f>
        <v/>
      </c>
      <c r="AU800" s="29">
        <f>CommissionRate*AE800</f>
        <v/>
      </c>
      <c r="AV800" s="34">
        <f>AB801-AB800</f>
        <v/>
      </c>
      <c r="AW800" s="34">
        <f>AE800+AR800-AN800-AT800-AU800-AV800</f>
        <v/>
      </c>
      <c r="AX800" s="29">
        <f>LoadPremRate*E800*N800+AK800+AQ800-AU800-AT800</f>
        <v/>
      </c>
      <c r="AY800" s="34">
        <f>AP800-AO800</f>
        <v/>
      </c>
      <c r="AZ800" s="37">
        <f>(AW800-AX800-AY800)/MAX(1,ABS(AW800),ABS(AX800),ABS(AY800))</f>
        <v/>
      </c>
      <c r="BA800" s="37">
        <f>IF(OR(K800&gt;0,K801&gt;0),0,(AC801-(AC800+AF800-AQ800-AP800+AR800-AI800-AJ800-AM800))/MAX(1,ABS(AC800),ABS(AC801)))</f>
        <v/>
      </c>
      <c r="BB800" s="35">
        <f>(1+INDEX(DiscRateAnn,INT(A800/12)+1))^(1/12)-1</f>
        <v/>
      </c>
      <c r="BC800" s="31">
        <f>(1+BB800)^-A800</f>
        <v/>
      </c>
      <c r="BD800" s="34">
        <f>AW800*BC800</f>
        <v/>
      </c>
    </row>
    <row r="801">
      <c r="A801" s="27">
        <f>A800+1</f>
        <v/>
      </c>
      <c r="B801" s="28">
        <f>Duration0+A801</f>
        <v/>
      </c>
      <c r="C801" s="27">
        <f>INT(B801/12)</f>
        <v/>
      </c>
      <c r="D801" s="28">
        <f>AgeAtEntry+C801</f>
        <v/>
      </c>
      <c r="E801" s="29">
        <f>IF(PremiumType="SINGLE",IF(B801=0,PremiumPPInput,0),IF(B801&lt;12*PolicyTerm,PremiumPPInput,0))</f>
        <v/>
      </c>
      <c r="F801" s="30">
        <f>INDEX(MortRates,MATCH(MIN(D801,120),MortAges,0),MAX(MIN(C801,5),0)+1)</f>
        <v/>
      </c>
      <c r="G801" s="31">
        <f>1-(1-F801)^(1/12)</f>
        <v/>
      </c>
      <c r="H801" s="32">
        <f>MAX(LapseBase-LapseStep*C801,LapseFloor)</f>
        <v/>
      </c>
      <c r="I801" s="32">
        <f>IF(HasSurrCharge,INDEX(SurrRates,MIN(C801,SurrDurMax)+1,MATCH(SurrChargeID,SurrTypes,0)),0)</f>
        <v/>
      </c>
      <c r="J801" s="33">
        <f>N800-P800-O800</f>
        <v/>
      </c>
      <c r="K801" s="30">
        <f>IF(B801=12*PolicyTerm,J801,0)</f>
        <v/>
      </c>
      <c r="L801" s="33">
        <f>J801-K801</f>
        <v/>
      </c>
      <c r="M801" s="30">
        <f>IF(B801=0,PolicyCount,0)</f>
        <v/>
      </c>
      <c r="N801" s="33">
        <f>L801+M801</f>
        <v/>
      </c>
      <c r="O801" s="31">
        <f>N801*G801</f>
        <v/>
      </c>
      <c r="P801" s="33">
        <f>(N801-O801)*(1-(1-H801)^(1/12))</f>
        <v/>
      </c>
      <c r="Q801" s="34">
        <f>X800+Z800</f>
        <v/>
      </c>
      <c r="R801" s="29">
        <f>(1-LoadPremRate)*E801</f>
        <v/>
      </c>
      <c r="S801" s="34">
        <f>Q801+R801</f>
        <v/>
      </c>
      <c r="T801" s="29">
        <f>MaintFeeRateAnn/12*S801</f>
        <v/>
      </c>
      <c r="U801" s="29">
        <f>MAX(SumAssured-S801,0)</f>
        <v/>
      </c>
      <c r="V801" s="35">
        <f>CoiMultiple*G801</f>
        <v/>
      </c>
      <c r="W801" s="34">
        <f>V801*U801</f>
        <v/>
      </c>
      <c r="X801" s="34">
        <f>S801-T801-W801</f>
        <v/>
      </c>
      <c r="Y801" s="36">
        <f>EXP((Mu-0.5*Sigma^2)/12+Sigma*SQRT(1/12)*INDEX(NormRand,ScenID,A801+1))-1</f>
        <v/>
      </c>
      <c r="Z801" s="34">
        <f>Y801*X801</f>
        <v/>
      </c>
      <c r="AA801" s="34">
        <f>X801+0.5*Z801</f>
        <v/>
      </c>
      <c r="AB801" s="34">
        <f>Q801*J801</f>
        <v/>
      </c>
      <c r="AC801" s="34">
        <f>Q801*L801</f>
        <v/>
      </c>
      <c r="AD801" s="34">
        <f>S801*N801</f>
        <v/>
      </c>
      <c r="AE801" s="34">
        <f>E801*N801</f>
        <v/>
      </c>
      <c r="AF801" s="34">
        <f>R801*N801</f>
        <v/>
      </c>
      <c r="AG801" s="29">
        <f>MAX(SumAssured,AA801)</f>
        <v/>
      </c>
      <c r="AH801" s="34">
        <f>AG801*O801</f>
        <v/>
      </c>
      <c r="AI801" s="34">
        <f>AA801*O801</f>
        <v/>
      </c>
      <c r="AJ801" s="34">
        <f>AA801*P801</f>
        <v/>
      </c>
      <c r="AK801" s="34">
        <f>I801*AA801*P801</f>
        <v/>
      </c>
      <c r="AL801" s="34">
        <f>AJ801-AK801</f>
        <v/>
      </c>
      <c r="AM801" s="34">
        <f>Q801*K801</f>
        <v/>
      </c>
      <c r="AN801" s="34">
        <f>AH801+AL801+AM801</f>
        <v/>
      </c>
      <c r="AO801" s="34">
        <f>(AG801-AA801)*O801</f>
        <v/>
      </c>
      <c r="AP801" s="34">
        <f>W801*N801</f>
        <v/>
      </c>
      <c r="AQ801" s="34">
        <f>T801*N801</f>
        <v/>
      </c>
      <c r="AR801" s="34">
        <f>Z801*J802+0.5*Z801*(O801+P801)</f>
        <v/>
      </c>
      <c r="AS801" s="30">
        <f>(1+InflationRate)^(A801/12)</f>
        <v/>
      </c>
      <c r="AT801" s="29">
        <f>ExpenseAcq*M801+N801*ExpenseMaint/12*AS801</f>
        <v/>
      </c>
      <c r="AU801" s="29">
        <f>CommissionRate*AE801</f>
        <v/>
      </c>
      <c r="AV801" s="34">
        <f>AB802-AB801</f>
        <v/>
      </c>
      <c r="AW801" s="34">
        <f>AE801+AR801-AN801-AT801-AU801-AV801</f>
        <v/>
      </c>
      <c r="AX801" s="29">
        <f>LoadPremRate*E801*N801+AK801+AQ801-AU801-AT801</f>
        <v/>
      </c>
      <c r="AY801" s="34">
        <f>AP801-AO801</f>
        <v/>
      </c>
      <c r="AZ801" s="37">
        <f>(AW801-AX801-AY801)/MAX(1,ABS(AW801),ABS(AX801),ABS(AY801))</f>
        <v/>
      </c>
      <c r="BA801" s="37">
        <f>IF(OR(K801&gt;0,K802&gt;0),0,(AC802-(AC801+AF801-AQ801-AP801+AR801-AI801-AJ801-AM801))/MAX(1,ABS(AC801),ABS(AC802)))</f>
        <v/>
      </c>
      <c r="BB801" s="35">
        <f>(1+INDEX(DiscRateAnn,INT(A801/12)+1))^(1/12)-1</f>
        <v/>
      </c>
      <c r="BC801" s="31">
        <f>(1+BB801)^-A801</f>
        <v/>
      </c>
      <c r="BD801" s="34">
        <f>AW801*BC801</f>
        <v/>
      </c>
    </row>
    <row r="802">
      <c r="A802" s="27">
        <f>A801+1</f>
        <v/>
      </c>
      <c r="B802" s="28">
        <f>Duration0+A802</f>
        <v/>
      </c>
      <c r="C802" s="27">
        <f>INT(B802/12)</f>
        <v/>
      </c>
      <c r="D802" s="28">
        <f>AgeAtEntry+C802</f>
        <v/>
      </c>
      <c r="E802" s="29">
        <f>IF(PremiumType="SINGLE",IF(B802=0,PremiumPPInput,0),IF(B802&lt;12*PolicyTerm,PremiumPPInput,0))</f>
        <v/>
      </c>
      <c r="F802" s="30">
        <f>INDEX(MortRates,MATCH(MIN(D802,120),MortAges,0),MAX(MIN(C802,5),0)+1)</f>
        <v/>
      </c>
      <c r="G802" s="31">
        <f>1-(1-F802)^(1/12)</f>
        <v/>
      </c>
      <c r="H802" s="32">
        <f>MAX(LapseBase-LapseStep*C802,LapseFloor)</f>
        <v/>
      </c>
      <c r="I802" s="32">
        <f>IF(HasSurrCharge,INDEX(SurrRates,MIN(C802,SurrDurMax)+1,MATCH(SurrChargeID,SurrTypes,0)),0)</f>
        <v/>
      </c>
      <c r="J802" s="33">
        <f>N801-P801-O801</f>
        <v/>
      </c>
      <c r="K802" s="30">
        <f>IF(B802=12*PolicyTerm,J802,0)</f>
        <v/>
      </c>
      <c r="L802" s="33">
        <f>J802-K802</f>
        <v/>
      </c>
      <c r="M802" s="30">
        <f>IF(B802=0,PolicyCount,0)</f>
        <v/>
      </c>
      <c r="N802" s="33">
        <f>L802+M802</f>
        <v/>
      </c>
      <c r="O802" s="31">
        <f>N802*G802</f>
        <v/>
      </c>
      <c r="P802" s="33">
        <f>(N802-O802)*(1-(1-H802)^(1/12))</f>
        <v/>
      </c>
      <c r="Q802" s="34">
        <f>X801+Z801</f>
        <v/>
      </c>
      <c r="R802" s="29">
        <f>(1-LoadPremRate)*E802</f>
        <v/>
      </c>
      <c r="S802" s="34">
        <f>Q802+R802</f>
        <v/>
      </c>
      <c r="T802" s="29">
        <f>MaintFeeRateAnn/12*S802</f>
        <v/>
      </c>
      <c r="U802" s="29">
        <f>MAX(SumAssured-S802,0)</f>
        <v/>
      </c>
      <c r="V802" s="35">
        <f>CoiMultiple*G802</f>
        <v/>
      </c>
      <c r="W802" s="34">
        <f>V802*U802</f>
        <v/>
      </c>
      <c r="X802" s="34">
        <f>S802-T802-W802</f>
        <v/>
      </c>
      <c r="Y802" s="36">
        <f>EXP((Mu-0.5*Sigma^2)/12+Sigma*SQRT(1/12)*INDEX(NormRand,ScenID,A802+1))-1</f>
        <v/>
      </c>
      <c r="Z802" s="34">
        <f>Y802*X802</f>
        <v/>
      </c>
      <c r="AA802" s="34">
        <f>X802+0.5*Z802</f>
        <v/>
      </c>
      <c r="AB802" s="34">
        <f>Q802*J802</f>
        <v/>
      </c>
      <c r="AC802" s="34">
        <f>Q802*L802</f>
        <v/>
      </c>
      <c r="AD802" s="34">
        <f>S802*N802</f>
        <v/>
      </c>
      <c r="AE802" s="34">
        <f>E802*N802</f>
        <v/>
      </c>
      <c r="AF802" s="34">
        <f>R802*N802</f>
        <v/>
      </c>
      <c r="AG802" s="29">
        <f>MAX(SumAssured,AA802)</f>
        <v/>
      </c>
      <c r="AH802" s="34">
        <f>AG802*O802</f>
        <v/>
      </c>
      <c r="AI802" s="34">
        <f>AA802*O802</f>
        <v/>
      </c>
      <c r="AJ802" s="34">
        <f>AA802*P802</f>
        <v/>
      </c>
      <c r="AK802" s="34">
        <f>I802*AA802*P802</f>
        <v/>
      </c>
      <c r="AL802" s="34">
        <f>AJ802-AK802</f>
        <v/>
      </c>
      <c r="AM802" s="34">
        <f>Q802*K802</f>
        <v/>
      </c>
      <c r="AN802" s="34">
        <f>AH802+AL802+AM802</f>
        <v/>
      </c>
      <c r="AO802" s="34">
        <f>(AG802-AA802)*O802</f>
        <v/>
      </c>
      <c r="AP802" s="34">
        <f>W802*N802</f>
        <v/>
      </c>
      <c r="AQ802" s="34">
        <f>T802*N802</f>
        <v/>
      </c>
      <c r="AR802" s="34">
        <f>Z802*J803+0.5*Z802*(O802+P802)</f>
        <v/>
      </c>
      <c r="AS802" s="30">
        <f>(1+InflationRate)^(A802/12)</f>
        <v/>
      </c>
      <c r="AT802" s="29">
        <f>ExpenseAcq*M802+N802*ExpenseMaint/12*AS802</f>
        <v/>
      </c>
      <c r="AU802" s="29">
        <f>CommissionRate*AE802</f>
        <v/>
      </c>
      <c r="AV802" s="34">
        <f>AB803-AB802</f>
        <v/>
      </c>
      <c r="AW802" s="34">
        <f>AE802+AR802-AN802-AT802-AU802-AV802</f>
        <v/>
      </c>
      <c r="AX802" s="29">
        <f>LoadPremRate*E802*N802+AK802+AQ802-AU802-AT802</f>
        <v/>
      </c>
      <c r="AY802" s="34">
        <f>AP802-AO802</f>
        <v/>
      </c>
      <c r="AZ802" s="37">
        <f>(AW802-AX802-AY802)/MAX(1,ABS(AW802),ABS(AX802),ABS(AY802))</f>
        <v/>
      </c>
      <c r="BA802" s="37">
        <f>IF(OR(K802&gt;0,K803&gt;0),0,(AC803-(AC802+AF802-AQ802-AP802+AR802-AI802-AJ802-AM802))/MAX(1,ABS(AC802),ABS(AC803)))</f>
        <v/>
      </c>
      <c r="BB802" s="35">
        <f>(1+INDEX(DiscRateAnn,INT(A802/12)+1))^(1/12)-1</f>
        <v/>
      </c>
      <c r="BC802" s="31">
        <f>(1+BB802)^-A802</f>
        <v/>
      </c>
      <c r="BD802" s="34">
        <f>AW802*BC802</f>
        <v/>
      </c>
    </row>
    <row r="803">
      <c r="A803" s="27">
        <f>A802+1</f>
        <v/>
      </c>
      <c r="B803" s="28">
        <f>Duration0+A803</f>
        <v/>
      </c>
      <c r="C803" s="27">
        <f>INT(B803/12)</f>
        <v/>
      </c>
      <c r="D803" s="28">
        <f>AgeAtEntry+C803</f>
        <v/>
      </c>
      <c r="E803" s="29">
        <f>IF(PremiumType="SINGLE",IF(B803=0,PremiumPPInput,0),IF(B803&lt;12*PolicyTerm,PremiumPPInput,0))</f>
        <v/>
      </c>
      <c r="F803" s="30">
        <f>INDEX(MortRates,MATCH(MIN(D803,120),MortAges,0),MAX(MIN(C803,5),0)+1)</f>
        <v/>
      </c>
      <c r="G803" s="31">
        <f>1-(1-F803)^(1/12)</f>
        <v/>
      </c>
      <c r="H803" s="32">
        <f>MAX(LapseBase-LapseStep*C803,LapseFloor)</f>
        <v/>
      </c>
      <c r="I803" s="32">
        <f>IF(HasSurrCharge,INDEX(SurrRates,MIN(C803,SurrDurMax)+1,MATCH(SurrChargeID,SurrTypes,0)),0)</f>
        <v/>
      </c>
      <c r="J803" s="33">
        <f>N802-P802-O802</f>
        <v/>
      </c>
      <c r="K803" s="30">
        <f>IF(B803=12*PolicyTerm,J803,0)</f>
        <v/>
      </c>
      <c r="L803" s="33">
        <f>J803-K803</f>
        <v/>
      </c>
      <c r="M803" s="30">
        <f>IF(B803=0,PolicyCount,0)</f>
        <v/>
      </c>
      <c r="N803" s="33">
        <f>L803+M803</f>
        <v/>
      </c>
      <c r="O803" s="31">
        <f>N803*G803</f>
        <v/>
      </c>
      <c r="P803" s="33">
        <f>(N803-O803)*(1-(1-H803)^(1/12))</f>
        <v/>
      </c>
      <c r="Q803" s="34">
        <f>X802+Z802</f>
        <v/>
      </c>
      <c r="R803" s="29">
        <f>(1-LoadPremRate)*E803</f>
        <v/>
      </c>
      <c r="S803" s="34">
        <f>Q803+R803</f>
        <v/>
      </c>
      <c r="T803" s="29">
        <f>MaintFeeRateAnn/12*S803</f>
        <v/>
      </c>
      <c r="U803" s="29">
        <f>MAX(SumAssured-S803,0)</f>
        <v/>
      </c>
      <c r="V803" s="35">
        <f>CoiMultiple*G803</f>
        <v/>
      </c>
      <c r="W803" s="34">
        <f>V803*U803</f>
        <v/>
      </c>
      <c r="X803" s="34">
        <f>S803-T803-W803</f>
        <v/>
      </c>
      <c r="Y803" s="36">
        <f>EXP((Mu-0.5*Sigma^2)/12+Sigma*SQRT(1/12)*INDEX(NormRand,ScenID,A803+1))-1</f>
        <v/>
      </c>
      <c r="Z803" s="34">
        <f>Y803*X803</f>
        <v/>
      </c>
      <c r="AA803" s="34">
        <f>X803+0.5*Z803</f>
        <v/>
      </c>
      <c r="AB803" s="34">
        <f>Q803*J803</f>
        <v/>
      </c>
      <c r="AC803" s="34">
        <f>Q803*L803</f>
        <v/>
      </c>
      <c r="AD803" s="34">
        <f>S803*N803</f>
        <v/>
      </c>
      <c r="AE803" s="34">
        <f>E803*N803</f>
        <v/>
      </c>
      <c r="AF803" s="34">
        <f>R803*N803</f>
        <v/>
      </c>
      <c r="AG803" s="29">
        <f>MAX(SumAssured,AA803)</f>
        <v/>
      </c>
      <c r="AH803" s="34">
        <f>AG803*O803</f>
        <v/>
      </c>
      <c r="AI803" s="34">
        <f>AA803*O803</f>
        <v/>
      </c>
      <c r="AJ803" s="34">
        <f>AA803*P803</f>
        <v/>
      </c>
      <c r="AK803" s="34">
        <f>I803*AA803*P803</f>
        <v/>
      </c>
      <c r="AL803" s="34">
        <f>AJ803-AK803</f>
        <v/>
      </c>
      <c r="AM803" s="34">
        <f>Q803*K803</f>
        <v/>
      </c>
      <c r="AN803" s="34">
        <f>AH803+AL803+AM803</f>
        <v/>
      </c>
      <c r="AO803" s="34">
        <f>(AG803-AA803)*O803</f>
        <v/>
      </c>
      <c r="AP803" s="34">
        <f>W803*N803</f>
        <v/>
      </c>
      <c r="AQ803" s="34">
        <f>T803*N803</f>
        <v/>
      </c>
      <c r="AR803" s="34">
        <f>Z803*J804+0.5*Z803*(O803+P803)</f>
        <v/>
      </c>
      <c r="AS803" s="30">
        <f>(1+InflationRate)^(A803/12)</f>
        <v/>
      </c>
      <c r="AT803" s="29">
        <f>ExpenseAcq*M803+N803*ExpenseMaint/12*AS803</f>
        <v/>
      </c>
      <c r="AU803" s="29">
        <f>CommissionRate*AE803</f>
        <v/>
      </c>
      <c r="AV803" s="34">
        <f>AB804-AB803</f>
        <v/>
      </c>
      <c r="AW803" s="34">
        <f>AE803+AR803-AN803-AT803-AU803-AV803</f>
        <v/>
      </c>
      <c r="AX803" s="29">
        <f>LoadPremRate*E803*N803+AK803+AQ803-AU803-AT803</f>
        <v/>
      </c>
      <c r="AY803" s="34">
        <f>AP803-AO803</f>
        <v/>
      </c>
      <c r="AZ803" s="37">
        <f>(AW803-AX803-AY803)/MAX(1,ABS(AW803),ABS(AX803),ABS(AY803))</f>
        <v/>
      </c>
      <c r="BA803" s="37">
        <f>IF(OR(K803&gt;0,K804&gt;0),0,(AC804-(AC803+AF803-AQ803-AP803+AR803-AI803-AJ803-AM803))/MAX(1,ABS(AC803),ABS(AC804)))</f>
        <v/>
      </c>
      <c r="BB803" s="35">
        <f>(1+INDEX(DiscRateAnn,INT(A803/12)+1))^(1/12)-1</f>
        <v/>
      </c>
      <c r="BC803" s="31">
        <f>(1+BB803)^-A803</f>
        <v/>
      </c>
      <c r="BD803" s="34">
        <f>AW803*BC803</f>
        <v/>
      </c>
    </row>
    <row r="804">
      <c r="A804" s="27">
        <f>A803+1</f>
        <v/>
      </c>
      <c r="B804" s="28">
        <f>Duration0+A804</f>
        <v/>
      </c>
      <c r="C804" s="27">
        <f>INT(B804/12)</f>
        <v/>
      </c>
      <c r="D804" s="28">
        <f>AgeAtEntry+C804</f>
        <v/>
      </c>
      <c r="E804" s="29">
        <f>IF(PremiumType="SINGLE",IF(B804=0,PremiumPPInput,0),IF(B804&lt;12*PolicyTerm,PremiumPPInput,0))</f>
        <v/>
      </c>
      <c r="F804" s="30">
        <f>INDEX(MortRates,MATCH(MIN(D804,120),MortAges,0),MAX(MIN(C804,5),0)+1)</f>
        <v/>
      </c>
      <c r="G804" s="31">
        <f>1-(1-F804)^(1/12)</f>
        <v/>
      </c>
      <c r="H804" s="32">
        <f>MAX(LapseBase-LapseStep*C804,LapseFloor)</f>
        <v/>
      </c>
      <c r="I804" s="32">
        <f>IF(HasSurrCharge,INDEX(SurrRates,MIN(C804,SurrDurMax)+1,MATCH(SurrChargeID,SurrTypes,0)),0)</f>
        <v/>
      </c>
      <c r="J804" s="33">
        <f>N803-P803-O803</f>
        <v/>
      </c>
      <c r="K804" s="30">
        <f>IF(B804=12*PolicyTerm,J804,0)</f>
        <v/>
      </c>
      <c r="L804" s="33">
        <f>J804-K804</f>
        <v/>
      </c>
      <c r="M804" s="30">
        <f>IF(B804=0,PolicyCount,0)</f>
        <v/>
      </c>
      <c r="N804" s="33">
        <f>L804+M804</f>
        <v/>
      </c>
      <c r="O804" s="31">
        <f>N804*G804</f>
        <v/>
      </c>
      <c r="P804" s="33">
        <f>(N804-O804)*(1-(1-H804)^(1/12))</f>
        <v/>
      </c>
      <c r="Q804" s="34">
        <f>X803+Z803</f>
        <v/>
      </c>
      <c r="R804" s="29">
        <f>(1-LoadPremRate)*E804</f>
        <v/>
      </c>
      <c r="S804" s="34">
        <f>Q804+R804</f>
        <v/>
      </c>
      <c r="T804" s="29">
        <f>MaintFeeRateAnn/12*S804</f>
        <v/>
      </c>
      <c r="U804" s="29">
        <f>MAX(SumAssured-S804,0)</f>
        <v/>
      </c>
      <c r="V804" s="35">
        <f>CoiMultiple*G804</f>
        <v/>
      </c>
      <c r="W804" s="34">
        <f>V804*U804</f>
        <v/>
      </c>
      <c r="X804" s="34">
        <f>S804-T804-W804</f>
        <v/>
      </c>
      <c r="Y804" s="36">
        <f>EXP((Mu-0.5*Sigma^2)/12+Sigma*SQRT(1/12)*INDEX(NormRand,ScenID,A804+1))-1</f>
        <v/>
      </c>
      <c r="Z804" s="34">
        <f>Y804*X804</f>
        <v/>
      </c>
      <c r="AA804" s="34">
        <f>X804+0.5*Z804</f>
        <v/>
      </c>
      <c r="AB804" s="34">
        <f>Q804*J804</f>
        <v/>
      </c>
      <c r="AC804" s="34">
        <f>Q804*L804</f>
        <v/>
      </c>
      <c r="AD804" s="34">
        <f>S804*N804</f>
        <v/>
      </c>
      <c r="AE804" s="34">
        <f>E804*N804</f>
        <v/>
      </c>
      <c r="AF804" s="34">
        <f>R804*N804</f>
        <v/>
      </c>
      <c r="AG804" s="29">
        <f>MAX(SumAssured,AA804)</f>
        <v/>
      </c>
      <c r="AH804" s="34">
        <f>AG804*O804</f>
        <v/>
      </c>
      <c r="AI804" s="34">
        <f>AA804*O804</f>
        <v/>
      </c>
      <c r="AJ804" s="34">
        <f>AA804*P804</f>
        <v/>
      </c>
      <c r="AK804" s="34">
        <f>I804*AA804*P804</f>
        <v/>
      </c>
      <c r="AL804" s="34">
        <f>AJ804-AK804</f>
        <v/>
      </c>
      <c r="AM804" s="34">
        <f>Q804*K804</f>
        <v/>
      </c>
      <c r="AN804" s="34">
        <f>AH804+AL804+AM804</f>
        <v/>
      </c>
      <c r="AO804" s="34">
        <f>(AG804-AA804)*O804</f>
        <v/>
      </c>
      <c r="AP804" s="34">
        <f>W804*N804</f>
        <v/>
      </c>
      <c r="AQ804" s="34">
        <f>T804*N804</f>
        <v/>
      </c>
      <c r="AR804" s="34">
        <f>Z804*J805+0.5*Z804*(O804+P804)</f>
        <v/>
      </c>
      <c r="AS804" s="30">
        <f>(1+InflationRate)^(A804/12)</f>
        <v/>
      </c>
      <c r="AT804" s="29">
        <f>ExpenseAcq*M804+N804*ExpenseMaint/12*AS804</f>
        <v/>
      </c>
      <c r="AU804" s="29">
        <f>CommissionRate*AE804</f>
        <v/>
      </c>
      <c r="AV804" s="34">
        <f>AB805-AB804</f>
        <v/>
      </c>
      <c r="AW804" s="34">
        <f>AE804+AR804-AN804-AT804-AU804-AV804</f>
        <v/>
      </c>
      <c r="AX804" s="29">
        <f>LoadPremRate*E804*N804+AK804+AQ804-AU804-AT804</f>
        <v/>
      </c>
      <c r="AY804" s="34">
        <f>AP804-AO804</f>
        <v/>
      </c>
      <c r="AZ804" s="37">
        <f>(AW804-AX804-AY804)/MAX(1,ABS(AW804),ABS(AX804),ABS(AY804))</f>
        <v/>
      </c>
      <c r="BA804" s="37">
        <f>IF(OR(K804&gt;0,K805&gt;0),0,(AC805-(AC804+AF804-AQ804-AP804+AR804-AI804-AJ804-AM804))/MAX(1,ABS(AC804),ABS(AC805)))</f>
        <v/>
      </c>
      <c r="BB804" s="35">
        <f>(1+INDEX(DiscRateAnn,INT(A804/12)+1))^(1/12)-1</f>
        <v/>
      </c>
      <c r="BC804" s="31">
        <f>(1+BB804)^-A804</f>
        <v/>
      </c>
      <c r="BD804" s="34">
        <f>AW804*BC804</f>
        <v/>
      </c>
    </row>
    <row r="805">
      <c r="A805" s="27">
        <f>A804+1</f>
        <v/>
      </c>
      <c r="B805" s="28">
        <f>Duration0+A805</f>
        <v/>
      </c>
      <c r="C805" s="27">
        <f>INT(B805/12)</f>
        <v/>
      </c>
      <c r="D805" s="28">
        <f>AgeAtEntry+C805</f>
        <v/>
      </c>
      <c r="E805" s="29">
        <f>IF(PremiumType="SINGLE",IF(B805=0,PremiumPPInput,0),IF(B805&lt;12*PolicyTerm,PremiumPPInput,0))</f>
        <v/>
      </c>
      <c r="F805" s="30">
        <f>INDEX(MortRates,MATCH(MIN(D805,120),MortAges,0),MAX(MIN(C805,5),0)+1)</f>
        <v/>
      </c>
      <c r="G805" s="31">
        <f>1-(1-F805)^(1/12)</f>
        <v/>
      </c>
      <c r="H805" s="32">
        <f>MAX(LapseBase-LapseStep*C805,LapseFloor)</f>
        <v/>
      </c>
      <c r="I805" s="32">
        <f>IF(HasSurrCharge,INDEX(SurrRates,MIN(C805,SurrDurMax)+1,MATCH(SurrChargeID,SurrTypes,0)),0)</f>
        <v/>
      </c>
      <c r="J805" s="33">
        <f>N804-P804-O804</f>
        <v/>
      </c>
      <c r="K805" s="30">
        <f>IF(B805=12*PolicyTerm,J805,0)</f>
        <v/>
      </c>
      <c r="L805" s="33">
        <f>J805-K805</f>
        <v/>
      </c>
      <c r="M805" s="30">
        <f>IF(B805=0,PolicyCount,0)</f>
        <v/>
      </c>
      <c r="N805" s="33">
        <f>L805+M805</f>
        <v/>
      </c>
      <c r="O805" s="31">
        <f>N805*G805</f>
        <v/>
      </c>
      <c r="P805" s="33">
        <f>(N805-O805)*(1-(1-H805)^(1/12))</f>
        <v/>
      </c>
      <c r="Q805" s="34">
        <f>X804+Z804</f>
        <v/>
      </c>
      <c r="R805" s="29">
        <f>(1-LoadPremRate)*E805</f>
        <v/>
      </c>
      <c r="S805" s="34">
        <f>Q805+R805</f>
        <v/>
      </c>
      <c r="T805" s="29">
        <f>MaintFeeRateAnn/12*S805</f>
        <v/>
      </c>
      <c r="U805" s="29">
        <f>MAX(SumAssured-S805,0)</f>
        <v/>
      </c>
      <c r="V805" s="35">
        <f>CoiMultiple*G805</f>
        <v/>
      </c>
      <c r="W805" s="34">
        <f>V805*U805</f>
        <v/>
      </c>
      <c r="X805" s="34">
        <f>S805-T805-W805</f>
        <v/>
      </c>
      <c r="Y805" s="36">
        <f>EXP((Mu-0.5*Sigma^2)/12+Sigma*SQRT(1/12)*INDEX(NormRand,ScenID,A805+1))-1</f>
        <v/>
      </c>
      <c r="Z805" s="34">
        <f>Y805*X805</f>
        <v/>
      </c>
      <c r="AA805" s="34">
        <f>X805+0.5*Z805</f>
        <v/>
      </c>
      <c r="AB805" s="34">
        <f>Q805*J805</f>
        <v/>
      </c>
      <c r="AC805" s="34">
        <f>Q805*L805</f>
        <v/>
      </c>
      <c r="AD805" s="34">
        <f>S805*N805</f>
        <v/>
      </c>
      <c r="AE805" s="34">
        <f>E805*N805</f>
        <v/>
      </c>
      <c r="AF805" s="34">
        <f>R805*N805</f>
        <v/>
      </c>
      <c r="AG805" s="29">
        <f>MAX(SumAssured,AA805)</f>
        <v/>
      </c>
      <c r="AH805" s="34">
        <f>AG805*O805</f>
        <v/>
      </c>
      <c r="AI805" s="34">
        <f>AA805*O805</f>
        <v/>
      </c>
      <c r="AJ805" s="34">
        <f>AA805*P805</f>
        <v/>
      </c>
      <c r="AK805" s="34">
        <f>I805*AA805*P805</f>
        <v/>
      </c>
      <c r="AL805" s="34">
        <f>AJ805-AK805</f>
        <v/>
      </c>
      <c r="AM805" s="34">
        <f>Q805*K805</f>
        <v/>
      </c>
      <c r="AN805" s="34">
        <f>AH805+AL805+AM805</f>
        <v/>
      </c>
      <c r="AO805" s="34">
        <f>(AG805-AA805)*O805</f>
        <v/>
      </c>
      <c r="AP805" s="34">
        <f>W805*N805</f>
        <v/>
      </c>
      <c r="AQ805" s="34">
        <f>T805*N805</f>
        <v/>
      </c>
      <c r="AR805" s="34">
        <f>Z805*J806+0.5*Z805*(O805+P805)</f>
        <v/>
      </c>
      <c r="AS805" s="30">
        <f>(1+InflationRate)^(A805/12)</f>
        <v/>
      </c>
      <c r="AT805" s="29">
        <f>ExpenseAcq*M805+N805*ExpenseMaint/12*AS805</f>
        <v/>
      </c>
      <c r="AU805" s="29">
        <f>CommissionRate*AE805</f>
        <v/>
      </c>
      <c r="AV805" s="34">
        <f>AB806-AB805</f>
        <v/>
      </c>
      <c r="AW805" s="34">
        <f>AE805+AR805-AN805-AT805-AU805-AV805</f>
        <v/>
      </c>
      <c r="AX805" s="29">
        <f>LoadPremRate*E805*N805+AK805+AQ805-AU805-AT805</f>
        <v/>
      </c>
      <c r="AY805" s="34">
        <f>AP805-AO805</f>
        <v/>
      </c>
      <c r="AZ805" s="37">
        <f>(AW805-AX805-AY805)/MAX(1,ABS(AW805),ABS(AX805),ABS(AY805))</f>
        <v/>
      </c>
      <c r="BA805" s="37">
        <f>IF(OR(K805&gt;0,K806&gt;0),0,(AC806-(AC805+AF805-AQ805-AP805+AR805-AI805-AJ805-AM805))/MAX(1,ABS(AC805),ABS(AC806)))</f>
        <v/>
      </c>
      <c r="BB805" s="35">
        <f>(1+INDEX(DiscRateAnn,INT(A805/12)+1))^(1/12)-1</f>
        <v/>
      </c>
      <c r="BC805" s="31">
        <f>(1+BB805)^-A805</f>
        <v/>
      </c>
      <c r="BD805" s="34">
        <f>AW805*BC805</f>
        <v/>
      </c>
    </row>
    <row r="806">
      <c r="A806" s="27">
        <f>A805+1</f>
        <v/>
      </c>
      <c r="B806" s="28">
        <f>Duration0+A806</f>
        <v/>
      </c>
      <c r="C806" s="27">
        <f>INT(B806/12)</f>
        <v/>
      </c>
      <c r="D806" s="28">
        <f>AgeAtEntry+C806</f>
        <v/>
      </c>
      <c r="E806" s="29">
        <f>IF(PremiumType="SINGLE",IF(B806=0,PremiumPPInput,0),IF(B806&lt;12*PolicyTerm,PremiumPPInput,0))</f>
        <v/>
      </c>
      <c r="F806" s="30">
        <f>INDEX(MortRates,MATCH(MIN(D806,120),MortAges,0),MAX(MIN(C806,5),0)+1)</f>
        <v/>
      </c>
      <c r="G806" s="31">
        <f>1-(1-F806)^(1/12)</f>
        <v/>
      </c>
      <c r="H806" s="32">
        <f>MAX(LapseBase-LapseStep*C806,LapseFloor)</f>
        <v/>
      </c>
      <c r="I806" s="32">
        <f>IF(HasSurrCharge,INDEX(SurrRates,MIN(C806,SurrDurMax)+1,MATCH(SurrChargeID,SurrTypes,0)),0)</f>
        <v/>
      </c>
      <c r="J806" s="33">
        <f>N805-P805-O805</f>
        <v/>
      </c>
      <c r="K806" s="30">
        <f>IF(B806=12*PolicyTerm,J806,0)</f>
        <v/>
      </c>
      <c r="L806" s="33">
        <f>J806-K806</f>
        <v/>
      </c>
      <c r="M806" s="30">
        <f>IF(B806=0,PolicyCount,0)</f>
        <v/>
      </c>
      <c r="N806" s="33">
        <f>L806+M806</f>
        <v/>
      </c>
      <c r="O806" s="31">
        <f>N806*G806</f>
        <v/>
      </c>
      <c r="P806" s="33">
        <f>(N806-O806)*(1-(1-H806)^(1/12))</f>
        <v/>
      </c>
      <c r="Q806" s="34">
        <f>X805+Z805</f>
        <v/>
      </c>
      <c r="R806" s="29">
        <f>(1-LoadPremRate)*E806</f>
        <v/>
      </c>
      <c r="S806" s="34">
        <f>Q806+R806</f>
        <v/>
      </c>
      <c r="T806" s="29">
        <f>MaintFeeRateAnn/12*S806</f>
        <v/>
      </c>
      <c r="U806" s="29">
        <f>MAX(SumAssured-S806,0)</f>
        <v/>
      </c>
      <c r="V806" s="35">
        <f>CoiMultiple*G806</f>
        <v/>
      </c>
      <c r="W806" s="34">
        <f>V806*U806</f>
        <v/>
      </c>
      <c r="X806" s="34">
        <f>S806-T806-W806</f>
        <v/>
      </c>
      <c r="Y806" s="36">
        <f>EXP((Mu-0.5*Sigma^2)/12+Sigma*SQRT(1/12)*INDEX(NormRand,ScenID,A806+1))-1</f>
        <v/>
      </c>
      <c r="Z806" s="34">
        <f>Y806*X806</f>
        <v/>
      </c>
      <c r="AA806" s="34">
        <f>X806+0.5*Z806</f>
        <v/>
      </c>
      <c r="AB806" s="34">
        <f>Q806*J806</f>
        <v/>
      </c>
      <c r="AC806" s="34">
        <f>Q806*L806</f>
        <v/>
      </c>
      <c r="AD806" s="34">
        <f>S806*N806</f>
        <v/>
      </c>
      <c r="AE806" s="34">
        <f>E806*N806</f>
        <v/>
      </c>
      <c r="AF806" s="34">
        <f>R806*N806</f>
        <v/>
      </c>
      <c r="AG806" s="29">
        <f>MAX(SumAssured,AA806)</f>
        <v/>
      </c>
      <c r="AH806" s="34">
        <f>AG806*O806</f>
        <v/>
      </c>
      <c r="AI806" s="34">
        <f>AA806*O806</f>
        <v/>
      </c>
      <c r="AJ806" s="34">
        <f>AA806*P806</f>
        <v/>
      </c>
      <c r="AK806" s="34">
        <f>I806*AA806*P806</f>
        <v/>
      </c>
      <c r="AL806" s="34">
        <f>AJ806-AK806</f>
        <v/>
      </c>
      <c r="AM806" s="34">
        <f>Q806*K806</f>
        <v/>
      </c>
      <c r="AN806" s="34">
        <f>AH806+AL806+AM806</f>
        <v/>
      </c>
      <c r="AO806" s="34">
        <f>(AG806-AA806)*O806</f>
        <v/>
      </c>
      <c r="AP806" s="34">
        <f>W806*N806</f>
        <v/>
      </c>
      <c r="AQ806" s="34">
        <f>T806*N806</f>
        <v/>
      </c>
      <c r="AR806" s="34">
        <f>Z806*J807+0.5*Z806*(O806+P806)</f>
        <v/>
      </c>
      <c r="AS806" s="30">
        <f>(1+InflationRate)^(A806/12)</f>
        <v/>
      </c>
      <c r="AT806" s="29">
        <f>ExpenseAcq*M806+N806*ExpenseMaint/12*AS806</f>
        <v/>
      </c>
      <c r="AU806" s="29">
        <f>CommissionRate*AE806</f>
        <v/>
      </c>
      <c r="AV806" s="34">
        <f>AB807-AB806</f>
        <v/>
      </c>
      <c r="AW806" s="34">
        <f>AE806+AR806-AN806-AT806-AU806-AV806</f>
        <v/>
      </c>
      <c r="AX806" s="29">
        <f>LoadPremRate*E806*N806+AK806+AQ806-AU806-AT806</f>
        <v/>
      </c>
      <c r="AY806" s="34">
        <f>AP806-AO806</f>
        <v/>
      </c>
      <c r="AZ806" s="37">
        <f>(AW806-AX806-AY806)/MAX(1,ABS(AW806),ABS(AX806),ABS(AY806))</f>
        <v/>
      </c>
      <c r="BA806" s="37">
        <f>IF(OR(K806&gt;0,K807&gt;0),0,(AC807-(AC806+AF806-AQ806-AP806+AR806-AI806-AJ806-AM806))/MAX(1,ABS(AC806),ABS(AC807)))</f>
        <v/>
      </c>
      <c r="BB806" s="35">
        <f>(1+INDEX(DiscRateAnn,INT(A806/12)+1))^(1/12)-1</f>
        <v/>
      </c>
      <c r="BC806" s="31">
        <f>(1+BB806)^-A806</f>
        <v/>
      </c>
      <c r="BD806" s="34">
        <f>AW806*BC806</f>
        <v/>
      </c>
    </row>
    <row r="807">
      <c r="A807" s="27">
        <f>A806+1</f>
        <v/>
      </c>
      <c r="B807" s="28">
        <f>Duration0+A807</f>
        <v/>
      </c>
      <c r="C807" s="27">
        <f>INT(B807/12)</f>
        <v/>
      </c>
      <c r="D807" s="28">
        <f>AgeAtEntry+C807</f>
        <v/>
      </c>
      <c r="E807" s="29">
        <f>IF(PremiumType="SINGLE",IF(B807=0,PremiumPPInput,0),IF(B807&lt;12*PolicyTerm,PremiumPPInput,0))</f>
        <v/>
      </c>
      <c r="F807" s="30">
        <f>INDEX(MortRates,MATCH(MIN(D807,120),MortAges,0),MAX(MIN(C807,5),0)+1)</f>
        <v/>
      </c>
      <c r="G807" s="31">
        <f>1-(1-F807)^(1/12)</f>
        <v/>
      </c>
      <c r="H807" s="32">
        <f>MAX(LapseBase-LapseStep*C807,LapseFloor)</f>
        <v/>
      </c>
      <c r="I807" s="32">
        <f>IF(HasSurrCharge,INDEX(SurrRates,MIN(C807,SurrDurMax)+1,MATCH(SurrChargeID,SurrTypes,0)),0)</f>
        <v/>
      </c>
      <c r="J807" s="33">
        <f>N806-P806-O806</f>
        <v/>
      </c>
      <c r="K807" s="30">
        <f>IF(B807=12*PolicyTerm,J807,0)</f>
        <v/>
      </c>
      <c r="L807" s="33">
        <f>J807-K807</f>
        <v/>
      </c>
      <c r="M807" s="30">
        <f>IF(B807=0,PolicyCount,0)</f>
        <v/>
      </c>
      <c r="N807" s="33">
        <f>L807+M807</f>
        <v/>
      </c>
      <c r="O807" s="31">
        <f>N807*G807</f>
        <v/>
      </c>
      <c r="P807" s="33">
        <f>(N807-O807)*(1-(1-H807)^(1/12))</f>
        <v/>
      </c>
      <c r="Q807" s="34">
        <f>X806+Z806</f>
        <v/>
      </c>
      <c r="R807" s="29">
        <f>(1-LoadPremRate)*E807</f>
        <v/>
      </c>
      <c r="S807" s="34">
        <f>Q807+R807</f>
        <v/>
      </c>
      <c r="T807" s="29">
        <f>MaintFeeRateAnn/12*S807</f>
        <v/>
      </c>
      <c r="U807" s="29">
        <f>MAX(SumAssured-S807,0)</f>
        <v/>
      </c>
      <c r="V807" s="35">
        <f>CoiMultiple*G807</f>
        <v/>
      </c>
      <c r="W807" s="34">
        <f>V807*U807</f>
        <v/>
      </c>
      <c r="X807" s="34">
        <f>S807-T807-W807</f>
        <v/>
      </c>
      <c r="Y807" s="36">
        <f>EXP((Mu-0.5*Sigma^2)/12+Sigma*SQRT(1/12)*INDEX(NormRand,ScenID,A807+1))-1</f>
        <v/>
      </c>
      <c r="Z807" s="34">
        <f>Y807*X807</f>
        <v/>
      </c>
      <c r="AA807" s="34">
        <f>X807+0.5*Z807</f>
        <v/>
      </c>
      <c r="AB807" s="34">
        <f>Q807*J807</f>
        <v/>
      </c>
      <c r="AC807" s="34">
        <f>Q807*L807</f>
        <v/>
      </c>
      <c r="AD807" s="34">
        <f>S807*N807</f>
        <v/>
      </c>
      <c r="AE807" s="34">
        <f>E807*N807</f>
        <v/>
      </c>
      <c r="AF807" s="34">
        <f>R807*N807</f>
        <v/>
      </c>
      <c r="AG807" s="29">
        <f>MAX(SumAssured,AA807)</f>
        <v/>
      </c>
      <c r="AH807" s="34">
        <f>AG807*O807</f>
        <v/>
      </c>
      <c r="AI807" s="34">
        <f>AA807*O807</f>
        <v/>
      </c>
      <c r="AJ807" s="34">
        <f>AA807*P807</f>
        <v/>
      </c>
      <c r="AK807" s="34">
        <f>I807*AA807*P807</f>
        <v/>
      </c>
      <c r="AL807" s="34">
        <f>AJ807-AK807</f>
        <v/>
      </c>
      <c r="AM807" s="34">
        <f>Q807*K807</f>
        <v/>
      </c>
      <c r="AN807" s="34">
        <f>AH807+AL807+AM807</f>
        <v/>
      </c>
      <c r="AO807" s="34">
        <f>(AG807-AA807)*O807</f>
        <v/>
      </c>
      <c r="AP807" s="34">
        <f>W807*N807</f>
        <v/>
      </c>
      <c r="AQ807" s="34">
        <f>T807*N807</f>
        <v/>
      </c>
      <c r="AR807" s="34">
        <f>Z807*J808+0.5*Z807*(O807+P807)</f>
        <v/>
      </c>
      <c r="AS807" s="30">
        <f>(1+InflationRate)^(A807/12)</f>
        <v/>
      </c>
      <c r="AT807" s="29">
        <f>ExpenseAcq*M807+N807*ExpenseMaint/12*AS807</f>
        <v/>
      </c>
      <c r="AU807" s="29">
        <f>CommissionRate*AE807</f>
        <v/>
      </c>
      <c r="AV807" s="34">
        <f>AB808-AB807</f>
        <v/>
      </c>
      <c r="AW807" s="34">
        <f>AE807+AR807-AN807-AT807-AU807-AV807</f>
        <v/>
      </c>
      <c r="AX807" s="29">
        <f>LoadPremRate*E807*N807+AK807+AQ807-AU807-AT807</f>
        <v/>
      </c>
      <c r="AY807" s="34">
        <f>AP807-AO807</f>
        <v/>
      </c>
      <c r="AZ807" s="37">
        <f>(AW807-AX807-AY807)/MAX(1,ABS(AW807),ABS(AX807),ABS(AY807))</f>
        <v/>
      </c>
      <c r="BA807" s="37">
        <f>IF(OR(K807&gt;0,K808&gt;0),0,(AC808-(AC807+AF807-AQ807-AP807+AR807-AI807-AJ807-AM807))/MAX(1,ABS(AC807),ABS(AC808)))</f>
        <v/>
      </c>
      <c r="BB807" s="35">
        <f>(1+INDEX(DiscRateAnn,INT(A807/12)+1))^(1/12)-1</f>
        <v/>
      </c>
      <c r="BC807" s="31">
        <f>(1+BB807)^-A807</f>
        <v/>
      </c>
      <c r="BD807" s="34">
        <f>AW807*BC807</f>
        <v/>
      </c>
    </row>
    <row r="808">
      <c r="A808" s="27">
        <f>A807+1</f>
        <v/>
      </c>
      <c r="B808" s="28">
        <f>Duration0+A808</f>
        <v/>
      </c>
      <c r="C808" s="27">
        <f>INT(B808/12)</f>
        <v/>
      </c>
      <c r="D808" s="28">
        <f>AgeAtEntry+C808</f>
        <v/>
      </c>
      <c r="E808" s="29">
        <f>IF(PremiumType="SINGLE",IF(B808=0,PremiumPPInput,0),IF(B808&lt;12*PolicyTerm,PremiumPPInput,0))</f>
        <v/>
      </c>
      <c r="F808" s="30">
        <f>INDEX(MortRates,MATCH(MIN(D808,120),MortAges,0),MAX(MIN(C808,5),0)+1)</f>
        <v/>
      </c>
      <c r="G808" s="31">
        <f>1-(1-F808)^(1/12)</f>
        <v/>
      </c>
      <c r="H808" s="32">
        <f>MAX(LapseBase-LapseStep*C808,LapseFloor)</f>
        <v/>
      </c>
      <c r="I808" s="32">
        <f>IF(HasSurrCharge,INDEX(SurrRates,MIN(C808,SurrDurMax)+1,MATCH(SurrChargeID,SurrTypes,0)),0)</f>
        <v/>
      </c>
      <c r="J808" s="33">
        <f>N807-P807-O807</f>
        <v/>
      </c>
      <c r="K808" s="30">
        <f>IF(B808=12*PolicyTerm,J808,0)</f>
        <v/>
      </c>
      <c r="L808" s="33">
        <f>J808-K808</f>
        <v/>
      </c>
      <c r="M808" s="30">
        <f>IF(B808=0,PolicyCount,0)</f>
        <v/>
      </c>
      <c r="N808" s="33">
        <f>L808+M808</f>
        <v/>
      </c>
      <c r="O808" s="31">
        <f>N808*G808</f>
        <v/>
      </c>
      <c r="P808" s="33">
        <f>(N808-O808)*(1-(1-H808)^(1/12))</f>
        <v/>
      </c>
      <c r="Q808" s="34">
        <f>X807+Z807</f>
        <v/>
      </c>
      <c r="R808" s="29">
        <f>(1-LoadPremRate)*E808</f>
        <v/>
      </c>
      <c r="S808" s="34">
        <f>Q808+R808</f>
        <v/>
      </c>
      <c r="T808" s="29">
        <f>MaintFeeRateAnn/12*S808</f>
        <v/>
      </c>
      <c r="U808" s="29">
        <f>MAX(SumAssured-S808,0)</f>
        <v/>
      </c>
      <c r="V808" s="35">
        <f>CoiMultiple*G808</f>
        <v/>
      </c>
      <c r="W808" s="34">
        <f>V808*U808</f>
        <v/>
      </c>
      <c r="X808" s="34">
        <f>S808-T808-W808</f>
        <v/>
      </c>
      <c r="Y808" s="36">
        <f>EXP((Mu-0.5*Sigma^2)/12+Sigma*SQRT(1/12)*INDEX(NormRand,ScenID,A808+1))-1</f>
        <v/>
      </c>
      <c r="Z808" s="34">
        <f>Y808*X808</f>
        <v/>
      </c>
      <c r="AA808" s="34">
        <f>X808+0.5*Z808</f>
        <v/>
      </c>
      <c r="AB808" s="34">
        <f>Q808*J808</f>
        <v/>
      </c>
      <c r="AC808" s="34">
        <f>Q808*L808</f>
        <v/>
      </c>
      <c r="AD808" s="34">
        <f>S808*N808</f>
        <v/>
      </c>
      <c r="AE808" s="34">
        <f>E808*N808</f>
        <v/>
      </c>
      <c r="AF808" s="34">
        <f>R808*N808</f>
        <v/>
      </c>
      <c r="AG808" s="29">
        <f>MAX(SumAssured,AA808)</f>
        <v/>
      </c>
      <c r="AH808" s="34">
        <f>AG808*O808</f>
        <v/>
      </c>
      <c r="AI808" s="34">
        <f>AA808*O808</f>
        <v/>
      </c>
      <c r="AJ808" s="34">
        <f>AA808*P808</f>
        <v/>
      </c>
      <c r="AK808" s="34">
        <f>I808*AA808*P808</f>
        <v/>
      </c>
      <c r="AL808" s="34">
        <f>AJ808-AK808</f>
        <v/>
      </c>
      <c r="AM808" s="34">
        <f>Q808*K808</f>
        <v/>
      </c>
      <c r="AN808" s="34">
        <f>AH808+AL808+AM808</f>
        <v/>
      </c>
      <c r="AO808" s="34">
        <f>(AG808-AA808)*O808</f>
        <v/>
      </c>
      <c r="AP808" s="34">
        <f>W808*N808</f>
        <v/>
      </c>
      <c r="AQ808" s="34">
        <f>T808*N808</f>
        <v/>
      </c>
      <c r="AR808" s="34">
        <f>Z808*J809+0.5*Z808*(O808+P808)</f>
        <v/>
      </c>
      <c r="AS808" s="30">
        <f>(1+InflationRate)^(A808/12)</f>
        <v/>
      </c>
      <c r="AT808" s="29">
        <f>ExpenseAcq*M808+N808*ExpenseMaint/12*AS808</f>
        <v/>
      </c>
      <c r="AU808" s="29">
        <f>CommissionRate*AE808</f>
        <v/>
      </c>
      <c r="AV808" s="34">
        <f>AB809-AB808</f>
        <v/>
      </c>
      <c r="AW808" s="34">
        <f>AE808+AR808-AN808-AT808-AU808-AV808</f>
        <v/>
      </c>
      <c r="AX808" s="29">
        <f>LoadPremRate*E808*N808+AK808+AQ808-AU808-AT808</f>
        <v/>
      </c>
      <c r="AY808" s="34">
        <f>AP808-AO808</f>
        <v/>
      </c>
      <c r="AZ808" s="37">
        <f>(AW808-AX808-AY808)/MAX(1,ABS(AW808),ABS(AX808),ABS(AY808))</f>
        <v/>
      </c>
      <c r="BA808" s="37">
        <f>IF(OR(K808&gt;0,K809&gt;0),0,(AC809-(AC808+AF808-AQ808-AP808+AR808-AI808-AJ808-AM808))/MAX(1,ABS(AC808),ABS(AC809)))</f>
        <v/>
      </c>
      <c r="BB808" s="35">
        <f>(1+INDEX(DiscRateAnn,INT(A808/12)+1))^(1/12)-1</f>
        <v/>
      </c>
      <c r="BC808" s="31">
        <f>(1+BB808)^-A808</f>
        <v/>
      </c>
      <c r="BD808" s="34">
        <f>AW808*BC808</f>
        <v/>
      </c>
    </row>
    <row r="809">
      <c r="A809" s="27">
        <f>A808+1</f>
        <v/>
      </c>
      <c r="B809" s="28">
        <f>Duration0+A809</f>
        <v/>
      </c>
      <c r="C809" s="27">
        <f>INT(B809/12)</f>
        <v/>
      </c>
      <c r="D809" s="28">
        <f>AgeAtEntry+C809</f>
        <v/>
      </c>
      <c r="E809" s="29">
        <f>IF(PremiumType="SINGLE",IF(B809=0,PremiumPPInput,0),IF(B809&lt;12*PolicyTerm,PremiumPPInput,0))</f>
        <v/>
      </c>
      <c r="F809" s="30">
        <f>INDEX(MortRates,MATCH(MIN(D809,120),MortAges,0),MAX(MIN(C809,5),0)+1)</f>
        <v/>
      </c>
      <c r="G809" s="31">
        <f>1-(1-F809)^(1/12)</f>
        <v/>
      </c>
      <c r="H809" s="32">
        <f>MAX(LapseBase-LapseStep*C809,LapseFloor)</f>
        <v/>
      </c>
      <c r="I809" s="32">
        <f>IF(HasSurrCharge,INDEX(SurrRates,MIN(C809,SurrDurMax)+1,MATCH(SurrChargeID,SurrTypes,0)),0)</f>
        <v/>
      </c>
      <c r="J809" s="33">
        <f>N808-P808-O808</f>
        <v/>
      </c>
      <c r="K809" s="30">
        <f>IF(B809=12*PolicyTerm,J809,0)</f>
        <v/>
      </c>
      <c r="L809" s="33">
        <f>J809-K809</f>
        <v/>
      </c>
      <c r="M809" s="30">
        <f>IF(B809=0,PolicyCount,0)</f>
        <v/>
      </c>
      <c r="N809" s="33">
        <f>L809+M809</f>
        <v/>
      </c>
      <c r="O809" s="31">
        <f>N809*G809</f>
        <v/>
      </c>
      <c r="P809" s="33">
        <f>(N809-O809)*(1-(1-H809)^(1/12))</f>
        <v/>
      </c>
      <c r="Q809" s="34">
        <f>X808+Z808</f>
        <v/>
      </c>
      <c r="R809" s="29">
        <f>(1-LoadPremRate)*E809</f>
        <v/>
      </c>
      <c r="S809" s="34">
        <f>Q809+R809</f>
        <v/>
      </c>
      <c r="T809" s="29">
        <f>MaintFeeRateAnn/12*S809</f>
        <v/>
      </c>
      <c r="U809" s="29">
        <f>MAX(SumAssured-S809,0)</f>
        <v/>
      </c>
      <c r="V809" s="35">
        <f>CoiMultiple*G809</f>
        <v/>
      </c>
      <c r="W809" s="34">
        <f>V809*U809</f>
        <v/>
      </c>
      <c r="X809" s="34">
        <f>S809-T809-W809</f>
        <v/>
      </c>
      <c r="Y809" s="36">
        <f>EXP((Mu-0.5*Sigma^2)/12+Sigma*SQRT(1/12)*INDEX(NormRand,ScenID,A809+1))-1</f>
        <v/>
      </c>
      <c r="Z809" s="34">
        <f>Y809*X809</f>
        <v/>
      </c>
      <c r="AA809" s="34">
        <f>X809+0.5*Z809</f>
        <v/>
      </c>
      <c r="AB809" s="34">
        <f>Q809*J809</f>
        <v/>
      </c>
      <c r="AC809" s="34">
        <f>Q809*L809</f>
        <v/>
      </c>
      <c r="AD809" s="34">
        <f>S809*N809</f>
        <v/>
      </c>
      <c r="AE809" s="34">
        <f>E809*N809</f>
        <v/>
      </c>
      <c r="AF809" s="34">
        <f>R809*N809</f>
        <v/>
      </c>
      <c r="AG809" s="29">
        <f>MAX(SumAssured,AA809)</f>
        <v/>
      </c>
      <c r="AH809" s="34">
        <f>AG809*O809</f>
        <v/>
      </c>
      <c r="AI809" s="34">
        <f>AA809*O809</f>
        <v/>
      </c>
      <c r="AJ809" s="34">
        <f>AA809*P809</f>
        <v/>
      </c>
      <c r="AK809" s="34">
        <f>I809*AA809*P809</f>
        <v/>
      </c>
      <c r="AL809" s="34">
        <f>AJ809-AK809</f>
        <v/>
      </c>
      <c r="AM809" s="34">
        <f>Q809*K809</f>
        <v/>
      </c>
      <c r="AN809" s="34">
        <f>AH809+AL809+AM809</f>
        <v/>
      </c>
      <c r="AO809" s="34">
        <f>(AG809-AA809)*O809</f>
        <v/>
      </c>
      <c r="AP809" s="34">
        <f>W809*N809</f>
        <v/>
      </c>
      <c r="AQ809" s="34">
        <f>T809*N809</f>
        <v/>
      </c>
      <c r="AR809" s="34">
        <f>Z809*J810+0.5*Z809*(O809+P809)</f>
        <v/>
      </c>
      <c r="AS809" s="30">
        <f>(1+InflationRate)^(A809/12)</f>
        <v/>
      </c>
      <c r="AT809" s="29">
        <f>ExpenseAcq*M809+N809*ExpenseMaint/12*AS809</f>
        <v/>
      </c>
      <c r="AU809" s="29">
        <f>CommissionRate*AE809</f>
        <v/>
      </c>
      <c r="AV809" s="34">
        <f>AB810-AB809</f>
        <v/>
      </c>
      <c r="AW809" s="34">
        <f>AE809+AR809-AN809-AT809-AU809-AV809</f>
        <v/>
      </c>
      <c r="AX809" s="29">
        <f>LoadPremRate*E809*N809+AK809+AQ809-AU809-AT809</f>
        <v/>
      </c>
      <c r="AY809" s="34">
        <f>AP809-AO809</f>
        <v/>
      </c>
      <c r="AZ809" s="37">
        <f>(AW809-AX809-AY809)/MAX(1,ABS(AW809),ABS(AX809),ABS(AY809))</f>
        <v/>
      </c>
      <c r="BA809" s="37">
        <f>IF(OR(K809&gt;0,K810&gt;0),0,(AC810-(AC809+AF809-AQ809-AP809+AR809-AI809-AJ809-AM809))/MAX(1,ABS(AC809),ABS(AC810)))</f>
        <v/>
      </c>
      <c r="BB809" s="35">
        <f>(1+INDEX(DiscRateAnn,INT(A809/12)+1))^(1/12)-1</f>
        <v/>
      </c>
      <c r="BC809" s="31">
        <f>(1+BB809)^-A809</f>
        <v/>
      </c>
      <c r="BD809" s="34">
        <f>AW809*BC809</f>
        <v/>
      </c>
    </row>
    <row r="810">
      <c r="A810" s="27">
        <f>A809+1</f>
        <v/>
      </c>
      <c r="B810" s="28">
        <f>Duration0+A810</f>
        <v/>
      </c>
      <c r="C810" s="27">
        <f>INT(B810/12)</f>
        <v/>
      </c>
      <c r="D810" s="28">
        <f>AgeAtEntry+C810</f>
        <v/>
      </c>
      <c r="E810" s="29">
        <f>IF(PremiumType="SINGLE",IF(B810=0,PremiumPPInput,0),IF(B810&lt;12*PolicyTerm,PremiumPPInput,0))</f>
        <v/>
      </c>
      <c r="F810" s="30">
        <f>INDEX(MortRates,MATCH(MIN(D810,120),MortAges,0),MAX(MIN(C810,5),0)+1)</f>
        <v/>
      </c>
      <c r="G810" s="31">
        <f>1-(1-F810)^(1/12)</f>
        <v/>
      </c>
      <c r="H810" s="32">
        <f>MAX(LapseBase-LapseStep*C810,LapseFloor)</f>
        <v/>
      </c>
      <c r="I810" s="32">
        <f>IF(HasSurrCharge,INDEX(SurrRates,MIN(C810,SurrDurMax)+1,MATCH(SurrChargeID,SurrTypes,0)),0)</f>
        <v/>
      </c>
      <c r="J810" s="33">
        <f>N809-P809-O809</f>
        <v/>
      </c>
      <c r="K810" s="30">
        <f>IF(B810=12*PolicyTerm,J810,0)</f>
        <v/>
      </c>
      <c r="L810" s="33">
        <f>J810-K810</f>
        <v/>
      </c>
      <c r="M810" s="30">
        <f>IF(B810=0,PolicyCount,0)</f>
        <v/>
      </c>
      <c r="N810" s="33">
        <f>L810+M810</f>
        <v/>
      </c>
      <c r="O810" s="31">
        <f>N810*G810</f>
        <v/>
      </c>
      <c r="P810" s="33">
        <f>(N810-O810)*(1-(1-H810)^(1/12))</f>
        <v/>
      </c>
      <c r="Q810" s="34">
        <f>X809+Z809</f>
        <v/>
      </c>
      <c r="R810" s="29">
        <f>(1-LoadPremRate)*E810</f>
        <v/>
      </c>
      <c r="S810" s="34">
        <f>Q810+R810</f>
        <v/>
      </c>
      <c r="T810" s="29">
        <f>MaintFeeRateAnn/12*S810</f>
        <v/>
      </c>
      <c r="U810" s="29">
        <f>MAX(SumAssured-S810,0)</f>
        <v/>
      </c>
      <c r="V810" s="35">
        <f>CoiMultiple*G810</f>
        <v/>
      </c>
      <c r="W810" s="34">
        <f>V810*U810</f>
        <v/>
      </c>
      <c r="X810" s="34">
        <f>S810-T810-W810</f>
        <v/>
      </c>
      <c r="Y810" s="36">
        <f>EXP((Mu-0.5*Sigma^2)/12+Sigma*SQRT(1/12)*INDEX(NormRand,ScenID,A810+1))-1</f>
        <v/>
      </c>
      <c r="Z810" s="34">
        <f>Y810*X810</f>
        <v/>
      </c>
      <c r="AA810" s="34">
        <f>X810+0.5*Z810</f>
        <v/>
      </c>
      <c r="AB810" s="34">
        <f>Q810*J810</f>
        <v/>
      </c>
      <c r="AC810" s="34">
        <f>Q810*L810</f>
        <v/>
      </c>
      <c r="AD810" s="34">
        <f>S810*N810</f>
        <v/>
      </c>
      <c r="AE810" s="34">
        <f>E810*N810</f>
        <v/>
      </c>
      <c r="AF810" s="34">
        <f>R810*N810</f>
        <v/>
      </c>
      <c r="AG810" s="29">
        <f>MAX(SumAssured,AA810)</f>
        <v/>
      </c>
      <c r="AH810" s="34">
        <f>AG810*O810</f>
        <v/>
      </c>
      <c r="AI810" s="34">
        <f>AA810*O810</f>
        <v/>
      </c>
      <c r="AJ810" s="34">
        <f>AA810*P810</f>
        <v/>
      </c>
      <c r="AK810" s="34">
        <f>I810*AA810*P810</f>
        <v/>
      </c>
      <c r="AL810" s="34">
        <f>AJ810-AK810</f>
        <v/>
      </c>
      <c r="AM810" s="34">
        <f>Q810*K810</f>
        <v/>
      </c>
      <c r="AN810" s="34">
        <f>AH810+AL810+AM810</f>
        <v/>
      </c>
      <c r="AO810" s="34">
        <f>(AG810-AA810)*O810</f>
        <v/>
      </c>
      <c r="AP810" s="34">
        <f>W810*N810</f>
        <v/>
      </c>
      <c r="AQ810" s="34">
        <f>T810*N810</f>
        <v/>
      </c>
      <c r="AR810" s="34">
        <f>Z810*J811+0.5*Z810*(O810+P810)</f>
        <v/>
      </c>
      <c r="AS810" s="30">
        <f>(1+InflationRate)^(A810/12)</f>
        <v/>
      </c>
      <c r="AT810" s="29">
        <f>ExpenseAcq*M810+N810*ExpenseMaint/12*AS810</f>
        <v/>
      </c>
      <c r="AU810" s="29">
        <f>CommissionRate*AE810</f>
        <v/>
      </c>
      <c r="AV810" s="34">
        <f>AB811-AB810</f>
        <v/>
      </c>
      <c r="AW810" s="34">
        <f>AE810+AR810-AN810-AT810-AU810-AV810</f>
        <v/>
      </c>
      <c r="AX810" s="29">
        <f>LoadPremRate*E810*N810+AK810+AQ810-AU810-AT810</f>
        <v/>
      </c>
      <c r="AY810" s="34">
        <f>AP810-AO810</f>
        <v/>
      </c>
      <c r="AZ810" s="37">
        <f>(AW810-AX810-AY810)/MAX(1,ABS(AW810),ABS(AX810),ABS(AY810))</f>
        <v/>
      </c>
      <c r="BA810" s="37">
        <f>IF(OR(K810&gt;0,K811&gt;0),0,(AC811-(AC810+AF810-AQ810-AP810+AR810-AI810-AJ810-AM810))/MAX(1,ABS(AC810),ABS(AC811)))</f>
        <v/>
      </c>
      <c r="BB810" s="35">
        <f>(1+INDEX(DiscRateAnn,INT(A810/12)+1))^(1/12)-1</f>
        <v/>
      </c>
      <c r="BC810" s="31">
        <f>(1+BB810)^-A810</f>
        <v/>
      </c>
      <c r="BD810" s="34">
        <f>AW810*BC810</f>
        <v/>
      </c>
    </row>
    <row r="811">
      <c r="A811" s="27">
        <f>A810+1</f>
        <v/>
      </c>
      <c r="B811" s="28">
        <f>Duration0+A811</f>
        <v/>
      </c>
      <c r="C811" s="27">
        <f>INT(B811/12)</f>
        <v/>
      </c>
      <c r="D811" s="28">
        <f>AgeAtEntry+C811</f>
        <v/>
      </c>
      <c r="E811" s="29">
        <f>IF(PremiumType="SINGLE",IF(B811=0,PremiumPPInput,0),IF(B811&lt;12*PolicyTerm,PremiumPPInput,0))</f>
        <v/>
      </c>
      <c r="F811" s="30">
        <f>INDEX(MortRates,MATCH(MIN(D811,120),MortAges,0),MAX(MIN(C811,5),0)+1)</f>
        <v/>
      </c>
      <c r="G811" s="31">
        <f>1-(1-F811)^(1/12)</f>
        <v/>
      </c>
      <c r="H811" s="32">
        <f>MAX(LapseBase-LapseStep*C811,LapseFloor)</f>
        <v/>
      </c>
      <c r="I811" s="32">
        <f>IF(HasSurrCharge,INDEX(SurrRates,MIN(C811,SurrDurMax)+1,MATCH(SurrChargeID,SurrTypes,0)),0)</f>
        <v/>
      </c>
      <c r="J811" s="33">
        <f>N810-P810-O810</f>
        <v/>
      </c>
      <c r="K811" s="30">
        <f>IF(B811=12*PolicyTerm,J811,0)</f>
        <v/>
      </c>
      <c r="L811" s="33">
        <f>J811-K811</f>
        <v/>
      </c>
      <c r="M811" s="30">
        <f>IF(B811=0,PolicyCount,0)</f>
        <v/>
      </c>
      <c r="N811" s="33">
        <f>L811+M811</f>
        <v/>
      </c>
      <c r="O811" s="31">
        <f>N811*G811</f>
        <v/>
      </c>
      <c r="P811" s="33">
        <f>(N811-O811)*(1-(1-H811)^(1/12))</f>
        <v/>
      </c>
      <c r="Q811" s="34">
        <f>X810+Z810</f>
        <v/>
      </c>
      <c r="R811" s="29">
        <f>(1-LoadPremRate)*E811</f>
        <v/>
      </c>
      <c r="S811" s="34">
        <f>Q811+R811</f>
        <v/>
      </c>
      <c r="T811" s="29">
        <f>MaintFeeRateAnn/12*S811</f>
        <v/>
      </c>
      <c r="U811" s="29">
        <f>MAX(SumAssured-S811,0)</f>
        <v/>
      </c>
      <c r="V811" s="35">
        <f>CoiMultiple*G811</f>
        <v/>
      </c>
      <c r="W811" s="34">
        <f>V811*U811</f>
        <v/>
      </c>
      <c r="X811" s="34">
        <f>S811-T811-W811</f>
        <v/>
      </c>
      <c r="Y811" s="36">
        <f>EXP((Mu-0.5*Sigma^2)/12+Sigma*SQRT(1/12)*INDEX(NormRand,ScenID,A811+1))-1</f>
        <v/>
      </c>
      <c r="Z811" s="34">
        <f>Y811*X811</f>
        <v/>
      </c>
      <c r="AA811" s="34">
        <f>X811+0.5*Z811</f>
        <v/>
      </c>
      <c r="AB811" s="34">
        <f>Q811*J811</f>
        <v/>
      </c>
      <c r="AC811" s="34">
        <f>Q811*L811</f>
        <v/>
      </c>
      <c r="AD811" s="34">
        <f>S811*N811</f>
        <v/>
      </c>
      <c r="AE811" s="34">
        <f>E811*N811</f>
        <v/>
      </c>
      <c r="AF811" s="34">
        <f>R811*N811</f>
        <v/>
      </c>
      <c r="AG811" s="29">
        <f>MAX(SumAssured,AA811)</f>
        <v/>
      </c>
      <c r="AH811" s="34">
        <f>AG811*O811</f>
        <v/>
      </c>
      <c r="AI811" s="34">
        <f>AA811*O811</f>
        <v/>
      </c>
      <c r="AJ811" s="34">
        <f>AA811*P811</f>
        <v/>
      </c>
      <c r="AK811" s="34">
        <f>I811*AA811*P811</f>
        <v/>
      </c>
      <c r="AL811" s="34">
        <f>AJ811-AK811</f>
        <v/>
      </c>
      <c r="AM811" s="34">
        <f>Q811*K811</f>
        <v/>
      </c>
      <c r="AN811" s="34">
        <f>AH811+AL811+AM811</f>
        <v/>
      </c>
      <c r="AO811" s="34">
        <f>(AG811-AA811)*O811</f>
        <v/>
      </c>
      <c r="AP811" s="34">
        <f>W811*N811</f>
        <v/>
      </c>
      <c r="AQ811" s="34">
        <f>T811*N811</f>
        <v/>
      </c>
      <c r="AR811" s="34">
        <f>Z811*J812+0.5*Z811*(O811+P811)</f>
        <v/>
      </c>
      <c r="AS811" s="30">
        <f>(1+InflationRate)^(A811/12)</f>
        <v/>
      </c>
      <c r="AT811" s="29">
        <f>ExpenseAcq*M811+N811*ExpenseMaint/12*AS811</f>
        <v/>
      </c>
      <c r="AU811" s="29">
        <f>CommissionRate*AE811</f>
        <v/>
      </c>
      <c r="AV811" s="34">
        <f>AB812-AB811</f>
        <v/>
      </c>
      <c r="AW811" s="34">
        <f>AE811+AR811-AN811-AT811-AU811-AV811</f>
        <v/>
      </c>
      <c r="AX811" s="29">
        <f>LoadPremRate*E811*N811+AK811+AQ811-AU811-AT811</f>
        <v/>
      </c>
      <c r="AY811" s="34">
        <f>AP811-AO811</f>
        <v/>
      </c>
      <c r="AZ811" s="37">
        <f>(AW811-AX811-AY811)/MAX(1,ABS(AW811),ABS(AX811),ABS(AY811))</f>
        <v/>
      </c>
      <c r="BA811" s="37">
        <f>IF(OR(K811&gt;0,K812&gt;0),0,(AC812-(AC811+AF811-AQ811-AP811+AR811-AI811-AJ811-AM811))/MAX(1,ABS(AC811),ABS(AC812)))</f>
        <v/>
      </c>
      <c r="BB811" s="35">
        <f>(1+INDEX(DiscRateAnn,INT(A811/12)+1))^(1/12)-1</f>
        <v/>
      </c>
      <c r="BC811" s="31">
        <f>(1+BB811)^-A811</f>
        <v/>
      </c>
      <c r="BD811" s="34">
        <f>AW811*BC811</f>
        <v/>
      </c>
    </row>
    <row r="812">
      <c r="A812" s="27">
        <f>A811+1</f>
        <v/>
      </c>
      <c r="B812" s="28">
        <f>Duration0+A812</f>
        <v/>
      </c>
      <c r="C812" s="27">
        <f>INT(B812/12)</f>
        <v/>
      </c>
      <c r="D812" s="28">
        <f>AgeAtEntry+C812</f>
        <v/>
      </c>
      <c r="E812" s="29">
        <f>IF(PremiumType="SINGLE",IF(B812=0,PremiumPPInput,0),IF(B812&lt;12*PolicyTerm,PremiumPPInput,0))</f>
        <v/>
      </c>
      <c r="F812" s="30">
        <f>INDEX(MortRates,MATCH(MIN(D812,120),MortAges,0),MAX(MIN(C812,5),0)+1)</f>
        <v/>
      </c>
      <c r="G812" s="31">
        <f>1-(1-F812)^(1/12)</f>
        <v/>
      </c>
      <c r="H812" s="32">
        <f>MAX(LapseBase-LapseStep*C812,LapseFloor)</f>
        <v/>
      </c>
      <c r="I812" s="32">
        <f>IF(HasSurrCharge,INDEX(SurrRates,MIN(C812,SurrDurMax)+1,MATCH(SurrChargeID,SurrTypes,0)),0)</f>
        <v/>
      </c>
      <c r="J812" s="33">
        <f>N811-P811-O811</f>
        <v/>
      </c>
      <c r="K812" s="30">
        <f>IF(B812=12*PolicyTerm,J812,0)</f>
        <v/>
      </c>
      <c r="L812" s="33">
        <f>J812-K812</f>
        <v/>
      </c>
      <c r="M812" s="30">
        <f>IF(B812=0,PolicyCount,0)</f>
        <v/>
      </c>
      <c r="N812" s="33">
        <f>L812+M812</f>
        <v/>
      </c>
      <c r="O812" s="31">
        <f>N812*G812</f>
        <v/>
      </c>
      <c r="P812" s="33">
        <f>(N812-O812)*(1-(1-H812)^(1/12))</f>
        <v/>
      </c>
      <c r="Q812" s="34">
        <f>X811+Z811</f>
        <v/>
      </c>
      <c r="R812" s="29">
        <f>(1-LoadPremRate)*E812</f>
        <v/>
      </c>
      <c r="S812" s="34">
        <f>Q812+R812</f>
        <v/>
      </c>
      <c r="T812" s="29">
        <f>MaintFeeRateAnn/12*S812</f>
        <v/>
      </c>
      <c r="U812" s="29">
        <f>MAX(SumAssured-S812,0)</f>
        <v/>
      </c>
      <c r="V812" s="35">
        <f>CoiMultiple*G812</f>
        <v/>
      </c>
      <c r="W812" s="34">
        <f>V812*U812</f>
        <v/>
      </c>
      <c r="X812" s="34">
        <f>S812-T812-W812</f>
        <v/>
      </c>
      <c r="Y812" s="36">
        <f>EXP((Mu-0.5*Sigma^2)/12+Sigma*SQRT(1/12)*INDEX(NormRand,ScenID,A812+1))-1</f>
        <v/>
      </c>
      <c r="Z812" s="34">
        <f>Y812*X812</f>
        <v/>
      </c>
      <c r="AA812" s="34">
        <f>X812+0.5*Z812</f>
        <v/>
      </c>
      <c r="AB812" s="34">
        <f>Q812*J812</f>
        <v/>
      </c>
      <c r="AC812" s="34">
        <f>Q812*L812</f>
        <v/>
      </c>
      <c r="AD812" s="34">
        <f>S812*N812</f>
        <v/>
      </c>
      <c r="AE812" s="34">
        <f>E812*N812</f>
        <v/>
      </c>
      <c r="AF812" s="34">
        <f>R812*N812</f>
        <v/>
      </c>
      <c r="AG812" s="29">
        <f>MAX(SumAssured,AA812)</f>
        <v/>
      </c>
      <c r="AH812" s="34">
        <f>AG812*O812</f>
        <v/>
      </c>
      <c r="AI812" s="34">
        <f>AA812*O812</f>
        <v/>
      </c>
      <c r="AJ812" s="34">
        <f>AA812*P812</f>
        <v/>
      </c>
      <c r="AK812" s="34">
        <f>I812*AA812*P812</f>
        <v/>
      </c>
      <c r="AL812" s="34">
        <f>AJ812-AK812</f>
        <v/>
      </c>
      <c r="AM812" s="34">
        <f>Q812*K812</f>
        <v/>
      </c>
      <c r="AN812" s="34">
        <f>AH812+AL812+AM812</f>
        <v/>
      </c>
      <c r="AO812" s="34">
        <f>(AG812-AA812)*O812</f>
        <v/>
      </c>
      <c r="AP812" s="34">
        <f>W812*N812</f>
        <v/>
      </c>
      <c r="AQ812" s="34">
        <f>T812*N812</f>
        <v/>
      </c>
      <c r="AR812" s="34">
        <f>Z812*J813+0.5*Z812*(O812+P812)</f>
        <v/>
      </c>
      <c r="AS812" s="30">
        <f>(1+InflationRate)^(A812/12)</f>
        <v/>
      </c>
      <c r="AT812" s="29">
        <f>ExpenseAcq*M812+N812*ExpenseMaint/12*AS812</f>
        <v/>
      </c>
      <c r="AU812" s="29">
        <f>CommissionRate*AE812</f>
        <v/>
      </c>
      <c r="AV812" s="34">
        <f>AB813-AB812</f>
        <v/>
      </c>
      <c r="AW812" s="34">
        <f>AE812+AR812-AN812-AT812-AU812-AV812</f>
        <v/>
      </c>
      <c r="AX812" s="29">
        <f>LoadPremRate*E812*N812+AK812+AQ812-AU812-AT812</f>
        <v/>
      </c>
      <c r="AY812" s="34">
        <f>AP812-AO812</f>
        <v/>
      </c>
      <c r="AZ812" s="37">
        <f>(AW812-AX812-AY812)/MAX(1,ABS(AW812),ABS(AX812),ABS(AY812))</f>
        <v/>
      </c>
      <c r="BA812" s="37">
        <f>IF(OR(K812&gt;0,K813&gt;0),0,(AC813-(AC812+AF812-AQ812-AP812+AR812-AI812-AJ812-AM812))/MAX(1,ABS(AC812),ABS(AC813)))</f>
        <v/>
      </c>
      <c r="BB812" s="35">
        <f>(1+INDEX(DiscRateAnn,INT(A812/12)+1))^(1/12)-1</f>
        <v/>
      </c>
      <c r="BC812" s="31">
        <f>(1+BB812)^-A812</f>
        <v/>
      </c>
      <c r="BD812" s="34">
        <f>AW812*BC812</f>
        <v/>
      </c>
    </row>
    <row r="813">
      <c r="A813" s="27">
        <f>A812+1</f>
        <v/>
      </c>
      <c r="B813" s="28">
        <f>Duration0+A813</f>
        <v/>
      </c>
      <c r="C813" s="27">
        <f>INT(B813/12)</f>
        <v/>
      </c>
      <c r="D813" s="28">
        <f>AgeAtEntry+C813</f>
        <v/>
      </c>
      <c r="E813" s="29">
        <f>IF(PremiumType="SINGLE",IF(B813=0,PremiumPPInput,0),IF(B813&lt;12*PolicyTerm,PremiumPPInput,0))</f>
        <v/>
      </c>
      <c r="F813" s="30">
        <f>INDEX(MortRates,MATCH(MIN(D813,120),MortAges,0),MAX(MIN(C813,5),0)+1)</f>
        <v/>
      </c>
      <c r="G813" s="31">
        <f>1-(1-F813)^(1/12)</f>
        <v/>
      </c>
      <c r="H813" s="32">
        <f>MAX(LapseBase-LapseStep*C813,LapseFloor)</f>
        <v/>
      </c>
      <c r="I813" s="32">
        <f>IF(HasSurrCharge,INDEX(SurrRates,MIN(C813,SurrDurMax)+1,MATCH(SurrChargeID,SurrTypes,0)),0)</f>
        <v/>
      </c>
      <c r="J813" s="33">
        <f>N812-P812-O812</f>
        <v/>
      </c>
      <c r="K813" s="30">
        <f>IF(B813=12*PolicyTerm,J813,0)</f>
        <v/>
      </c>
      <c r="L813" s="33">
        <f>J813-K813</f>
        <v/>
      </c>
      <c r="M813" s="30">
        <f>IF(B813=0,PolicyCount,0)</f>
        <v/>
      </c>
      <c r="N813" s="33">
        <f>L813+M813</f>
        <v/>
      </c>
      <c r="O813" s="31">
        <f>N813*G813</f>
        <v/>
      </c>
      <c r="P813" s="33">
        <f>(N813-O813)*(1-(1-H813)^(1/12))</f>
        <v/>
      </c>
      <c r="Q813" s="34">
        <f>X812+Z812</f>
        <v/>
      </c>
      <c r="R813" s="29">
        <f>(1-LoadPremRate)*E813</f>
        <v/>
      </c>
      <c r="S813" s="34">
        <f>Q813+R813</f>
        <v/>
      </c>
      <c r="T813" s="29">
        <f>MaintFeeRateAnn/12*S813</f>
        <v/>
      </c>
      <c r="U813" s="29">
        <f>MAX(SumAssured-S813,0)</f>
        <v/>
      </c>
      <c r="V813" s="35">
        <f>CoiMultiple*G813</f>
        <v/>
      </c>
      <c r="W813" s="34">
        <f>V813*U813</f>
        <v/>
      </c>
      <c r="X813" s="34">
        <f>S813-T813-W813</f>
        <v/>
      </c>
      <c r="Y813" s="36">
        <f>EXP((Mu-0.5*Sigma^2)/12+Sigma*SQRT(1/12)*INDEX(NormRand,ScenID,A813+1))-1</f>
        <v/>
      </c>
      <c r="Z813" s="34">
        <f>Y813*X813</f>
        <v/>
      </c>
      <c r="AA813" s="34">
        <f>X813+0.5*Z813</f>
        <v/>
      </c>
      <c r="AB813" s="34">
        <f>Q813*J813</f>
        <v/>
      </c>
      <c r="AC813" s="34">
        <f>Q813*L813</f>
        <v/>
      </c>
      <c r="AD813" s="34">
        <f>S813*N813</f>
        <v/>
      </c>
      <c r="AE813" s="34">
        <f>E813*N813</f>
        <v/>
      </c>
      <c r="AF813" s="34">
        <f>R813*N813</f>
        <v/>
      </c>
      <c r="AG813" s="29">
        <f>MAX(SumAssured,AA813)</f>
        <v/>
      </c>
      <c r="AH813" s="34">
        <f>AG813*O813</f>
        <v/>
      </c>
      <c r="AI813" s="34">
        <f>AA813*O813</f>
        <v/>
      </c>
      <c r="AJ813" s="34">
        <f>AA813*P813</f>
        <v/>
      </c>
      <c r="AK813" s="34">
        <f>I813*AA813*P813</f>
        <v/>
      </c>
      <c r="AL813" s="34">
        <f>AJ813-AK813</f>
        <v/>
      </c>
      <c r="AM813" s="34">
        <f>Q813*K813</f>
        <v/>
      </c>
      <c r="AN813" s="34">
        <f>AH813+AL813+AM813</f>
        <v/>
      </c>
      <c r="AO813" s="34">
        <f>(AG813-AA813)*O813</f>
        <v/>
      </c>
      <c r="AP813" s="34">
        <f>W813*N813</f>
        <v/>
      </c>
      <c r="AQ813" s="34">
        <f>T813*N813</f>
        <v/>
      </c>
      <c r="AR813" s="34">
        <f>Z813*J814+0.5*Z813*(O813+P813)</f>
        <v/>
      </c>
      <c r="AS813" s="30">
        <f>(1+InflationRate)^(A813/12)</f>
        <v/>
      </c>
      <c r="AT813" s="29">
        <f>ExpenseAcq*M813+N813*ExpenseMaint/12*AS813</f>
        <v/>
      </c>
      <c r="AU813" s="29">
        <f>CommissionRate*AE813</f>
        <v/>
      </c>
      <c r="AV813" s="34">
        <f>AB814-AB813</f>
        <v/>
      </c>
      <c r="AW813" s="34">
        <f>AE813+AR813-AN813-AT813-AU813-AV813</f>
        <v/>
      </c>
      <c r="AX813" s="29">
        <f>LoadPremRate*E813*N813+AK813+AQ813-AU813-AT813</f>
        <v/>
      </c>
      <c r="AY813" s="34">
        <f>AP813-AO813</f>
        <v/>
      </c>
      <c r="AZ813" s="37">
        <f>(AW813-AX813-AY813)/MAX(1,ABS(AW813),ABS(AX813),ABS(AY813))</f>
        <v/>
      </c>
      <c r="BA813" s="37">
        <f>IF(OR(K813&gt;0,K814&gt;0),0,(AC814-(AC813+AF813-AQ813-AP813+AR813-AI813-AJ813-AM813))/MAX(1,ABS(AC813),ABS(AC814)))</f>
        <v/>
      </c>
      <c r="BB813" s="35">
        <f>(1+INDEX(DiscRateAnn,INT(A813/12)+1))^(1/12)-1</f>
        <v/>
      </c>
      <c r="BC813" s="31">
        <f>(1+BB813)^-A813</f>
        <v/>
      </c>
      <c r="BD813" s="34">
        <f>AW813*BC813</f>
        <v/>
      </c>
    </row>
    <row r="814">
      <c r="A814" s="27">
        <f>A813+1</f>
        <v/>
      </c>
      <c r="B814" s="28">
        <f>Duration0+A814</f>
        <v/>
      </c>
      <c r="C814" s="27">
        <f>INT(B814/12)</f>
        <v/>
      </c>
      <c r="D814" s="28">
        <f>AgeAtEntry+C814</f>
        <v/>
      </c>
      <c r="E814" s="29">
        <f>IF(PremiumType="SINGLE",IF(B814=0,PremiumPPInput,0),IF(B814&lt;12*PolicyTerm,PremiumPPInput,0))</f>
        <v/>
      </c>
      <c r="F814" s="30">
        <f>INDEX(MortRates,MATCH(MIN(D814,120),MortAges,0),MAX(MIN(C814,5),0)+1)</f>
        <v/>
      </c>
      <c r="G814" s="31">
        <f>1-(1-F814)^(1/12)</f>
        <v/>
      </c>
      <c r="H814" s="32">
        <f>MAX(LapseBase-LapseStep*C814,LapseFloor)</f>
        <v/>
      </c>
      <c r="I814" s="32">
        <f>IF(HasSurrCharge,INDEX(SurrRates,MIN(C814,SurrDurMax)+1,MATCH(SurrChargeID,SurrTypes,0)),0)</f>
        <v/>
      </c>
      <c r="J814" s="33">
        <f>N813-P813-O813</f>
        <v/>
      </c>
      <c r="K814" s="30">
        <f>IF(B814=12*PolicyTerm,J814,0)</f>
        <v/>
      </c>
      <c r="L814" s="33">
        <f>J814-K814</f>
        <v/>
      </c>
      <c r="M814" s="30">
        <f>IF(B814=0,PolicyCount,0)</f>
        <v/>
      </c>
      <c r="N814" s="33">
        <f>L814+M814</f>
        <v/>
      </c>
      <c r="O814" s="31">
        <f>N814*G814</f>
        <v/>
      </c>
      <c r="P814" s="33">
        <f>(N814-O814)*(1-(1-H814)^(1/12))</f>
        <v/>
      </c>
      <c r="Q814" s="34">
        <f>X813+Z813</f>
        <v/>
      </c>
      <c r="R814" s="29">
        <f>(1-LoadPremRate)*E814</f>
        <v/>
      </c>
      <c r="S814" s="34">
        <f>Q814+R814</f>
        <v/>
      </c>
      <c r="T814" s="29">
        <f>MaintFeeRateAnn/12*S814</f>
        <v/>
      </c>
      <c r="U814" s="29">
        <f>MAX(SumAssured-S814,0)</f>
        <v/>
      </c>
      <c r="V814" s="35">
        <f>CoiMultiple*G814</f>
        <v/>
      </c>
      <c r="W814" s="34">
        <f>V814*U814</f>
        <v/>
      </c>
      <c r="X814" s="34">
        <f>S814-T814-W814</f>
        <v/>
      </c>
      <c r="Y814" s="36">
        <f>EXP((Mu-0.5*Sigma^2)/12+Sigma*SQRT(1/12)*INDEX(NormRand,ScenID,A814+1))-1</f>
        <v/>
      </c>
      <c r="Z814" s="34">
        <f>Y814*X814</f>
        <v/>
      </c>
      <c r="AA814" s="34">
        <f>X814+0.5*Z814</f>
        <v/>
      </c>
      <c r="AB814" s="34">
        <f>Q814*J814</f>
        <v/>
      </c>
      <c r="AC814" s="34">
        <f>Q814*L814</f>
        <v/>
      </c>
      <c r="AD814" s="34">
        <f>S814*N814</f>
        <v/>
      </c>
      <c r="AE814" s="34">
        <f>E814*N814</f>
        <v/>
      </c>
      <c r="AF814" s="34">
        <f>R814*N814</f>
        <v/>
      </c>
      <c r="AG814" s="29">
        <f>MAX(SumAssured,AA814)</f>
        <v/>
      </c>
      <c r="AH814" s="34">
        <f>AG814*O814</f>
        <v/>
      </c>
      <c r="AI814" s="34">
        <f>AA814*O814</f>
        <v/>
      </c>
      <c r="AJ814" s="34">
        <f>AA814*P814</f>
        <v/>
      </c>
      <c r="AK814" s="34">
        <f>I814*AA814*P814</f>
        <v/>
      </c>
      <c r="AL814" s="34">
        <f>AJ814-AK814</f>
        <v/>
      </c>
      <c r="AM814" s="34">
        <f>Q814*K814</f>
        <v/>
      </c>
      <c r="AN814" s="34">
        <f>AH814+AL814+AM814</f>
        <v/>
      </c>
      <c r="AO814" s="34">
        <f>(AG814-AA814)*O814</f>
        <v/>
      </c>
      <c r="AP814" s="34">
        <f>W814*N814</f>
        <v/>
      </c>
      <c r="AQ814" s="34">
        <f>T814*N814</f>
        <v/>
      </c>
      <c r="AR814" s="34">
        <f>Z814*J815+0.5*Z814*(O814+P814)</f>
        <v/>
      </c>
      <c r="AS814" s="30">
        <f>(1+InflationRate)^(A814/12)</f>
        <v/>
      </c>
      <c r="AT814" s="29">
        <f>ExpenseAcq*M814+N814*ExpenseMaint/12*AS814</f>
        <v/>
      </c>
      <c r="AU814" s="29">
        <f>CommissionRate*AE814</f>
        <v/>
      </c>
      <c r="AV814" s="34">
        <f>AB815-AB814</f>
        <v/>
      </c>
      <c r="AW814" s="34">
        <f>AE814+AR814-AN814-AT814-AU814-AV814</f>
        <v/>
      </c>
      <c r="AX814" s="29">
        <f>LoadPremRate*E814*N814+AK814+AQ814-AU814-AT814</f>
        <v/>
      </c>
      <c r="AY814" s="34">
        <f>AP814-AO814</f>
        <v/>
      </c>
      <c r="AZ814" s="37">
        <f>(AW814-AX814-AY814)/MAX(1,ABS(AW814),ABS(AX814),ABS(AY814))</f>
        <v/>
      </c>
      <c r="BA814" s="37">
        <f>IF(OR(K814&gt;0,K815&gt;0),0,(AC815-(AC814+AF814-AQ814-AP814+AR814-AI814-AJ814-AM814))/MAX(1,ABS(AC814),ABS(AC815)))</f>
        <v/>
      </c>
      <c r="BB814" s="35">
        <f>(1+INDEX(DiscRateAnn,INT(A814/12)+1))^(1/12)-1</f>
        <v/>
      </c>
      <c r="BC814" s="31">
        <f>(1+BB814)^-A814</f>
        <v/>
      </c>
      <c r="BD814" s="34">
        <f>AW814*BC814</f>
        <v/>
      </c>
    </row>
    <row r="815">
      <c r="A815" s="27">
        <f>A814+1</f>
        <v/>
      </c>
      <c r="B815" s="28">
        <f>Duration0+A815</f>
        <v/>
      </c>
      <c r="C815" s="27">
        <f>INT(B815/12)</f>
        <v/>
      </c>
      <c r="D815" s="28">
        <f>AgeAtEntry+C815</f>
        <v/>
      </c>
      <c r="E815" s="29">
        <f>IF(PremiumType="SINGLE",IF(B815=0,PremiumPPInput,0),IF(B815&lt;12*PolicyTerm,PremiumPPInput,0))</f>
        <v/>
      </c>
      <c r="F815" s="30">
        <f>INDEX(MortRates,MATCH(MIN(D815,120),MortAges,0),MAX(MIN(C815,5),0)+1)</f>
        <v/>
      </c>
      <c r="G815" s="31">
        <f>1-(1-F815)^(1/12)</f>
        <v/>
      </c>
      <c r="H815" s="32">
        <f>MAX(LapseBase-LapseStep*C815,LapseFloor)</f>
        <v/>
      </c>
      <c r="I815" s="32">
        <f>IF(HasSurrCharge,INDEX(SurrRates,MIN(C815,SurrDurMax)+1,MATCH(SurrChargeID,SurrTypes,0)),0)</f>
        <v/>
      </c>
      <c r="J815" s="33">
        <f>N814-P814-O814</f>
        <v/>
      </c>
      <c r="K815" s="30">
        <f>IF(B815=12*PolicyTerm,J815,0)</f>
        <v/>
      </c>
      <c r="L815" s="33">
        <f>J815-K815</f>
        <v/>
      </c>
      <c r="M815" s="30">
        <f>IF(B815=0,PolicyCount,0)</f>
        <v/>
      </c>
      <c r="N815" s="33">
        <f>L815+M815</f>
        <v/>
      </c>
      <c r="O815" s="31">
        <f>N815*G815</f>
        <v/>
      </c>
      <c r="P815" s="33">
        <f>(N815-O815)*(1-(1-H815)^(1/12))</f>
        <v/>
      </c>
      <c r="Q815" s="34">
        <f>X814+Z814</f>
        <v/>
      </c>
      <c r="R815" s="29">
        <f>(1-LoadPremRate)*E815</f>
        <v/>
      </c>
      <c r="S815" s="34">
        <f>Q815+R815</f>
        <v/>
      </c>
      <c r="T815" s="29">
        <f>MaintFeeRateAnn/12*S815</f>
        <v/>
      </c>
      <c r="U815" s="29">
        <f>MAX(SumAssured-S815,0)</f>
        <v/>
      </c>
      <c r="V815" s="35">
        <f>CoiMultiple*G815</f>
        <v/>
      </c>
      <c r="W815" s="34">
        <f>V815*U815</f>
        <v/>
      </c>
      <c r="X815" s="34">
        <f>S815-T815-W815</f>
        <v/>
      </c>
      <c r="Y815" s="36">
        <f>EXP((Mu-0.5*Sigma^2)/12+Sigma*SQRT(1/12)*INDEX(NormRand,ScenID,A815+1))-1</f>
        <v/>
      </c>
      <c r="Z815" s="34">
        <f>Y815*X815</f>
        <v/>
      </c>
      <c r="AA815" s="34">
        <f>X815+0.5*Z815</f>
        <v/>
      </c>
      <c r="AB815" s="34">
        <f>Q815*J815</f>
        <v/>
      </c>
      <c r="AC815" s="34">
        <f>Q815*L815</f>
        <v/>
      </c>
      <c r="AD815" s="34">
        <f>S815*N815</f>
        <v/>
      </c>
      <c r="AE815" s="34">
        <f>E815*N815</f>
        <v/>
      </c>
      <c r="AF815" s="34">
        <f>R815*N815</f>
        <v/>
      </c>
      <c r="AG815" s="29">
        <f>MAX(SumAssured,AA815)</f>
        <v/>
      </c>
      <c r="AH815" s="34">
        <f>AG815*O815</f>
        <v/>
      </c>
      <c r="AI815" s="34">
        <f>AA815*O815</f>
        <v/>
      </c>
      <c r="AJ815" s="34">
        <f>AA815*P815</f>
        <v/>
      </c>
      <c r="AK815" s="34">
        <f>I815*AA815*P815</f>
        <v/>
      </c>
      <c r="AL815" s="34">
        <f>AJ815-AK815</f>
        <v/>
      </c>
      <c r="AM815" s="34">
        <f>Q815*K815</f>
        <v/>
      </c>
      <c r="AN815" s="34">
        <f>AH815+AL815+AM815</f>
        <v/>
      </c>
      <c r="AO815" s="34">
        <f>(AG815-AA815)*O815</f>
        <v/>
      </c>
      <c r="AP815" s="34">
        <f>W815*N815</f>
        <v/>
      </c>
      <c r="AQ815" s="34">
        <f>T815*N815</f>
        <v/>
      </c>
      <c r="AR815" s="34">
        <f>Z815*J816+0.5*Z815*(O815+P815)</f>
        <v/>
      </c>
      <c r="AS815" s="30">
        <f>(1+InflationRate)^(A815/12)</f>
        <v/>
      </c>
      <c r="AT815" s="29">
        <f>ExpenseAcq*M815+N815*ExpenseMaint/12*AS815</f>
        <v/>
      </c>
      <c r="AU815" s="29">
        <f>CommissionRate*AE815</f>
        <v/>
      </c>
      <c r="AV815" s="34">
        <f>AB816-AB815</f>
        <v/>
      </c>
      <c r="AW815" s="34">
        <f>AE815+AR815-AN815-AT815-AU815-AV815</f>
        <v/>
      </c>
      <c r="AX815" s="29">
        <f>LoadPremRate*E815*N815+AK815+AQ815-AU815-AT815</f>
        <v/>
      </c>
      <c r="AY815" s="34">
        <f>AP815-AO815</f>
        <v/>
      </c>
      <c r="AZ815" s="37">
        <f>(AW815-AX815-AY815)/MAX(1,ABS(AW815),ABS(AX815),ABS(AY815))</f>
        <v/>
      </c>
      <c r="BA815" s="37">
        <f>IF(OR(K815&gt;0,K816&gt;0),0,(AC816-(AC815+AF815-AQ815-AP815+AR815-AI815-AJ815-AM815))/MAX(1,ABS(AC815),ABS(AC816)))</f>
        <v/>
      </c>
      <c r="BB815" s="35">
        <f>(1+INDEX(DiscRateAnn,INT(A815/12)+1))^(1/12)-1</f>
        <v/>
      </c>
      <c r="BC815" s="31">
        <f>(1+BB815)^-A815</f>
        <v/>
      </c>
      <c r="BD815" s="34">
        <f>AW815*BC815</f>
        <v/>
      </c>
    </row>
    <row r="816">
      <c r="A816" s="27">
        <f>A815+1</f>
        <v/>
      </c>
      <c r="B816" s="28">
        <f>Duration0+A816</f>
        <v/>
      </c>
      <c r="C816" s="27">
        <f>INT(B816/12)</f>
        <v/>
      </c>
      <c r="D816" s="28">
        <f>AgeAtEntry+C816</f>
        <v/>
      </c>
      <c r="E816" s="29">
        <f>IF(PremiumType="SINGLE",IF(B816=0,PremiumPPInput,0),IF(B816&lt;12*PolicyTerm,PremiumPPInput,0))</f>
        <v/>
      </c>
      <c r="F816" s="30">
        <f>INDEX(MortRates,MATCH(MIN(D816,120),MortAges,0),MAX(MIN(C816,5),0)+1)</f>
        <v/>
      </c>
      <c r="G816" s="31">
        <f>1-(1-F816)^(1/12)</f>
        <v/>
      </c>
      <c r="H816" s="32">
        <f>MAX(LapseBase-LapseStep*C816,LapseFloor)</f>
        <v/>
      </c>
      <c r="I816" s="32">
        <f>IF(HasSurrCharge,INDEX(SurrRates,MIN(C816,SurrDurMax)+1,MATCH(SurrChargeID,SurrTypes,0)),0)</f>
        <v/>
      </c>
      <c r="J816" s="33">
        <f>N815-P815-O815</f>
        <v/>
      </c>
      <c r="K816" s="30">
        <f>IF(B816=12*PolicyTerm,J816,0)</f>
        <v/>
      </c>
      <c r="L816" s="33">
        <f>J816-K816</f>
        <v/>
      </c>
      <c r="M816" s="30">
        <f>IF(B816=0,PolicyCount,0)</f>
        <v/>
      </c>
      <c r="N816" s="33">
        <f>L816+M816</f>
        <v/>
      </c>
      <c r="O816" s="31">
        <f>N816*G816</f>
        <v/>
      </c>
      <c r="P816" s="33">
        <f>(N816-O816)*(1-(1-H816)^(1/12))</f>
        <v/>
      </c>
      <c r="Q816" s="34">
        <f>X815+Z815</f>
        <v/>
      </c>
      <c r="R816" s="29">
        <f>(1-LoadPremRate)*E816</f>
        <v/>
      </c>
      <c r="S816" s="34">
        <f>Q816+R816</f>
        <v/>
      </c>
      <c r="T816" s="29">
        <f>MaintFeeRateAnn/12*S816</f>
        <v/>
      </c>
      <c r="U816" s="29">
        <f>MAX(SumAssured-S816,0)</f>
        <v/>
      </c>
      <c r="V816" s="35">
        <f>CoiMultiple*G816</f>
        <v/>
      </c>
      <c r="W816" s="34">
        <f>V816*U816</f>
        <v/>
      </c>
      <c r="X816" s="34">
        <f>S816-T816-W816</f>
        <v/>
      </c>
      <c r="Y816" s="36">
        <f>EXP((Mu-0.5*Sigma^2)/12+Sigma*SQRT(1/12)*INDEX(NormRand,ScenID,A816+1))-1</f>
        <v/>
      </c>
      <c r="Z816" s="34">
        <f>Y816*X816</f>
        <v/>
      </c>
      <c r="AA816" s="34">
        <f>X816+0.5*Z816</f>
        <v/>
      </c>
      <c r="AB816" s="34">
        <f>Q816*J816</f>
        <v/>
      </c>
      <c r="AC816" s="34">
        <f>Q816*L816</f>
        <v/>
      </c>
      <c r="AD816" s="34">
        <f>S816*N816</f>
        <v/>
      </c>
      <c r="AE816" s="34">
        <f>E816*N816</f>
        <v/>
      </c>
      <c r="AF816" s="34">
        <f>R816*N816</f>
        <v/>
      </c>
      <c r="AG816" s="29">
        <f>MAX(SumAssured,AA816)</f>
        <v/>
      </c>
      <c r="AH816" s="34">
        <f>AG816*O816</f>
        <v/>
      </c>
      <c r="AI816" s="34">
        <f>AA816*O816</f>
        <v/>
      </c>
      <c r="AJ816" s="34">
        <f>AA816*P816</f>
        <v/>
      </c>
      <c r="AK816" s="34">
        <f>I816*AA816*P816</f>
        <v/>
      </c>
      <c r="AL816" s="34">
        <f>AJ816-AK816</f>
        <v/>
      </c>
      <c r="AM816" s="34">
        <f>Q816*K816</f>
        <v/>
      </c>
      <c r="AN816" s="34">
        <f>AH816+AL816+AM816</f>
        <v/>
      </c>
      <c r="AO816" s="34">
        <f>(AG816-AA816)*O816</f>
        <v/>
      </c>
      <c r="AP816" s="34">
        <f>W816*N816</f>
        <v/>
      </c>
      <c r="AQ816" s="34">
        <f>T816*N816</f>
        <v/>
      </c>
      <c r="AR816" s="34">
        <f>Z816*J817+0.5*Z816*(O816+P816)</f>
        <v/>
      </c>
      <c r="AS816" s="30">
        <f>(1+InflationRate)^(A816/12)</f>
        <v/>
      </c>
      <c r="AT816" s="29">
        <f>ExpenseAcq*M816+N816*ExpenseMaint/12*AS816</f>
        <v/>
      </c>
      <c r="AU816" s="29">
        <f>CommissionRate*AE816</f>
        <v/>
      </c>
      <c r="AV816" s="34">
        <f>AB817-AB816</f>
        <v/>
      </c>
      <c r="AW816" s="34">
        <f>AE816+AR816-AN816-AT816-AU816-AV816</f>
        <v/>
      </c>
      <c r="AX816" s="29">
        <f>LoadPremRate*E816*N816+AK816+AQ816-AU816-AT816</f>
        <v/>
      </c>
      <c r="AY816" s="34">
        <f>AP816-AO816</f>
        <v/>
      </c>
      <c r="AZ816" s="37">
        <f>(AW816-AX816-AY816)/MAX(1,ABS(AW816),ABS(AX816),ABS(AY816))</f>
        <v/>
      </c>
      <c r="BA816" s="37">
        <f>IF(OR(K816&gt;0,K817&gt;0),0,(AC817-(AC816+AF816-AQ816-AP816+AR816-AI816-AJ816-AM816))/MAX(1,ABS(AC816),ABS(AC817)))</f>
        <v/>
      </c>
      <c r="BB816" s="35">
        <f>(1+INDEX(DiscRateAnn,INT(A816/12)+1))^(1/12)-1</f>
        <v/>
      </c>
      <c r="BC816" s="31">
        <f>(1+BB816)^-A816</f>
        <v/>
      </c>
      <c r="BD816" s="34">
        <f>AW816*BC816</f>
        <v/>
      </c>
    </row>
    <row r="817">
      <c r="A817" s="27">
        <f>A816+1</f>
        <v/>
      </c>
      <c r="B817" s="28">
        <f>Duration0+A817</f>
        <v/>
      </c>
      <c r="C817" s="27">
        <f>INT(B817/12)</f>
        <v/>
      </c>
      <c r="D817" s="28">
        <f>AgeAtEntry+C817</f>
        <v/>
      </c>
      <c r="E817" s="29">
        <f>IF(PremiumType="SINGLE",IF(B817=0,PremiumPPInput,0),IF(B817&lt;12*PolicyTerm,PremiumPPInput,0))</f>
        <v/>
      </c>
      <c r="F817" s="30">
        <f>INDEX(MortRates,MATCH(MIN(D817,120),MortAges,0),MAX(MIN(C817,5),0)+1)</f>
        <v/>
      </c>
      <c r="G817" s="31">
        <f>1-(1-F817)^(1/12)</f>
        <v/>
      </c>
      <c r="H817" s="32">
        <f>MAX(LapseBase-LapseStep*C817,LapseFloor)</f>
        <v/>
      </c>
      <c r="I817" s="32">
        <f>IF(HasSurrCharge,INDEX(SurrRates,MIN(C817,SurrDurMax)+1,MATCH(SurrChargeID,SurrTypes,0)),0)</f>
        <v/>
      </c>
      <c r="J817" s="33">
        <f>N816-P816-O816</f>
        <v/>
      </c>
      <c r="K817" s="30">
        <f>IF(B817=12*PolicyTerm,J817,0)</f>
        <v/>
      </c>
      <c r="L817" s="33">
        <f>J817-K817</f>
        <v/>
      </c>
      <c r="M817" s="30">
        <f>IF(B817=0,PolicyCount,0)</f>
        <v/>
      </c>
      <c r="N817" s="33">
        <f>L817+M817</f>
        <v/>
      </c>
      <c r="O817" s="31">
        <f>N817*G817</f>
        <v/>
      </c>
      <c r="P817" s="33">
        <f>(N817-O817)*(1-(1-H817)^(1/12))</f>
        <v/>
      </c>
      <c r="Q817" s="34">
        <f>X816+Z816</f>
        <v/>
      </c>
      <c r="R817" s="29">
        <f>(1-LoadPremRate)*E817</f>
        <v/>
      </c>
      <c r="S817" s="34">
        <f>Q817+R817</f>
        <v/>
      </c>
      <c r="T817" s="29">
        <f>MaintFeeRateAnn/12*S817</f>
        <v/>
      </c>
      <c r="U817" s="29">
        <f>MAX(SumAssured-S817,0)</f>
        <v/>
      </c>
      <c r="V817" s="35">
        <f>CoiMultiple*G817</f>
        <v/>
      </c>
      <c r="W817" s="34">
        <f>V817*U817</f>
        <v/>
      </c>
      <c r="X817" s="34">
        <f>S817-T817-W817</f>
        <v/>
      </c>
      <c r="Y817" s="36">
        <f>EXP((Mu-0.5*Sigma^2)/12+Sigma*SQRT(1/12)*INDEX(NormRand,ScenID,A817+1))-1</f>
        <v/>
      </c>
      <c r="Z817" s="34">
        <f>Y817*X817</f>
        <v/>
      </c>
      <c r="AA817" s="34">
        <f>X817+0.5*Z817</f>
        <v/>
      </c>
      <c r="AB817" s="34">
        <f>Q817*J817</f>
        <v/>
      </c>
      <c r="AC817" s="34">
        <f>Q817*L817</f>
        <v/>
      </c>
      <c r="AD817" s="34">
        <f>S817*N817</f>
        <v/>
      </c>
      <c r="AE817" s="34">
        <f>E817*N817</f>
        <v/>
      </c>
      <c r="AF817" s="34">
        <f>R817*N817</f>
        <v/>
      </c>
      <c r="AG817" s="29">
        <f>MAX(SumAssured,AA817)</f>
        <v/>
      </c>
      <c r="AH817" s="34">
        <f>AG817*O817</f>
        <v/>
      </c>
      <c r="AI817" s="34">
        <f>AA817*O817</f>
        <v/>
      </c>
      <c r="AJ817" s="34">
        <f>AA817*P817</f>
        <v/>
      </c>
      <c r="AK817" s="34">
        <f>I817*AA817*P817</f>
        <v/>
      </c>
      <c r="AL817" s="34">
        <f>AJ817-AK817</f>
        <v/>
      </c>
      <c r="AM817" s="34">
        <f>Q817*K817</f>
        <v/>
      </c>
      <c r="AN817" s="34">
        <f>AH817+AL817+AM817</f>
        <v/>
      </c>
      <c r="AO817" s="34">
        <f>(AG817-AA817)*O817</f>
        <v/>
      </c>
      <c r="AP817" s="34">
        <f>W817*N817</f>
        <v/>
      </c>
      <c r="AQ817" s="34">
        <f>T817*N817</f>
        <v/>
      </c>
      <c r="AR817" s="34">
        <f>Z817*J818+0.5*Z817*(O817+P817)</f>
        <v/>
      </c>
      <c r="AS817" s="30">
        <f>(1+InflationRate)^(A817/12)</f>
        <v/>
      </c>
      <c r="AT817" s="29">
        <f>ExpenseAcq*M817+N817*ExpenseMaint/12*AS817</f>
        <v/>
      </c>
      <c r="AU817" s="29">
        <f>CommissionRate*AE817</f>
        <v/>
      </c>
      <c r="AV817" s="34">
        <f>AB818-AB817</f>
        <v/>
      </c>
      <c r="AW817" s="34">
        <f>AE817+AR817-AN817-AT817-AU817-AV817</f>
        <v/>
      </c>
      <c r="AX817" s="29">
        <f>LoadPremRate*E817*N817+AK817+AQ817-AU817-AT817</f>
        <v/>
      </c>
      <c r="AY817" s="34">
        <f>AP817-AO817</f>
        <v/>
      </c>
      <c r="AZ817" s="37">
        <f>(AW817-AX817-AY817)/MAX(1,ABS(AW817),ABS(AX817),ABS(AY817))</f>
        <v/>
      </c>
      <c r="BA817" s="37">
        <f>IF(OR(K817&gt;0,K818&gt;0),0,(AC818-(AC817+AF817-AQ817-AP817+AR817-AI817-AJ817-AM817))/MAX(1,ABS(AC817),ABS(AC818)))</f>
        <v/>
      </c>
      <c r="BB817" s="35">
        <f>(1+INDEX(DiscRateAnn,INT(A817/12)+1))^(1/12)-1</f>
        <v/>
      </c>
      <c r="BC817" s="31">
        <f>(1+BB817)^-A817</f>
        <v/>
      </c>
      <c r="BD817" s="34">
        <f>AW817*BC817</f>
        <v/>
      </c>
    </row>
    <row r="818">
      <c r="A818" s="27">
        <f>A817+1</f>
        <v/>
      </c>
      <c r="B818" s="28">
        <f>Duration0+A818</f>
        <v/>
      </c>
      <c r="C818" s="27">
        <f>INT(B818/12)</f>
        <v/>
      </c>
      <c r="D818" s="28">
        <f>AgeAtEntry+C818</f>
        <v/>
      </c>
      <c r="E818" s="29">
        <f>IF(PremiumType="SINGLE",IF(B818=0,PremiumPPInput,0),IF(B818&lt;12*PolicyTerm,PremiumPPInput,0))</f>
        <v/>
      </c>
      <c r="F818" s="30">
        <f>INDEX(MortRates,MATCH(MIN(D818,120),MortAges,0),MAX(MIN(C818,5),0)+1)</f>
        <v/>
      </c>
      <c r="G818" s="31">
        <f>1-(1-F818)^(1/12)</f>
        <v/>
      </c>
      <c r="H818" s="32">
        <f>MAX(LapseBase-LapseStep*C818,LapseFloor)</f>
        <v/>
      </c>
      <c r="I818" s="32">
        <f>IF(HasSurrCharge,INDEX(SurrRates,MIN(C818,SurrDurMax)+1,MATCH(SurrChargeID,SurrTypes,0)),0)</f>
        <v/>
      </c>
      <c r="J818" s="33">
        <f>N817-P817-O817</f>
        <v/>
      </c>
      <c r="K818" s="30">
        <f>IF(B818=12*PolicyTerm,J818,0)</f>
        <v/>
      </c>
      <c r="L818" s="33">
        <f>J818-K818</f>
        <v/>
      </c>
      <c r="M818" s="30">
        <f>IF(B818=0,PolicyCount,0)</f>
        <v/>
      </c>
      <c r="N818" s="33">
        <f>L818+M818</f>
        <v/>
      </c>
      <c r="O818" s="31">
        <f>N818*G818</f>
        <v/>
      </c>
      <c r="P818" s="33">
        <f>(N818-O818)*(1-(1-H818)^(1/12))</f>
        <v/>
      </c>
      <c r="Q818" s="34">
        <f>X817+Z817</f>
        <v/>
      </c>
      <c r="R818" s="29">
        <f>(1-LoadPremRate)*E818</f>
        <v/>
      </c>
      <c r="S818" s="34">
        <f>Q818+R818</f>
        <v/>
      </c>
      <c r="T818" s="29">
        <f>MaintFeeRateAnn/12*S818</f>
        <v/>
      </c>
      <c r="U818" s="29">
        <f>MAX(SumAssured-S818,0)</f>
        <v/>
      </c>
      <c r="V818" s="35">
        <f>CoiMultiple*G818</f>
        <v/>
      </c>
      <c r="W818" s="34">
        <f>V818*U818</f>
        <v/>
      </c>
      <c r="X818" s="34">
        <f>S818-T818-W818</f>
        <v/>
      </c>
      <c r="Y818" s="36">
        <f>EXP((Mu-0.5*Sigma^2)/12+Sigma*SQRT(1/12)*INDEX(NormRand,ScenID,A818+1))-1</f>
        <v/>
      </c>
      <c r="Z818" s="34">
        <f>Y818*X818</f>
        <v/>
      </c>
      <c r="AA818" s="34">
        <f>X818+0.5*Z818</f>
        <v/>
      </c>
      <c r="AB818" s="34">
        <f>Q818*J818</f>
        <v/>
      </c>
      <c r="AC818" s="34">
        <f>Q818*L818</f>
        <v/>
      </c>
      <c r="AD818" s="34">
        <f>S818*N818</f>
        <v/>
      </c>
      <c r="AE818" s="34">
        <f>E818*N818</f>
        <v/>
      </c>
      <c r="AF818" s="34">
        <f>R818*N818</f>
        <v/>
      </c>
      <c r="AG818" s="29">
        <f>MAX(SumAssured,AA818)</f>
        <v/>
      </c>
      <c r="AH818" s="34">
        <f>AG818*O818</f>
        <v/>
      </c>
      <c r="AI818" s="34">
        <f>AA818*O818</f>
        <v/>
      </c>
      <c r="AJ818" s="34">
        <f>AA818*P818</f>
        <v/>
      </c>
      <c r="AK818" s="34">
        <f>I818*AA818*P818</f>
        <v/>
      </c>
      <c r="AL818" s="34">
        <f>AJ818-AK818</f>
        <v/>
      </c>
      <c r="AM818" s="34">
        <f>Q818*K818</f>
        <v/>
      </c>
      <c r="AN818" s="34">
        <f>AH818+AL818+AM818</f>
        <v/>
      </c>
      <c r="AO818" s="34">
        <f>(AG818-AA818)*O818</f>
        <v/>
      </c>
      <c r="AP818" s="34">
        <f>W818*N818</f>
        <v/>
      </c>
      <c r="AQ818" s="34">
        <f>T818*N818</f>
        <v/>
      </c>
      <c r="AR818" s="34">
        <f>Z818*J819+0.5*Z818*(O818+P818)</f>
        <v/>
      </c>
      <c r="AS818" s="30">
        <f>(1+InflationRate)^(A818/12)</f>
        <v/>
      </c>
      <c r="AT818" s="29">
        <f>ExpenseAcq*M818+N818*ExpenseMaint/12*AS818</f>
        <v/>
      </c>
      <c r="AU818" s="29">
        <f>CommissionRate*AE818</f>
        <v/>
      </c>
      <c r="AV818" s="34">
        <f>AB819-AB818</f>
        <v/>
      </c>
      <c r="AW818" s="34">
        <f>AE818+AR818-AN818-AT818-AU818-AV818</f>
        <v/>
      </c>
      <c r="AX818" s="29">
        <f>LoadPremRate*E818*N818+AK818+AQ818-AU818-AT818</f>
        <v/>
      </c>
      <c r="AY818" s="34">
        <f>AP818-AO818</f>
        <v/>
      </c>
      <c r="AZ818" s="37">
        <f>(AW818-AX818-AY818)/MAX(1,ABS(AW818),ABS(AX818),ABS(AY818))</f>
        <v/>
      </c>
      <c r="BA818" s="37">
        <f>IF(OR(K818&gt;0,K819&gt;0),0,(AC819-(AC818+AF818-AQ818-AP818+AR818-AI818-AJ818-AM818))/MAX(1,ABS(AC818),ABS(AC819)))</f>
        <v/>
      </c>
      <c r="BB818" s="35">
        <f>(1+INDEX(DiscRateAnn,INT(A818/12)+1))^(1/12)-1</f>
        <v/>
      </c>
      <c r="BC818" s="31">
        <f>(1+BB818)^-A818</f>
        <v/>
      </c>
      <c r="BD818" s="34">
        <f>AW818*BC818</f>
        <v/>
      </c>
    </row>
    <row r="819">
      <c r="A819" s="27">
        <f>A818+1</f>
        <v/>
      </c>
      <c r="B819" s="28">
        <f>Duration0+A819</f>
        <v/>
      </c>
      <c r="C819" s="27">
        <f>INT(B819/12)</f>
        <v/>
      </c>
      <c r="D819" s="28">
        <f>AgeAtEntry+C819</f>
        <v/>
      </c>
      <c r="E819" s="29">
        <f>IF(PremiumType="SINGLE",IF(B819=0,PremiumPPInput,0),IF(B819&lt;12*PolicyTerm,PremiumPPInput,0))</f>
        <v/>
      </c>
      <c r="F819" s="30">
        <f>INDEX(MortRates,MATCH(MIN(D819,120),MortAges,0),MAX(MIN(C819,5),0)+1)</f>
        <v/>
      </c>
      <c r="G819" s="31">
        <f>1-(1-F819)^(1/12)</f>
        <v/>
      </c>
      <c r="H819" s="32">
        <f>MAX(LapseBase-LapseStep*C819,LapseFloor)</f>
        <v/>
      </c>
      <c r="I819" s="32">
        <f>IF(HasSurrCharge,INDEX(SurrRates,MIN(C819,SurrDurMax)+1,MATCH(SurrChargeID,SurrTypes,0)),0)</f>
        <v/>
      </c>
      <c r="J819" s="33">
        <f>N818-P818-O818</f>
        <v/>
      </c>
      <c r="K819" s="30">
        <f>IF(B819=12*PolicyTerm,J819,0)</f>
        <v/>
      </c>
      <c r="L819" s="33">
        <f>J819-K819</f>
        <v/>
      </c>
      <c r="M819" s="30">
        <f>IF(B819=0,PolicyCount,0)</f>
        <v/>
      </c>
      <c r="N819" s="33">
        <f>L819+M819</f>
        <v/>
      </c>
      <c r="O819" s="31">
        <f>N819*G819</f>
        <v/>
      </c>
      <c r="P819" s="33">
        <f>(N819-O819)*(1-(1-H819)^(1/12))</f>
        <v/>
      </c>
      <c r="Q819" s="34">
        <f>X818+Z818</f>
        <v/>
      </c>
      <c r="R819" s="29">
        <f>(1-LoadPremRate)*E819</f>
        <v/>
      </c>
      <c r="S819" s="34">
        <f>Q819+R819</f>
        <v/>
      </c>
      <c r="T819" s="29">
        <f>MaintFeeRateAnn/12*S819</f>
        <v/>
      </c>
      <c r="U819" s="29">
        <f>MAX(SumAssured-S819,0)</f>
        <v/>
      </c>
      <c r="V819" s="35">
        <f>CoiMultiple*G819</f>
        <v/>
      </c>
      <c r="W819" s="34">
        <f>V819*U819</f>
        <v/>
      </c>
      <c r="X819" s="34">
        <f>S819-T819-W819</f>
        <v/>
      </c>
      <c r="Y819" s="36">
        <f>EXP((Mu-0.5*Sigma^2)/12+Sigma*SQRT(1/12)*INDEX(NormRand,ScenID,A819+1))-1</f>
        <v/>
      </c>
      <c r="Z819" s="34">
        <f>Y819*X819</f>
        <v/>
      </c>
      <c r="AA819" s="34">
        <f>X819+0.5*Z819</f>
        <v/>
      </c>
      <c r="AB819" s="34">
        <f>Q819*J819</f>
        <v/>
      </c>
      <c r="AC819" s="34">
        <f>Q819*L819</f>
        <v/>
      </c>
      <c r="AD819" s="34">
        <f>S819*N819</f>
        <v/>
      </c>
      <c r="AE819" s="34">
        <f>E819*N819</f>
        <v/>
      </c>
      <c r="AF819" s="34">
        <f>R819*N819</f>
        <v/>
      </c>
      <c r="AG819" s="29">
        <f>MAX(SumAssured,AA819)</f>
        <v/>
      </c>
      <c r="AH819" s="34">
        <f>AG819*O819</f>
        <v/>
      </c>
      <c r="AI819" s="34">
        <f>AA819*O819</f>
        <v/>
      </c>
      <c r="AJ819" s="34">
        <f>AA819*P819</f>
        <v/>
      </c>
      <c r="AK819" s="34">
        <f>I819*AA819*P819</f>
        <v/>
      </c>
      <c r="AL819" s="34">
        <f>AJ819-AK819</f>
        <v/>
      </c>
      <c r="AM819" s="34">
        <f>Q819*K819</f>
        <v/>
      </c>
      <c r="AN819" s="34">
        <f>AH819+AL819+AM819</f>
        <v/>
      </c>
      <c r="AO819" s="34">
        <f>(AG819-AA819)*O819</f>
        <v/>
      </c>
      <c r="AP819" s="34">
        <f>W819*N819</f>
        <v/>
      </c>
      <c r="AQ819" s="34">
        <f>T819*N819</f>
        <v/>
      </c>
      <c r="AR819" s="34">
        <f>Z819*J820+0.5*Z819*(O819+P819)</f>
        <v/>
      </c>
      <c r="AS819" s="30">
        <f>(1+InflationRate)^(A819/12)</f>
        <v/>
      </c>
      <c r="AT819" s="29">
        <f>ExpenseAcq*M819+N819*ExpenseMaint/12*AS819</f>
        <v/>
      </c>
      <c r="AU819" s="29">
        <f>CommissionRate*AE819</f>
        <v/>
      </c>
      <c r="AV819" s="34">
        <f>AB820-AB819</f>
        <v/>
      </c>
      <c r="AW819" s="34">
        <f>AE819+AR819-AN819-AT819-AU819-AV819</f>
        <v/>
      </c>
      <c r="AX819" s="29">
        <f>LoadPremRate*E819*N819+AK819+AQ819-AU819-AT819</f>
        <v/>
      </c>
      <c r="AY819" s="34">
        <f>AP819-AO819</f>
        <v/>
      </c>
      <c r="AZ819" s="37">
        <f>(AW819-AX819-AY819)/MAX(1,ABS(AW819),ABS(AX819),ABS(AY819))</f>
        <v/>
      </c>
      <c r="BA819" s="37">
        <f>IF(OR(K819&gt;0,K820&gt;0),0,(AC820-(AC819+AF819-AQ819-AP819+AR819-AI819-AJ819-AM819))/MAX(1,ABS(AC819),ABS(AC820)))</f>
        <v/>
      </c>
      <c r="BB819" s="35">
        <f>(1+INDEX(DiscRateAnn,INT(A819/12)+1))^(1/12)-1</f>
        <v/>
      </c>
      <c r="BC819" s="31">
        <f>(1+BB819)^-A819</f>
        <v/>
      </c>
      <c r="BD819" s="34">
        <f>AW819*BC819</f>
        <v/>
      </c>
    </row>
    <row r="820">
      <c r="A820" s="27">
        <f>A819+1</f>
        <v/>
      </c>
      <c r="B820" s="28">
        <f>Duration0+A820</f>
        <v/>
      </c>
      <c r="C820" s="27">
        <f>INT(B820/12)</f>
        <v/>
      </c>
      <c r="D820" s="28">
        <f>AgeAtEntry+C820</f>
        <v/>
      </c>
      <c r="E820" s="29">
        <f>IF(PremiumType="SINGLE",IF(B820=0,PremiumPPInput,0),IF(B820&lt;12*PolicyTerm,PremiumPPInput,0))</f>
        <v/>
      </c>
      <c r="F820" s="30">
        <f>INDEX(MortRates,MATCH(MIN(D820,120),MortAges,0),MAX(MIN(C820,5),0)+1)</f>
        <v/>
      </c>
      <c r="G820" s="31">
        <f>1-(1-F820)^(1/12)</f>
        <v/>
      </c>
      <c r="H820" s="32">
        <f>MAX(LapseBase-LapseStep*C820,LapseFloor)</f>
        <v/>
      </c>
      <c r="I820" s="32">
        <f>IF(HasSurrCharge,INDEX(SurrRates,MIN(C820,SurrDurMax)+1,MATCH(SurrChargeID,SurrTypes,0)),0)</f>
        <v/>
      </c>
      <c r="J820" s="33">
        <f>N819-P819-O819</f>
        <v/>
      </c>
      <c r="K820" s="30">
        <f>IF(B820=12*PolicyTerm,J820,0)</f>
        <v/>
      </c>
      <c r="L820" s="33">
        <f>J820-K820</f>
        <v/>
      </c>
      <c r="M820" s="30">
        <f>IF(B820=0,PolicyCount,0)</f>
        <v/>
      </c>
      <c r="N820" s="33">
        <f>L820+M820</f>
        <v/>
      </c>
      <c r="O820" s="31">
        <f>N820*G820</f>
        <v/>
      </c>
      <c r="P820" s="33">
        <f>(N820-O820)*(1-(1-H820)^(1/12))</f>
        <v/>
      </c>
      <c r="Q820" s="34">
        <f>X819+Z819</f>
        <v/>
      </c>
      <c r="R820" s="29">
        <f>(1-LoadPremRate)*E820</f>
        <v/>
      </c>
      <c r="S820" s="34">
        <f>Q820+R820</f>
        <v/>
      </c>
      <c r="T820" s="29">
        <f>MaintFeeRateAnn/12*S820</f>
        <v/>
      </c>
      <c r="U820" s="29">
        <f>MAX(SumAssured-S820,0)</f>
        <v/>
      </c>
      <c r="V820" s="35">
        <f>CoiMultiple*G820</f>
        <v/>
      </c>
      <c r="W820" s="34">
        <f>V820*U820</f>
        <v/>
      </c>
      <c r="X820" s="34">
        <f>S820-T820-W820</f>
        <v/>
      </c>
      <c r="Y820" s="36">
        <f>EXP((Mu-0.5*Sigma^2)/12+Sigma*SQRT(1/12)*INDEX(NormRand,ScenID,A820+1))-1</f>
        <v/>
      </c>
      <c r="Z820" s="34">
        <f>Y820*X820</f>
        <v/>
      </c>
      <c r="AA820" s="34">
        <f>X820+0.5*Z820</f>
        <v/>
      </c>
      <c r="AB820" s="34">
        <f>Q820*J820</f>
        <v/>
      </c>
      <c r="AC820" s="34">
        <f>Q820*L820</f>
        <v/>
      </c>
      <c r="AD820" s="34">
        <f>S820*N820</f>
        <v/>
      </c>
      <c r="AE820" s="34">
        <f>E820*N820</f>
        <v/>
      </c>
      <c r="AF820" s="34">
        <f>R820*N820</f>
        <v/>
      </c>
      <c r="AG820" s="29">
        <f>MAX(SumAssured,AA820)</f>
        <v/>
      </c>
      <c r="AH820" s="34">
        <f>AG820*O820</f>
        <v/>
      </c>
      <c r="AI820" s="34">
        <f>AA820*O820</f>
        <v/>
      </c>
      <c r="AJ820" s="34">
        <f>AA820*P820</f>
        <v/>
      </c>
      <c r="AK820" s="34">
        <f>I820*AA820*P820</f>
        <v/>
      </c>
      <c r="AL820" s="34">
        <f>AJ820-AK820</f>
        <v/>
      </c>
      <c r="AM820" s="34">
        <f>Q820*K820</f>
        <v/>
      </c>
      <c r="AN820" s="34">
        <f>AH820+AL820+AM820</f>
        <v/>
      </c>
      <c r="AO820" s="34">
        <f>(AG820-AA820)*O820</f>
        <v/>
      </c>
      <c r="AP820" s="34">
        <f>W820*N820</f>
        <v/>
      </c>
      <c r="AQ820" s="34">
        <f>T820*N820</f>
        <v/>
      </c>
      <c r="AR820" s="34">
        <f>Z820*J821+0.5*Z820*(O820+P820)</f>
        <v/>
      </c>
      <c r="AS820" s="30">
        <f>(1+InflationRate)^(A820/12)</f>
        <v/>
      </c>
      <c r="AT820" s="29">
        <f>ExpenseAcq*M820+N820*ExpenseMaint/12*AS820</f>
        <v/>
      </c>
      <c r="AU820" s="29">
        <f>CommissionRate*AE820</f>
        <v/>
      </c>
      <c r="AV820" s="34">
        <f>AB821-AB820</f>
        <v/>
      </c>
      <c r="AW820" s="34">
        <f>AE820+AR820-AN820-AT820-AU820-AV820</f>
        <v/>
      </c>
      <c r="AX820" s="29">
        <f>LoadPremRate*E820*N820+AK820+AQ820-AU820-AT820</f>
        <v/>
      </c>
      <c r="AY820" s="34">
        <f>AP820-AO820</f>
        <v/>
      </c>
      <c r="AZ820" s="37">
        <f>(AW820-AX820-AY820)/MAX(1,ABS(AW820),ABS(AX820),ABS(AY820))</f>
        <v/>
      </c>
      <c r="BA820" s="37">
        <f>IF(OR(K820&gt;0,K821&gt;0),0,(AC821-(AC820+AF820-AQ820-AP820+AR820-AI820-AJ820-AM820))/MAX(1,ABS(AC820),ABS(AC821)))</f>
        <v/>
      </c>
      <c r="BB820" s="35">
        <f>(1+INDEX(DiscRateAnn,INT(A820/12)+1))^(1/12)-1</f>
        <v/>
      </c>
      <c r="BC820" s="31">
        <f>(1+BB820)^-A820</f>
        <v/>
      </c>
      <c r="BD820" s="34">
        <f>AW820*BC820</f>
        <v/>
      </c>
    </row>
    <row r="821">
      <c r="A821" s="27">
        <f>A820+1</f>
        <v/>
      </c>
      <c r="B821" s="28">
        <f>Duration0+A821</f>
        <v/>
      </c>
      <c r="C821" s="27">
        <f>INT(B821/12)</f>
        <v/>
      </c>
      <c r="D821" s="28">
        <f>AgeAtEntry+C821</f>
        <v/>
      </c>
      <c r="E821" s="29">
        <f>IF(PremiumType="SINGLE",IF(B821=0,PremiumPPInput,0),IF(B821&lt;12*PolicyTerm,PremiumPPInput,0))</f>
        <v/>
      </c>
      <c r="F821" s="30">
        <f>INDEX(MortRates,MATCH(MIN(D821,120),MortAges,0),MAX(MIN(C821,5),0)+1)</f>
        <v/>
      </c>
      <c r="G821" s="31">
        <f>1-(1-F821)^(1/12)</f>
        <v/>
      </c>
      <c r="H821" s="32">
        <f>MAX(LapseBase-LapseStep*C821,LapseFloor)</f>
        <v/>
      </c>
      <c r="I821" s="32">
        <f>IF(HasSurrCharge,INDEX(SurrRates,MIN(C821,SurrDurMax)+1,MATCH(SurrChargeID,SurrTypes,0)),0)</f>
        <v/>
      </c>
      <c r="J821" s="33">
        <f>N820-P820-O820</f>
        <v/>
      </c>
      <c r="K821" s="30">
        <f>IF(B821=12*PolicyTerm,J821,0)</f>
        <v/>
      </c>
      <c r="L821" s="33">
        <f>J821-K821</f>
        <v/>
      </c>
      <c r="M821" s="30">
        <f>IF(B821=0,PolicyCount,0)</f>
        <v/>
      </c>
      <c r="N821" s="33">
        <f>L821+M821</f>
        <v/>
      </c>
      <c r="O821" s="31">
        <f>N821*G821</f>
        <v/>
      </c>
      <c r="P821" s="33">
        <f>(N821-O821)*(1-(1-H821)^(1/12))</f>
        <v/>
      </c>
      <c r="Q821" s="34">
        <f>X820+Z820</f>
        <v/>
      </c>
      <c r="R821" s="29">
        <f>(1-LoadPremRate)*E821</f>
        <v/>
      </c>
      <c r="S821" s="34">
        <f>Q821+R821</f>
        <v/>
      </c>
      <c r="T821" s="29">
        <f>MaintFeeRateAnn/12*S821</f>
        <v/>
      </c>
      <c r="U821" s="29">
        <f>MAX(SumAssured-S821,0)</f>
        <v/>
      </c>
      <c r="V821" s="35">
        <f>CoiMultiple*G821</f>
        <v/>
      </c>
      <c r="W821" s="34">
        <f>V821*U821</f>
        <v/>
      </c>
      <c r="X821" s="34">
        <f>S821-T821-W821</f>
        <v/>
      </c>
      <c r="Y821" s="36">
        <f>EXP((Mu-0.5*Sigma^2)/12+Sigma*SQRT(1/12)*INDEX(NormRand,ScenID,A821+1))-1</f>
        <v/>
      </c>
      <c r="Z821" s="34">
        <f>Y821*X821</f>
        <v/>
      </c>
      <c r="AA821" s="34">
        <f>X821+0.5*Z821</f>
        <v/>
      </c>
      <c r="AB821" s="34">
        <f>Q821*J821</f>
        <v/>
      </c>
      <c r="AC821" s="34">
        <f>Q821*L821</f>
        <v/>
      </c>
      <c r="AD821" s="34">
        <f>S821*N821</f>
        <v/>
      </c>
      <c r="AE821" s="34">
        <f>E821*N821</f>
        <v/>
      </c>
      <c r="AF821" s="34">
        <f>R821*N821</f>
        <v/>
      </c>
      <c r="AG821" s="29">
        <f>MAX(SumAssured,AA821)</f>
        <v/>
      </c>
      <c r="AH821" s="34">
        <f>AG821*O821</f>
        <v/>
      </c>
      <c r="AI821" s="34">
        <f>AA821*O821</f>
        <v/>
      </c>
      <c r="AJ821" s="34">
        <f>AA821*P821</f>
        <v/>
      </c>
      <c r="AK821" s="34">
        <f>I821*AA821*P821</f>
        <v/>
      </c>
      <c r="AL821" s="34">
        <f>AJ821-AK821</f>
        <v/>
      </c>
      <c r="AM821" s="34">
        <f>Q821*K821</f>
        <v/>
      </c>
      <c r="AN821" s="34">
        <f>AH821+AL821+AM821</f>
        <v/>
      </c>
      <c r="AO821" s="34">
        <f>(AG821-AA821)*O821</f>
        <v/>
      </c>
      <c r="AP821" s="34">
        <f>W821*N821</f>
        <v/>
      </c>
      <c r="AQ821" s="34">
        <f>T821*N821</f>
        <v/>
      </c>
      <c r="AR821" s="34">
        <f>Z821*J822+0.5*Z821*(O821+P821)</f>
        <v/>
      </c>
      <c r="AS821" s="30">
        <f>(1+InflationRate)^(A821/12)</f>
        <v/>
      </c>
      <c r="AT821" s="29">
        <f>ExpenseAcq*M821+N821*ExpenseMaint/12*AS821</f>
        <v/>
      </c>
      <c r="AU821" s="29">
        <f>CommissionRate*AE821</f>
        <v/>
      </c>
      <c r="AV821" s="34">
        <f>AB822-AB821</f>
        <v/>
      </c>
      <c r="AW821" s="34">
        <f>AE821+AR821-AN821-AT821-AU821-AV821</f>
        <v/>
      </c>
      <c r="AX821" s="29">
        <f>LoadPremRate*E821*N821+AK821+AQ821-AU821-AT821</f>
        <v/>
      </c>
      <c r="AY821" s="34">
        <f>AP821-AO821</f>
        <v/>
      </c>
      <c r="AZ821" s="37">
        <f>(AW821-AX821-AY821)/MAX(1,ABS(AW821),ABS(AX821),ABS(AY821))</f>
        <v/>
      </c>
      <c r="BA821" s="37">
        <f>IF(OR(K821&gt;0,K822&gt;0),0,(AC822-(AC821+AF821-AQ821-AP821+AR821-AI821-AJ821-AM821))/MAX(1,ABS(AC821),ABS(AC822)))</f>
        <v/>
      </c>
      <c r="BB821" s="35">
        <f>(1+INDEX(DiscRateAnn,INT(A821/12)+1))^(1/12)-1</f>
        <v/>
      </c>
      <c r="BC821" s="31">
        <f>(1+BB821)^-A821</f>
        <v/>
      </c>
      <c r="BD821" s="34">
        <f>AW821*BC821</f>
        <v/>
      </c>
    </row>
    <row r="822">
      <c r="A822" s="27">
        <f>A821+1</f>
        <v/>
      </c>
      <c r="B822" s="28">
        <f>Duration0+A822</f>
        <v/>
      </c>
      <c r="C822" s="27">
        <f>INT(B822/12)</f>
        <v/>
      </c>
      <c r="D822" s="28">
        <f>AgeAtEntry+C822</f>
        <v/>
      </c>
      <c r="E822" s="29">
        <f>IF(PremiumType="SINGLE",IF(B822=0,PremiumPPInput,0),IF(B822&lt;12*PolicyTerm,PremiumPPInput,0))</f>
        <v/>
      </c>
      <c r="F822" s="30">
        <f>INDEX(MortRates,MATCH(MIN(D822,120),MortAges,0),MAX(MIN(C822,5),0)+1)</f>
        <v/>
      </c>
      <c r="G822" s="31">
        <f>1-(1-F822)^(1/12)</f>
        <v/>
      </c>
      <c r="H822" s="32">
        <f>MAX(LapseBase-LapseStep*C822,LapseFloor)</f>
        <v/>
      </c>
      <c r="I822" s="32">
        <f>IF(HasSurrCharge,INDEX(SurrRates,MIN(C822,SurrDurMax)+1,MATCH(SurrChargeID,SurrTypes,0)),0)</f>
        <v/>
      </c>
      <c r="J822" s="33">
        <f>N821-P821-O821</f>
        <v/>
      </c>
      <c r="K822" s="30">
        <f>IF(B822=12*PolicyTerm,J822,0)</f>
        <v/>
      </c>
      <c r="L822" s="33">
        <f>J822-K822</f>
        <v/>
      </c>
      <c r="M822" s="30">
        <f>IF(B822=0,PolicyCount,0)</f>
        <v/>
      </c>
      <c r="N822" s="33">
        <f>L822+M822</f>
        <v/>
      </c>
      <c r="O822" s="31">
        <f>N822*G822</f>
        <v/>
      </c>
      <c r="P822" s="33">
        <f>(N822-O822)*(1-(1-H822)^(1/12))</f>
        <v/>
      </c>
      <c r="Q822" s="34">
        <f>X821+Z821</f>
        <v/>
      </c>
      <c r="R822" s="29">
        <f>(1-LoadPremRate)*E822</f>
        <v/>
      </c>
      <c r="S822" s="34">
        <f>Q822+R822</f>
        <v/>
      </c>
      <c r="T822" s="29">
        <f>MaintFeeRateAnn/12*S822</f>
        <v/>
      </c>
      <c r="U822" s="29">
        <f>MAX(SumAssured-S822,0)</f>
        <v/>
      </c>
      <c r="V822" s="35">
        <f>CoiMultiple*G822</f>
        <v/>
      </c>
      <c r="W822" s="34">
        <f>V822*U822</f>
        <v/>
      </c>
      <c r="X822" s="34">
        <f>S822-T822-W822</f>
        <v/>
      </c>
      <c r="Y822" s="36">
        <f>EXP((Mu-0.5*Sigma^2)/12+Sigma*SQRT(1/12)*INDEX(NormRand,ScenID,A822+1))-1</f>
        <v/>
      </c>
      <c r="Z822" s="34">
        <f>Y822*X822</f>
        <v/>
      </c>
      <c r="AA822" s="34">
        <f>X822+0.5*Z822</f>
        <v/>
      </c>
      <c r="AB822" s="34">
        <f>Q822*J822</f>
        <v/>
      </c>
      <c r="AC822" s="34">
        <f>Q822*L822</f>
        <v/>
      </c>
      <c r="AD822" s="34">
        <f>S822*N822</f>
        <v/>
      </c>
      <c r="AE822" s="34">
        <f>E822*N822</f>
        <v/>
      </c>
      <c r="AF822" s="34">
        <f>R822*N822</f>
        <v/>
      </c>
      <c r="AG822" s="29">
        <f>MAX(SumAssured,AA822)</f>
        <v/>
      </c>
      <c r="AH822" s="34">
        <f>AG822*O822</f>
        <v/>
      </c>
      <c r="AI822" s="34">
        <f>AA822*O822</f>
        <v/>
      </c>
      <c r="AJ822" s="34">
        <f>AA822*P822</f>
        <v/>
      </c>
      <c r="AK822" s="34">
        <f>I822*AA822*P822</f>
        <v/>
      </c>
      <c r="AL822" s="34">
        <f>AJ822-AK822</f>
        <v/>
      </c>
      <c r="AM822" s="34">
        <f>Q822*K822</f>
        <v/>
      </c>
      <c r="AN822" s="34">
        <f>AH822+AL822+AM822</f>
        <v/>
      </c>
      <c r="AO822" s="34">
        <f>(AG822-AA822)*O822</f>
        <v/>
      </c>
      <c r="AP822" s="34">
        <f>W822*N822</f>
        <v/>
      </c>
      <c r="AQ822" s="34">
        <f>T822*N822</f>
        <v/>
      </c>
      <c r="AR822" s="34">
        <f>Z822*J823+0.5*Z822*(O822+P822)</f>
        <v/>
      </c>
      <c r="AS822" s="30">
        <f>(1+InflationRate)^(A822/12)</f>
        <v/>
      </c>
      <c r="AT822" s="29">
        <f>ExpenseAcq*M822+N822*ExpenseMaint/12*AS822</f>
        <v/>
      </c>
      <c r="AU822" s="29">
        <f>CommissionRate*AE822</f>
        <v/>
      </c>
      <c r="AV822" s="34">
        <f>AB823-AB822</f>
        <v/>
      </c>
      <c r="AW822" s="34">
        <f>AE822+AR822-AN822-AT822-AU822-AV822</f>
        <v/>
      </c>
      <c r="AX822" s="29">
        <f>LoadPremRate*E822*N822+AK822+AQ822-AU822-AT822</f>
        <v/>
      </c>
      <c r="AY822" s="34">
        <f>AP822-AO822</f>
        <v/>
      </c>
      <c r="AZ822" s="37">
        <f>(AW822-AX822-AY822)/MAX(1,ABS(AW822),ABS(AX822),ABS(AY822))</f>
        <v/>
      </c>
      <c r="BA822" s="37">
        <f>IF(OR(K822&gt;0,K823&gt;0),0,(AC823-(AC822+AF822-AQ822-AP822+AR822-AI822-AJ822-AM822))/MAX(1,ABS(AC822),ABS(AC823)))</f>
        <v/>
      </c>
      <c r="BB822" s="35">
        <f>(1+INDEX(DiscRateAnn,INT(A822/12)+1))^(1/12)-1</f>
        <v/>
      </c>
      <c r="BC822" s="31">
        <f>(1+BB822)^-A822</f>
        <v/>
      </c>
      <c r="BD822" s="34">
        <f>AW822*BC822</f>
        <v/>
      </c>
    </row>
    <row r="823">
      <c r="A823" s="27">
        <f>A822+1</f>
        <v/>
      </c>
      <c r="B823" s="28">
        <f>Duration0+A823</f>
        <v/>
      </c>
      <c r="C823" s="27">
        <f>INT(B823/12)</f>
        <v/>
      </c>
      <c r="D823" s="28">
        <f>AgeAtEntry+C823</f>
        <v/>
      </c>
      <c r="E823" s="29">
        <f>IF(PremiumType="SINGLE",IF(B823=0,PremiumPPInput,0),IF(B823&lt;12*PolicyTerm,PremiumPPInput,0))</f>
        <v/>
      </c>
      <c r="F823" s="30">
        <f>INDEX(MortRates,MATCH(MIN(D823,120),MortAges,0),MAX(MIN(C823,5),0)+1)</f>
        <v/>
      </c>
      <c r="G823" s="31">
        <f>1-(1-F823)^(1/12)</f>
        <v/>
      </c>
      <c r="H823" s="32">
        <f>MAX(LapseBase-LapseStep*C823,LapseFloor)</f>
        <v/>
      </c>
      <c r="I823" s="32">
        <f>IF(HasSurrCharge,INDEX(SurrRates,MIN(C823,SurrDurMax)+1,MATCH(SurrChargeID,SurrTypes,0)),0)</f>
        <v/>
      </c>
      <c r="J823" s="33">
        <f>N822-P822-O822</f>
        <v/>
      </c>
      <c r="K823" s="30">
        <f>IF(B823=12*PolicyTerm,J823,0)</f>
        <v/>
      </c>
      <c r="L823" s="33">
        <f>J823-K823</f>
        <v/>
      </c>
      <c r="M823" s="30">
        <f>IF(B823=0,PolicyCount,0)</f>
        <v/>
      </c>
      <c r="N823" s="33">
        <f>L823+M823</f>
        <v/>
      </c>
      <c r="O823" s="31">
        <f>N823*G823</f>
        <v/>
      </c>
      <c r="P823" s="33">
        <f>(N823-O823)*(1-(1-H823)^(1/12))</f>
        <v/>
      </c>
      <c r="Q823" s="34">
        <f>X822+Z822</f>
        <v/>
      </c>
      <c r="R823" s="29">
        <f>(1-LoadPremRate)*E823</f>
        <v/>
      </c>
      <c r="S823" s="34">
        <f>Q823+R823</f>
        <v/>
      </c>
      <c r="T823" s="29">
        <f>MaintFeeRateAnn/12*S823</f>
        <v/>
      </c>
      <c r="U823" s="29">
        <f>MAX(SumAssured-S823,0)</f>
        <v/>
      </c>
      <c r="V823" s="35">
        <f>CoiMultiple*G823</f>
        <v/>
      </c>
      <c r="W823" s="34">
        <f>V823*U823</f>
        <v/>
      </c>
      <c r="X823" s="34">
        <f>S823-T823-W823</f>
        <v/>
      </c>
      <c r="Y823" s="36">
        <f>EXP((Mu-0.5*Sigma^2)/12+Sigma*SQRT(1/12)*INDEX(NormRand,ScenID,A823+1))-1</f>
        <v/>
      </c>
      <c r="Z823" s="34">
        <f>Y823*X823</f>
        <v/>
      </c>
      <c r="AA823" s="34">
        <f>X823+0.5*Z823</f>
        <v/>
      </c>
      <c r="AB823" s="34">
        <f>Q823*J823</f>
        <v/>
      </c>
      <c r="AC823" s="34">
        <f>Q823*L823</f>
        <v/>
      </c>
      <c r="AD823" s="34">
        <f>S823*N823</f>
        <v/>
      </c>
      <c r="AE823" s="34">
        <f>E823*N823</f>
        <v/>
      </c>
      <c r="AF823" s="34">
        <f>R823*N823</f>
        <v/>
      </c>
      <c r="AG823" s="29">
        <f>MAX(SumAssured,AA823)</f>
        <v/>
      </c>
      <c r="AH823" s="34">
        <f>AG823*O823</f>
        <v/>
      </c>
      <c r="AI823" s="34">
        <f>AA823*O823</f>
        <v/>
      </c>
      <c r="AJ823" s="34">
        <f>AA823*P823</f>
        <v/>
      </c>
      <c r="AK823" s="34">
        <f>I823*AA823*P823</f>
        <v/>
      </c>
      <c r="AL823" s="34">
        <f>AJ823-AK823</f>
        <v/>
      </c>
      <c r="AM823" s="34">
        <f>Q823*K823</f>
        <v/>
      </c>
      <c r="AN823" s="34">
        <f>AH823+AL823+AM823</f>
        <v/>
      </c>
      <c r="AO823" s="34">
        <f>(AG823-AA823)*O823</f>
        <v/>
      </c>
      <c r="AP823" s="34">
        <f>W823*N823</f>
        <v/>
      </c>
      <c r="AQ823" s="34">
        <f>T823*N823</f>
        <v/>
      </c>
      <c r="AR823" s="34">
        <f>Z823*J824+0.5*Z823*(O823+P823)</f>
        <v/>
      </c>
      <c r="AS823" s="30">
        <f>(1+InflationRate)^(A823/12)</f>
        <v/>
      </c>
      <c r="AT823" s="29">
        <f>ExpenseAcq*M823+N823*ExpenseMaint/12*AS823</f>
        <v/>
      </c>
      <c r="AU823" s="29">
        <f>CommissionRate*AE823</f>
        <v/>
      </c>
      <c r="AV823" s="34">
        <f>AB824-AB823</f>
        <v/>
      </c>
      <c r="AW823" s="34">
        <f>AE823+AR823-AN823-AT823-AU823-AV823</f>
        <v/>
      </c>
      <c r="AX823" s="29">
        <f>LoadPremRate*E823*N823+AK823+AQ823-AU823-AT823</f>
        <v/>
      </c>
      <c r="AY823" s="34">
        <f>AP823-AO823</f>
        <v/>
      </c>
      <c r="AZ823" s="37">
        <f>(AW823-AX823-AY823)/MAX(1,ABS(AW823),ABS(AX823),ABS(AY823))</f>
        <v/>
      </c>
      <c r="BA823" s="37">
        <f>IF(OR(K823&gt;0,K824&gt;0),0,(AC824-(AC823+AF823-AQ823-AP823+AR823-AI823-AJ823-AM823))/MAX(1,ABS(AC823),ABS(AC824)))</f>
        <v/>
      </c>
      <c r="BB823" s="35">
        <f>(1+INDEX(DiscRateAnn,INT(A823/12)+1))^(1/12)-1</f>
        <v/>
      </c>
      <c r="BC823" s="31">
        <f>(1+BB823)^-A823</f>
        <v/>
      </c>
      <c r="BD823" s="34">
        <f>AW823*BC823</f>
        <v/>
      </c>
    </row>
    <row r="824">
      <c r="A824" s="27">
        <f>A823+1</f>
        <v/>
      </c>
      <c r="B824" s="28">
        <f>Duration0+A824</f>
        <v/>
      </c>
      <c r="C824" s="27">
        <f>INT(B824/12)</f>
        <v/>
      </c>
      <c r="D824" s="28">
        <f>AgeAtEntry+C824</f>
        <v/>
      </c>
      <c r="E824" s="29">
        <f>IF(PremiumType="SINGLE",IF(B824=0,PremiumPPInput,0),IF(B824&lt;12*PolicyTerm,PremiumPPInput,0))</f>
        <v/>
      </c>
      <c r="F824" s="30">
        <f>INDEX(MortRates,MATCH(MIN(D824,120),MortAges,0),MAX(MIN(C824,5),0)+1)</f>
        <v/>
      </c>
      <c r="G824" s="31">
        <f>1-(1-F824)^(1/12)</f>
        <v/>
      </c>
      <c r="H824" s="32">
        <f>MAX(LapseBase-LapseStep*C824,LapseFloor)</f>
        <v/>
      </c>
      <c r="I824" s="32">
        <f>IF(HasSurrCharge,INDEX(SurrRates,MIN(C824,SurrDurMax)+1,MATCH(SurrChargeID,SurrTypes,0)),0)</f>
        <v/>
      </c>
      <c r="J824" s="33">
        <f>N823-P823-O823</f>
        <v/>
      </c>
      <c r="K824" s="30">
        <f>IF(B824=12*PolicyTerm,J824,0)</f>
        <v/>
      </c>
      <c r="L824" s="33">
        <f>J824-K824</f>
        <v/>
      </c>
      <c r="M824" s="30">
        <f>IF(B824=0,PolicyCount,0)</f>
        <v/>
      </c>
      <c r="N824" s="33">
        <f>L824+M824</f>
        <v/>
      </c>
      <c r="O824" s="31">
        <f>N824*G824</f>
        <v/>
      </c>
      <c r="P824" s="33">
        <f>(N824-O824)*(1-(1-H824)^(1/12))</f>
        <v/>
      </c>
      <c r="Q824" s="34">
        <f>X823+Z823</f>
        <v/>
      </c>
      <c r="R824" s="29">
        <f>(1-LoadPremRate)*E824</f>
        <v/>
      </c>
      <c r="S824" s="34">
        <f>Q824+R824</f>
        <v/>
      </c>
      <c r="T824" s="29">
        <f>MaintFeeRateAnn/12*S824</f>
        <v/>
      </c>
      <c r="U824" s="29">
        <f>MAX(SumAssured-S824,0)</f>
        <v/>
      </c>
      <c r="V824" s="35">
        <f>CoiMultiple*G824</f>
        <v/>
      </c>
      <c r="W824" s="34">
        <f>V824*U824</f>
        <v/>
      </c>
      <c r="X824" s="34">
        <f>S824-T824-W824</f>
        <v/>
      </c>
      <c r="Y824" s="36">
        <f>EXP((Mu-0.5*Sigma^2)/12+Sigma*SQRT(1/12)*INDEX(NormRand,ScenID,A824+1))-1</f>
        <v/>
      </c>
      <c r="Z824" s="34">
        <f>Y824*X824</f>
        <v/>
      </c>
      <c r="AA824" s="34">
        <f>X824+0.5*Z824</f>
        <v/>
      </c>
      <c r="AB824" s="34">
        <f>Q824*J824</f>
        <v/>
      </c>
      <c r="AC824" s="34">
        <f>Q824*L824</f>
        <v/>
      </c>
      <c r="AD824" s="34">
        <f>S824*N824</f>
        <v/>
      </c>
      <c r="AE824" s="34">
        <f>E824*N824</f>
        <v/>
      </c>
      <c r="AF824" s="34">
        <f>R824*N824</f>
        <v/>
      </c>
      <c r="AG824" s="29">
        <f>MAX(SumAssured,AA824)</f>
        <v/>
      </c>
      <c r="AH824" s="34">
        <f>AG824*O824</f>
        <v/>
      </c>
      <c r="AI824" s="34">
        <f>AA824*O824</f>
        <v/>
      </c>
      <c r="AJ824" s="34">
        <f>AA824*P824</f>
        <v/>
      </c>
      <c r="AK824" s="34">
        <f>I824*AA824*P824</f>
        <v/>
      </c>
      <c r="AL824" s="34">
        <f>AJ824-AK824</f>
        <v/>
      </c>
      <c r="AM824" s="34">
        <f>Q824*K824</f>
        <v/>
      </c>
      <c r="AN824" s="34">
        <f>AH824+AL824+AM824</f>
        <v/>
      </c>
      <c r="AO824" s="34">
        <f>(AG824-AA824)*O824</f>
        <v/>
      </c>
      <c r="AP824" s="34">
        <f>W824*N824</f>
        <v/>
      </c>
      <c r="AQ824" s="34">
        <f>T824*N824</f>
        <v/>
      </c>
      <c r="AR824" s="34">
        <f>Z824*J825+0.5*Z824*(O824+P824)</f>
        <v/>
      </c>
      <c r="AS824" s="30">
        <f>(1+InflationRate)^(A824/12)</f>
        <v/>
      </c>
      <c r="AT824" s="29">
        <f>ExpenseAcq*M824+N824*ExpenseMaint/12*AS824</f>
        <v/>
      </c>
      <c r="AU824" s="29">
        <f>CommissionRate*AE824</f>
        <v/>
      </c>
      <c r="AV824" s="34">
        <f>AB825-AB824</f>
        <v/>
      </c>
      <c r="AW824" s="34">
        <f>AE824+AR824-AN824-AT824-AU824-AV824</f>
        <v/>
      </c>
      <c r="AX824" s="29">
        <f>LoadPremRate*E824*N824+AK824+AQ824-AU824-AT824</f>
        <v/>
      </c>
      <c r="AY824" s="34">
        <f>AP824-AO824</f>
        <v/>
      </c>
      <c r="AZ824" s="37">
        <f>(AW824-AX824-AY824)/MAX(1,ABS(AW824),ABS(AX824),ABS(AY824))</f>
        <v/>
      </c>
      <c r="BA824" s="37">
        <f>IF(OR(K824&gt;0,K825&gt;0),0,(AC825-(AC824+AF824-AQ824-AP824+AR824-AI824-AJ824-AM824))/MAX(1,ABS(AC824),ABS(AC825)))</f>
        <v/>
      </c>
      <c r="BB824" s="35">
        <f>(1+INDEX(DiscRateAnn,INT(A824/12)+1))^(1/12)-1</f>
        <v/>
      </c>
      <c r="BC824" s="31">
        <f>(1+BB824)^-A824</f>
        <v/>
      </c>
      <c r="BD824" s="34">
        <f>AW824*BC824</f>
        <v/>
      </c>
    </row>
    <row r="825">
      <c r="A825" s="27">
        <f>A824+1</f>
        <v/>
      </c>
      <c r="B825" s="28">
        <f>Duration0+A825</f>
        <v/>
      </c>
      <c r="C825" s="27">
        <f>INT(B825/12)</f>
        <v/>
      </c>
      <c r="D825" s="28">
        <f>AgeAtEntry+C825</f>
        <v/>
      </c>
      <c r="E825" s="29">
        <f>IF(PremiumType="SINGLE",IF(B825=0,PremiumPPInput,0),IF(B825&lt;12*PolicyTerm,PremiumPPInput,0))</f>
        <v/>
      </c>
      <c r="F825" s="30">
        <f>INDEX(MortRates,MATCH(MIN(D825,120),MortAges,0),MAX(MIN(C825,5),0)+1)</f>
        <v/>
      </c>
      <c r="G825" s="31">
        <f>1-(1-F825)^(1/12)</f>
        <v/>
      </c>
      <c r="H825" s="32">
        <f>MAX(LapseBase-LapseStep*C825,LapseFloor)</f>
        <v/>
      </c>
      <c r="I825" s="32">
        <f>IF(HasSurrCharge,INDEX(SurrRates,MIN(C825,SurrDurMax)+1,MATCH(SurrChargeID,SurrTypes,0)),0)</f>
        <v/>
      </c>
      <c r="J825" s="33">
        <f>N824-P824-O824</f>
        <v/>
      </c>
      <c r="K825" s="30">
        <f>IF(B825=12*PolicyTerm,J825,0)</f>
        <v/>
      </c>
      <c r="L825" s="33">
        <f>J825-K825</f>
        <v/>
      </c>
      <c r="M825" s="30">
        <f>IF(B825=0,PolicyCount,0)</f>
        <v/>
      </c>
      <c r="N825" s="33">
        <f>L825+M825</f>
        <v/>
      </c>
      <c r="O825" s="31">
        <f>N825*G825</f>
        <v/>
      </c>
      <c r="P825" s="33">
        <f>(N825-O825)*(1-(1-H825)^(1/12))</f>
        <v/>
      </c>
      <c r="Q825" s="34">
        <f>X824+Z824</f>
        <v/>
      </c>
      <c r="R825" s="29">
        <f>(1-LoadPremRate)*E825</f>
        <v/>
      </c>
      <c r="S825" s="34">
        <f>Q825+R825</f>
        <v/>
      </c>
      <c r="T825" s="29">
        <f>MaintFeeRateAnn/12*S825</f>
        <v/>
      </c>
      <c r="U825" s="29">
        <f>MAX(SumAssured-S825,0)</f>
        <v/>
      </c>
      <c r="V825" s="35">
        <f>CoiMultiple*G825</f>
        <v/>
      </c>
      <c r="W825" s="34">
        <f>V825*U825</f>
        <v/>
      </c>
      <c r="X825" s="34">
        <f>S825-T825-W825</f>
        <v/>
      </c>
      <c r="Y825" s="36">
        <f>EXP((Mu-0.5*Sigma^2)/12+Sigma*SQRT(1/12)*INDEX(NormRand,ScenID,A825+1))-1</f>
        <v/>
      </c>
      <c r="Z825" s="34">
        <f>Y825*X825</f>
        <v/>
      </c>
      <c r="AA825" s="34">
        <f>X825+0.5*Z825</f>
        <v/>
      </c>
      <c r="AB825" s="34">
        <f>Q825*J825</f>
        <v/>
      </c>
      <c r="AC825" s="34">
        <f>Q825*L825</f>
        <v/>
      </c>
      <c r="AD825" s="34">
        <f>S825*N825</f>
        <v/>
      </c>
      <c r="AE825" s="34">
        <f>E825*N825</f>
        <v/>
      </c>
      <c r="AF825" s="34">
        <f>R825*N825</f>
        <v/>
      </c>
      <c r="AG825" s="29">
        <f>MAX(SumAssured,AA825)</f>
        <v/>
      </c>
      <c r="AH825" s="34">
        <f>AG825*O825</f>
        <v/>
      </c>
      <c r="AI825" s="34">
        <f>AA825*O825</f>
        <v/>
      </c>
      <c r="AJ825" s="34">
        <f>AA825*P825</f>
        <v/>
      </c>
      <c r="AK825" s="34">
        <f>I825*AA825*P825</f>
        <v/>
      </c>
      <c r="AL825" s="34">
        <f>AJ825-AK825</f>
        <v/>
      </c>
      <c r="AM825" s="34">
        <f>Q825*K825</f>
        <v/>
      </c>
      <c r="AN825" s="34">
        <f>AH825+AL825+AM825</f>
        <v/>
      </c>
      <c r="AO825" s="34">
        <f>(AG825-AA825)*O825</f>
        <v/>
      </c>
      <c r="AP825" s="34">
        <f>W825*N825</f>
        <v/>
      </c>
      <c r="AQ825" s="34">
        <f>T825*N825</f>
        <v/>
      </c>
      <c r="AR825" s="34">
        <f>Z825*J826+0.5*Z825*(O825+P825)</f>
        <v/>
      </c>
      <c r="AS825" s="30">
        <f>(1+InflationRate)^(A825/12)</f>
        <v/>
      </c>
      <c r="AT825" s="29">
        <f>ExpenseAcq*M825+N825*ExpenseMaint/12*AS825</f>
        <v/>
      </c>
      <c r="AU825" s="29">
        <f>CommissionRate*AE825</f>
        <v/>
      </c>
      <c r="AV825" s="34">
        <f>AB826-AB825</f>
        <v/>
      </c>
      <c r="AW825" s="34">
        <f>AE825+AR825-AN825-AT825-AU825-AV825</f>
        <v/>
      </c>
      <c r="AX825" s="29">
        <f>LoadPremRate*E825*N825+AK825+AQ825-AU825-AT825</f>
        <v/>
      </c>
      <c r="AY825" s="34">
        <f>AP825-AO825</f>
        <v/>
      </c>
      <c r="AZ825" s="37">
        <f>(AW825-AX825-AY825)/MAX(1,ABS(AW825),ABS(AX825),ABS(AY825))</f>
        <v/>
      </c>
      <c r="BA825" s="37">
        <f>IF(OR(K825&gt;0,K826&gt;0),0,(AC826-(AC825+AF825-AQ825-AP825+AR825-AI825-AJ825-AM825))/MAX(1,ABS(AC825),ABS(AC826)))</f>
        <v/>
      </c>
      <c r="BB825" s="35">
        <f>(1+INDEX(DiscRateAnn,INT(A825/12)+1))^(1/12)-1</f>
        <v/>
      </c>
      <c r="BC825" s="31">
        <f>(1+BB825)^-A825</f>
        <v/>
      </c>
      <c r="BD825" s="34">
        <f>AW825*BC825</f>
        <v/>
      </c>
    </row>
    <row r="826">
      <c r="A826" s="27">
        <f>A825+1</f>
        <v/>
      </c>
      <c r="B826" s="28">
        <f>Duration0+A826</f>
        <v/>
      </c>
      <c r="C826" s="27">
        <f>INT(B826/12)</f>
        <v/>
      </c>
      <c r="D826" s="28">
        <f>AgeAtEntry+C826</f>
        <v/>
      </c>
      <c r="E826" s="29">
        <f>IF(PremiumType="SINGLE",IF(B826=0,PremiumPPInput,0),IF(B826&lt;12*PolicyTerm,PremiumPPInput,0))</f>
        <v/>
      </c>
      <c r="F826" s="30">
        <f>INDEX(MortRates,MATCH(MIN(D826,120),MortAges,0),MAX(MIN(C826,5),0)+1)</f>
        <v/>
      </c>
      <c r="G826" s="31">
        <f>1-(1-F826)^(1/12)</f>
        <v/>
      </c>
      <c r="H826" s="32">
        <f>MAX(LapseBase-LapseStep*C826,LapseFloor)</f>
        <v/>
      </c>
      <c r="I826" s="32">
        <f>IF(HasSurrCharge,INDEX(SurrRates,MIN(C826,SurrDurMax)+1,MATCH(SurrChargeID,SurrTypes,0)),0)</f>
        <v/>
      </c>
      <c r="J826" s="33">
        <f>N825-P825-O825</f>
        <v/>
      </c>
      <c r="K826" s="30">
        <f>IF(B826=12*PolicyTerm,J826,0)</f>
        <v/>
      </c>
      <c r="L826" s="33">
        <f>J826-K826</f>
        <v/>
      </c>
      <c r="M826" s="30">
        <f>IF(B826=0,PolicyCount,0)</f>
        <v/>
      </c>
      <c r="N826" s="33">
        <f>L826+M826</f>
        <v/>
      </c>
      <c r="O826" s="31">
        <f>N826*G826</f>
        <v/>
      </c>
      <c r="P826" s="33">
        <f>(N826-O826)*(1-(1-H826)^(1/12))</f>
        <v/>
      </c>
      <c r="Q826" s="34">
        <f>X825+Z825</f>
        <v/>
      </c>
      <c r="R826" s="29">
        <f>(1-LoadPremRate)*E826</f>
        <v/>
      </c>
      <c r="S826" s="34">
        <f>Q826+R826</f>
        <v/>
      </c>
      <c r="T826" s="29">
        <f>MaintFeeRateAnn/12*S826</f>
        <v/>
      </c>
      <c r="U826" s="29">
        <f>MAX(SumAssured-S826,0)</f>
        <v/>
      </c>
      <c r="V826" s="35">
        <f>CoiMultiple*G826</f>
        <v/>
      </c>
      <c r="W826" s="34">
        <f>V826*U826</f>
        <v/>
      </c>
      <c r="X826" s="34">
        <f>S826-T826-W826</f>
        <v/>
      </c>
      <c r="Y826" s="36">
        <f>EXP((Mu-0.5*Sigma^2)/12+Sigma*SQRT(1/12)*INDEX(NormRand,ScenID,A826+1))-1</f>
        <v/>
      </c>
      <c r="Z826" s="34">
        <f>Y826*X826</f>
        <v/>
      </c>
      <c r="AA826" s="34">
        <f>X826+0.5*Z826</f>
        <v/>
      </c>
      <c r="AB826" s="34">
        <f>Q826*J826</f>
        <v/>
      </c>
      <c r="AC826" s="34">
        <f>Q826*L826</f>
        <v/>
      </c>
      <c r="AD826" s="34">
        <f>S826*N826</f>
        <v/>
      </c>
      <c r="AE826" s="34">
        <f>E826*N826</f>
        <v/>
      </c>
      <c r="AF826" s="34">
        <f>R826*N826</f>
        <v/>
      </c>
      <c r="AG826" s="29">
        <f>MAX(SumAssured,AA826)</f>
        <v/>
      </c>
      <c r="AH826" s="34">
        <f>AG826*O826</f>
        <v/>
      </c>
      <c r="AI826" s="34">
        <f>AA826*O826</f>
        <v/>
      </c>
      <c r="AJ826" s="34">
        <f>AA826*P826</f>
        <v/>
      </c>
      <c r="AK826" s="34">
        <f>I826*AA826*P826</f>
        <v/>
      </c>
      <c r="AL826" s="34">
        <f>AJ826-AK826</f>
        <v/>
      </c>
      <c r="AM826" s="34">
        <f>Q826*K826</f>
        <v/>
      </c>
      <c r="AN826" s="34">
        <f>AH826+AL826+AM826</f>
        <v/>
      </c>
      <c r="AO826" s="34">
        <f>(AG826-AA826)*O826</f>
        <v/>
      </c>
      <c r="AP826" s="34">
        <f>W826*N826</f>
        <v/>
      </c>
      <c r="AQ826" s="34">
        <f>T826*N826</f>
        <v/>
      </c>
      <c r="AR826" s="34">
        <f>Z826*J827+0.5*Z826*(O826+P826)</f>
        <v/>
      </c>
      <c r="AS826" s="30">
        <f>(1+InflationRate)^(A826/12)</f>
        <v/>
      </c>
      <c r="AT826" s="29">
        <f>ExpenseAcq*M826+N826*ExpenseMaint/12*AS826</f>
        <v/>
      </c>
      <c r="AU826" s="29">
        <f>CommissionRate*AE826</f>
        <v/>
      </c>
      <c r="AV826" s="34">
        <f>AB827-AB826</f>
        <v/>
      </c>
      <c r="AW826" s="34">
        <f>AE826+AR826-AN826-AT826-AU826-AV826</f>
        <v/>
      </c>
      <c r="AX826" s="29">
        <f>LoadPremRate*E826*N826+AK826+AQ826-AU826-AT826</f>
        <v/>
      </c>
      <c r="AY826" s="34">
        <f>AP826-AO826</f>
        <v/>
      </c>
      <c r="AZ826" s="37">
        <f>(AW826-AX826-AY826)/MAX(1,ABS(AW826),ABS(AX826),ABS(AY826))</f>
        <v/>
      </c>
      <c r="BA826" s="37">
        <f>IF(OR(K826&gt;0,K827&gt;0),0,(AC827-(AC826+AF826-AQ826-AP826+AR826-AI826-AJ826-AM826))/MAX(1,ABS(AC826),ABS(AC827)))</f>
        <v/>
      </c>
      <c r="BB826" s="35">
        <f>(1+INDEX(DiscRateAnn,INT(A826/12)+1))^(1/12)-1</f>
        <v/>
      </c>
      <c r="BC826" s="31">
        <f>(1+BB826)^-A826</f>
        <v/>
      </c>
      <c r="BD826" s="34">
        <f>AW826*BC826</f>
        <v/>
      </c>
    </row>
    <row r="827">
      <c r="A827" s="27">
        <f>A826+1</f>
        <v/>
      </c>
      <c r="B827" s="28">
        <f>Duration0+A827</f>
        <v/>
      </c>
      <c r="C827" s="27">
        <f>INT(B827/12)</f>
        <v/>
      </c>
      <c r="D827" s="28">
        <f>AgeAtEntry+C827</f>
        <v/>
      </c>
      <c r="E827" s="29">
        <f>IF(PremiumType="SINGLE",IF(B827=0,PremiumPPInput,0),IF(B827&lt;12*PolicyTerm,PremiumPPInput,0))</f>
        <v/>
      </c>
      <c r="F827" s="30">
        <f>INDEX(MortRates,MATCH(MIN(D827,120),MortAges,0),MAX(MIN(C827,5),0)+1)</f>
        <v/>
      </c>
      <c r="G827" s="31">
        <f>1-(1-F827)^(1/12)</f>
        <v/>
      </c>
      <c r="H827" s="32">
        <f>MAX(LapseBase-LapseStep*C827,LapseFloor)</f>
        <v/>
      </c>
      <c r="I827" s="32">
        <f>IF(HasSurrCharge,INDEX(SurrRates,MIN(C827,SurrDurMax)+1,MATCH(SurrChargeID,SurrTypes,0)),0)</f>
        <v/>
      </c>
      <c r="J827" s="33">
        <f>N826-P826-O826</f>
        <v/>
      </c>
      <c r="K827" s="30">
        <f>IF(B827=12*PolicyTerm,J827,0)</f>
        <v/>
      </c>
      <c r="L827" s="33">
        <f>J827-K827</f>
        <v/>
      </c>
      <c r="M827" s="30">
        <f>IF(B827=0,PolicyCount,0)</f>
        <v/>
      </c>
      <c r="N827" s="33">
        <f>L827+M827</f>
        <v/>
      </c>
      <c r="O827" s="31">
        <f>N827*G827</f>
        <v/>
      </c>
      <c r="P827" s="33">
        <f>(N827-O827)*(1-(1-H827)^(1/12))</f>
        <v/>
      </c>
      <c r="Q827" s="34">
        <f>X826+Z826</f>
        <v/>
      </c>
      <c r="R827" s="29">
        <f>(1-LoadPremRate)*E827</f>
        <v/>
      </c>
      <c r="S827" s="34">
        <f>Q827+R827</f>
        <v/>
      </c>
      <c r="T827" s="29">
        <f>MaintFeeRateAnn/12*S827</f>
        <v/>
      </c>
      <c r="U827" s="29">
        <f>MAX(SumAssured-S827,0)</f>
        <v/>
      </c>
      <c r="V827" s="35">
        <f>CoiMultiple*G827</f>
        <v/>
      </c>
      <c r="W827" s="34">
        <f>V827*U827</f>
        <v/>
      </c>
      <c r="X827" s="34">
        <f>S827-T827-W827</f>
        <v/>
      </c>
      <c r="Y827" s="36">
        <f>EXP((Mu-0.5*Sigma^2)/12+Sigma*SQRT(1/12)*INDEX(NormRand,ScenID,A827+1))-1</f>
        <v/>
      </c>
      <c r="Z827" s="34">
        <f>Y827*X827</f>
        <v/>
      </c>
      <c r="AA827" s="34">
        <f>X827+0.5*Z827</f>
        <v/>
      </c>
      <c r="AB827" s="34">
        <f>Q827*J827</f>
        <v/>
      </c>
      <c r="AC827" s="34">
        <f>Q827*L827</f>
        <v/>
      </c>
      <c r="AD827" s="34">
        <f>S827*N827</f>
        <v/>
      </c>
      <c r="AE827" s="34">
        <f>E827*N827</f>
        <v/>
      </c>
      <c r="AF827" s="34">
        <f>R827*N827</f>
        <v/>
      </c>
      <c r="AG827" s="29">
        <f>MAX(SumAssured,AA827)</f>
        <v/>
      </c>
      <c r="AH827" s="34">
        <f>AG827*O827</f>
        <v/>
      </c>
      <c r="AI827" s="34">
        <f>AA827*O827</f>
        <v/>
      </c>
      <c r="AJ827" s="34">
        <f>AA827*P827</f>
        <v/>
      </c>
      <c r="AK827" s="34">
        <f>I827*AA827*P827</f>
        <v/>
      </c>
      <c r="AL827" s="34">
        <f>AJ827-AK827</f>
        <v/>
      </c>
      <c r="AM827" s="34">
        <f>Q827*K827</f>
        <v/>
      </c>
      <c r="AN827" s="34">
        <f>AH827+AL827+AM827</f>
        <v/>
      </c>
      <c r="AO827" s="34">
        <f>(AG827-AA827)*O827</f>
        <v/>
      </c>
      <c r="AP827" s="34">
        <f>W827*N827</f>
        <v/>
      </c>
      <c r="AQ827" s="34">
        <f>T827*N827</f>
        <v/>
      </c>
      <c r="AR827" s="34">
        <f>Z827*J828+0.5*Z827*(O827+P827)</f>
        <v/>
      </c>
      <c r="AS827" s="30">
        <f>(1+InflationRate)^(A827/12)</f>
        <v/>
      </c>
      <c r="AT827" s="29">
        <f>ExpenseAcq*M827+N827*ExpenseMaint/12*AS827</f>
        <v/>
      </c>
      <c r="AU827" s="29">
        <f>CommissionRate*AE827</f>
        <v/>
      </c>
      <c r="AV827" s="34">
        <f>AB828-AB827</f>
        <v/>
      </c>
      <c r="AW827" s="34">
        <f>AE827+AR827-AN827-AT827-AU827-AV827</f>
        <v/>
      </c>
      <c r="AX827" s="29">
        <f>LoadPremRate*E827*N827+AK827+AQ827-AU827-AT827</f>
        <v/>
      </c>
      <c r="AY827" s="34">
        <f>AP827-AO827</f>
        <v/>
      </c>
      <c r="AZ827" s="37">
        <f>(AW827-AX827-AY827)/MAX(1,ABS(AW827),ABS(AX827),ABS(AY827))</f>
        <v/>
      </c>
      <c r="BA827" s="37">
        <f>IF(OR(K827&gt;0,K828&gt;0),0,(AC828-(AC827+AF827-AQ827-AP827+AR827-AI827-AJ827-AM827))/MAX(1,ABS(AC827),ABS(AC828)))</f>
        <v/>
      </c>
      <c r="BB827" s="35">
        <f>(1+INDEX(DiscRateAnn,INT(A827/12)+1))^(1/12)-1</f>
        <v/>
      </c>
      <c r="BC827" s="31">
        <f>(1+BB827)^-A827</f>
        <v/>
      </c>
      <c r="BD827" s="34">
        <f>AW827*BC827</f>
        <v/>
      </c>
    </row>
    <row r="828">
      <c r="A828" s="27">
        <f>A827+1</f>
        <v/>
      </c>
      <c r="B828" s="28">
        <f>Duration0+A828</f>
        <v/>
      </c>
      <c r="C828" s="27">
        <f>INT(B828/12)</f>
        <v/>
      </c>
      <c r="D828" s="28">
        <f>AgeAtEntry+C828</f>
        <v/>
      </c>
      <c r="E828" s="29">
        <f>IF(PremiumType="SINGLE",IF(B828=0,PremiumPPInput,0),IF(B828&lt;12*PolicyTerm,PremiumPPInput,0))</f>
        <v/>
      </c>
      <c r="F828" s="30">
        <f>INDEX(MortRates,MATCH(MIN(D828,120),MortAges,0),MAX(MIN(C828,5),0)+1)</f>
        <v/>
      </c>
      <c r="G828" s="31">
        <f>1-(1-F828)^(1/12)</f>
        <v/>
      </c>
      <c r="H828" s="32">
        <f>MAX(LapseBase-LapseStep*C828,LapseFloor)</f>
        <v/>
      </c>
      <c r="I828" s="32">
        <f>IF(HasSurrCharge,INDEX(SurrRates,MIN(C828,SurrDurMax)+1,MATCH(SurrChargeID,SurrTypes,0)),0)</f>
        <v/>
      </c>
      <c r="J828" s="33">
        <f>N827-P827-O827</f>
        <v/>
      </c>
      <c r="K828" s="30">
        <f>IF(B828=12*PolicyTerm,J828,0)</f>
        <v/>
      </c>
      <c r="L828" s="33">
        <f>J828-K828</f>
        <v/>
      </c>
      <c r="M828" s="30">
        <f>IF(B828=0,PolicyCount,0)</f>
        <v/>
      </c>
      <c r="N828" s="33">
        <f>L828+M828</f>
        <v/>
      </c>
      <c r="O828" s="31">
        <f>N828*G828</f>
        <v/>
      </c>
      <c r="P828" s="33">
        <f>(N828-O828)*(1-(1-H828)^(1/12))</f>
        <v/>
      </c>
      <c r="Q828" s="34">
        <f>X827+Z827</f>
        <v/>
      </c>
      <c r="R828" s="29">
        <f>(1-LoadPremRate)*E828</f>
        <v/>
      </c>
      <c r="S828" s="34">
        <f>Q828+R828</f>
        <v/>
      </c>
      <c r="T828" s="29">
        <f>MaintFeeRateAnn/12*S828</f>
        <v/>
      </c>
      <c r="U828" s="29">
        <f>MAX(SumAssured-S828,0)</f>
        <v/>
      </c>
      <c r="V828" s="35">
        <f>CoiMultiple*G828</f>
        <v/>
      </c>
      <c r="W828" s="34">
        <f>V828*U828</f>
        <v/>
      </c>
      <c r="X828" s="34">
        <f>S828-T828-W828</f>
        <v/>
      </c>
      <c r="Y828" s="36">
        <f>EXP((Mu-0.5*Sigma^2)/12+Sigma*SQRT(1/12)*INDEX(NormRand,ScenID,A828+1))-1</f>
        <v/>
      </c>
      <c r="Z828" s="34">
        <f>Y828*X828</f>
        <v/>
      </c>
      <c r="AA828" s="34">
        <f>X828+0.5*Z828</f>
        <v/>
      </c>
      <c r="AB828" s="34">
        <f>Q828*J828</f>
        <v/>
      </c>
      <c r="AC828" s="34">
        <f>Q828*L828</f>
        <v/>
      </c>
      <c r="AD828" s="34">
        <f>S828*N828</f>
        <v/>
      </c>
      <c r="AE828" s="34">
        <f>E828*N828</f>
        <v/>
      </c>
      <c r="AF828" s="34">
        <f>R828*N828</f>
        <v/>
      </c>
      <c r="AG828" s="29">
        <f>MAX(SumAssured,AA828)</f>
        <v/>
      </c>
      <c r="AH828" s="34">
        <f>AG828*O828</f>
        <v/>
      </c>
      <c r="AI828" s="34">
        <f>AA828*O828</f>
        <v/>
      </c>
      <c r="AJ828" s="34">
        <f>AA828*P828</f>
        <v/>
      </c>
      <c r="AK828" s="34">
        <f>I828*AA828*P828</f>
        <v/>
      </c>
      <c r="AL828" s="34">
        <f>AJ828-AK828</f>
        <v/>
      </c>
      <c r="AM828" s="34">
        <f>Q828*K828</f>
        <v/>
      </c>
      <c r="AN828" s="34">
        <f>AH828+AL828+AM828</f>
        <v/>
      </c>
      <c r="AO828" s="34">
        <f>(AG828-AA828)*O828</f>
        <v/>
      </c>
      <c r="AP828" s="34">
        <f>W828*N828</f>
        <v/>
      </c>
      <c r="AQ828" s="34">
        <f>T828*N828</f>
        <v/>
      </c>
      <c r="AR828" s="34">
        <f>Z828*J829+0.5*Z828*(O828+P828)</f>
        <v/>
      </c>
      <c r="AS828" s="30">
        <f>(1+InflationRate)^(A828/12)</f>
        <v/>
      </c>
      <c r="AT828" s="29">
        <f>ExpenseAcq*M828+N828*ExpenseMaint/12*AS828</f>
        <v/>
      </c>
      <c r="AU828" s="29">
        <f>CommissionRate*AE828</f>
        <v/>
      </c>
      <c r="AV828" s="34">
        <f>AB829-AB828</f>
        <v/>
      </c>
      <c r="AW828" s="34">
        <f>AE828+AR828-AN828-AT828-AU828-AV828</f>
        <v/>
      </c>
      <c r="AX828" s="29">
        <f>LoadPremRate*E828*N828+AK828+AQ828-AU828-AT828</f>
        <v/>
      </c>
      <c r="AY828" s="34">
        <f>AP828-AO828</f>
        <v/>
      </c>
      <c r="AZ828" s="37">
        <f>(AW828-AX828-AY828)/MAX(1,ABS(AW828),ABS(AX828),ABS(AY828))</f>
        <v/>
      </c>
      <c r="BA828" s="37">
        <f>IF(OR(K828&gt;0,K829&gt;0),0,(AC829-(AC828+AF828-AQ828-AP828+AR828-AI828-AJ828-AM828))/MAX(1,ABS(AC828),ABS(AC829)))</f>
        <v/>
      </c>
      <c r="BB828" s="35">
        <f>(1+INDEX(DiscRateAnn,INT(A828/12)+1))^(1/12)-1</f>
        <v/>
      </c>
      <c r="BC828" s="31">
        <f>(1+BB828)^-A828</f>
        <v/>
      </c>
      <c r="BD828" s="34">
        <f>AW828*BC828</f>
        <v/>
      </c>
    </row>
    <row r="829">
      <c r="A829" s="27">
        <f>A828+1</f>
        <v/>
      </c>
      <c r="B829" s="28">
        <f>Duration0+A829</f>
        <v/>
      </c>
      <c r="C829" s="27">
        <f>INT(B829/12)</f>
        <v/>
      </c>
      <c r="D829" s="28">
        <f>AgeAtEntry+C829</f>
        <v/>
      </c>
      <c r="E829" s="29">
        <f>IF(PremiumType="SINGLE",IF(B829=0,PremiumPPInput,0),IF(B829&lt;12*PolicyTerm,PremiumPPInput,0))</f>
        <v/>
      </c>
      <c r="F829" s="30">
        <f>INDEX(MortRates,MATCH(MIN(D829,120),MortAges,0),MAX(MIN(C829,5),0)+1)</f>
        <v/>
      </c>
      <c r="G829" s="31">
        <f>1-(1-F829)^(1/12)</f>
        <v/>
      </c>
      <c r="H829" s="32">
        <f>MAX(LapseBase-LapseStep*C829,LapseFloor)</f>
        <v/>
      </c>
      <c r="I829" s="32">
        <f>IF(HasSurrCharge,INDEX(SurrRates,MIN(C829,SurrDurMax)+1,MATCH(SurrChargeID,SurrTypes,0)),0)</f>
        <v/>
      </c>
      <c r="J829" s="33">
        <f>N828-P828-O828</f>
        <v/>
      </c>
      <c r="K829" s="30">
        <f>IF(B829=12*PolicyTerm,J829,0)</f>
        <v/>
      </c>
      <c r="L829" s="33">
        <f>J829-K829</f>
        <v/>
      </c>
      <c r="M829" s="30">
        <f>IF(B829=0,PolicyCount,0)</f>
        <v/>
      </c>
      <c r="N829" s="33">
        <f>L829+M829</f>
        <v/>
      </c>
      <c r="O829" s="31">
        <f>N829*G829</f>
        <v/>
      </c>
      <c r="P829" s="33">
        <f>(N829-O829)*(1-(1-H829)^(1/12))</f>
        <v/>
      </c>
      <c r="Q829" s="34">
        <f>X828+Z828</f>
        <v/>
      </c>
      <c r="R829" s="29">
        <f>(1-LoadPremRate)*E829</f>
        <v/>
      </c>
      <c r="S829" s="34">
        <f>Q829+R829</f>
        <v/>
      </c>
      <c r="T829" s="29">
        <f>MaintFeeRateAnn/12*S829</f>
        <v/>
      </c>
      <c r="U829" s="29">
        <f>MAX(SumAssured-S829,0)</f>
        <v/>
      </c>
      <c r="V829" s="35">
        <f>CoiMultiple*G829</f>
        <v/>
      </c>
      <c r="W829" s="34">
        <f>V829*U829</f>
        <v/>
      </c>
      <c r="X829" s="34">
        <f>S829-T829-W829</f>
        <v/>
      </c>
      <c r="Y829" s="36">
        <f>EXP((Mu-0.5*Sigma^2)/12+Sigma*SQRT(1/12)*INDEX(NormRand,ScenID,A829+1))-1</f>
        <v/>
      </c>
      <c r="Z829" s="34">
        <f>Y829*X829</f>
        <v/>
      </c>
      <c r="AA829" s="34">
        <f>X829+0.5*Z829</f>
        <v/>
      </c>
      <c r="AB829" s="34">
        <f>Q829*J829</f>
        <v/>
      </c>
      <c r="AC829" s="34">
        <f>Q829*L829</f>
        <v/>
      </c>
      <c r="AD829" s="34">
        <f>S829*N829</f>
        <v/>
      </c>
      <c r="AE829" s="34">
        <f>E829*N829</f>
        <v/>
      </c>
      <c r="AF829" s="34">
        <f>R829*N829</f>
        <v/>
      </c>
      <c r="AG829" s="29">
        <f>MAX(SumAssured,AA829)</f>
        <v/>
      </c>
      <c r="AH829" s="34">
        <f>AG829*O829</f>
        <v/>
      </c>
      <c r="AI829" s="34">
        <f>AA829*O829</f>
        <v/>
      </c>
      <c r="AJ829" s="34">
        <f>AA829*P829</f>
        <v/>
      </c>
      <c r="AK829" s="34">
        <f>I829*AA829*P829</f>
        <v/>
      </c>
      <c r="AL829" s="34">
        <f>AJ829-AK829</f>
        <v/>
      </c>
      <c r="AM829" s="34">
        <f>Q829*K829</f>
        <v/>
      </c>
      <c r="AN829" s="34">
        <f>AH829+AL829+AM829</f>
        <v/>
      </c>
      <c r="AO829" s="34">
        <f>(AG829-AA829)*O829</f>
        <v/>
      </c>
      <c r="AP829" s="34">
        <f>W829*N829</f>
        <v/>
      </c>
      <c r="AQ829" s="34">
        <f>T829*N829</f>
        <v/>
      </c>
      <c r="AR829" s="34">
        <f>Z829*J830+0.5*Z829*(O829+P829)</f>
        <v/>
      </c>
      <c r="AS829" s="30">
        <f>(1+InflationRate)^(A829/12)</f>
        <v/>
      </c>
      <c r="AT829" s="29">
        <f>ExpenseAcq*M829+N829*ExpenseMaint/12*AS829</f>
        <v/>
      </c>
      <c r="AU829" s="29">
        <f>CommissionRate*AE829</f>
        <v/>
      </c>
      <c r="AV829" s="34">
        <f>AB830-AB829</f>
        <v/>
      </c>
      <c r="AW829" s="34">
        <f>AE829+AR829-AN829-AT829-AU829-AV829</f>
        <v/>
      </c>
      <c r="AX829" s="29">
        <f>LoadPremRate*E829*N829+AK829+AQ829-AU829-AT829</f>
        <v/>
      </c>
      <c r="AY829" s="34">
        <f>AP829-AO829</f>
        <v/>
      </c>
      <c r="AZ829" s="37">
        <f>(AW829-AX829-AY829)/MAX(1,ABS(AW829),ABS(AX829),ABS(AY829))</f>
        <v/>
      </c>
      <c r="BA829" s="37">
        <f>IF(OR(K829&gt;0,K830&gt;0),0,(AC830-(AC829+AF829-AQ829-AP829+AR829-AI829-AJ829-AM829))/MAX(1,ABS(AC829),ABS(AC830)))</f>
        <v/>
      </c>
      <c r="BB829" s="35">
        <f>(1+INDEX(DiscRateAnn,INT(A829/12)+1))^(1/12)-1</f>
        <v/>
      </c>
      <c r="BC829" s="31">
        <f>(1+BB829)^-A829</f>
        <v/>
      </c>
      <c r="BD829" s="34">
        <f>AW829*BC829</f>
        <v/>
      </c>
    </row>
    <row r="830">
      <c r="A830" s="27">
        <f>A829+1</f>
        <v/>
      </c>
      <c r="B830" s="28">
        <f>Duration0+A830</f>
        <v/>
      </c>
      <c r="C830" s="27">
        <f>INT(B830/12)</f>
        <v/>
      </c>
      <c r="D830" s="28">
        <f>AgeAtEntry+C830</f>
        <v/>
      </c>
      <c r="E830" s="29">
        <f>IF(PremiumType="SINGLE",IF(B830=0,PremiumPPInput,0),IF(B830&lt;12*PolicyTerm,PremiumPPInput,0))</f>
        <v/>
      </c>
      <c r="F830" s="30">
        <f>INDEX(MortRates,MATCH(MIN(D830,120),MortAges,0),MAX(MIN(C830,5),0)+1)</f>
        <v/>
      </c>
      <c r="G830" s="31">
        <f>1-(1-F830)^(1/12)</f>
        <v/>
      </c>
      <c r="H830" s="32">
        <f>MAX(LapseBase-LapseStep*C830,LapseFloor)</f>
        <v/>
      </c>
      <c r="I830" s="32">
        <f>IF(HasSurrCharge,INDEX(SurrRates,MIN(C830,SurrDurMax)+1,MATCH(SurrChargeID,SurrTypes,0)),0)</f>
        <v/>
      </c>
      <c r="J830" s="33">
        <f>N829-P829-O829</f>
        <v/>
      </c>
      <c r="K830" s="30">
        <f>IF(B830=12*PolicyTerm,J830,0)</f>
        <v/>
      </c>
      <c r="L830" s="33">
        <f>J830-K830</f>
        <v/>
      </c>
      <c r="M830" s="30">
        <f>IF(B830=0,PolicyCount,0)</f>
        <v/>
      </c>
      <c r="N830" s="33">
        <f>L830+M830</f>
        <v/>
      </c>
      <c r="O830" s="31">
        <f>N830*G830</f>
        <v/>
      </c>
      <c r="P830" s="33">
        <f>(N830-O830)*(1-(1-H830)^(1/12))</f>
        <v/>
      </c>
      <c r="Q830" s="34">
        <f>X829+Z829</f>
        <v/>
      </c>
      <c r="R830" s="29">
        <f>(1-LoadPremRate)*E830</f>
        <v/>
      </c>
      <c r="S830" s="34">
        <f>Q830+R830</f>
        <v/>
      </c>
      <c r="T830" s="29">
        <f>MaintFeeRateAnn/12*S830</f>
        <v/>
      </c>
      <c r="U830" s="29">
        <f>MAX(SumAssured-S830,0)</f>
        <v/>
      </c>
      <c r="V830" s="35">
        <f>CoiMultiple*G830</f>
        <v/>
      </c>
      <c r="W830" s="34">
        <f>V830*U830</f>
        <v/>
      </c>
      <c r="X830" s="34">
        <f>S830-T830-W830</f>
        <v/>
      </c>
      <c r="Y830" s="36">
        <f>EXP((Mu-0.5*Sigma^2)/12+Sigma*SQRT(1/12)*INDEX(NormRand,ScenID,A830+1))-1</f>
        <v/>
      </c>
      <c r="Z830" s="34">
        <f>Y830*X830</f>
        <v/>
      </c>
      <c r="AA830" s="34">
        <f>X830+0.5*Z830</f>
        <v/>
      </c>
      <c r="AB830" s="34">
        <f>Q830*J830</f>
        <v/>
      </c>
      <c r="AC830" s="34">
        <f>Q830*L830</f>
        <v/>
      </c>
      <c r="AD830" s="34">
        <f>S830*N830</f>
        <v/>
      </c>
      <c r="AE830" s="34">
        <f>E830*N830</f>
        <v/>
      </c>
      <c r="AF830" s="34">
        <f>R830*N830</f>
        <v/>
      </c>
      <c r="AG830" s="29">
        <f>MAX(SumAssured,AA830)</f>
        <v/>
      </c>
      <c r="AH830" s="34">
        <f>AG830*O830</f>
        <v/>
      </c>
      <c r="AI830" s="34">
        <f>AA830*O830</f>
        <v/>
      </c>
      <c r="AJ830" s="34">
        <f>AA830*P830</f>
        <v/>
      </c>
      <c r="AK830" s="34">
        <f>I830*AA830*P830</f>
        <v/>
      </c>
      <c r="AL830" s="34">
        <f>AJ830-AK830</f>
        <v/>
      </c>
      <c r="AM830" s="34">
        <f>Q830*K830</f>
        <v/>
      </c>
      <c r="AN830" s="34">
        <f>AH830+AL830+AM830</f>
        <v/>
      </c>
      <c r="AO830" s="34">
        <f>(AG830-AA830)*O830</f>
        <v/>
      </c>
      <c r="AP830" s="34">
        <f>W830*N830</f>
        <v/>
      </c>
      <c r="AQ830" s="34">
        <f>T830*N830</f>
        <v/>
      </c>
      <c r="AR830" s="34">
        <f>Z830*J831+0.5*Z830*(O830+P830)</f>
        <v/>
      </c>
      <c r="AS830" s="30">
        <f>(1+InflationRate)^(A830/12)</f>
        <v/>
      </c>
      <c r="AT830" s="29">
        <f>ExpenseAcq*M830+N830*ExpenseMaint/12*AS830</f>
        <v/>
      </c>
      <c r="AU830" s="29">
        <f>CommissionRate*AE830</f>
        <v/>
      </c>
      <c r="AV830" s="34">
        <f>AB831-AB830</f>
        <v/>
      </c>
      <c r="AW830" s="34">
        <f>AE830+AR830-AN830-AT830-AU830-AV830</f>
        <v/>
      </c>
      <c r="AX830" s="29">
        <f>LoadPremRate*E830*N830+AK830+AQ830-AU830-AT830</f>
        <v/>
      </c>
      <c r="AY830" s="34">
        <f>AP830-AO830</f>
        <v/>
      </c>
      <c r="AZ830" s="37">
        <f>(AW830-AX830-AY830)/MAX(1,ABS(AW830),ABS(AX830),ABS(AY830))</f>
        <v/>
      </c>
      <c r="BA830" s="37">
        <f>IF(OR(K830&gt;0,K831&gt;0),0,(AC831-(AC830+AF830-AQ830-AP830+AR830-AI830-AJ830-AM830))/MAX(1,ABS(AC830),ABS(AC831)))</f>
        <v/>
      </c>
      <c r="BB830" s="35">
        <f>(1+INDEX(DiscRateAnn,INT(A830/12)+1))^(1/12)-1</f>
        <v/>
      </c>
      <c r="BC830" s="31">
        <f>(1+BB830)^-A830</f>
        <v/>
      </c>
      <c r="BD830" s="34">
        <f>AW830*BC830</f>
        <v/>
      </c>
    </row>
    <row r="831">
      <c r="A831" s="27">
        <f>A830+1</f>
        <v/>
      </c>
      <c r="B831" s="28">
        <f>Duration0+A831</f>
        <v/>
      </c>
      <c r="C831" s="27">
        <f>INT(B831/12)</f>
        <v/>
      </c>
      <c r="D831" s="28">
        <f>AgeAtEntry+C831</f>
        <v/>
      </c>
      <c r="E831" s="29">
        <f>IF(PremiumType="SINGLE",IF(B831=0,PremiumPPInput,0),IF(B831&lt;12*PolicyTerm,PremiumPPInput,0))</f>
        <v/>
      </c>
      <c r="F831" s="30">
        <f>INDEX(MortRates,MATCH(MIN(D831,120),MortAges,0),MAX(MIN(C831,5),0)+1)</f>
        <v/>
      </c>
      <c r="G831" s="31">
        <f>1-(1-F831)^(1/12)</f>
        <v/>
      </c>
      <c r="H831" s="32">
        <f>MAX(LapseBase-LapseStep*C831,LapseFloor)</f>
        <v/>
      </c>
      <c r="I831" s="32">
        <f>IF(HasSurrCharge,INDEX(SurrRates,MIN(C831,SurrDurMax)+1,MATCH(SurrChargeID,SurrTypes,0)),0)</f>
        <v/>
      </c>
      <c r="J831" s="33">
        <f>N830-P830-O830</f>
        <v/>
      </c>
      <c r="K831" s="30">
        <f>IF(B831=12*PolicyTerm,J831,0)</f>
        <v/>
      </c>
      <c r="L831" s="33">
        <f>J831-K831</f>
        <v/>
      </c>
      <c r="M831" s="30">
        <f>IF(B831=0,PolicyCount,0)</f>
        <v/>
      </c>
      <c r="N831" s="33">
        <f>L831+M831</f>
        <v/>
      </c>
      <c r="O831" s="31">
        <f>N831*G831</f>
        <v/>
      </c>
      <c r="P831" s="33">
        <f>(N831-O831)*(1-(1-H831)^(1/12))</f>
        <v/>
      </c>
      <c r="Q831" s="34">
        <f>X830+Z830</f>
        <v/>
      </c>
      <c r="R831" s="29">
        <f>(1-LoadPremRate)*E831</f>
        <v/>
      </c>
      <c r="S831" s="34">
        <f>Q831+R831</f>
        <v/>
      </c>
      <c r="T831" s="29">
        <f>MaintFeeRateAnn/12*S831</f>
        <v/>
      </c>
      <c r="U831" s="29">
        <f>MAX(SumAssured-S831,0)</f>
        <v/>
      </c>
      <c r="V831" s="35">
        <f>CoiMultiple*G831</f>
        <v/>
      </c>
      <c r="W831" s="34">
        <f>V831*U831</f>
        <v/>
      </c>
      <c r="X831" s="34">
        <f>S831-T831-W831</f>
        <v/>
      </c>
      <c r="Y831" s="36">
        <f>EXP((Mu-0.5*Sigma^2)/12+Sigma*SQRT(1/12)*INDEX(NormRand,ScenID,A831+1))-1</f>
        <v/>
      </c>
      <c r="Z831" s="34">
        <f>Y831*X831</f>
        <v/>
      </c>
      <c r="AA831" s="34">
        <f>X831+0.5*Z831</f>
        <v/>
      </c>
      <c r="AB831" s="34">
        <f>Q831*J831</f>
        <v/>
      </c>
      <c r="AC831" s="34">
        <f>Q831*L831</f>
        <v/>
      </c>
      <c r="AD831" s="34">
        <f>S831*N831</f>
        <v/>
      </c>
      <c r="AE831" s="34">
        <f>E831*N831</f>
        <v/>
      </c>
      <c r="AF831" s="34">
        <f>R831*N831</f>
        <v/>
      </c>
      <c r="AG831" s="29">
        <f>MAX(SumAssured,AA831)</f>
        <v/>
      </c>
      <c r="AH831" s="34">
        <f>AG831*O831</f>
        <v/>
      </c>
      <c r="AI831" s="34">
        <f>AA831*O831</f>
        <v/>
      </c>
      <c r="AJ831" s="34">
        <f>AA831*P831</f>
        <v/>
      </c>
      <c r="AK831" s="34">
        <f>I831*AA831*P831</f>
        <v/>
      </c>
      <c r="AL831" s="34">
        <f>AJ831-AK831</f>
        <v/>
      </c>
      <c r="AM831" s="34">
        <f>Q831*K831</f>
        <v/>
      </c>
      <c r="AN831" s="34">
        <f>AH831+AL831+AM831</f>
        <v/>
      </c>
      <c r="AO831" s="34">
        <f>(AG831-AA831)*O831</f>
        <v/>
      </c>
      <c r="AP831" s="34">
        <f>W831*N831</f>
        <v/>
      </c>
      <c r="AQ831" s="34">
        <f>T831*N831</f>
        <v/>
      </c>
      <c r="AR831" s="34">
        <f>Z831*J832+0.5*Z831*(O831+P831)</f>
        <v/>
      </c>
      <c r="AS831" s="30">
        <f>(1+InflationRate)^(A831/12)</f>
        <v/>
      </c>
      <c r="AT831" s="29">
        <f>ExpenseAcq*M831+N831*ExpenseMaint/12*AS831</f>
        <v/>
      </c>
      <c r="AU831" s="29">
        <f>CommissionRate*AE831</f>
        <v/>
      </c>
      <c r="AV831" s="34">
        <f>AB832-AB831</f>
        <v/>
      </c>
      <c r="AW831" s="34">
        <f>AE831+AR831-AN831-AT831-AU831-AV831</f>
        <v/>
      </c>
      <c r="AX831" s="29">
        <f>LoadPremRate*E831*N831+AK831+AQ831-AU831-AT831</f>
        <v/>
      </c>
      <c r="AY831" s="34">
        <f>AP831-AO831</f>
        <v/>
      </c>
      <c r="AZ831" s="37">
        <f>(AW831-AX831-AY831)/MAX(1,ABS(AW831),ABS(AX831),ABS(AY831))</f>
        <v/>
      </c>
      <c r="BA831" s="37">
        <f>IF(OR(K831&gt;0,K832&gt;0),0,(AC832-(AC831+AF831-AQ831-AP831+AR831-AI831-AJ831-AM831))/MAX(1,ABS(AC831),ABS(AC832)))</f>
        <v/>
      </c>
      <c r="BB831" s="35">
        <f>(1+INDEX(DiscRateAnn,INT(A831/12)+1))^(1/12)-1</f>
        <v/>
      </c>
      <c r="BC831" s="31">
        <f>(1+BB831)^-A831</f>
        <v/>
      </c>
      <c r="BD831" s="34">
        <f>AW831*BC831</f>
        <v/>
      </c>
    </row>
    <row r="832">
      <c r="A832" s="27">
        <f>A831+1</f>
        <v/>
      </c>
      <c r="B832" s="28">
        <f>Duration0+A832</f>
        <v/>
      </c>
      <c r="C832" s="27">
        <f>INT(B832/12)</f>
        <v/>
      </c>
      <c r="D832" s="28">
        <f>AgeAtEntry+C832</f>
        <v/>
      </c>
      <c r="E832" s="29">
        <f>IF(PremiumType="SINGLE",IF(B832=0,PremiumPPInput,0),IF(B832&lt;12*PolicyTerm,PremiumPPInput,0))</f>
        <v/>
      </c>
      <c r="F832" s="30">
        <f>INDEX(MortRates,MATCH(MIN(D832,120),MortAges,0),MAX(MIN(C832,5),0)+1)</f>
        <v/>
      </c>
      <c r="G832" s="31">
        <f>1-(1-F832)^(1/12)</f>
        <v/>
      </c>
      <c r="H832" s="32">
        <f>MAX(LapseBase-LapseStep*C832,LapseFloor)</f>
        <v/>
      </c>
      <c r="I832" s="32">
        <f>IF(HasSurrCharge,INDEX(SurrRates,MIN(C832,SurrDurMax)+1,MATCH(SurrChargeID,SurrTypes,0)),0)</f>
        <v/>
      </c>
      <c r="J832" s="33">
        <f>N831-P831-O831</f>
        <v/>
      </c>
      <c r="K832" s="30">
        <f>IF(B832=12*PolicyTerm,J832,0)</f>
        <v/>
      </c>
      <c r="L832" s="33">
        <f>J832-K832</f>
        <v/>
      </c>
      <c r="M832" s="30">
        <f>IF(B832=0,PolicyCount,0)</f>
        <v/>
      </c>
      <c r="N832" s="33">
        <f>L832+M832</f>
        <v/>
      </c>
      <c r="O832" s="31">
        <f>N832*G832</f>
        <v/>
      </c>
      <c r="P832" s="33">
        <f>(N832-O832)*(1-(1-H832)^(1/12))</f>
        <v/>
      </c>
      <c r="Q832" s="34">
        <f>X831+Z831</f>
        <v/>
      </c>
      <c r="R832" s="29">
        <f>(1-LoadPremRate)*E832</f>
        <v/>
      </c>
      <c r="S832" s="34">
        <f>Q832+R832</f>
        <v/>
      </c>
      <c r="T832" s="29">
        <f>MaintFeeRateAnn/12*S832</f>
        <v/>
      </c>
      <c r="U832" s="29">
        <f>MAX(SumAssured-S832,0)</f>
        <v/>
      </c>
      <c r="V832" s="35">
        <f>CoiMultiple*G832</f>
        <v/>
      </c>
      <c r="W832" s="34">
        <f>V832*U832</f>
        <v/>
      </c>
      <c r="X832" s="34">
        <f>S832-T832-W832</f>
        <v/>
      </c>
      <c r="Y832" s="36">
        <f>EXP((Mu-0.5*Sigma^2)/12+Sigma*SQRT(1/12)*INDEX(NormRand,ScenID,A832+1))-1</f>
        <v/>
      </c>
      <c r="Z832" s="34">
        <f>Y832*X832</f>
        <v/>
      </c>
      <c r="AA832" s="34">
        <f>X832+0.5*Z832</f>
        <v/>
      </c>
      <c r="AB832" s="34">
        <f>Q832*J832</f>
        <v/>
      </c>
      <c r="AC832" s="34">
        <f>Q832*L832</f>
        <v/>
      </c>
      <c r="AD832" s="34">
        <f>S832*N832</f>
        <v/>
      </c>
      <c r="AE832" s="34">
        <f>E832*N832</f>
        <v/>
      </c>
      <c r="AF832" s="34">
        <f>R832*N832</f>
        <v/>
      </c>
      <c r="AG832" s="29">
        <f>MAX(SumAssured,AA832)</f>
        <v/>
      </c>
      <c r="AH832" s="34">
        <f>AG832*O832</f>
        <v/>
      </c>
      <c r="AI832" s="34">
        <f>AA832*O832</f>
        <v/>
      </c>
      <c r="AJ832" s="34">
        <f>AA832*P832</f>
        <v/>
      </c>
      <c r="AK832" s="34">
        <f>I832*AA832*P832</f>
        <v/>
      </c>
      <c r="AL832" s="34">
        <f>AJ832-AK832</f>
        <v/>
      </c>
      <c r="AM832" s="34">
        <f>Q832*K832</f>
        <v/>
      </c>
      <c r="AN832" s="34">
        <f>AH832+AL832+AM832</f>
        <v/>
      </c>
      <c r="AO832" s="34">
        <f>(AG832-AA832)*O832</f>
        <v/>
      </c>
      <c r="AP832" s="34">
        <f>W832*N832</f>
        <v/>
      </c>
      <c r="AQ832" s="34">
        <f>T832*N832</f>
        <v/>
      </c>
      <c r="AR832" s="34">
        <f>Z832*J833+0.5*Z832*(O832+P832)</f>
        <v/>
      </c>
      <c r="AS832" s="30">
        <f>(1+InflationRate)^(A832/12)</f>
        <v/>
      </c>
      <c r="AT832" s="29">
        <f>ExpenseAcq*M832+N832*ExpenseMaint/12*AS832</f>
        <v/>
      </c>
      <c r="AU832" s="29">
        <f>CommissionRate*AE832</f>
        <v/>
      </c>
      <c r="AV832" s="34">
        <f>AB833-AB832</f>
        <v/>
      </c>
      <c r="AW832" s="34">
        <f>AE832+AR832-AN832-AT832-AU832-AV832</f>
        <v/>
      </c>
      <c r="AX832" s="29">
        <f>LoadPremRate*E832*N832+AK832+AQ832-AU832-AT832</f>
        <v/>
      </c>
      <c r="AY832" s="34">
        <f>AP832-AO832</f>
        <v/>
      </c>
      <c r="AZ832" s="37">
        <f>(AW832-AX832-AY832)/MAX(1,ABS(AW832),ABS(AX832),ABS(AY832))</f>
        <v/>
      </c>
      <c r="BA832" s="37">
        <f>IF(OR(K832&gt;0,K833&gt;0),0,(AC833-(AC832+AF832-AQ832-AP832+AR832-AI832-AJ832-AM832))/MAX(1,ABS(AC832),ABS(AC833)))</f>
        <v/>
      </c>
      <c r="BB832" s="35">
        <f>(1+INDEX(DiscRateAnn,INT(A832/12)+1))^(1/12)-1</f>
        <v/>
      </c>
      <c r="BC832" s="31">
        <f>(1+BB832)^-A832</f>
        <v/>
      </c>
      <c r="BD832" s="34">
        <f>AW832*BC832</f>
        <v/>
      </c>
    </row>
    <row r="833">
      <c r="A833" s="27">
        <f>A832+1</f>
        <v/>
      </c>
      <c r="B833" s="28">
        <f>Duration0+A833</f>
        <v/>
      </c>
      <c r="C833" s="27">
        <f>INT(B833/12)</f>
        <v/>
      </c>
      <c r="D833" s="28">
        <f>AgeAtEntry+C833</f>
        <v/>
      </c>
      <c r="E833" s="29">
        <f>IF(PremiumType="SINGLE",IF(B833=0,PremiumPPInput,0),IF(B833&lt;12*PolicyTerm,PremiumPPInput,0))</f>
        <v/>
      </c>
      <c r="F833" s="30">
        <f>INDEX(MortRates,MATCH(MIN(D833,120),MortAges,0),MAX(MIN(C833,5),0)+1)</f>
        <v/>
      </c>
      <c r="G833" s="31">
        <f>1-(1-F833)^(1/12)</f>
        <v/>
      </c>
      <c r="H833" s="32">
        <f>MAX(LapseBase-LapseStep*C833,LapseFloor)</f>
        <v/>
      </c>
      <c r="I833" s="32">
        <f>IF(HasSurrCharge,INDEX(SurrRates,MIN(C833,SurrDurMax)+1,MATCH(SurrChargeID,SurrTypes,0)),0)</f>
        <v/>
      </c>
      <c r="J833" s="33">
        <f>N832-P832-O832</f>
        <v/>
      </c>
      <c r="K833" s="30">
        <f>IF(B833=12*PolicyTerm,J833,0)</f>
        <v/>
      </c>
      <c r="L833" s="33">
        <f>J833-K833</f>
        <v/>
      </c>
      <c r="M833" s="30">
        <f>IF(B833=0,PolicyCount,0)</f>
        <v/>
      </c>
      <c r="N833" s="33">
        <f>L833+M833</f>
        <v/>
      </c>
      <c r="O833" s="31">
        <f>N833*G833</f>
        <v/>
      </c>
      <c r="P833" s="33">
        <f>(N833-O833)*(1-(1-H833)^(1/12))</f>
        <v/>
      </c>
      <c r="Q833" s="34">
        <f>X832+Z832</f>
        <v/>
      </c>
      <c r="R833" s="29">
        <f>(1-LoadPremRate)*E833</f>
        <v/>
      </c>
      <c r="S833" s="34">
        <f>Q833+R833</f>
        <v/>
      </c>
      <c r="T833" s="29">
        <f>MaintFeeRateAnn/12*S833</f>
        <v/>
      </c>
      <c r="U833" s="29">
        <f>MAX(SumAssured-S833,0)</f>
        <v/>
      </c>
      <c r="V833" s="35">
        <f>CoiMultiple*G833</f>
        <v/>
      </c>
      <c r="W833" s="34">
        <f>V833*U833</f>
        <v/>
      </c>
      <c r="X833" s="34">
        <f>S833-T833-W833</f>
        <v/>
      </c>
      <c r="Y833" s="36">
        <f>EXP((Mu-0.5*Sigma^2)/12+Sigma*SQRT(1/12)*INDEX(NormRand,ScenID,A833+1))-1</f>
        <v/>
      </c>
      <c r="Z833" s="34">
        <f>Y833*X833</f>
        <v/>
      </c>
      <c r="AA833" s="34">
        <f>X833+0.5*Z833</f>
        <v/>
      </c>
      <c r="AB833" s="34">
        <f>Q833*J833</f>
        <v/>
      </c>
      <c r="AC833" s="34">
        <f>Q833*L833</f>
        <v/>
      </c>
      <c r="AD833" s="34">
        <f>S833*N833</f>
        <v/>
      </c>
      <c r="AE833" s="34">
        <f>E833*N833</f>
        <v/>
      </c>
      <c r="AF833" s="34">
        <f>R833*N833</f>
        <v/>
      </c>
      <c r="AG833" s="29">
        <f>MAX(SumAssured,AA833)</f>
        <v/>
      </c>
      <c r="AH833" s="34">
        <f>AG833*O833</f>
        <v/>
      </c>
      <c r="AI833" s="34">
        <f>AA833*O833</f>
        <v/>
      </c>
      <c r="AJ833" s="34">
        <f>AA833*P833</f>
        <v/>
      </c>
      <c r="AK833" s="34">
        <f>I833*AA833*P833</f>
        <v/>
      </c>
      <c r="AL833" s="34">
        <f>AJ833-AK833</f>
        <v/>
      </c>
      <c r="AM833" s="34">
        <f>Q833*K833</f>
        <v/>
      </c>
      <c r="AN833" s="34">
        <f>AH833+AL833+AM833</f>
        <v/>
      </c>
      <c r="AO833" s="34">
        <f>(AG833-AA833)*O833</f>
        <v/>
      </c>
      <c r="AP833" s="34">
        <f>W833*N833</f>
        <v/>
      </c>
      <c r="AQ833" s="34">
        <f>T833*N833</f>
        <v/>
      </c>
      <c r="AR833" s="34">
        <f>Z833*J834+0.5*Z833*(O833+P833)</f>
        <v/>
      </c>
      <c r="AS833" s="30">
        <f>(1+InflationRate)^(A833/12)</f>
        <v/>
      </c>
      <c r="AT833" s="29">
        <f>ExpenseAcq*M833+N833*ExpenseMaint/12*AS833</f>
        <v/>
      </c>
      <c r="AU833" s="29">
        <f>CommissionRate*AE833</f>
        <v/>
      </c>
      <c r="AV833" s="34">
        <f>AB834-AB833</f>
        <v/>
      </c>
      <c r="AW833" s="34">
        <f>AE833+AR833-AN833-AT833-AU833-AV833</f>
        <v/>
      </c>
      <c r="AX833" s="29">
        <f>LoadPremRate*E833*N833+AK833+AQ833-AU833-AT833</f>
        <v/>
      </c>
      <c r="AY833" s="34">
        <f>AP833-AO833</f>
        <v/>
      </c>
      <c r="AZ833" s="37">
        <f>(AW833-AX833-AY833)/MAX(1,ABS(AW833),ABS(AX833),ABS(AY833))</f>
        <v/>
      </c>
      <c r="BA833" s="37">
        <f>IF(OR(K833&gt;0,K834&gt;0),0,(AC834-(AC833+AF833-AQ833-AP833+AR833-AI833-AJ833-AM833))/MAX(1,ABS(AC833),ABS(AC834)))</f>
        <v/>
      </c>
      <c r="BB833" s="35">
        <f>(1+INDEX(DiscRateAnn,INT(A833/12)+1))^(1/12)-1</f>
        <v/>
      </c>
      <c r="BC833" s="31">
        <f>(1+BB833)^-A833</f>
        <v/>
      </c>
      <c r="BD833" s="34">
        <f>AW833*BC833</f>
        <v/>
      </c>
    </row>
    <row r="834">
      <c r="A834" s="27">
        <f>A833+1</f>
        <v/>
      </c>
      <c r="B834" s="28">
        <f>Duration0+A834</f>
        <v/>
      </c>
      <c r="C834" s="27">
        <f>INT(B834/12)</f>
        <v/>
      </c>
      <c r="D834" s="28">
        <f>AgeAtEntry+C834</f>
        <v/>
      </c>
      <c r="E834" s="29">
        <f>IF(PremiumType="SINGLE",IF(B834=0,PremiumPPInput,0),IF(B834&lt;12*PolicyTerm,PremiumPPInput,0))</f>
        <v/>
      </c>
      <c r="F834" s="30">
        <f>INDEX(MortRates,MATCH(MIN(D834,120),MortAges,0),MAX(MIN(C834,5),0)+1)</f>
        <v/>
      </c>
      <c r="G834" s="31">
        <f>1-(1-F834)^(1/12)</f>
        <v/>
      </c>
      <c r="H834" s="32">
        <f>MAX(LapseBase-LapseStep*C834,LapseFloor)</f>
        <v/>
      </c>
      <c r="I834" s="32">
        <f>IF(HasSurrCharge,INDEX(SurrRates,MIN(C834,SurrDurMax)+1,MATCH(SurrChargeID,SurrTypes,0)),0)</f>
        <v/>
      </c>
      <c r="J834" s="33">
        <f>N833-P833-O833</f>
        <v/>
      </c>
      <c r="K834" s="30">
        <f>IF(B834=12*PolicyTerm,J834,0)</f>
        <v/>
      </c>
      <c r="L834" s="33">
        <f>J834-K834</f>
        <v/>
      </c>
      <c r="M834" s="30">
        <f>IF(B834=0,PolicyCount,0)</f>
        <v/>
      </c>
      <c r="N834" s="33">
        <f>L834+M834</f>
        <v/>
      </c>
      <c r="O834" s="31">
        <f>N834*G834</f>
        <v/>
      </c>
      <c r="P834" s="33">
        <f>(N834-O834)*(1-(1-H834)^(1/12))</f>
        <v/>
      </c>
      <c r="Q834" s="34">
        <f>X833+Z833</f>
        <v/>
      </c>
      <c r="R834" s="29">
        <f>(1-LoadPremRate)*E834</f>
        <v/>
      </c>
      <c r="S834" s="34">
        <f>Q834+R834</f>
        <v/>
      </c>
      <c r="T834" s="29">
        <f>MaintFeeRateAnn/12*S834</f>
        <v/>
      </c>
      <c r="U834" s="29">
        <f>MAX(SumAssured-S834,0)</f>
        <v/>
      </c>
      <c r="V834" s="35">
        <f>CoiMultiple*G834</f>
        <v/>
      </c>
      <c r="W834" s="34">
        <f>V834*U834</f>
        <v/>
      </c>
      <c r="X834" s="34">
        <f>S834-T834-W834</f>
        <v/>
      </c>
      <c r="Y834" s="36">
        <f>EXP((Mu-0.5*Sigma^2)/12+Sigma*SQRT(1/12)*INDEX(NormRand,ScenID,A834+1))-1</f>
        <v/>
      </c>
      <c r="Z834" s="34">
        <f>Y834*X834</f>
        <v/>
      </c>
      <c r="AA834" s="34">
        <f>X834+0.5*Z834</f>
        <v/>
      </c>
      <c r="AB834" s="34">
        <f>Q834*J834</f>
        <v/>
      </c>
      <c r="AC834" s="34">
        <f>Q834*L834</f>
        <v/>
      </c>
      <c r="AD834" s="34">
        <f>S834*N834</f>
        <v/>
      </c>
      <c r="AE834" s="34">
        <f>E834*N834</f>
        <v/>
      </c>
      <c r="AF834" s="34">
        <f>R834*N834</f>
        <v/>
      </c>
      <c r="AG834" s="29">
        <f>MAX(SumAssured,AA834)</f>
        <v/>
      </c>
      <c r="AH834" s="34">
        <f>AG834*O834</f>
        <v/>
      </c>
      <c r="AI834" s="34">
        <f>AA834*O834</f>
        <v/>
      </c>
      <c r="AJ834" s="34">
        <f>AA834*P834</f>
        <v/>
      </c>
      <c r="AK834" s="34">
        <f>I834*AA834*P834</f>
        <v/>
      </c>
      <c r="AL834" s="34">
        <f>AJ834-AK834</f>
        <v/>
      </c>
      <c r="AM834" s="34">
        <f>Q834*K834</f>
        <v/>
      </c>
      <c r="AN834" s="34">
        <f>AH834+AL834+AM834</f>
        <v/>
      </c>
      <c r="AO834" s="34">
        <f>(AG834-AA834)*O834</f>
        <v/>
      </c>
      <c r="AP834" s="34">
        <f>W834*N834</f>
        <v/>
      </c>
      <c r="AQ834" s="34">
        <f>T834*N834</f>
        <v/>
      </c>
      <c r="AR834" s="34">
        <f>Z834*J835+0.5*Z834*(O834+P834)</f>
        <v/>
      </c>
      <c r="AS834" s="30">
        <f>(1+InflationRate)^(A834/12)</f>
        <v/>
      </c>
      <c r="AT834" s="29">
        <f>ExpenseAcq*M834+N834*ExpenseMaint/12*AS834</f>
        <v/>
      </c>
      <c r="AU834" s="29">
        <f>CommissionRate*AE834</f>
        <v/>
      </c>
      <c r="AV834" s="34">
        <f>AB835-AB834</f>
        <v/>
      </c>
      <c r="AW834" s="34">
        <f>AE834+AR834-AN834-AT834-AU834-AV834</f>
        <v/>
      </c>
      <c r="AX834" s="29">
        <f>LoadPremRate*E834*N834+AK834+AQ834-AU834-AT834</f>
        <v/>
      </c>
      <c r="AY834" s="34">
        <f>AP834-AO834</f>
        <v/>
      </c>
      <c r="AZ834" s="37">
        <f>(AW834-AX834-AY834)/MAX(1,ABS(AW834),ABS(AX834),ABS(AY834))</f>
        <v/>
      </c>
      <c r="BA834" s="37">
        <f>IF(OR(K834&gt;0,K835&gt;0),0,(AC835-(AC834+AF834-AQ834-AP834+AR834-AI834-AJ834-AM834))/MAX(1,ABS(AC834),ABS(AC835)))</f>
        <v/>
      </c>
      <c r="BB834" s="35">
        <f>(1+INDEX(DiscRateAnn,INT(A834/12)+1))^(1/12)-1</f>
        <v/>
      </c>
      <c r="BC834" s="31">
        <f>(1+BB834)^-A834</f>
        <v/>
      </c>
      <c r="BD834" s="34">
        <f>AW834*BC834</f>
        <v/>
      </c>
    </row>
    <row r="835">
      <c r="A835" s="27">
        <f>A834+1</f>
        <v/>
      </c>
      <c r="B835" s="28">
        <f>Duration0+A835</f>
        <v/>
      </c>
      <c r="C835" s="27">
        <f>INT(B835/12)</f>
        <v/>
      </c>
      <c r="D835" s="28">
        <f>AgeAtEntry+C835</f>
        <v/>
      </c>
      <c r="E835" s="29">
        <f>IF(PremiumType="SINGLE",IF(B835=0,PremiumPPInput,0),IF(B835&lt;12*PolicyTerm,PremiumPPInput,0))</f>
        <v/>
      </c>
      <c r="F835" s="30">
        <f>INDEX(MortRates,MATCH(MIN(D835,120),MortAges,0),MAX(MIN(C835,5),0)+1)</f>
        <v/>
      </c>
      <c r="G835" s="31">
        <f>1-(1-F835)^(1/12)</f>
        <v/>
      </c>
      <c r="H835" s="32">
        <f>MAX(LapseBase-LapseStep*C835,LapseFloor)</f>
        <v/>
      </c>
      <c r="I835" s="32">
        <f>IF(HasSurrCharge,INDEX(SurrRates,MIN(C835,SurrDurMax)+1,MATCH(SurrChargeID,SurrTypes,0)),0)</f>
        <v/>
      </c>
      <c r="J835" s="33">
        <f>N834-P834-O834</f>
        <v/>
      </c>
      <c r="K835" s="30">
        <f>IF(B835=12*PolicyTerm,J835,0)</f>
        <v/>
      </c>
      <c r="L835" s="33">
        <f>J835-K835</f>
        <v/>
      </c>
      <c r="M835" s="30">
        <f>IF(B835=0,PolicyCount,0)</f>
        <v/>
      </c>
      <c r="N835" s="33">
        <f>L835+M835</f>
        <v/>
      </c>
      <c r="O835" s="31">
        <f>N835*G835</f>
        <v/>
      </c>
      <c r="P835" s="33">
        <f>(N835-O835)*(1-(1-H835)^(1/12))</f>
        <v/>
      </c>
      <c r="Q835" s="34">
        <f>X834+Z834</f>
        <v/>
      </c>
      <c r="R835" s="29">
        <f>(1-LoadPremRate)*E835</f>
        <v/>
      </c>
      <c r="S835" s="34">
        <f>Q835+R835</f>
        <v/>
      </c>
      <c r="T835" s="29">
        <f>MaintFeeRateAnn/12*S835</f>
        <v/>
      </c>
      <c r="U835" s="29">
        <f>MAX(SumAssured-S835,0)</f>
        <v/>
      </c>
      <c r="V835" s="35">
        <f>CoiMultiple*G835</f>
        <v/>
      </c>
      <c r="W835" s="34">
        <f>V835*U835</f>
        <v/>
      </c>
      <c r="X835" s="34">
        <f>S835-T835-W835</f>
        <v/>
      </c>
      <c r="Y835" s="36">
        <f>EXP((Mu-0.5*Sigma^2)/12+Sigma*SQRT(1/12)*INDEX(NormRand,ScenID,A835+1))-1</f>
        <v/>
      </c>
      <c r="Z835" s="34">
        <f>Y835*X835</f>
        <v/>
      </c>
      <c r="AA835" s="34">
        <f>X835+0.5*Z835</f>
        <v/>
      </c>
      <c r="AB835" s="34">
        <f>Q835*J835</f>
        <v/>
      </c>
      <c r="AC835" s="34">
        <f>Q835*L835</f>
        <v/>
      </c>
      <c r="AD835" s="34">
        <f>S835*N835</f>
        <v/>
      </c>
      <c r="AE835" s="34">
        <f>E835*N835</f>
        <v/>
      </c>
      <c r="AF835" s="34">
        <f>R835*N835</f>
        <v/>
      </c>
      <c r="AG835" s="29">
        <f>MAX(SumAssured,AA835)</f>
        <v/>
      </c>
      <c r="AH835" s="34">
        <f>AG835*O835</f>
        <v/>
      </c>
      <c r="AI835" s="34">
        <f>AA835*O835</f>
        <v/>
      </c>
      <c r="AJ835" s="34">
        <f>AA835*P835</f>
        <v/>
      </c>
      <c r="AK835" s="34">
        <f>I835*AA835*P835</f>
        <v/>
      </c>
      <c r="AL835" s="34">
        <f>AJ835-AK835</f>
        <v/>
      </c>
      <c r="AM835" s="34">
        <f>Q835*K835</f>
        <v/>
      </c>
      <c r="AN835" s="34">
        <f>AH835+AL835+AM835</f>
        <v/>
      </c>
      <c r="AO835" s="34">
        <f>(AG835-AA835)*O835</f>
        <v/>
      </c>
      <c r="AP835" s="34">
        <f>W835*N835</f>
        <v/>
      </c>
      <c r="AQ835" s="34">
        <f>T835*N835</f>
        <v/>
      </c>
      <c r="AR835" s="34">
        <f>Z835*J836+0.5*Z835*(O835+P835)</f>
        <v/>
      </c>
      <c r="AS835" s="30">
        <f>(1+InflationRate)^(A835/12)</f>
        <v/>
      </c>
      <c r="AT835" s="29">
        <f>ExpenseAcq*M835+N835*ExpenseMaint/12*AS835</f>
        <v/>
      </c>
      <c r="AU835" s="29">
        <f>CommissionRate*AE835</f>
        <v/>
      </c>
      <c r="AV835" s="34">
        <f>AB836-AB835</f>
        <v/>
      </c>
      <c r="AW835" s="34">
        <f>AE835+AR835-AN835-AT835-AU835-AV835</f>
        <v/>
      </c>
      <c r="AX835" s="29">
        <f>LoadPremRate*E835*N835+AK835+AQ835-AU835-AT835</f>
        <v/>
      </c>
      <c r="AY835" s="34">
        <f>AP835-AO835</f>
        <v/>
      </c>
      <c r="AZ835" s="37">
        <f>(AW835-AX835-AY835)/MAX(1,ABS(AW835),ABS(AX835),ABS(AY835))</f>
        <v/>
      </c>
      <c r="BA835" s="37">
        <f>IF(OR(K835&gt;0,K836&gt;0),0,(AC836-(AC835+AF835-AQ835-AP835+AR835-AI835-AJ835-AM835))/MAX(1,ABS(AC835),ABS(AC836)))</f>
        <v/>
      </c>
      <c r="BB835" s="35">
        <f>(1+INDEX(DiscRateAnn,INT(A835/12)+1))^(1/12)-1</f>
        <v/>
      </c>
      <c r="BC835" s="31">
        <f>(1+BB835)^-A835</f>
        <v/>
      </c>
      <c r="BD835" s="34">
        <f>AW835*BC835</f>
        <v/>
      </c>
    </row>
    <row r="836">
      <c r="A836" s="27">
        <f>A835+1</f>
        <v/>
      </c>
      <c r="B836" s="28">
        <f>Duration0+A836</f>
        <v/>
      </c>
      <c r="C836" s="27">
        <f>INT(B836/12)</f>
        <v/>
      </c>
      <c r="D836" s="28">
        <f>AgeAtEntry+C836</f>
        <v/>
      </c>
      <c r="E836" s="29">
        <f>IF(PremiumType="SINGLE",IF(B836=0,PremiumPPInput,0),IF(B836&lt;12*PolicyTerm,PremiumPPInput,0))</f>
        <v/>
      </c>
      <c r="F836" s="30">
        <f>INDEX(MortRates,MATCH(MIN(D836,120),MortAges,0),MAX(MIN(C836,5),0)+1)</f>
        <v/>
      </c>
      <c r="G836" s="31">
        <f>1-(1-F836)^(1/12)</f>
        <v/>
      </c>
      <c r="H836" s="32">
        <f>MAX(LapseBase-LapseStep*C836,LapseFloor)</f>
        <v/>
      </c>
      <c r="I836" s="32">
        <f>IF(HasSurrCharge,INDEX(SurrRates,MIN(C836,SurrDurMax)+1,MATCH(SurrChargeID,SurrTypes,0)),0)</f>
        <v/>
      </c>
      <c r="J836" s="33">
        <f>N835-P835-O835</f>
        <v/>
      </c>
      <c r="K836" s="30">
        <f>IF(B836=12*PolicyTerm,J836,0)</f>
        <v/>
      </c>
      <c r="L836" s="33">
        <f>J836-K836</f>
        <v/>
      </c>
      <c r="M836" s="30">
        <f>IF(B836=0,PolicyCount,0)</f>
        <v/>
      </c>
      <c r="N836" s="33">
        <f>L836+M836</f>
        <v/>
      </c>
      <c r="O836" s="31">
        <f>N836*G836</f>
        <v/>
      </c>
      <c r="P836" s="33">
        <f>(N836-O836)*(1-(1-H836)^(1/12))</f>
        <v/>
      </c>
      <c r="Q836" s="34">
        <f>X835+Z835</f>
        <v/>
      </c>
      <c r="R836" s="29">
        <f>(1-LoadPremRate)*E836</f>
        <v/>
      </c>
      <c r="S836" s="34">
        <f>Q836+R836</f>
        <v/>
      </c>
      <c r="T836" s="29">
        <f>MaintFeeRateAnn/12*S836</f>
        <v/>
      </c>
      <c r="U836" s="29">
        <f>MAX(SumAssured-S836,0)</f>
        <v/>
      </c>
      <c r="V836" s="35">
        <f>CoiMultiple*G836</f>
        <v/>
      </c>
      <c r="W836" s="34">
        <f>V836*U836</f>
        <v/>
      </c>
      <c r="X836" s="34">
        <f>S836-T836-W836</f>
        <v/>
      </c>
      <c r="Y836" s="36">
        <f>EXP((Mu-0.5*Sigma^2)/12+Sigma*SQRT(1/12)*INDEX(NormRand,ScenID,A836+1))-1</f>
        <v/>
      </c>
      <c r="Z836" s="34">
        <f>Y836*X836</f>
        <v/>
      </c>
      <c r="AA836" s="34">
        <f>X836+0.5*Z836</f>
        <v/>
      </c>
      <c r="AB836" s="34">
        <f>Q836*J836</f>
        <v/>
      </c>
      <c r="AC836" s="34">
        <f>Q836*L836</f>
        <v/>
      </c>
      <c r="AD836" s="34">
        <f>S836*N836</f>
        <v/>
      </c>
      <c r="AE836" s="34">
        <f>E836*N836</f>
        <v/>
      </c>
      <c r="AF836" s="34">
        <f>R836*N836</f>
        <v/>
      </c>
      <c r="AG836" s="29">
        <f>MAX(SumAssured,AA836)</f>
        <v/>
      </c>
      <c r="AH836" s="34">
        <f>AG836*O836</f>
        <v/>
      </c>
      <c r="AI836" s="34">
        <f>AA836*O836</f>
        <v/>
      </c>
      <c r="AJ836" s="34">
        <f>AA836*P836</f>
        <v/>
      </c>
      <c r="AK836" s="34">
        <f>I836*AA836*P836</f>
        <v/>
      </c>
      <c r="AL836" s="34">
        <f>AJ836-AK836</f>
        <v/>
      </c>
      <c r="AM836" s="34">
        <f>Q836*K836</f>
        <v/>
      </c>
      <c r="AN836" s="34">
        <f>AH836+AL836+AM836</f>
        <v/>
      </c>
      <c r="AO836" s="34">
        <f>(AG836-AA836)*O836</f>
        <v/>
      </c>
      <c r="AP836" s="34">
        <f>W836*N836</f>
        <v/>
      </c>
      <c r="AQ836" s="34">
        <f>T836*N836</f>
        <v/>
      </c>
      <c r="AR836" s="34">
        <f>Z836*J837+0.5*Z836*(O836+P836)</f>
        <v/>
      </c>
      <c r="AS836" s="30">
        <f>(1+InflationRate)^(A836/12)</f>
        <v/>
      </c>
      <c r="AT836" s="29">
        <f>ExpenseAcq*M836+N836*ExpenseMaint/12*AS836</f>
        <v/>
      </c>
      <c r="AU836" s="29">
        <f>CommissionRate*AE836</f>
        <v/>
      </c>
      <c r="AV836" s="34">
        <f>AB837-AB836</f>
        <v/>
      </c>
      <c r="AW836" s="34">
        <f>AE836+AR836-AN836-AT836-AU836-AV836</f>
        <v/>
      </c>
      <c r="AX836" s="29">
        <f>LoadPremRate*E836*N836+AK836+AQ836-AU836-AT836</f>
        <v/>
      </c>
      <c r="AY836" s="34">
        <f>AP836-AO836</f>
        <v/>
      </c>
      <c r="AZ836" s="37">
        <f>(AW836-AX836-AY836)/MAX(1,ABS(AW836),ABS(AX836),ABS(AY836))</f>
        <v/>
      </c>
      <c r="BA836" s="37">
        <f>IF(OR(K836&gt;0,K837&gt;0),0,(AC837-(AC836+AF836-AQ836-AP836+AR836-AI836-AJ836-AM836))/MAX(1,ABS(AC836),ABS(AC837)))</f>
        <v/>
      </c>
      <c r="BB836" s="35">
        <f>(1+INDEX(DiscRateAnn,INT(A836/12)+1))^(1/12)-1</f>
        <v/>
      </c>
      <c r="BC836" s="31">
        <f>(1+BB836)^-A836</f>
        <v/>
      </c>
      <c r="BD836" s="34">
        <f>AW836*BC836</f>
        <v/>
      </c>
    </row>
    <row r="837">
      <c r="A837" s="27">
        <f>A836+1</f>
        <v/>
      </c>
      <c r="B837" s="28">
        <f>Duration0+A837</f>
        <v/>
      </c>
      <c r="C837" s="27">
        <f>INT(B837/12)</f>
        <v/>
      </c>
      <c r="D837" s="28">
        <f>AgeAtEntry+C837</f>
        <v/>
      </c>
      <c r="E837" s="29">
        <f>IF(PremiumType="SINGLE",IF(B837=0,PremiumPPInput,0),IF(B837&lt;12*PolicyTerm,PremiumPPInput,0))</f>
        <v/>
      </c>
      <c r="F837" s="30">
        <f>INDEX(MortRates,MATCH(MIN(D837,120),MortAges,0),MAX(MIN(C837,5),0)+1)</f>
        <v/>
      </c>
      <c r="G837" s="31">
        <f>1-(1-F837)^(1/12)</f>
        <v/>
      </c>
      <c r="H837" s="32">
        <f>MAX(LapseBase-LapseStep*C837,LapseFloor)</f>
        <v/>
      </c>
      <c r="I837" s="32">
        <f>IF(HasSurrCharge,INDEX(SurrRates,MIN(C837,SurrDurMax)+1,MATCH(SurrChargeID,SurrTypes,0)),0)</f>
        <v/>
      </c>
      <c r="J837" s="33">
        <f>N836-P836-O836</f>
        <v/>
      </c>
      <c r="K837" s="30">
        <f>IF(B837=12*PolicyTerm,J837,0)</f>
        <v/>
      </c>
      <c r="L837" s="33">
        <f>J837-K837</f>
        <v/>
      </c>
      <c r="M837" s="30">
        <f>IF(B837=0,PolicyCount,0)</f>
        <v/>
      </c>
      <c r="N837" s="33">
        <f>L837+M837</f>
        <v/>
      </c>
      <c r="O837" s="31">
        <f>N837*G837</f>
        <v/>
      </c>
      <c r="P837" s="33">
        <f>(N837-O837)*(1-(1-H837)^(1/12))</f>
        <v/>
      </c>
      <c r="Q837" s="34">
        <f>X836+Z836</f>
        <v/>
      </c>
      <c r="R837" s="29">
        <f>(1-LoadPremRate)*E837</f>
        <v/>
      </c>
      <c r="S837" s="34">
        <f>Q837+R837</f>
        <v/>
      </c>
      <c r="T837" s="29">
        <f>MaintFeeRateAnn/12*S837</f>
        <v/>
      </c>
      <c r="U837" s="29">
        <f>MAX(SumAssured-S837,0)</f>
        <v/>
      </c>
      <c r="V837" s="35">
        <f>CoiMultiple*G837</f>
        <v/>
      </c>
      <c r="W837" s="34">
        <f>V837*U837</f>
        <v/>
      </c>
      <c r="X837" s="34">
        <f>S837-T837-W837</f>
        <v/>
      </c>
      <c r="Y837" s="36">
        <f>EXP((Mu-0.5*Sigma^2)/12+Sigma*SQRT(1/12)*INDEX(NormRand,ScenID,A837+1))-1</f>
        <v/>
      </c>
      <c r="Z837" s="34">
        <f>Y837*X837</f>
        <v/>
      </c>
      <c r="AA837" s="34">
        <f>X837+0.5*Z837</f>
        <v/>
      </c>
      <c r="AB837" s="34">
        <f>Q837*J837</f>
        <v/>
      </c>
      <c r="AC837" s="34">
        <f>Q837*L837</f>
        <v/>
      </c>
      <c r="AD837" s="34">
        <f>S837*N837</f>
        <v/>
      </c>
      <c r="AE837" s="34">
        <f>E837*N837</f>
        <v/>
      </c>
      <c r="AF837" s="34">
        <f>R837*N837</f>
        <v/>
      </c>
      <c r="AG837" s="29">
        <f>MAX(SumAssured,AA837)</f>
        <v/>
      </c>
      <c r="AH837" s="34">
        <f>AG837*O837</f>
        <v/>
      </c>
      <c r="AI837" s="34">
        <f>AA837*O837</f>
        <v/>
      </c>
      <c r="AJ837" s="34">
        <f>AA837*P837</f>
        <v/>
      </c>
      <c r="AK837" s="34">
        <f>I837*AA837*P837</f>
        <v/>
      </c>
      <c r="AL837" s="34">
        <f>AJ837-AK837</f>
        <v/>
      </c>
      <c r="AM837" s="34">
        <f>Q837*K837</f>
        <v/>
      </c>
      <c r="AN837" s="34">
        <f>AH837+AL837+AM837</f>
        <v/>
      </c>
      <c r="AO837" s="34">
        <f>(AG837-AA837)*O837</f>
        <v/>
      </c>
      <c r="AP837" s="34">
        <f>W837*N837</f>
        <v/>
      </c>
      <c r="AQ837" s="34">
        <f>T837*N837</f>
        <v/>
      </c>
      <c r="AR837" s="34">
        <f>Z837*J838+0.5*Z837*(O837+P837)</f>
        <v/>
      </c>
      <c r="AS837" s="30">
        <f>(1+InflationRate)^(A837/12)</f>
        <v/>
      </c>
      <c r="AT837" s="29">
        <f>ExpenseAcq*M837+N837*ExpenseMaint/12*AS837</f>
        <v/>
      </c>
      <c r="AU837" s="29">
        <f>CommissionRate*AE837</f>
        <v/>
      </c>
      <c r="AV837" s="34">
        <f>AB838-AB837</f>
        <v/>
      </c>
      <c r="AW837" s="34">
        <f>AE837+AR837-AN837-AT837-AU837-AV837</f>
        <v/>
      </c>
      <c r="AX837" s="29">
        <f>LoadPremRate*E837*N837+AK837+AQ837-AU837-AT837</f>
        <v/>
      </c>
      <c r="AY837" s="34">
        <f>AP837-AO837</f>
        <v/>
      </c>
      <c r="AZ837" s="37">
        <f>(AW837-AX837-AY837)/MAX(1,ABS(AW837),ABS(AX837),ABS(AY837))</f>
        <v/>
      </c>
      <c r="BA837" s="37">
        <f>IF(OR(K837&gt;0,K838&gt;0),0,(AC838-(AC837+AF837-AQ837-AP837+AR837-AI837-AJ837-AM837))/MAX(1,ABS(AC837),ABS(AC838)))</f>
        <v/>
      </c>
      <c r="BB837" s="35">
        <f>(1+INDEX(DiscRateAnn,INT(A837/12)+1))^(1/12)-1</f>
        <v/>
      </c>
      <c r="BC837" s="31">
        <f>(1+BB837)^-A837</f>
        <v/>
      </c>
      <c r="BD837" s="34">
        <f>AW837*BC837</f>
        <v/>
      </c>
    </row>
    <row r="838">
      <c r="A838" s="27">
        <f>A837+1</f>
        <v/>
      </c>
      <c r="B838" s="28">
        <f>Duration0+A838</f>
        <v/>
      </c>
      <c r="C838" s="27">
        <f>INT(B838/12)</f>
        <v/>
      </c>
      <c r="D838" s="28">
        <f>AgeAtEntry+C838</f>
        <v/>
      </c>
      <c r="E838" s="29">
        <f>IF(PremiumType="SINGLE",IF(B838=0,PremiumPPInput,0),IF(B838&lt;12*PolicyTerm,PremiumPPInput,0))</f>
        <v/>
      </c>
      <c r="F838" s="30">
        <f>INDEX(MortRates,MATCH(MIN(D838,120),MortAges,0),MAX(MIN(C838,5),0)+1)</f>
        <v/>
      </c>
      <c r="G838" s="31">
        <f>1-(1-F838)^(1/12)</f>
        <v/>
      </c>
      <c r="H838" s="32">
        <f>MAX(LapseBase-LapseStep*C838,LapseFloor)</f>
        <v/>
      </c>
      <c r="I838" s="32">
        <f>IF(HasSurrCharge,INDEX(SurrRates,MIN(C838,SurrDurMax)+1,MATCH(SurrChargeID,SurrTypes,0)),0)</f>
        <v/>
      </c>
      <c r="J838" s="33">
        <f>N837-P837-O837</f>
        <v/>
      </c>
      <c r="K838" s="30">
        <f>IF(B838=12*PolicyTerm,J838,0)</f>
        <v/>
      </c>
      <c r="L838" s="33">
        <f>J838-K838</f>
        <v/>
      </c>
      <c r="M838" s="30">
        <f>IF(B838=0,PolicyCount,0)</f>
        <v/>
      </c>
      <c r="N838" s="33">
        <f>L838+M838</f>
        <v/>
      </c>
      <c r="O838" s="31">
        <f>N838*G838</f>
        <v/>
      </c>
      <c r="P838" s="33">
        <f>(N838-O838)*(1-(1-H838)^(1/12))</f>
        <v/>
      </c>
      <c r="Q838" s="34">
        <f>X837+Z837</f>
        <v/>
      </c>
      <c r="R838" s="29">
        <f>(1-LoadPremRate)*E838</f>
        <v/>
      </c>
      <c r="S838" s="34">
        <f>Q838+R838</f>
        <v/>
      </c>
      <c r="T838" s="29">
        <f>MaintFeeRateAnn/12*S838</f>
        <v/>
      </c>
      <c r="U838" s="29">
        <f>MAX(SumAssured-S838,0)</f>
        <v/>
      </c>
      <c r="V838" s="35">
        <f>CoiMultiple*G838</f>
        <v/>
      </c>
      <c r="W838" s="34">
        <f>V838*U838</f>
        <v/>
      </c>
      <c r="X838" s="34">
        <f>S838-T838-W838</f>
        <v/>
      </c>
      <c r="Y838" s="36">
        <f>EXP((Mu-0.5*Sigma^2)/12+Sigma*SQRT(1/12)*INDEX(NormRand,ScenID,A838+1))-1</f>
        <v/>
      </c>
      <c r="Z838" s="34">
        <f>Y838*X838</f>
        <v/>
      </c>
      <c r="AA838" s="34">
        <f>X838+0.5*Z838</f>
        <v/>
      </c>
      <c r="AB838" s="34">
        <f>Q838*J838</f>
        <v/>
      </c>
      <c r="AC838" s="34">
        <f>Q838*L838</f>
        <v/>
      </c>
      <c r="AD838" s="34">
        <f>S838*N838</f>
        <v/>
      </c>
      <c r="AE838" s="34">
        <f>E838*N838</f>
        <v/>
      </c>
      <c r="AF838" s="34">
        <f>R838*N838</f>
        <v/>
      </c>
      <c r="AG838" s="29">
        <f>MAX(SumAssured,AA838)</f>
        <v/>
      </c>
      <c r="AH838" s="34">
        <f>AG838*O838</f>
        <v/>
      </c>
      <c r="AI838" s="34">
        <f>AA838*O838</f>
        <v/>
      </c>
      <c r="AJ838" s="34">
        <f>AA838*P838</f>
        <v/>
      </c>
      <c r="AK838" s="34">
        <f>I838*AA838*P838</f>
        <v/>
      </c>
      <c r="AL838" s="34">
        <f>AJ838-AK838</f>
        <v/>
      </c>
      <c r="AM838" s="34">
        <f>Q838*K838</f>
        <v/>
      </c>
      <c r="AN838" s="34">
        <f>AH838+AL838+AM838</f>
        <v/>
      </c>
      <c r="AO838" s="34">
        <f>(AG838-AA838)*O838</f>
        <v/>
      </c>
      <c r="AP838" s="34">
        <f>W838*N838</f>
        <v/>
      </c>
      <c r="AQ838" s="34">
        <f>T838*N838</f>
        <v/>
      </c>
      <c r="AR838" s="34">
        <f>Z838*J839+0.5*Z838*(O838+P838)</f>
        <v/>
      </c>
      <c r="AS838" s="30">
        <f>(1+InflationRate)^(A838/12)</f>
        <v/>
      </c>
      <c r="AT838" s="29">
        <f>ExpenseAcq*M838+N838*ExpenseMaint/12*AS838</f>
        <v/>
      </c>
      <c r="AU838" s="29">
        <f>CommissionRate*AE838</f>
        <v/>
      </c>
      <c r="AV838" s="34">
        <f>AB839-AB838</f>
        <v/>
      </c>
      <c r="AW838" s="34">
        <f>AE838+AR838-AN838-AT838-AU838-AV838</f>
        <v/>
      </c>
      <c r="AX838" s="29">
        <f>LoadPremRate*E838*N838+AK838+AQ838-AU838-AT838</f>
        <v/>
      </c>
      <c r="AY838" s="34">
        <f>AP838-AO838</f>
        <v/>
      </c>
      <c r="AZ838" s="37">
        <f>(AW838-AX838-AY838)/MAX(1,ABS(AW838),ABS(AX838),ABS(AY838))</f>
        <v/>
      </c>
      <c r="BA838" s="37">
        <f>IF(OR(K838&gt;0,K839&gt;0),0,(AC839-(AC838+AF838-AQ838-AP838+AR838-AI838-AJ838-AM838))/MAX(1,ABS(AC838),ABS(AC839)))</f>
        <v/>
      </c>
      <c r="BB838" s="35">
        <f>(1+INDEX(DiscRateAnn,INT(A838/12)+1))^(1/12)-1</f>
        <v/>
      </c>
      <c r="BC838" s="31">
        <f>(1+BB838)^-A838</f>
        <v/>
      </c>
      <c r="BD838" s="34">
        <f>AW838*BC838</f>
        <v/>
      </c>
    </row>
    <row r="839">
      <c r="A839" s="27">
        <f>A838+1</f>
        <v/>
      </c>
      <c r="B839" s="28">
        <f>Duration0+A839</f>
        <v/>
      </c>
      <c r="C839" s="27">
        <f>INT(B839/12)</f>
        <v/>
      </c>
      <c r="D839" s="28">
        <f>AgeAtEntry+C839</f>
        <v/>
      </c>
      <c r="E839" s="29">
        <f>IF(PremiumType="SINGLE",IF(B839=0,PremiumPPInput,0),IF(B839&lt;12*PolicyTerm,PremiumPPInput,0))</f>
        <v/>
      </c>
      <c r="F839" s="30">
        <f>INDEX(MortRates,MATCH(MIN(D839,120),MortAges,0),MAX(MIN(C839,5),0)+1)</f>
        <v/>
      </c>
      <c r="G839" s="31">
        <f>1-(1-F839)^(1/12)</f>
        <v/>
      </c>
      <c r="H839" s="32">
        <f>MAX(LapseBase-LapseStep*C839,LapseFloor)</f>
        <v/>
      </c>
      <c r="I839" s="32">
        <f>IF(HasSurrCharge,INDEX(SurrRates,MIN(C839,SurrDurMax)+1,MATCH(SurrChargeID,SurrTypes,0)),0)</f>
        <v/>
      </c>
      <c r="J839" s="33">
        <f>N838-P838-O838</f>
        <v/>
      </c>
      <c r="K839" s="30">
        <f>IF(B839=12*PolicyTerm,J839,0)</f>
        <v/>
      </c>
      <c r="L839" s="33">
        <f>J839-K839</f>
        <v/>
      </c>
      <c r="M839" s="30">
        <f>IF(B839=0,PolicyCount,0)</f>
        <v/>
      </c>
      <c r="N839" s="33">
        <f>L839+M839</f>
        <v/>
      </c>
      <c r="O839" s="31">
        <f>N839*G839</f>
        <v/>
      </c>
      <c r="P839" s="33">
        <f>(N839-O839)*(1-(1-H839)^(1/12))</f>
        <v/>
      </c>
      <c r="Q839" s="34">
        <f>X838+Z838</f>
        <v/>
      </c>
      <c r="R839" s="29">
        <f>(1-LoadPremRate)*E839</f>
        <v/>
      </c>
      <c r="S839" s="34">
        <f>Q839+R839</f>
        <v/>
      </c>
      <c r="T839" s="29">
        <f>MaintFeeRateAnn/12*S839</f>
        <v/>
      </c>
      <c r="U839" s="29">
        <f>MAX(SumAssured-S839,0)</f>
        <v/>
      </c>
      <c r="V839" s="35">
        <f>CoiMultiple*G839</f>
        <v/>
      </c>
      <c r="W839" s="34">
        <f>V839*U839</f>
        <v/>
      </c>
      <c r="X839" s="34">
        <f>S839-T839-W839</f>
        <v/>
      </c>
      <c r="Y839" s="36">
        <f>EXP((Mu-0.5*Sigma^2)/12+Sigma*SQRT(1/12)*INDEX(NormRand,ScenID,A839+1))-1</f>
        <v/>
      </c>
      <c r="Z839" s="34">
        <f>Y839*X839</f>
        <v/>
      </c>
      <c r="AA839" s="34">
        <f>X839+0.5*Z839</f>
        <v/>
      </c>
      <c r="AB839" s="34">
        <f>Q839*J839</f>
        <v/>
      </c>
      <c r="AC839" s="34">
        <f>Q839*L839</f>
        <v/>
      </c>
      <c r="AD839" s="34">
        <f>S839*N839</f>
        <v/>
      </c>
      <c r="AE839" s="34">
        <f>E839*N839</f>
        <v/>
      </c>
      <c r="AF839" s="34">
        <f>R839*N839</f>
        <v/>
      </c>
      <c r="AG839" s="29">
        <f>MAX(SumAssured,AA839)</f>
        <v/>
      </c>
      <c r="AH839" s="34">
        <f>AG839*O839</f>
        <v/>
      </c>
      <c r="AI839" s="34">
        <f>AA839*O839</f>
        <v/>
      </c>
      <c r="AJ839" s="34">
        <f>AA839*P839</f>
        <v/>
      </c>
      <c r="AK839" s="34">
        <f>I839*AA839*P839</f>
        <v/>
      </c>
      <c r="AL839" s="34">
        <f>AJ839-AK839</f>
        <v/>
      </c>
      <c r="AM839" s="34">
        <f>Q839*K839</f>
        <v/>
      </c>
      <c r="AN839" s="34">
        <f>AH839+AL839+AM839</f>
        <v/>
      </c>
      <c r="AO839" s="34">
        <f>(AG839-AA839)*O839</f>
        <v/>
      </c>
      <c r="AP839" s="34">
        <f>W839*N839</f>
        <v/>
      </c>
      <c r="AQ839" s="34">
        <f>T839*N839</f>
        <v/>
      </c>
      <c r="AR839" s="34">
        <f>Z839*J840+0.5*Z839*(O839+P839)</f>
        <v/>
      </c>
      <c r="AS839" s="30">
        <f>(1+InflationRate)^(A839/12)</f>
        <v/>
      </c>
      <c r="AT839" s="29">
        <f>ExpenseAcq*M839+N839*ExpenseMaint/12*AS839</f>
        <v/>
      </c>
      <c r="AU839" s="29">
        <f>CommissionRate*AE839</f>
        <v/>
      </c>
      <c r="AV839" s="34">
        <f>AB840-AB839</f>
        <v/>
      </c>
      <c r="AW839" s="34">
        <f>AE839+AR839-AN839-AT839-AU839-AV839</f>
        <v/>
      </c>
      <c r="AX839" s="29">
        <f>LoadPremRate*E839*N839+AK839+AQ839-AU839-AT839</f>
        <v/>
      </c>
      <c r="AY839" s="34">
        <f>AP839-AO839</f>
        <v/>
      </c>
      <c r="AZ839" s="37">
        <f>(AW839-AX839-AY839)/MAX(1,ABS(AW839),ABS(AX839),ABS(AY839))</f>
        <v/>
      </c>
      <c r="BA839" s="37">
        <f>IF(OR(K839&gt;0,K840&gt;0),0,(AC840-(AC839+AF839-AQ839-AP839+AR839-AI839-AJ839-AM839))/MAX(1,ABS(AC839),ABS(AC840)))</f>
        <v/>
      </c>
      <c r="BB839" s="35">
        <f>(1+INDEX(DiscRateAnn,INT(A839/12)+1))^(1/12)-1</f>
        <v/>
      </c>
      <c r="BC839" s="31">
        <f>(1+BB839)^-A839</f>
        <v/>
      </c>
      <c r="BD839" s="34">
        <f>AW839*BC839</f>
        <v/>
      </c>
    </row>
    <row r="840">
      <c r="A840" s="27">
        <f>A839+1</f>
        <v/>
      </c>
      <c r="B840" s="28">
        <f>Duration0+A840</f>
        <v/>
      </c>
      <c r="C840" s="27">
        <f>INT(B840/12)</f>
        <v/>
      </c>
      <c r="D840" s="28">
        <f>AgeAtEntry+C840</f>
        <v/>
      </c>
      <c r="E840" s="29">
        <f>IF(PremiumType="SINGLE",IF(B840=0,PremiumPPInput,0),IF(B840&lt;12*PolicyTerm,PremiumPPInput,0))</f>
        <v/>
      </c>
      <c r="F840" s="30">
        <f>INDEX(MortRates,MATCH(MIN(D840,120),MortAges,0),MAX(MIN(C840,5),0)+1)</f>
        <v/>
      </c>
      <c r="G840" s="31">
        <f>1-(1-F840)^(1/12)</f>
        <v/>
      </c>
      <c r="H840" s="32">
        <f>MAX(LapseBase-LapseStep*C840,LapseFloor)</f>
        <v/>
      </c>
      <c r="I840" s="32">
        <f>IF(HasSurrCharge,INDEX(SurrRates,MIN(C840,SurrDurMax)+1,MATCH(SurrChargeID,SurrTypes,0)),0)</f>
        <v/>
      </c>
      <c r="J840" s="33">
        <f>N839-P839-O839</f>
        <v/>
      </c>
      <c r="K840" s="30">
        <f>IF(B840=12*PolicyTerm,J840,0)</f>
        <v/>
      </c>
      <c r="L840" s="33">
        <f>J840-K840</f>
        <v/>
      </c>
      <c r="M840" s="30">
        <f>IF(B840=0,PolicyCount,0)</f>
        <v/>
      </c>
      <c r="N840" s="33">
        <f>L840+M840</f>
        <v/>
      </c>
      <c r="O840" s="31">
        <f>N840*G840</f>
        <v/>
      </c>
      <c r="P840" s="33">
        <f>(N840-O840)*(1-(1-H840)^(1/12))</f>
        <v/>
      </c>
      <c r="Q840" s="34">
        <f>X839+Z839</f>
        <v/>
      </c>
      <c r="R840" s="29">
        <f>(1-LoadPremRate)*E840</f>
        <v/>
      </c>
      <c r="S840" s="34">
        <f>Q840+R840</f>
        <v/>
      </c>
      <c r="T840" s="29">
        <f>MaintFeeRateAnn/12*S840</f>
        <v/>
      </c>
      <c r="U840" s="29">
        <f>MAX(SumAssured-S840,0)</f>
        <v/>
      </c>
      <c r="V840" s="35">
        <f>CoiMultiple*G840</f>
        <v/>
      </c>
      <c r="W840" s="34">
        <f>V840*U840</f>
        <v/>
      </c>
      <c r="X840" s="34">
        <f>S840-T840-W840</f>
        <v/>
      </c>
      <c r="Y840" s="36">
        <f>EXP((Mu-0.5*Sigma^2)/12+Sigma*SQRT(1/12)*INDEX(NormRand,ScenID,A840+1))-1</f>
        <v/>
      </c>
      <c r="Z840" s="34">
        <f>Y840*X840</f>
        <v/>
      </c>
      <c r="AA840" s="34">
        <f>X840+0.5*Z840</f>
        <v/>
      </c>
      <c r="AB840" s="34">
        <f>Q840*J840</f>
        <v/>
      </c>
      <c r="AC840" s="34">
        <f>Q840*L840</f>
        <v/>
      </c>
      <c r="AD840" s="34">
        <f>S840*N840</f>
        <v/>
      </c>
      <c r="AE840" s="34">
        <f>E840*N840</f>
        <v/>
      </c>
      <c r="AF840" s="34">
        <f>R840*N840</f>
        <v/>
      </c>
      <c r="AG840" s="29">
        <f>MAX(SumAssured,AA840)</f>
        <v/>
      </c>
      <c r="AH840" s="34">
        <f>AG840*O840</f>
        <v/>
      </c>
      <c r="AI840" s="34">
        <f>AA840*O840</f>
        <v/>
      </c>
      <c r="AJ840" s="34">
        <f>AA840*P840</f>
        <v/>
      </c>
      <c r="AK840" s="34">
        <f>I840*AA840*P840</f>
        <v/>
      </c>
      <c r="AL840" s="34">
        <f>AJ840-AK840</f>
        <v/>
      </c>
      <c r="AM840" s="34">
        <f>Q840*K840</f>
        <v/>
      </c>
      <c r="AN840" s="34">
        <f>AH840+AL840+AM840</f>
        <v/>
      </c>
      <c r="AO840" s="34">
        <f>(AG840-AA840)*O840</f>
        <v/>
      </c>
      <c r="AP840" s="34">
        <f>W840*N840</f>
        <v/>
      </c>
      <c r="AQ840" s="34">
        <f>T840*N840</f>
        <v/>
      </c>
      <c r="AR840" s="34">
        <f>Z840*J841+0.5*Z840*(O840+P840)</f>
        <v/>
      </c>
      <c r="AS840" s="30">
        <f>(1+InflationRate)^(A840/12)</f>
        <v/>
      </c>
      <c r="AT840" s="29">
        <f>ExpenseAcq*M840+N840*ExpenseMaint/12*AS840</f>
        <v/>
      </c>
      <c r="AU840" s="29">
        <f>CommissionRate*AE840</f>
        <v/>
      </c>
      <c r="AV840" s="34">
        <f>AB841-AB840</f>
        <v/>
      </c>
      <c r="AW840" s="34">
        <f>AE840+AR840-AN840-AT840-AU840-AV840</f>
        <v/>
      </c>
      <c r="AX840" s="29">
        <f>LoadPremRate*E840*N840+AK840+AQ840-AU840-AT840</f>
        <v/>
      </c>
      <c r="AY840" s="34">
        <f>AP840-AO840</f>
        <v/>
      </c>
      <c r="AZ840" s="37">
        <f>(AW840-AX840-AY840)/MAX(1,ABS(AW840),ABS(AX840),ABS(AY840))</f>
        <v/>
      </c>
      <c r="BA840" s="37">
        <f>IF(OR(K840&gt;0,K841&gt;0),0,(AC841-(AC840+AF840-AQ840-AP840+AR840-AI840-AJ840-AM840))/MAX(1,ABS(AC840),ABS(AC841)))</f>
        <v/>
      </c>
      <c r="BB840" s="35">
        <f>(1+INDEX(DiscRateAnn,INT(A840/12)+1))^(1/12)-1</f>
        <v/>
      </c>
      <c r="BC840" s="31">
        <f>(1+BB840)^-A840</f>
        <v/>
      </c>
      <c r="BD840" s="34">
        <f>AW840*BC840</f>
        <v/>
      </c>
    </row>
    <row r="841">
      <c r="A841" s="27">
        <f>A840+1</f>
        <v/>
      </c>
      <c r="B841" s="28">
        <f>Duration0+A841</f>
        <v/>
      </c>
      <c r="C841" s="27">
        <f>INT(B841/12)</f>
        <v/>
      </c>
      <c r="D841" s="28">
        <f>AgeAtEntry+C841</f>
        <v/>
      </c>
      <c r="E841" s="29">
        <f>IF(PremiumType="SINGLE",IF(B841=0,PremiumPPInput,0),IF(B841&lt;12*PolicyTerm,PremiumPPInput,0))</f>
        <v/>
      </c>
      <c r="F841" s="30">
        <f>INDEX(MortRates,MATCH(MIN(D841,120),MortAges,0),MAX(MIN(C841,5),0)+1)</f>
        <v/>
      </c>
      <c r="G841" s="31">
        <f>1-(1-F841)^(1/12)</f>
        <v/>
      </c>
      <c r="H841" s="32">
        <f>MAX(LapseBase-LapseStep*C841,LapseFloor)</f>
        <v/>
      </c>
      <c r="I841" s="32">
        <f>IF(HasSurrCharge,INDEX(SurrRates,MIN(C841,SurrDurMax)+1,MATCH(SurrChargeID,SurrTypes,0)),0)</f>
        <v/>
      </c>
      <c r="J841" s="33">
        <f>N840-P840-O840</f>
        <v/>
      </c>
      <c r="K841" s="30">
        <f>IF(B841=12*PolicyTerm,J841,0)</f>
        <v/>
      </c>
      <c r="L841" s="33">
        <f>J841-K841</f>
        <v/>
      </c>
      <c r="M841" s="30">
        <f>IF(B841=0,PolicyCount,0)</f>
        <v/>
      </c>
      <c r="N841" s="33">
        <f>L841+M841</f>
        <v/>
      </c>
      <c r="O841" s="31">
        <f>N841*G841</f>
        <v/>
      </c>
      <c r="P841" s="33">
        <f>(N841-O841)*(1-(1-H841)^(1/12))</f>
        <v/>
      </c>
      <c r="Q841" s="34">
        <f>X840+Z840</f>
        <v/>
      </c>
      <c r="R841" s="29">
        <f>(1-LoadPremRate)*E841</f>
        <v/>
      </c>
      <c r="S841" s="34">
        <f>Q841+R841</f>
        <v/>
      </c>
      <c r="T841" s="29">
        <f>MaintFeeRateAnn/12*S841</f>
        <v/>
      </c>
      <c r="U841" s="29">
        <f>MAX(SumAssured-S841,0)</f>
        <v/>
      </c>
      <c r="V841" s="35">
        <f>CoiMultiple*G841</f>
        <v/>
      </c>
      <c r="W841" s="34">
        <f>V841*U841</f>
        <v/>
      </c>
      <c r="X841" s="34">
        <f>S841-T841-W841</f>
        <v/>
      </c>
      <c r="Y841" s="36">
        <f>EXP((Mu-0.5*Sigma^2)/12+Sigma*SQRT(1/12)*INDEX(NormRand,ScenID,A841+1))-1</f>
        <v/>
      </c>
      <c r="Z841" s="34">
        <f>Y841*X841</f>
        <v/>
      </c>
      <c r="AA841" s="34">
        <f>X841+0.5*Z841</f>
        <v/>
      </c>
      <c r="AB841" s="34">
        <f>Q841*J841</f>
        <v/>
      </c>
      <c r="AC841" s="34">
        <f>Q841*L841</f>
        <v/>
      </c>
      <c r="AD841" s="34">
        <f>S841*N841</f>
        <v/>
      </c>
      <c r="AE841" s="34">
        <f>E841*N841</f>
        <v/>
      </c>
      <c r="AF841" s="34">
        <f>R841*N841</f>
        <v/>
      </c>
      <c r="AG841" s="29">
        <f>MAX(SumAssured,AA841)</f>
        <v/>
      </c>
      <c r="AH841" s="34">
        <f>AG841*O841</f>
        <v/>
      </c>
      <c r="AI841" s="34">
        <f>AA841*O841</f>
        <v/>
      </c>
      <c r="AJ841" s="34">
        <f>AA841*P841</f>
        <v/>
      </c>
      <c r="AK841" s="34">
        <f>I841*AA841*P841</f>
        <v/>
      </c>
      <c r="AL841" s="34">
        <f>AJ841-AK841</f>
        <v/>
      </c>
      <c r="AM841" s="34">
        <f>Q841*K841</f>
        <v/>
      </c>
      <c r="AN841" s="34">
        <f>AH841+AL841+AM841</f>
        <v/>
      </c>
      <c r="AO841" s="34">
        <f>(AG841-AA841)*O841</f>
        <v/>
      </c>
      <c r="AP841" s="34">
        <f>W841*N841</f>
        <v/>
      </c>
      <c r="AQ841" s="34">
        <f>T841*N841</f>
        <v/>
      </c>
      <c r="AR841" s="34">
        <f>Z841*J842+0.5*Z841*(O841+P841)</f>
        <v/>
      </c>
      <c r="AS841" s="30">
        <f>(1+InflationRate)^(A841/12)</f>
        <v/>
      </c>
      <c r="AT841" s="29">
        <f>ExpenseAcq*M841+N841*ExpenseMaint/12*AS841</f>
        <v/>
      </c>
      <c r="AU841" s="29">
        <f>CommissionRate*AE841</f>
        <v/>
      </c>
      <c r="AV841" s="34">
        <f>AB842-AB841</f>
        <v/>
      </c>
      <c r="AW841" s="34">
        <f>AE841+AR841-AN841-AT841-AU841-AV841</f>
        <v/>
      </c>
      <c r="AX841" s="29">
        <f>LoadPremRate*E841*N841+AK841+AQ841-AU841-AT841</f>
        <v/>
      </c>
      <c r="AY841" s="34">
        <f>AP841-AO841</f>
        <v/>
      </c>
      <c r="AZ841" s="37">
        <f>(AW841-AX841-AY841)/MAX(1,ABS(AW841),ABS(AX841),ABS(AY841))</f>
        <v/>
      </c>
      <c r="BA841" s="37">
        <f>IF(OR(K841&gt;0,K842&gt;0),0,(AC842-(AC841+AF841-AQ841-AP841+AR841-AI841-AJ841-AM841))/MAX(1,ABS(AC841),ABS(AC842)))</f>
        <v/>
      </c>
      <c r="BB841" s="35">
        <f>(1+INDEX(DiscRateAnn,INT(A841/12)+1))^(1/12)-1</f>
        <v/>
      </c>
      <c r="BC841" s="31">
        <f>(1+BB841)^-A841</f>
        <v/>
      </c>
      <c r="BD841" s="34">
        <f>AW841*BC841</f>
        <v/>
      </c>
    </row>
    <row r="842">
      <c r="A842" s="27">
        <f>A841+1</f>
        <v/>
      </c>
      <c r="B842" s="28">
        <f>Duration0+A842</f>
        <v/>
      </c>
      <c r="C842" s="27">
        <f>INT(B842/12)</f>
        <v/>
      </c>
      <c r="D842" s="28">
        <f>AgeAtEntry+C842</f>
        <v/>
      </c>
      <c r="E842" s="29">
        <f>IF(PremiumType="SINGLE",IF(B842=0,PremiumPPInput,0),IF(B842&lt;12*PolicyTerm,PremiumPPInput,0))</f>
        <v/>
      </c>
      <c r="F842" s="30">
        <f>INDEX(MortRates,MATCH(MIN(D842,120),MortAges,0),MAX(MIN(C842,5),0)+1)</f>
        <v/>
      </c>
      <c r="G842" s="31">
        <f>1-(1-F842)^(1/12)</f>
        <v/>
      </c>
      <c r="H842" s="32">
        <f>MAX(LapseBase-LapseStep*C842,LapseFloor)</f>
        <v/>
      </c>
      <c r="I842" s="32">
        <f>IF(HasSurrCharge,INDEX(SurrRates,MIN(C842,SurrDurMax)+1,MATCH(SurrChargeID,SurrTypes,0)),0)</f>
        <v/>
      </c>
      <c r="J842" s="33">
        <f>N841-P841-O841</f>
        <v/>
      </c>
      <c r="K842" s="30">
        <f>IF(B842=12*PolicyTerm,J842,0)</f>
        <v/>
      </c>
      <c r="L842" s="33">
        <f>J842-K842</f>
        <v/>
      </c>
      <c r="M842" s="30">
        <f>IF(B842=0,PolicyCount,0)</f>
        <v/>
      </c>
      <c r="N842" s="33">
        <f>L842+M842</f>
        <v/>
      </c>
      <c r="O842" s="31">
        <f>N842*G842</f>
        <v/>
      </c>
      <c r="P842" s="33">
        <f>(N842-O842)*(1-(1-H842)^(1/12))</f>
        <v/>
      </c>
      <c r="Q842" s="34">
        <f>X841+Z841</f>
        <v/>
      </c>
      <c r="R842" s="29">
        <f>(1-LoadPremRate)*E842</f>
        <v/>
      </c>
      <c r="S842" s="34">
        <f>Q842+R842</f>
        <v/>
      </c>
      <c r="T842" s="29">
        <f>MaintFeeRateAnn/12*S842</f>
        <v/>
      </c>
      <c r="U842" s="29">
        <f>MAX(SumAssured-S842,0)</f>
        <v/>
      </c>
      <c r="V842" s="35">
        <f>CoiMultiple*G842</f>
        <v/>
      </c>
      <c r="W842" s="34">
        <f>V842*U842</f>
        <v/>
      </c>
      <c r="X842" s="34">
        <f>S842-T842-W842</f>
        <v/>
      </c>
      <c r="Y842" s="36">
        <f>EXP((Mu-0.5*Sigma^2)/12+Sigma*SQRT(1/12)*INDEX(NormRand,ScenID,A842+1))-1</f>
        <v/>
      </c>
      <c r="Z842" s="34">
        <f>Y842*X842</f>
        <v/>
      </c>
      <c r="AA842" s="34">
        <f>X842+0.5*Z842</f>
        <v/>
      </c>
      <c r="AB842" s="34">
        <f>Q842*J842</f>
        <v/>
      </c>
      <c r="AC842" s="34">
        <f>Q842*L842</f>
        <v/>
      </c>
      <c r="AD842" s="34">
        <f>S842*N842</f>
        <v/>
      </c>
      <c r="AE842" s="34">
        <f>E842*N842</f>
        <v/>
      </c>
      <c r="AF842" s="34">
        <f>R842*N842</f>
        <v/>
      </c>
      <c r="AG842" s="29">
        <f>MAX(SumAssured,AA842)</f>
        <v/>
      </c>
      <c r="AH842" s="34">
        <f>AG842*O842</f>
        <v/>
      </c>
      <c r="AI842" s="34">
        <f>AA842*O842</f>
        <v/>
      </c>
      <c r="AJ842" s="34">
        <f>AA842*P842</f>
        <v/>
      </c>
      <c r="AK842" s="34">
        <f>I842*AA842*P842</f>
        <v/>
      </c>
      <c r="AL842" s="34">
        <f>AJ842-AK842</f>
        <v/>
      </c>
      <c r="AM842" s="34">
        <f>Q842*K842</f>
        <v/>
      </c>
      <c r="AN842" s="34">
        <f>AH842+AL842+AM842</f>
        <v/>
      </c>
      <c r="AO842" s="34">
        <f>(AG842-AA842)*O842</f>
        <v/>
      </c>
      <c r="AP842" s="34">
        <f>W842*N842</f>
        <v/>
      </c>
      <c r="AQ842" s="34">
        <f>T842*N842</f>
        <v/>
      </c>
      <c r="AR842" s="34">
        <f>Z842*J843+0.5*Z842*(O842+P842)</f>
        <v/>
      </c>
      <c r="AS842" s="30">
        <f>(1+InflationRate)^(A842/12)</f>
        <v/>
      </c>
      <c r="AT842" s="29">
        <f>ExpenseAcq*M842+N842*ExpenseMaint/12*AS842</f>
        <v/>
      </c>
      <c r="AU842" s="29">
        <f>CommissionRate*AE842</f>
        <v/>
      </c>
      <c r="AV842" s="34">
        <f>AB843-AB842</f>
        <v/>
      </c>
      <c r="AW842" s="34">
        <f>AE842+AR842-AN842-AT842-AU842-AV842</f>
        <v/>
      </c>
      <c r="AX842" s="29">
        <f>LoadPremRate*E842*N842+AK842+AQ842-AU842-AT842</f>
        <v/>
      </c>
      <c r="AY842" s="34">
        <f>AP842-AO842</f>
        <v/>
      </c>
      <c r="AZ842" s="37">
        <f>(AW842-AX842-AY842)/MAX(1,ABS(AW842),ABS(AX842),ABS(AY842))</f>
        <v/>
      </c>
      <c r="BA842" s="37">
        <f>IF(OR(K842&gt;0,K843&gt;0),0,(AC843-(AC842+AF842-AQ842-AP842+AR842-AI842-AJ842-AM842))/MAX(1,ABS(AC842),ABS(AC843)))</f>
        <v/>
      </c>
      <c r="BB842" s="35">
        <f>(1+INDEX(DiscRateAnn,INT(A842/12)+1))^(1/12)-1</f>
        <v/>
      </c>
      <c r="BC842" s="31">
        <f>(1+BB842)^-A842</f>
        <v/>
      </c>
      <c r="BD842" s="34">
        <f>AW842*BC842</f>
        <v/>
      </c>
    </row>
    <row r="843">
      <c r="A843" s="27">
        <f>A842+1</f>
        <v/>
      </c>
      <c r="B843" s="28">
        <f>Duration0+A843</f>
        <v/>
      </c>
      <c r="C843" s="27">
        <f>INT(B843/12)</f>
        <v/>
      </c>
      <c r="D843" s="28">
        <f>AgeAtEntry+C843</f>
        <v/>
      </c>
      <c r="E843" s="29">
        <f>IF(PremiumType="SINGLE",IF(B843=0,PremiumPPInput,0),IF(B843&lt;12*PolicyTerm,PremiumPPInput,0))</f>
        <v/>
      </c>
      <c r="F843" s="30">
        <f>INDEX(MortRates,MATCH(MIN(D843,120),MortAges,0),MAX(MIN(C843,5),0)+1)</f>
        <v/>
      </c>
      <c r="G843" s="31">
        <f>1-(1-F843)^(1/12)</f>
        <v/>
      </c>
      <c r="H843" s="32">
        <f>MAX(LapseBase-LapseStep*C843,LapseFloor)</f>
        <v/>
      </c>
      <c r="I843" s="32">
        <f>IF(HasSurrCharge,INDEX(SurrRates,MIN(C843,SurrDurMax)+1,MATCH(SurrChargeID,SurrTypes,0)),0)</f>
        <v/>
      </c>
      <c r="J843" s="33">
        <f>N842-P842-O842</f>
        <v/>
      </c>
      <c r="K843" s="30">
        <f>IF(B843=12*PolicyTerm,J843,0)</f>
        <v/>
      </c>
      <c r="L843" s="33">
        <f>J843-K843</f>
        <v/>
      </c>
      <c r="M843" s="30">
        <f>IF(B843=0,PolicyCount,0)</f>
        <v/>
      </c>
      <c r="N843" s="33">
        <f>L843+M843</f>
        <v/>
      </c>
      <c r="O843" s="31">
        <f>N843*G843</f>
        <v/>
      </c>
      <c r="P843" s="33">
        <f>(N843-O843)*(1-(1-H843)^(1/12))</f>
        <v/>
      </c>
      <c r="Q843" s="34">
        <f>X842+Z842</f>
        <v/>
      </c>
      <c r="R843" s="29">
        <f>(1-LoadPremRate)*E843</f>
        <v/>
      </c>
      <c r="S843" s="34">
        <f>Q843+R843</f>
        <v/>
      </c>
      <c r="T843" s="29">
        <f>MaintFeeRateAnn/12*S843</f>
        <v/>
      </c>
      <c r="U843" s="29">
        <f>MAX(SumAssured-S843,0)</f>
        <v/>
      </c>
      <c r="V843" s="35">
        <f>CoiMultiple*G843</f>
        <v/>
      </c>
      <c r="W843" s="34">
        <f>V843*U843</f>
        <v/>
      </c>
      <c r="X843" s="34">
        <f>S843-T843-W843</f>
        <v/>
      </c>
      <c r="Y843" s="36">
        <f>EXP((Mu-0.5*Sigma^2)/12+Sigma*SQRT(1/12)*INDEX(NormRand,ScenID,A843+1))-1</f>
        <v/>
      </c>
      <c r="Z843" s="34">
        <f>Y843*X843</f>
        <v/>
      </c>
      <c r="AA843" s="34">
        <f>X843+0.5*Z843</f>
        <v/>
      </c>
      <c r="AB843" s="34">
        <f>Q843*J843</f>
        <v/>
      </c>
      <c r="AC843" s="34">
        <f>Q843*L843</f>
        <v/>
      </c>
      <c r="AD843" s="34">
        <f>S843*N843</f>
        <v/>
      </c>
      <c r="AE843" s="34">
        <f>E843*N843</f>
        <v/>
      </c>
      <c r="AF843" s="34">
        <f>R843*N843</f>
        <v/>
      </c>
      <c r="AG843" s="29">
        <f>MAX(SumAssured,AA843)</f>
        <v/>
      </c>
      <c r="AH843" s="34">
        <f>AG843*O843</f>
        <v/>
      </c>
      <c r="AI843" s="34">
        <f>AA843*O843</f>
        <v/>
      </c>
      <c r="AJ843" s="34">
        <f>AA843*P843</f>
        <v/>
      </c>
      <c r="AK843" s="34">
        <f>I843*AA843*P843</f>
        <v/>
      </c>
      <c r="AL843" s="34">
        <f>AJ843-AK843</f>
        <v/>
      </c>
      <c r="AM843" s="34">
        <f>Q843*K843</f>
        <v/>
      </c>
      <c r="AN843" s="34">
        <f>AH843+AL843+AM843</f>
        <v/>
      </c>
      <c r="AO843" s="34">
        <f>(AG843-AA843)*O843</f>
        <v/>
      </c>
      <c r="AP843" s="34">
        <f>W843*N843</f>
        <v/>
      </c>
      <c r="AQ843" s="34">
        <f>T843*N843</f>
        <v/>
      </c>
      <c r="AR843" s="34">
        <f>Z843*J844+0.5*Z843*(O843+P843)</f>
        <v/>
      </c>
      <c r="AS843" s="30">
        <f>(1+InflationRate)^(A843/12)</f>
        <v/>
      </c>
      <c r="AT843" s="29">
        <f>ExpenseAcq*M843+N843*ExpenseMaint/12*AS843</f>
        <v/>
      </c>
      <c r="AU843" s="29">
        <f>CommissionRate*AE843</f>
        <v/>
      </c>
      <c r="AV843" s="34">
        <f>AB844-AB843</f>
        <v/>
      </c>
      <c r="AW843" s="34">
        <f>AE843+AR843-AN843-AT843-AU843-AV843</f>
        <v/>
      </c>
      <c r="AX843" s="29">
        <f>LoadPremRate*E843*N843+AK843+AQ843-AU843-AT843</f>
        <v/>
      </c>
      <c r="AY843" s="34">
        <f>AP843-AO843</f>
        <v/>
      </c>
      <c r="AZ843" s="37">
        <f>(AW843-AX843-AY843)/MAX(1,ABS(AW843),ABS(AX843),ABS(AY843))</f>
        <v/>
      </c>
      <c r="BA843" s="37">
        <f>IF(OR(K843&gt;0,K844&gt;0),0,(AC844-(AC843+AF843-AQ843-AP843+AR843-AI843-AJ843-AM843))/MAX(1,ABS(AC843),ABS(AC844)))</f>
        <v/>
      </c>
      <c r="BB843" s="35">
        <f>(1+INDEX(DiscRateAnn,INT(A843/12)+1))^(1/12)-1</f>
        <v/>
      </c>
      <c r="BC843" s="31">
        <f>(1+BB843)^-A843</f>
        <v/>
      </c>
      <c r="BD843" s="34">
        <f>AW843*BC843</f>
        <v/>
      </c>
    </row>
    <row r="844">
      <c r="A844" s="27">
        <f>A843+1</f>
        <v/>
      </c>
      <c r="B844" s="28">
        <f>Duration0+A844</f>
        <v/>
      </c>
      <c r="C844" s="27">
        <f>INT(B844/12)</f>
        <v/>
      </c>
      <c r="D844" s="28">
        <f>AgeAtEntry+C844</f>
        <v/>
      </c>
      <c r="E844" s="29">
        <f>IF(PremiumType="SINGLE",IF(B844=0,PremiumPPInput,0),IF(B844&lt;12*PolicyTerm,PremiumPPInput,0))</f>
        <v/>
      </c>
      <c r="F844" s="30">
        <f>INDEX(MortRates,MATCH(MIN(D844,120),MortAges,0),MAX(MIN(C844,5),0)+1)</f>
        <v/>
      </c>
      <c r="G844" s="31">
        <f>1-(1-F844)^(1/12)</f>
        <v/>
      </c>
      <c r="H844" s="32">
        <f>MAX(LapseBase-LapseStep*C844,LapseFloor)</f>
        <v/>
      </c>
      <c r="I844" s="32">
        <f>IF(HasSurrCharge,INDEX(SurrRates,MIN(C844,SurrDurMax)+1,MATCH(SurrChargeID,SurrTypes,0)),0)</f>
        <v/>
      </c>
      <c r="J844" s="33">
        <f>N843-P843-O843</f>
        <v/>
      </c>
      <c r="K844" s="30">
        <f>IF(B844=12*PolicyTerm,J844,0)</f>
        <v/>
      </c>
      <c r="L844" s="33">
        <f>J844-K844</f>
        <v/>
      </c>
      <c r="M844" s="30">
        <f>IF(B844=0,PolicyCount,0)</f>
        <v/>
      </c>
      <c r="N844" s="33">
        <f>L844+M844</f>
        <v/>
      </c>
      <c r="O844" s="31">
        <f>N844*G844</f>
        <v/>
      </c>
      <c r="P844" s="33">
        <f>(N844-O844)*(1-(1-H844)^(1/12))</f>
        <v/>
      </c>
      <c r="Q844" s="34">
        <f>X843+Z843</f>
        <v/>
      </c>
      <c r="R844" s="29">
        <f>(1-LoadPremRate)*E844</f>
        <v/>
      </c>
      <c r="S844" s="34">
        <f>Q844+R844</f>
        <v/>
      </c>
      <c r="T844" s="29">
        <f>MaintFeeRateAnn/12*S844</f>
        <v/>
      </c>
      <c r="U844" s="29">
        <f>MAX(SumAssured-S844,0)</f>
        <v/>
      </c>
      <c r="V844" s="35">
        <f>CoiMultiple*G844</f>
        <v/>
      </c>
      <c r="W844" s="34">
        <f>V844*U844</f>
        <v/>
      </c>
      <c r="X844" s="34">
        <f>S844-T844-W844</f>
        <v/>
      </c>
      <c r="Y844" s="36">
        <f>EXP((Mu-0.5*Sigma^2)/12+Sigma*SQRT(1/12)*INDEX(NormRand,ScenID,A844+1))-1</f>
        <v/>
      </c>
      <c r="Z844" s="34">
        <f>Y844*X844</f>
        <v/>
      </c>
      <c r="AA844" s="34">
        <f>X844+0.5*Z844</f>
        <v/>
      </c>
      <c r="AB844" s="34">
        <f>Q844*J844</f>
        <v/>
      </c>
      <c r="AC844" s="34">
        <f>Q844*L844</f>
        <v/>
      </c>
      <c r="AD844" s="34">
        <f>S844*N844</f>
        <v/>
      </c>
      <c r="AE844" s="34">
        <f>E844*N844</f>
        <v/>
      </c>
      <c r="AF844" s="34">
        <f>R844*N844</f>
        <v/>
      </c>
      <c r="AG844" s="29">
        <f>MAX(SumAssured,AA844)</f>
        <v/>
      </c>
      <c r="AH844" s="34">
        <f>AG844*O844</f>
        <v/>
      </c>
      <c r="AI844" s="34">
        <f>AA844*O844</f>
        <v/>
      </c>
      <c r="AJ844" s="34">
        <f>AA844*P844</f>
        <v/>
      </c>
      <c r="AK844" s="34">
        <f>I844*AA844*P844</f>
        <v/>
      </c>
      <c r="AL844" s="34">
        <f>AJ844-AK844</f>
        <v/>
      </c>
      <c r="AM844" s="34">
        <f>Q844*K844</f>
        <v/>
      </c>
      <c r="AN844" s="34">
        <f>AH844+AL844+AM844</f>
        <v/>
      </c>
      <c r="AO844" s="34">
        <f>(AG844-AA844)*O844</f>
        <v/>
      </c>
      <c r="AP844" s="34">
        <f>W844*N844</f>
        <v/>
      </c>
      <c r="AQ844" s="34">
        <f>T844*N844</f>
        <v/>
      </c>
      <c r="AR844" s="34">
        <f>Z844*J845+0.5*Z844*(O844+P844)</f>
        <v/>
      </c>
      <c r="AS844" s="30">
        <f>(1+InflationRate)^(A844/12)</f>
        <v/>
      </c>
      <c r="AT844" s="29">
        <f>ExpenseAcq*M844+N844*ExpenseMaint/12*AS844</f>
        <v/>
      </c>
      <c r="AU844" s="29">
        <f>CommissionRate*AE844</f>
        <v/>
      </c>
      <c r="AV844" s="34">
        <f>AB845-AB844</f>
        <v/>
      </c>
      <c r="AW844" s="34">
        <f>AE844+AR844-AN844-AT844-AU844-AV844</f>
        <v/>
      </c>
      <c r="AX844" s="29">
        <f>LoadPremRate*E844*N844+AK844+AQ844-AU844-AT844</f>
        <v/>
      </c>
      <c r="AY844" s="34">
        <f>AP844-AO844</f>
        <v/>
      </c>
      <c r="AZ844" s="37">
        <f>(AW844-AX844-AY844)/MAX(1,ABS(AW844),ABS(AX844),ABS(AY844))</f>
        <v/>
      </c>
      <c r="BA844" s="37">
        <f>IF(OR(K844&gt;0,K845&gt;0),0,(AC845-(AC844+AF844-AQ844-AP844+AR844-AI844-AJ844-AM844))/MAX(1,ABS(AC844),ABS(AC845)))</f>
        <v/>
      </c>
      <c r="BB844" s="35">
        <f>(1+INDEX(DiscRateAnn,INT(A844/12)+1))^(1/12)-1</f>
        <v/>
      </c>
      <c r="BC844" s="31">
        <f>(1+BB844)^-A844</f>
        <v/>
      </c>
      <c r="BD844" s="34">
        <f>AW844*BC844</f>
        <v/>
      </c>
    </row>
    <row r="845">
      <c r="A845" s="27">
        <f>A844+1</f>
        <v/>
      </c>
      <c r="B845" s="28">
        <f>Duration0+A845</f>
        <v/>
      </c>
      <c r="C845" s="27">
        <f>INT(B845/12)</f>
        <v/>
      </c>
      <c r="D845" s="28">
        <f>AgeAtEntry+C845</f>
        <v/>
      </c>
      <c r="E845" s="29">
        <f>IF(PremiumType="SINGLE",IF(B845=0,PremiumPPInput,0),IF(B845&lt;12*PolicyTerm,PremiumPPInput,0))</f>
        <v/>
      </c>
      <c r="F845" s="30">
        <f>INDEX(MortRates,MATCH(MIN(D845,120),MortAges,0),MAX(MIN(C845,5),0)+1)</f>
        <v/>
      </c>
      <c r="G845" s="31">
        <f>1-(1-F845)^(1/12)</f>
        <v/>
      </c>
      <c r="H845" s="32">
        <f>MAX(LapseBase-LapseStep*C845,LapseFloor)</f>
        <v/>
      </c>
      <c r="I845" s="32">
        <f>IF(HasSurrCharge,INDEX(SurrRates,MIN(C845,SurrDurMax)+1,MATCH(SurrChargeID,SurrTypes,0)),0)</f>
        <v/>
      </c>
      <c r="J845" s="33">
        <f>N844-P844-O844</f>
        <v/>
      </c>
      <c r="K845" s="30">
        <f>IF(B845=12*PolicyTerm,J845,0)</f>
        <v/>
      </c>
      <c r="L845" s="33">
        <f>J845-K845</f>
        <v/>
      </c>
      <c r="M845" s="30">
        <f>IF(B845=0,PolicyCount,0)</f>
        <v/>
      </c>
      <c r="N845" s="33">
        <f>L845+M845</f>
        <v/>
      </c>
      <c r="O845" s="31">
        <f>N845*G845</f>
        <v/>
      </c>
      <c r="P845" s="33">
        <f>(N845-O845)*(1-(1-H845)^(1/12))</f>
        <v/>
      </c>
      <c r="Q845" s="34">
        <f>X844+Z844</f>
        <v/>
      </c>
      <c r="R845" s="29">
        <f>(1-LoadPremRate)*E845</f>
        <v/>
      </c>
      <c r="S845" s="34">
        <f>Q845+R845</f>
        <v/>
      </c>
      <c r="T845" s="29">
        <f>MaintFeeRateAnn/12*S845</f>
        <v/>
      </c>
      <c r="U845" s="29">
        <f>MAX(SumAssured-S845,0)</f>
        <v/>
      </c>
      <c r="V845" s="35">
        <f>CoiMultiple*G845</f>
        <v/>
      </c>
      <c r="W845" s="34">
        <f>V845*U845</f>
        <v/>
      </c>
      <c r="X845" s="34">
        <f>S845-T845-W845</f>
        <v/>
      </c>
      <c r="Y845" s="36">
        <f>EXP((Mu-0.5*Sigma^2)/12+Sigma*SQRT(1/12)*INDEX(NormRand,ScenID,A845+1))-1</f>
        <v/>
      </c>
      <c r="Z845" s="34">
        <f>Y845*X845</f>
        <v/>
      </c>
      <c r="AA845" s="34">
        <f>X845+0.5*Z845</f>
        <v/>
      </c>
      <c r="AB845" s="34">
        <f>Q845*J845</f>
        <v/>
      </c>
      <c r="AC845" s="34">
        <f>Q845*L845</f>
        <v/>
      </c>
      <c r="AD845" s="34">
        <f>S845*N845</f>
        <v/>
      </c>
      <c r="AE845" s="34">
        <f>E845*N845</f>
        <v/>
      </c>
      <c r="AF845" s="34">
        <f>R845*N845</f>
        <v/>
      </c>
      <c r="AG845" s="29">
        <f>MAX(SumAssured,AA845)</f>
        <v/>
      </c>
      <c r="AH845" s="34">
        <f>AG845*O845</f>
        <v/>
      </c>
      <c r="AI845" s="34">
        <f>AA845*O845</f>
        <v/>
      </c>
      <c r="AJ845" s="34">
        <f>AA845*P845</f>
        <v/>
      </c>
      <c r="AK845" s="34">
        <f>I845*AA845*P845</f>
        <v/>
      </c>
      <c r="AL845" s="34">
        <f>AJ845-AK845</f>
        <v/>
      </c>
      <c r="AM845" s="34">
        <f>Q845*K845</f>
        <v/>
      </c>
      <c r="AN845" s="34">
        <f>AH845+AL845+AM845</f>
        <v/>
      </c>
      <c r="AO845" s="34">
        <f>(AG845-AA845)*O845</f>
        <v/>
      </c>
      <c r="AP845" s="34">
        <f>W845*N845</f>
        <v/>
      </c>
      <c r="AQ845" s="34">
        <f>T845*N845</f>
        <v/>
      </c>
      <c r="AR845" s="34">
        <f>Z845*J846+0.5*Z845*(O845+P845)</f>
        <v/>
      </c>
      <c r="AS845" s="30">
        <f>(1+InflationRate)^(A845/12)</f>
        <v/>
      </c>
      <c r="AT845" s="29">
        <f>ExpenseAcq*M845+N845*ExpenseMaint/12*AS845</f>
        <v/>
      </c>
      <c r="AU845" s="29">
        <f>CommissionRate*AE845</f>
        <v/>
      </c>
      <c r="AV845" s="34">
        <f>AB846-AB845</f>
        <v/>
      </c>
      <c r="AW845" s="34">
        <f>AE845+AR845-AN845-AT845-AU845-AV845</f>
        <v/>
      </c>
      <c r="AX845" s="29">
        <f>LoadPremRate*E845*N845+AK845+AQ845-AU845-AT845</f>
        <v/>
      </c>
      <c r="AY845" s="34">
        <f>AP845-AO845</f>
        <v/>
      </c>
      <c r="AZ845" s="37">
        <f>(AW845-AX845-AY845)/MAX(1,ABS(AW845),ABS(AX845),ABS(AY845))</f>
        <v/>
      </c>
      <c r="BA845" s="37">
        <f>IF(OR(K845&gt;0,K846&gt;0),0,(AC846-(AC845+AF845-AQ845-AP845+AR845-AI845-AJ845-AM845))/MAX(1,ABS(AC845),ABS(AC846)))</f>
        <v/>
      </c>
      <c r="BB845" s="35">
        <f>(1+INDEX(DiscRateAnn,INT(A845/12)+1))^(1/12)-1</f>
        <v/>
      </c>
      <c r="BC845" s="31">
        <f>(1+BB845)^-A845</f>
        <v/>
      </c>
      <c r="BD845" s="34">
        <f>AW845*BC845</f>
        <v/>
      </c>
    </row>
    <row r="846">
      <c r="A846" s="27">
        <f>A845+1</f>
        <v/>
      </c>
      <c r="B846" s="28">
        <f>Duration0+A846</f>
        <v/>
      </c>
      <c r="C846" s="27">
        <f>INT(B846/12)</f>
        <v/>
      </c>
      <c r="D846" s="28">
        <f>AgeAtEntry+C846</f>
        <v/>
      </c>
      <c r="E846" s="29">
        <f>IF(PremiumType="SINGLE",IF(B846=0,PremiumPPInput,0),IF(B846&lt;12*PolicyTerm,PremiumPPInput,0))</f>
        <v/>
      </c>
      <c r="F846" s="30">
        <f>INDEX(MortRates,MATCH(MIN(D846,120),MortAges,0),MAX(MIN(C846,5),0)+1)</f>
        <v/>
      </c>
      <c r="G846" s="31">
        <f>1-(1-F846)^(1/12)</f>
        <v/>
      </c>
      <c r="H846" s="32">
        <f>MAX(LapseBase-LapseStep*C846,LapseFloor)</f>
        <v/>
      </c>
      <c r="I846" s="32">
        <f>IF(HasSurrCharge,INDEX(SurrRates,MIN(C846,SurrDurMax)+1,MATCH(SurrChargeID,SurrTypes,0)),0)</f>
        <v/>
      </c>
      <c r="J846" s="33">
        <f>N845-P845-O845</f>
        <v/>
      </c>
      <c r="K846" s="30">
        <f>IF(B846=12*PolicyTerm,J846,0)</f>
        <v/>
      </c>
      <c r="L846" s="33">
        <f>J846-K846</f>
        <v/>
      </c>
      <c r="M846" s="30">
        <f>IF(B846=0,PolicyCount,0)</f>
        <v/>
      </c>
      <c r="N846" s="33">
        <f>L846+M846</f>
        <v/>
      </c>
      <c r="O846" s="31">
        <f>N846*G846</f>
        <v/>
      </c>
      <c r="P846" s="33">
        <f>(N846-O846)*(1-(1-H846)^(1/12))</f>
        <v/>
      </c>
      <c r="Q846" s="34">
        <f>X845+Z845</f>
        <v/>
      </c>
      <c r="R846" s="29">
        <f>(1-LoadPremRate)*E846</f>
        <v/>
      </c>
      <c r="S846" s="34">
        <f>Q846+R846</f>
        <v/>
      </c>
      <c r="T846" s="29">
        <f>MaintFeeRateAnn/12*S846</f>
        <v/>
      </c>
      <c r="U846" s="29">
        <f>MAX(SumAssured-S846,0)</f>
        <v/>
      </c>
      <c r="V846" s="35">
        <f>CoiMultiple*G846</f>
        <v/>
      </c>
      <c r="W846" s="34">
        <f>V846*U846</f>
        <v/>
      </c>
      <c r="X846" s="34">
        <f>S846-T846-W846</f>
        <v/>
      </c>
      <c r="Y846" s="36">
        <f>EXP((Mu-0.5*Sigma^2)/12+Sigma*SQRT(1/12)*INDEX(NormRand,ScenID,A846+1))-1</f>
        <v/>
      </c>
      <c r="Z846" s="34">
        <f>Y846*X846</f>
        <v/>
      </c>
      <c r="AA846" s="34">
        <f>X846+0.5*Z846</f>
        <v/>
      </c>
      <c r="AB846" s="34">
        <f>Q846*J846</f>
        <v/>
      </c>
      <c r="AC846" s="34">
        <f>Q846*L846</f>
        <v/>
      </c>
      <c r="AD846" s="34">
        <f>S846*N846</f>
        <v/>
      </c>
      <c r="AE846" s="34">
        <f>E846*N846</f>
        <v/>
      </c>
      <c r="AF846" s="34">
        <f>R846*N846</f>
        <v/>
      </c>
      <c r="AG846" s="29">
        <f>MAX(SumAssured,AA846)</f>
        <v/>
      </c>
      <c r="AH846" s="34">
        <f>AG846*O846</f>
        <v/>
      </c>
      <c r="AI846" s="34">
        <f>AA846*O846</f>
        <v/>
      </c>
      <c r="AJ846" s="34">
        <f>AA846*P846</f>
        <v/>
      </c>
      <c r="AK846" s="34">
        <f>I846*AA846*P846</f>
        <v/>
      </c>
      <c r="AL846" s="34">
        <f>AJ846-AK846</f>
        <v/>
      </c>
      <c r="AM846" s="34">
        <f>Q846*K846</f>
        <v/>
      </c>
      <c r="AN846" s="34">
        <f>AH846+AL846+AM846</f>
        <v/>
      </c>
      <c r="AO846" s="34">
        <f>(AG846-AA846)*O846</f>
        <v/>
      </c>
      <c r="AP846" s="34">
        <f>W846*N846</f>
        <v/>
      </c>
      <c r="AQ846" s="34">
        <f>T846*N846</f>
        <v/>
      </c>
      <c r="AR846" s="34">
        <f>Z846*J847+0.5*Z846*(O846+P846)</f>
        <v/>
      </c>
      <c r="AS846" s="30">
        <f>(1+InflationRate)^(A846/12)</f>
        <v/>
      </c>
      <c r="AT846" s="29">
        <f>ExpenseAcq*M846+N846*ExpenseMaint/12*AS846</f>
        <v/>
      </c>
      <c r="AU846" s="29">
        <f>CommissionRate*AE846</f>
        <v/>
      </c>
      <c r="AV846" s="34">
        <f>AB847-AB846</f>
        <v/>
      </c>
      <c r="AW846" s="34">
        <f>AE846+AR846-AN846-AT846-AU846-AV846</f>
        <v/>
      </c>
      <c r="AX846" s="29">
        <f>LoadPremRate*E846*N846+AK846+AQ846-AU846-AT846</f>
        <v/>
      </c>
      <c r="AY846" s="34">
        <f>AP846-AO846</f>
        <v/>
      </c>
      <c r="AZ846" s="37">
        <f>(AW846-AX846-AY846)/MAX(1,ABS(AW846),ABS(AX846),ABS(AY846))</f>
        <v/>
      </c>
      <c r="BA846" s="37">
        <f>IF(OR(K846&gt;0,K847&gt;0),0,(AC847-(AC846+AF846-AQ846-AP846+AR846-AI846-AJ846-AM846))/MAX(1,ABS(AC846),ABS(AC847)))</f>
        <v/>
      </c>
      <c r="BB846" s="35">
        <f>(1+INDEX(DiscRateAnn,INT(A846/12)+1))^(1/12)-1</f>
        <v/>
      </c>
      <c r="BC846" s="31">
        <f>(1+BB846)^-A846</f>
        <v/>
      </c>
      <c r="BD846" s="34">
        <f>AW846*BC846</f>
        <v/>
      </c>
    </row>
    <row r="847">
      <c r="A847" s="27">
        <f>A846+1</f>
        <v/>
      </c>
      <c r="B847" s="28">
        <f>Duration0+A847</f>
        <v/>
      </c>
      <c r="C847" s="27">
        <f>INT(B847/12)</f>
        <v/>
      </c>
      <c r="D847" s="28">
        <f>AgeAtEntry+C847</f>
        <v/>
      </c>
      <c r="E847" s="29">
        <f>IF(PremiumType="SINGLE",IF(B847=0,PremiumPPInput,0),IF(B847&lt;12*PolicyTerm,PremiumPPInput,0))</f>
        <v/>
      </c>
      <c r="F847" s="30">
        <f>INDEX(MortRates,MATCH(MIN(D847,120),MortAges,0),MAX(MIN(C847,5),0)+1)</f>
        <v/>
      </c>
      <c r="G847" s="31">
        <f>1-(1-F847)^(1/12)</f>
        <v/>
      </c>
      <c r="H847" s="32">
        <f>MAX(LapseBase-LapseStep*C847,LapseFloor)</f>
        <v/>
      </c>
      <c r="I847" s="32">
        <f>IF(HasSurrCharge,INDEX(SurrRates,MIN(C847,SurrDurMax)+1,MATCH(SurrChargeID,SurrTypes,0)),0)</f>
        <v/>
      </c>
      <c r="J847" s="33">
        <f>N846-P846-O846</f>
        <v/>
      </c>
      <c r="K847" s="30">
        <f>IF(B847=12*PolicyTerm,J847,0)</f>
        <v/>
      </c>
      <c r="L847" s="33">
        <f>J847-K847</f>
        <v/>
      </c>
      <c r="M847" s="30">
        <f>IF(B847=0,PolicyCount,0)</f>
        <v/>
      </c>
      <c r="N847" s="33">
        <f>L847+M847</f>
        <v/>
      </c>
      <c r="O847" s="31">
        <f>N847*G847</f>
        <v/>
      </c>
      <c r="P847" s="33">
        <f>(N847-O847)*(1-(1-H847)^(1/12))</f>
        <v/>
      </c>
      <c r="Q847" s="34">
        <f>X846+Z846</f>
        <v/>
      </c>
      <c r="R847" s="29">
        <f>(1-LoadPremRate)*E847</f>
        <v/>
      </c>
      <c r="S847" s="34">
        <f>Q847+R847</f>
        <v/>
      </c>
      <c r="T847" s="29">
        <f>MaintFeeRateAnn/12*S847</f>
        <v/>
      </c>
      <c r="U847" s="29">
        <f>MAX(SumAssured-S847,0)</f>
        <v/>
      </c>
      <c r="V847" s="35">
        <f>CoiMultiple*G847</f>
        <v/>
      </c>
      <c r="W847" s="34">
        <f>V847*U847</f>
        <v/>
      </c>
      <c r="X847" s="34">
        <f>S847-T847-W847</f>
        <v/>
      </c>
      <c r="Y847" s="36">
        <f>EXP((Mu-0.5*Sigma^2)/12+Sigma*SQRT(1/12)*INDEX(NormRand,ScenID,A847+1))-1</f>
        <v/>
      </c>
      <c r="Z847" s="34">
        <f>Y847*X847</f>
        <v/>
      </c>
      <c r="AA847" s="34">
        <f>X847+0.5*Z847</f>
        <v/>
      </c>
      <c r="AB847" s="34">
        <f>Q847*J847</f>
        <v/>
      </c>
      <c r="AC847" s="34">
        <f>Q847*L847</f>
        <v/>
      </c>
      <c r="AD847" s="34">
        <f>S847*N847</f>
        <v/>
      </c>
      <c r="AE847" s="34">
        <f>E847*N847</f>
        <v/>
      </c>
      <c r="AF847" s="34">
        <f>R847*N847</f>
        <v/>
      </c>
      <c r="AG847" s="29">
        <f>MAX(SumAssured,AA847)</f>
        <v/>
      </c>
      <c r="AH847" s="34">
        <f>AG847*O847</f>
        <v/>
      </c>
      <c r="AI847" s="34">
        <f>AA847*O847</f>
        <v/>
      </c>
      <c r="AJ847" s="34">
        <f>AA847*P847</f>
        <v/>
      </c>
      <c r="AK847" s="34">
        <f>I847*AA847*P847</f>
        <v/>
      </c>
      <c r="AL847" s="34">
        <f>AJ847-AK847</f>
        <v/>
      </c>
      <c r="AM847" s="34">
        <f>Q847*K847</f>
        <v/>
      </c>
      <c r="AN847" s="34">
        <f>AH847+AL847+AM847</f>
        <v/>
      </c>
      <c r="AO847" s="34">
        <f>(AG847-AA847)*O847</f>
        <v/>
      </c>
      <c r="AP847" s="34">
        <f>W847*N847</f>
        <v/>
      </c>
      <c r="AQ847" s="34">
        <f>T847*N847</f>
        <v/>
      </c>
      <c r="AR847" s="34">
        <f>Z847*J848+0.5*Z847*(O847+P847)</f>
        <v/>
      </c>
      <c r="AS847" s="30">
        <f>(1+InflationRate)^(A847/12)</f>
        <v/>
      </c>
      <c r="AT847" s="29">
        <f>ExpenseAcq*M847+N847*ExpenseMaint/12*AS847</f>
        <v/>
      </c>
      <c r="AU847" s="29">
        <f>CommissionRate*AE847</f>
        <v/>
      </c>
      <c r="AV847" s="34">
        <f>AB848-AB847</f>
        <v/>
      </c>
      <c r="AW847" s="34">
        <f>AE847+AR847-AN847-AT847-AU847-AV847</f>
        <v/>
      </c>
      <c r="AX847" s="29">
        <f>LoadPremRate*E847*N847+AK847+AQ847-AU847-AT847</f>
        <v/>
      </c>
      <c r="AY847" s="34">
        <f>AP847-AO847</f>
        <v/>
      </c>
      <c r="AZ847" s="37">
        <f>(AW847-AX847-AY847)/MAX(1,ABS(AW847),ABS(AX847),ABS(AY847))</f>
        <v/>
      </c>
      <c r="BA847" s="37">
        <f>IF(OR(K847&gt;0,K848&gt;0),0,(AC848-(AC847+AF847-AQ847-AP847+AR847-AI847-AJ847-AM847))/MAX(1,ABS(AC847),ABS(AC848)))</f>
        <v/>
      </c>
      <c r="BB847" s="35">
        <f>(1+INDEX(DiscRateAnn,INT(A847/12)+1))^(1/12)-1</f>
        <v/>
      </c>
      <c r="BC847" s="31">
        <f>(1+BB847)^-A847</f>
        <v/>
      </c>
      <c r="BD847" s="34">
        <f>AW847*BC847</f>
        <v/>
      </c>
    </row>
    <row r="848">
      <c r="A848" s="27">
        <f>A847+1</f>
        <v/>
      </c>
      <c r="B848" s="28">
        <f>Duration0+A848</f>
        <v/>
      </c>
      <c r="C848" s="27">
        <f>INT(B848/12)</f>
        <v/>
      </c>
      <c r="D848" s="28">
        <f>AgeAtEntry+C848</f>
        <v/>
      </c>
      <c r="E848" s="29">
        <f>IF(PremiumType="SINGLE",IF(B848=0,PremiumPPInput,0),IF(B848&lt;12*PolicyTerm,PremiumPPInput,0))</f>
        <v/>
      </c>
      <c r="F848" s="30">
        <f>INDEX(MortRates,MATCH(MIN(D848,120),MortAges,0),MAX(MIN(C848,5),0)+1)</f>
        <v/>
      </c>
      <c r="G848" s="31">
        <f>1-(1-F848)^(1/12)</f>
        <v/>
      </c>
      <c r="H848" s="32">
        <f>MAX(LapseBase-LapseStep*C848,LapseFloor)</f>
        <v/>
      </c>
      <c r="I848" s="32">
        <f>IF(HasSurrCharge,INDEX(SurrRates,MIN(C848,SurrDurMax)+1,MATCH(SurrChargeID,SurrTypes,0)),0)</f>
        <v/>
      </c>
      <c r="J848" s="33">
        <f>N847-P847-O847</f>
        <v/>
      </c>
      <c r="K848" s="30">
        <f>IF(B848=12*PolicyTerm,J848,0)</f>
        <v/>
      </c>
      <c r="L848" s="33">
        <f>J848-K848</f>
        <v/>
      </c>
      <c r="M848" s="30">
        <f>IF(B848=0,PolicyCount,0)</f>
        <v/>
      </c>
      <c r="N848" s="33">
        <f>L848+M848</f>
        <v/>
      </c>
      <c r="O848" s="31">
        <f>N848*G848</f>
        <v/>
      </c>
      <c r="P848" s="33">
        <f>(N848-O848)*(1-(1-H848)^(1/12))</f>
        <v/>
      </c>
      <c r="Q848" s="34">
        <f>X847+Z847</f>
        <v/>
      </c>
      <c r="R848" s="29">
        <f>(1-LoadPremRate)*E848</f>
        <v/>
      </c>
      <c r="S848" s="34">
        <f>Q848+R848</f>
        <v/>
      </c>
      <c r="T848" s="29">
        <f>MaintFeeRateAnn/12*S848</f>
        <v/>
      </c>
      <c r="U848" s="29">
        <f>MAX(SumAssured-S848,0)</f>
        <v/>
      </c>
      <c r="V848" s="35">
        <f>CoiMultiple*G848</f>
        <v/>
      </c>
      <c r="W848" s="34">
        <f>V848*U848</f>
        <v/>
      </c>
      <c r="X848" s="34">
        <f>S848-T848-W848</f>
        <v/>
      </c>
      <c r="Y848" s="36">
        <f>EXP((Mu-0.5*Sigma^2)/12+Sigma*SQRT(1/12)*INDEX(NormRand,ScenID,A848+1))-1</f>
        <v/>
      </c>
      <c r="Z848" s="34">
        <f>Y848*X848</f>
        <v/>
      </c>
      <c r="AA848" s="34">
        <f>X848+0.5*Z848</f>
        <v/>
      </c>
      <c r="AB848" s="34">
        <f>Q848*J848</f>
        <v/>
      </c>
      <c r="AC848" s="34">
        <f>Q848*L848</f>
        <v/>
      </c>
      <c r="AD848" s="34">
        <f>S848*N848</f>
        <v/>
      </c>
      <c r="AE848" s="34">
        <f>E848*N848</f>
        <v/>
      </c>
      <c r="AF848" s="34">
        <f>R848*N848</f>
        <v/>
      </c>
      <c r="AG848" s="29">
        <f>MAX(SumAssured,AA848)</f>
        <v/>
      </c>
      <c r="AH848" s="34">
        <f>AG848*O848</f>
        <v/>
      </c>
      <c r="AI848" s="34">
        <f>AA848*O848</f>
        <v/>
      </c>
      <c r="AJ848" s="34">
        <f>AA848*P848</f>
        <v/>
      </c>
      <c r="AK848" s="34">
        <f>I848*AA848*P848</f>
        <v/>
      </c>
      <c r="AL848" s="34">
        <f>AJ848-AK848</f>
        <v/>
      </c>
      <c r="AM848" s="34">
        <f>Q848*K848</f>
        <v/>
      </c>
      <c r="AN848" s="34">
        <f>AH848+AL848+AM848</f>
        <v/>
      </c>
      <c r="AO848" s="34">
        <f>(AG848-AA848)*O848</f>
        <v/>
      </c>
      <c r="AP848" s="34">
        <f>W848*N848</f>
        <v/>
      </c>
      <c r="AQ848" s="34">
        <f>T848*N848</f>
        <v/>
      </c>
      <c r="AR848" s="34">
        <f>Z848*J849+0.5*Z848*(O848+P848)</f>
        <v/>
      </c>
      <c r="AS848" s="30">
        <f>(1+InflationRate)^(A848/12)</f>
        <v/>
      </c>
      <c r="AT848" s="29">
        <f>ExpenseAcq*M848+N848*ExpenseMaint/12*AS848</f>
        <v/>
      </c>
      <c r="AU848" s="29">
        <f>CommissionRate*AE848</f>
        <v/>
      </c>
      <c r="AV848" s="34">
        <f>AB849-AB848</f>
        <v/>
      </c>
      <c r="AW848" s="34">
        <f>AE848+AR848-AN848-AT848-AU848-AV848</f>
        <v/>
      </c>
      <c r="AX848" s="29">
        <f>LoadPremRate*E848*N848+AK848+AQ848-AU848-AT848</f>
        <v/>
      </c>
      <c r="AY848" s="34">
        <f>AP848-AO848</f>
        <v/>
      </c>
      <c r="AZ848" s="37">
        <f>(AW848-AX848-AY848)/MAX(1,ABS(AW848),ABS(AX848),ABS(AY848))</f>
        <v/>
      </c>
      <c r="BA848" s="37">
        <f>IF(OR(K848&gt;0,K849&gt;0),0,(AC849-(AC848+AF848-AQ848-AP848+AR848-AI848-AJ848-AM848))/MAX(1,ABS(AC848),ABS(AC849)))</f>
        <v/>
      </c>
      <c r="BB848" s="35">
        <f>(1+INDEX(DiscRateAnn,INT(A848/12)+1))^(1/12)-1</f>
        <v/>
      </c>
      <c r="BC848" s="31">
        <f>(1+BB848)^-A848</f>
        <v/>
      </c>
      <c r="BD848" s="34">
        <f>AW848*BC848</f>
        <v/>
      </c>
    </row>
    <row r="849">
      <c r="A849" s="27">
        <f>A848+1</f>
        <v/>
      </c>
      <c r="B849" s="28">
        <f>Duration0+A849</f>
        <v/>
      </c>
      <c r="C849" s="27">
        <f>INT(B849/12)</f>
        <v/>
      </c>
      <c r="D849" s="28">
        <f>AgeAtEntry+C849</f>
        <v/>
      </c>
      <c r="E849" s="29">
        <f>IF(PremiumType="SINGLE",IF(B849=0,PremiumPPInput,0),IF(B849&lt;12*PolicyTerm,PremiumPPInput,0))</f>
        <v/>
      </c>
      <c r="F849" s="30">
        <f>INDEX(MortRates,MATCH(MIN(D849,120),MortAges,0),MAX(MIN(C849,5),0)+1)</f>
        <v/>
      </c>
      <c r="G849" s="31">
        <f>1-(1-F849)^(1/12)</f>
        <v/>
      </c>
      <c r="H849" s="32">
        <f>MAX(LapseBase-LapseStep*C849,LapseFloor)</f>
        <v/>
      </c>
      <c r="I849" s="32">
        <f>IF(HasSurrCharge,INDEX(SurrRates,MIN(C849,SurrDurMax)+1,MATCH(SurrChargeID,SurrTypes,0)),0)</f>
        <v/>
      </c>
      <c r="J849" s="33">
        <f>N848-P848-O848</f>
        <v/>
      </c>
      <c r="K849" s="30">
        <f>IF(B849=12*PolicyTerm,J849,0)</f>
        <v/>
      </c>
      <c r="L849" s="33">
        <f>J849-K849</f>
        <v/>
      </c>
      <c r="M849" s="30">
        <f>IF(B849=0,PolicyCount,0)</f>
        <v/>
      </c>
      <c r="N849" s="33">
        <f>L849+M849</f>
        <v/>
      </c>
      <c r="O849" s="31">
        <f>N849*G849</f>
        <v/>
      </c>
      <c r="P849" s="33">
        <f>(N849-O849)*(1-(1-H849)^(1/12))</f>
        <v/>
      </c>
      <c r="Q849" s="34">
        <f>X848+Z848</f>
        <v/>
      </c>
      <c r="R849" s="29">
        <f>(1-LoadPremRate)*E849</f>
        <v/>
      </c>
      <c r="S849" s="34">
        <f>Q849+R849</f>
        <v/>
      </c>
      <c r="T849" s="29">
        <f>MaintFeeRateAnn/12*S849</f>
        <v/>
      </c>
      <c r="U849" s="29">
        <f>MAX(SumAssured-S849,0)</f>
        <v/>
      </c>
      <c r="V849" s="35">
        <f>CoiMultiple*G849</f>
        <v/>
      </c>
      <c r="W849" s="34">
        <f>V849*U849</f>
        <v/>
      </c>
      <c r="X849" s="34">
        <f>S849-T849-W849</f>
        <v/>
      </c>
      <c r="Y849" s="36">
        <f>EXP((Mu-0.5*Sigma^2)/12+Sigma*SQRT(1/12)*INDEX(NormRand,ScenID,A849+1))-1</f>
        <v/>
      </c>
      <c r="Z849" s="34">
        <f>Y849*X849</f>
        <v/>
      </c>
      <c r="AA849" s="34">
        <f>X849+0.5*Z849</f>
        <v/>
      </c>
      <c r="AB849" s="34">
        <f>Q849*J849</f>
        <v/>
      </c>
      <c r="AC849" s="34">
        <f>Q849*L849</f>
        <v/>
      </c>
      <c r="AD849" s="34">
        <f>S849*N849</f>
        <v/>
      </c>
      <c r="AE849" s="34">
        <f>E849*N849</f>
        <v/>
      </c>
      <c r="AF849" s="34">
        <f>R849*N849</f>
        <v/>
      </c>
      <c r="AG849" s="29">
        <f>MAX(SumAssured,AA849)</f>
        <v/>
      </c>
      <c r="AH849" s="34">
        <f>AG849*O849</f>
        <v/>
      </c>
      <c r="AI849" s="34">
        <f>AA849*O849</f>
        <v/>
      </c>
      <c r="AJ849" s="34">
        <f>AA849*P849</f>
        <v/>
      </c>
      <c r="AK849" s="34">
        <f>I849*AA849*P849</f>
        <v/>
      </c>
      <c r="AL849" s="34">
        <f>AJ849-AK849</f>
        <v/>
      </c>
      <c r="AM849" s="34">
        <f>Q849*K849</f>
        <v/>
      </c>
      <c r="AN849" s="34">
        <f>AH849+AL849+AM849</f>
        <v/>
      </c>
      <c r="AO849" s="34">
        <f>(AG849-AA849)*O849</f>
        <v/>
      </c>
      <c r="AP849" s="34">
        <f>W849*N849</f>
        <v/>
      </c>
      <c r="AQ849" s="34">
        <f>T849*N849</f>
        <v/>
      </c>
      <c r="AR849" s="34">
        <f>Z849*J850+0.5*Z849*(O849+P849)</f>
        <v/>
      </c>
      <c r="AS849" s="30">
        <f>(1+InflationRate)^(A849/12)</f>
        <v/>
      </c>
      <c r="AT849" s="29">
        <f>ExpenseAcq*M849+N849*ExpenseMaint/12*AS849</f>
        <v/>
      </c>
      <c r="AU849" s="29">
        <f>CommissionRate*AE849</f>
        <v/>
      </c>
      <c r="AV849" s="34">
        <f>AB850-AB849</f>
        <v/>
      </c>
      <c r="AW849" s="34">
        <f>AE849+AR849-AN849-AT849-AU849-AV849</f>
        <v/>
      </c>
      <c r="AX849" s="29">
        <f>LoadPremRate*E849*N849+AK849+AQ849-AU849-AT849</f>
        <v/>
      </c>
      <c r="AY849" s="34">
        <f>AP849-AO849</f>
        <v/>
      </c>
      <c r="AZ849" s="37">
        <f>(AW849-AX849-AY849)/MAX(1,ABS(AW849),ABS(AX849),ABS(AY849))</f>
        <v/>
      </c>
      <c r="BA849" s="37">
        <f>IF(OR(K849&gt;0,K850&gt;0),0,(AC850-(AC849+AF849-AQ849-AP849+AR849-AI849-AJ849-AM849))/MAX(1,ABS(AC849),ABS(AC850)))</f>
        <v/>
      </c>
      <c r="BB849" s="35">
        <f>(1+INDEX(DiscRateAnn,INT(A849/12)+1))^(1/12)-1</f>
        <v/>
      </c>
      <c r="BC849" s="31">
        <f>(1+BB849)^-A849</f>
        <v/>
      </c>
      <c r="BD849" s="34">
        <f>AW849*BC849</f>
        <v/>
      </c>
    </row>
    <row r="850">
      <c r="A850" s="27">
        <f>A849+1</f>
        <v/>
      </c>
      <c r="B850" s="28">
        <f>Duration0+A850</f>
        <v/>
      </c>
      <c r="C850" s="27">
        <f>INT(B850/12)</f>
        <v/>
      </c>
      <c r="D850" s="28">
        <f>AgeAtEntry+C850</f>
        <v/>
      </c>
      <c r="E850" s="29">
        <f>IF(PremiumType="SINGLE",IF(B850=0,PremiumPPInput,0),IF(B850&lt;12*PolicyTerm,PremiumPPInput,0))</f>
        <v/>
      </c>
      <c r="F850" s="30">
        <f>INDEX(MortRates,MATCH(MIN(D850,120),MortAges,0),MAX(MIN(C850,5),0)+1)</f>
        <v/>
      </c>
      <c r="G850" s="31">
        <f>1-(1-F850)^(1/12)</f>
        <v/>
      </c>
      <c r="H850" s="32">
        <f>MAX(LapseBase-LapseStep*C850,LapseFloor)</f>
        <v/>
      </c>
      <c r="I850" s="32">
        <f>IF(HasSurrCharge,INDEX(SurrRates,MIN(C850,SurrDurMax)+1,MATCH(SurrChargeID,SurrTypes,0)),0)</f>
        <v/>
      </c>
      <c r="J850" s="33">
        <f>N849-P849-O849</f>
        <v/>
      </c>
      <c r="K850" s="30">
        <f>IF(B850=12*PolicyTerm,J850,0)</f>
        <v/>
      </c>
      <c r="L850" s="33">
        <f>J850-K850</f>
        <v/>
      </c>
      <c r="M850" s="30">
        <f>IF(B850=0,PolicyCount,0)</f>
        <v/>
      </c>
      <c r="N850" s="33">
        <f>L850+M850</f>
        <v/>
      </c>
      <c r="O850" s="31">
        <f>N850*G850</f>
        <v/>
      </c>
      <c r="P850" s="33">
        <f>(N850-O850)*(1-(1-H850)^(1/12))</f>
        <v/>
      </c>
      <c r="Q850" s="34">
        <f>X849+Z849</f>
        <v/>
      </c>
      <c r="R850" s="29">
        <f>(1-LoadPremRate)*E850</f>
        <v/>
      </c>
      <c r="S850" s="34">
        <f>Q850+R850</f>
        <v/>
      </c>
      <c r="T850" s="29">
        <f>MaintFeeRateAnn/12*S850</f>
        <v/>
      </c>
      <c r="U850" s="29">
        <f>MAX(SumAssured-S850,0)</f>
        <v/>
      </c>
      <c r="V850" s="35">
        <f>CoiMultiple*G850</f>
        <v/>
      </c>
      <c r="W850" s="34">
        <f>V850*U850</f>
        <v/>
      </c>
      <c r="X850" s="34">
        <f>S850-T850-W850</f>
        <v/>
      </c>
      <c r="Y850" s="36">
        <f>EXP((Mu-0.5*Sigma^2)/12+Sigma*SQRT(1/12)*INDEX(NormRand,ScenID,A850+1))-1</f>
        <v/>
      </c>
      <c r="Z850" s="34">
        <f>Y850*X850</f>
        <v/>
      </c>
      <c r="AA850" s="34">
        <f>X850+0.5*Z850</f>
        <v/>
      </c>
      <c r="AB850" s="34">
        <f>Q850*J850</f>
        <v/>
      </c>
      <c r="AC850" s="34">
        <f>Q850*L850</f>
        <v/>
      </c>
      <c r="AD850" s="34">
        <f>S850*N850</f>
        <v/>
      </c>
      <c r="AE850" s="34">
        <f>E850*N850</f>
        <v/>
      </c>
      <c r="AF850" s="34">
        <f>R850*N850</f>
        <v/>
      </c>
      <c r="AG850" s="29">
        <f>MAX(SumAssured,AA850)</f>
        <v/>
      </c>
      <c r="AH850" s="34">
        <f>AG850*O850</f>
        <v/>
      </c>
      <c r="AI850" s="34">
        <f>AA850*O850</f>
        <v/>
      </c>
      <c r="AJ850" s="34">
        <f>AA850*P850</f>
        <v/>
      </c>
      <c r="AK850" s="34">
        <f>I850*AA850*P850</f>
        <v/>
      </c>
      <c r="AL850" s="34">
        <f>AJ850-AK850</f>
        <v/>
      </c>
      <c r="AM850" s="34">
        <f>Q850*K850</f>
        <v/>
      </c>
      <c r="AN850" s="34">
        <f>AH850+AL850+AM850</f>
        <v/>
      </c>
      <c r="AO850" s="34">
        <f>(AG850-AA850)*O850</f>
        <v/>
      </c>
      <c r="AP850" s="34">
        <f>W850*N850</f>
        <v/>
      </c>
      <c r="AQ850" s="34">
        <f>T850*N850</f>
        <v/>
      </c>
      <c r="AR850" s="34">
        <f>Z850*J851+0.5*Z850*(O850+P850)</f>
        <v/>
      </c>
      <c r="AS850" s="30">
        <f>(1+InflationRate)^(A850/12)</f>
        <v/>
      </c>
      <c r="AT850" s="29">
        <f>ExpenseAcq*M850+N850*ExpenseMaint/12*AS850</f>
        <v/>
      </c>
      <c r="AU850" s="29">
        <f>CommissionRate*AE850</f>
        <v/>
      </c>
      <c r="AV850" s="34">
        <f>AB851-AB850</f>
        <v/>
      </c>
      <c r="AW850" s="34">
        <f>AE850+AR850-AN850-AT850-AU850-AV850</f>
        <v/>
      </c>
      <c r="AX850" s="29">
        <f>LoadPremRate*E850*N850+AK850+AQ850-AU850-AT850</f>
        <v/>
      </c>
      <c r="AY850" s="34">
        <f>AP850-AO850</f>
        <v/>
      </c>
      <c r="AZ850" s="37">
        <f>(AW850-AX850-AY850)/MAX(1,ABS(AW850),ABS(AX850),ABS(AY850))</f>
        <v/>
      </c>
      <c r="BA850" s="37">
        <f>IF(OR(K850&gt;0,K851&gt;0),0,(AC851-(AC850+AF850-AQ850-AP850+AR850-AI850-AJ850-AM850))/MAX(1,ABS(AC850),ABS(AC851)))</f>
        <v/>
      </c>
      <c r="BB850" s="35">
        <f>(1+INDEX(DiscRateAnn,INT(A850/12)+1))^(1/12)-1</f>
        <v/>
      </c>
      <c r="BC850" s="31">
        <f>(1+BB850)^-A850</f>
        <v/>
      </c>
      <c r="BD850" s="34">
        <f>AW850*BC850</f>
        <v/>
      </c>
    </row>
    <row r="851">
      <c r="A851" s="27">
        <f>A850+1</f>
        <v/>
      </c>
      <c r="B851" s="28">
        <f>Duration0+A851</f>
        <v/>
      </c>
      <c r="C851" s="27">
        <f>INT(B851/12)</f>
        <v/>
      </c>
      <c r="D851" s="28">
        <f>AgeAtEntry+C851</f>
        <v/>
      </c>
      <c r="E851" s="29">
        <f>IF(PremiumType="SINGLE",IF(B851=0,PremiumPPInput,0),IF(B851&lt;12*PolicyTerm,PremiumPPInput,0))</f>
        <v/>
      </c>
      <c r="F851" s="30">
        <f>INDEX(MortRates,MATCH(MIN(D851,120),MortAges,0),MAX(MIN(C851,5),0)+1)</f>
        <v/>
      </c>
      <c r="G851" s="31">
        <f>1-(1-F851)^(1/12)</f>
        <v/>
      </c>
      <c r="H851" s="32">
        <f>MAX(LapseBase-LapseStep*C851,LapseFloor)</f>
        <v/>
      </c>
      <c r="I851" s="32">
        <f>IF(HasSurrCharge,INDEX(SurrRates,MIN(C851,SurrDurMax)+1,MATCH(SurrChargeID,SurrTypes,0)),0)</f>
        <v/>
      </c>
      <c r="J851" s="33">
        <f>N850-P850-O850</f>
        <v/>
      </c>
      <c r="K851" s="30">
        <f>IF(B851=12*PolicyTerm,J851,0)</f>
        <v/>
      </c>
      <c r="L851" s="33">
        <f>J851-K851</f>
        <v/>
      </c>
      <c r="M851" s="30">
        <f>IF(B851=0,PolicyCount,0)</f>
        <v/>
      </c>
      <c r="N851" s="33">
        <f>L851+M851</f>
        <v/>
      </c>
      <c r="O851" s="31">
        <f>N851*G851</f>
        <v/>
      </c>
      <c r="P851" s="33">
        <f>(N851-O851)*(1-(1-H851)^(1/12))</f>
        <v/>
      </c>
      <c r="Q851" s="34">
        <f>X850+Z850</f>
        <v/>
      </c>
      <c r="R851" s="29">
        <f>(1-LoadPremRate)*E851</f>
        <v/>
      </c>
      <c r="S851" s="34">
        <f>Q851+R851</f>
        <v/>
      </c>
      <c r="T851" s="29">
        <f>MaintFeeRateAnn/12*S851</f>
        <v/>
      </c>
      <c r="U851" s="29">
        <f>MAX(SumAssured-S851,0)</f>
        <v/>
      </c>
      <c r="V851" s="35">
        <f>CoiMultiple*G851</f>
        <v/>
      </c>
      <c r="W851" s="34">
        <f>V851*U851</f>
        <v/>
      </c>
      <c r="X851" s="34">
        <f>S851-T851-W851</f>
        <v/>
      </c>
      <c r="Y851" s="36">
        <f>EXP((Mu-0.5*Sigma^2)/12+Sigma*SQRT(1/12)*INDEX(NormRand,ScenID,A851+1))-1</f>
        <v/>
      </c>
      <c r="Z851" s="34">
        <f>Y851*X851</f>
        <v/>
      </c>
      <c r="AA851" s="34">
        <f>X851+0.5*Z851</f>
        <v/>
      </c>
      <c r="AB851" s="34">
        <f>Q851*J851</f>
        <v/>
      </c>
      <c r="AC851" s="34">
        <f>Q851*L851</f>
        <v/>
      </c>
      <c r="AD851" s="34">
        <f>S851*N851</f>
        <v/>
      </c>
      <c r="AE851" s="34">
        <f>E851*N851</f>
        <v/>
      </c>
      <c r="AF851" s="34">
        <f>R851*N851</f>
        <v/>
      </c>
      <c r="AG851" s="29">
        <f>MAX(SumAssured,AA851)</f>
        <v/>
      </c>
      <c r="AH851" s="34">
        <f>AG851*O851</f>
        <v/>
      </c>
      <c r="AI851" s="34">
        <f>AA851*O851</f>
        <v/>
      </c>
      <c r="AJ851" s="34">
        <f>AA851*P851</f>
        <v/>
      </c>
      <c r="AK851" s="34">
        <f>I851*AA851*P851</f>
        <v/>
      </c>
      <c r="AL851" s="34">
        <f>AJ851-AK851</f>
        <v/>
      </c>
      <c r="AM851" s="34">
        <f>Q851*K851</f>
        <v/>
      </c>
      <c r="AN851" s="34">
        <f>AH851+AL851+AM851</f>
        <v/>
      </c>
      <c r="AO851" s="34">
        <f>(AG851-AA851)*O851</f>
        <v/>
      </c>
      <c r="AP851" s="34">
        <f>W851*N851</f>
        <v/>
      </c>
      <c r="AQ851" s="34">
        <f>T851*N851</f>
        <v/>
      </c>
      <c r="AR851" s="34">
        <f>Z851*J852+0.5*Z851*(O851+P851)</f>
        <v/>
      </c>
      <c r="AS851" s="30">
        <f>(1+InflationRate)^(A851/12)</f>
        <v/>
      </c>
      <c r="AT851" s="29">
        <f>ExpenseAcq*M851+N851*ExpenseMaint/12*AS851</f>
        <v/>
      </c>
      <c r="AU851" s="29">
        <f>CommissionRate*AE851</f>
        <v/>
      </c>
      <c r="AV851" s="34">
        <f>AB852-AB851</f>
        <v/>
      </c>
      <c r="AW851" s="34">
        <f>AE851+AR851-AN851-AT851-AU851-AV851</f>
        <v/>
      </c>
      <c r="AX851" s="29">
        <f>LoadPremRate*E851*N851+AK851+AQ851-AU851-AT851</f>
        <v/>
      </c>
      <c r="AY851" s="34">
        <f>AP851-AO851</f>
        <v/>
      </c>
      <c r="AZ851" s="37">
        <f>(AW851-AX851-AY851)/MAX(1,ABS(AW851),ABS(AX851),ABS(AY851))</f>
        <v/>
      </c>
      <c r="BA851" s="37">
        <f>IF(OR(K851&gt;0,K852&gt;0),0,(AC852-(AC851+AF851-AQ851-AP851+AR851-AI851-AJ851-AM851))/MAX(1,ABS(AC851),ABS(AC852)))</f>
        <v/>
      </c>
      <c r="BB851" s="35">
        <f>(1+INDEX(DiscRateAnn,INT(A851/12)+1))^(1/12)-1</f>
        <v/>
      </c>
      <c r="BC851" s="31">
        <f>(1+BB851)^-A851</f>
        <v/>
      </c>
      <c r="BD851" s="34">
        <f>AW851*BC851</f>
        <v/>
      </c>
    </row>
    <row r="852">
      <c r="A852" s="27">
        <f>A851+1</f>
        <v/>
      </c>
      <c r="B852" s="28">
        <f>Duration0+A852</f>
        <v/>
      </c>
      <c r="C852" s="27">
        <f>INT(B852/12)</f>
        <v/>
      </c>
      <c r="D852" s="28">
        <f>AgeAtEntry+C852</f>
        <v/>
      </c>
      <c r="E852" s="29">
        <f>IF(PremiumType="SINGLE",IF(B852=0,PremiumPPInput,0),IF(B852&lt;12*PolicyTerm,PremiumPPInput,0))</f>
        <v/>
      </c>
      <c r="F852" s="30">
        <f>INDEX(MortRates,MATCH(MIN(D852,120),MortAges,0),MAX(MIN(C852,5),0)+1)</f>
        <v/>
      </c>
      <c r="G852" s="31">
        <f>1-(1-F852)^(1/12)</f>
        <v/>
      </c>
      <c r="H852" s="32">
        <f>MAX(LapseBase-LapseStep*C852,LapseFloor)</f>
        <v/>
      </c>
      <c r="I852" s="32">
        <f>IF(HasSurrCharge,INDEX(SurrRates,MIN(C852,SurrDurMax)+1,MATCH(SurrChargeID,SurrTypes,0)),0)</f>
        <v/>
      </c>
      <c r="J852" s="33">
        <f>N851-P851-O851</f>
        <v/>
      </c>
      <c r="K852" s="30">
        <f>IF(B852=12*PolicyTerm,J852,0)</f>
        <v/>
      </c>
      <c r="L852" s="33">
        <f>J852-K852</f>
        <v/>
      </c>
      <c r="M852" s="30">
        <f>IF(B852=0,PolicyCount,0)</f>
        <v/>
      </c>
      <c r="N852" s="33">
        <f>L852+M852</f>
        <v/>
      </c>
      <c r="O852" s="31">
        <f>N852*G852</f>
        <v/>
      </c>
      <c r="P852" s="33">
        <f>(N852-O852)*(1-(1-H852)^(1/12))</f>
        <v/>
      </c>
      <c r="Q852" s="34">
        <f>X851+Z851</f>
        <v/>
      </c>
      <c r="R852" s="29">
        <f>(1-LoadPremRate)*E852</f>
        <v/>
      </c>
      <c r="S852" s="34">
        <f>Q852+R852</f>
        <v/>
      </c>
      <c r="T852" s="29">
        <f>MaintFeeRateAnn/12*S852</f>
        <v/>
      </c>
      <c r="U852" s="29">
        <f>MAX(SumAssured-S852,0)</f>
        <v/>
      </c>
      <c r="V852" s="35">
        <f>CoiMultiple*G852</f>
        <v/>
      </c>
      <c r="W852" s="34">
        <f>V852*U852</f>
        <v/>
      </c>
      <c r="X852" s="34">
        <f>S852-T852-W852</f>
        <v/>
      </c>
      <c r="Y852" s="36">
        <f>EXP((Mu-0.5*Sigma^2)/12+Sigma*SQRT(1/12)*INDEX(NormRand,ScenID,A852+1))-1</f>
        <v/>
      </c>
      <c r="Z852" s="34">
        <f>Y852*X852</f>
        <v/>
      </c>
      <c r="AA852" s="34">
        <f>X852+0.5*Z852</f>
        <v/>
      </c>
      <c r="AB852" s="34">
        <f>Q852*J852</f>
        <v/>
      </c>
      <c r="AC852" s="34">
        <f>Q852*L852</f>
        <v/>
      </c>
      <c r="AD852" s="34">
        <f>S852*N852</f>
        <v/>
      </c>
      <c r="AE852" s="34">
        <f>E852*N852</f>
        <v/>
      </c>
      <c r="AF852" s="34">
        <f>R852*N852</f>
        <v/>
      </c>
      <c r="AG852" s="29">
        <f>MAX(SumAssured,AA852)</f>
        <v/>
      </c>
      <c r="AH852" s="34">
        <f>AG852*O852</f>
        <v/>
      </c>
      <c r="AI852" s="34">
        <f>AA852*O852</f>
        <v/>
      </c>
      <c r="AJ852" s="34">
        <f>AA852*P852</f>
        <v/>
      </c>
      <c r="AK852" s="34">
        <f>I852*AA852*P852</f>
        <v/>
      </c>
      <c r="AL852" s="34">
        <f>AJ852-AK852</f>
        <v/>
      </c>
      <c r="AM852" s="34">
        <f>Q852*K852</f>
        <v/>
      </c>
      <c r="AN852" s="34">
        <f>AH852+AL852+AM852</f>
        <v/>
      </c>
      <c r="AO852" s="34">
        <f>(AG852-AA852)*O852</f>
        <v/>
      </c>
      <c r="AP852" s="34">
        <f>W852*N852</f>
        <v/>
      </c>
      <c r="AQ852" s="34">
        <f>T852*N852</f>
        <v/>
      </c>
      <c r="AR852" s="34">
        <f>Z852*J853+0.5*Z852*(O852+P852)</f>
        <v/>
      </c>
      <c r="AS852" s="30">
        <f>(1+InflationRate)^(A852/12)</f>
        <v/>
      </c>
      <c r="AT852" s="29">
        <f>ExpenseAcq*M852+N852*ExpenseMaint/12*AS852</f>
        <v/>
      </c>
      <c r="AU852" s="29">
        <f>CommissionRate*AE852</f>
        <v/>
      </c>
      <c r="AV852" s="34">
        <f>AB853-AB852</f>
        <v/>
      </c>
      <c r="AW852" s="34">
        <f>AE852+AR852-AN852-AT852-AU852-AV852</f>
        <v/>
      </c>
      <c r="AX852" s="29">
        <f>LoadPremRate*E852*N852+AK852+AQ852-AU852-AT852</f>
        <v/>
      </c>
      <c r="AY852" s="34">
        <f>AP852-AO852</f>
        <v/>
      </c>
      <c r="AZ852" s="37">
        <f>(AW852-AX852-AY852)/MAX(1,ABS(AW852),ABS(AX852),ABS(AY852))</f>
        <v/>
      </c>
      <c r="BA852" s="37">
        <f>IF(OR(K852&gt;0,K853&gt;0),0,(AC853-(AC852+AF852-AQ852-AP852+AR852-AI852-AJ852-AM852))/MAX(1,ABS(AC852),ABS(AC853)))</f>
        <v/>
      </c>
      <c r="BB852" s="35">
        <f>(1+INDEX(DiscRateAnn,INT(A852/12)+1))^(1/12)-1</f>
        <v/>
      </c>
      <c r="BC852" s="31">
        <f>(1+BB852)^-A852</f>
        <v/>
      </c>
      <c r="BD852" s="34">
        <f>AW852*BC852</f>
        <v/>
      </c>
    </row>
    <row r="853">
      <c r="A853" s="27">
        <f>A852+1</f>
        <v/>
      </c>
      <c r="B853" s="28">
        <f>Duration0+A853</f>
        <v/>
      </c>
      <c r="C853" s="27">
        <f>INT(B853/12)</f>
        <v/>
      </c>
      <c r="D853" s="28">
        <f>AgeAtEntry+C853</f>
        <v/>
      </c>
      <c r="E853" s="29">
        <f>IF(PremiumType="SINGLE",IF(B853=0,PremiumPPInput,0),IF(B853&lt;12*PolicyTerm,PremiumPPInput,0))</f>
        <v/>
      </c>
      <c r="F853" s="30">
        <f>INDEX(MortRates,MATCH(MIN(D853,120),MortAges,0),MAX(MIN(C853,5),0)+1)</f>
        <v/>
      </c>
      <c r="G853" s="31">
        <f>1-(1-F853)^(1/12)</f>
        <v/>
      </c>
      <c r="H853" s="32">
        <f>MAX(LapseBase-LapseStep*C853,LapseFloor)</f>
        <v/>
      </c>
      <c r="I853" s="32">
        <f>IF(HasSurrCharge,INDEX(SurrRates,MIN(C853,SurrDurMax)+1,MATCH(SurrChargeID,SurrTypes,0)),0)</f>
        <v/>
      </c>
      <c r="J853" s="33">
        <f>N852-P852-O852</f>
        <v/>
      </c>
      <c r="K853" s="30">
        <f>IF(B853=12*PolicyTerm,J853,0)</f>
        <v/>
      </c>
      <c r="L853" s="33">
        <f>J853-K853</f>
        <v/>
      </c>
      <c r="M853" s="30">
        <f>IF(B853=0,PolicyCount,0)</f>
        <v/>
      </c>
      <c r="N853" s="33">
        <f>L853+M853</f>
        <v/>
      </c>
      <c r="O853" s="31">
        <f>N853*G853</f>
        <v/>
      </c>
      <c r="P853" s="33">
        <f>(N853-O853)*(1-(1-H853)^(1/12))</f>
        <v/>
      </c>
      <c r="Q853" s="34">
        <f>X852+Z852</f>
        <v/>
      </c>
      <c r="R853" s="29">
        <f>(1-LoadPremRate)*E853</f>
        <v/>
      </c>
      <c r="S853" s="34">
        <f>Q853+R853</f>
        <v/>
      </c>
      <c r="T853" s="29">
        <f>MaintFeeRateAnn/12*S853</f>
        <v/>
      </c>
      <c r="U853" s="29">
        <f>MAX(SumAssured-S853,0)</f>
        <v/>
      </c>
      <c r="V853" s="35">
        <f>CoiMultiple*G853</f>
        <v/>
      </c>
      <c r="W853" s="34">
        <f>V853*U853</f>
        <v/>
      </c>
      <c r="X853" s="34">
        <f>S853-T853-W853</f>
        <v/>
      </c>
      <c r="Y853" s="36">
        <f>EXP((Mu-0.5*Sigma^2)/12+Sigma*SQRT(1/12)*INDEX(NormRand,ScenID,A853+1))-1</f>
        <v/>
      </c>
      <c r="Z853" s="34">
        <f>Y853*X853</f>
        <v/>
      </c>
      <c r="AA853" s="34">
        <f>X853+0.5*Z853</f>
        <v/>
      </c>
      <c r="AB853" s="34">
        <f>Q853*J853</f>
        <v/>
      </c>
      <c r="AC853" s="34">
        <f>Q853*L853</f>
        <v/>
      </c>
      <c r="AD853" s="34">
        <f>S853*N853</f>
        <v/>
      </c>
      <c r="AE853" s="34">
        <f>E853*N853</f>
        <v/>
      </c>
      <c r="AF853" s="34">
        <f>R853*N853</f>
        <v/>
      </c>
      <c r="AG853" s="29">
        <f>MAX(SumAssured,AA853)</f>
        <v/>
      </c>
      <c r="AH853" s="34">
        <f>AG853*O853</f>
        <v/>
      </c>
      <c r="AI853" s="34">
        <f>AA853*O853</f>
        <v/>
      </c>
      <c r="AJ853" s="34">
        <f>AA853*P853</f>
        <v/>
      </c>
      <c r="AK853" s="34">
        <f>I853*AA853*P853</f>
        <v/>
      </c>
      <c r="AL853" s="34">
        <f>AJ853-AK853</f>
        <v/>
      </c>
      <c r="AM853" s="34">
        <f>Q853*K853</f>
        <v/>
      </c>
      <c r="AN853" s="34">
        <f>AH853+AL853+AM853</f>
        <v/>
      </c>
      <c r="AO853" s="34">
        <f>(AG853-AA853)*O853</f>
        <v/>
      </c>
      <c r="AP853" s="34">
        <f>W853*N853</f>
        <v/>
      </c>
      <c r="AQ853" s="34">
        <f>T853*N853</f>
        <v/>
      </c>
      <c r="AR853" s="34">
        <f>Z853*J854+0.5*Z853*(O853+P853)</f>
        <v/>
      </c>
      <c r="AS853" s="30">
        <f>(1+InflationRate)^(A853/12)</f>
        <v/>
      </c>
      <c r="AT853" s="29">
        <f>ExpenseAcq*M853+N853*ExpenseMaint/12*AS853</f>
        <v/>
      </c>
      <c r="AU853" s="29">
        <f>CommissionRate*AE853</f>
        <v/>
      </c>
      <c r="AV853" s="34">
        <f>AB854-AB853</f>
        <v/>
      </c>
      <c r="AW853" s="34">
        <f>AE853+AR853-AN853-AT853-AU853-AV853</f>
        <v/>
      </c>
      <c r="AX853" s="29">
        <f>LoadPremRate*E853*N853+AK853+AQ853-AU853-AT853</f>
        <v/>
      </c>
      <c r="AY853" s="34">
        <f>AP853-AO853</f>
        <v/>
      </c>
      <c r="AZ853" s="37">
        <f>(AW853-AX853-AY853)/MAX(1,ABS(AW853),ABS(AX853),ABS(AY853))</f>
        <v/>
      </c>
      <c r="BA853" s="37">
        <f>IF(OR(K853&gt;0,K854&gt;0),0,(AC854-(AC853+AF853-AQ853-AP853+AR853-AI853-AJ853-AM853))/MAX(1,ABS(AC853),ABS(AC854)))</f>
        <v/>
      </c>
      <c r="BB853" s="35">
        <f>(1+INDEX(DiscRateAnn,INT(A853/12)+1))^(1/12)-1</f>
        <v/>
      </c>
      <c r="BC853" s="31">
        <f>(1+BB853)^-A853</f>
        <v/>
      </c>
      <c r="BD853" s="34">
        <f>AW853*BC853</f>
        <v/>
      </c>
    </row>
    <row r="854">
      <c r="A854" s="27">
        <f>A853+1</f>
        <v/>
      </c>
      <c r="B854" s="28">
        <f>Duration0+A854</f>
        <v/>
      </c>
      <c r="C854" s="27">
        <f>INT(B854/12)</f>
        <v/>
      </c>
      <c r="D854" s="28">
        <f>AgeAtEntry+C854</f>
        <v/>
      </c>
      <c r="E854" s="29">
        <f>IF(PremiumType="SINGLE",IF(B854=0,PremiumPPInput,0),IF(B854&lt;12*PolicyTerm,PremiumPPInput,0))</f>
        <v/>
      </c>
      <c r="F854" s="30">
        <f>INDEX(MortRates,MATCH(MIN(D854,120),MortAges,0),MAX(MIN(C854,5),0)+1)</f>
        <v/>
      </c>
      <c r="G854" s="31">
        <f>1-(1-F854)^(1/12)</f>
        <v/>
      </c>
      <c r="H854" s="32">
        <f>MAX(LapseBase-LapseStep*C854,LapseFloor)</f>
        <v/>
      </c>
      <c r="I854" s="32">
        <f>IF(HasSurrCharge,INDEX(SurrRates,MIN(C854,SurrDurMax)+1,MATCH(SurrChargeID,SurrTypes,0)),0)</f>
        <v/>
      </c>
      <c r="J854" s="33">
        <f>N853-P853-O853</f>
        <v/>
      </c>
      <c r="K854" s="30">
        <f>IF(B854=12*PolicyTerm,J854,0)</f>
        <v/>
      </c>
      <c r="L854" s="33">
        <f>J854-K854</f>
        <v/>
      </c>
      <c r="M854" s="30">
        <f>IF(B854=0,PolicyCount,0)</f>
        <v/>
      </c>
      <c r="N854" s="33">
        <f>L854+M854</f>
        <v/>
      </c>
      <c r="O854" s="31">
        <f>N854*G854</f>
        <v/>
      </c>
      <c r="P854" s="33">
        <f>(N854-O854)*(1-(1-H854)^(1/12))</f>
        <v/>
      </c>
      <c r="Q854" s="34">
        <f>X853+Z853</f>
        <v/>
      </c>
      <c r="R854" s="29">
        <f>(1-LoadPremRate)*E854</f>
        <v/>
      </c>
      <c r="S854" s="34">
        <f>Q854+R854</f>
        <v/>
      </c>
      <c r="T854" s="29">
        <f>MaintFeeRateAnn/12*S854</f>
        <v/>
      </c>
      <c r="U854" s="29">
        <f>MAX(SumAssured-S854,0)</f>
        <v/>
      </c>
      <c r="V854" s="35">
        <f>CoiMultiple*G854</f>
        <v/>
      </c>
      <c r="W854" s="34">
        <f>V854*U854</f>
        <v/>
      </c>
      <c r="X854" s="34">
        <f>S854-T854-W854</f>
        <v/>
      </c>
      <c r="Y854" s="36">
        <f>EXP((Mu-0.5*Sigma^2)/12+Sigma*SQRT(1/12)*INDEX(NormRand,ScenID,A854+1))-1</f>
        <v/>
      </c>
      <c r="Z854" s="34">
        <f>Y854*X854</f>
        <v/>
      </c>
      <c r="AA854" s="34">
        <f>X854+0.5*Z854</f>
        <v/>
      </c>
      <c r="AB854" s="34">
        <f>Q854*J854</f>
        <v/>
      </c>
      <c r="AC854" s="34">
        <f>Q854*L854</f>
        <v/>
      </c>
      <c r="AD854" s="34">
        <f>S854*N854</f>
        <v/>
      </c>
      <c r="AE854" s="34">
        <f>E854*N854</f>
        <v/>
      </c>
      <c r="AF854" s="34">
        <f>R854*N854</f>
        <v/>
      </c>
      <c r="AG854" s="29">
        <f>MAX(SumAssured,AA854)</f>
        <v/>
      </c>
      <c r="AH854" s="34">
        <f>AG854*O854</f>
        <v/>
      </c>
      <c r="AI854" s="34">
        <f>AA854*O854</f>
        <v/>
      </c>
      <c r="AJ854" s="34">
        <f>AA854*P854</f>
        <v/>
      </c>
      <c r="AK854" s="34">
        <f>I854*AA854*P854</f>
        <v/>
      </c>
      <c r="AL854" s="34">
        <f>AJ854-AK854</f>
        <v/>
      </c>
      <c r="AM854" s="34">
        <f>Q854*K854</f>
        <v/>
      </c>
      <c r="AN854" s="34">
        <f>AH854+AL854+AM854</f>
        <v/>
      </c>
      <c r="AO854" s="34">
        <f>(AG854-AA854)*O854</f>
        <v/>
      </c>
      <c r="AP854" s="34">
        <f>W854*N854</f>
        <v/>
      </c>
      <c r="AQ854" s="34">
        <f>T854*N854</f>
        <v/>
      </c>
      <c r="AR854" s="34">
        <f>Z854*J855+0.5*Z854*(O854+P854)</f>
        <v/>
      </c>
      <c r="AS854" s="30">
        <f>(1+InflationRate)^(A854/12)</f>
        <v/>
      </c>
      <c r="AT854" s="29">
        <f>ExpenseAcq*M854+N854*ExpenseMaint/12*AS854</f>
        <v/>
      </c>
      <c r="AU854" s="29">
        <f>CommissionRate*AE854</f>
        <v/>
      </c>
      <c r="AV854" s="34">
        <f>AB855-AB854</f>
        <v/>
      </c>
      <c r="AW854" s="34">
        <f>AE854+AR854-AN854-AT854-AU854-AV854</f>
        <v/>
      </c>
      <c r="AX854" s="29">
        <f>LoadPremRate*E854*N854+AK854+AQ854-AU854-AT854</f>
        <v/>
      </c>
      <c r="AY854" s="34">
        <f>AP854-AO854</f>
        <v/>
      </c>
      <c r="AZ854" s="37">
        <f>(AW854-AX854-AY854)/MAX(1,ABS(AW854),ABS(AX854),ABS(AY854))</f>
        <v/>
      </c>
      <c r="BA854" s="37">
        <f>IF(OR(K854&gt;0,K855&gt;0),0,(AC855-(AC854+AF854-AQ854-AP854+AR854-AI854-AJ854-AM854))/MAX(1,ABS(AC854),ABS(AC855)))</f>
        <v/>
      </c>
      <c r="BB854" s="35">
        <f>(1+INDEX(DiscRateAnn,INT(A854/12)+1))^(1/12)-1</f>
        <v/>
      </c>
      <c r="BC854" s="31">
        <f>(1+BB854)^-A854</f>
        <v/>
      </c>
      <c r="BD854" s="34">
        <f>AW854*BC854</f>
        <v/>
      </c>
    </row>
    <row r="855">
      <c r="A855" s="27">
        <f>A854+1</f>
        <v/>
      </c>
      <c r="B855" s="28">
        <f>Duration0+A855</f>
        <v/>
      </c>
      <c r="C855" s="27">
        <f>INT(B855/12)</f>
        <v/>
      </c>
      <c r="D855" s="28">
        <f>AgeAtEntry+C855</f>
        <v/>
      </c>
      <c r="E855" s="29">
        <f>IF(PremiumType="SINGLE",IF(B855=0,PremiumPPInput,0),IF(B855&lt;12*PolicyTerm,PremiumPPInput,0))</f>
        <v/>
      </c>
      <c r="F855" s="30">
        <f>INDEX(MortRates,MATCH(MIN(D855,120),MortAges,0),MAX(MIN(C855,5),0)+1)</f>
        <v/>
      </c>
      <c r="G855" s="31">
        <f>1-(1-F855)^(1/12)</f>
        <v/>
      </c>
      <c r="H855" s="32">
        <f>MAX(LapseBase-LapseStep*C855,LapseFloor)</f>
        <v/>
      </c>
      <c r="I855" s="32">
        <f>IF(HasSurrCharge,INDEX(SurrRates,MIN(C855,SurrDurMax)+1,MATCH(SurrChargeID,SurrTypes,0)),0)</f>
        <v/>
      </c>
      <c r="J855" s="33">
        <f>N854-P854-O854</f>
        <v/>
      </c>
      <c r="K855" s="30">
        <f>IF(B855=12*PolicyTerm,J855,0)</f>
        <v/>
      </c>
      <c r="L855" s="33">
        <f>J855-K855</f>
        <v/>
      </c>
      <c r="M855" s="30">
        <f>IF(B855=0,PolicyCount,0)</f>
        <v/>
      </c>
      <c r="N855" s="33">
        <f>L855+M855</f>
        <v/>
      </c>
      <c r="O855" s="31">
        <f>N855*G855</f>
        <v/>
      </c>
      <c r="P855" s="33">
        <f>(N855-O855)*(1-(1-H855)^(1/12))</f>
        <v/>
      </c>
      <c r="Q855" s="34">
        <f>X854+Z854</f>
        <v/>
      </c>
      <c r="R855" s="29">
        <f>(1-LoadPremRate)*E855</f>
        <v/>
      </c>
      <c r="S855" s="34">
        <f>Q855+R855</f>
        <v/>
      </c>
      <c r="T855" s="29">
        <f>MaintFeeRateAnn/12*S855</f>
        <v/>
      </c>
      <c r="U855" s="29">
        <f>MAX(SumAssured-S855,0)</f>
        <v/>
      </c>
      <c r="V855" s="35">
        <f>CoiMultiple*G855</f>
        <v/>
      </c>
      <c r="W855" s="34">
        <f>V855*U855</f>
        <v/>
      </c>
      <c r="X855" s="34">
        <f>S855-T855-W855</f>
        <v/>
      </c>
      <c r="Y855" s="36">
        <f>EXP((Mu-0.5*Sigma^2)/12+Sigma*SQRT(1/12)*INDEX(NormRand,ScenID,A855+1))-1</f>
        <v/>
      </c>
      <c r="Z855" s="34">
        <f>Y855*X855</f>
        <v/>
      </c>
      <c r="AA855" s="34">
        <f>X855+0.5*Z855</f>
        <v/>
      </c>
      <c r="AB855" s="34">
        <f>Q855*J855</f>
        <v/>
      </c>
      <c r="AC855" s="34">
        <f>Q855*L855</f>
        <v/>
      </c>
      <c r="AD855" s="34">
        <f>S855*N855</f>
        <v/>
      </c>
      <c r="AE855" s="34">
        <f>E855*N855</f>
        <v/>
      </c>
      <c r="AF855" s="34">
        <f>R855*N855</f>
        <v/>
      </c>
      <c r="AG855" s="29">
        <f>MAX(SumAssured,AA855)</f>
        <v/>
      </c>
      <c r="AH855" s="34">
        <f>AG855*O855</f>
        <v/>
      </c>
      <c r="AI855" s="34">
        <f>AA855*O855</f>
        <v/>
      </c>
      <c r="AJ855" s="34">
        <f>AA855*P855</f>
        <v/>
      </c>
      <c r="AK855" s="34">
        <f>I855*AA855*P855</f>
        <v/>
      </c>
      <c r="AL855" s="34">
        <f>AJ855-AK855</f>
        <v/>
      </c>
      <c r="AM855" s="34">
        <f>Q855*K855</f>
        <v/>
      </c>
      <c r="AN855" s="34">
        <f>AH855+AL855+AM855</f>
        <v/>
      </c>
      <c r="AO855" s="34">
        <f>(AG855-AA855)*O855</f>
        <v/>
      </c>
      <c r="AP855" s="34">
        <f>W855*N855</f>
        <v/>
      </c>
      <c r="AQ855" s="34">
        <f>T855*N855</f>
        <v/>
      </c>
      <c r="AR855" s="34">
        <f>Z855*J856+0.5*Z855*(O855+P855)</f>
        <v/>
      </c>
      <c r="AS855" s="30">
        <f>(1+InflationRate)^(A855/12)</f>
        <v/>
      </c>
      <c r="AT855" s="29">
        <f>ExpenseAcq*M855+N855*ExpenseMaint/12*AS855</f>
        <v/>
      </c>
      <c r="AU855" s="29">
        <f>CommissionRate*AE855</f>
        <v/>
      </c>
      <c r="AV855" s="34">
        <f>AB856-AB855</f>
        <v/>
      </c>
      <c r="AW855" s="34">
        <f>AE855+AR855-AN855-AT855-AU855-AV855</f>
        <v/>
      </c>
      <c r="AX855" s="29">
        <f>LoadPremRate*E855*N855+AK855+AQ855-AU855-AT855</f>
        <v/>
      </c>
      <c r="AY855" s="34">
        <f>AP855-AO855</f>
        <v/>
      </c>
      <c r="AZ855" s="37">
        <f>(AW855-AX855-AY855)/MAX(1,ABS(AW855),ABS(AX855),ABS(AY855))</f>
        <v/>
      </c>
      <c r="BA855" s="37">
        <f>IF(OR(K855&gt;0,K856&gt;0),0,(AC856-(AC855+AF855-AQ855-AP855+AR855-AI855-AJ855-AM855))/MAX(1,ABS(AC855),ABS(AC856)))</f>
        <v/>
      </c>
      <c r="BB855" s="35">
        <f>(1+INDEX(DiscRateAnn,INT(A855/12)+1))^(1/12)-1</f>
        <v/>
      </c>
      <c r="BC855" s="31">
        <f>(1+BB855)^-A855</f>
        <v/>
      </c>
      <c r="BD855" s="34">
        <f>AW855*BC855</f>
        <v/>
      </c>
    </row>
    <row r="856">
      <c r="A856" s="27">
        <f>A855+1</f>
        <v/>
      </c>
      <c r="B856" s="28">
        <f>Duration0+A856</f>
        <v/>
      </c>
      <c r="C856" s="27">
        <f>INT(B856/12)</f>
        <v/>
      </c>
      <c r="D856" s="28">
        <f>AgeAtEntry+C856</f>
        <v/>
      </c>
      <c r="E856" s="29">
        <f>IF(PremiumType="SINGLE",IF(B856=0,PremiumPPInput,0),IF(B856&lt;12*PolicyTerm,PremiumPPInput,0))</f>
        <v/>
      </c>
      <c r="F856" s="30">
        <f>INDEX(MortRates,MATCH(MIN(D856,120),MortAges,0),MAX(MIN(C856,5),0)+1)</f>
        <v/>
      </c>
      <c r="G856" s="31">
        <f>1-(1-F856)^(1/12)</f>
        <v/>
      </c>
      <c r="H856" s="32">
        <f>MAX(LapseBase-LapseStep*C856,LapseFloor)</f>
        <v/>
      </c>
      <c r="I856" s="32">
        <f>IF(HasSurrCharge,INDEX(SurrRates,MIN(C856,SurrDurMax)+1,MATCH(SurrChargeID,SurrTypes,0)),0)</f>
        <v/>
      </c>
      <c r="J856" s="33">
        <f>N855-P855-O855</f>
        <v/>
      </c>
      <c r="K856" s="30">
        <f>IF(B856=12*PolicyTerm,J856,0)</f>
        <v/>
      </c>
      <c r="L856" s="33">
        <f>J856-K856</f>
        <v/>
      </c>
      <c r="M856" s="30">
        <f>IF(B856=0,PolicyCount,0)</f>
        <v/>
      </c>
      <c r="N856" s="33">
        <f>L856+M856</f>
        <v/>
      </c>
      <c r="O856" s="31">
        <f>N856*G856</f>
        <v/>
      </c>
      <c r="P856" s="33">
        <f>(N856-O856)*(1-(1-H856)^(1/12))</f>
        <v/>
      </c>
      <c r="Q856" s="34">
        <f>X855+Z855</f>
        <v/>
      </c>
      <c r="R856" s="29">
        <f>(1-LoadPremRate)*E856</f>
        <v/>
      </c>
      <c r="S856" s="34">
        <f>Q856+R856</f>
        <v/>
      </c>
      <c r="T856" s="29">
        <f>MaintFeeRateAnn/12*S856</f>
        <v/>
      </c>
      <c r="U856" s="29">
        <f>MAX(SumAssured-S856,0)</f>
        <v/>
      </c>
      <c r="V856" s="35">
        <f>CoiMultiple*G856</f>
        <v/>
      </c>
      <c r="W856" s="34">
        <f>V856*U856</f>
        <v/>
      </c>
      <c r="X856" s="34">
        <f>S856-T856-W856</f>
        <v/>
      </c>
      <c r="Y856" s="36">
        <f>EXP((Mu-0.5*Sigma^2)/12+Sigma*SQRT(1/12)*INDEX(NormRand,ScenID,A856+1))-1</f>
        <v/>
      </c>
      <c r="Z856" s="34">
        <f>Y856*X856</f>
        <v/>
      </c>
      <c r="AA856" s="34">
        <f>X856+0.5*Z856</f>
        <v/>
      </c>
      <c r="AB856" s="34">
        <f>Q856*J856</f>
        <v/>
      </c>
      <c r="AC856" s="34">
        <f>Q856*L856</f>
        <v/>
      </c>
      <c r="AD856" s="34">
        <f>S856*N856</f>
        <v/>
      </c>
      <c r="AE856" s="34">
        <f>E856*N856</f>
        <v/>
      </c>
      <c r="AF856" s="34">
        <f>R856*N856</f>
        <v/>
      </c>
      <c r="AG856" s="29">
        <f>MAX(SumAssured,AA856)</f>
        <v/>
      </c>
      <c r="AH856" s="34">
        <f>AG856*O856</f>
        <v/>
      </c>
      <c r="AI856" s="34">
        <f>AA856*O856</f>
        <v/>
      </c>
      <c r="AJ856" s="34">
        <f>AA856*P856</f>
        <v/>
      </c>
      <c r="AK856" s="34">
        <f>I856*AA856*P856</f>
        <v/>
      </c>
      <c r="AL856" s="34">
        <f>AJ856-AK856</f>
        <v/>
      </c>
      <c r="AM856" s="34">
        <f>Q856*K856</f>
        <v/>
      </c>
      <c r="AN856" s="34">
        <f>AH856+AL856+AM856</f>
        <v/>
      </c>
      <c r="AO856" s="34">
        <f>(AG856-AA856)*O856</f>
        <v/>
      </c>
      <c r="AP856" s="34">
        <f>W856*N856</f>
        <v/>
      </c>
      <c r="AQ856" s="34">
        <f>T856*N856</f>
        <v/>
      </c>
      <c r="AR856" s="34">
        <f>Z856*J857+0.5*Z856*(O856+P856)</f>
        <v/>
      </c>
      <c r="AS856" s="30">
        <f>(1+InflationRate)^(A856/12)</f>
        <v/>
      </c>
      <c r="AT856" s="29">
        <f>ExpenseAcq*M856+N856*ExpenseMaint/12*AS856</f>
        <v/>
      </c>
      <c r="AU856" s="29">
        <f>CommissionRate*AE856</f>
        <v/>
      </c>
      <c r="AV856" s="34">
        <f>AB857-AB856</f>
        <v/>
      </c>
      <c r="AW856" s="34">
        <f>AE856+AR856-AN856-AT856-AU856-AV856</f>
        <v/>
      </c>
      <c r="AX856" s="29">
        <f>LoadPremRate*E856*N856+AK856+AQ856-AU856-AT856</f>
        <v/>
      </c>
      <c r="AY856" s="34">
        <f>AP856-AO856</f>
        <v/>
      </c>
      <c r="AZ856" s="37">
        <f>(AW856-AX856-AY856)/MAX(1,ABS(AW856),ABS(AX856),ABS(AY856))</f>
        <v/>
      </c>
      <c r="BA856" s="37">
        <f>IF(OR(K856&gt;0,K857&gt;0),0,(AC857-(AC856+AF856-AQ856-AP856+AR856-AI856-AJ856-AM856))/MAX(1,ABS(AC856),ABS(AC857)))</f>
        <v/>
      </c>
      <c r="BB856" s="35">
        <f>(1+INDEX(DiscRateAnn,INT(A856/12)+1))^(1/12)-1</f>
        <v/>
      </c>
      <c r="BC856" s="31">
        <f>(1+BB856)^-A856</f>
        <v/>
      </c>
      <c r="BD856" s="34">
        <f>AW856*BC856</f>
        <v/>
      </c>
    </row>
    <row r="857">
      <c r="A857" s="27">
        <f>A856+1</f>
        <v/>
      </c>
      <c r="B857" s="28">
        <f>Duration0+A857</f>
        <v/>
      </c>
      <c r="C857" s="27">
        <f>INT(B857/12)</f>
        <v/>
      </c>
      <c r="D857" s="28">
        <f>AgeAtEntry+C857</f>
        <v/>
      </c>
      <c r="E857" s="29">
        <f>IF(PremiumType="SINGLE",IF(B857=0,PremiumPPInput,0),IF(B857&lt;12*PolicyTerm,PremiumPPInput,0))</f>
        <v/>
      </c>
      <c r="F857" s="30">
        <f>INDEX(MortRates,MATCH(MIN(D857,120),MortAges,0),MAX(MIN(C857,5),0)+1)</f>
        <v/>
      </c>
      <c r="G857" s="31">
        <f>1-(1-F857)^(1/12)</f>
        <v/>
      </c>
      <c r="H857" s="32">
        <f>MAX(LapseBase-LapseStep*C857,LapseFloor)</f>
        <v/>
      </c>
      <c r="I857" s="32">
        <f>IF(HasSurrCharge,INDEX(SurrRates,MIN(C857,SurrDurMax)+1,MATCH(SurrChargeID,SurrTypes,0)),0)</f>
        <v/>
      </c>
      <c r="J857" s="33">
        <f>N856-P856-O856</f>
        <v/>
      </c>
      <c r="K857" s="30">
        <f>IF(B857=12*PolicyTerm,J857,0)</f>
        <v/>
      </c>
      <c r="L857" s="33">
        <f>J857-K857</f>
        <v/>
      </c>
      <c r="M857" s="30">
        <f>IF(B857=0,PolicyCount,0)</f>
        <v/>
      </c>
      <c r="N857" s="33">
        <f>L857+M857</f>
        <v/>
      </c>
      <c r="O857" s="31">
        <f>N857*G857</f>
        <v/>
      </c>
      <c r="P857" s="33">
        <f>(N857-O857)*(1-(1-H857)^(1/12))</f>
        <v/>
      </c>
      <c r="Q857" s="34">
        <f>X856+Z856</f>
        <v/>
      </c>
      <c r="R857" s="29">
        <f>(1-LoadPremRate)*E857</f>
        <v/>
      </c>
      <c r="S857" s="34">
        <f>Q857+R857</f>
        <v/>
      </c>
      <c r="T857" s="29">
        <f>MaintFeeRateAnn/12*S857</f>
        <v/>
      </c>
      <c r="U857" s="29">
        <f>MAX(SumAssured-S857,0)</f>
        <v/>
      </c>
      <c r="V857" s="35">
        <f>CoiMultiple*G857</f>
        <v/>
      </c>
      <c r="W857" s="34">
        <f>V857*U857</f>
        <v/>
      </c>
      <c r="X857" s="34">
        <f>S857-T857-W857</f>
        <v/>
      </c>
      <c r="Y857" s="36">
        <f>EXP((Mu-0.5*Sigma^2)/12+Sigma*SQRT(1/12)*INDEX(NormRand,ScenID,A857+1))-1</f>
        <v/>
      </c>
      <c r="Z857" s="34">
        <f>Y857*X857</f>
        <v/>
      </c>
      <c r="AA857" s="34">
        <f>X857+0.5*Z857</f>
        <v/>
      </c>
      <c r="AB857" s="34">
        <f>Q857*J857</f>
        <v/>
      </c>
      <c r="AC857" s="34">
        <f>Q857*L857</f>
        <v/>
      </c>
      <c r="AD857" s="34">
        <f>S857*N857</f>
        <v/>
      </c>
      <c r="AE857" s="34">
        <f>E857*N857</f>
        <v/>
      </c>
      <c r="AF857" s="34">
        <f>R857*N857</f>
        <v/>
      </c>
      <c r="AG857" s="29">
        <f>MAX(SumAssured,AA857)</f>
        <v/>
      </c>
      <c r="AH857" s="34">
        <f>AG857*O857</f>
        <v/>
      </c>
      <c r="AI857" s="34">
        <f>AA857*O857</f>
        <v/>
      </c>
      <c r="AJ857" s="34">
        <f>AA857*P857</f>
        <v/>
      </c>
      <c r="AK857" s="34">
        <f>I857*AA857*P857</f>
        <v/>
      </c>
      <c r="AL857" s="34">
        <f>AJ857-AK857</f>
        <v/>
      </c>
      <c r="AM857" s="34">
        <f>Q857*K857</f>
        <v/>
      </c>
      <c r="AN857" s="34">
        <f>AH857+AL857+AM857</f>
        <v/>
      </c>
      <c r="AO857" s="34">
        <f>(AG857-AA857)*O857</f>
        <v/>
      </c>
      <c r="AP857" s="34">
        <f>W857*N857</f>
        <v/>
      </c>
      <c r="AQ857" s="34">
        <f>T857*N857</f>
        <v/>
      </c>
      <c r="AR857" s="34">
        <f>Z857*J858+0.5*Z857*(O857+P857)</f>
        <v/>
      </c>
      <c r="AS857" s="30">
        <f>(1+InflationRate)^(A857/12)</f>
        <v/>
      </c>
      <c r="AT857" s="29">
        <f>ExpenseAcq*M857+N857*ExpenseMaint/12*AS857</f>
        <v/>
      </c>
      <c r="AU857" s="29">
        <f>CommissionRate*AE857</f>
        <v/>
      </c>
      <c r="AV857" s="34">
        <f>AB858-AB857</f>
        <v/>
      </c>
      <c r="AW857" s="34">
        <f>AE857+AR857-AN857-AT857-AU857-AV857</f>
        <v/>
      </c>
      <c r="AX857" s="29">
        <f>LoadPremRate*E857*N857+AK857+AQ857-AU857-AT857</f>
        <v/>
      </c>
      <c r="AY857" s="34">
        <f>AP857-AO857</f>
        <v/>
      </c>
      <c r="AZ857" s="37">
        <f>(AW857-AX857-AY857)/MAX(1,ABS(AW857),ABS(AX857),ABS(AY857))</f>
        <v/>
      </c>
      <c r="BA857" s="37">
        <f>IF(OR(K857&gt;0,K858&gt;0),0,(AC858-(AC857+AF857-AQ857-AP857+AR857-AI857-AJ857-AM857))/MAX(1,ABS(AC857),ABS(AC858)))</f>
        <v/>
      </c>
      <c r="BB857" s="35">
        <f>(1+INDEX(DiscRateAnn,INT(A857/12)+1))^(1/12)-1</f>
        <v/>
      </c>
      <c r="BC857" s="31">
        <f>(1+BB857)^-A857</f>
        <v/>
      </c>
      <c r="BD857" s="34">
        <f>AW857*BC857</f>
        <v/>
      </c>
    </row>
    <row r="858">
      <c r="A858" s="27">
        <f>A857+1</f>
        <v/>
      </c>
      <c r="B858" s="28">
        <f>Duration0+A858</f>
        <v/>
      </c>
      <c r="C858" s="27">
        <f>INT(B858/12)</f>
        <v/>
      </c>
      <c r="D858" s="28">
        <f>AgeAtEntry+C858</f>
        <v/>
      </c>
      <c r="E858" s="29">
        <f>IF(PremiumType="SINGLE",IF(B858=0,PremiumPPInput,0),IF(B858&lt;12*PolicyTerm,PremiumPPInput,0))</f>
        <v/>
      </c>
      <c r="F858" s="30">
        <f>INDEX(MortRates,MATCH(MIN(D858,120),MortAges,0),MAX(MIN(C858,5),0)+1)</f>
        <v/>
      </c>
      <c r="G858" s="31">
        <f>1-(1-F858)^(1/12)</f>
        <v/>
      </c>
      <c r="H858" s="32">
        <f>MAX(LapseBase-LapseStep*C858,LapseFloor)</f>
        <v/>
      </c>
      <c r="I858" s="32">
        <f>IF(HasSurrCharge,INDEX(SurrRates,MIN(C858,SurrDurMax)+1,MATCH(SurrChargeID,SurrTypes,0)),0)</f>
        <v/>
      </c>
      <c r="J858" s="33">
        <f>N857-P857-O857</f>
        <v/>
      </c>
      <c r="K858" s="30">
        <f>IF(B858=12*PolicyTerm,J858,0)</f>
        <v/>
      </c>
      <c r="L858" s="33">
        <f>J858-K858</f>
        <v/>
      </c>
      <c r="M858" s="30">
        <f>IF(B858=0,PolicyCount,0)</f>
        <v/>
      </c>
      <c r="N858" s="33">
        <f>L858+M858</f>
        <v/>
      </c>
      <c r="O858" s="31">
        <f>N858*G858</f>
        <v/>
      </c>
      <c r="P858" s="33">
        <f>(N858-O858)*(1-(1-H858)^(1/12))</f>
        <v/>
      </c>
      <c r="Q858" s="34">
        <f>X857+Z857</f>
        <v/>
      </c>
      <c r="R858" s="29">
        <f>(1-LoadPremRate)*E858</f>
        <v/>
      </c>
      <c r="S858" s="34">
        <f>Q858+R858</f>
        <v/>
      </c>
      <c r="T858" s="29">
        <f>MaintFeeRateAnn/12*S858</f>
        <v/>
      </c>
      <c r="U858" s="29">
        <f>MAX(SumAssured-S858,0)</f>
        <v/>
      </c>
      <c r="V858" s="35">
        <f>CoiMultiple*G858</f>
        <v/>
      </c>
      <c r="W858" s="34">
        <f>V858*U858</f>
        <v/>
      </c>
      <c r="X858" s="34">
        <f>S858-T858-W858</f>
        <v/>
      </c>
      <c r="Y858" s="36">
        <f>EXP((Mu-0.5*Sigma^2)/12+Sigma*SQRT(1/12)*INDEX(NormRand,ScenID,A858+1))-1</f>
        <v/>
      </c>
      <c r="Z858" s="34">
        <f>Y858*X858</f>
        <v/>
      </c>
      <c r="AA858" s="34">
        <f>X858+0.5*Z858</f>
        <v/>
      </c>
      <c r="AB858" s="34">
        <f>Q858*J858</f>
        <v/>
      </c>
      <c r="AC858" s="34">
        <f>Q858*L858</f>
        <v/>
      </c>
      <c r="AD858" s="34">
        <f>S858*N858</f>
        <v/>
      </c>
      <c r="AE858" s="34">
        <f>E858*N858</f>
        <v/>
      </c>
      <c r="AF858" s="34">
        <f>R858*N858</f>
        <v/>
      </c>
      <c r="AG858" s="29">
        <f>MAX(SumAssured,AA858)</f>
        <v/>
      </c>
      <c r="AH858" s="34">
        <f>AG858*O858</f>
        <v/>
      </c>
      <c r="AI858" s="34">
        <f>AA858*O858</f>
        <v/>
      </c>
      <c r="AJ858" s="34">
        <f>AA858*P858</f>
        <v/>
      </c>
      <c r="AK858" s="34">
        <f>I858*AA858*P858</f>
        <v/>
      </c>
      <c r="AL858" s="34">
        <f>AJ858-AK858</f>
        <v/>
      </c>
      <c r="AM858" s="34">
        <f>Q858*K858</f>
        <v/>
      </c>
      <c r="AN858" s="34">
        <f>AH858+AL858+AM858</f>
        <v/>
      </c>
      <c r="AO858" s="34">
        <f>(AG858-AA858)*O858</f>
        <v/>
      </c>
      <c r="AP858" s="34">
        <f>W858*N858</f>
        <v/>
      </c>
      <c r="AQ858" s="34">
        <f>T858*N858</f>
        <v/>
      </c>
      <c r="AR858" s="34">
        <f>Z858*J859+0.5*Z858*(O858+P858)</f>
        <v/>
      </c>
      <c r="AS858" s="30">
        <f>(1+InflationRate)^(A858/12)</f>
        <v/>
      </c>
      <c r="AT858" s="29">
        <f>ExpenseAcq*M858+N858*ExpenseMaint/12*AS858</f>
        <v/>
      </c>
      <c r="AU858" s="29">
        <f>CommissionRate*AE858</f>
        <v/>
      </c>
      <c r="AV858" s="34">
        <f>AB859-AB858</f>
        <v/>
      </c>
      <c r="AW858" s="34">
        <f>AE858+AR858-AN858-AT858-AU858-AV858</f>
        <v/>
      </c>
      <c r="AX858" s="29">
        <f>LoadPremRate*E858*N858+AK858+AQ858-AU858-AT858</f>
        <v/>
      </c>
      <c r="AY858" s="34">
        <f>AP858-AO858</f>
        <v/>
      </c>
      <c r="AZ858" s="37">
        <f>(AW858-AX858-AY858)/MAX(1,ABS(AW858),ABS(AX858),ABS(AY858))</f>
        <v/>
      </c>
      <c r="BA858" s="37">
        <f>IF(OR(K858&gt;0,K859&gt;0),0,(AC859-(AC858+AF858-AQ858-AP858+AR858-AI858-AJ858-AM858))/MAX(1,ABS(AC858),ABS(AC859)))</f>
        <v/>
      </c>
      <c r="BB858" s="35">
        <f>(1+INDEX(DiscRateAnn,INT(A858/12)+1))^(1/12)-1</f>
        <v/>
      </c>
      <c r="BC858" s="31">
        <f>(1+BB858)^-A858</f>
        <v/>
      </c>
      <c r="BD858" s="34">
        <f>AW858*BC858</f>
        <v/>
      </c>
    </row>
    <row r="859">
      <c r="A859" s="27">
        <f>A858+1</f>
        <v/>
      </c>
      <c r="B859" s="28">
        <f>Duration0+A859</f>
        <v/>
      </c>
      <c r="C859" s="27">
        <f>INT(B859/12)</f>
        <v/>
      </c>
      <c r="D859" s="28">
        <f>AgeAtEntry+C859</f>
        <v/>
      </c>
      <c r="E859" s="29">
        <f>IF(PremiumType="SINGLE",IF(B859=0,PremiumPPInput,0),IF(B859&lt;12*PolicyTerm,PremiumPPInput,0))</f>
        <v/>
      </c>
      <c r="F859" s="30">
        <f>INDEX(MortRates,MATCH(MIN(D859,120),MortAges,0),MAX(MIN(C859,5),0)+1)</f>
        <v/>
      </c>
      <c r="G859" s="31">
        <f>1-(1-F859)^(1/12)</f>
        <v/>
      </c>
      <c r="H859" s="32">
        <f>MAX(LapseBase-LapseStep*C859,LapseFloor)</f>
        <v/>
      </c>
      <c r="I859" s="32">
        <f>IF(HasSurrCharge,INDEX(SurrRates,MIN(C859,SurrDurMax)+1,MATCH(SurrChargeID,SurrTypes,0)),0)</f>
        <v/>
      </c>
      <c r="J859" s="33">
        <f>N858-P858-O858</f>
        <v/>
      </c>
      <c r="K859" s="30">
        <f>IF(B859=12*PolicyTerm,J859,0)</f>
        <v/>
      </c>
      <c r="L859" s="33">
        <f>J859-K859</f>
        <v/>
      </c>
      <c r="M859" s="30">
        <f>IF(B859=0,PolicyCount,0)</f>
        <v/>
      </c>
      <c r="N859" s="33">
        <f>L859+M859</f>
        <v/>
      </c>
      <c r="O859" s="31">
        <f>N859*G859</f>
        <v/>
      </c>
      <c r="P859" s="33">
        <f>(N859-O859)*(1-(1-H859)^(1/12))</f>
        <v/>
      </c>
      <c r="Q859" s="34">
        <f>X858+Z858</f>
        <v/>
      </c>
      <c r="R859" s="29">
        <f>(1-LoadPremRate)*E859</f>
        <v/>
      </c>
      <c r="S859" s="34">
        <f>Q859+R859</f>
        <v/>
      </c>
      <c r="T859" s="29">
        <f>MaintFeeRateAnn/12*S859</f>
        <v/>
      </c>
      <c r="U859" s="29">
        <f>MAX(SumAssured-S859,0)</f>
        <v/>
      </c>
      <c r="V859" s="35">
        <f>CoiMultiple*G859</f>
        <v/>
      </c>
      <c r="W859" s="34">
        <f>V859*U859</f>
        <v/>
      </c>
      <c r="X859" s="34">
        <f>S859-T859-W859</f>
        <v/>
      </c>
      <c r="Y859" s="36">
        <f>EXP((Mu-0.5*Sigma^2)/12+Sigma*SQRT(1/12)*INDEX(NormRand,ScenID,A859+1))-1</f>
        <v/>
      </c>
      <c r="Z859" s="34">
        <f>Y859*X859</f>
        <v/>
      </c>
      <c r="AA859" s="34">
        <f>X859+0.5*Z859</f>
        <v/>
      </c>
      <c r="AB859" s="34">
        <f>Q859*J859</f>
        <v/>
      </c>
      <c r="AC859" s="34">
        <f>Q859*L859</f>
        <v/>
      </c>
      <c r="AD859" s="34">
        <f>S859*N859</f>
        <v/>
      </c>
      <c r="AE859" s="34">
        <f>E859*N859</f>
        <v/>
      </c>
      <c r="AF859" s="34">
        <f>R859*N859</f>
        <v/>
      </c>
      <c r="AG859" s="29">
        <f>MAX(SumAssured,AA859)</f>
        <v/>
      </c>
      <c r="AH859" s="34">
        <f>AG859*O859</f>
        <v/>
      </c>
      <c r="AI859" s="34">
        <f>AA859*O859</f>
        <v/>
      </c>
      <c r="AJ859" s="34">
        <f>AA859*P859</f>
        <v/>
      </c>
      <c r="AK859" s="34">
        <f>I859*AA859*P859</f>
        <v/>
      </c>
      <c r="AL859" s="34">
        <f>AJ859-AK859</f>
        <v/>
      </c>
      <c r="AM859" s="34">
        <f>Q859*K859</f>
        <v/>
      </c>
      <c r="AN859" s="34">
        <f>AH859+AL859+AM859</f>
        <v/>
      </c>
      <c r="AO859" s="34">
        <f>(AG859-AA859)*O859</f>
        <v/>
      </c>
      <c r="AP859" s="34">
        <f>W859*N859</f>
        <v/>
      </c>
      <c r="AQ859" s="34">
        <f>T859*N859</f>
        <v/>
      </c>
      <c r="AR859" s="34">
        <f>Z859*J860+0.5*Z859*(O859+P859)</f>
        <v/>
      </c>
      <c r="AS859" s="30">
        <f>(1+InflationRate)^(A859/12)</f>
        <v/>
      </c>
      <c r="AT859" s="29">
        <f>ExpenseAcq*M859+N859*ExpenseMaint/12*AS859</f>
        <v/>
      </c>
      <c r="AU859" s="29">
        <f>CommissionRate*AE859</f>
        <v/>
      </c>
      <c r="AV859" s="34">
        <f>AB860-AB859</f>
        <v/>
      </c>
      <c r="AW859" s="34">
        <f>AE859+AR859-AN859-AT859-AU859-AV859</f>
        <v/>
      </c>
      <c r="AX859" s="29">
        <f>LoadPremRate*E859*N859+AK859+AQ859-AU859-AT859</f>
        <v/>
      </c>
      <c r="AY859" s="34">
        <f>AP859-AO859</f>
        <v/>
      </c>
      <c r="AZ859" s="37">
        <f>(AW859-AX859-AY859)/MAX(1,ABS(AW859),ABS(AX859),ABS(AY859))</f>
        <v/>
      </c>
      <c r="BA859" s="37">
        <f>IF(OR(K859&gt;0,K860&gt;0),0,(AC860-(AC859+AF859-AQ859-AP859+AR859-AI859-AJ859-AM859))/MAX(1,ABS(AC859),ABS(AC860)))</f>
        <v/>
      </c>
      <c r="BB859" s="35">
        <f>(1+INDEX(DiscRateAnn,INT(A859/12)+1))^(1/12)-1</f>
        <v/>
      </c>
      <c r="BC859" s="31">
        <f>(1+BB859)^-A859</f>
        <v/>
      </c>
      <c r="BD859" s="34">
        <f>AW859*BC859</f>
        <v/>
      </c>
    </row>
    <row r="860">
      <c r="A860" s="27">
        <f>A859+1</f>
        <v/>
      </c>
      <c r="B860" s="28">
        <f>Duration0+A860</f>
        <v/>
      </c>
      <c r="C860" s="27">
        <f>INT(B860/12)</f>
        <v/>
      </c>
      <c r="D860" s="28">
        <f>AgeAtEntry+C860</f>
        <v/>
      </c>
      <c r="E860" s="29">
        <f>IF(PremiumType="SINGLE",IF(B860=0,PremiumPPInput,0),IF(B860&lt;12*PolicyTerm,PremiumPPInput,0))</f>
        <v/>
      </c>
      <c r="F860" s="30">
        <f>INDEX(MortRates,MATCH(MIN(D860,120),MortAges,0),MAX(MIN(C860,5),0)+1)</f>
        <v/>
      </c>
      <c r="G860" s="31">
        <f>1-(1-F860)^(1/12)</f>
        <v/>
      </c>
      <c r="H860" s="32">
        <f>MAX(LapseBase-LapseStep*C860,LapseFloor)</f>
        <v/>
      </c>
      <c r="I860" s="32">
        <f>IF(HasSurrCharge,INDEX(SurrRates,MIN(C860,SurrDurMax)+1,MATCH(SurrChargeID,SurrTypes,0)),0)</f>
        <v/>
      </c>
      <c r="J860" s="33">
        <f>N859-P859-O859</f>
        <v/>
      </c>
      <c r="K860" s="30">
        <f>IF(B860=12*PolicyTerm,J860,0)</f>
        <v/>
      </c>
      <c r="L860" s="33">
        <f>J860-K860</f>
        <v/>
      </c>
      <c r="M860" s="30">
        <f>IF(B860=0,PolicyCount,0)</f>
        <v/>
      </c>
      <c r="N860" s="33">
        <f>L860+M860</f>
        <v/>
      </c>
      <c r="O860" s="31">
        <f>N860*G860</f>
        <v/>
      </c>
      <c r="P860" s="33">
        <f>(N860-O860)*(1-(1-H860)^(1/12))</f>
        <v/>
      </c>
      <c r="Q860" s="34">
        <f>X859+Z859</f>
        <v/>
      </c>
      <c r="R860" s="29">
        <f>(1-LoadPremRate)*E860</f>
        <v/>
      </c>
      <c r="S860" s="34">
        <f>Q860+R860</f>
        <v/>
      </c>
      <c r="T860" s="29">
        <f>MaintFeeRateAnn/12*S860</f>
        <v/>
      </c>
      <c r="U860" s="29">
        <f>MAX(SumAssured-S860,0)</f>
        <v/>
      </c>
      <c r="V860" s="35">
        <f>CoiMultiple*G860</f>
        <v/>
      </c>
      <c r="W860" s="34">
        <f>V860*U860</f>
        <v/>
      </c>
      <c r="X860" s="34">
        <f>S860-T860-W860</f>
        <v/>
      </c>
      <c r="Y860" s="36">
        <f>EXP((Mu-0.5*Sigma^2)/12+Sigma*SQRT(1/12)*INDEX(NormRand,ScenID,A860+1))-1</f>
        <v/>
      </c>
      <c r="Z860" s="34">
        <f>Y860*X860</f>
        <v/>
      </c>
      <c r="AA860" s="34">
        <f>X860+0.5*Z860</f>
        <v/>
      </c>
      <c r="AB860" s="34">
        <f>Q860*J860</f>
        <v/>
      </c>
      <c r="AC860" s="34">
        <f>Q860*L860</f>
        <v/>
      </c>
      <c r="AD860" s="34">
        <f>S860*N860</f>
        <v/>
      </c>
      <c r="AE860" s="34">
        <f>E860*N860</f>
        <v/>
      </c>
      <c r="AF860" s="34">
        <f>R860*N860</f>
        <v/>
      </c>
      <c r="AG860" s="29">
        <f>MAX(SumAssured,AA860)</f>
        <v/>
      </c>
      <c r="AH860" s="34">
        <f>AG860*O860</f>
        <v/>
      </c>
      <c r="AI860" s="34">
        <f>AA860*O860</f>
        <v/>
      </c>
      <c r="AJ860" s="34">
        <f>AA860*P860</f>
        <v/>
      </c>
      <c r="AK860" s="34">
        <f>I860*AA860*P860</f>
        <v/>
      </c>
      <c r="AL860" s="34">
        <f>AJ860-AK860</f>
        <v/>
      </c>
      <c r="AM860" s="34">
        <f>Q860*K860</f>
        <v/>
      </c>
      <c r="AN860" s="34">
        <f>AH860+AL860+AM860</f>
        <v/>
      </c>
      <c r="AO860" s="34">
        <f>(AG860-AA860)*O860</f>
        <v/>
      </c>
      <c r="AP860" s="34">
        <f>W860*N860</f>
        <v/>
      </c>
      <c r="AQ860" s="34">
        <f>T860*N860</f>
        <v/>
      </c>
      <c r="AR860" s="34">
        <f>Z860*J861+0.5*Z860*(O860+P860)</f>
        <v/>
      </c>
      <c r="AS860" s="30">
        <f>(1+InflationRate)^(A860/12)</f>
        <v/>
      </c>
      <c r="AT860" s="29">
        <f>ExpenseAcq*M860+N860*ExpenseMaint/12*AS860</f>
        <v/>
      </c>
      <c r="AU860" s="29">
        <f>CommissionRate*AE860</f>
        <v/>
      </c>
      <c r="AV860" s="34">
        <f>AB861-AB860</f>
        <v/>
      </c>
      <c r="AW860" s="34">
        <f>AE860+AR860-AN860-AT860-AU860-AV860</f>
        <v/>
      </c>
      <c r="AX860" s="29">
        <f>LoadPremRate*E860*N860+AK860+AQ860-AU860-AT860</f>
        <v/>
      </c>
      <c r="AY860" s="34">
        <f>AP860-AO860</f>
        <v/>
      </c>
      <c r="AZ860" s="37">
        <f>(AW860-AX860-AY860)/MAX(1,ABS(AW860),ABS(AX860),ABS(AY860))</f>
        <v/>
      </c>
      <c r="BA860" s="37">
        <f>IF(OR(K860&gt;0,K861&gt;0),0,(AC861-(AC860+AF860-AQ860-AP860+AR860-AI860-AJ860-AM860))/MAX(1,ABS(AC860),ABS(AC861)))</f>
        <v/>
      </c>
      <c r="BB860" s="35">
        <f>(1+INDEX(DiscRateAnn,INT(A860/12)+1))^(1/12)-1</f>
        <v/>
      </c>
      <c r="BC860" s="31">
        <f>(1+BB860)^-A860</f>
        <v/>
      </c>
      <c r="BD860" s="34">
        <f>AW860*BC860</f>
        <v/>
      </c>
    </row>
    <row r="861">
      <c r="A861" s="27">
        <f>A860+1</f>
        <v/>
      </c>
      <c r="B861" s="28">
        <f>Duration0+A861</f>
        <v/>
      </c>
      <c r="C861" s="27">
        <f>INT(B861/12)</f>
        <v/>
      </c>
      <c r="D861" s="28">
        <f>AgeAtEntry+C861</f>
        <v/>
      </c>
      <c r="E861" s="29">
        <f>IF(PremiumType="SINGLE",IF(B861=0,PremiumPPInput,0),IF(B861&lt;12*PolicyTerm,PremiumPPInput,0))</f>
        <v/>
      </c>
      <c r="F861" s="30">
        <f>INDEX(MortRates,MATCH(MIN(D861,120),MortAges,0),MAX(MIN(C861,5),0)+1)</f>
        <v/>
      </c>
      <c r="G861" s="31">
        <f>1-(1-F861)^(1/12)</f>
        <v/>
      </c>
      <c r="H861" s="32">
        <f>MAX(LapseBase-LapseStep*C861,LapseFloor)</f>
        <v/>
      </c>
      <c r="I861" s="32">
        <f>IF(HasSurrCharge,INDEX(SurrRates,MIN(C861,SurrDurMax)+1,MATCH(SurrChargeID,SurrTypes,0)),0)</f>
        <v/>
      </c>
      <c r="J861" s="33">
        <f>N860-P860-O860</f>
        <v/>
      </c>
      <c r="K861" s="30">
        <f>IF(B861=12*PolicyTerm,J861,0)</f>
        <v/>
      </c>
      <c r="L861" s="33">
        <f>J861-K861</f>
        <v/>
      </c>
      <c r="M861" s="30">
        <f>IF(B861=0,PolicyCount,0)</f>
        <v/>
      </c>
      <c r="N861" s="33">
        <f>L861+M861</f>
        <v/>
      </c>
      <c r="O861" s="31">
        <f>N861*G861</f>
        <v/>
      </c>
      <c r="P861" s="33">
        <f>(N861-O861)*(1-(1-H861)^(1/12))</f>
        <v/>
      </c>
      <c r="Q861" s="34">
        <f>X860+Z860</f>
        <v/>
      </c>
      <c r="R861" s="29">
        <f>(1-LoadPremRate)*E861</f>
        <v/>
      </c>
      <c r="S861" s="34">
        <f>Q861+R861</f>
        <v/>
      </c>
      <c r="T861" s="29">
        <f>MaintFeeRateAnn/12*S861</f>
        <v/>
      </c>
      <c r="U861" s="29">
        <f>MAX(SumAssured-S861,0)</f>
        <v/>
      </c>
      <c r="V861" s="35">
        <f>CoiMultiple*G861</f>
        <v/>
      </c>
      <c r="W861" s="34">
        <f>V861*U861</f>
        <v/>
      </c>
      <c r="X861" s="34">
        <f>S861-T861-W861</f>
        <v/>
      </c>
      <c r="Y861" s="36">
        <f>EXP((Mu-0.5*Sigma^2)/12+Sigma*SQRT(1/12)*INDEX(NormRand,ScenID,A861+1))-1</f>
        <v/>
      </c>
      <c r="Z861" s="34">
        <f>Y861*X861</f>
        <v/>
      </c>
      <c r="AA861" s="34">
        <f>X861+0.5*Z861</f>
        <v/>
      </c>
      <c r="AB861" s="34">
        <f>Q861*J861</f>
        <v/>
      </c>
      <c r="AC861" s="34">
        <f>Q861*L861</f>
        <v/>
      </c>
      <c r="AD861" s="34">
        <f>S861*N861</f>
        <v/>
      </c>
      <c r="AE861" s="34">
        <f>E861*N861</f>
        <v/>
      </c>
      <c r="AF861" s="34">
        <f>R861*N861</f>
        <v/>
      </c>
      <c r="AG861" s="29">
        <f>MAX(SumAssured,AA861)</f>
        <v/>
      </c>
      <c r="AH861" s="34">
        <f>AG861*O861</f>
        <v/>
      </c>
      <c r="AI861" s="34">
        <f>AA861*O861</f>
        <v/>
      </c>
      <c r="AJ861" s="34">
        <f>AA861*P861</f>
        <v/>
      </c>
      <c r="AK861" s="34">
        <f>I861*AA861*P861</f>
        <v/>
      </c>
      <c r="AL861" s="34">
        <f>AJ861-AK861</f>
        <v/>
      </c>
      <c r="AM861" s="34">
        <f>Q861*K861</f>
        <v/>
      </c>
      <c r="AN861" s="34">
        <f>AH861+AL861+AM861</f>
        <v/>
      </c>
      <c r="AO861" s="34">
        <f>(AG861-AA861)*O861</f>
        <v/>
      </c>
      <c r="AP861" s="34">
        <f>W861*N861</f>
        <v/>
      </c>
      <c r="AQ861" s="34">
        <f>T861*N861</f>
        <v/>
      </c>
      <c r="AR861" s="34">
        <f>Z861*J862+0.5*Z861*(O861+P861)</f>
        <v/>
      </c>
      <c r="AS861" s="30">
        <f>(1+InflationRate)^(A861/12)</f>
        <v/>
      </c>
      <c r="AT861" s="29">
        <f>ExpenseAcq*M861+N861*ExpenseMaint/12*AS861</f>
        <v/>
      </c>
      <c r="AU861" s="29">
        <f>CommissionRate*AE861</f>
        <v/>
      </c>
      <c r="AV861" s="34">
        <f>AB862-AB861</f>
        <v/>
      </c>
      <c r="AW861" s="34">
        <f>AE861+AR861-AN861-AT861-AU861-AV861</f>
        <v/>
      </c>
      <c r="AX861" s="29">
        <f>LoadPremRate*E861*N861+AK861+AQ861-AU861-AT861</f>
        <v/>
      </c>
      <c r="AY861" s="34">
        <f>AP861-AO861</f>
        <v/>
      </c>
      <c r="AZ861" s="37">
        <f>(AW861-AX861-AY861)/MAX(1,ABS(AW861),ABS(AX861),ABS(AY861))</f>
        <v/>
      </c>
      <c r="BA861" s="37">
        <f>IF(OR(K861&gt;0,K862&gt;0),0,(AC862-(AC861+AF861-AQ861-AP861+AR861-AI861-AJ861-AM861))/MAX(1,ABS(AC861),ABS(AC862)))</f>
        <v/>
      </c>
      <c r="BB861" s="35">
        <f>(1+INDEX(DiscRateAnn,INT(A861/12)+1))^(1/12)-1</f>
        <v/>
      </c>
      <c r="BC861" s="31">
        <f>(1+BB861)^-A861</f>
        <v/>
      </c>
      <c r="BD861" s="34">
        <f>AW861*BC861</f>
        <v/>
      </c>
    </row>
    <row r="862">
      <c r="A862" s="27">
        <f>A861+1</f>
        <v/>
      </c>
      <c r="B862" s="28">
        <f>Duration0+A862</f>
        <v/>
      </c>
      <c r="C862" s="27">
        <f>INT(B862/12)</f>
        <v/>
      </c>
      <c r="D862" s="28">
        <f>AgeAtEntry+C862</f>
        <v/>
      </c>
      <c r="E862" s="29">
        <f>IF(PremiumType="SINGLE",IF(B862=0,PremiumPPInput,0),IF(B862&lt;12*PolicyTerm,PremiumPPInput,0))</f>
        <v/>
      </c>
      <c r="F862" s="30">
        <f>INDEX(MortRates,MATCH(MIN(D862,120),MortAges,0),MAX(MIN(C862,5),0)+1)</f>
        <v/>
      </c>
      <c r="G862" s="31">
        <f>1-(1-F862)^(1/12)</f>
        <v/>
      </c>
      <c r="H862" s="32">
        <f>MAX(LapseBase-LapseStep*C862,LapseFloor)</f>
        <v/>
      </c>
      <c r="I862" s="32">
        <f>IF(HasSurrCharge,INDEX(SurrRates,MIN(C862,SurrDurMax)+1,MATCH(SurrChargeID,SurrTypes,0)),0)</f>
        <v/>
      </c>
      <c r="J862" s="33">
        <f>N861-P861-O861</f>
        <v/>
      </c>
      <c r="K862" s="30">
        <f>IF(B862=12*PolicyTerm,J862,0)</f>
        <v/>
      </c>
      <c r="L862" s="33">
        <f>J862-K862</f>
        <v/>
      </c>
      <c r="M862" s="30">
        <f>IF(B862=0,PolicyCount,0)</f>
        <v/>
      </c>
      <c r="N862" s="33">
        <f>L862+M862</f>
        <v/>
      </c>
      <c r="O862" s="31">
        <f>N862*G862</f>
        <v/>
      </c>
      <c r="P862" s="33">
        <f>(N862-O862)*(1-(1-H862)^(1/12))</f>
        <v/>
      </c>
      <c r="Q862" s="34">
        <f>X861+Z861</f>
        <v/>
      </c>
      <c r="R862" s="29">
        <f>(1-LoadPremRate)*E862</f>
        <v/>
      </c>
      <c r="S862" s="34">
        <f>Q862+R862</f>
        <v/>
      </c>
      <c r="T862" s="29">
        <f>MaintFeeRateAnn/12*S862</f>
        <v/>
      </c>
      <c r="U862" s="29">
        <f>MAX(SumAssured-S862,0)</f>
        <v/>
      </c>
      <c r="V862" s="35">
        <f>CoiMultiple*G862</f>
        <v/>
      </c>
      <c r="W862" s="34">
        <f>V862*U862</f>
        <v/>
      </c>
      <c r="X862" s="34">
        <f>S862-T862-W862</f>
        <v/>
      </c>
      <c r="Y862" s="36">
        <f>EXP((Mu-0.5*Sigma^2)/12+Sigma*SQRT(1/12)*INDEX(NormRand,ScenID,A862+1))-1</f>
        <v/>
      </c>
      <c r="Z862" s="34">
        <f>Y862*X862</f>
        <v/>
      </c>
      <c r="AA862" s="34">
        <f>X862+0.5*Z862</f>
        <v/>
      </c>
      <c r="AB862" s="34">
        <f>Q862*J862</f>
        <v/>
      </c>
      <c r="AC862" s="34">
        <f>Q862*L862</f>
        <v/>
      </c>
      <c r="AD862" s="34">
        <f>S862*N862</f>
        <v/>
      </c>
      <c r="AE862" s="34">
        <f>E862*N862</f>
        <v/>
      </c>
      <c r="AF862" s="34">
        <f>R862*N862</f>
        <v/>
      </c>
      <c r="AG862" s="29">
        <f>MAX(SumAssured,AA862)</f>
        <v/>
      </c>
      <c r="AH862" s="34">
        <f>AG862*O862</f>
        <v/>
      </c>
      <c r="AI862" s="34">
        <f>AA862*O862</f>
        <v/>
      </c>
      <c r="AJ862" s="34">
        <f>AA862*P862</f>
        <v/>
      </c>
      <c r="AK862" s="34">
        <f>I862*AA862*P862</f>
        <v/>
      </c>
      <c r="AL862" s="34">
        <f>AJ862-AK862</f>
        <v/>
      </c>
      <c r="AM862" s="34">
        <f>Q862*K862</f>
        <v/>
      </c>
      <c r="AN862" s="34">
        <f>AH862+AL862+AM862</f>
        <v/>
      </c>
      <c r="AO862" s="34">
        <f>(AG862-AA862)*O862</f>
        <v/>
      </c>
      <c r="AP862" s="34">
        <f>W862*N862</f>
        <v/>
      </c>
      <c r="AQ862" s="34">
        <f>T862*N862</f>
        <v/>
      </c>
      <c r="AR862" s="34">
        <f>Z862*J863+0.5*Z862*(O862+P862)</f>
        <v/>
      </c>
      <c r="AS862" s="30">
        <f>(1+InflationRate)^(A862/12)</f>
        <v/>
      </c>
      <c r="AT862" s="29">
        <f>ExpenseAcq*M862+N862*ExpenseMaint/12*AS862</f>
        <v/>
      </c>
      <c r="AU862" s="29">
        <f>CommissionRate*AE862</f>
        <v/>
      </c>
      <c r="AV862" s="34">
        <f>AB863-AB862</f>
        <v/>
      </c>
      <c r="AW862" s="34">
        <f>AE862+AR862-AN862-AT862-AU862-AV862</f>
        <v/>
      </c>
      <c r="AX862" s="29">
        <f>LoadPremRate*E862*N862+AK862+AQ862-AU862-AT862</f>
        <v/>
      </c>
      <c r="AY862" s="34">
        <f>AP862-AO862</f>
        <v/>
      </c>
      <c r="AZ862" s="37">
        <f>(AW862-AX862-AY862)/MAX(1,ABS(AW862),ABS(AX862),ABS(AY862))</f>
        <v/>
      </c>
      <c r="BA862" s="37">
        <f>IF(OR(K862&gt;0,K863&gt;0),0,(AC863-(AC862+AF862-AQ862-AP862+AR862-AI862-AJ862-AM862))/MAX(1,ABS(AC862),ABS(AC863)))</f>
        <v/>
      </c>
      <c r="BB862" s="35">
        <f>(1+INDEX(DiscRateAnn,INT(A862/12)+1))^(1/12)-1</f>
        <v/>
      </c>
      <c r="BC862" s="31">
        <f>(1+BB862)^-A862</f>
        <v/>
      </c>
      <c r="BD862" s="34">
        <f>AW862*BC862</f>
        <v/>
      </c>
    </row>
    <row r="863">
      <c r="A863" s="27">
        <f>A862+1</f>
        <v/>
      </c>
      <c r="B863" s="28">
        <f>Duration0+A863</f>
        <v/>
      </c>
      <c r="C863" s="27">
        <f>INT(B863/12)</f>
        <v/>
      </c>
      <c r="D863" s="28">
        <f>AgeAtEntry+C863</f>
        <v/>
      </c>
      <c r="E863" s="29">
        <f>IF(PremiumType="SINGLE",IF(B863=0,PremiumPPInput,0),IF(B863&lt;12*PolicyTerm,PremiumPPInput,0))</f>
        <v/>
      </c>
      <c r="F863" s="30">
        <f>INDEX(MortRates,MATCH(MIN(D863,120),MortAges,0),MAX(MIN(C863,5),0)+1)</f>
        <v/>
      </c>
      <c r="G863" s="31">
        <f>1-(1-F863)^(1/12)</f>
        <v/>
      </c>
      <c r="H863" s="32">
        <f>MAX(LapseBase-LapseStep*C863,LapseFloor)</f>
        <v/>
      </c>
      <c r="I863" s="32">
        <f>IF(HasSurrCharge,INDEX(SurrRates,MIN(C863,SurrDurMax)+1,MATCH(SurrChargeID,SurrTypes,0)),0)</f>
        <v/>
      </c>
      <c r="J863" s="33">
        <f>N862-P862-O862</f>
        <v/>
      </c>
      <c r="K863" s="30">
        <f>IF(B863=12*PolicyTerm,J863,0)</f>
        <v/>
      </c>
      <c r="L863" s="33">
        <f>J863-K863</f>
        <v/>
      </c>
      <c r="M863" s="30">
        <f>IF(B863=0,PolicyCount,0)</f>
        <v/>
      </c>
      <c r="N863" s="33">
        <f>L863+M863</f>
        <v/>
      </c>
      <c r="O863" s="31">
        <f>N863*G863</f>
        <v/>
      </c>
      <c r="P863" s="33">
        <f>(N863-O863)*(1-(1-H863)^(1/12))</f>
        <v/>
      </c>
      <c r="Q863" s="34">
        <f>X862+Z862</f>
        <v/>
      </c>
      <c r="R863" s="29">
        <f>(1-LoadPremRate)*E863</f>
        <v/>
      </c>
      <c r="S863" s="34">
        <f>Q863+R863</f>
        <v/>
      </c>
      <c r="T863" s="29">
        <f>MaintFeeRateAnn/12*S863</f>
        <v/>
      </c>
      <c r="U863" s="29">
        <f>MAX(SumAssured-S863,0)</f>
        <v/>
      </c>
      <c r="V863" s="35">
        <f>CoiMultiple*G863</f>
        <v/>
      </c>
      <c r="W863" s="34">
        <f>V863*U863</f>
        <v/>
      </c>
      <c r="X863" s="34">
        <f>S863-T863-W863</f>
        <v/>
      </c>
      <c r="Y863" s="36">
        <f>EXP((Mu-0.5*Sigma^2)/12+Sigma*SQRT(1/12)*INDEX(NormRand,ScenID,A863+1))-1</f>
        <v/>
      </c>
      <c r="Z863" s="34">
        <f>Y863*X863</f>
        <v/>
      </c>
      <c r="AA863" s="34">
        <f>X863+0.5*Z863</f>
        <v/>
      </c>
      <c r="AB863" s="34">
        <f>Q863*J863</f>
        <v/>
      </c>
      <c r="AC863" s="34">
        <f>Q863*L863</f>
        <v/>
      </c>
      <c r="AD863" s="34">
        <f>S863*N863</f>
        <v/>
      </c>
      <c r="AE863" s="34">
        <f>E863*N863</f>
        <v/>
      </c>
      <c r="AF863" s="34">
        <f>R863*N863</f>
        <v/>
      </c>
      <c r="AG863" s="29">
        <f>MAX(SumAssured,AA863)</f>
        <v/>
      </c>
      <c r="AH863" s="34">
        <f>AG863*O863</f>
        <v/>
      </c>
      <c r="AI863" s="34">
        <f>AA863*O863</f>
        <v/>
      </c>
      <c r="AJ863" s="34">
        <f>AA863*P863</f>
        <v/>
      </c>
      <c r="AK863" s="34">
        <f>I863*AA863*P863</f>
        <v/>
      </c>
      <c r="AL863" s="34">
        <f>AJ863-AK863</f>
        <v/>
      </c>
      <c r="AM863" s="34">
        <f>Q863*K863</f>
        <v/>
      </c>
      <c r="AN863" s="34">
        <f>AH863+AL863+AM863</f>
        <v/>
      </c>
      <c r="AO863" s="34">
        <f>(AG863-AA863)*O863</f>
        <v/>
      </c>
      <c r="AP863" s="34">
        <f>W863*N863</f>
        <v/>
      </c>
      <c r="AQ863" s="34">
        <f>T863*N863</f>
        <v/>
      </c>
      <c r="AR863" s="34">
        <f>Z863*J864+0.5*Z863*(O863+P863)</f>
        <v/>
      </c>
      <c r="AS863" s="30">
        <f>(1+InflationRate)^(A863/12)</f>
        <v/>
      </c>
      <c r="AT863" s="29">
        <f>ExpenseAcq*M863+N863*ExpenseMaint/12*AS863</f>
        <v/>
      </c>
      <c r="AU863" s="29">
        <f>CommissionRate*AE863</f>
        <v/>
      </c>
      <c r="AV863" s="34">
        <f>AB864-AB863</f>
        <v/>
      </c>
      <c r="AW863" s="34">
        <f>AE863+AR863-AN863-AT863-AU863-AV863</f>
        <v/>
      </c>
      <c r="AX863" s="29">
        <f>LoadPremRate*E863*N863+AK863+AQ863-AU863-AT863</f>
        <v/>
      </c>
      <c r="AY863" s="34">
        <f>AP863-AO863</f>
        <v/>
      </c>
      <c r="AZ863" s="37">
        <f>(AW863-AX863-AY863)/MAX(1,ABS(AW863),ABS(AX863),ABS(AY863))</f>
        <v/>
      </c>
      <c r="BA863" s="37">
        <f>IF(OR(K863&gt;0,K864&gt;0),0,(AC864-(AC863+AF863-AQ863-AP863+AR863-AI863-AJ863-AM863))/MAX(1,ABS(AC863),ABS(AC864)))</f>
        <v/>
      </c>
      <c r="BB863" s="35">
        <f>(1+INDEX(DiscRateAnn,INT(A863/12)+1))^(1/12)-1</f>
        <v/>
      </c>
      <c r="BC863" s="31">
        <f>(1+BB863)^-A863</f>
        <v/>
      </c>
      <c r="BD863" s="34">
        <f>AW863*BC863</f>
        <v/>
      </c>
    </row>
    <row r="864">
      <c r="A864" s="27">
        <f>A863+1</f>
        <v/>
      </c>
      <c r="B864" s="28">
        <f>Duration0+A864</f>
        <v/>
      </c>
      <c r="C864" s="27">
        <f>INT(B864/12)</f>
        <v/>
      </c>
      <c r="D864" s="28">
        <f>AgeAtEntry+C864</f>
        <v/>
      </c>
      <c r="E864" s="29">
        <f>IF(PremiumType="SINGLE",IF(B864=0,PremiumPPInput,0),IF(B864&lt;12*PolicyTerm,PremiumPPInput,0))</f>
        <v/>
      </c>
      <c r="F864" s="30">
        <f>INDEX(MortRates,MATCH(MIN(D864,120),MortAges,0),MAX(MIN(C864,5),0)+1)</f>
        <v/>
      </c>
      <c r="G864" s="31">
        <f>1-(1-F864)^(1/12)</f>
        <v/>
      </c>
      <c r="H864" s="32">
        <f>MAX(LapseBase-LapseStep*C864,LapseFloor)</f>
        <v/>
      </c>
      <c r="I864" s="32">
        <f>IF(HasSurrCharge,INDEX(SurrRates,MIN(C864,SurrDurMax)+1,MATCH(SurrChargeID,SurrTypes,0)),0)</f>
        <v/>
      </c>
      <c r="J864" s="33">
        <f>N863-P863-O863</f>
        <v/>
      </c>
      <c r="K864" s="30">
        <f>IF(B864=12*PolicyTerm,J864,0)</f>
        <v/>
      </c>
      <c r="L864" s="33">
        <f>J864-K864</f>
        <v/>
      </c>
      <c r="M864" s="30">
        <f>IF(B864=0,PolicyCount,0)</f>
        <v/>
      </c>
      <c r="N864" s="33">
        <f>L864+M864</f>
        <v/>
      </c>
      <c r="O864" s="31">
        <f>N864*G864</f>
        <v/>
      </c>
      <c r="P864" s="33">
        <f>(N864-O864)*(1-(1-H864)^(1/12))</f>
        <v/>
      </c>
      <c r="Q864" s="34">
        <f>X863+Z863</f>
        <v/>
      </c>
      <c r="R864" s="29">
        <f>(1-LoadPremRate)*E864</f>
        <v/>
      </c>
      <c r="S864" s="34">
        <f>Q864+R864</f>
        <v/>
      </c>
      <c r="T864" s="29">
        <f>MaintFeeRateAnn/12*S864</f>
        <v/>
      </c>
      <c r="U864" s="29">
        <f>MAX(SumAssured-S864,0)</f>
        <v/>
      </c>
      <c r="V864" s="35">
        <f>CoiMultiple*G864</f>
        <v/>
      </c>
      <c r="W864" s="34">
        <f>V864*U864</f>
        <v/>
      </c>
      <c r="X864" s="34">
        <f>S864-T864-W864</f>
        <v/>
      </c>
      <c r="Y864" s="36">
        <f>EXP((Mu-0.5*Sigma^2)/12+Sigma*SQRT(1/12)*INDEX(NormRand,ScenID,A864+1))-1</f>
        <v/>
      </c>
      <c r="Z864" s="34">
        <f>Y864*X864</f>
        <v/>
      </c>
      <c r="AA864" s="34">
        <f>X864+0.5*Z864</f>
        <v/>
      </c>
      <c r="AB864" s="34">
        <f>Q864*J864</f>
        <v/>
      </c>
      <c r="AC864" s="34">
        <f>Q864*L864</f>
        <v/>
      </c>
      <c r="AD864" s="34">
        <f>S864*N864</f>
        <v/>
      </c>
      <c r="AE864" s="34">
        <f>E864*N864</f>
        <v/>
      </c>
      <c r="AF864" s="34">
        <f>R864*N864</f>
        <v/>
      </c>
      <c r="AG864" s="29">
        <f>MAX(SumAssured,AA864)</f>
        <v/>
      </c>
      <c r="AH864" s="34">
        <f>AG864*O864</f>
        <v/>
      </c>
      <c r="AI864" s="34">
        <f>AA864*O864</f>
        <v/>
      </c>
      <c r="AJ864" s="34">
        <f>AA864*P864</f>
        <v/>
      </c>
      <c r="AK864" s="34">
        <f>I864*AA864*P864</f>
        <v/>
      </c>
      <c r="AL864" s="34">
        <f>AJ864-AK864</f>
        <v/>
      </c>
      <c r="AM864" s="34">
        <f>Q864*K864</f>
        <v/>
      </c>
      <c r="AN864" s="34">
        <f>AH864+AL864+AM864</f>
        <v/>
      </c>
      <c r="AO864" s="34">
        <f>(AG864-AA864)*O864</f>
        <v/>
      </c>
      <c r="AP864" s="34">
        <f>W864*N864</f>
        <v/>
      </c>
      <c r="AQ864" s="34">
        <f>T864*N864</f>
        <v/>
      </c>
      <c r="AR864" s="34">
        <f>Z864*J865+0.5*Z864*(O864+P864)</f>
        <v/>
      </c>
      <c r="AS864" s="30">
        <f>(1+InflationRate)^(A864/12)</f>
        <v/>
      </c>
      <c r="AT864" s="29">
        <f>ExpenseAcq*M864+N864*ExpenseMaint/12*AS864</f>
        <v/>
      </c>
      <c r="AU864" s="29">
        <f>CommissionRate*AE864</f>
        <v/>
      </c>
      <c r="AV864" s="34">
        <f>AB865-AB864</f>
        <v/>
      </c>
      <c r="AW864" s="34">
        <f>AE864+AR864-AN864-AT864-AU864-AV864</f>
        <v/>
      </c>
      <c r="AX864" s="29">
        <f>LoadPremRate*E864*N864+AK864+AQ864-AU864-AT864</f>
        <v/>
      </c>
      <c r="AY864" s="34">
        <f>AP864-AO864</f>
        <v/>
      </c>
      <c r="AZ864" s="37">
        <f>(AW864-AX864-AY864)/MAX(1,ABS(AW864),ABS(AX864),ABS(AY864))</f>
        <v/>
      </c>
      <c r="BA864" s="37">
        <f>IF(OR(K864&gt;0,K865&gt;0),0,(AC865-(AC864+AF864-AQ864-AP864+AR864-AI864-AJ864-AM864))/MAX(1,ABS(AC864),ABS(AC865)))</f>
        <v/>
      </c>
      <c r="BB864" s="35">
        <f>(1+INDEX(DiscRateAnn,INT(A864/12)+1))^(1/12)-1</f>
        <v/>
      </c>
      <c r="BC864" s="31">
        <f>(1+BB864)^-A864</f>
        <v/>
      </c>
      <c r="BD864" s="34">
        <f>AW864*BC864</f>
        <v/>
      </c>
    </row>
    <row r="865">
      <c r="A865" s="27">
        <f>A864+1</f>
        <v/>
      </c>
      <c r="B865" s="28">
        <f>Duration0+A865</f>
        <v/>
      </c>
      <c r="C865" s="27">
        <f>INT(B865/12)</f>
        <v/>
      </c>
      <c r="D865" s="28">
        <f>AgeAtEntry+C865</f>
        <v/>
      </c>
      <c r="E865" s="29">
        <f>IF(PremiumType="SINGLE",IF(B865=0,PremiumPPInput,0),IF(B865&lt;12*PolicyTerm,PremiumPPInput,0))</f>
        <v/>
      </c>
      <c r="F865" s="30">
        <f>INDEX(MortRates,MATCH(MIN(D865,120),MortAges,0),MAX(MIN(C865,5),0)+1)</f>
        <v/>
      </c>
      <c r="G865" s="31">
        <f>1-(1-F865)^(1/12)</f>
        <v/>
      </c>
      <c r="H865" s="32">
        <f>MAX(LapseBase-LapseStep*C865,LapseFloor)</f>
        <v/>
      </c>
      <c r="I865" s="32">
        <f>IF(HasSurrCharge,INDEX(SurrRates,MIN(C865,SurrDurMax)+1,MATCH(SurrChargeID,SurrTypes,0)),0)</f>
        <v/>
      </c>
      <c r="J865" s="33">
        <f>N864-P864-O864</f>
        <v/>
      </c>
      <c r="K865" s="30">
        <f>IF(B865=12*PolicyTerm,J865,0)</f>
        <v/>
      </c>
      <c r="L865" s="33">
        <f>J865-K865</f>
        <v/>
      </c>
      <c r="M865" s="30">
        <f>IF(B865=0,PolicyCount,0)</f>
        <v/>
      </c>
      <c r="N865" s="33">
        <f>L865+M865</f>
        <v/>
      </c>
      <c r="O865" s="31">
        <f>N865*G865</f>
        <v/>
      </c>
      <c r="P865" s="33">
        <f>(N865-O865)*(1-(1-H865)^(1/12))</f>
        <v/>
      </c>
      <c r="Q865" s="34">
        <f>X864+Z864</f>
        <v/>
      </c>
      <c r="R865" s="29">
        <f>(1-LoadPremRate)*E865</f>
        <v/>
      </c>
      <c r="S865" s="34">
        <f>Q865+R865</f>
        <v/>
      </c>
      <c r="T865" s="29">
        <f>MaintFeeRateAnn/12*S865</f>
        <v/>
      </c>
      <c r="U865" s="29">
        <f>MAX(SumAssured-S865,0)</f>
        <v/>
      </c>
      <c r="V865" s="35">
        <f>CoiMultiple*G865</f>
        <v/>
      </c>
      <c r="W865" s="34">
        <f>V865*U865</f>
        <v/>
      </c>
      <c r="X865" s="34">
        <f>S865-T865-W865</f>
        <v/>
      </c>
      <c r="Y865" s="36">
        <f>EXP((Mu-0.5*Sigma^2)/12+Sigma*SQRT(1/12)*INDEX(NormRand,ScenID,A865+1))-1</f>
        <v/>
      </c>
      <c r="Z865" s="34">
        <f>Y865*X865</f>
        <v/>
      </c>
      <c r="AA865" s="34">
        <f>X865+0.5*Z865</f>
        <v/>
      </c>
      <c r="AB865" s="34">
        <f>Q865*J865</f>
        <v/>
      </c>
      <c r="AC865" s="34">
        <f>Q865*L865</f>
        <v/>
      </c>
      <c r="AD865" s="34">
        <f>S865*N865</f>
        <v/>
      </c>
      <c r="AE865" s="34">
        <f>E865*N865</f>
        <v/>
      </c>
      <c r="AF865" s="34">
        <f>R865*N865</f>
        <v/>
      </c>
      <c r="AG865" s="29">
        <f>MAX(SumAssured,AA865)</f>
        <v/>
      </c>
      <c r="AH865" s="34">
        <f>AG865*O865</f>
        <v/>
      </c>
      <c r="AI865" s="34">
        <f>AA865*O865</f>
        <v/>
      </c>
      <c r="AJ865" s="34">
        <f>AA865*P865</f>
        <v/>
      </c>
      <c r="AK865" s="34">
        <f>I865*AA865*P865</f>
        <v/>
      </c>
      <c r="AL865" s="34">
        <f>AJ865-AK865</f>
        <v/>
      </c>
      <c r="AM865" s="34">
        <f>Q865*K865</f>
        <v/>
      </c>
      <c r="AN865" s="34">
        <f>AH865+AL865+AM865</f>
        <v/>
      </c>
      <c r="AO865" s="34">
        <f>(AG865-AA865)*O865</f>
        <v/>
      </c>
      <c r="AP865" s="34">
        <f>W865*N865</f>
        <v/>
      </c>
      <c r="AQ865" s="34">
        <f>T865*N865</f>
        <v/>
      </c>
      <c r="AR865" s="34">
        <f>Z865*J866+0.5*Z865*(O865+P865)</f>
        <v/>
      </c>
      <c r="AS865" s="30">
        <f>(1+InflationRate)^(A865/12)</f>
        <v/>
      </c>
      <c r="AT865" s="29">
        <f>ExpenseAcq*M865+N865*ExpenseMaint/12*AS865</f>
        <v/>
      </c>
      <c r="AU865" s="29">
        <f>CommissionRate*AE865</f>
        <v/>
      </c>
      <c r="AV865" s="34">
        <f>AB866-AB865</f>
        <v/>
      </c>
      <c r="AW865" s="34">
        <f>AE865+AR865-AN865-AT865-AU865-AV865</f>
        <v/>
      </c>
      <c r="AX865" s="29">
        <f>LoadPremRate*E865*N865+AK865+AQ865-AU865-AT865</f>
        <v/>
      </c>
      <c r="AY865" s="34">
        <f>AP865-AO865</f>
        <v/>
      </c>
      <c r="AZ865" s="37">
        <f>(AW865-AX865-AY865)/MAX(1,ABS(AW865),ABS(AX865),ABS(AY865))</f>
        <v/>
      </c>
      <c r="BA865" s="37">
        <f>IF(OR(K865&gt;0,K866&gt;0),0,(AC866-(AC865+AF865-AQ865-AP865+AR865-AI865-AJ865-AM865))/MAX(1,ABS(AC865),ABS(AC866)))</f>
        <v/>
      </c>
      <c r="BB865" s="35">
        <f>(1+INDEX(DiscRateAnn,INT(A865/12)+1))^(1/12)-1</f>
        <v/>
      </c>
      <c r="BC865" s="31">
        <f>(1+BB865)^-A865</f>
        <v/>
      </c>
      <c r="BD865" s="34">
        <f>AW865*BC865</f>
        <v/>
      </c>
    </row>
    <row r="866">
      <c r="A866" s="27">
        <f>A865+1</f>
        <v/>
      </c>
      <c r="B866" s="28">
        <f>Duration0+A866</f>
        <v/>
      </c>
      <c r="C866" s="27">
        <f>INT(B866/12)</f>
        <v/>
      </c>
      <c r="D866" s="28">
        <f>AgeAtEntry+C866</f>
        <v/>
      </c>
      <c r="E866" s="29">
        <f>IF(PremiumType="SINGLE",IF(B866=0,PremiumPPInput,0),IF(B866&lt;12*PolicyTerm,PremiumPPInput,0))</f>
        <v/>
      </c>
      <c r="F866" s="30">
        <f>INDEX(MortRates,MATCH(MIN(D866,120),MortAges,0),MAX(MIN(C866,5),0)+1)</f>
        <v/>
      </c>
      <c r="G866" s="31">
        <f>1-(1-F866)^(1/12)</f>
        <v/>
      </c>
      <c r="H866" s="32">
        <f>MAX(LapseBase-LapseStep*C866,LapseFloor)</f>
        <v/>
      </c>
      <c r="I866" s="32">
        <f>IF(HasSurrCharge,INDEX(SurrRates,MIN(C866,SurrDurMax)+1,MATCH(SurrChargeID,SurrTypes,0)),0)</f>
        <v/>
      </c>
      <c r="J866" s="33">
        <f>N865-P865-O865</f>
        <v/>
      </c>
      <c r="K866" s="30">
        <f>IF(B866=12*PolicyTerm,J866,0)</f>
        <v/>
      </c>
      <c r="L866" s="33">
        <f>J866-K866</f>
        <v/>
      </c>
      <c r="M866" s="30">
        <f>IF(B866=0,PolicyCount,0)</f>
        <v/>
      </c>
      <c r="N866" s="33">
        <f>L866+M866</f>
        <v/>
      </c>
      <c r="O866" s="31">
        <f>N866*G866</f>
        <v/>
      </c>
      <c r="P866" s="33">
        <f>(N866-O866)*(1-(1-H866)^(1/12))</f>
        <v/>
      </c>
      <c r="Q866" s="34">
        <f>X865+Z865</f>
        <v/>
      </c>
      <c r="R866" s="29">
        <f>(1-LoadPremRate)*E866</f>
        <v/>
      </c>
      <c r="S866" s="34">
        <f>Q866+R866</f>
        <v/>
      </c>
      <c r="T866" s="29">
        <f>MaintFeeRateAnn/12*S866</f>
        <v/>
      </c>
      <c r="U866" s="29">
        <f>MAX(SumAssured-S866,0)</f>
        <v/>
      </c>
      <c r="V866" s="35">
        <f>CoiMultiple*G866</f>
        <v/>
      </c>
      <c r="W866" s="34">
        <f>V866*U866</f>
        <v/>
      </c>
      <c r="X866" s="34">
        <f>S866-T866-W866</f>
        <v/>
      </c>
      <c r="Y866" s="36">
        <f>EXP((Mu-0.5*Sigma^2)/12+Sigma*SQRT(1/12)*INDEX(NormRand,ScenID,A866+1))-1</f>
        <v/>
      </c>
      <c r="Z866" s="34">
        <f>Y866*X866</f>
        <v/>
      </c>
      <c r="AA866" s="34">
        <f>X866+0.5*Z866</f>
        <v/>
      </c>
      <c r="AB866" s="34">
        <f>Q866*J866</f>
        <v/>
      </c>
      <c r="AC866" s="34">
        <f>Q866*L866</f>
        <v/>
      </c>
      <c r="AD866" s="34">
        <f>S866*N866</f>
        <v/>
      </c>
      <c r="AE866" s="34">
        <f>E866*N866</f>
        <v/>
      </c>
      <c r="AF866" s="34">
        <f>R866*N866</f>
        <v/>
      </c>
      <c r="AG866" s="29">
        <f>MAX(SumAssured,AA866)</f>
        <v/>
      </c>
      <c r="AH866" s="34">
        <f>AG866*O866</f>
        <v/>
      </c>
      <c r="AI866" s="34">
        <f>AA866*O866</f>
        <v/>
      </c>
      <c r="AJ866" s="34">
        <f>AA866*P866</f>
        <v/>
      </c>
      <c r="AK866" s="34">
        <f>I866*AA866*P866</f>
        <v/>
      </c>
      <c r="AL866" s="34">
        <f>AJ866-AK866</f>
        <v/>
      </c>
      <c r="AM866" s="34">
        <f>Q866*K866</f>
        <v/>
      </c>
      <c r="AN866" s="34">
        <f>AH866+AL866+AM866</f>
        <v/>
      </c>
      <c r="AO866" s="34">
        <f>(AG866-AA866)*O866</f>
        <v/>
      </c>
      <c r="AP866" s="34">
        <f>W866*N866</f>
        <v/>
      </c>
      <c r="AQ866" s="34">
        <f>T866*N866</f>
        <v/>
      </c>
      <c r="AR866" s="34">
        <f>Z866*J867+0.5*Z866*(O866+P866)</f>
        <v/>
      </c>
      <c r="AS866" s="30">
        <f>(1+InflationRate)^(A866/12)</f>
        <v/>
      </c>
      <c r="AT866" s="29">
        <f>ExpenseAcq*M866+N866*ExpenseMaint/12*AS866</f>
        <v/>
      </c>
      <c r="AU866" s="29">
        <f>CommissionRate*AE866</f>
        <v/>
      </c>
      <c r="AV866" s="34">
        <f>AB867-AB866</f>
        <v/>
      </c>
      <c r="AW866" s="34">
        <f>AE866+AR866-AN866-AT866-AU866-AV866</f>
        <v/>
      </c>
      <c r="AX866" s="29">
        <f>LoadPremRate*E866*N866+AK866+AQ866-AU866-AT866</f>
        <v/>
      </c>
      <c r="AY866" s="34">
        <f>AP866-AO866</f>
        <v/>
      </c>
      <c r="AZ866" s="37">
        <f>(AW866-AX866-AY866)/MAX(1,ABS(AW866),ABS(AX866),ABS(AY866))</f>
        <v/>
      </c>
      <c r="BA866" s="37">
        <f>IF(OR(K866&gt;0,K867&gt;0),0,(AC867-(AC866+AF866-AQ866-AP866+AR866-AI866-AJ866-AM866))/MAX(1,ABS(AC866),ABS(AC867)))</f>
        <v/>
      </c>
      <c r="BB866" s="35">
        <f>(1+INDEX(DiscRateAnn,INT(A866/12)+1))^(1/12)-1</f>
        <v/>
      </c>
      <c r="BC866" s="31">
        <f>(1+BB866)^-A866</f>
        <v/>
      </c>
      <c r="BD866" s="34">
        <f>AW866*BC866</f>
        <v/>
      </c>
    </row>
    <row r="867">
      <c r="A867" s="27">
        <f>A866+1</f>
        <v/>
      </c>
      <c r="B867" s="28">
        <f>Duration0+A867</f>
        <v/>
      </c>
      <c r="C867" s="27">
        <f>INT(B867/12)</f>
        <v/>
      </c>
      <c r="D867" s="28">
        <f>AgeAtEntry+C867</f>
        <v/>
      </c>
      <c r="E867" s="29">
        <f>IF(PremiumType="SINGLE",IF(B867=0,PremiumPPInput,0),IF(B867&lt;12*PolicyTerm,PremiumPPInput,0))</f>
        <v/>
      </c>
      <c r="F867" s="30">
        <f>INDEX(MortRates,MATCH(MIN(D867,120),MortAges,0),MAX(MIN(C867,5),0)+1)</f>
        <v/>
      </c>
      <c r="G867" s="31">
        <f>1-(1-F867)^(1/12)</f>
        <v/>
      </c>
      <c r="H867" s="32">
        <f>MAX(LapseBase-LapseStep*C867,LapseFloor)</f>
        <v/>
      </c>
      <c r="I867" s="32">
        <f>IF(HasSurrCharge,INDEX(SurrRates,MIN(C867,SurrDurMax)+1,MATCH(SurrChargeID,SurrTypes,0)),0)</f>
        <v/>
      </c>
      <c r="J867" s="33">
        <f>N866-P866-O866</f>
        <v/>
      </c>
      <c r="K867" s="30">
        <f>IF(B867=12*PolicyTerm,J867,0)</f>
        <v/>
      </c>
      <c r="L867" s="33">
        <f>J867-K867</f>
        <v/>
      </c>
      <c r="M867" s="30">
        <f>IF(B867=0,PolicyCount,0)</f>
        <v/>
      </c>
      <c r="N867" s="33">
        <f>L867+M867</f>
        <v/>
      </c>
      <c r="O867" s="31">
        <f>N867*G867</f>
        <v/>
      </c>
      <c r="P867" s="33">
        <f>(N867-O867)*(1-(1-H867)^(1/12))</f>
        <v/>
      </c>
      <c r="Q867" s="34">
        <f>X866+Z866</f>
        <v/>
      </c>
      <c r="R867" s="29">
        <f>(1-LoadPremRate)*E867</f>
        <v/>
      </c>
      <c r="S867" s="34">
        <f>Q867+R867</f>
        <v/>
      </c>
      <c r="T867" s="29">
        <f>MaintFeeRateAnn/12*S867</f>
        <v/>
      </c>
      <c r="U867" s="29">
        <f>MAX(SumAssured-S867,0)</f>
        <v/>
      </c>
      <c r="V867" s="35">
        <f>CoiMultiple*G867</f>
        <v/>
      </c>
      <c r="W867" s="34">
        <f>V867*U867</f>
        <v/>
      </c>
      <c r="X867" s="34">
        <f>S867-T867-W867</f>
        <v/>
      </c>
      <c r="Y867" s="36">
        <f>EXP((Mu-0.5*Sigma^2)/12+Sigma*SQRT(1/12)*INDEX(NormRand,ScenID,A867+1))-1</f>
        <v/>
      </c>
      <c r="Z867" s="34">
        <f>Y867*X867</f>
        <v/>
      </c>
      <c r="AA867" s="34">
        <f>X867+0.5*Z867</f>
        <v/>
      </c>
      <c r="AB867" s="34">
        <f>Q867*J867</f>
        <v/>
      </c>
      <c r="AC867" s="34">
        <f>Q867*L867</f>
        <v/>
      </c>
      <c r="AD867" s="34">
        <f>S867*N867</f>
        <v/>
      </c>
      <c r="AE867" s="34">
        <f>E867*N867</f>
        <v/>
      </c>
      <c r="AF867" s="34">
        <f>R867*N867</f>
        <v/>
      </c>
      <c r="AG867" s="29">
        <f>MAX(SumAssured,AA867)</f>
        <v/>
      </c>
      <c r="AH867" s="34">
        <f>AG867*O867</f>
        <v/>
      </c>
      <c r="AI867" s="34">
        <f>AA867*O867</f>
        <v/>
      </c>
      <c r="AJ867" s="34">
        <f>AA867*P867</f>
        <v/>
      </c>
      <c r="AK867" s="34">
        <f>I867*AA867*P867</f>
        <v/>
      </c>
      <c r="AL867" s="34">
        <f>AJ867-AK867</f>
        <v/>
      </c>
      <c r="AM867" s="34">
        <f>Q867*K867</f>
        <v/>
      </c>
      <c r="AN867" s="34">
        <f>AH867+AL867+AM867</f>
        <v/>
      </c>
      <c r="AO867" s="34">
        <f>(AG867-AA867)*O867</f>
        <v/>
      </c>
      <c r="AP867" s="34">
        <f>W867*N867</f>
        <v/>
      </c>
      <c r="AQ867" s="34">
        <f>T867*N867</f>
        <v/>
      </c>
      <c r="AR867" s="34">
        <f>Z867*J868+0.5*Z867*(O867+P867)</f>
        <v/>
      </c>
      <c r="AS867" s="30">
        <f>(1+InflationRate)^(A867/12)</f>
        <v/>
      </c>
      <c r="AT867" s="29">
        <f>ExpenseAcq*M867+N867*ExpenseMaint/12*AS867</f>
        <v/>
      </c>
      <c r="AU867" s="29">
        <f>CommissionRate*AE867</f>
        <v/>
      </c>
      <c r="AV867" s="34">
        <f>AB868-AB867</f>
        <v/>
      </c>
      <c r="AW867" s="34">
        <f>AE867+AR867-AN867-AT867-AU867-AV867</f>
        <v/>
      </c>
      <c r="AX867" s="29">
        <f>LoadPremRate*E867*N867+AK867+AQ867-AU867-AT867</f>
        <v/>
      </c>
      <c r="AY867" s="34">
        <f>AP867-AO867</f>
        <v/>
      </c>
      <c r="AZ867" s="37">
        <f>(AW867-AX867-AY867)/MAX(1,ABS(AW867),ABS(AX867),ABS(AY867))</f>
        <v/>
      </c>
      <c r="BA867" s="37">
        <f>IF(OR(K867&gt;0,K868&gt;0),0,(AC868-(AC867+AF867-AQ867-AP867+AR867-AI867-AJ867-AM867))/MAX(1,ABS(AC867),ABS(AC868)))</f>
        <v/>
      </c>
      <c r="BB867" s="35">
        <f>(1+INDEX(DiscRateAnn,INT(A867/12)+1))^(1/12)-1</f>
        <v/>
      </c>
      <c r="BC867" s="31">
        <f>(1+BB867)^-A867</f>
        <v/>
      </c>
      <c r="BD867" s="34">
        <f>AW867*BC867</f>
        <v/>
      </c>
    </row>
    <row r="868">
      <c r="A868" s="27">
        <f>A867+1</f>
        <v/>
      </c>
      <c r="B868" s="28">
        <f>Duration0+A868</f>
        <v/>
      </c>
      <c r="C868" s="27">
        <f>INT(B868/12)</f>
        <v/>
      </c>
      <c r="D868" s="28">
        <f>AgeAtEntry+C868</f>
        <v/>
      </c>
      <c r="E868" s="29">
        <f>IF(PremiumType="SINGLE",IF(B868=0,PremiumPPInput,0),IF(B868&lt;12*PolicyTerm,PremiumPPInput,0))</f>
        <v/>
      </c>
      <c r="F868" s="30">
        <f>INDEX(MortRates,MATCH(MIN(D868,120),MortAges,0),MAX(MIN(C868,5),0)+1)</f>
        <v/>
      </c>
      <c r="G868" s="31">
        <f>1-(1-F868)^(1/12)</f>
        <v/>
      </c>
      <c r="H868" s="32">
        <f>MAX(LapseBase-LapseStep*C868,LapseFloor)</f>
        <v/>
      </c>
      <c r="I868" s="32">
        <f>IF(HasSurrCharge,INDEX(SurrRates,MIN(C868,SurrDurMax)+1,MATCH(SurrChargeID,SurrTypes,0)),0)</f>
        <v/>
      </c>
      <c r="J868" s="33">
        <f>N867-P867-O867</f>
        <v/>
      </c>
      <c r="K868" s="30">
        <f>IF(B868=12*PolicyTerm,J868,0)</f>
        <v/>
      </c>
      <c r="L868" s="33">
        <f>J868-K868</f>
        <v/>
      </c>
      <c r="M868" s="30">
        <f>IF(B868=0,PolicyCount,0)</f>
        <v/>
      </c>
      <c r="N868" s="33">
        <f>L868+M868</f>
        <v/>
      </c>
      <c r="O868" s="31">
        <f>N868*G868</f>
        <v/>
      </c>
      <c r="P868" s="33">
        <f>(N868-O868)*(1-(1-H868)^(1/12))</f>
        <v/>
      </c>
      <c r="Q868" s="34">
        <f>X867+Z867</f>
        <v/>
      </c>
      <c r="R868" s="29">
        <f>(1-LoadPremRate)*E868</f>
        <v/>
      </c>
      <c r="S868" s="34">
        <f>Q868+R868</f>
        <v/>
      </c>
      <c r="T868" s="29">
        <f>MaintFeeRateAnn/12*S868</f>
        <v/>
      </c>
      <c r="U868" s="29">
        <f>MAX(SumAssured-S868,0)</f>
        <v/>
      </c>
      <c r="V868" s="35">
        <f>CoiMultiple*G868</f>
        <v/>
      </c>
      <c r="W868" s="34">
        <f>V868*U868</f>
        <v/>
      </c>
      <c r="X868" s="34">
        <f>S868-T868-W868</f>
        <v/>
      </c>
      <c r="Y868" s="36">
        <f>EXP((Mu-0.5*Sigma^2)/12+Sigma*SQRT(1/12)*INDEX(NormRand,ScenID,A868+1))-1</f>
        <v/>
      </c>
      <c r="Z868" s="34">
        <f>Y868*X868</f>
        <v/>
      </c>
      <c r="AA868" s="34">
        <f>X868+0.5*Z868</f>
        <v/>
      </c>
      <c r="AB868" s="34">
        <f>Q868*J868</f>
        <v/>
      </c>
      <c r="AC868" s="34">
        <f>Q868*L868</f>
        <v/>
      </c>
      <c r="AD868" s="34">
        <f>S868*N868</f>
        <v/>
      </c>
      <c r="AE868" s="34">
        <f>E868*N868</f>
        <v/>
      </c>
      <c r="AF868" s="34">
        <f>R868*N868</f>
        <v/>
      </c>
      <c r="AG868" s="29">
        <f>MAX(SumAssured,AA868)</f>
        <v/>
      </c>
      <c r="AH868" s="34">
        <f>AG868*O868</f>
        <v/>
      </c>
      <c r="AI868" s="34">
        <f>AA868*O868</f>
        <v/>
      </c>
      <c r="AJ868" s="34">
        <f>AA868*P868</f>
        <v/>
      </c>
      <c r="AK868" s="34">
        <f>I868*AA868*P868</f>
        <v/>
      </c>
      <c r="AL868" s="34">
        <f>AJ868-AK868</f>
        <v/>
      </c>
      <c r="AM868" s="34">
        <f>Q868*K868</f>
        <v/>
      </c>
      <c r="AN868" s="34">
        <f>AH868+AL868+AM868</f>
        <v/>
      </c>
      <c r="AO868" s="34">
        <f>(AG868-AA868)*O868</f>
        <v/>
      </c>
      <c r="AP868" s="34">
        <f>W868*N868</f>
        <v/>
      </c>
      <c r="AQ868" s="34">
        <f>T868*N868</f>
        <v/>
      </c>
      <c r="AR868" s="34">
        <f>Z868*J869+0.5*Z868*(O868+P868)</f>
        <v/>
      </c>
      <c r="AS868" s="30">
        <f>(1+InflationRate)^(A868/12)</f>
        <v/>
      </c>
      <c r="AT868" s="29">
        <f>ExpenseAcq*M868+N868*ExpenseMaint/12*AS868</f>
        <v/>
      </c>
      <c r="AU868" s="29">
        <f>CommissionRate*AE868</f>
        <v/>
      </c>
      <c r="AV868" s="34">
        <f>AB869-AB868</f>
        <v/>
      </c>
      <c r="AW868" s="34">
        <f>AE868+AR868-AN868-AT868-AU868-AV868</f>
        <v/>
      </c>
      <c r="AX868" s="29">
        <f>LoadPremRate*E868*N868+AK868+AQ868-AU868-AT868</f>
        <v/>
      </c>
      <c r="AY868" s="34">
        <f>AP868-AO868</f>
        <v/>
      </c>
      <c r="AZ868" s="37">
        <f>(AW868-AX868-AY868)/MAX(1,ABS(AW868),ABS(AX868),ABS(AY868))</f>
        <v/>
      </c>
      <c r="BA868" s="37">
        <f>IF(OR(K868&gt;0,K869&gt;0),0,(AC869-(AC868+AF868-AQ868-AP868+AR868-AI868-AJ868-AM868))/MAX(1,ABS(AC868),ABS(AC869)))</f>
        <v/>
      </c>
      <c r="BB868" s="35">
        <f>(1+INDEX(DiscRateAnn,INT(A868/12)+1))^(1/12)-1</f>
        <v/>
      </c>
      <c r="BC868" s="31">
        <f>(1+BB868)^-A868</f>
        <v/>
      </c>
      <c r="BD868" s="34">
        <f>AW868*BC868</f>
        <v/>
      </c>
    </row>
    <row r="869">
      <c r="A869" s="27">
        <f>A868+1</f>
        <v/>
      </c>
      <c r="B869" s="28">
        <f>Duration0+A869</f>
        <v/>
      </c>
      <c r="C869" s="27">
        <f>INT(B869/12)</f>
        <v/>
      </c>
      <c r="D869" s="28">
        <f>AgeAtEntry+C869</f>
        <v/>
      </c>
      <c r="E869" s="29">
        <f>IF(PremiumType="SINGLE",IF(B869=0,PremiumPPInput,0),IF(B869&lt;12*PolicyTerm,PremiumPPInput,0))</f>
        <v/>
      </c>
      <c r="F869" s="30">
        <f>INDEX(MortRates,MATCH(MIN(D869,120),MortAges,0),MAX(MIN(C869,5),0)+1)</f>
        <v/>
      </c>
      <c r="G869" s="31">
        <f>1-(1-F869)^(1/12)</f>
        <v/>
      </c>
      <c r="H869" s="32">
        <f>MAX(LapseBase-LapseStep*C869,LapseFloor)</f>
        <v/>
      </c>
      <c r="I869" s="32">
        <f>IF(HasSurrCharge,INDEX(SurrRates,MIN(C869,SurrDurMax)+1,MATCH(SurrChargeID,SurrTypes,0)),0)</f>
        <v/>
      </c>
      <c r="J869" s="33">
        <f>N868-P868-O868</f>
        <v/>
      </c>
      <c r="K869" s="30">
        <f>IF(B869=12*PolicyTerm,J869,0)</f>
        <v/>
      </c>
      <c r="L869" s="33">
        <f>J869-K869</f>
        <v/>
      </c>
      <c r="M869" s="30">
        <f>IF(B869=0,PolicyCount,0)</f>
        <v/>
      </c>
      <c r="N869" s="33">
        <f>L869+M869</f>
        <v/>
      </c>
      <c r="O869" s="31">
        <f>N869*G869</f>
        <v/>
      </c>
      <c r="P869" s="33">
        <f>(N869-O869)*(1-(1-H869)^(1/12))</f>
        <v/>
      </c>
      <c r="Q869" s="34">
        <f>X868+Z868</f>
        <v/>
      </c>
      <c r="R869" s="29">
        <f>(1-LoadPremRate)*E869</f>
        <v/>
      </c>
      <c r="S869" s="34">
        <f>Q869+R869</f>
        <v/>
      </c>
      <c r="T869" s="29">
        <f>MaintFeeRateAnn/12*S869</f>
        <v/>
      </c>
      <c r="U869" s="29">
        <f>MAX(SumAssured-S869,0)</f>
        <v/>
      </c>
      <c r="V869" s="35">
        <f>CoiMultiple*G869</f>
        <v/>
      </c>
      <c r="W869" s="34">
        <f>V869*U869</f>
        <v/>
      </c>
      <c r="X869" s="34">
        <f>S869-T869-W869</f>
        <v/>
      </c>
      <c r="Y869" s="36">
        <f>EXP((Mu-0.5*Sigma^2)/12+Sigma*SQRT(1/12)*INDEX(NormRand,ScenID,A869+1))-1</f>
        <v/>
      </c>
      <c r="Z869" s="34">
        <f>Y869*X869</f>
        <v/>
      </c>
      <c r="AA869" s="34">
        <f>X869+0.5*Z869</f>
        <v/>
      </c>
      <c r="AB869" s="34">
        <f>Q869*J869</f>
        <v/>
      </c>
      <c r="AC869" s="34">
        <f>Q869*L869</f>
        <v/>
      </c>
      <c r="AD869" s="34">
        <f>S869*N869</f>
        <v/>
      </c>
      <c r="AE869" s="34">
        <f>E869*N869</f>
        <v/>
      </c>
      <c r="AF869" s="34">
        <f>R869*N869</f>
        <v/>
      </c>
      <c r="AG869" s="29">
        <f>MAX(SumAssured,AA869)</f>
        <v/>
      </c>
      <c r="AH869" s="34">
        <f>AG869*O869</f>
        <v/>
      </c>
      <c r="AI869" s="34">
        <f>AA869*O869</f>
        <v/>
      </c>
      <c r="AJ869" s="34">
        <f>AA869*P869</f>
        <v/>
      </c>
      <c r="AK869" s="34">
        <f>I869*AA869*P869</f>
        <v/>
      </c>
      <c r="AL869" s="34">
        <f>AJ869-AK869</f>
        <v/>
      </c>
      <c r="AM869" s="34">
        <f>Q869*K869</f>
        <v/>
      </c>
      <c r="AN869" s="34">
        <f>AH869+AL869+AM869</f>
        <v/>
      </c>
      <c r="AO869" s="34">
        <f>(AG869-AA869)*O869</f>
        <v/>
      </c>
      <c r="AP869" s="34">
        <f>W869*N869</f>
        <v/>
      </c>
      <c r="AQ869" s="34">
        <f>T869*N869</f>
        <v/>
      </c>
      <c r="AR869" s="34">
        <f>Z869*J870+0.5*Z869*(O869+P869)</f>
        <v/>
      </c>
      <c r="AS869" s="30">
        <f>(1+InflationRate)^(A869/12)</f>
        <v/>
      </c>
      <c r="AT869" s="29">
        <f>ExpenseAcq*M869+N869*ExpenseMaint/12*AS869</f>
        <v/>
      </c>
      <c r="AU869" s="29">
        <f>CommissionRate*AE869</f>
        <v/>
      </c>
      <c r="AV869" s="34">
        <f>AB870-AB869</f>
        <v/>
      </c>
      <c r="AW869" s="34">
        <f>AE869+AR869-AN869-AT869-AU869-AV869</f>
        <v/>
      </c>
      <c r="AX869" s="29">
        <f>LoadPremRate*E869*N869+AK869+AQ869-AU869-AT869</f>
        <v/>
      </c>
      <c r="AY869" s="34">
        <f>AP869-AO869</f>
        <v/>
      </c>
      <c r="AZ869" s="37">
        <f>(AW869-AX869-AY869)/MAX(1,ABS(AW869),ABS(AX869),ABS(AY869))</f>
        <v/>
      </c>
      <c r="BA869" s="37">
        <f>IF(OR(K869&gt;0,K870&gt;0),0,(AC870-(AC869+AF869-AQ869-AP869+AR869-AI869-AJ869-AM869))/MAX(1,ABS(AC869),ABS(AC870)))</f>
        <v/>
      </c>
      <c r="BB869" s="35">
        <f>(1+INDEX(DiscRateAnn,INT(A869/12)+1))^(1/12)-1</f>
        <v/>
      </c>
      <c r="BC869" s="31">
        <f>(1+BB869)^-A869</f>
        <v/>
      </c>
      <c r="BD869" s="34">
        <f>AW869*BC869</f>
        <v/>
      </c>
    </row>
    <row r="870">
      <c r="A870" s="27">
        <f>A869+1</f>
        <v/>
      </c>
      <c r="B870" s="28">
        <f>Duration0+A870</f>
        <v/>
      </c>
      <c r="C870" s="27">
        <f>INT(B870/12)</f>
        <v/>
      </c>
      <c r="D870" s="28">
        <f>AgeAtEntry+C870</f>
        <v/>
      </c>
      <c r="E870" s="29">
        <f>IF(PremiumType="SINGLE",IF(B870=0,PremiumPPInput,0),IF(B870&lt;12*PolicyTerm,PremiumPPInput,0))</f>
        <v/>
      </c>
      <c r="F870" s="30">
        <f>INDEX(MortRates,MATCH(MIN(D870,120),MortAges,0),MAX(MIN(C870,5),0)+1)</f>
        <v/>
      </c>
      <c r="G870" s="31">
        <f>1-(1-F870)^(1/12)</f>
        <v/>
      </c>
      <c r="H870" s="32">
        <f>MAX(LapseBase-LapseStep*C870,LapseFloor)</f>
        <v/>
      </c>
      <c r="I870" s="32">
        <f>IF(HasSurrCharge,INDEX(SurrRates,MIN(C870,SurrDurMax)+1,MATCH(SurrChargeID,SurrTypes,0)),0)</f>
        <v/>
      </c>
      <c r="J870" s="33">
        <f>N869-P869-O869</f>
        <v/>
      </c>
      <c r="K870" s="30">
        <f>IF(B870=12*PolicyTerm,J870,0)</f>
        <v/>
      </c>
      <c r="L870" s="33">
        <f>J870-K870</f>
        <v/>
      </c>
      <c r="M870" s="30">
        <f>IF(B870=0,PolicyCount,0)</f>
        <v/>
      </c>
      <c r="N870" s="33">
        <f>L870+M870</f>
        <v/>
      </c>
      <c r="O870" s="31">
        <f>N870*G870</f>
        <v/>
      </c>
      <c r="P870" s="33">
        <f>(N870-O870)*(1-(1-H870)^(1/12))</f>
        <v/>
      </c>
      <c r="Q870" s="34">
        <f>X869+Z869</f>
        <v/>
      </c>
      <c r="R870" s="29">
        <f>(1-LoadPremRate)*E870</f>
        <v/>
      </c>
      <c r="S870" s="34">
        <f>Q870+R870</f>
        <v/>
      </c>
      <c r="T870" s="29">
        <f>MaintFeeRateAnn/12*S870</f>
        <v/>
      </c>
      <c r="U870" s="29">
        <f>MAX(SumAssured-S870,0)</f>
        <v/>
      </c>
      <c r="V870" s="35">
        <f>CoiMultiple*G870</f>
        <v/>
      </c>
      <c r="W870" s="34">
        <f>V870*U870</f>
        <v/>
      </c>
      <c r="X870" s="34">
        <f>S870-T870-W870</f>
        <v/>
      </c>
      <c r="Y870" s="36">
        <f>EXP((Mu-0.5*Sigma^2)/12+Sigma*SQRT(1/12)*INDEX(NormRand,ScenID,A870+1))-1</f>
        <v/>
      </c>
      <c r="Z870" s="34">
        <f>Y870*X870</f>
        <v/>
      </c>
      <c r="AA870" s="34">
        <f>X870+0.5*Z870</f>
        <v/>
      </c>
      <c r="AB870" s="34">
        <f>Q870*J870</f>
        <v/>
      </c>
      <c r="AC870" s="34">
        <f>Q870*L870</f>
        <v/>
      </c>
      <c r="AD870" s="34">
        <f>S870*N870</f>
        <v/>
      </c>
      <c r="AE870" s="34">
        <f>E870*N870</f>
        <v/>
      </c>
      <c r="AF870" s="34">
        <f>R870*N870</f>
        <v/>
      </c>
      <c r="AG870" s="29">
        <f>MAX(SumAssured,AA870)</f>
        <v/>
      </c>
      <c r="AH870" s="34">
        <f>AG870*O870</f>
        <v/>
      </c>
      <c r="AI870" s="34">
        <f>AA870*O870</f>
        <v/>
      </c>
      <c r="AJ870" s="34">
        <f>AA870*P870</f>
        <v/>
      </c>
      <c r="AK870" s="34">
        <f>I870*AA870*P870</f>
        <v/>
      </c>
      <c r="AL870" s="34">
        <f>AJ870-AK870</f>
        <v/>
      </c>
      <c r="AM870" s="34">
        <f>Q870*K870</f>
        <v/>
      </c>
      <c r="AN870" s="34">
        <f>AH870+AL870+AM870</f>
        <v/>
      </c>
      <c r="AO870" s="34">
        <f>(AG870-AA870)*O870</f>
        <v/>
      </c>
      <c r="AP870" s="34">
        <f>W870*N870</f>
        <v/>
      </c>
      <c r="AQ870" s="34">
        <f>T870*N870</f>
        <v/>
      </c>
      <c r="AR870" s="34">
        <f>Z870*J871+0.5*Z870*(O870+P870)</f>
        <v/>
      </c>
      <c r="AS870" s="30">
        <f>(1+InflationRate)^(A870/12)</f>
        <v/>
      </c>
      <c r="AT870" s="29">
        <f>ExpenseAcq*M870+N870*ExpenseMaint/12*AS870</f>
        <v/>
      </c>
      <c r="AU870" s="29">
        <f>CommissionRate*AE870</f>
        <v/>
      </c>
      <c r="AV870" s="34">
        <f>AB871-AB870</f>
        <v/>
      </c>
      <c r="AW870" s="34">
        <f>AE870+AR870-AN870-AT870-AU870-AV870</f>
        <v/>
      </c>
      <c r="AX870" s="29">
        <f>LoadPremRate*E870*N870+AK870+AQ870-AU870-AT870</f>
        <v/>
      </c>
      <c r="AY870" s="34">
        <f>AP870-AO870</f>
        <v/>
      </c>
      <c r="AZ870" s="37">
        <f>(AW870-AX870-AY870)/MAX(1,ABS(AW870),ABS(AX870),ABS(AY870))</f>
        <v/>
      </c>
      <c r="BA870" s="37">
        <f>IF(OR(K870&gt;0,K871&gt;0),0,(AC871-(AC870+AF870-AQ870-AP870+AR870-AI870-AJ870-AM870))/MAX(1,ABS(AC870),ABS(AC871)))</f>
        <v/>
      </c>
      <c r="BB870" s="35">
        <f>(1+INDEX(DiscRateAnn,INT(A870/12)+1))^(1/12)-1</f>
        <v/>
      </c>
      <c r="BC870" s="31">
        <f>(1+BB870)^-A870</f>
        <v/>
      </c>
      <c r="BD870" s="34">
        <f>AW870*BC870</f>
        <v/>
      </c>
    </row>
    <row r="871">
      <c r="A871" s="27">
        <f>A870+1</f>
        <v/>
      </c>
      <c r="B871" s="28">
        <f>Duration0+A871</f>
        <v/>
      </c>
      <c r="C871" s="27">
        <f>INT(B871/12)</f>
        <v/>
      </c>
      <c r="D871" s="28">
        <f>AgeAtEntry+C871</f>
        <v/>
      </c>
      <c r="E871" s="29">
        <f>IF(PremiumType="SINGLE",IF(B871=0,PremiumPPInput,0),IF(B871&lt;12*PolicyTerm,PremiumPPInput,0))</f>
        <v/>
      </c>
      <c r="F871" s="30">
        <f>INDEX(MortRates,MATCH(MIN(D871,120),MortAges,0),MAX(MIN(C871,5),0)+1)</f>
        <v/>
      </c>
      <c r="G871" s="31">
        <f>1-(1-F871)^(1/12)</f>
        <v/>
      </c>
      <c r="H871" s="32">
        <f>MAX(LapseBase-LapseStep*C871,LapseFloor)</f>
        <v/>
      </c>
      <c r="I871" s="32">
        <f>IF(HasSurrCharge,INDEX(SurrRates,MIN(C871,SurrDurMax)+1,MATCH(SurrChargeID,SurrTypes,0)),0)</f>
        <v/>
      </c>
      <c r="J871" s="33">
        <f>N870-P870-O870</f>
        <v/>
      </c>
      <c r="K871" s="30">
        <f>IF(B871=12*PolicyTerm,J871,0)</f>
        <v/>
      </c>
      <c r="L871" s="33">
        <f>J871-K871</f>
        <v/>
      </c>
      <c r="M871" s="30">
        <f>IF(B871=0,PolicyCount,0)</f>
        <v/>
      </c>
      <c r="N871" s="33">
        <f>L871+M871</f>
        <v/>
      </c>
      <c r="O871" s="31">
        <f>N871*G871</f>
        <v/>
      </c>
      <c r="P871" s="33">
        <f>(N871-O871)*(1-(1-H871)^(1/12))</f>
        <v/>
      </c>
      <c r="Q871" s="34">
        <f>X870+Z870</f>
        <v/>
      </c>
      <c r="R871" s="29">
        <f>(1-LoadPremRate)*E871</f>
        <v/>
      </c>
      <c r="S871" s="34">
        <f>Q871+R871</f>
        <v/>
      </c>
      <c r="T871" s="29">
        <f>MaintFeeRateAnn/12*S871</f>
        <v/>
      </c>
      <c r="U871" s="29">
        <f>MAX(SumAssured-S871,0)</f>
        <v/>
      </c>
      <c r="V871" s="35">
        <f>CoiMultiple*G871</f>
        <v/>
      </c>
      <c r="W871" s="34">
        <f>V871*U871</f>
        <v/>
      </c>
      <c r="X871" s="34">
        <f>S871-T871-W871</f>
        <v/>
      </c>
      <c r="Y871" s="36">
        <f>EXP((Mu-0.5*Sigma^2)/12+Sigma*SQRT(1/12)*INDEX(NormRand,ScenID,A871+1))-1</f>
        <v/>
      </c>
      <c r="Z871" s="34">
        <f>Y871*X871</f>
        <v/>
      </c>
      <c r="AA871" s="34">
        <f>X871+0.5*Z871</f>
        <v/>
      </c>
      <c r="AB871" s="34">
        <f>Q871*J871</f>
        <v/>
      </c>
      <c r="AC871" s="34">
        <f>Q871*L871</f>
        <v/>
      </c>
      <c r="AD871" s="34">
        <f>S871*N871</f>
        <v/>
      </c>
      <c r="AE871" s="34">
        <f>E871*N871</f>
        <v/>
      </c>
      <c r="AF871" s="34">
        <f>R871*N871</f>
        <v/>
      </c>
      <c r="AG871" s="29">
        <f>MAX(SumAssured,AA871)</f>
        <v/>
      </c>
      <c r="AH871" s="34">
        <f>AG871*O871</f>
        <v/>
      </c>
      <c r="AI871" s="34">
        <f>AA871*O871</f>
        <v/>
      </c>
      <c r="AJ871" s="34">
        <f>AA871*P871</f>
        <v/>
      </c>
      <c r="AK871" s="34">
        <f>I871*AA871*P871</f>
        <v/>
      </c>
      <c r="AL871" s="34">
        <f>AJ871-AK871</f>
        <v/>
      </c>
      <c r="AM871" s="34">
        <f>Q871*K871</f>
        <v/>
      </c>
      <c r="AN871" s="34">
        <f>AH871+AL871+AM871</f>
        <v/>
      </c>
      <c r="AO871" s="34">
        <f>(AG871-AA871)*O871</f>
        <v/>
      </c>
      <c r="AP871" s="34">
        <f>W871*N871</f>
        <v/>
      </c>
      <c r="AQ871" s="34">
        <f>T871*N871</f>
        <v/>
      </c>
      <c r="AR871" s="34">
        <f>Z871*J872+0.5*Z871*(O871+P871)</f>
        <v/>
      </c>
      <c r="AS871" s="30">
        <f>(1+InflationRate)^(A871/12)</f>
        <v/>
      </c>
      <c r="AT871" s="29">
        <f>ExpenseAcq*M871+N871*ExpenseMaint/12*AS871</f>
        <v/>
      </c>
      <c r="AU871" s="29">
        <f>CommissionRate*AE871</f>
        <v/>
      </c>
      <c r="AV871" s="34">
        <f>AB872-AB871</f>
        <v/>
      </c>
      <c r="AW871" s="34">
        <f>AE871+AR871-AN871-AT871-AU871-AV871</f>
        <v/>
      </c>
      <c r="AX871" s="29">
        <f>LoadPremRate*E871*N871+AK871+AQ871-AU871-AT871</f>
        <v/>
      </c>
      <c r="AY871" s="34">
        <f>AP871-AO871</f>
        <v/>
      </c>
      <c r="AZ871" s="37">
        <f>(AW871-AX871-AY871)/MAX(1,ABS(AW871),ABS(AX871),ABS(AY871))</f>
        <v/>
      </c>
      <c r="BA871" s="37">
        <f>IF(OR(K871&gt;0,K872&gt;0),0,(AC872-(AC871+AF871-AQ871-AP871+AR871-AI871-AJ871-AM871))/MAX(1,ABS(AC871),ABS(AC872)))</f>
        <v/>
      </c>
      <c r="BB871" s="35">
        <f>(1+INDEX(DiscRateAnn,INT(A871/12)+1))^(1/12)-1</f>
        <v/>
      </c>
      <c r="BC871" s="31">
        <f>(1+BB871)^-A871</f>
        <v/>
      </c>
      <c r="BD871" s="34">
        <f>AW871*BC871</f>
        <v/>
      </c>
    </row>
    <row r="872">
      <c r="A872" s="27">
        <f>A871+1</f>
        <v/>
      </c>
      <c r="B872" s="28">
        <f>Duration0+A872</f>
        <v/>
      </c>
      <c r="C872" s="27">
        <f>INT(B872/12)</f>
        <v/>
      </c>
      <c r="D872" s="28">
        <f>AgeAtEntry+C872</f>
        <v/>
      </c>
      <c r="E872" s="29">
        <f>IF(PremiumType="SINGLE",IF(B872=0,PremiumPPInput,0),IF(B872&lt;12*PolicyTerm,PremiumPPInput,0))</f>
        <v/>
      </c>
      <c r="F872" s="30">
        <f>INDEX(MortRates,MATCH(MIN(D872,120),MortAges,0),MAX(MIN(C872,5),0)+1)</f>
        <v/>
      </c>
      <c r="G872" s="31">
        <f>1-(1-F872)^(1/12)</f>
        <v/>
      </c>
      <c r="H872" s="32">
        <f>MAX(LapseBase-LapseStep*C872,LapseFloor)</f>
        <v/>
      </c>
      <c r="I872" s="32">
        <f>IF(HasSurrCharge,INDEX(SurrRates,MIN(C872,SurrDurMax)+1,MATCH(SurrChargeID,SurrTypes,0)),0)</f>
        <v/>
      </c>
      <c r="J872" s="33">
        <f>N871-P871-O871</f>
        <v/>
      </c>
      <c r="K872" s="30">
        <f>IF(B872=12*PolicyTerm,J872,0)</f>
        <v/>
      </c>
      <c r="L872" s="33">
        <f>J872-K872</f>
        <v/>
      </c>
      <c r="M872" s="30">
        <f>IF(B872=0,PolicyCount,0)</f>
        <v/>
      </c>
      <c r="N872" s="33">
        <f>L872+M872</f>
        <v/>
      </c>
      <c r="O872" s="31">
        <f>N872*G872</f>
        <v/>
      </c>
      <c r="P872" s="33">
        <f>(N872-O872)*(1-(1-H872)^(1/12))</f>
        <v/>
      </c>
      <c r="Q872" s="34">
        <f>X871+Z871</f>
        <v/>
      </c>
      <c r="R872" s="29">
        <f>(1-LoadPremRate)*E872</f>
        <v/>
      </c>
      <c r="S872" s="34">
        <f>Q872+R872</f>
        <v/>
      </c>
      <c r="T872" s="29">
        <f>MaintFeeRateAnn/12*S872</f>
        <v/>
      </c>
      <c r="U872" s="29">
        <f>MAX(SumAssured-S872,0)</f>
        <v/>
      </c>
      <c r="V872" s="35">
        <f>CoiMultiple*G872</f>
        <v/>
      </c>
      <c r="W872" s="34">
        <f>V872*U872</f>
        <v/>
      </c>
      <c r="X872" s="34">
        <f>S872-T872-W872</f>
        <v/>
      </c>
      <c r="Y872" s="36">
        <f>EXP((Mu-0.5*Sigma^2)/12+Sigma*SQRT(1/12)*INDEX(NormRand,ScenID,A872+1))-1</f>
        <v/>
      </c>
      <c r="Z872" s="34">
        <f>Y872*X872</f>
        <v/>
      </c>
      <c r="AA872" s="34">
        <f>X872+0.5*Z872</f>
        <v/>
      </c>
      <c r="AB872" s="34">
        <f>Q872*J872</f>
        <v/>
      </c>
      <c r="AC872" s="34">
        <f>Q872*L872</f>
        <v/>
      </c>
      <c r="AD872" s="34">
        <f>S872*N872</f>
        <v/>
      </c>
      <c r="AE872" s="34">
        <f>E872*N872</f>
        <v/>
      </c>
      <c r="AF872" s="34">
        <f>R872*N872</f>
        <v/>
      </c>
      <c r="AG872" s="29">
        <f>MAX(SumAssured,AA872)</f>
        <v/>
      </c>
      <c r="AH872" s="34">
        <f>AG872*O872</f>
        <v/>
      </c>
      <c r="AI872" s="34">
        <f>AA872*O872</f>
        <v/>
      </c>
      <c r="AJ872" s="34">
        <f>AA872*P872</f>
        <v/>
      </c>
      <c r="AK872" s="34">
        <f>I872*AA872*P872</f>
        <v/>
      </c>
      <c r="AL872" s="34">
        <f>AJ872-AK872</f>
        <v/>
      </c>
      <c r="AM872" s="34">
        <f>Q872*K872</f>
        <v/>
      </c>
      <c r="AN872" s="34">
        <f>AH872+AL872+AM872</f>
        <v/>
      </c>
      <c r="AO872" s="34">
        <f>(AG872-AA872)*O872</f>
        <v/>
      </c>
      <c r="AP872" s="34">
        <f>W872*N872</f>
        <v/>
      </c>
      <c r="AQ872" s="34">
        <f>T872*N872</f>
        <v/>
      </c>
      <c r="AR872" s="34">
        <f>Z872*J873+0.5*Z872*(O872+P872)</f>
        <v/>
      </c>
      <c r="AS872" s="30">
        <f>(1+InflationRate)^(A872/12)</f>
        <v/>
      </c>
      <c r="AT872" s="29">
        <f>ExpenseAcq*M872+N872*ExpenseMaint/12*AS872</f>
        <v/>
      </c>
      <c r="AU872" s="29">
        <f>CommissionRate*AE872</f>
        <v/>
      </c>
      <c r="AV872" s="34">
        <f>AB873-AB872</f>
        <v/>
      </c>
      <c r="AW872" s="34">
        <f>AE872+AR872-AN872-AT872-AU872-AV872</f>
        <v/>
      </c>
      <c r="AX872" s="29">
        <f>LoadPremRate*E872*N872+AK872+AQ872-AU872-AT872</f>
        <v/>
      </c>
      <c r="AY872" s="34">
        <f>AP872-AO872</f>
        <v/>
      </c>
      <c r="AZ872" s="37">
        <f>(AW872-AX872-AY872)/MAX(1,ABS(AW872),ABS(AX872),ABS(AY872))</f>
        <v/>
      </c>
      <c r="BA872" s="37">
        <f>IF(OR(K872&gt;0,K873&gt;0),0,(AC873-(AC872+AF872-AQ872-AP872+AR872-AI872-AJ872-AM872))/MAX(1,ABS(AC872),ABS(AC873)))</f>
        <v/>
      </c>
      <c r="BB872" s="35">
        <f>(1+INDEX(DiscRateAnn,INT(A872/12)+1))^(1/12)-1</f>
        <v/>
      </c>
      <c r="BC872" s="31">
        <f>(1+BB872)^-A872</f>
        <v/>
      </c>
      <c r="BD872" s="34">
        <f>AW872*BC872</f>
        <v/>
      </c>
    </row>
    <row r="873">
      <c r="A873" s="27">
        <f>A872+1</f>
        <v/>
      </c>
      <c r="B873" s="28">
        <f>Duration0+A873</f>
        <v/>
      </c>
      <c r="C873" s="27">
        <f>INT(B873/12)</f>
        <v/>
      </c>
      <c r="D873" s="28">
        <f>AgeAtEntry+C873</f>
        <v/>
      </c>
      <c r="E873" s="29">
        <f>IF(PremiumType="SINGLE",IF(B873=0,PremiumPPInput,0),IF(B873&lt;12*PolicyTerm,PremiumPPInput,0))</f>
        <v/>
      </c>
      <c r="F873" s="30">
        <f>INDEX(MortRates,MATCH(MIN(D873,120),MortAges,0),MAX(MIN(C873,5),0)+1)</f>
        <v/>
      </c>
      <c r="G873" s="31">
        <f>1-(1-F873)^(1/12)</f>
        <v/>
      </c>
      <c r="H873" s="32">
        <f>MAX(LapseBase-LapseStep*C873,LapseFloor)</f>
        <v/>
      </c>
      <c r="I873" s="32">
        <f>IF(HasSurrCharge,INDEX(SurrRates,MIN(C873,SurrDurMax)+1,MATCH(SurrChargeID,SurrTypes,0)),0)</f>
        <v/>
      </c>
      <c r="J873" s="33">
        <f>N872-P872-O872</f>
        <v/>
      </c>
      <c r="K873" s="30">
        <f>IF(B873=12*PolicyTerm,J873,0)</f>
        <v/>
      </c>
      <c r="L873" s="33">
        <f>J873-K873</f>
        <v/>
      </c>
      <c r="M873" s="30">
        <f>IF(B873=0,PolicyCount,0)</f>
        <v/>
      </c>
      <c r="N873" s="33">
        <f>L873+M873</f>
        <v/>
      </c>
      <c r="O873" s="31">
        <f>N873*G873</f>
        <v/>
      </c>
      <c r="P873" s="33">
        <f>(N873-O873)*(1-(1-H873)^(1/12))</f>
        <v/>
      </c>
      <c r="Q873" s="34">
        <f>X872+Z872</f>
        <v/>
      </c>
      <c r="R873" s="29">
        <f>(1-LoadPremRate)*E873</f>
        <v/>
      </c>
      <c r="S873" s="34">
        <f>Q873+R873</f>
        <v/>
      </c>
      <c r="T873" s="29">
        <f>MaintFeeRateAnn/12*S873</f>
        <v/>
      </c>
      <c r="U873" s="29">
        <f>MAX(SumAssured-S873,0)</f>
        <v/>
      </c>
      <c r="V873" s="35">
        <f>CoiMultiple*G873</f>
        <v/>
      </c>
      <c r="W873" s="34">
        <f>V873*U873</f>
        <v/>
      </c>
      <c r="X873" s="34">
        <f>S873-T873-W873</f>
        <v/>
      </c>
      <c r="Y873" s="36">
        <f>EXP((Mu-0.5*Sigma^2)/12+Sigma*SQRT(1/12)*INDEX(NormRand,ScenID,A873+1))-1</f>
        <v/>
      </c>
      <c r="Z873" s="34">
        <f>Y873*X873</f>
        <v/>
      </c>
      <c r="AA873" s="34">
        <f>X873+0.5*Z873</f>
        <v/>
      </c>
      <c r="AB873" s="34">
        <f>Q873*J873</f>
        <v/>
      </c>
      <c r="AC873" s="34">
        <f>Q873*L873</f>
        <v/>
      </c>
      <c r="AD873" s="34">
        <f>S873*N873</f>
        <v/>
      </c>
      <c r="AE873" s="34">
        <f>E873*N873</f>
        <v/>
      </c>
      <c r="AF873" s="34">
        <f>R873*N873</f>
        <v/>
      </c>
      <c r="AG873" s="29">
        <f>MAX(SumAssured,AA873)</f>
        <v/>
      </c>
      <c r="AH873" s="34">
        <f>AG873*O873</f>
        <v/>
      </c>
      <c r="AI873" s="34">
        <f>AA873*O873</f>
        <v/>
      </c>
      <c r="AJ873" s="34">
        <f>AA873*P873</f>
        <v/>
      </c>
      <c r="AK873" s="34">
        <f>I873*AA873*P873</f>
        <v/>
      </c>
      <c r="AL873" s="34">
        <f>AJ873-AK873</f>
        <v/>
      </c>
      <c r="AM873" s="34">
        <f>Q873*K873</f>
        <v/>
      </c>
      <c r="AN873" s="34">
        <f>AH873+AL873+AM873</f>
        <v/>
      </c>
      <c r="AO873" s="34">
        <f>(AG873-AA873)*O873</f>
        <v/>
      </c>
      <c r="AP873" s="34">
        <f>W873*N873</f>
        <v/>
      </c>
      <c r="AQ873" s="34">
        <f>T873*N873</f>
        <v/>
      </c>
      <c r="AR873" s="34">
        <f>Z873*J874+0.5*Z873*(O873+P873)</f>
        <v/>
      </c>
      <c r="AS873" s="30">
        <f>(1+InflationRate)^(A873/12)</f>
        <v/>
      </c>
      <c r="AT873" s="29">
        <f>ExpenseAcq*M873+N873*ExpenseMaint/12*AS873</f>
        <v/>
      </c>
      <c r="AU873" s="29">
        <f>CommissionRate*AE873</f>
        <v/>
      </c>
      <c r="AV873" s="34">
        <f>AB874-AB873</f>
        <v/>
      </c>
      <c r="AW873" s="34">
        <f>AE873+AR873-AN873-AT873-AU873-AV873</f>
        <v/>
      </c>
      <c r="AX873" s="29">
        <f>LoadPremRate*E873*N873+AK873+AQ873-AU873-AT873</f>
        <v/>
      </c>
      <c r="AY873" s="34">
        <f>AP873-AO873</f>
        <v/>
      </c>
      <c r="AZ873" s="37">
        <f>(AW873-AX873-AY873)/MAX(1,ABS(AW873),ABS(AX873),ABS(AY873))</f>
        <v/>
      </c>
      <c r="BA873" s="37">
        <f>IF(OR(K873&gt;0,K874&gt;0),0,(AC874-(AC873+AF873-AQ873-AP873+AR873-AI873-AJ873-AM873))/MAX(1,ABS(AC873),ABS(AC874)))</f>
        <v/>
      </c>
      <c r="BB873" s="35">
        <f>(1+INDEX(DiscRateAnn,INT(A873/12)+1))^(1/12)-1</f>
        <v/>
      </c>
      <c r="BC873" s="31">
        <f>(1+BB873)^-A873</f>
        <v/>
      </c>
      <c r="BD873" s="34">
        <f>AW873*BC873</f>
        <v/>
      </c>
    </row>
    <row r="874">
      <c r="A874" s="27">
        <f>A873+1</f>
        <v/>
      </c>
      <c r="B874" s="28">
        <f>Duration0+A874</f>
        <v/>
      </c>
      <c r="C874" s="27">
        <f>INT(B874/12)</f>
        <v/>
      </c>
      <c r="D874" s="28">
        <f>AgeAtEntry+C874</f>
        <v/>
      </c>
      <c r="E874" s="29">
        <f>IF(PremiumType="SINGLE",IF(B874=0,PremiumPPInput,0),IF(B874&lt;12*PolicyTerm,PremiumPPInput,0))</f>
        <v/>
      </c>
      <c r="F874" s="30">
        <f>INDEX(MortRates,MATCH(MIN(D874,120),MortAges,0),MAX(MIN(C874,5),0)+1)</f>
        <v/>
      </c>
      <c r="G874" s="31">
        <f>1-(1-F874)^(1/12)</f>
        <v/>
      </c>
      <c r="H874" s="32">
        <f>MAX(LapseBase-LapseStep*C874,LapseFloor)</f>
        <v/>
      </c>
      <c r="I874" s="32">
        <f>IF(HasSurrCharge,INDEX(SurrRates,MIN(C874,SurrDurMax)+1,MATCH(SurrChargeID,SurrTypes,0)),0)</f>
        <v/>
      </c>
      <c r="J874" s="33">
        <f>N873-P873-O873</f>
        <v/>
      </c>
      <c r="K874" s="30">
        <f>IF(B874=12*PolicyTerm,J874,0)</f>
        <v/>
      </c>
      <c r="L874" s="33">
        <f>J874-K874</f>
        <v/>
      </c>
      <c r="M874" s="30">
        <f>IF(B874=0,PolicyCount,0)</f>
        <v/>
      </c>
      <c r="N874" s="33">
        <f>L874+M874</f>
        <v/>
      </c>
      <c r="O874" s="31">
        <f>N874*G874</f>
        <v/>
      </c>
      <c r="P874" s="33">
        <f>(N874-O874)*(1-(1-H874)^(1/12))</f>
        <v/>
      </c>
      <c r="Q874" s="34">
        <f>X873+Z873</f>
        <v/>
      </c>
      <c r="R874" s="29">
        <f>(1-LoadPremRate)*E874</f>
        <v/>
      </c>
      <c r="S874" s="34">
        <f>Q874+R874</f>
        <v/>
      </c>
      <c r="T874" s="29">
        <f>MaintFeeRateAnn/12*S874</f>
        <v/>
      </c>
      <c r="U874" s="29">
        <f>MAX(SumAssured-S874,0)</f>
        <v/>
      </c>
      <c r="V874" s="35">
        <f>CoiMultiple*G874</f>
        <v/>
      </c>
      <c r="W874" s="34">
        <f>V874*U874</f>
        <v/>
      </c>
      <c r="X874" s="34">
        <f>S874-T874-W874</f>
        <v/>
      </c>
      <c r="Y874" s="36">
        <f>EXP((Mu-0.5*Sigma^2)/12+Sigma*SQRT(1/12)*INDEX(NormRand,ScenID,A874+1))-1</f>
        <v/>
      </c>
      <c r="Z874" s="34">
        <f>Y874*X874</f>
        <v/>
      </c>
      <c r="AA874" s="34">
        <f>X874+0.5*Z874</f>
        <v/>
      </c>
      <c r="AB874" s="34">
        <f>Q874*J874</f>
        <v/>
      </c>
      <c r="AC874" s="34">
        <f>Q874*L874</f>
        <v/>
      </c>
      <c r="AD874" s="34">
        <f>S874*N874</f>
        <v/>
      </c>
      <c r="AE874" s="34">
        <f>E874*N874</f>
        <v/>
      </c>
      <c r="AF874" s="34">
        <f>R874*N874</f>
        <v/>
      </c>
      <c r="AG874" s="29">
        <f>MAX(SumAssured,AA874)</f>
        <v/>
      </c>
      <c r="AH874" s="34">
        <f>AG874*O874</f>
        <v/>
      </c>
      <c r="AI874" s="34">
        <f>AA874*O874</f>
        <v/>
      </c>
      <c r="AJ874" s="34">
        <f>AA874*P874</f>
        <v/>
      </c>
      <c r="AK874" s="34">
        <f>I874*AA874*P874</f>
        <v/>
      </c>
      <c r="AL874" s="34">
        <f>AJ874-AK874</f>
        <v/>
      </c>
      <c r="AM874" s="34">
        <f>Q874*K874</f>
        <v/>
      </c>
      <c r="AN874" s="34">
        <f>AH874+AL874+AM874</f>
        <v/>
      </c>
      <c r="AO874" s="34">
        <f>(AG874-AA874)*O874</f>
        <v/>
      </c>
      <c r="AP874" s="34">
        <f>W874*N874</f>
        <v/>
      </c>
      <c r="AQ874" s="34">
        <f>T874*N874</f>
        <v/>
      </c>
      <c r="AR874" s="34">
        <f>Z874*J875+0.5*Z874*(O874+P874)</f>
        <v/>
      </c>
      <c r="AS874" s="30">
        <f>(1+InflationRate)^(A874/12)</f>
        <v/>
      </c>
      <c r="AT874" s="29">
        <f>ExpenseAcq*M874+N874*ExpenseMaint/12*AS874</f>
        <v/>
      </c>
      <c r="AU874" s="29">
        <f>CommissionRate*AE874</f>
        <v/>
      </c>
      <c r="AV874" s="34">
        <f>AB875-AB874</f>
        <v/>
      </c>
      <c r="AW874" s="34">
        <f>AE874+AR874-AN874-AT874-AU874-AV874</f>
        <v/>
      </c>
      <c r="AX874" s="29">
        <f>LoadPremRate*E874*N874+AK874+AQ874-AU874-AT874</f>
        <v/>
      </c>
      <c r="AY874" s="34">
        <f>AP874-AO874</f>
        <v/>
      </c>
      <c r="AZ874" s="37">
        <f>(AW874-AX874-AY874)/MAX(1,ABS(AW874),ABS(AX874),ABS(AY874))</f>
        <v/>
      </c>
      <c r="BA874" s="37">
        <f>IF(OR(K874&gt;0,K875&gt;0),0,(AC875-(AC874+AF874-AQ874-AP874+AR874-AI874-AJ874-AM874))/MAX(1,ABS(AC874),ABS(AC875)))</f>
        <v/>
      </c>
      <c r="BB874" s="35">
        <f>(1+INDEX(DiscRateAnn,INT(A874/12)+1))^(1/12)-1</f>
        <v/>
      </c>
      <c r="BC874" s="31">
        <f>(1+BB874)^-A874</f>
        <v/>
      </c>
      <c r="BD874" s="34">
        <f>AW874*BC874</f>
        <v/>
      </c>
    </row>
    <row r="875">
      <c r="A875" s="27">
        <f>A874+1</f>
        <v/>
      </c>
      <c r="B875" s="28">
        <f>Duration0+A875</f>
        <v/>
      </c>
      <c r="C875" s="27">
        <f>INT(B875/12)</f>
        <v/>
      </c>
      <c r="D875" s="28">
        <f>AgeAtEntry+C875</f>
        <v/>
      </c>
      <c r="E875" s="29">
        <f>IF(PremiumType="SINGLE",IF(B875=0,PremiumPPInput,0),IF(B875&lt;12*PolicyTerm,PremiumPPInput,0))</f>
        <v/>
      </c>
      <c r="F875" s="30">
        <f>INDEX(MortRates,MATCH(MIN(D875,120),MortAges,0),MAX(MIN(C875,5),0)+1)</f>
        <v/>
      </c>
      <c r="G875" s="31">
        <f>1-(1-F875)^(1/12)</f>
        <v/>
      </c>
      <c r="H875" s="32">
        <f>MAX(LapseBase-LapseStep*C875,LapseFloor)</f>
        <v/>
      </c>
      <c r="I875" s="32">
        <f>IF(HasSurrCharge,INDEX(SurrRates,MIN(C875,SurrDurMax)+1,MATCH(SurrChargeID,SurrTypes,0)),0)</f>
        <v/>
      </c>
      <c r="J875" s="33">
        <f>N874-P874-O874</f>
        <v/>
      </c>
      <c r="K875" s="30">
        <f>IF(B875=12*PolicyTerm,J875,0)</f>
        <v/>
      </c>
      <c r="L875" s="33">
        <f>J875-K875</f>
        <v/>
      </c>
      <c r="M875" s="30">
        <f>IF(B875=0,PolicyCount,0)</f>
        <v/>
      </c>
      <c r="N875" s="33">
        <f>L875+M875</f>
        <v/>
      </c>
      <c r="O875" s="31">
        <f>N875*G875</f>
        <v/>
      </c>
      <c r="P875" s="33">
        <f>(N875-O875)*(1-(1-H875)^(1/12))</f>
        <v/>
      </c>
      <c r="Q875" s="34">
        <f>X874+Z874</f>
        <v/>
      </c>
      <c r="R875" s="29">
        <f>(1-LoadPremRate)*E875</f>
        <v/>
      </c>
      <c r="S875" s="34">
        <f>Q875+R875</f>
        <v/>
      </c>
      <c r="T875" s="29">
        <f>MaintFeeRateAnn/12*S875</f>
        <v/>
      </c>
      <c r="U875" s="29">
        <f>MAX(SumAssured-S875,0)</f>
        <v/>
      </c>
      <c r="V875" s="35">
        <f>CoiMultiple*G875</f>
        <v/>
      </c>
      <c r="W875" s="34">
        <f>V875*U875</f>
        <v/>
      </c>
      <c r="X875" s="34">
        <f>S875-T875-W875</f>
        <v/>
      </c>
      <c r="Y875" s="36">
        <f>EXP((Mu-0.5*Sigma^2)/12+Sigma*SQRT(1/12)*INDEX(NormRand,ScenID,A875+1))-1</f>
        <v/>
      </c>
      <c r="Z875" s="34">
        <f>Y875*X875</f>
        <v/>
      </c>
      <c r="AA875" s="34">
        <f>X875+0.5*Z875</f>
        <v/>
      </c>
      <c r="AB875" s="34">
        <f>Q875*J875</f>
        <v/>
      </c>
      <c r="AC875" s="34">
        <f>Q875*L875</f>
        <v/>
      </c>
      <c r="AD875" s="34">
        <f>S875*N875</f>
        <v/>
      </c>
      <c r="AE875" s="34">
        <f>E875*N875</f>
        <v/>
      </c>
      <c r="AF875" s="34">
        <f>R875*N875</f>
        <v/>
      </c>
      <c r="AG875" s="29">
        <f>MAX(SumAssured,AA875)</f>
        <v/>
      </c>
      <c r="AH875" s="34">
        <f>AG875*O875</f>
        <v/>
      </c>
      <c r="AI875" s="34">
        <f>AA875*O875</f>
        <v/>
      </c>
      <c r="AJ875" s="34">
        <f>AA875*P875</f>
        <v/>
      </c>
      <c r="AK875" s="34">
        <f>I875*AA875*P875</f>
        <v/>
      </c>
      <c r="AL875" s="34">
        <f>AJ875-AK875</f>
        <v/>
      </c>
      <c r="AM875" s="34">
        <f>Q875*K875</f>
        <v/>
      </c>
      <c r="AN875" s="34">
        <f>AH875+AL875+AM875</f>
        <v/>
      </c>
      <c r="AO875" s="34">
        <f>(AG875-AA875)*O875</f>
        <v/>
      </c>
      <c r="AP875" s="34">
        <f>W875*N875</f>
        <v/>
      </c>
      <c r="AQ875" s="34">
        <f>T875*N875</f>
        <v/>
      </c>
      <c r="AR875" s="34">
        <f>Z875*J876+0.5*Z875*(O875+P875)</f>
        <v/>
      </c>
      <c r="AS875" s="30">
        <f>(1+InflationRate)^(A875/12)</f>
        <v/>
      </c>
      <c r="AT875" s="29">
        <f>ExpenseAcq*M875+N875*ExpenseMaint/12*AS875</f>
        <v/>
      </c>
      <c r="AU875" s="29">
        <f>CommissionRate*AE875</f>
        <v/>
      </c>
      <c r="AV875" s="34">
        <f>AB876-AB875</f>
        <v/>
      </c>
      <c r="AW875" s="34">
        <f>AE875+AR875-AN875-AT875-AU875-AV875</f>
        <v/>
      </c>
      <c r="AX875" s="29">
        <f>LoadPremRate*E875*N875+AK875+AQ875-AU875-AT875</f>
        <v/>
      </c>
      <c r="AY875" s="34">
        <f>AP875-AO875</f>
        <v/>
      </c>
      <c r="AZ875" s="37">
        <f>(AW875-AX875-AY875)/MAX(1,ABS(AW875),ABS(AX875),ABS(AY875))</f>
        <v/>
      </c>
      <c r="BA875" s="37">
        <f>IF(OR(K875&gt;0,K876&gt;0),0,(AC876-(AC875+AF875-AQ875-AP875+AR875-AI875-AJ875-AM875))/MAX(1,ABS(AC875),ABS(AC876)))</f>
        <v/>
      </c>
      <c r="BB875" s="35">
        <f>(1+INDEX(DiscRateAnn,INT(A875/12)+1))^(1/12)-1</f>
        <v/>
      </c>
      <c r="BC875" s="31">
        <f>(1+BB875)^-A875</f>
        <v/>
      </c>
      <c r="BD875" s="34">
        <f>AW875*BC875</f>
        <v/>
      </c>
    </row>
    <row r="876">
      <c r="A876" s="27">
        <f>A875+1</f>
        <v/>
      </c>
      <c r="B876" s="28">
        <f>Duration0+A876</f>
        <v/>
      </c>
      <c r="C876" s="27">
        <f>INT(B876/12)</f>
        <v/>
      </c>
      <c r="D876" s="28">
        <f>AgeAtEntry+C876</f>
        <v/>
      </c>
      <c r="E876" s="29">
        <f>IF(PremiumType="SINGLE",IF(B876=0,PremiumPPInput,0),IF(B876&lt;12*PolicyTerm,PremiumPPInput,0))</f>
        <v/>
      </c>
      <c r="F876" s="30">
        <f>INDEX(MortRates,MATCH(MIN(D876,120),MortAges,0),MAX(MIN(C876,5),0)+1)</f>
        <v/>
      </c>
      <c r="G876" s="31">
        <f>1-(1-F876)^(1/12)</f>
        <v/>
      </c>
      <c r="H876" s="32">
        <f>MAX(LapseBase-LapseStep*C876,LapseFloor)</f>
        <v/>
      </c>
      <c r="I876" s="32">
        <f>IF(HasSurrCharge,INDEX(SurrRates,MIN(C876,SurrDurMax)+1,MATCH(SurrChargeID,SurrTypes,0)),0)</f>
        <v/>
      </c>
      <c r="J876" s="33">
        <f>N875-P875-O875</f>
        <v/>
      </c>
      <c r="K876" s="30">
        <f>IF(B876=12*PolicyTerm,J876,0)</f>
        <v/>
      </c>
      <c r="L876" s="33">
        <f>J876-K876</f>
        <v/>
      </c>
      <c r="M876" s="30">
        <f>IF(B876=0,PolicyCount,0)</f>
        <v/>
      </c>
      <c r="N876" s="33">
        <f>L876+M876</f>
        <v/>
      </c>
      <c r="O876" s="31">
        <f>N876*G876</f>
        <v/>
      </c>
      <c r="P876" s="33">
        <f>(N876-O876)*(1-(1-H876)^(1/12))</f>
        <v/>
      </c>
      <c r="Q876" s="34">
        <f>X875+Z875</f>
        <v/>
      </c>
      <c r="R876" s="29">
        <f>(1-LoadPremRate)*E876</f>
        <v/>
      </c>
      <c r="S876" s="34">
        <f>Q876+R876</f>
        <v/>
      </c>
      <c r="T876" s="29">
        <f>MaintFeeRateAnn/12*S876</f>
        <v/>
      </c>
      <c r="U876" s="29">
        <f>MAX(SumAssured-S876,0)</f>
        <v/>
      </c>
      <c r="V876" s="35">
        <f>CoiMultiple*G876</f>
        <v/>
      </c>
      <c r="W876" s="34">
        <f>V876*U876</f>
        <v/>
      </c>
      <c r="X876" s="34">
        <f>S876-T876-W876</f>
        <v/>
      </c>
      <c r="Y876" s="36">
        <f>EXP((Mu-0.5*Sigma^2)/12+Sigma*SQRT(1/12)*INDEX(NormRand,ScenID,A876+1))-1</f>
        <v/>
      </c>
      <c r="Z876" s="34">
        <f>Y876*X876</f>
        <v/>
      </c>
      <c r="AA876" s="34">
        <f>X876+0.5*Z876</f>
        <v/>
      </c>
      <c r="AB876" s="34">
        <f>Q876*J876</f>
        <v/>
      </c>
      <c r="AC876" s="34">
        <f>Q876*L876</f>
        <v/>
      </c>
      <c r="AD876" s="34">
        <f>S876*N876</f>
        <v/>
      </c>
      <c r="AE876" s="34">
        <f>E876*N876</f>
        <v/>
      </c>
      <c r="AF876" s="34">
        <f>R876*N876</f>
        <v/>
      </c>
      <c r="AG876" s="29">
        <f>MAX(SumAssured,AA876)</f>
        <v/>
      </c>
      <c r="AH876" s="34">
        <f>AG876*O876</f>
        <v/>
      </c>
      <c r="AI876" s="34">
        <f>AA876*O876</f>
        <v/>
      </c>
      <c r="AJ876" s="34">
        <f>AA876*P876</f>
        <v/>
      </c>
      <c r="AK876" s="34">
        <f>I876*AA876*P876</f>
        <v/>
      </c>
      <c r="AL876" s="34">
        <f>AJ876-AK876</f>
        <v/>
      </c>
      <c r="AM876" s="34">
        <f>Q876*K876</f>
        <v/>
      </c>
      <c r="AN876" s="34">
        <f>AH876+AL876+AM876</f>
        <v/>
      </c>
      <c r="AO876" s="34">
        <f>(AG876-AA876)*O876</f>
        <v/>
      </c>
      <c r="AP876" s="34">
        <f>W876*N876</f>
        <v/>
      </c>
      <c r="AQ876" s="34">
        <f>T876*N876</f>
        <v/>
      </c>
      <c r="AR876" s="34">
        <f>Z876*J877+0.5*Z876*(O876+P876)</f>
        <v/>
      </c>
      <c r="AS876" s="30">
        <f>(1+InflationRate)^(A876/12)</f>
        <v/>
      </c>
      <c r="AT876" s="29">
        <f>ExpenseAcq*M876+N876*ExpenseMaint/12*AS876</f>
        <v/>
      </c>
      <c r="AU876" s="29">
        <f>CommissionRate*AE876</f>
        <v/>
      </c>
      <c r="AV876" s="34">
        <f>AB877-AB876</f>
        <v/>
      </c>
      <c r="AW876" s="34">
        <f>AE876+AR876-AN876-AT876-AU876-AV876</f>
        <v/>
      </c>
      <c r="AX876" s="29">
        <f>LoadPremRate*E876*N876+AK876+AQ876-AU876-AT876</f>
        <v/>
      </c>
      <c r="AY876" s="34">
        <f>AP876-AO876</f>
        <v/>
      </c>
      <c r="AZ876" s="37">
        <f>(AW876-AX876-AY876)/MAX(1,ABS(AW876),ABS(AX876),ABS(AY876))</f>
        <v/>
      </c>
      <c r="BA876" s="37">
        <f>IF(OR(K876&gt;0,K877&gt;0),0,(AC877-(AC876+AF876-AQ876-AP876+AR876-AI876-AJ876-AM876))/MAX(1,ABS(AC876),ABS(AC877)))</f>
        <v/>
      </c>
      <c r="BB876" s="35">
        <f>(1+INDEX(DiscRateAnn,INT(A876/12)+1))^(1/12)-1</f>
        <v/>
      </c>
      <c r="BC876" s="31">
        <f>(1+BB876)^-A876</f>
        <v/>
      </c>
      <c r="BD876" s="34">
        <f>AW876*BC876</f>
        <v/>
      </c>
    </row>
    <row r="877">
      <c r="A877" s="27">
        <f>A876+1</f>
        <v/>
      </c>
      <c r="B877" s="28">
        <f>Duration0+A877</f>
        <v/>
      </c>
      <c r="C877" s="27">
        <f>INT(B877/12)</f>
        <v/>
      </c>
      <c r="D877" s="28">
        <f>AgeAtEntry+C877</f>
        <v/>
      </c>
      <c r="E877" s="29">
        <f>IF(PremiumType="SINGLE",IF(B877=0,PremiumPPInput,0),IF(B877&lt;12*PolicyTerm,PremiumPPInput,0))</f>
        <v/>
      </c>
      <c r="F877" s="30">
        <f>INDEX(MortRates,MATCH(MIN(D877,120),MortAges,0),MAX(MIN(C877,5),0)+1)</f>
        <v/>
      </c>
      <c r="G877" s="31">
        <f>1-(1-F877)^(1/12)</f>
        <v/>
      </c>
      <c r="H877" s="32">
        <f>MAX(LapseBase-LapseStep*C877,LapseFloor)</f>
        <v/>
      </c>
      <c r="I877" s="32">
        <f>IF(HasSurrCharge,INDEX(SurrRates,MIN(C877,SurrDurMax)+1,MATCH(SurrChargeID,SurrTypes,0)),0)</f>
        <v/>
      </c>
      <c r="J877" s="33">
        <f>N876-P876-O876</f>
        <v/>
      </c>
      <c r="K877" s="30">
        <f>IF(B877=12*PolicyTerm,J877,0)</f>
        <v/>
      </c>
      <c r="L877" s="33">
        <f>J877-K877</f>
        <v/>
      </c>
      <c r="M877" s="30">
        <f>IF(B877=0,PolicyCount,0)</f>
        <v/>
      </c>
      <c r="N877" s="33">
        <f>L877+M877</f>
        <v/>
      </c>
      <c r="O877" s="31">
        <f>N877*G877</f>
        <v/>
      </c>
      <c r="P877" s="33">
        <f>(N877-O877)*(1-(1-H877)^(1/12))</f>
        <v/>
      </c>
      <c r="Q877" s="34">
        <f>X876+Z876</f>
        <v/>
      </c>
      <c r="R877" s="29">
        <f>(1-LoadPremRate)*E877</f>
        <v/>
      </c>
      <c r="S877" s="34">
        <f>Q877+R877</f>
        <v/>
      </c>
      <c r="T877" s="29">
        <f>MaintFeeRateAnn/12*S877</f>
        <v/>
      </c>
      <c r="U877" s="29">
        <f>MAX(SumAssured-S877,0)</f>
        <v/>
      </c>
      <c r="V877" s="35">
        <f>CoiMultiple*G877</f>
        <v/>
      </c>
      <c r="W877" s="34">
        <f>V877*U877</f>
        <v/>
      </c>
      <c r="X877" s="34">
        <f>S877-T877-W877</f>
        <v/>
      </c>
      <c r="Y877" s="36">
        <f>EXP((Mu-0.5*Sigma^2)/12+Sigma*SQRT(1/12)*INDEX(NormRand,ScenID,A877+1))-1</f>
        <v/>
      </c>
      <c r="Z877" s="34">
        <f>Y877*X877</f>
        <v/>
      </c>
      <c r="AA877" s="34">
        <f>X877+0.5*Z877</f>
        <v/>
      </c>
      <c r="AB877" s="34">
        <f>Q877*J877</f>
        <v/>
      </c>
      <c r="AC877" s="34">
        <f>Q877*L877</f>
        <v/>
      </c>
      <c r="AD877" s="34">
        <f>S877*N877</f>
        <v/>
      </c>
      <c r="AE877" s="34">
        <f>E877*N877</f>
        <v/>
      </c>
      <c r="AF877" s="34">
        <f>R877*N877</f>
        <v/>
      </c>
      <c r="AG877" s="29">
        <f>MAX(SumAssured,AA877)</f>
        <v/>
      </c>
      <c r="AH877" s="34">
        <f>AG877*O877</f>
        <v/>
      </c>
      <c r="AI877" s="34">
        <f>AA877*O877</f>
        <v/>
      </c>
      <c r="AJ877" s="34">
        <f>AA877*P877</f>
        <v/>
      </c>
      <c r="AK877" s="34">
        <f>I877*AA877*P877</f>
        <v/>
      </c>
      <c r="AL877" s="34">
        <f>AJ877-AK877</f>
        <v/>
      </c>
      <c r="AM877" s="34">
        <f>Q877*K877</f>
        <v/>
      </c>
      <c r="AN877" s="34">
        <f>AH877+AL877+AM877</f>
        <v/>
      </c>
      <c r="AO877" s="34">
        <f>(AG877-AA877)*O877</f>
        <v/>
      </c>
      <c r="AP877" s="34">
        <f>W877*N877</f>
        <v/>
      </c>
      <c r="AQ877" s="34">
        <f>T877*N877</f>
        <v/>
      </c>
      <c r="AR877" s="34">
        <f>Z877*J878+0.5*Z877*(O877+P877)</f>
        <v/>
      </c>
      <c r="AS877" s="30">
        <f>(1+InflationRate)^(A877/12)</f>
        <v/>
      </c>
      <c r="AT877" s="29">
        <f>ExpenseAcq*M877+N877*ExpenseMaint/12*AS877</f>
        <v/>
      </c>
      <c r="AU877" s="29">
        <f>CommissionRate*AE877</f>
        <v/>
      </c>
      <c r="AV877" s="34">
        <f>AB878-AB877</f>
        <v/>
      </c>
      <c r="AW877" s="34">
        <f>AE877+AR877-AN877-AT877-AU877-AV877</f>
        <v/>
      </c>
      <c r="AX877" s="29">
        <f>LoadPremRate*E877*N877+AK877+AQ877-AU877-AT877</f>
        <v/>
      </c>
      <c r="AY877" s="34">
        <f>AP877-AO877</f>
        <v/>
      </c>
      <c r="AZ877" s="37">
        <f>(AW877-AX877-AY877)/MAX(1,ABS(AW877),ABS(AX877),ABS(AY877))</f>
        <v/>
      </c>
      <c r="BA877" s="37">
        <f>IF(OR(K877&gt;0,K878&gt;0),0,(AC878-(AC877+AF877-AQ877-AP877+AR877-AI877-AJ877-AM877))/MAX(1,ABS(AC877),ABS(AC878)))</f>
        <v/>
      </c>
      <c r="BB877" s="35">
        <f>(1+INDEX(DiscRateAnn,INT(A877/12)+1))^(1/12)-1</f>
        <v/>
      </c>
      <c r="BC877" s="31">
        <f>(1+BB877)^-A877</f>
        <v/>
      </c>
      <c r="BD877" s="34">
        <f>AW877*BC877</f>
        <v/>
      </c>
    </row>
    <row r="878">
      <c r="A878" s="27">
        <f>A877+1</f>
        <v/>
      </c>
      <c r="B878" s="28">
        <f>Duration0+A878</f>
        <v/>
      </c>
      <c r="C878" s="27">
        <f>INT(B878/12)</f>
        <v/>
      </c>
      <c r="D878" s="28">
        <f>AgeAtEntry+C878</f>
        <v/>
      </c>
      <c r="E878" s="29">
        <f>IF(PremiumType="SINGLE",IF(B878=0,PremiumPPInput,0),IF(B878&lt;12*PolicyTerm,PremiumPPInput,0))</f>
        <v/>
      </c>
      <c r="F878" s="30">
        <f>INDEX(MortRates,MATCH(MIN(D878,120),MortAges,0),MAX(MIN(C878,5),0)+1)</f>
        <v/>
      </c>
      <c r="G878" s="31">
        <f>1-(1-F878)^(1/12)</f>
        <v/>
      </c>
      <c r="H878" s="32">
        <f>MAX(LapseBase-LapseStep*C878,LapseFloor)</f>
        <v/>
      </c>
      <c r="I878" s="32">
        <f>IF(HasSurrCharge,INDEX(SurrRates,MIN(C878,SurrDurMax)+1,MATCH(SurrChargeID,SurrTypes,0)),0)</f>
        <v/>
      </c>
      <c r="J878" s="33">
        <f>N877-P877-O877</f>
        <v/>
      </c>
      <c r="K878" s="30">
        <f>IF(B878=12*PolicyTerm,J878,0)</f>
        <v/>
      </c>
      <c r="L878" s="33">
        <f>J878-K878</f>
        <v/>
      </c>
      <c r="M878" s="30">
        <f>IF(B878=0,PolicyCount,0)</f>
        <v/>
      </c>
      <c r="N878" s="33">
        <f>L878+M878</f>
        <v/>
      </c>
      <c r="O878" s="31">
        <f>N878*G878</f>
        <v/>
      </c>
      <c r="P878" s="33">
        <f>(N878-O878)*(1-(1-H878)^(1/12))</f>
        <v/>
      </c>
      <c r="Q878" s="34">
        <f>X877+Z877</f>
        <v/>
      </c>
      <c r="R878" s="29">
        <f>(1-LoadPremRate)*E878</f>
        <v/>
      </c>
      <c r="S878" s="34">
        <f>Q878+R878</f>
        <v/>
      </c>
      <c r="T878" s="29">
        <f>MaintFeeRateAnn/12*S878</f>
        <v/>
      </c>
      <c r="U878" s="29">
        <f>MAX(SumAssured-S878,0)</f>
        <v/>
      </c>
      <c r="V878" s="35">
        <f>CoiMultiple*G878</f>
        <v/>
      </c>
      <c r="W878" s="34">
        <f>V878*U878</f>
        <v/>
      </c>
      <c r="X878" s="34">
        <f>S878-T878-W878</f>
        <v/>
      </c>
      <c r="Y878" s="36">
        <f>EXP((Mu-0.5*Sigma^2)/12+Sigma*SQRT(1/12)*INDEX(NormRand,ScenID,A878+1))-1</f>
        <v/>
      </c>
      <c r="Z878" s="34">
        <f>Y878*X878</f>
        <v/>
      </c>
      <c r="AA878" s="34">
        <f>X878+0.5*Z878</f>
        <v/>
      </c>
      <c r="AB878" s="34">
        <f>Q878*J878</f>
        <v/>
      </c>
      <c r="AC878" s="34">
        <f>Q878*L878</f>
        <v/>
      </c>
      <c r="AD878" s="34">
        <f>S878*N878</f>
        <v/>
      </c>
      <c r="AE878" s="34">
        <f>E878*N878</f>
        <v/>
      </c>
      <c r="AF878" s="34">
        <f>R878*N878</f>
        <v/>
      </c>
      <c r="AG878" s="29">
        <f>MAX(SumAssured,AA878)</f>
        <v/>
      </c>
      <c r="AH878" s="34">
        <f>AG878*O878</f>
        <v/>
      </c>
      <c r="AI878" s="34">
        <f>AA878*O878</f>
        <v/>
      </c>
      <c r="AJ878" s="34">
        <f>AA878*P878</f>
        <v/>
      </c>
      <c r="AK878" s="34">
        <f>I878*AA878*P878</f>
        <v/>
      </c>
      <c r="AL878" s="34">
        <f>AJ878-AK878</f>
        <v/>
      </c>
      <c r="AM878" s="34">
        <f>Q878*K878</f>
        <v/>
      </c>
      <c r="AN878" s="34">
        <f>AH878+AL878+AM878</f>
        <v/>
      </c>
      <c r="AO878" s="34">
        <f>(AG878-AA878)*O878</f>
        <v/>
      </c>
      <c r="AP878" s="34">
        <f>W878*N878</f>
        <v/>
      </c>
      <c r="AQ878" s="34">
        <f>T878*N878</f>
        <v/>
      </c>
      <c r="AR878" s="34">
        <f>Z878*J879+0.5*Z878*(O878+P878)</f>
        <v/>
      </c>
      <c r="AS878" s="30">
        <f>(1+InflationRate)^(A878/12)</f>
        <v/>
      </c>
      <c r="AT878" s="29">
        <f>ExpenseAcq*M878+N878*ExpenseMaint/12*AS878</f>
        <v/>
      </c>
      <c r="AU878" s="29">
        <f>CommissionRate*AE878</f>
        <v/>
      </c>
      <c r="AV878" s="34">
        <f>AB879-AB878</f>
        <v/>
      </c>
      <c r="AW878" s="34">
        <f>AE878+AR878-AN878-AT878-AU878-AV878</f>
        <v/>
      </c>
      <c r="AX878" s="29">
        <f>LoadPremRate*E878*N878+AK878+AQ878-AU878-AT878</f>
        <v/>
      </c>
      <c r="AY878" s="34">
        <f>AP878-AO878</f>
        <v/>
      </c>
      <c r="AZ878" s="37">
        <f>(AW878-AX878-AY878)/MAX(1,ABS(AW878),ABS(AX878),ABS(AY878))</f>
        <v/>
      </c>
      <c r="BA878" s="37">
        <f>IF(OR(K878&gt;0,K879&gt;0),0,(AC879-(AC878+AF878-AQ878-AP878+AR878-AI878-AJ878-AM878))/MAX(1,ABS(AC878),ABS(AC879)))</f>
        <v/>
      </c>
      <c r="BB878" s="35">
        <f>(1+INDEX(DiscRateAnn,INT(A878/12)+1))^(1/12)-1</f>
        <v/>
      </c>
      <c r="BC878" s="31">
        <f>(1+BB878)^-A878</f>
        <v/>
      </c>
      <c r="BD878" s="34">
        <f>AW878*BC878</f>
        <v/>
      </c>
    </row>
    <row r="879">
      <c r="A879" s="27">
        <f>A878+1</f>
        <v/>
      </c>
      <c r="B879" s="28">
        <f>Duration0+A879</f>
        <v/>
      </c>
      <c r="C879" s="27">
        <f>INT(B879/12)</f>
        <v/>
      </c>
      <c r="D879" s="28">
        <f>AgeAtEntry+C879</f>
        <v/>
      </c>
      <c r="E879" s="29">
        <f>IF(PremiumType="SINGLE",IF(B879=0,PremiumPPInput,0),IF(B879&lt;12*PolicyTerm,PremiumPPInput,0))</f>
        <v/>
      </c>
      <c r="F879" s="30">
        <f>INDEX(MortRates,MATCH(MIN(D879,120),MortAges,0),MAX(MIN(C879,5),0)+1)</f>
        <v/>
      </c>
      <c r="G879" s="31">
        <f>1-(1-F879)^(1/12)</f>
        <v/>
      </c>
      <c r="H879" s="32">
        <f>MAX(LapseBase-LapseStep*C879,LapseFloor)</f>
        <v/>
      </c>
      <c r="I879" s="32">
        <f>IF(HasSurrCharge,INDEX(SurrRates,MIN(C879,SurrDurMax)+1,MATCH(SurrChargeID,SurrTypes,0)),0)</f>
        <v/>
      </c>
      <c r="J879" s="33">
        <f>N878-P878-O878</f>
        <v/>
      </c>
      <c r="K879" s="30">
        <f>IF(B879=12*PolicyTerm,J879,0)</f>
        <v/>
      </c>
      <c r="L879" s="33">
        <f>J879-K879</f>
        <v/>
      </c>
      <c r="M879" s="30">
        <f>IF(B879=0,PolicyCount,0)</f>
        <v/>
      </c>
      <c r="N879" s="33">
        <f>L879+M879</f>
        <v/>
      </c>
      <c r="O879" s="31">
        <f>N879*G879</f>
        <v/>
      </c>
      <c r="P879" s="33">
        <f>(N879-O879)*(1-(1-H879)^(1/12))</f>
        <v/>
      </c>
      <c r="Q879" s="34">
        <f>X878+Z878</f>
        <v/>
      </c>
      <c r="R879" s="29">
        <f>(1-LoadPremRate)*E879</f>
        <v/>
      </c>
      <c r="S879" s="34">
        <f>Q879+R879</f>
        <v/>
      </c>
      <c r="T879" s="29">
        <f>MaintFeeRateAnn/12*S879</f>
        <v/>
      </c>
      <c r="U879" s="29">
        <f>MAX(SumAssured-S879,0)</f>
        <v/>
      </c>
      <c r="V879" s="35">
        <f>CoiMultiple*G879</f>
        <v/>
      </c>
      <c r="W879" s="34">
        <f>V879*U879</f>
        <v/>
      </c>
      <c r="X879" s="34">
        <f>S879-T879-W879</f>
        <v/>
      </c>
      <c r="Y879" s="36">
        <f>EXP((Mu-0.5*Sigma^2)/12+Sigma*SQRT(1/12)*INDEX(NormRand,ScenID,A879+1))-1</f>
        <v/>
      </c>
      <c r="Z879" s="34">
        <f>Y879*X879</f>
        <v/>
      </c>
      <c r="AA879" s="34">
        <f>X879+0.5*Z879</f>
        <v/>
      </c>
      <c r="AB879" s="34">
        <f>Q879*J879</f>
        <v/>
      </c>
      <c r="AC879" s="34">
        <f>Q879*L879</f>
        <v/>
      </c>
      <c r="AD879" s="34">
        <f>S879*N879</f>
        <v/>
      </c>
      <c r="AE879" s="34">
        <f>E879*N879</f>
        <v/>
      </c>
      <c r="AF879" s="34">
        <f>R879*N879</f>
        <v/>
      </c>
      <c r="AG879" s="29">
        <f>MAX(SumAssured,AA879)</f>
        <v/>
      </c>
      <c r="AH879" s="34">
        <f>AG879*O879</f>
        <v/>
      </c>
      <c r="AI879" s="34">
        <f>AA879*O879</f>
        <v/>
      </c>
      <c r="AJ879" s="34">
        <f>AA879*P879</f>
        <v/>
      </c>
      <c r="AK879" s="34">
        <f>I879*AA879*P879</f>
        <v/>
      </c>
      <c r="AL879" s="34">
        <f>AJ879-AK879</f>
        <v/>
      </c>
      <c r="AM879" s="34">
        <f>Q879*K879</f>
        <v/>
      </c>
      <c r="AN879" s="34">
        <f>AH879+AL879+AM879</f>
        <v/>
      </c>
      <c r="AO879" s="34">
        <f>(AG879-AA879)*O879</f>
        <v/>
      </c>
      <c r="AP879" s="34">
        <f>W879*N879</f>
        <v/>
      </c>
      <c r="AQ879" s="34">
        <f>T879*N879</f>
        <v/>
      </c>
      <c r="AR879" s="34">
        <f>Z879*J880+0.5*Z879*(O879+P879)</f>
        <v/>
      </c>
      <c r="AS879" s="30">
        <f>(1+InflationRate)^(A879/12)</f>
        <v/>
      </c>
      <c r="AT879" s="29">
        <f>ExpenseAcq*M879+N879*ExpenseMaint/12*AS879</f>
        <v/>
      </c>
      <c r="AU879" s="29">
        <f>CommissionRate*AE879</f>
        <v/>
      </c>
      <c r="AV879" s="34">
        <f>AB880-AB879</f>
        <v/>
      </c>
      <c r="AW879" s="34">
        <f>AE879+AR879-AN879-AT879-AU879-AV879</f>
        <v/>
      </c>
      <c r="AX879" s="29">
        <f>LoadPremRate*E879*N879+AK879+AQ879-AU879-AT879</f>
        <v/>
      </c>
      <c r="AY879" s="34">
        <f>AP879-AO879</f>
        <v/>
      </c>
      <c r="AZ879" s="37">
        <f>(AW879-AX879-AY879)/MAX(1,ABS(AW879),ABS(AX879),ABS(AY879))</f>
        <v/>
      </c>
      <c r="BA879" s="37">
        <f>IF(OR(K879&gt;0,K880&gt;0),0,(AC880-(AC879+AF879-AQ879-AP879+AR879-AI879-AJ879-AM879))/MAX(1,ABS(AC879),ABS(AC880)))</f>
        <v/>
      </c>
      <c r="BB879" s="35">
        <f>(1+INDEX(DiscRateAnn,INT(A879/12)+1))^(1/12)-1</f>
        <v/>
      </c>
      <c r="BC879" s="31">
        <f>(1+BB879)^-A879</f>
        <v/>
      </c>
      <c r="BD879" s="34">
        <f>AW879*BC879</f>
        <v/>
      </c>
    </row>
    <row r="880">
      <c r="A880" s="27">
        <f>A879+1</f>
        <v/>
      </c>
      <c r="B880" s="28">
        <f>Duration0+A880</f>
        <v/>
      </c>
      <c r="C880" s="27">
        <f>INT(B880/12)</f>
        <v/>
      </c>
      <c r="D880" s="28">
        <f>AgeAtEntry+C880</f>
        <v/>
      </c>
      <c r="E880" s="29">
        <f>IF(PremiumType="SINGLE",IF(B880=0,PremiumPPInput,0),IF(B880&lt;12*PolicyTerm,PremiumPPInput,0))</f>
        <v/>
      </c>
      <c r="F880" s="30">
        <f>INDEX(MortRates,MATCH(MIN(D880,120),MortAges,0),MAX(MIN(C880,5),0)+1)</f>
        <v/>
      </c>
      <c r="G880" s="31">
        <f>1-(1-F880)^(1/12)</f>
        <v/>
      </c>
      <c r="H880" s="32">
        <f>MAX(LapseBase-LapseStep*C880,LapseFloor)</f>
        <v/>
      </c>
      <c r="I880" s="32">
        <f>IF(HasSurrCharge,INDEX(SurrRates,MIN(C880,SurrDurMax)+1,MATCH(SurrChargeID,SurrTypes,0)),0)</f>
        <v/>
      </c>
      <c r="J880" s="33">
        <f>N879-P879-O879</f>
        <v/>
      </c>
      <c r="K880" s="30">
        <f>IF(B880=12*PolicyTerm,J880,0)</f>
        <v/>
      </c>
      <c r="L880" s="33">
        <f>J880-K880</f>
        <v/>
      </c>
      <c r="M880" s="30">
        <f>IF(B880=0,PolicyCount,0)</f>
        <v/>
      </c>
      <c r="N880" s="33">
        <f>L880+M880</f>
        <v/>
      </c>
      <c r="O880" s="31">
        <f>N880*G880</f>
        <v/>
      </c>
      <c r="P880" s="33">
        <f>(N880-O880)*(1-(1-H880)^(1/12))</f>
        <v/>
      </c>
      <c r="Q880" s="34">
        <f>X879+Z879</f>
        <v/>
      </c>
      <c r="R880" s="29">
        <f>(1-LoadPremRate)*E880</f>
        <v/>
      </c>
      <c r="S880" s="34">
        <f>Q880+R880</f>
        <v/>
      </c>
      <c r="T880" s="29">
        <f>MaintFeeRateAnn/12*S880</f>
        <v/>
      </c>
      <c r="U880" s="29">
        <f>MAX(SumAssured-S880,0)</f>
        <v/>
      </c>
      <c r="V880" s="35">
        <f>CoiMultiple*G880</f>
        <v/>
      </c>
      <c r="W880" s="34">
        <f>V880*U880</f>
        <v/>
      </c>
      <c r="X880" s="34">
        <f>S880-T880-W880</f>
        <v/>
      </c>
      <c r="Y880" s="36">
        <f>EXP((Mu-0.5*Sigma^2)/12+Sigma*SQRT(1/12)*INDEX(NormRand,ScenID,A880+1))-1</f>
        <v/>
      </c>
      <c r="Z880" s="34">
        <f>Y880*X880</f>
        <v/>
      </c>
      <c r="AA880" s="34">
        <f>X880+0.5*Z880</f>
        <v/>
      </c>
      <c r="AB880" s="34">
        <f>Q880*J880</f>
        <v/>
      </c>
      <c r="AC880" s="34">
        <f>Q880*L880</f>
        <v/>
      </c>
      <c r="AD880" s="34">
        <f>S880*N880</f>
        <v/>
      </c>
      <c r="AE880" s="34">
        <f>E880*N880</f>
        <v/>
      </c>
      <c r="AF880" s="34">
        <f>R880*N880</f>
        <v/>
      </c>
      <c r="AG880" s="29">
        <f>MAX(SumAssured,AA880)</f>
        <v/>
      </c>
      <c r="AH880" s="34">
        <f>AG880*O880</f>
        <v/>
      </c>
      <c r="AI880" s="34">
        <f>AA880*O880</f>
        <v/>
      </c>
      <c r="AJ880" s="34">
        <f>AA880*P880</f>
        <v/>
      </c>
      <c r="AK880" s="34">
        <f>I880*AA880*P880</f>
        <v/>
      </c>
      <c r="AL880" s="34">
        <f>AJ880-AK880</f>
        <v/>
      </c>
      <c r="AM880" s="34">
        <f>Q880*K880</f>
        <v/>
      </c>
      <c r="AN880" s="34">
        <f>AH880+AL880+AM880</f>
        <v/>
      </c>
      <c r="AO880" s="34">
        <f>(AG880-AA880)*O880</f>
        <v/>
      </c>
      <c r="AP880" s="34">
        <f>W880*N880</f>
        <v/>
      </c>
      <c r="AQ880" s="34">
        <f>T880*N880</f>
        <v/>
      </c>
      <c r="AR880" s="34">
        <f>Z880*J881+0.5*Z880*(O880+P880)</f>
        <v/>
      </c>
      <c r="AS880" s="30">
        <f>(1+InflationRate)^(A880/12)</f>
        <v/>
      </c>
      <c r="AT880" s="29">
        <f>ExpenseAcq*M880+N880*ExpenseMaint/12*AS880</f>
        <v/>
      </c>
      <c r="AU880" s="29">
        <f>CommissionRate*AE880</f>
        <v/>
      </c>
      <c r="AV880" s="34">
        <f>AB881-AB880</f>
        <v/>
      </c>
      <c r="AW880" s="34">
        <f>AE880+AR880-AN880-AT880-AU880-AV880</f>
        <v/>
      </c>
      <c r="AX880" s="29">
        <f>LoadPremRate*E880*N880+AK880+AQ880-AU880-AT880</f>
        <v/>
      </c>
      <c r="AY880" s="34">
        <f>AP880-AO880</f>
        <v/>
      </c>
      <c r="AZ880" s="37">
        <f>(AW880-AX880-AY880)/MAX(1,ABS(AW880),ABS(AX880),ABS(AY880))</f>
        <v/>
      </c>
      <c r="BA880" s="37">
        <f>IF(OR(K880&gt;0,K881&gt;0),0,(AC881-(AC880+AF880-AQ880-AP880+AR880-AI880-AJ880-AM880))/MAX(1,ABS(AC880),ABS(AC881)))</f>
        <v/>
      </c>
      <c r="BB880" s="35">
        <f>(1+INDEX(DiscRateAnn,INT(A880/12)+1))^(1/12)-1</f>
        <v/>
      </c>
      <c r="BC880" s="31">
        <f>(1+BB880)^-A880</f>
        <v/>
      </c>
      <c r="BD880" s="34">
        <f>AW880*BC880</f>
        <v/>
      </c>
    </row>
    <row r="881">
      <c r="A881" s="27">
        <f>A880+1</f>
        <v/>
      </c>
      <c r="B881" s="28">
        <f>Duration0+A881</f>
        <v/>
      </c>
      <c r="C881" s="27">
        <f>INT(B881/12)</f>
        <v/>
      </c>
      <c r="D881" s="28">
        <f>AgeAtEntry+C881</f>
        <v/>
      </c>
      <c r="E881" s="29">
        <f>IF(PremiumType="SINGLE",IF(B881=0,PremiumPPInput,0),IF(B881&lt;12*PolicyTerm,PremiumPPInput,0))</f>
        <v/>
      </c>
      <c r="F881" s="30">
        <f>INDEX(MortRates,MATCH(MIN(D881,120),MortAges,0),MAX(MIN(C881,5),0)+1)</f>
        <v/>
      </c>
      <c r="G881" s="31">
        <f>1-(1-F881)^(1/12)</f>
        <v/>
      </c>
      <c r="H881" s="32">
        <f>MAX(LapseBase-LapseStep*C881,LapseFloor)</f>
        <v/>
      </c>
      <c r="I881" s="32">
        <f>IF(HasSurrCharge,INDEX(SurrRates,MIN(C881,SurrDurMax)+1,MATCH(SurrChargeID,SurrTypes,0)),0)</f>
        <v/>
      </c>
      <c r="J881" s="33">
        <f>N880-P880-O880</f>
        <v/>
      </c>
      <c r="K881" s="30">
        <f>IF(B881=12*PolicyTerm,J881,0)</f>
        <v/>
      </c>
      <c r="L881" s="33">
        <f>J881-K881</f>
        <v/>
      </c>
      <c r="M881" s="30">
        <f>IF(B881=0,PolicyCount,0)</f>
        <v/>
      </c>
      <c r="N881" s="33">
        <f>L881+M881</f>
        <v/>
      </c>
      <c r="O881" s="31">
        <f>N881*G881</f>
        <v/>
      </c>
      <c r="P881" s="33">
        <f>(N881-O881)*(1-(1-H881)^(1/12))</f>
        <v/>
      </c>
      <c r="Q881" s="34">
        <f>X880+Z880</f>
        <v/>
      </c>
      <c r="R881" s="29">
        <f>(1-LoadPremRate)*E881</f>
        <v/>
      </c>
      <c r="S881" s="34">
        <f>Q881+R881</f>
        <v/>
      </c>
      <c r="T881" s="29">
        <f>MaintFeeRateAnn/12*S881</f>
        <v/>
      </c>
      <c r="U881" s="29">
        <f>MAX(SumAssured-S881,0)</f>
        <v/>
      </c>
      <c r="V881" s="35">
        <f>CoiMultiple*G881</f>
        <v/>
      </c>
      <c r="W881" s="34">
        <f>V881*U881</f>
        <v/>
      </c>
      <c r="X881" s="34">
        <f>S881-T881-W881</f>
        <v/>
      </c>
      <c r="Y881" s="36">
        <f>EXP((Mu-0.5*Sigma^2)/12+Sigma*SQRT(1/12)*INDEX(NormRand,ScenID,A881+1))-1</f>
        <v/>
      </c>
      <c r="Z881" s="34">
        <f>Y881*X881</f>
        <v/>
      </c>
      <c r="AA881" s="34">
        <f>X881+0.5*Z881</f>
        <v/>
      </c>
      <c r="AB881" s="34">
        <f>Q881*J881</f>
        <v/>
      </c>
      <c r="AC881" s="34">
        <f>Q881*L881</f>
        <v/>
      </c>
      <c r="AD881" s="34">
        <f>S881*N881</f>
        <v/>
      </c>
      <c r="AE881" s="34">
        <f>E881*N881</f>
        <v/>
      </c>
      <c r="AF881" s="34">
        <f>R881*N881</f>
        <v/>
      </c>
      <c r="AG881" s="29">
        <f>MAX(SumAssured,AA881)</f>
        <v/>
      </c>
      <c r="AH881" s="34">
        <f>AG881*O881</f>
        <v/>
      </c>
      <c r="AI881" s="34">
        <f>AA881*O881</f>
        <v/>
      </c>
      <c r="AJ881" s="34">
        <f>AA881*P881</f>
        <v/>
      </c>
      <c r="AK881" s="34">
        <f>I881*AA881*P881</f>
        <v/>
      </c>
      <c r="AL881" s="34">
        <f>AJ881-AK881</f>
        <v/>
      </c>
      <c r="AM881" s="34">
        <f>Q881*K881</f>
        <v/>
      </c>
      <c r="AN881" s="34">
        <f>AH881+AL881+AM881</f>
        <v/>
      </c>
      <c r="AO881" s="34">
        <f>(AG881-AA881)*O881</f>
        <v/>
      </c>
      <c r="AP881" s="34">
        <f>W881*N881</f>
        <v/>
      </c>
      <c r="AQ881" s="34">
        <f>T881*N881</f>
        <v/>
      </c>
      <c r="AR881" s="34">
        <f>Z881*J882+0.5*Z881*(O881+P881)</f>
        <v/>
      </c>
      <c r="AS881" s="30">
        <f>(1+InflationRate)^(A881/12)</f>
        <v/>
      </c>
      <c r="AT881" s="29">
        <f>ExpenseAcq*M881+N881*ExpenseMaint/12*AS881</f>
        <v/>
      </c>
      <c r="AU881" s="29">
        <f>CommissionRate*AE881</f>
        <v/>
      </c>
      <c r="AV881" s="34">
        <f>AB882-AB881</f>
        <v/>
      </c>
      <c r="AW881" s="34">
        <f>AE881+AR881-AN881-AT881-AU881-AV881</f>
        <v/>
      </c>
      <c r="AX881" s="29">
        <f>LoadPremRate*E881*N881+AK881+AQ881-AU881-AT881</f>
        <v/>
      </c>
      <c r="AY881" s="34">
        <f>AP881-AO881</f>
        <v/>
      </c>
      <c r="AZ881" s="37">
        <f>(AW881-AX881-AY881)/MAX(1,ABS(AW881),ABS(AX881),ABS(AY881))</f>
        <v/>
      </c>
      <c r="BA881" s="37">
        <f>IF(OR(K881&gt;0,K882&gt;0),0,(AC882-(AC881+AF881-AQ881-AP881+AR881-AI881-AJ881-AM881))/MAX(1,ABS(AC881),ABS(AC882)))</f>
        <v/>
      </c>
      <c r="BB881" s="35">
        <f>(1+INDEX(DiscRateAnn,INT(A881/12)+1))^(1/12)-1</f>
        <v/>
      </c>
      <c r="BC881" s="31">
        <f>(1+BB881)^-A881</f>
        <v/>
      </c>
      <c r="BD881" s="34">
        <f>AW881*BC881</f>
        <v/>
      </c>
    </row>
    <row r="882">
      <c r="A882" s="27">
        <f>A881+1</f>
        <v/>
      </c>
      <c r="B882" s="28">
        <f>Duration0+A882</f>
        <v/>
      </c>
      <c r="C882" s="27">
        <f>INT(B882/12)</f>
        <v/>
      </c>
      <c r="D882" s="28">
        <f>AgeAtEntry+C882</f>
        <v/>
      </c>
      <c r="E882" s="29">
        <f>IF(PremiumType="SINGLE",IF(B882=0,PremiumPPInput,0),IF(B882&lt;12*PolicyTerm,PremiumPPInput,0))</f>
        <v/>
      </c>
      <c r="F882" s="30">
        <f>INDEX(MortRates,MATCH(MIN(D882,120),MortAges,0),MAX(MIN(C882,5),0)+1)</f>
        <v/>
      </c>
      <c r="G882" s="31">
        <f>1-(1-F882)^(1/12)</f>
        <v/>
      </c>
      <c r="H882" s="32">
        <f>MAX(LapseBase-LapseStep*C882,LapseFloor)</f>
        <v/>
      </c>
      <c r="I882" s="32">
        <f>IF(HasSurrCharge,INDEX(SurrRates,MIN(C882,SurrDurMax)+1,MATCH(SurrChargeID,SurrTypes,0)),0)</f>
        <v/>
      </c>
      <c r="J882" s="33">
        <f>N881-P881-O881</f>
        <v/>
      </c>
      <c r="K882" s="30">
        <f>IF(B882=12*PolicyTerm,J882,0)</f>
        <v/>
      </c>
      <c r="L882" s="33">
        <f>J882-K882</f>
        <v/>
      </c>
      <c r="M882" s="30">
        <f>IF(B882=0,PolicyCount,0)</f>
        <v/>
      </c>
      <c r="N882" s="33">
        <f>L882+M882</f>
        <v/>
      </c>
      <c r="O882" s="31">
        <f>N882*G882</f>
        <v/>
      </c>
      <c r="P882" s="33">
        <f>(N882-O882)*(1-(1-H882)^(1/12))</f>
        <v/>
      </c>
      <c r="Q882" s="34">
        <f>X881+Z881</f>
        <v/>
      </c>
      <c r="R882" s="29">
        <f>(1-LoadPremRate)*E882</f>
        <v/>
      </c>
      <c r="S882" s="34">
        <f>Q882+R882</f>
        <v/>
      </c>
      <c r="T882" s="29">
        <f>MaintFeeRateAnn/12*S882</f>
        <v/>
      </c>
      <c r="U882" s="29">
        <f>MAX(SumAssured-S882,0)</f>
        <v/>
      </c>
      <c r="V882" s="35">
        <f>CoiMultiple*G882</f>
        <v/>
      </c>
      <c r="W882" s="34">
        <f>V882*U882</f>
        <v/>
      </c>
      <c r="X882" s="34">
        <f>S882-T882-W882</f>
        <v/>
      </c>
      <c r="Y882" s="36">
        <f>EXP((Mu-0.5*Sigma^2)/12+Sigma*SQRT(1/12)*INDEX(NormRand,ScenID,A882+1))-1</f>
        <v/>
      </c>
      <c r="Z882" s="34">
        <f>Y882*X882</f>
        <v/>
      </c>
      <c r="AA882" s="34">
        <f>X882+0.5*Z882</f>
        <v/>
      </c>
      <c r="AB882" s="34">
        <f>Q882*J882</f>
        <v/>
      </c>
      <c r="AC882" s="34">
        <f>Q882*L882</f>
        <v/>
      </c>
      <c r="AD882" s="34">
        <f>S882*N882</f>
        <v/>
      </c>
      <c r="AE882" s="34">
        <f>E882*N882</f>
        <v/>
      </c>
      <c r="AF882" s="34">
        <f>R882*N882</f>
        <v/>
      </c>
      <c r="AG882" s="29">
        <f>MAX(SumAssured,AA882)</f>
        <v/>
      </c>
      <c r="AH882" s="34">
        <f>AG882*O882</f>
        <v/>
      </c>
      <c r="AI882" s="34">
        <f>AA882*O882</f>
        <v/>
      </c>
      <c r="AJ882" s="34">
        <f>AA882*P882</f>
        <v/>
      </c>
      <c r="AK882" s="34">
        <f>I882*AA882*P882</f>
        <v/>
      </c>
      <c r="AL882" s="34">
        <f>AJ882-AK882</f>
        <v/>
      </c>
      <c r="AM882" s="34">
        <f>Q882*K882</f>
        <v/>
      </c>
      <c r="AN882" s="34">
        <f>AH882+AL882+AM882</f>
        <v/>
      </c>
      <c r="AO882" s="34">
        <f>(AG882-AA882)*O882</f>
        <v/>
      </c>
      <c r="AP882" s="34">
        <f>W882*N882</f>
        <v/>
      </c>
      <c r="AQ882" s="34">
        <f>T882*N882</f>
        <v/>
      </c>
      <c r="AR882" s="34">
        <f>Z882*J883+0.5*Z882*(O882+P882)</f>
        <v/>
      </c>
      <c r="AS882" s="30">
        <f>(1+InflationRate)^(A882/12)</f>
        <v/>
      </c>
      <c r="AT882" s="29">
        <f>ExpenseAcq*M882+N882*ExpenseMaint/12*AS882</f>
        <v/>
      </c>
      <c r="AU882" s="29">
        <f>CommissionRate*AE882</f>
        <v/>
      </c>
      <c r="AV882" s="34">
        <f>AB883-AB882</f>
        <v/>
      </c>
      <c r="AW882" s="34">
        <f>AE882+AR882-AN882-AT882-AU882-AV882</f>
        <v/>
      </c>
      <c r="AX882" s="29">
        <f>LoadPremRate*E882*N882+AK882+AQ882-AU882-AT882</f>
        <v/>
      </c>
      <c r="AY882" s="34">
        <f>AP882-AO882</f>
        <v/>
      </c>
      <c r="AZ882" s="37">
        <f>(AW882-AX882-AY882)/MAX(1,ABS(AW882),ABS(AX882),ABS(AY882))</f>
        <v/>
      </c>
      <c r="BA882" s="37">
        <f>IF(OR(K882&gt;0,K883&gt;0),0,(AC883-(AC882+AF882-AQ882-AP882+AR882-AI882-AJ882-AM882))/MAX(1,ABS(AC882),ABS(AC883)))</f>
        <v/>
      </c>
      <c r="BB882" s="35">
        <f>(1+INDEX(DiscRateAnn,INT(A882/12)+1))^(1/12)-1</f>
        <v/>
      </c>
      <c r="BC882" s="31">
        <f>(1+BB882)^-A882</f>
        <v/>
      </c>
      <c r="BD882" s="34">
        <f>AW882*BC882</f>
        <v/>
      </c>
    </row>
    <row r="883">
      <c r="A883" s="27">
        <f>A882+1</f>
        <v/>
      </c>
      <c r="B883" s="28">
        <f>Duration0+A883</f>
        <v/>
      </c>
      <c r="C883" s="27">
        <f>INT(B883/12)</f>
        <v/>
      </c>
      <c r="D883" s="28">
        <f>AgeAtEntry+C883</f>
        <v/>
      </c>
      <c r="E883" s="29">
        <f>IF(PremiumType="SINGLE",IF(B883=0,PremiumPPInput,0),IF(B883&lt;12*PolicyTerm,PremiumPPInput,0))</f>
        <v/>
      </c>
      <c r="F883" s="30">
        <f>INDEX(MortRates,MATCH(MIN(D883,120),MortAges,0),MAX(MIN(C883,5),0)+1)</f>
        <v/>
      </c>
      <c r="G883" s="31">
        <f>1-(1-F883)^(1/12)</f>
        <v/>
      </c>
      <c r="H883" s="32">
        <f>MAX(LapseBase-LapseStep*C883,LapseFloor)</f>
        <v/>
      </c>
      <c r="I883" s="32">
        <f>IF(HasSurrCharge,INDEX(SurrRates,MIN(C883,SurrDurMax)+1,MATCH(SurrChargeID,SurrTypes,0)),0)</f>
        <v/>
      </c>
      <c r="J883" s="33">
        <f>N882-P882-O882</f>
        <v/>
      </c>
      <c r="K883" s="30">
        <f>IF(B883=12*PolicyTerm,J883,0)</f>
        <v/>
      </c>
      <c r="L883" s="33">
        <f>J883-K883</f>
        <v/>
      </c>
      <c r="M883" s="30">
        <f>IF(B883=0,PolicyCount,0)</f>
        <v/>
      </c>
      <c r="N883" s="33">
        <f>L883+M883</f>
        <v/>
      </c>
      <c r="O883" s="31">
        <f>N883*G883</f>
        <v/>
      </c>
      <c r="P883" s="33">
        <f>(N883-O883)*(1-(1-H883)^(1/12))</f>
        <v/>
      </c>
      <c r="Q883" s="34">
        <f>X882+Z882</f>
        <v/>
      </c>
      <c r="R883" s="29">
        <f>(1-LoadPremRate)*E883</f>
        <v/>
      </c>
      <c r="S883" s="34">
        <f>Q883+R883</f>
        <v/>
      </c>
      <c r="T883" s="29">
        <f>MaintFeeRateAnn/12*S883</f>
        <v/>
      </c>
      <c r="U883" s="29">
        <f>MAX(SumAssured-S883,0)</f>
        <v/>
      </c>
      <c r="V883" s="35">
        <f>CoiMultiple*G883</f>
        <v/>
      </c>
      <c r="W883" s="34">
        <f>V883*U883</f>
        <v/>
      </c>
      <c r="X883" s="34">
        <f>S883-T883-W883</f>
        <v/>
      </c>
      <c r="Y883" s="36">
        <f>EXP((Mu-0.5*Sigma^2)/12+Sigma*SQRT(1/12)*INDEX(NormRand,ScenID,A883+1))-1</f>
        <v/>
      </c>
      <c r="Z883" s="34">
        <f>Y883*X883</f>
        <v/>
      </c>
      <c r="AA883" s="34">
        <f>X883+0.5*Z883</f>
        <v/>
      </c>
      <c r="AB883" s="34">
        <f>Q883*J883</f>
        <v/>
      </c>
      <c r="AC883" s="34">
        <f>Q883*L883</f>
        <v/>
      </c>
      <c r="AD883" s="34">
        <f>S883*N883</f>
        <v/>
      </c>
      <c r="AE883" s="34">
        <f>E883*N883</f>
        <v/>
      </c>
      <c r="AF883" s="34">
        <f>R883*N883</f>
        <v/>
      </c>
      <c r="AG883" s="29">
        <f>MAX(SumAssured,AA883)</f>
        <v/>
      </c>
      <c r="AH883" s="34">
        <f>AG883*O883</f>
        <v/>
      </c>
      <c r="AI883" s="34">
        <f>AA883*O883</f>
        <v/>
      </c>
      <c r="AJ883" s="34">
        <f>AA883*P883</f>
        <v/>
      </c>
      <c r="AK883" s="34">
        <f>I883*AA883*P883</f>
        <v/>
      </c>
      <c r="AL883" s="34">
        <f>AJ883-AK883</f>
        <v/>
      </c>
      <c r="AM883" s="34">
        <f>Q883*K883</f>
        <v/>
      </c>
      <c r="AN883" s="34">
        <f>AH883+AL883+AM883</f>
        <v/>
      </c>
      <c r="AO883" s="34">
        <f>(AG883-AA883)*O883</f>
        <v/>
      </c>
      <c r="AP883" s="34">
        <f>W883*N883</f>
        <v/>
      </c>
      <c r="AQ883" s="34">
        <f>T883*N883</f>
        <v/>
      </c>
      <c r="AR883" s="34">
        <f>Z883*J884+0.5*Z883*(O883+P883)</f>
        <v/>
      </c>
      <c r="AS883" s="30">
        <f>(1+InflationRate)^(A883/12)</f>
        <v/>
      </c>
      <c r="AT883" s="29">
        <f>ExpenseAcq*M883+N883*ExpenseMaint/12*AS883</f>
        <v/>
      </c>
      <c r="AU883" s="29">
        <f>CommissionRate*AE883</f>
        <v/>
      </c>
      <c r="AV883" s="34">
        <f>AB884-AB883</f>
        <v/>
      </c>
      <c r="AW883" s="34">
        <f>AE883+AR883-AN883-AT883-AU883-AV883</f>
        <v/>
      </c>
      <c r="AX883" s="29">
        <f>LoadPremRate*E883*N883+AK883+AQ883-AU883-AT883</f>
        <v/>
      </c>
      <c r="AY883" s="34">
        <f>AP883-AO883</f>
        <v/>
      </c>
      <c r="AZ883" s="37">
        <f>(AW883-AX883-AY883)/MAX(1,ABS(AW883),ABS(AX883),ABS(AY883))</f>
        <v/>
      </c>
      <c r="BA883" s="37">
        <f>IF(OR(K883&gt;0,K884&gt;0),0,(AC884-(AC883+AF883-AQ883-AP883+AR883-AI883-AJ883-AM883))/MAX(1,ABS(AC883),ABS(AC884)))</f>
        <v/>
      </c>
      <c r="BB883" s="35">
        <f>(1+INDEX(DiscRateAnn,INT(A883/12)+1))^(1/12)-1</f>
        <v/>
      </c>
      <c r="BC883" s="31">
        <f>(1+BB883)^-A883</f>
        <v/>
      </c>
      <c r="BD883" s="34">
        <f>AW883*BC883</f>
        <v/>
      </c>
    </row>
    <row r="884">
      <c r="A884" s="27">
        <f>A883+1</f>
        <v/>
      </c>
      <c r="B884" s="28">
        <f>Duration0+A884</f>
        <v/>
      </c>
      <c r="C884" s="27">
        <f>INT(B884/12)</f>
        <v/>
      </c>
      <c r="D884" s="28">
        <f>AgeAtEntry+C884</f>
        <v/>
      </c>
      <c r="E884" s="29">
        <f>IF(PremiumType="SINGLE",IF(B884=0,PremiumPPInput,0),IF(B884&lt;12*PolicyTerm,PremiumPPInput,0))</f>
        <v/>
      </c>
      <c r="F884" s="30">
        <f>INDEX(MortRates,MATCH(MIN(D884,120),MortAges,0),MAX(MIN(C884,5),0)+1)</f>
        <v/>
      </c>
      <c r="G884" s="31">
        <f>1-(1-F884)^(1/12)</f>
        <v/>
      </c>
      <c r="H884" s="32">
        <f>MAX(LapseBase-LapseStep*C884,LapseFloor)</f>
        <v/>
      </c>
      <c r="I884" s="32">
        <f>IF(HasSurrCharge,INDEX(SurrRates,MIN(C884,SurrDurMax)+1,MATCH(SurrChargeID,SurrTypes,0)),0)</f>
        <v/>
      </c>
      <c r="J884" s="33">
        <f>N883-P883-O883</f>
        <v/>
      </c>
      <c r="K884" s="30">
        <f>IF(B884=12*PolicyTerm,J884,0)</f>
        <v/>
      </c>
      <c r="L884" s="33">
        <f>J884-K884</f>
        <v/>
      </c>
      <c r="M884" s="30">
        <f>IF(B884=0,PolicyCount,0)</f>
        <v/>
      </c>
      <c r="N884" s="33">
        <f>L884+M884</f>
        <v/>
      </c>
      <c r="O884" s="31">
        <f>N884*G884</f>
        <v/>
      </c>
      <c r="P884" s="33">
        <f>(N884-O884)*(1-(1-H884)^(1/12))</f>
        <v/>
      </c>
      <c r="Q884" s="34">
        <f>X883+Z883</f>
        <v/>
      </c>
      <c r="R884" s="29">
        <f>(1-LoadPremRate)*E884</f>
        <v/>
      </c>
      <c r="S884" s="34">
        <f>Q884+R884</f>
        <v/>
      </c>
      <c r="T884" s="29">
        <f>MaintFeeRateAnn/12*S884</f>
        <v/>
      </c>
      <c r="U884" s="29">
        <f>MAX(SumAssured-S884,0)</f>
        <v/>
      </c>
      <c r="V884" s="35">
        <f>CoiMultiple*G884</f>
        <v/>
      </c>
      <c r="W884" s="34">
        <f>V884*U884</f>
        <v/>
      </c>
      <c r="X884" s="34">
        <f>S884-T884-W884</f>
        <v/>
      </c>
      <c r="Y884" s="36">
        <f>EXP((Mu-0.5*Sigma^2)/12+Sigma*SQRT(1/12)*INDEX(NormRand,ScenID,A884+1))-1</f>
        <v/>
      </c>
      <c r="Z884" s="34">
        <f>Y884*X884</f>
        <v/>
      </c>
      <c r="AA884" s="34">
        <f>X884+0.5*Z884</f>
        <v/>
      </c>
      <c r="AB884" s="34">
        <f>Q884*J884</f>
        <v/>
      </c>
      <c r="AC884" s="34">
        <f>Q884*L884</f>
        <v/>
      </c>
      <c r="AD884" s="34">
        <f>S884*N884</f>
        <v/>
      </c>
      <c r="AE884" s="34">
        <f>E884*N884</f>
        <v/>
      </c>
      <c r="AF884" s="34">
        <f>R884*N884</f>
        <v/>
      </c>
      <c r="AG884" s="29">
        <f>MAX(SumAssured,AA884)</f>
        <v/>
      </c>
      <c r="AH884" s="34">
        <f>AG884*O884</f>
        <v/>
      </c>
      <c r="AI884" s="34">
        <f>AA884*O884</f>
        <v/>
      </c>
      <c r="AJ884" s="34">
        <f>AA884*P884</f>
        <v/>
      </c>
      <c r="AK884" s="34">
        <f>I884*AA884*P884</f>
        <v/>
      </c>
      <c r="AL884" s="34">
        <f>AJ884-AK884</f>
        <v/>
      </c>
      <c r="AM884" s="34">
        <f>Q884*K884</f>
        <v/>
      </c>
      <c r="AN884" s="34">
        <f>AH884+AL884+AM884</f>
        <v/>
      </c>
      <c r="AO884" s="34">
        <f>(AG884-AA884)*O884</f>
        <v/>
      </c>
      <c r="AP884" s="34">
        <f>W884*N884</f>
        <v/>
      </c>
      <c r="AQ884" s="34">
        <f>T884*N884</f>
        <v/>
      </c>
      <c r="AR884" s="34">
        <f>Z884*J885+0.5*Z884*(O884+P884)</f>
        <v/>
      </c>
      <c r="AS884" s="30">
        <f>(1+InflationRate)^(A884/12)</f>
        <v/>
      </c>
      <c r="AT884" s="29">
        <f>ExpenseAcq*M884+N884*ExpenseMaint/12*AS884</f>
        <v/>
      </c>
      <c r="AU884" s="29">
        <f>CommissionRate*AE884</f>
        <v/>
      </c>
      <c r="AV884" s="34">
        <f>AB885-AB884</f>
        <v/>
      </c>
      <c r="AW884" s="34">
        <f>AE884+AR884-AN884-AT884-AU884-AV884</f>
        <v/>
      </c>
      <c r="AX884" s="29">
        <f>LoadPremRate*E884*N884+AK884+AQ884-AU884-AT884</f>
        <v/>
      </c>
      <c r="AY884" s="34">
        <f>AP884-AO884</f>
        <v/>
      </c>
      <c r="AZ884" s="37">
        <f>(AW884-AX884-AY884)/MAX(1,ABS(AW884),ABS(AX884),ABS(AY884))</f>
        <v/>
      </c>
      <c r="BA884" s="37">
        <f>IF(OR(K884&gt;0,K885&gt;0),0,(AC885-(AC884+AF884-AQ884-AP884+AR884-AI884-AJ884-AM884))/MAX(1,ABS(AC884),ABS(AC885)))</f>
        <v/>
      </c>
      <c r="BB884" s="35">
        <f>(1+INDEX(DiscRateAnn,INT(A884/12)+1))^(1/12)-1</f>
        <v/>
      </c>
      <c r="BC884" s="31">
        <f>(1+BB884)^-A884</f>
        <v/>
      </c>
      <c r="BD884" s="34">
        <f>AW884*BC884</f>
        <v/>
      </c>
    </row>
    <row r="885">
      <c r="A885" s="27">
        <f>A884+1</f>
        <v/>
      </c>
      <c r="B885" s="28">
        <f>Duration0+A885</f>
        <v/>
      </c>
      <c r="C885" s="27">
        <f>INT(B885/12)</f>
        <v/>
      </c>
      <c r="D885" s="28">
        <f>AgeAtEntry+C885</f>
        <v/>
      </c>
      <c r="E885" s="29">
        <f>IF(PremiumType="SINGLE",IF(B885=0,PremiumPPInput,0),IF(B885&lt;12*PolicyTerm,PremiumPPInput,0))</f>
        <v/>
      </c>
      <c r="F885" s="30">
        <f>INDEX(MortRates,MATCH(MIN(D885,120),MortAges,0),MAX(MIN(C885,5),0)+1)</f>
        <v/>
      </c>
      <c r="G885" s="31">
        <f>1-(1-F885)^(1/12)</f>
        <v/>
      </c>
      <c r="H885" s="32">
        <f>MAX(LapseBase-LapseStep*C885,LapseFloor)</f>
        <v/>
      </c>
      <c r="I885" s="32">
        <f>IF(HasSurrCharge,INDEX(SurrRates,MIN(C885,SurrDurMax)+1,MATCH(SurrChargeID,SurrTypes,0)),0)</f>
        <v/>
      </c>
      <c r="J885" s="33">
        <f>N884-P884-O884</f>
        <v/>
      </c>
      <c r="K885" s="30">
        <f>IF(B885=12*PolicyTerm,J885,0)</f>
        <v/>
      </c>
      <c r="L885" s="33">
        <f>J885-K885</f>
        <v/>
      </c>
      <c r="M885" s="30">
        <f>IF(B885=0,PolicyCount,0)</f>
        <v/>
      </c>
      <c r="N885" s="33">
        <f>L885+M885</f>
        <v/>
      </c>
      <c r="O885" s="31">
        <f>N885*G885</f>
        <v/>
      </c>
      <c r="P885" s="33">
        <f>(N885-O885)*(1-(1-H885)^(1/12))</f>
        <v/>
      </c>
      <c r="Q885" s="34">
        <f>X884+Z884</f>
        <v/>
      </c>
      <c r="R885" s="29">
        <f>(1-LoadPremRate)*E885</f>
        <v/>
      </c>
      <c r="S885" s="34">
        <f>Q885+R885</f>
        <v/>
      </c>
      <c r="T885" s="29">
        <f>MaintFeeRateAnn/12*S885</f>
        <v/>
      </c>
      <c r="U885" s="29">
        <f>MAX(SumAssured-S885,0)</f>
        <v/>
      </c>
      <c r="V885" s="35">
        <f>CoiMultiple*G885</f>
        <v/>
      </c>
      <c r="W885" s="34">
        <f>V885*U885</f>
        <v/>
      </c>
      <c r="X885" s="34">
        <f>S885-T885-W885</f>
        <v/>
      </c>
      <c r="Y885" s="36">
        <f>EXP((Mu-0.5*Sigma^2)/12+Sigma*SQRT(1/12)*INDEX(NormRand,ScenID,A885+1))-1</f>
        <v/>
      </c>
      <c r="Z885" s="34">
        <f>Y885*X885</f>
        <v/>
      </c>
      <c r="AA885" s="34">
        <f>X885+0.5*Z885</f>
        <v/>
      </c>
      <c r="AB885" s="34">
        <f>Q885*J885</f>
        <v/>
      </c>
      <c r="AC885" s="34">
        <f>Q885*L885</f>
        <v/>
      </c>
      <c r="AD885" s="34">
        <f>S885*N885</f>
        <v/>
      </c>
      <c r="AE885" s="34">
        <f>E885*N885</f>
        <v/>
      </c>
      <c r="AF885" s="34">
        <f>R885*N885</f>
        <v/>
      </c>
      <c r="AG885" s="29">
        <f>MAX(SumAssured,AA885)</f>
        <v/>
      </c>
      <c r="AH885" s="34">
        <f>AG885*O885</f>
        <v/>
      </c>
      <c r="AI885" s="34">
        <f>AA885*O885</f>
        <v/>
      </c>
      <c r="AJ885" s="34">
        <f>AA885*P885</f>
        <v/>
      </c>
      <c r="AK885" s="34">
        <f>I885*AA885*P885</f>
        <v/>
      </c>
      <c r="AL885" s="34">
        <f>AJ885-AK885</f>
        <v/>
      </c>
      <c r="AM885" s="34">
        <f>Q885*K885</f>
        <v/>
      </c>
      <c r="AN885" s="34">
        <f>AH885+AL885+AM885</f>
        <v/>
      </c>
      <c r="AO885" s="34">
        <f>(AG885-AA885)*O885</f>
        <v/>
      </c>
      <c r="AP885" s="34">
        <f>W885*N885</f>
        <v/>
      </c>
      <c r="AQ885" s="34">
        <f>T885*N885</f>
        <v/>
      </c>
      <c r="AR885" s="34">
        <f>Z885*J886+0.5*Z885*(O885+P885)</f>
        <v/>
      </c>
      <c r="AS885" s="30">
        <f>(1+InflationRate)^(A885/12)</f>
        <v/>
      </c>
      <c r="AT885" s="29">
        <f>ExpenseAcq*M885+N885*ExpenseMaint/12*AS885</f>
        <v/>
      </c>
      <c r="AU885" s="29">
        <f>CommissionRate*AE885</f>
        <v/>
      </c>
      <c r="AV885" s="34">
        <f>AB886-AB885</f>
        <v/>
      </c>
      <c r="AW885" s="34">
        <f>AE885+AR885-AN885-AT885-AU885-AV885</f>
        <v/>
      </c>
      <c r="AX885" s="29">
        <f>LoadPremRate*E885*N885+AK885+AQ885-AU885-AT885</f>
        <v/>
      </c>
      <c r="AY885" s="34">
        <f>AP885-AO885</f>
        <v/>
      </c>
      <c r="AZ885" s="37">
        <f>(AW885-AX885-AY885)/MAX(1,ABS(AW885),ABS(AX885),ABS(AY885))</f>
        <v/>
      </c>
      <c r="BA885" s="37">
        <f>IF(OR(K885&gt;0,K886&gt;0),0,(AC886-(AC885+AF885-AQ885-AP885+AR885-AI885-AJ885-AM885))/MAX(1,ABS(AC885),ABS(AC886)))</f>
        <v/>
      </c>
      <c r="BB885" s="35">
        <f>(1+INDEX(DiscRateAnn,INT(A885/12)+1))^(1/12)-1</f>
        <v/>
      </c>
      <c r="BC885" s="31">
        <f>(1+BB885)^-A885</f>
        <v/>
      </c>
      <c r="BD885" s="34">
        <f>AW885*BC885</f>
        <v/>
      </c>
    </row>
    <row r="886">
      <c r="A886" s="27">
        <f>A885+1</f>
        <v/>
      </c>
      <c r="B886" s="28">
        <f>Duration0+A886</f>
        <v/>
      </c>
      <c r="C886" s="27">
        <f>INT(B886/12)</f>
        <v/>
      </c>
      <c r="D886" s="28">
        <f>AgeAtEntry+C886</f>
        <v/>
      </c>
      <c r="E886" s="29">
        <f>IF(PremiumType="SINGLE",IF(B886=0,PremiumPPInput,0),IF(B886&lt;12*PolicyTerm,PremiumPPInput,0))</f>
        <v/>
      </c>
      <c r="F886" s="30">
        <f>INDEX(MortRates,MATCH(MIN(D886,120),MortAges,0),MAX(MIN(C886,5),0)+1)</f>
        <v/>
      </c>
      <c r="G886" s="31">
        <f>1-(1-F886)^(1/12)</f>
        <v/>
      </c>
      <c r="H886" s="32">
        <f>MAX(LapseBase-LapseStep*C886,LapseFloor)</f>
        <v/>
      </c>
      <c r="I886" s="32">
        <f>IF(HasSurrCharge,INDEX(SurrRates,MIN(C886,SurrDurMax)+1,MATCH(SurrChargeID,SurrTypes,0)),0)</f>
        <v/>
      </c>
      <c r="J886" s="33">
        <f>N885-P885-O885</f>
        <v/>
      </c>
      <c r="K886" s="30">
        <f>IF(B886=12*PolicyTerm,J886,0)</f>
        <v/>
      </c>
      <c r="L886" s="33">
        <f>J886-K886</f>
        <v/>
      </c>
      <c r="M886" s="30">
        <f>IF(B886=0,PolicyCount,0)</f>
        <v/>
      </c>
      <c r="N886" s="33">
        <f>L886+M886</f>
        <v/>
      </c>
      <c r="O886" s="31">
        <f>N886*G886</f>
        <v/>
      </c>
      <c r="P886" s="33">
        <f>(N886-O886)*(1-(1-H886)^(1/12))</f>
        <v/>
      </c>
      <c r="Q886" s="34">
        <f>X885+Z885</f>
        <v/>
      </c>
      <c r="R886" s="29">
        <f>(1-LoadPremRate)*E886</f>
        <v/>
      </c>
      <c r="S886" s="34">
        <f>Q886+R886</f>
        <v/>
      </c>
      <c r="T886" s="29">
        <f>MaintFeeRateAnn/12*S886</f>
        <v/>
      </c>
      <c r="U886" s="29">
        <f>MAX(SumAssured-S886,0)</f>
        <v/>
      </c>
      <c r="V886" s="35">
        <f>CoiMultiple*G886</f>
        <v/>
      </c>
      <c r="W886" s="34">
        <f>V886*U886</f>
        <v/>
      </c>
      <c r="X886" s="34">
        <f>S886-T886-W886</f>
        <v/>
      </c>
      <c r="Y886" s="36">
        <f>EXP((Mu-0.5*Sigma^2)/12+Sigma*SQRT(1/12)*INDEX(NormRand,ScenID,A886+1))-1</f>
        <v/>
      </c>
      <c r="Z886" s="34">
        <f>Y886*X886</f>
        <v/>
      </c>
      <c r="AA886" s="34">
        <f>X886+0.5*Z886</f>
        <v/>
      </c>
      <c r="AB886" s="34">
        <f>Q886*J886</f>
        <v/>
      </c>
      <c r="AC886" s="34">
        <f>Q886*L886</f>
        <v/>
      </c>
      <c r="AD886" s="34">
        <f>S886*N886</f>
        <v/>
      </c>
      <c r="AE886" s="34">
        <f>E886*N886</f>
        <v/>
      </c>
      <c r="AF886" s="34">
        <f>R886*N886</f>
        <v/>
      </c>
      <c r="AG886" s="29">
        <f>MAX(SumAssured,AA886)</f>
        <v/>
      </c>
      <c r="AH886" s="34">
        <f>AG886*O886</f>
        <v/>
      </c>
      <c r="AI886" s="34">
        <f>AA886*O886</f>
        <v/>
      </c>
      <c r="AJ886" s="34">
        <f>AA886*P886</f>
        <v/>
      </c>
      <c r="AK886" s="34">
        <f>I886*AA886*P886</f>
        <v/>
      </c>
      <c r="AL886" s="34">
        <f>AJ886-AK886</f>
        <v/>
      </c>
      <c r="AM886" s="34">
        <f>Q886*K886</f>
        <v/>
      </c>
      <c r="AN886" s="34">
        <f>AH886+AL886+AM886</f>
        <v/>
      </c>
      <c r="AO886" s="34">
        <f>(AG886-AA886)*O886</f>
        <v/>
      </c>
      <c r="AP886" s="34">
        <f>W886*N886</f>
        <v/>
      </c>
      <c r="AQ886" s="34">
        <f>T886*N886</f>
        <v/>
      </c>
      <c r="AR886" s="34">
        <f>Z886*J887+0.5*Z886*(O886+P886)</f>
        <v/>
      </c>
      <c r="AS886" s="30">
        <f>(1+InflationRate)^(A886/12)</f>
        <v/>
      </c>
      <c r="AT886" s="29">
        <f>ExpenseAcq*M886+N886*ExpenseMaint/12*AS886</f>
        <v/>
      </c>
      <c r="AU886" s="29">
        <f>CommissionRate*AE886</f>
        <v/>
      </c>
      <c r="AV886" s="34">
        <f>AB887-AB886</f>
        <v/>
      </c>
      <c r="AW886" s="34">
        <f>AE886+AR886-AN886-AT886-AU886-AV886</f>
        <v/>
      </c>
      <c r="AX886" s="29">
        <f>LoadPremRate*E886*N886+AK886+AQ886-AU886-AT886</f>
        <v/>
      </c>
      <c r="AY886" s="34">
        <f>AP886-AO886</f>
        <v/>
      </c>
      <c r="AZ886" s="37">
        <f>(AW886-AX886-AY886)/MAX(1,ABS(AW886),ABS(AX886),ABS(AY886))</f>
        <v/>
      </c>
      <c r="BA886" s="37">
        <f>IF(OR(K886&gt;0,K887&gt;0),0,(AC887-(AC886+AF886-AQ886-AP886+AR886-AI886-AJ886-AM886))/MAX(1,ABS(AC886),ABS(AC887)))</f>
        <v/>
      </c>
      <c r="BB886" s="35">
        <f>(1+INDEX(DiscRateAnn,INT(A886/12)+1))^(1/12)-1</f>
        <v/>
      </c>
      <c r="BC886" s="31">
        <f>(1+BB886)^-A886</f>
        <v/>
      </c>
      <c r="BD886" s="34">
        <f>AW886*BC886</f>
        <v/>
      </c>
    </row>
    <row r="887">
      <c r="A887" s="27">
        <f>A886+1</f>
        <v/>
      </c>
      <c r="B887" s="28">
        <f>Duration0+A887</f>
        <v/>
      </c>
      <c r="C887" s="27">
        <f>INT(B887/12)</f>
        <v/>
      </c>
      <c r="D887" s="28">
        <f>AgeAtEntry+C887</f>
        <v/>
      </c>
      <c r="E887" s="29">
        <f>IF(PremiumType="SINGLE",IF(B887=0,PremiumPPInput,0),IF(B887&lt;12*PolicyTerm,PremiumPPInput,0))</f>
        <v/>
      </c>
      <c r="F887" s="30">
        <f>INDEX(MortRates,MATCH(MIN(D887,120),MortAges,0),MAX(MIN(C887,5),0)+1)</f>
        <v/>
      </c>
      <c r="G887" s="31">
        <f>1-(1-F887)^(1/12)</f>
        <v/>
      </c>
      <c r="H887" s="32">
        <f>MAX(LapseBase-LapseStep*C887,LapseFloor)</f>
        <v/>
      </c>
      <c r="I887" s="32">
        <f>IF(HasSurrCharge,INDEX(SurrRates,MIN(C887,SurrDurMax)+1,MATCH(SurrChargeID,SurrTypes,0)),0)</f>
        <v/>
      </c>
      <c r="J887" s="33">
        <f>N886-P886-O886</f>
        <v/>
      </c>
      <c r="K887" s="30">
        <f>IF(B887=12*PolicyTerm,J887,0)</f>
        <v/>
      </c>
      <c r="L887" s="33">
        <f>J887-K887</f>
        <v/>
      </c>
      <c r="M887" s="30">
        <f>IF(B887=0,PolicyCount,0)</f>
        <v/>
      </c>
      <c r="N887" s="33">
        <f>L887+M887</f>
        <v/>
      </c>
      <c r="O887" s="31">
        <f>N887*G887</f>
        <v/>
      </c>
      <c r="P887" s="33">
        <f>(N887-O887)*(1-(1-H887)^(1/12))</f>
        <v/>
      </c>
      <c r="Q887" s="34">
        <f>X886+Z886</f>
        <v/>
      </c>
      <c r="R887" s="29">
        <f>(1-LoadPremRate)*E887</f>
        <v/>
      </c>
      <c r="S887" s="34">
        <f>Q887+R887</f>
        <v/>
      </c>
      <c r="T887" s="29">
        <f>MaintFeeRateAnn/12*S887</f>
        <v/>
      </c>
      <c r="U887" s="29">
        <f>MAX(SumAssured-S887,0)</f>
        <v/>
      </c>
      <c r="V887" s="35">
        <f>CoiMultiple*G887</f>
        <v/>
      </c>
      <c r="W887" s="34">
        <f>V887*U887</f>
        <v/>
      </c>
      <c r="X887" s="34">
        <f>S887-T887-W887</f>
        <v/>
      </c>
      <c r="Y887" s="36">
        <f>EXP((Mu-0.5*Sigma^2)/12+Sigma*SQRT(1/12)*INDEX(NormRand,ScenID,A887+1))-1</f>
        <v/>
      </c>
      <c r="Z887" s="34">
        <f>Y887*X887</f>
        <v/>
      </c>
      <c r="AA887" s="34">
        <f>X887+0.5*Z887</f>
        <v/>
      </c>
      <c r="AB887" s="34">
        <f>Q887*J887</f>
        <v/>
      </c>
      <c r="AC887" s="34">
        <f>Q887*L887</f>
        <v/>
      </c>
      <c r="AD887" s="34">
        <f>S887*N887</f>
        <v/>
      </c>
      <c r="AE887" s="34">
        <f>E887*N887</f>
        <v/>
      </c>
      <c r="AF887" s="34">
        <f>R887*N887</f>
        <v/>
      </c>
      <c r="AG887" s="29">
        <f>MAX(SumAssured,AA887)</f>
        <v/>
      </c>
      <c r="AH887" s="34">
        <f>AG887*O887</f>
        <v/>
      </c>
      <c r="AI887" s="34">
        <f>AA887*O887</f>
        <v/>
      </c>
      <c r="AJ887" s="34">
        <f>AA887*P887</f>
        <v/>
      </c>
      <c r="AK887" s="34">
        <f>I887*AA887*P887</f>
        <v/>
      </c>
      <c r="AL887" s="34">
        <f>AJ887-AK887</f>
        <v/>
      </c>
      <c r="AM887" s="34">
        <f>Q887*K887</f>
        <v/>
      </c>
      <c r="AN887" s="34">
        <f>AH887+AL887+AM887</f>
        <v/>
      </c>
      <c r="AO887" s="34">
        <f>(AG887-AA887)*O887</f>
        <v/>
      </c>
      <c r="AP887" s="34">
        <f>W887*N887</f>
        <v/>
      </c>
      <c r="AQ887" s="34">
        <f>T887*N887</f>
        <v/>
      </c>
      <c r="AR887" s="34">
        <f>Z887*J888+0.5*Z887*(O887+P887)</f>
        <v/>
      </c>
      <c r="AS887" s="30">
        <f>(1+InflationRate)^(A887/12)</f>
        <v/>
      </c>
      <c r="AT887" s="29">
        <f>ExpenseAcq*M887+N887*ExpenseMaint/12*AS887</f>
        <v/>
      </c>
      <c r="AU887" s="29">
        <f>CommissionRate*AE887</f>
        <v/>
      </c>
      <c r="AV887" s="34">
        <f>AB888-AB887</f>
        <v/>
      </c>
      <c r="AW887" s="34">
        <f>AE887+AR887-AN887-AT887-AU887-AV887</f>
        <v/>
      </c>
      <c r="AX887" s="29">
        <f>LoadPremRate*E887*N887+AK887+AQ887-AU887-AT887</f>
        <v/>
      </c>
      <c r="AY887" s="34">
        <f>AP887-AO887</f>
        <v/>
      </c>
      <c r="AZ887" s="37">
        <f>(AW887-AX887-AY887)/MAX(1,ABS(AW887),ABS(AX887),ABS(AY887))</f>
        <v/>
      </c>
      <c r="BA887" s="37">
        <f>IF(OR(K887&gt;0,K888&gt;0),0,(AC888-(AC887+AF887-AQ887-AP887+AR887-AI887-AJ887-AM887))/MAX(1,ABS(AC887),ABS(AC888)))</f>
        <v/>
      </c>
      <c r="BB887" s="35">
        <f>(1+INDEX(DiscRateAnn,INT(A887/12)+1))^(1/12)-1</f>
        <v/>
      </c>
      <c r="BC887" s="31">
        <f>(1+BB887)^-A887</f>
        <v/>
      </c>
      <c r="BD887" s="34">
        <f>AW887*BC887</f>
        <v/>
      </c>
    </row>
    <row r="888">
      <c r="A888" s="27">
        <f>A887+1</f>
        <v/>
      </c>
      <c r="B888" s="28">
        <f>Duration0+A888</f>
        <v/>
      </c>
      <c r="C888" s="27">
        <f>INT(B888/12)</f>
        <v/>
      </c>
      <c r="D888" s="28">
        <f>AgeAtEntry+C888</f>
        <v/>
      </c>
      <c r="E888" s="29">
        <f>IF(PremiumType="SINGLE",IF(B888=0,PremiumPPInput,0),IF(B888&lt;12*PolicyTerm,PremiumPPInput,0))</f>
        <v/>
      </c>
      <c r="F888" s="30">
        <f>INDEX(MortRates,MATCH(MIN(D888,120),MortAges,0),MAX(MIN(C888,5),0)+1)</f>
        <v/>
      </c>
      <c r="G888" s="31">
        <f>1-(1-F888)^(1/12)</f>
        <v/>
      </c>
      <c r="H888" s="32">
        <f>MAX(LapseBase-LapseStep*C888,LapseFloor)</f>
        <v/>
      </c>
      <c r="I888" s="32">
        <f>IF(HasSurrCharge,INDEX(SurrRates,MIN(C888,SurrDurMax)+1,MATCH(SurrChargeID,SurrTypes,0)),0)</f>
        <v/>
      </c>
      <c r="J888" s="33">
        <f>N887-P887-O887</f>
        <v/>
      </c>
      <c r="K888" s="30">
        <f>IF(B888=12*PolicyTerm,J888,0)</f>
        <v/>
      </c>
      <c r="L888" s="33">
        <f>J888-K888</f>
        <v/>
      </c>
      <c r="M888" s="30">
        <f>IF(B888=0,PolicyCount,0)</f>
        <v/>
      </c>
      <c r="N888" s="33">
        <f>L888+M888</f>
        <v/>
      </c>
      <c r="O888" s="31">
        <f>N888*G888</f>
        <v/>
      </c>
      <c r="P888" s="33">
        <f>(N888-O888)*(1-(1-H888)^(1/12))</f>
        <v/>
      </c>
      <c r="Q888" s="34">
        <f>X887+Z887</f>
        <v/>
      </c>
      <c r="R888" s="29">
        <f>(1-LoadPremRate)*E888</f>
        <v/>
      </c>
      <c r="S888" s="34">
        <f>Q888+R888</f>
        <v/>
      </c>
      <c r="T888" s="29">
        <f>MaintFeeRateAnn/12*S888</f>
        <v/>
      </c>
      <c r="U888" s="29">
        <f>MAX(SumAssured-S888,0)</f>
        <v/>
      </c>
      <c r="V888" s="35">
        <f>CoiMultiple*G888</f>
        <v/>
      </c>
      <c r="W888" s="34">
        <f>V888*U888</f>
        <v/>
      </c>
      <c r="X888" s="34">
        <f>S888-T888-W888</f>
        <v/>
      </c>
      <c r="Y888" s="36">
        <f>EXP((Mu-0.5*Sigma^2)/12+Sigma*SQRT(1/12)*INDEX(NormRand,ScenID,A888+1))-1</f>
        <v/>
      </c>
      <c r="Z888" s="34">
        <f>Y888*X888</f>
        <v/>
      </c>
      <c r="AA888" s="34">
        <f>X888+0.5*Z888</f>
        <v/>
      </c>
      <c r="AB888" s="34">
        <f>Q888*J888</f>
        <v/>
      </c>
      <c r="AC888" s="34">
        <f>Q888*L888</f>
        <v/>
      </c>
      <c r="AD888" s="34">
        <f>S888*N888</f>
        <v/>
      </c>
      <c r="AE888" s="34">
        <f>E888*N888</f>
        <v/>
      </c>
      <c r="AF888" s="34">
        <f>R888*N888</f>
        <v/>
      </c>
      <c r="AG888" s="29">
        <f>MAX(SumAssured,AA888)</f>
        <v/>
      </c>
      <c r="AH888" s="34">
        <f>AG888*O888</f>
        <v/>
      </c>
      <c r="AI888" s="34">
        <f>AA888*O888</f>
        <v/>
      </c>
      <c r="AJ888" s="34">
        <f>AA888*P888</f>
        <v/>
      </c>
      <c r="AK888" s="34">
        <f>I888*AA888*P888</f>
        <v/>
      </c>
      <c r="AL888" s="34">
        <f>AJ888-AK888</f>
        <v/>
      </c>
      <c r="AM888" s="34">
        <f>Q888*K888</f>
        <v/>
      </c>
      <c r="AN888" s="34">
        <f>AH888+AL888+AM888</f>
        <v/>
      </c>
      <c r="AO888" s="34">
        <f>(AG888-AA888)*O888</f>
        <v/>
      </c>
      <c r="AP888" s="34">
        <f>W888*N888</f>
        <v/>
      </c>
      <c r="AQ888" s="34">
        <f>T888*N888</f>
        <v/>
      </c>
      <c r="AR888" s="34">
        <f>Z888*J889+0.5*Z888*(O888+P888)</f>
        <v/>
      </c>
      <c r="AS888" s="30">
        <f>(1+InflationRate)^(A888/12)</f>
        <v/>
      </c>
      <c r="AT888" s="29">
        <f>ExpenseAcq*M888+N888*ExpenseMaint/12*AS888</f>
        <v/>
      </c>
      <c r="AU888" s="29">
        <f>CommissionRate*AE888</f>
        <v/>
      </c>
      <c r="AV888" s="34">
        <f>AB889-AB888</f>
        <v/>
      </c>
      <c r="AW888" s="34">
        <f>AE888+AR888-AN888-AT888-AU888-AV888</f>
        <v/>
      </c>
      <c r="AX888" s="29">
        <f>LoadPremRate*E888*N888+AK888+AQ888-AU888-AT888</f>
        <v/>
      </c>
      <c r="AY888" s="34">
        <f>AP888-AO888</f>
        <v/>
      </c>
      <c r="AZ888" s="37">
        <f>(AW888-AX888-AY888)/MAX(1,ABS(AW888),ABS(AX888),ABS(AY888))</f>
        <v/>
      </c>
      <c r="BA888" s="37">
        <f>IF(OR(K888&gt;0,K889&gt;0),0,(AC889-(AC888+AF888-AQ888-AP888+AR888-AI888-AJ888-AM888))/MAX(1,ABS(AC888),ABS(AC889)))</f>
        <v/>
      </c>
      <c r="BB888" s="35">
        <f>(1+INDEX(DiscRateAnn,INT(A888/12)+1))^(1/12)-1</f>
        <v/>
      </c>
      <c r="BC888" s="31">
        <f>(1+BB888)^-A888</f>
        <v/>
      </c>
      <c r="BD888" s="34">
        <f>AW888*BC888</f>
        <v/>
      </c>
    </row>
    <row r="889">
      <c r="A889" s="27">
        <f>A888+1</f>
        <v/>
      </c>
      <c r="B889" s="28">
        <f>Duration0+A889</f>
        <v/>
      </c>
      <c r="C889" s="27">
        <f>INT(B889/12)</f>
        <v/>
      </c>
      <c r="D889" s="28">
        <f>AgeAtEntry+C889</f>
        <v/>
      </c>
      <c r="E889" s="29">
        <f>IF(PremiumType="SINGLE",IF(B889=0,PremiumPPInput,0),IF(B889&lt;12*PolicyTerm,PremiumPPInput,0))</f>
        <v/>
      </c>
      <c r="F889" s="30">
        <f>INDEX(MortRates,MATCH(MIN(D889,120),MortAges,0),MAX(MIN(C889,5),0)+1)</f>
        <v/>
      </c>
      <c r="G889" s="31">
        <f>1-(1-F889)^(1/12)</f>
        <v/>
      </c>
      <c r="H889" s="32">
        <f>MAX(LapseBase-LapseStep*C889,LapseFloor)</f>
        <v/>
      </c>
      <c r="I889" s="32">
        <f>IF(HasSurrCharge,INDEX(SurrRates,MIN(C889,SurrDurMax)+1,MATCH(SurrChargeID,SurrTypes,0)),0)</f>
        <v/>
      </c>
      <c r="J889" s="33">
        <f>N888-P888-O888</f>
        <v/>
      </c>
      <c r="K889" s="30">
        <f>IF(B889=12*PolicyTerm,J889,0)</f>
        <v/>
      </c>
      <c r="L889" s="33">
        <f>J889-K889</f>
        <v/>
      </c>
      <c r="M889" s="30">
        <f>IF(B889=0,PolicyCount,0)</f>
        <v/>
      </c>
      <c r="N889" s="33">
        <f>L889+M889</f>
        <v/>
      </c>
      <c r="O889" s="31">
        <f>N889*G889</f>
        <v/>
      </c>
      <c r="P889" s="33">
        <f>(N889-O889)*(1-(1-H889)^(1/12))</f>
        <v/>
      </c>
      <c r="Q889" s="34">
        <f>X888+Z888</f>
        <v/>
      </c>
      <c r="R889" s="29">
        <f>(1-LoadPremRate)*E889</f>
        <v/>
      </c>
      <c r="S889" s="34">
        <f>Q889+R889</f>
        <v/>
      </c>
      <c r="T889" s="29">
        <f>MaintFeeRateAnn/12*S889</f>
        <v/>
      </c>
      <c r="U889" s="29">
        <f>MAX(SumAssured-S889,0)</f>
        <v/>
      </c>
      <c r="V889" s="35">
        <f>CoiMultiple*G889</f>
        <v/>
      </c>
      <c r="W889" s="34">
        <f>V889*U889</f>
        <v/>
      </c>
      <c r="X889" s="34">
        <f>S889-T889-W889</f>
        <v/>
      </c>
      <c r="Y889" s="36">
        <f>EXP((Mu-0.5*Sigma^2)/12+Sigma*SQRT(1/12)*INDEX(NormRand,ScenID,A889+1))-1</f>
        <v/>
      </c>
      <c r="Z889" s="34">
        <f>Y889*X889</f>
        <v/>
      </c>
      <c r="AA889" s="34">
        <f>X889+0.5*Z889</f>
        <v/>
      </c>
      <c r="AB889" s="34">
        <f>Q889*J889</f>
        <v/>
      </c>
      <c r="AC889" s="34">
        <f>Q889*L889</f>
        <v/>
      </c>
      <c r="AD889" s="34">
        <f>S889*N889</f>
        <v/>
      </c>
      <c r="AE889" s="34">
        <f>E889*N889</f>
        <v/>
      </c>
      <c r="AF889" s="34">
        <f>R889*N889</f>
        <v/>
      </c>
      <c r="AG889" s="29">
        <f>MAX(SumAssured,AA889)</f>
        <v/>
      </c>
      <c r="AH889" s="34">
        <f>AG889*O889</f>
        <v/>
      </c>
      <c r="AI889" s="34">
        <f>AA889*O889</f>
        <v/>
      </c>
      <c r="AJ889" s="34">
        <f>AA889*P889</f>
        <v/>
      </c>
      <c r="AK889" s="34">
        <f>I889*AA889*P889</f>
        <v/>
      </c>
      <c r="AL889" s="34">
        <f>AJ889-AK889</f>
        <v/>
      </c>
      <c r="AM889" s="34">
        <f>Q889*K889</f>
        <v/>
      </c>
      <c r="AN889" s="34">
        <f>AH889+AL889+AM889</f>
        <v/>
      </c>
      <c r="AO889" s="34">
        <f>(AG889-AA889)*O889</f>
        <v/>
      </c>
      <c r="AP889" s="34">
        <f>W889*N889</f>
        <v/>
      </c>
      <c r="AQ889" s="34">
        <f>T889*N889</f>
        <v/>
      </c>
      <c r="AR889" s="34">
        <f>Z889*J890+0.5*Z889*(O889+P889)</f>
        <v/>
      </c>
      <c r="AS889" s="30">
        <f>(1+InflationRate)^(A889/12)</f>
        <v/>
      </c>
      <c r="AT889" s="29">
        <f>ExpenseAcq*M889+N889*ExpenseMaint/12*AS889</f>
        <v/>
      </c>
      <c r="AU889" s="29">
        <f>CommissionRate*AE889</f>
        <v/>
      </c>
      <c r="AV889" s="34">
        <f>AB890-AB889</f>
        <v/>
      </c>
      <c r="AW889" s="34">
        <f>AE889+AR889-AN889-AT889-AU889-AV889</f>
        <v/>
      </c>
      <c r="AX889" s="29">
        <f>LoadPremRate*E889*N889+AK889+AQ889-AU889-AT889</f>
        <v/>
      </c>
      <c r="AY889" s="34">
        <f>AP889-AO889</f>
        <v/>
      </c>
      <c r="AZ889" s="37">
        <f>(AW889-AX889-AY889)/MAX(1,ABS(AW889),ABS(AX889),ABS(AY889))</f>
        <v/>
      </c>
      <c r="BA889" s="37">
        <f>IF(OR(K889&gt;0,K890&gt;0),0,(AC890-(AC889+AF889-AQ889-AP889+AR889-AI889-AJ889-AM889))/MAX(1,ABS(AC889),ABS(AC890)))</f>
        <v/>
      </c>
      <c r="BB889" s="35">
        <f>(1+INDEX(DiscRateAnn,INT(A889/12)+1))^(1/12)-1</f>
        <v/>
      </c>
      <c r="BC889" s="31">
        <f>(1+BB889)^-A889</f>
        <v/>
      </c>
      <c r="BD889" s="34">
        <f>AW889*BC889</f>
        <v/>
      </c>
    </row>
    <row r="890">
      <c r="A890" s="27">
        <f>A889+1</f>
        <v/>
      </c>
      <c r="B890" s="28">
        <f>Duration0+A890</f>
        <v/>
      </c>
      <c r="C890" s="27">
        <f>INT(B890/12)</f>
        <v/>
      </c>
      <c r="D890" s="28">
        <f>AgeAtEntry+C890</f>
        <v/>
      </c>
      <c r="E890" s="29">
        <f>IF(PremiumType="SINGLE",IF(B890=0,PremiumPPInput,0),IF(B890&lt;12*PolicyTerm,PremiumPPInput,0))</f>
        <v/>
      </c>
      <c r="F890" s="30">
        <f>INDEX(MortRates,MATCH(MIN(D890,120),MortAges,0),MAX(MIN(C890,5),0)+1)</f>
        <v/>
      </c>
      <c r="G890" s="31">
        <f>1-(1-F890)^(1/12)</f>
        <v/>
      </c>
      <c r="H890" s="32">
        <f>MAX(LapseBase-LapseStep*C890,LapseFloor)</f>
        <v/>
      </c>
      <c r="I890" s="32">
        <f>IF(HasSurrCharge,INDEX(SurrRates,MIN(C890,SurrDurMax)+1,MATCH(SurrChargeID,SurrTypes,0)),0)</f>
        <v/>
      </c>
      <c r="J890" s="33">
        <f>N889-P889-O889</f>
        <v/>
      </c>
      <c r="K890" s="30">
        <f>IF(B890=12*PolicyTerm,J890,0)</f>
        <v/>
      </c>
      <c r="L890" s="33">
        <f>J890-K890</f>
        <v/>
      </c>
      <c r="M890" s="30">
        <f>IF(B890=0,PolicyCount,0)</f>
        <v/>
      </c>
      <c r="N890" s="33">
        <f>L890+M890</f>
        <v/>
      </c>
      <c r="O890" s="31">
        <f>N890*G890</f>
        <v/>
      </c>
      <c r="P890" s="33">
        <f>(N890-O890)*(1-(1-H890)^(1/12))</f>
        <v/>
      </c>
      <c r="Q890" s="34">
        <f>X889+Z889</f>
        <v/>
      </c>
      <c r="R890" s="29">
        <f>(1-LoadPremRate)*E890</f>
        <v/>
      </c>
      <c r="S890" s="34">
        <f>Q890+R890</f>
        <v/>
      </c>
      <c r="T890" s="29">
        <f>MaintFeeRateAnn/12*S890</f>
        <v/>
      </c>
      <c r="U890" s="29">
        <f>MAX(SumAssured-S890,0)</f>
        <v/>
      </c>
      <c r="V890" s="35">
        <f>CoiMultiple*G890</f>
        <v/>
      </c>
      <c r="W890" s="34">
        <f>V890*U890</f>
        <v/>
      </c>
      <c r="X890" s="34">
        <f>S890-T890-W890</f>
        <v/>
      </c>
      <c r="Y890" s="36">
        <f>EXP((Mu-0.5*Sigma^2)/12+Sigma*SQRT(1/12)*INDEX(NormRand,ScenID,A890+1))-1</f>
        <v/>
      </c>
      <c r="Z890" s="34">
        <f>Y890*X890</f>
        <v/>
      </c>
      <c r="AA890" s="34">
        <f>X890+0.5*Z890</f>
        <v/>
      </c>
      <c r="AB890" s="34">
        <f>Q890*J890</f>
        <v/>
      </c>
      <c r="AC890" s="34">
        <f>Q890*L890</f>
        <v/>
      </c>
      <c r="AD890" s="34">
        <f>S890*N890</f>
        <v/>
      </c>
      <c r="AE890" s="34">
        <f>E890*N890</f>
        <v/>
      </c>
      <c r="AF890" s="34">
        <f>R890*N890</f>
        <v/>
      </c>
      <c r="AG890" s="29">
        <f>MAX(SumAssured,AA890)</f>
        <v/>
      </c>
      <c r="AH890" s="34">
        <f>AG890*O890</f>
        <v/>
      </c>
      <c r="AI890" s="34">
        <f>AA890*O890</f>
        <v/>
      </c>
      <c r="AJ890" s="34">
        <f>AA890*P890</f>
        <v/>
      </c>
      <c r="AK890" s="34">
        <f>I890*AA890*P890</f>
        <v/>
      </c>
      <c r="AL890" s="34">
        <f>AJ890-AK890</f>
        <v/>
      </c>
      <c r="AM890" s="34">
        <f>Q890*K890</f>
        <v/>
      </c>
      <c r="AN890" s="34">
        <f>AH890+AL890+AM890</f>
        <v/>
      </c>
      <c r="AO890" s="34">
        <f>(AG890-AA890)*O890</f>
        <v/>
      </c>
      <c r="AP890" s="34">
        <f>W890*N890</f>
        <v/>
      </c>
      <c r="AQ890" s="34">
        <f>T890*N890</f>
        <v/>
      </c>
      <c r="AR890" s="34">
        <f>Z890*J891+0.5*Z890*(O890+P890)</f>
        <v/>
      </c>
      <c r="AS890" s="30">
        <f>(1+InflationRate)^(A890/12)</f>
        <v/>
      </c>
      <c r="AT890" s="29">
        <f>ExpenseAcq*M890+N890*ExpenseMaint/12*AS890</f>
        <v/>
      </c>
      <c r="AU890" s="29">
        <f>CommissionRate*AE890</f>
        <v/>
      </c>
      <c r="AV890" s="34">
        <f>AB891-AB890</f>
        <v/>
      </c>
      <c r="AW890" s="34">
        <f>AE890+AR890-AN890-AT890-AU890-AV890</f>
        <v/>
      </c>
      <c r="AX890" s="29">
        <f>LoadPremRate*E890*N890+AK890+AQ890-AU890-AT890</f>
        <v/>
      </c>
      <c r="AY890" s="34">
        <f>AP890-AO890</f>
        <v/>
      </c>
      <c r="AZ890" s="37">
        <f>(AW890-AX890-AY890)/MAX(1,ABS(AW890),ABS(AX890),ABS(AY890))</f>
        <v/>
      </c>
      <c r="BA890" s="37">
        <f>IF(OR(K890&gt;0,K891&gt;0),0,(AC891-(AC890+AF890-AQ890-AP890+AR890-AI890-AJ890-AM890))/MAX(1,ABS(AC890),ABS(AC891)))</f>
        <v/>
      </c>
      <c r="BB890" s="35">
        <f>(1+INDEX(DiscRateAnn,INT(A890/12)+1))^(1/12)-1</f>
        <v/>
      </c>
      <c r="BC890" s="31">
        <f>(1+BB890)^-A890</f>
        <v/>
      </c>
      <c r="BD890" s="34">
        <f>AW890*BC890</f>
        <v/>
      </c>
    </row>
    <row r="891">
      <c r="A891" s="27">
        <f>A890+1</f>
        <v/>
      </c>
      <c r="B891" s="28">
        <f>Duration0+A891</f>
        <v/>
      </c>
      <c r="C891" s="27">
        <f>INT(B891/12)</f>
        <v/>
      </c>
      <c r="D891" s="28">
        <f>AgeAtEntry+C891</f>
        <v/>
      </c>
      <c r="E891" s="29">
        <f>IF(PremiumType="SINGLE",IF(B891=0,PremiumPPInput,0),IF(B891&lt;12*PolicyTerm,PremiumPPInput,0))</f>
        <v/>
      </c>
      <c r="F891" s="30">
        <f>INDEX(MortRates,MATCH(MIN(D891,120),MortAges,0),MAX(MIN(C891,5),0)+1)</f>
        <v/>
      </c>
      <c r="G891" s="31">
        <f>1-(1-F891)^(1/12)</f>
        <v/>
      </c>
      <c r="H891" s="32">
        <f>MAX(LapseBase-LapseStep*C891,LapseFloor)</f>
        <v/>
      </c>
      <c r="I891" s="32">
        <f>IF(HasSurrCharge,INDEX(SurrRates,MIN(C891,SurrDurMax)+1,MATCH(SurrChargeID,SurrTypes,0)),0)</f>
        <v/>
      </c>
      <c r="J891" s="33">
        <f>N890-P890-O890</f>
        <v/>
      </c>
      <c r="K891" s="30">
        <f>IF(B891=12*PolicyTerm,J891,0)</f>
        <v/>
      </c>
      <c r="L891" s="33">
        <f>J891-K891</f>
        <v/>
      </c>
      <c r="M891" s="30">
        <f>IF(B891=0,PolicyCount,0)</f>
        <v/>
      </c>
      <c r="N891" s="33">
        <f>L891+M891</f>
        <v/>
      </c>
      <c r="O891" s="31">
        <f>N891*G891</f>
        <v/>
      </c>
      <c r="P891" s="33">
        <f>(N891-O891)*(1-(1-H891)^(1/12))</f>
        <v/>
      </c>
      <c r="Q891" s="34">
        <f>X890+Z890</f>
        <v/>
      </c>
      <c r="R891" s="29">
        <f>(1-LoadPremRate)*E891</f>
        <v/>
      </c>
      <c r="S891" s="34">
        <f>Q891+R891</f>
        <v/>
      </c>
      <c r="T891" s="29">
        <f>MaintFeeRateAnn/12*S891</f>
        <v/>
      </c>
      <c r="U891" s="29">
        <f>MAX(SumAssured-S891,0)</f>
        <v/>
      </c>
      <c r="V891" s="35">
        <f>CoiMultiple*G891</f>
        <v/>
      </c>
      <c r="W891" s="34">
        <f>V891*U891</f>
        <v/>
      </c>
      <c r="X891" s="34">
        <f>S891-T891-W891</f>
        <v/>
      </c>
      <c r="Y891" s="36">
        <f>EXP((Mu-0.5*Sigma^2)/12+Sigma*SQRT(1/12)*INDEX(NormRand,ScenID,A891+1))-1</f>
        <v/>
      </c>
      <c r="Z891" s="34">
        <f>Y891*X891</f>
        <v/>
      </c>
      <c r="AA891" s="34">
        <f>X891+0.5*Z891</f>
        <v/>
      </c>
      <c r="AB891" s="34">
        <f>Q891*J891</f>
        <v/>
      </c>
      <c r="AC891" s="34">
        <f>Q891*L891</f>
        <v/>
      </c>
      <c r="AD891" s="34">
        <f>S891*N891</f>
        <v/>
      </c>
      <c r="AE891" s="34">
        <f>E891*N891</f>
        <v/>
      </c>
      <c r="AF891" s="34">
        <f>R891*N891</f>
        <v/>
      </c>
      <c r="AG891" s="29">
        <f>MAX(SumAssured,AA891)</f>
        <v/>
      </c>
      <c r="AH891" s="34">
        <f>AG891*O891</f>
        <v/>
      </c>
      <c r="AI891" s="34">
        <f>AA891*O891</f>
        <v/>
      </c>
      <c r="AJ891" s="34">
        <f>AA891*P891</f>
        <v/>
      </c>
      <c r="AK891" s="34">
        <f>I891*AA891*P891</f>
        <v/>
      </c>
      <c r="AL891" s="34">
        <f>AJ891-AK891</f>
        <v/>
      </c>
      <c r="AM891" s="34">
        <f>Q891*K891</f>
        <v/>
      </c>
      <c r="AN891" s="34">
        <f>AH891+AL891+AM891</f>
        <v/>
      </c>
      <c r="AO891" s="34">
        <f>(AG891-AA891)*O891</f>
        <v/>
      </c>
      <c r="AP891" s="34">
        <f>W891*N891</f>
        <v/>
      </c>
      <c r="AQ891" s="34">
        <f>T891*N891</f>
        <v/>
      </c>
      <c r="AR891" s="34">
        <f>Z891*J892+0.5*Z891*(O891+P891)</f>
        <v/>
      </c>
      <c r="AS891" s="30">
        <f>(1+InflationRate)^(A891/12)</f>
        <v/>
      </c>
      <c r="AT891" s="29">
        <f>ExpenseAcq*M891+N891*ExpenseMaint/12*AS891</f>
        <v/>
      </c>
      <c r="AU891" s="29">
        <f>CommissionRate*AE891</f>
        <v/>
      </c>
      <c r="AV891" s="34">
        <f>AB892-AB891</f>
        <v/>
      </c>
      <c r="AW891" s="34">
        <f>AE891+AR891-AN891-AT891-AU891-AV891</f>
        <v/>
      </c>
      <c r="AX891" s="29">
        <f>LoadPremRate*E891*N891+AK891+AQ891-AU891-AT891</f>
        <v/>
      </c>
      <c r="AY891" s="34">
        <f>AP891-AO891</f>
        <v/>
      </c>
      <c r="AZ891" s="37">
        <f>(AW891-AX891-AY891)/MAX(1,ABS(AW891),ABS(AX891),ABS(AY891))</f>
        <v/>
      </c>
      <c r="BA891" s="37">
        <f>IF(OR(K891&gt;0,K892&gt;0),0,(AC892-(AC891+AF891-AQ891-AP891+AR891-AI891-AJ891-AM891))/MAX(1,ABS(AC891),ABS(AC892)))</f>
        <v/>
      </c>
      <c r="BB891" s="35">
        <f>(1+INDEX(DiscRateAnn,INT(A891/12)+1))^(1/12)-1</f>
        <v/>
      </c>
      <c r="BC891" s="31">
        <f>(1+BB891)^-A891</f>
        <v/>
      </c>
      <c r="BD891" s="34">
        <f>AW891*BC891</f>
        <v/>
      </c>
    </row>
    <row r="892">
      <c r="A892" s="27">
        <f>A891+1</f>
        <v/>
      </c>
      <c r="B892" s="28">
        <f>Duration0+A892</f>
        <v/>
      </c>
      <c r="C892" s="27">
        <f>INT(B892/12)</f>
        <v/>
      </c>
      <c r="D892" s="28">
        <f>AgeAtEntry+C892</f>
        <v/>
      </c>
      <c r="E892" s="29">
        <f>IF(PremiumType="SINGLE",IF(B892=0,PremiumPPInput,0),IF(B892&lt;12*PolicyTerm,PremiumPPInput,0))</f>
        <v/>
      </c>
      <c r="F892" s="30">
        <f>INDEX(MortRates,MATCH(MIN(D892,120),MortAges,0),MAX(MIN(C892,5),0)+1)</f>
        <v/>
      </c>
      <c r="G892" s="31">
        <f>1-(1-F892)^(1/12)</f>
        <v/>
      </c>
      <c r="H892" s="32">
        <f>MAX(LapseBase-LapseStep*C892,LapseFloor)</f>
        <v/>
      </c>
      <c r="I892" s="32">
        <f>IF(HasSurrCharge,INDEX(SurrRates,MIN(C892,SurrDurMax)+1,MATCH(SurrChargeID,SurrTypes,0)),0)</f>
        <v/>
      </c>
      <c r="J892" s="33">
        <f>N891-P891-O891</f>
        <v/>
      </c>
      <c r="K892" s="30">
        <f>IF(B892=12*PolicyTerm,J892,0)</f>
        <v/>
      </c>
      <c r="L892" s="33">
        <f>J892-K892</f>
        <v/>
      </c>
      <c r="M892" s="30">
        <f>IF(B892=0,PolicyCount,0)</f>
        <v/>
      </c>
      <c r="N892" s="33">
        <f>L892+M892</f>
        <v/>
      </c>
      <c r="O892" s="31">
        <f>N892*G892</f>
        <v/>
      </c>
      <c r="P892" s="33">
        <f>(N892-O892)*(1-(1-H892)^(1/12))</f>
        <v/>
      </c>
      <c r="Q892" s="34">
        <f>X891+Z891</f>
        <v/>
      </c>
      <c r="R892" s="29">
        <f>(1-LoadPremRate)*E892</f>
        <v/>
      </c>
      <c r="S892" s="34">
        <f>Q892+R892</f>
        <v/>
      </c>
      <c r="T892" s="29">
        <f>MaintFeeRateAnn/12*S892</f>
        <v/>
      </c>
      <c r="U892" s="29">
        <f>MAX(SumAssured-S892,0)</f>
        <v/>
      </c>
      <c r="V892" s="35">
        <f>CoiMultiple*G892</f>
        <v/>
      </c>
      <c r="W892" s="34">
        <f>V892*U892</f>
        <v/>
      </c>
      <c r="X892" s="34">
        <f>S892-T892-W892</f>
        <v/>
      </c>
      <c r="Y892" s="36">
        <f>EXP((Mu-0.5*Sigma^2)/12+Sigma*SQRT(1/12)*INDEX(NormRand,ScenID,A892+1))-1</f>
        <v/>
      </c>
      <c r="Z892" s="34">
        <f>Y892*X892</f>
        <v/>
      </c>
      <c r="AA892" s="34">
        <f>X892+0.5*Z892</f>
        <v/>
      </c>
      <c r="AB892" s="34">
        <f>Q892*J892</f>
        <v/>
      </c>
      <c r="AC892" s="34">
        <f>Q892*L892</f>
        <v/>
      </c>
      <c r="AD892" s="34">
        <f>S892*N892</f>
        <v/>
      </c>
      <c r="AE892" s="34">
        <f>E892*N892</f>
        <v/>
      </c>
      <c r="AF892" s="34">
        <f>R892*N892</f>
        <v/>
      </c>
      <c r="AG892" s="29">
        <f>MAX(SumAssured,AA892)</f>
        <v/>
      </c>
      <c r="AH892" s="34">
        <f>AG892*O892</f>
        <v/>
      </c>
      <c r="AI892" s="34">
        <f>AA892*O892</f>
        <v/>
      </c>
      <c r="AJ892" s="34">
        <f>AA892*P892</f>
        <v/>
      </c>
      <c r="AK892" s="34">
        <f>I892*AA892*P892</f>
        <v/>
      </c>
      <c r="AL892" s="34">
        <f>AJ892-AK892</f>
        <v/>
      </c>
      <c r="AM892" s="34">
        <f>Q892*K892</f>
        <v/>
      </c>
      <c r="AN892" s="34">
        <f>AH892+AL892+AM892</f>
        <v/>
      </c>
      <c r="AO892" s="34">
        <f>(AG892-AA892)*O892</f>
        <v/>
      </c>
      <c r="AP892" s="34">
        <f>W892*N892</f>
        <v/>
      </c>
      <c r="AQ892" s="34">
        <f>T892*N892</f>
        <v/>
      </c>
      <c r="AR892" s="34">
        <f>Z892*J893+0.5*Z892*(O892+P892)</f>
        <v/>
      </c>
      <c r="AS892" s="30">
        <f>(1+InflationRate)^(A892/12)</f>
        <v/>
      </c>
      <c r="AT892" s="29">
        <f>ExpenseAcq*M892+N892*ExpenseMaint/12*AS892</f>
        <v/>
      </c>
      <c r="AU892" s="29">
        <f>CommissionRate*AE892</f>
        <v/>
      </c>
      <c r="AV892" s="34">
        <f>AB893-AB892</f>
        <v/>
      </c>
      <c r="AW892" s="34">
        <f>AE892+AR892-AN892-AT892-AU892-AV892</f>
        <v/>
      </c>
      <c r="AX892" s="29">
        <f>LoadPremRate*E892*N892+AK892+AQ892-AU892-AT892</f>
        <v/>
      </c>
      <c r="AY892" s="34">
        <f>AP892-AO892</f>
        <v/>
      </c>
      <c r="AZ892" s="37">
        <f>(AW892-AX892-AY892)/MAX(1,ABS(AW892),ABS(AX892),ABS(AY892))</f>
        <v/>
      </c>
      <c r="BA892" s="37">
        <f>IF(OR(K892&gt;0,K893&gt;0),0,(AC893-(AC892+AF892-AQ892-AP892+AR892-AI892-AJ892-AM892))/MAX(1,ABS(AC892),ABS(AC893)))</f>
        <v/>
      </c>
      <c r="BB892" s="35">
        <f>(1+INDEX(DiscRateAnn,INT(A892/12)+1))^(1/12)-1</f>
        <v/>
      </c>
      <c r="BC892" s="31">
        <f>(1+BB892)^-A892</f>
        <v/>
      </c>
      <c r="BD892" s="34">
        <f>AW892*BC892</f>
        <v/>
      </c>
    </row>
    <row r="893">
      <c r="A893" s="27">
        <f>A892+1</f>
        <v/>
      </c>
      <c r="B893" s="28">
        <f>Duration0+A893</f>
        <v/>
      </c>
      <c r="C893" s="27">
        <f>INT(B893/12)</f>
        <v/>
      </c>
      <c r="D893" s="28">
        <f>AgeAtEntry+C893</f>
        <v/>
      </c>
      <c r="E893" s="29">
        <f>IF(PremiumType="SINGLE",IF(B893=0,PremiumPPInput,0),IF(B893&lt;12*PolicyTerm,PremiumPPInput,0))</f>
        <v/>
      </c>
      <c r="F893" s="30">
        <f>INDEX(MortRates,MATCH(MIN(D893,120),MortAges,0),MAX(MIN(C893,5),0)+1)</f>
        <v/>
      </c>
      <c r="G893" s="31">
        <f>1-(1-F893)^(1/12)</f>
        <v/>
      </c>
      <c r="H893" s="32">
        <f>MAX(LapseBase-LapseStep*C893,LapseFloor)</f>
        <v/>
      </c>
      <c r="I893" s="32">
        <f>IF(HasSurrCharge,INDEX(SurrRates,MIN(C893,SurrDurMax)+1,MATCH(SurrChargeID,SurrTypes,0)),0)</f>
        <v/>
      </c>
      <c r="J893" s="33">
        <f>N892-P892-O892</f>
        <v/>
      </c>
      <c r="K893" s="30">
        <f>IF(B893=12*PolicyTerm,J893,0)</f>
        <v/>
      </c>
      <c r="L893" s="33">
        <f>J893-K893</f>
        <v/>
      </c>
      <c r="M893" s="30">
        <f>IF(B893=0,PolicyCount,0)</f>
        <v/>
      </c>
      <c r="N893" s="33">
        <f>L893+M893</f>
        <v/>
      </c>
      <c r="O893" s="31">
        <f>N893*G893</f>
        <v/>
      </c>
      <c r="P893" s="33">
        <f>(N893-O893)*(1-(1-H893)^(1/12))</f>
        <v/>
      </c>
      <c r="Q893" s="34">
        <f>X892+Z892</f>
        <v/>
      </c>
      <c r="R893" s="29">
        <f>(1-LoadPremRate)*E893</f>
        <v/>
      </c>
      <c r="S893" s="34">
        <f>Q893+R893</f>
        <v/>
      </c>
      <c r="T893" s="29">
        <f>MaintFeeRateAnn/12*S893</f>
        <v/>
      </c>
      <c r="U893" s="29">
        <f>MAX(SumAssured-S893,0)</f>
        <v/>
      </c>
      <c r="V893" s="35">
        <f>CoiMultiple*G893</f>
        <v/>
      </c>
      <c r="W893" s="34">
        <f>V893*U893</f>
        <v/>
      </c>
      <c r="X893" s="34">
        <f>S893-T893-W893</f>
        <v/>
      </c>
      <c r="Y893" s="36">
        <f>EXP((Mu-0.5*Sigma^2)/12+Sigma*SQRT(1/12)*INDEX(NormRand,ScenID,A893+1))-1</f>
        <v/>
      </c>
      <c r="Z893" s="34">
        <f>Y893*X893</f>
        <v/>
      </c>
      <c r="AA893" s="34">
        <f>X893+0.5*Z893</f>
        <v/>
      </c>
      <c r="AB893" s="34">
        <f>Q893*J893</f>
        <v/>
      </c>
      <c r="AC893" s="34">
        <f>Q893*L893</f>
        <v/>
      </c>
      <c r="AD893" s="34">
        <f>S893*N893</f>
        <v/>
      </c>
      <c r="AE893" s="34">
        <f>E893*N893</f>
        <v/>
      </c>
      <c r="AF893" s="34">
        <f>R893*N893</f>
        <v/>
      </c>
      <c r="AG893" s="29">
        <f>MAX(SumAssured,AA893)</f>
        <v/>
      </c>
      <c r="AH893" s="34">
        <f>AG893*O893</f>
        <v/>
      </c>
      <c r="AI893" s="34">
        <f>AA893*O893</f>
        <v/>
      </c>
      <c r="AJ893" s="34">
        <f>AA893*P893</f>
        <v/>
      </c>
      <c r="AK893" s="34">
        <f>I893*AA893*P893</f>
        <v/>
      </c>
      <c r="AL893" s="34">
        <f>AJ893-AK893</f>
        <v/>
      </c>
      <c r="AM893" s="34">
        <f>Q893*K893</f>
        <v/>
      </c>
      <c r="AN893" s="34">
        <f>AH893+AL893+AM893</f>
        <v/>
      </c>
      <c r="AO893" s="34">
        <f>(AG893-AA893)*O893</f>
        <v/>
      </c>
      <c r="AP893" s="34">
        <f>W893*N893</f>
        <v/>
      </c>
      <c r="AQ893" s="34">
        <f>T893*N893</f>
        <v/>
      </c>
      <c r="AR893" s="34">
        <f>Z893*J894+0.5*Z893*(O893+P893)</f>
        <v/>
      </c>
      <c r="AS893" s="30">
        <f>(1+InflationRate)^(A893/12)</f>
        <v/>
      </c>
      <c r="AT893" s="29">
        <f>ExpenseAcq*M893+N893*ExpenseMaint/12*AS893</f>
        <v/>
      </c>
      <c r="AU893" s="29">
        <f>CommissionRate*AE893</f>
        <v/>
      </c>
      <c r="AV893" s="34">
        <f>AB894-AB893</f>
        <v/>
      </c>
      <c r="AW893" s="34">
        <f>AE893+AR893-AN893-AT893-AU893-AV893</f>
        <v/>
      </c>
      <c r="AX893" s="29">
        <f>LoadPremRate*E893*N893+AK893+AQ893-AU893-AT893</f>
        <v/>
      </c>
      <c r="AY893" s="34">
        <f>AP893-AO893</f>
        <v/>
      </c>
      <c r="AZ893" s="37">
        <f>(AW893-AX893-AY893)/MAX(1,ABS(AW893),ABS(AX893),ABS(AY893))</f>
        <v/>
      </c>
      <c r="BA893" s="37">
        <f>IF(OR(K893&gt;0,K894&gt;0),0,(AC894-(AC893+AF893-AQ893-AP893+AR893-AI893-AJ893-AM893))/MAX(1,ABS(AC893),ABS(AC894)))</f>
        <v/>
      </c>
      <c r="BB893" s="35">
        <f>(1+INDEX(DiscRateAnn,INT(A893/12)+1))^(1/12)-1</f>
        <v/>
      </c>
      <c r="BC893" s="31">
        <f>(1+BB893)^-A893</f>
        <v/>
      </c>
      <c r="BD893" s="34">
        <f>AW893*BC893</f>
        <v/>
      </c>
    </row>
    <row r="894">
      <c r="A894" s="27">
        <f>A893+1</f>
        <v/>
      </c>
      <c r="B894" s="28">
        <f>Duration0+A894</f>
        <v/>
      </c>
      <c r="C894" s="27">
        <f>INT(B894/12)</f>
        <v/>
      </c>
      <c r="D894" s="28">
        <f>AgeAtEntry+C894</f>
        <v/>
      </c>
      <c r="E894" s="29">
        <f>IF(PremiumType="SINGLE",IF(B894=0,PremiumPPInput,0),IF(B894&lt;12*PolicyTerm,PremiumPPInput,0))</f>
        <v/>
      </c>
      <c r="F894" s="30">
        <f>INDEX(MortRates,MATCH(MIN(D894,120),MortAges,0),MAX(MIN(C894,5),0)+1)</f>
        <v/>
      </c>
      <c r="G894" s="31">
        <f>1-(1-F894)^(1/12)</f>
        <v/>
      </c>
      <c r="H894" s="32">
        <f>MAX(LapseBase-LapseStep*C894,LapseFloor)</f>
        <v/>
      </c>
      <c r="I894" s="32">
        <f>IF(HasSurrCharge,INDEX(SurrRates,MIN(C894,SurrDurMax)+1,MATCH(SurrChargeID,SurrTypes,0)),0)</f>
        <v/>
      </c>
      <c r="J894" s="33">
        <f>N893-P893-O893</f>
        <v/>
      </c>
      <c r="K894" s="30">
        <f>IF(B894=12*PolicyTerm,J894,0)</f>
        <v/>
      </c>
      <c r="L894" s="33">
        <f>J894-K894</f>
        <v/>
      </c>
      <c r="M894" s="30">
        <f>IF(B894=0,PolicyCount,0)</f>
        <v/>
      </c>
      <c r="N894" s="33">
        <f>L894+M894</f>
        <v/>
      </c>
      <c r="O894" s="31">
        <f>N894*G894</f>
        <v/>
      </c>
      <c r="P894" s="33">
        <f>(N894-O894)*(1-(1-H894)^(1/12))</f>
        <v/>
      </c>
      <c r="Q894" s="34">
        <f>X893+Z893</f>
        <v/>
      </c>
      <c r="R894" s="29">
        <f>(1-LoadPremRate)*E894</f>
        <v/>
      </c>
      <c r="S894" s="34">
        <f>Q894+R894</f>
        <v/>
      </c>
      <c r="T894" s="29">
        <f>MaintFeeRateAnn/12*S894</f>
        <v/>
      </c>
      <c r="U894" s="29">
        <f>MAX(SumAssured-S894,0)</f>
        <v/>
      </c>
      <c r="V894" s="35">
        <f>CoiMultiple*G894</f>
        <v/>
      </c>
      <c r="W894" s="34">
        <f>V894*U894</f>
        <v/>
      </c>
      <c r="X894" s="34">
        <f>S894-T894-W894</f>
        <v/>
      </c>
      <c r="Y894" s="36">
        <f>EXP((Mu-0.5*Sigma^2)/12+Sigma*SQRT(1/12)*INDEX(NormRand,ScenID,A894+1))-1</f>
        <v/>
      </c>
      <c r="Z894" s="34">
        <f>Y894*X894</f>
        <v/>
      </c>
      <c r="AA894" s="34">
        <f>X894+0.5*Z894</f>
        <v/>
      </c>
      <c r="AB894" s="34">
        <f>Q894*J894</f>
        <v/>
      </c>
      <c r="AC894" s="34">
        <f>Q894*L894</f>
        <v/>
      </c>
      <c r="AD894" s="34">
        <f>S894*N894</f>
        <v/>
      </c>
      <c r="AE894" s="34">
        <f>E894*N894</f>
        <v/>
      </c>
      <c r="AF894" s="34">
        <f>R894*N894</f>
        <v/>
      </c>
      <c r="AG894" s="29">
        <f>MAX(SumAssured,AA894)</f>
        <v/>
      </c>
      <c r="AH894" s="34">
        <f>AG894*O894</f>
        <v/>
      </c>
      <c r="AI894" s="34">
        <f>AA894*O894</f>
        <v/>
      </c>
      <c r="AJ894" s="34">
        <f>AA894*P894</f>
        <v/>
      </c>
      <c r="AK894" s="34">
        <f>I894*AA894*P894</f>
        <v/>
      </c>
      <c r="AL894" s="34">
        <f>AJ894-AK894</f>
        <v/>
      </c>
      <c r="AM894" s="34">
        <f>Q894*K894</f>
        <v/>
      </c>
      <c r="AN894" s="34">
        <f>AH894+AL894+AM894</f>
        <v/>
      </c>
      <c r="AO894" s="34">
        <f>(AG894-AA894)*O894</f>
        <v/>
      </c>
      <c r="AP894" s="34">
        <f>W894*N894</f>
        <v/>
      </c>
      <c r="AQ894" s="34">
        <f>T894*N894</f>
        <v/>
      </c>
      <c r="AR894" s="34">
        <f>Z894*J895+0.5*Z894*(O894+P894)</f>
        <v/>
      </c>
      <c r="AS894" s="30">
        <f>(1+InflationRate)^(A894/12)</f>
        <v/>
      </c>
      <c r="AT894" s="29">
        <f>ExpenseAcq*M894+N894*ExpenseMaint/12*AS894</f>
        <v/>
      </c>
      <c r="AU894" s="29">
        <f>CommissionRate*AE894</f>
        <v/>
      </c>
      <c r="AV894" s="34">
        <f>AB895-AB894</f>
        <v/>
      </c>
      <c r="AW894" s="34">
        <f>AE894+AR894-AN894-AT894-AU894-AV894</f>
        <v/>
      </c>
      <c r="AX894" s="29">
        <f>LoadPremRate*E894*N894+AK894+AQ894-AU894-AT894</f>
        <v/>
      </c>
      <c r="AY894" s="34">
        <f>AP894-AO894</f>
        <v/>
      </c>
      <c r="AZ894" s="37">
        <f>(AW894-AX894-AY894)/MAX(1,ABS(AW894),ABS(AX894),ABS(AY894))</f>
        <v/>
      </c>
      <c r="BA894" s="37">
        <f>IF(OR(K894&gt;0,K895&gt;0),0,(AC895-(AC894+AF894-AQ894-AP894+AR894-AI894-AJ894-AM894))/MAX(1,ABS(AC894),ABS(AC895)))</f>
        <v/>
      </c>
      <c r="BB894" s="35">
        <f>(1+INDEX(DiscRateAnn,INT(A894/12)+1))^(1/12)-1</f>
        <v/>
      </c>
      <c r="BC894" s="31">
        <f>(1+BB894)^-A894</f>
        <v/>
      </c>
      <c r="BD894" s="34">
        <f>AW894*BC894</f>
        <v/>
      </c>
    </row>
    <row r="895">
      <c r="A895" s="27">
        <f>A894+1</f>
        <v/>
      </c>
      <c r="B895" s="28">
        <f>Duration0+A895</f>
        <v/>
      </c>
      <c r="C895" s="27">
        <f>INT(B895/12)</f>
        <v/>
      </c>
      <c r="D895" s="28">
        <f>AgeAtEntry+C895</f>
        <v/>
      </c>
      <c r="E895" s="29">
        <f>IF(PremiumType="SINGLE",IF(B895=0,PremiumPPInput,0),IF(B895&lt;12*PolicyTerm,PremiumPPInput,0))</f>
        <v/>
      </c>
      <c r="F895" s="30">
        <f>INDEX(MortRates,MATCH(MIN(D895,120),MortAges,0),MAX(MIN(C895,5),0)+1)</f>
        <v/>
      </c>
      <c r="G895" s="31">
        <f>1-(1-F895)^(1/12)</f>
        <v/>
      </c>
      <c r="H895" s="32">
        <f>MAX(LapseBase-LapseStep*C895,LapseFloor)</f>
        <v/>
      </c>
      <c r="I895" s="32">
        <f>IF(HasSurrCharge,INDEX(SurrRates,MIN(C895,SurrDurMax)+1,MATCH(SurrChargeID,SurrTypes,0)),0)</f>
        <v/>
      </c>
      <c r="J895" s="33">
        <f>N894-P894-O894</f>
        <v/>
      </c>
      <c r="K895" s="30">
        <f>IF(B895=12*PolicyTerm,J895,0)</f>
        <v/>
      </c>
      <c r="L895" s="33">
        <f>J895-K895</f>
        <v/>
      </c>
      <c r="M895" s="30">
        <f>IF(B895=0,PolicyCount,0)</f>
        <v/>
      </c>
      <c r="N895" s="33">
        <f>L895+M895</f>
        <v/>
      </c>
      <c r="O895" s="31">
        <f>N895*G895</f>
        <v/>
      </c>
      <c r="P895" s="33">
        <f>(N895-O895)*(1-(1-H895)^(1/12))</f>
        <v/>
      </c>
      <c r="Q895" s="34">
        <f>X894+Z894</f>
        <v/>
      </c>
      <c r="R895" s="29">
        <f>(1-LoadPremRate)*E895</f>
        <v/>
      </c>
      <c r="S895" s="34">
        <f>Q895+R895</f>
        <v/>
      </c>
      <c r="T895" s="29">
        <f>MaintFeeRateAnn/12*S895</f>
        <v/>
      </c>
      <c r="U895" s="29">
        <f>MAX(SumAssured-S895,0)</f>
        <v/>
      </c>
      <c r="V895" s="35">
        <f>CoiMultiple*G895</f>
        <v/>
      </c>
      <c r="W895" s="34">
        <f>V895*U895</f>
        <v/>
      </c>
      <c r="X895" s="34">
        <f>S895-T895-W895</f>
        <v/>
      </c>
      <c r="Y895" s="36">
        <f>EXP((Mu-0.5*Sigma^2)/12+Sigma*SQRT(1/12)*INDEX(NormRand,ScenID,A895+1))-1</f>
        <v/>
      </c>
      <c r="Z895" s="34">
        <f>Y895*X895</f>
        <v/>
      </c>
      <c r="AA895" s="34">
        <f>X895+0.5*Z895</f>
        <v/>
      </c>
      <c r="AB895" s="34">
        <f>Q895*J895</f>
        <v/>
      </c>
      <c r="AC895" s="34">
        <f>Q895*L895</f>
        <v/>
      </c>
      <c r="AD895" s="34">
        <f>S895*N895</f>
        <v/>
      </c>
      <c r="AE895" s="34">
        <f>E895*N895</f>
        <v/>
      </c>
      <c r="AF895" s="34">
        <f>R895*N895</f>
        <v/>
      </c>
      <c r="AG895" s="29">
        <f>MAX(SumAssured,AA895)</f>
        <v/>
      </c>
      <c r="AH895" s="34">
        <f>AG895*O895</f>
        <v/>
      </c>
      <c r="AI895" s="34">
        <f>AA895*O895</f>
        <v/>
      </c>
      <c r="AJ895" s="34">
        <f>AA895*P895</f>
        <v/>
      </c>
      <c r="AK895" s="34">
        <f>I895*AA895*P895</f>
        <v/>
      </c>
      <c r="AL895" s="34">
        <f>AJ895-AK895</f>
        <v/>
      </c>
      <c r="AM895" s="34">
        <f>Q895*K895</f>
        <v/>
      </c>
      <c r="AN895" s="34">
        <f>AH895+AL895+AM895</f>
        <v/>
      </c>
      <c r="AO895" s="34">
        <f>(AG895-AA895)*O895</f>
        <v/>
      </c>
      <c r="AP895" s="34">
        <f>W895*N895</f>
        <v/>
      </c>
      <c r="AQ895" s="34">
        <f>T895*N895</f>
        <v/>
      </c>
      <c r="AR895" s="34">
        <f>Z895*J896+0.5*Z895*(O895+P895)</f>
        <v/>
      </c>
      <c r="AS895" s="30">
        <f>(1+InflationRate)^(A895/12)</f>
        <v/>
      </c>
      <c r="AT895" s="29">
        <f>ExpenseAcq*M895+N895*ExpenseMaint/12*AS895</f>
        <v/>
      </c>
      <c r="AU895" s="29">
        <f>CommissionRate*AE895</f>
        <v/>
      </c>
      <c r="AV895" s="34">
        <f>AB896-AB895</f>
        <v/>
      </c>
      <c r="AW895" s="34">
        <f>AE895+AR895-AN895-AT895-AU895-AV895</f>
        <v/>
      </c>
      <c r="AX895" s="29">
        <f>LoadPremRate*E895*N895+AK895+AQ895-AU895-AT895</f>
        <v/>
      </c>
      <c r="AY895" s="34">
        <f>AP895-AO895</f>
        <v/>
      </c>
      <c r="AZ895" s="37">
        <f>(AW895-AX895-AY895)/MAX(1,ABS(AW895),ABS(AX895),ABS(AY895))</f>
        <v/>
      </c>
      <c r="BA895" s="37">
        <f>IF(OR(K895&gt;0,K896&gt;0),0,(AC896-(AC895+AF895-AQ895-AP895+AR895-AI895-AJ895-AM895))/MAX(1,ABS(AC895),ABS(AC896)))</f>
        <v/>
      </c>
      <c r="BB895" s="35">
        <f>(1+INDEX(DiscRateAnn,INT(A895/12)+1))^(1/12)-1</f>
        <v/>
      </c>
      <c r="BC895" s="31">
        <f>(1+BB895)^-A895</f>
        <v/>
      </c>
      <c r="BD895" s="34">
        <f>AW895*BC895</f>
        <v/>
      </c>
    </row>
    <row r="896">
      <c r="A896" s="27">
        <f>A895+1</f>
        <v/>
      </c>
      <c r="B896" s="28">
        <f>Duration0+A896</f>
        <v/>
      </c>
      <c r="C896" s="27">
        <f>INT(B896/12)</f>
        <v/>
      </c>
      <c r="D896" s="28">
        <f>AgeAtEntry+C896</f>
        <v/>
      </c>
      <c r="E896" s="29">
        <f>IF(PremiumType="SINGLE",IF(B896=0,PremiumPPInput,0),IF(B896&lt;12*PolicyTerm,PremiumPPInput,0))</f>
        <v/>
      </c>
      <c r="F896" s="30">
        <f>INDEX(MortRates,MATCH(MIN(D896,120),MortAges,0),MAX(MIN(C896,5),0)+1)</f>
        <v/>
      </c>
      <c r="G896" s="31">
        <f>1-(1-F896)^(1/12)</f>
        <v/>
      </c>
      <c r="H896" s="32">
        <f>MAX(LapseBase-LapseStep*C896,LapseFloor)</f>
        <v/>
      </c>
      <c r="I896" s="32">
        <f>IF(HasSurrCharge,INDEX(SurrRates,MIN(C896,SurrDurMax)+1,MATCH(SurrChargeID,SurrTypes,0)),0)</f>
        <v/>
      </c>
      <c r="J896" s="33">
        <f>N895-P895-O895</f>
        <v/>
      </c>
      <c r="K896" s="30">
        <f>IF(B896=12*PolicyTerm,J896,0)</f>
        <v/>
      </c>
      <c r="L896" s="33">
        <f>J896-K896</f>
        <v/>
      </c>
      <c r="M896" s="30">
        <f>IF(B896=0,PolicyCount,0)</f>
        <v/>
      </c>
      <c r="N896" s="33">
        <f>L896+M896</f>
        <v/>
      </c>
      <c r="O896" s="31">
        <f>N896*G896</f>
        <v/>
      </c>
      <c r="P896" s="33">
        <f>(N896-O896)*(1-(1-H896)^(1/12))</f>
        <v/>
      </c>
      <c r="Q896" s="34">
        <f>X895+Z895</f>
        <v/>
      </c>
      <c r="R896" s="29">
        <f>(1-LoadPremRate)*E896</f>
        <v/>
      </c>
      <c r="S896" s="34">
        <f>Q896+R896</f>
        <v/>
      </c>
      <c r="T896" s="29">
        <f>MaintFeeRateAnn/12*S896</f>
        <v/>
      </c>
      <c r="U896" s="29">
        <f>MAX(SumAssured-S896,0)</f>
        <v/>
      </c>
      <c r="V896" s="35">
        <f>CoiMultiple*G896</f>
        <v/>
      </c>
      <c r="W896" s="34">
        <f>V896*U896</f>
        <v/>
      </c>
      <c r="X896" s="34">
        <f>S896-T896-W896</f>
        <v/>
      </c>
      <c r="Y896" s="36">
        <f>EXP((Mu-0.5*Sigma^2)/12+Sigma*SQRT(1/12)*INDEX(NormRand,ScenID,A896+1))-1</f>
        <v/>
      </c>
      <c r="Z896" s="34">
        <f>Y896*X896</f>
        <v/>
      </c>
      <c r="AA896" s="34">
        <f>X896+0.5*Z896</f>
        <v/>
      </c>
      <c r="AB896" s="34">
        <f>Q896*J896</f>
        <v/>
      </c>
      <c r="AC896" s="34">
        <f>Q896*L896</f>
        <v/>
      </c>
      <c r="AD896" s="34">
        <f>S896*N896</f>
        <v/>
      </c>
      <c r="AE896" s="34">
        <f>E896*N896</f>
        <v/>
      </c>
      <c r="AF896" s="34">
        <f>R896*N896</f>
        <v/>
      </c>
      <c r="AG896" s="29">
        <f>MAX(SumAssured,AA896)</f>
        <v/>
      </c>
      <c r="AH896" s="34">
        <f>AG896*O896</f>
        <v/>
      </c>
      <c r="AI896" s="34">
        <f>AA896*O896</f>
        <v/>
      </c>
      <c r="AJ896" s="34">
        <f>AA896*P896</f>
        <v/>
      </c>
      <c r="AK896" s="34">
        <f>I896*AA896*P896</f>
        <v/>
      </c>
      <c r="AL896" s="34">
        <f>AJ896-AK896</f>
        <v/>
      </c>
      <c r="AM896" s="34">
        <f>Q896*K896</f>
        <v/>
      </c>
      <c r="AN896" s="34">
        <f>AH896+AL896+AM896</f>
        <v/>
      </c>
      <c r="AO896" s="34">
        <f>(AG896-AA896)*O896</f>
        <v/>
      </c>
      <c r="AP896" s="34">
        <f>W896*N896</f>
        <v/>
      </c>
      <c r="AQ896" s="34">
        <f>T896*N896</f>
        <v/>
      </c>
      <c r="AR896" s="34">
        <f>Z896*J897+0.5*Z896*(O896+P896)</f>
        <v/>
      </c>
      <c r="AS896" s="30">
        <f>(1+InflationRate)^(A896/12)</f>
        <v/>
      </c>
      <c r="AT896" s="29">
        <f>ExpenseAcq*M896+N896*ExpenseMaint/12*AS896</f>
        <v/>
      </c>
      <c r="AU896" s="29">
        <f>CommissionRate*AE896</f>
        <v/>
      </c>
      <c r="AV896" s="34">
        <f>AB897-AB896</f>
        <v/>
      </c>
      <c r="AW896" s="34">
        <f>AE896+AR896-AN896-AT896-AU896-AV896</f>
        <v/>
      </c>
      <c r="AX896" s="29">
        <f>LoadPremRate*E896*N896+AK896+AQ896-AU896-AT896</f>
        <v/>
      </c>
      <c r="AY896" s="34">
        <f>AP896-AO896</f>
        <v/>
      </c>
      <c r="AZ896" s="37">
        <f>(AW896-AX896-AY896)/MAX(1,ABS(AW896),ABS(AX896),ABS(AY896))</f>
        <v/>
      </c>
      <c r="BA896" s="37">
        <f>IF(OR(K896&gt;0,K897&gt;0),0,(AC897-(AC896+AF896-AQ896-AP896+AR896-AI896-AJ896-AM896))/MAX(1,ABS(AC896),ABS(AC897)))</f>
        <v/>
      </c>
      <c r="BB896" s="35">
        <f>(1+INDEX(DiscRateAnn,INT(A896/12)+1))^(1/12)-1</f>
        <v/>
      </c>
      <c r="BC896" s="31">
        <f>(1+BB896)^-A896</f>
        <v/>
      </c>
      <c r="BD896" s="34">
        <f>AW896*BC896</f>
        <v/>
      </c>
    </row>
    <row r="897">
      <c r="A897" s="27">
        <f>A896+1</f>
        <v/>
      </c>
      <c r="B897" s="28">
        <f>Duration0+A897</f>
        <v/>
      </c>
      <c r="C897" s="27">
        <f>INT(B897/12)</f>
        <v/>
      </c>
      <c r="D897" s="28">
        <f>AgeAtEntry+C897</f>
        <v/>
      </c>
      <c r="E897" s="29">
        <f>IF(PremiumType="SINGLE",IF(B897=0,PremiumPPInput,0),IF(B897&lt;12*PolicyTerm,PremiumPPInput,0))</f>
        <v/>
      </c>
      <c r="F897" s="30">
        <f>INDEX(MortRates,MATCH(MIN(D897,120),MortAges,0),MAX(MIN(C897,5),0)+1)</f>
        <v/>
      </c>
      <c r="G897" s="31">
        <f>1-(1-F897)^(1/12)</f>
        <v/>
      </c>
      <c r="H897" s="32">
        <f>MAX(LapseBase-LapseStep*C897,LapseFloor)</f>
        <v/>
      </c>
      <c r="I897" s="32">
        <f>IF(HasSurrCharge,INDEX(SurrRates,MIN(C897,SurrDurMax)+1,MATCH(SurrChargeID,SurrTypes,0)),0)</f>
        <v/>
      </c>
      <c r="J897" s="33">
        <f>N896-P896-O896</f>
        <v/>
      </c>
      <c r="K897" s="30">
        <f>IF(B897=12*PolicyTerm,J897,0)</f>
        <v/>
      </c>
      <c r="L897" s="33">
        <f>J897-K897</f>
        <v/>
      </c>
      <c r="M897" s="30">
        <f>IF(B897=0,PolicyCount,0)</f>
        <v/>
      </c>
      <c r="N897" s="33">
        <f>L897+M897</f>
        <v/>
      </c>
      <c r="O897" s="31">
        <f>N897*G897</f>
        <v/>
      </c>
      <c r="P897" s="33">
        <f>(N897-O897)*(1-(1-H897)^(1/12))</f>
        <v/>
      </c>
      <c r="Q897" s="34">
        <f>X896+Z896</f>
        <v/>
      </c>
      <c r="R897" s="29">
        <f>(1-LoadPremRate)*E897</f>
        <v/>
      </c>
      <c r="S897" s="34">
        <f>Q897+R897</f>
        <v/>
      </c>
      <c r="T897" s="29">
        <f>MaintFeeRateAnn/12*S897</f>
        <v/>
      </c>
      <c r="U897" s="29">
        <f>MAX(SumAssured-S897,0)</f>
        <v/>
      </c>
      <c r="V897" s="35">
        <f>CoiMultiple*G897</f>
        <v/>
      </c>
      <c r="W897" s="34">
        <f>V897*U897</f>
        <v/>
      </c>
      <c r="X897" s="34">
        <f>S897-T897-W897</f>
        <v/>
      </c>
      <c r="Y897" s="36">
        <f>EXP((Mu-0.5*Sigma^2)/12+Sigma*SQRT(1/12)*INDEX(NormRand,ScenID,A897+1))-1</f>
        <v/>
      </c>
      <c r="Z897" s="34">
        <f>Y897*X897</f>
        <v/>
      </c>
      <c r="AA897" s="34">
        <f>X897+0.5*Z897</f>
        <v/>
      </c>
      <c r="AB897" s="34">
        <f>Q897*J897</f>
        <v/>
      </c>
      <c r="AC897" s="34">
        <f>Q897*L897</f>
        <v/>
      </c>
      <c r="AD897" s="34">
        <f>S897*N897</f>
        <v/>
      </c>
      <c r="AE897" s="34">
        <f>E897*N897</f>
        <v/>
      </c>
      <c r="AF897" s="34">
        <f>R897*N897</f>
        <v/>
      </c>
      <c r="AG897" s="29">
        <f>MAX(SumAssured,AA897)</f>
        <v/>
      </c>
      <c r="AH897" s="34">
        <f>AG897*O897</f>
        <v/>
      </c>
      <c r="AI897" s="34">
        <f>AA897*O897</f>
        <v/>
      </c>
      <c r="AJ897" s="34">
        <f>AA897*P897</f>
        <v/>
      </c>
      <c r="AK897" s="34">
        <f>I897*AA897*P897</f>
        <v/>
      </c>
      <c r="AL897" s="34">
        <f>AJ897-AK897</f>
        <v/>
      </c>
      <c r="AM897" s="34">
        <f>Q897*K897</f>
        <v/>
      </c>
      <c r="AN897" s="34">
        <f>AH897+AL897+AM897</f>
        <v/>
      </c>
      <c r="AO897" s="34">
        <f>(AG897-AA897)*O897</f>
        <v/>
      </c>
      <c r="AP897" s="34">
        <f>W897*N897</f>
        <v/>
      </c>
      <c r="AQ897" s="34">
        <f>T897*N897</f>
        <v/>
      </c>
      <c r="AR897" s="34">
        <f>Z897*J898+0.5*Z897*(O897+P897)</f>
        <v/>
      </c>
      <c r="AS897" s="30">
        <f>(1+InflationRate)^(A897/12)</f>
        <v/>
      </c>
      <c r="AT897" s="29">
        <f>ExpenseAcq*M897+N897*ExpenseMaint/12*AS897</f>
        <v/>
      </c>
      <c r="AU897" s="29">
        <f>CommissionRate*AE897</f>
        <v/>
      </c>
      <c r="AV897" s="34">
        <f>AB898-AB897</f>
        <v/>
      </c>
      <c r="AW897" s="34">
        <f>AE897+AR897-AN897-AT897-AU897-AV897</f>
        <v/>
      </c>
      <c r="AX897" s="29">
        <f>LoadPremRate*E897*N897+AK897+AQ897-AU897-AT897</f>
        <v/>
      </c>
      <c r="AY897" s="34">
        <f>AP897-AO897</f>
        <v/>
      </c>
      <c r="AZ897" s="37">
        <f>(AW897-AX897-AY897)/MAX(1,ABS(AW897),ABS(AX897),ABS(AY897))</f>
        <v/>
      </c>
      <c r="BA897" s="37">
        <f>IF(OR(K897&gt;0,K898&gt;0),0,(AC898-(AC897+AF897-AQ897-AP897+AR897-AI897-AJ897-AM897))/MAX(1,ABS(AC897),ABS(AC898)))</f>
        <v/>
      </c>
      <c r="BB897" s="35">
        <f>(1+INDEX(DiscRateAnn,INT(A897/12)+1))^(1/12)-1</f>
        <v/>
      </c>
      <c r="BC897" s="31">
        <f>(1+BB897)^-A897</f>
        <v/>
      </c>
      <c r="BD897" s="34">
        <f>AW897*BC897</f>
        <v/>
      </c>
    </row>
    <row r="898">
      <c r="A898" s="27">
        <f>A897+1</f>
        <v/>
      </c>
      <c r="B898" s="28">
        <f>Duration0+A898</f>
        <v/>
      </c>
      <c r="C898" s="27">
        <f>INT(B898/12)</f>
        <v/>
      </c>
      <c r="D898" s="28">
        <f>AgeAtEntry+C898</f>
        <v/>
      </c>
      <c r="E898" s="29">
        <f>IF(PremiumType="SINGLE",IF(B898=0,PremiumPPInput,0),IF(B898&lt;12*PolicyTerm,PremiumPPInput,0))</f>
        <v/>
      </c>
      <c r="F898" s="30">
        <f>INDEX(MortRates,MATCH(MIN(D898,120),MortAges,0),MAX(MIN(C898,5),0)+1)</f>
        <v/>
      </c>
      <c r="G898" s="31">
        <f>1-(1-F898)^(1/12)</f>
        <v/>
      </c>
      <c r="H898" s="32">
        <f>MAX(LapseBase-LapseStep*C898,LapseFloor)</f>
        <v/>
      </c>
      <c r="I898" s="32">
        <f>IF(HasSurrCharge,INDEX(SurrRates,MIN(C898,SurrDurMax)+1,MATCH(SurrChargeID,SurrTypes,0)),0)</f>
        <v/>
      </c>
      <c r="J898" s="33">
        <f>N897-P897-O897</f>
        <v/>
      </c>
      <c r="K898" s="30">
        <f>IF(B898=12*PolicyTerm,J898,0)</f>
        <v/>
      </c>
      <c r="L898" s="33">
        <f>J898-K898</f>
        <v/>
      </c>
      <c r="M898" s="30">
        <f>IF(B898=0,PolicyCount,0)</f>
        <v/>
      </c>
      <c r="N898" s="33">
        <f>L898+M898</f>
        <v/>
      </c>
      <c r="O898" s="31">
        <f>N898*G898</f>
        <v/>
      </c>
      <c r="P898" s="33">
        <f>(N898-O898)*(1-(1-H898)^(1/12))</f>
        <v/>
      </c>
      <c r="Q898" s="34">
        <f>X897+Z897</f>
        <v/>
      </c>
      <c r="R898" s="29">
        <f>(1-LoadPremRate)*E898</f>
        <v/>
      </c>
      <c r="S898" s="34">
        <f>Q898+R898</f>
        <v/>
      </c>
      <c r="T898" s="29">
        <f>MaintFeeRateAnn/12*S898</f>
        <v/>
      </c>
      <c r="U898" s="29">
        <f>MAX(SumAssured-S898,0)</f>
        <v/>
      </c>
      <c r="V898" s="35">
        <f>CoiMultiple*G898</f>
        <v/>
      </c>
      <c r="W898" s="34">
        <f>V898*U898</f>
        <v/>
      </c>
      <c r="X898" s="34">
        <f>S898-T898-W898</f>
        <v/>
      </c>
      <c r="Y898" s="36">
        <f>EXP((Mu-0.5*Sigma^2)/12+Sigma*SQRT(1/12)*INDEX(NormRand,ScenID,A898+1))-1</f>
        <v/>
      </c>
      <c r="Z898" s="34">
        <f>Y898*X898</f>
        <v/>
      </c>
      <c r="AA898" s="34">
        <f>X898+0.5*Z898</f>
        <v/>
      </c>
      <c r="AB898" s="34">
        <f>Q898*J898</f>
        <v/>
      </c>
      <c r="AC898" s="34">
        <f>Q898*L898</f>
        <v/>
      </c>
      <c r="AD898" s="34">
        <f>S898*N898</f>
        <v/>
      </c>
      <c r="AE898" s="34">
        <f>E898*N898</f>
        <v/>
      </c>
      <c r="AF898" s="34">
        <f>R898*N898</f>
        <v/>
      </c>
      <c r="AG898" s="29">
        <f>MAX(SumAssured,AA898)</f>
        <v/>
      </c>
      <c r="AH898" s="34">
        <f>AG898*O898</f>
        <v/>
      </c>
      <c r="AI898" s="34">
        <f>AA898*O898</f>
        <v/>
      </c>
      <c r="AJ898" s="34">
        <f>AA898*P898</f>
        <v/>
      </c>
      <c r="AK898" s="34">
        <f>I898*AA898*P898</f>
        <v/>
      </c>
      <c r="AL898" s="34">
        <f>AJ898-AK898</f>
        <v/>
      </c>
      <c r="AM898" s="34">
        <f>Q898*K898</f>
        <v/>
      </c>
      <c r="AN898" s="34">
        <f>AH898+AL898+AM898</f>
        <v/>
      </c>
      <c r="AO898" s="34">
        <f>(AG898-AA898)*O898</f>
        <v/>
      </c>
      <c r="AP898" s="34">
        <f>W898*N898</f>
        <v/>
      </c>
      <c r="AQ898" s="34">
        <f>T898*N898</f>
        <v/>
      </c>
      <c r="AR898" s="34">
        <f>Z898*J899+0.5*Z898*(O898+P898)</f>
        <v/>
      </c>
      <c r="AS898" s="30">
        <f>(1+InflationRate)^(A898/12)</f>
        <v/>
      </c>
      <c r="AT898" s="29">
        <f>ExpenseAcq*M898+N898*ExpenseMaint/12*AS898</f>
        <v/>
      </c>
      <c r="AU898" s="29">
        <f>CommissionRate*AE898</f>
        <v/>
      </c>
      <c r="AV898" s="34">
        <f>AB899-AB898</f>
        <v/>
      </c>
      <c r="AW898" s="34">
        <f>AE898+AR898-AN898-AT898-AU898-AV898</f>
        <v/>
      </c>
      <c r="AX898" s="29">
        <f>LoadPremRate*E898*N898+AK898+AQ898-AU898-AT898</f>
        <v/>
      </c>
      <c r="AY898" s="34">
        <f>AP898-AO898</f>
        <v/>
      </c>
      <c r="AZ898" s="37">
        <f>(AW898-AX898-AY898)/MAX(1,ABS(AW898),ABS(AX898),ABS(AY898))</f>
        <v/>
      </c>
      <c r="BA898" s="37">
        <f>IF(OR(K898&gt;0,K899&gt;0),0,(AC899-(AC898+AF898-AQ898-AP898+AR898-AI898-AJ898-AM898))/MAX(1,ABS(AC898),ABS(AC899)))</f>
        <v/>
      </c>
      <c r="BB898" s="35">
        <f>(1+INDEX(DiscRateAnn,INT(A898/12)+1))^(1/12)-1</f>
        <v/>
      </c>
      <c r="BC898" s="31">
        <f>(1+BB898)^-A898</f>
        <v/>
      </c>
      <c r="BD898" s="34">
        <f>AW898*BC898</f>
        <v/>
      </c>
    </row>
    <row r="899">
      <c r="A899" s="27">
        <f>A898+1</f>
        <v/>
      </c>
      <c r="B899" s="28">
        <f>Duration0+A899</f>
        <v/>
      </c>
      <c r="C899" s="27">
        <f>INT(B899/12)</f>
        <v/>
      </c>
      <c r="D899" s="28">
        <f>AgeAtEntry+C899</f>
        <v/>
      </c>
      <c r="E899" s="29">
        <f>IF(PremiumType="SINGLE",IF(B899=0,PremiumPPInput,0),IF(B899&lt;12*PolicyTerm,PremiumPPInput,0))</f>
        <v/>
      </c>
      <c r="F899" s="30">
        <f>INDEX(MortRates,MATCH(MIN(D899,120),MortAges,0),MAX(MIN(C899,5),0)+1)</f>
        <v/>
      </c>
      <c r="G899" s="31">
        <f>1-(1-F899)^(1/12)</f>
        <v/>
      </c>
      <c r="H899" s="32">
        <f>MAX(LapseBase-LapseStep*C899,LapseFloor)</f>
        <v/>
      </c>
      <c r="I899" s="32">
        <f>IF(HasSurrCharge,INDEX(SurrRates,MIN(C899,SurrDurMax)+1,MATCH(SurrChargeID,SurrTypes,0)),0)</f>
        <v/>
      </c>
      <c r="J899" s="33">
        <f>N898-P898-O898</f>
        <v/>
      </c>
      <c r="K899" s="30">
        <f>IF(B899=12*PolicyTerm,J899,0)</f>
        <v/>
      </c>
      <c r="L899" s="33">
        <f>J899-K899</f>
        <v/>
      </c>
      <c r="M899" s="30">
        <f>IF(B899=0,PolicyCount,0)</f>
        <v/>
      </c>
      <c r="N899" s="33">
        <f>L899+M899</f>
        <v/>
      </c>
      <c r="O899" s="31">
        <f>N899*G899</f>
        <v/>
      </c>
      <c r="P899" s="33">
        <f>(N899-O899)*(1-(1-H899)^(1/12))</f>
        <v/>
      </c>
      <c r="Q899" s="34">
        <f>X898+Z898</f>
        <v/>
      </c>
      <c r="R899" s="29">
        <f>(1-LoadPremRate)*E899</f>
        <v/>
      </c>
      <c r="S899" s="34">
        <f>Q899+R899</f>
        <v/>
      </c>
      <c r="T899" s="29">
        <f>MaintFeeRateAnn/12*S899</f>
        <v/>
      </c>
      <c r="U899" s="29">
        <f>MAX(SumAssured-S899,0)</f>
        <v/>
      </c>
      <c r="V899" s="35">
        <f>CoiMultiple*G899</f>
        <v/>
      </c>
      <c r="W899" s="34">
        <f>V899*U899</f>
        <v/>
      </c>
      <c r="X899" s="34">
        <f>S899-T899-W899</f>
        <v/>
      </c>
      <c r="Y899" s="36">
        <f>EXP((Mu-0.5*Sigma^2)/12+Sigma*SQRT(1/12)*INDEX(NormRand,ScenID,A899+1))-1</f>
        <v/>
      </c>
      <c r="Z899" s="34">
        <f>Y899*X899</f>
        <v/>
      </c>
      <c r="AA899" s="34">
        <f>X899+0.5*Z899</f>
        <v/>
      </c>
      <c r="AB899" s="34">
        <f>Q899*J899</f>
        <v/>
      </c>
      <c r="AC899" s="34">
        <f>Q899*L899</f>
        <v/>
      </c>
      <c r="AD899" s="34">
        <f>S899*N899</f>
        <v/>
      </c>
      <c r="AE899" s="34">
        <f>E899*N899</f>
        <v/>
      </c>
      <c r="AF899" s="34">
        <f>R899*N899</f>
        <v/>
      </c>
      <c r="AG899" s="29">
        <f>MAX(SumAssured,AA899)</f>
        <v/>
      </c>
      <c r="AH899" s="34">
        <f>AG899*O899</f>
        <v/>
      </c>
      <c r="AI899" s="34">
        <f>AA899*O899</f>
        <v/>
      </c>
      <c r="AJ899" s="34">
        <f>AA899*P899</f>
        <v/>
      </c>
      <c r="AK899" s="34">
        <f>I899*AA899*P899</f>
        <v/>
      </c>
      <c r="AL899" s="34">
        <f>AJ899-AK899</f>
        <v/>
      </c>
      <c r="AM899" s="34">
        <f>Q899*K899</f>
        <v/>
      </c>
      <c r="AN899" s="34">
        <f>AH899+AL899+AM899</f>
        <v/>
      </c>
      <c r="AO899" s="34">
        <f>(AG899-AA899)*O899</f>
        <v/>
      </c>
      <c r="AP899" s="34">
        <f>W899*N899</f>
        <v/>
      </c>
      <c r="AQ899" s="34">
        <f>T899*N899</f>
        <v/>
      </c>
      <c r="AR899" s="34">
        <f>Z899*J900+0.5*Z899*(O899+P899)</f>
        <v/>
      </c>
      <c r="AS899" s="30">
        <f>(1+InflationRate)^(A899/12)</f>
        <v/>
      </c>
      <c r="AT899" s="29">
        <f>ExpenseAcq*M899+N899*ExpenseMaint/12*AS899</f>
        <v/>
      </c>
      <c r="AU899" s="29">
        <f>CommissionRate*AE899</f>
        <v/>
      </c>
      <c r="AV899" s="34">
        <f>AB900-AB899</f>
        <v/>
      </c>
      <c r="AW899" s="34">
        <f>AE899+AR899-AN899-AT899-AU899-AV899</f>
        <v/>
      </c>
      <c r="AX899" s="29">
        <f>LoadPremRate*E899*N899+AK899+AQ899-AU899-AT899</f>
        <v/>
      </c>
      <c r="AY899" s="34">
        <f>AP899-AO899</f>
        <v/>
      </c>
      <c r="AZ899" s="37">
        <f>(AW899-AX899-AY899)/MAX(1,ABS(AW899),ABS(AX899),ABS(AY899))</f>
        <v/>
      </c>
      <c r="BA899" s="37">
        <f>IF(OR(K899&gt;0,K900&gt;0),0,(AC900-(AC899+AF899-AQ899-AP899+AR899-AI899-AJ899-AM899))/MAX(1,ABS(AC899),ABS(AC900)))</f>
        <v/>
      </c>
      <c r="BB899" s="35">
        <f>(1+INDEX(DiscRateAnn,INT(A899/12)+1))^(1/12)-1</f>
        <v/>
      </c>
      <c r="BC899" s="31">
        <f>(1+BB899)^-A899</f>
        <v/>
      </c>
      <c r="BD899" s="34">
        <f>AW899*BC899</f>
        <v/>
      </c>
    </row>
    <row r="900">
      <c r="A900" s="27">
        <f>A899+1</f>
        <v/>
      </c>
      <c r="B900" s="28">
        <f>Duration0+A900</f>
        <v/>
      </c>
      <c r="C900" s="27">
        <f>INT(B900/12)</f>
        <v/>
      </c>
      <c r="D900" s="28">
        <f>AgeAtEntry+C900</f>
        <v/>
      </c>
      <c r="E900" s="29">
        <f>IF(PremiumType="SINGLE",IF(B900=0,PremiumPPInput,0),IF(B900&lt;12*PolicyTerm,PremiumPPInput,0))</f>
        <v/>
      </c>
      <c r="F900" s="30">
        <f>INDEX(MortRates,MATCH(MIN(D900,120),MortAges,0),MAX(MIN(C900,5),0)+1)</f>
        <v/>
      </c>
      <c r="G900" s="31">
        <f>1-(1-F900)^(1/12)</f>
        <v/>
      </c>
      <c r="H900" s="32">
        <f>MAX(LapseBase-LapseStep*C900,LapseFloor)</f>
        <v/>
      </c>
      <c r="I900" s="32">
        <f>IF(HasSurrCharge,INDEX(SurrRates,MIN(C900,SurrDurMax)+1,MATCH(SurrChargeID,SurrTypes,0)),0)</f>
        <v/>
      </c>
      <c r="J900" s="33">
        <f>N899-P899-O899</f>
        <v/>
      </c>
      <c r="K900" s="30">
        <f>IF(B900=12*PolicyTerm,J900,0)</f>
        <v/>
      </c>
      <c r="L900" s="33">
        <f>J900-K900</f>
        <v/>
      </c>
      <c r="M900" s="30">
        <f>IF(B900=0,PolicyCount,0)</f>
        <v/>
      </c>
      <c r="N900" s="33">
        <f>L900+M900</f>
        <v/>
      </c>
      <c r="O900" s="31">
        <f>N900*G900</f>
        <v/>
      </c>
      <c r="P900" s="33">
        <f>(N900-O900)*(1-(1-H900)^(1/12))</f>
        <v/>
      </c>
      <c r="Q900" s="34">
        <f>X899+Z899</f>
        <v/>
      </c>
      <c r="R900" s="29">
        <f>(1-LoadPremRate)*E900</f>
        <v/>
      </c>
      <c r="S900" s="34">
        <f>Q900+R900</f>
        <v/>
      </c>
      <c r="T900" s="29">
        <f>MaintFeeRateAnn/12*S900</f>
        <v/>
      </c>
      <c r="U900" s="29">
        <f>MAX(SumAssured-S900,0)</f>
        <v/>
      </c>
      <c r="V900" s="35">
        <f>CoiMultiple*G900</f>
        <v/>
      </c>
      <c r="W900" s="34">
        <f>V900*U900</f>
        <v/>
      </c>
      <c r="X900" s="34">
        <f>S900-T900-W900</f>
        <v/>
      </c>
      <c r="Y900" s="36">
        <f>EXP((Mu-0.5*Sigma^2)/12+Sigma*SQRT(1/12)*INDEX(NormRand,ScenID,A900+1))-1</f>
        <v/>
      </c>
      <c r="Z900" s="34">
        <f>Y900*X900</f>
        <v/>
      </c>
      <c r="AA900" s="34">
        <f>X900+0.5*Z900</f>
        <v/>
      </c>
      <c r="AB900" s="34">
        <f>Q900*J900</f>
        <v/>
      </c>
      <c r="AC900" s="34">
        <f>Q900*L900</f>
        <v/>
      </c>
      <c r="AD900" s="34">
        <f>S900*N900</f>
        <v/>
      </c>
      <c r="AE900" s="34">
        <f>E900*N900</f>
        <v/>
      </c>
      <c r="AF900" s="34">
        <f>R900*N900</f>
        <v/>
      </c>
      <c r="AG900" s="29">
        <f>MAX(SumAssured,AA900)</f>
        <v/>
      </c>
      <c r="AH900" s="34">
        <f>AG900*O900</f>
        <v/>
      </c>
      <c r="AI900" s="34">
        <f>AA900*O900</f>
        <v/>
      </c>
      <c r="AJ900" s="34">
        <f>AA900*P900</f>
        <v/>
      </c>
      <c r="AK900" s="34">
        <f>I900*AA900*P900</f>
        <v/>
      </c>
      <c r="AL900" s="34">
        <f>AJ900-AK900</f>
        <v/>
      </c>
      <c r="AM900" s="34">
        <f>Q900*K900</f>
        <v/>
      </c>
      <c r="AN900" s="34">
        <f>AH900+AL900+AM900</f>
        <v/>
      </c>
      <c r="AO900" s="34">
        <f>(AG900-AA900)*O900</f>
        <v/>
      </c>
      <c r="AP900" s="34">
        <f>W900*N900</f>
        <v/>
      </c>
      <c r="AQ900" s="34">
        <f>T900*N900</f>
        <v/>
      </c>
      <c r="AR900" s="34">
        <f>Z900*J901+0.5*Z900*(O900+P900)</f>
        <v/>
      </c>
      <c r="AS900" s="30">
        <f>(1+InflationRate)^(A900/12)</f>
        <v/>
      </c>
      <c r="AT900" s="29">
        <f>ExpenseAcq*M900+N900*ExpenseMaint/12*AS900</f>
        <v/>
      </c>
      <c r="AU900" s="29">
        <f>CommissionRate*AE900</f>
        <v/>
      </c>
      <c r="AV900" s="34">
        <f>AB901-AB900</f>
        <v/>
      </c>
      <c r="AW900" s="34">
        <f>AE900+AR900-AN900-AT900-AU900-AV900</f>
        <v/>
      </c>
      <c r="AX900" s="29">
        <f>LoadPremRate*E900*N900+AK900+AQ900-AU900-AT900</f>
        <v/>
      </c>
      <c r="AY900" s="34">
        <f>AP900-AO900</f>
        <v/>
      </c>
      <c r="AZ900" s="37">
        <f>(AW900-AX900-AY900)/MAX(1,ABS(AW900),ABS(AX900),ABS(AY900))</f>
        <v/>
      </c>
      <c r="BA900" s="37">
        <f>IF(OR(K900&gt;0,K901&gt;0),0,(AC901-(AC900+AF900-AQ900-AP900+AR900-AI900-AJ900-AM900))/MAX(1,ABS(AC900),ABS(AC901)))</f>
        <v/>
      </c>
      <c r="BB900" s="35">
        <f>(1+INDEX(DiscRateAnn,INT(A900/12)+1))^(1/12)-1</f>
        <v/>
      </c>
      <c r="BC900" s="31">
        <f>(1+BB900)^-A900</f>
        <v/>
      </c>
      <c r="BD900" s="34">
        <f>AW900*BC900</f>
        <v/>
      </c>
    </row>
    <row r="901">
      <c r="A901" s="27">
        <f>A900+1</f>
        <v/>
      </c>
      <c r="B901" s="28">
        <f>Duration0+A901</f>
        <v/>
      </c>
      <c r="C901" s="27">
        <f>INT(B901/12)</f>
        <v/>
      </c>
      <c r="D901" s="28">
        <f>AgeAtEntry+C901</f>
        <v/>
      </c>
      <c r="E901" s="29">
        <f>IF(PremiumType="SINGLE",IF(B901=0,PremiumPPInput,0),IF(B901&lt;12*PolicyTerm,PremiumPPInput,0))</f>
        <v/>
      </c>
      <c r="F901" s="30">
        <f>INDEX(MortRates,MATCH(MIN(D901,120),MortAges,0),MAX(MIN(C901,5),0)+1)</f>
        <v/>
      </c>
      <c r="G901" s="31">
        <f>1-(1-F901)^(1/12)</f>
        <v/>
      </c>
      <c r="H901" s="32">
        <f>MAX(LapseBase-LapseStep*C901,LapseFloor)</f>
        <v/>
      </c>
      <c r="I901" s="32">
        <f>IF(HasSurrCharge,INDEX(SurrRates,MIN(C901,SurrDurMax)+1,MATCH(SurrChargeID,SurrTypes,0)),0)</f>
        <v/>
      </c>
      <c r="J901" s="33">
        <f>N900-P900-O900</f>
        <v/>
      </c>
      <c r="K901" s="30">
        <f>IF(B901=12*PolicyTerm,J901,0)</f>
        <v/>
      </c>
      <c r="L901" s="33">
        <f>J901-K901</f>
        <v/>
      </c>
      <c r="M901" s="30">
        <f>IF(B901=0,PolicyCount,0)</f>
        <v/>
      </c>
      <c r="N901" s="33">
        <f>L901+M901</f>
        <v/>
      </c>
      <c r="O901" s="31">
        <f>N901*G901</f>
        <v/>
      </c>
      <c r="P901" s="33">
        <f>(N901-O901)*(1-(1-H901)^(1/12))</f>
        <v/>
      </c>
      <c r="Q901" s="34">
        <f>X900+Z900</f>
        <v/>
      </c>
      <c r="R901" s="29">
        <f>(1-LoadPremRate)*E901</f>
        <v/>
      </c>
      <c r="S901" s="34">
        <f>Q901+R901</f>
        <v/>
      </c>
      <c r="T901" s="29">
        <f>MaintFeeRateAnn/12*S901</f>
        <v/>
      </c>
      <c r="U901" s="29">
        <f>MAX(SumAssured-S901,0)</f>
        <v/>
      </c>
      <c r="V901" s="35">
        <f>CoiMultiple*G901</f>
        <v/>
      </c>
      <c r="W901" s="34">
        <f>V901*U901</f>
        <v/>
      </c>
      <c r="X901" s="34">
        <f>S901-T901-W901</f>
        <v/>
      </c>
      <c r="Y901" s="36">
        <f>EXP((Mu-0.5*Sigma^2)/12+Sigma*SQRT(1/12)*INDEX(NormRand,ScenID,A901+1))-1</f>
        <v/>
      </c>
      <c r="Z901" s="34">
        <f>Y901*X901</f>
        <v/>
      </c>
      <c r="AA901" s="34">
        <f>X901+0.5*Z901</f>
        <v/>
      </c>
      <c r="AB901" s="34">
        <f>Q901*J901</f>
        <v/>
      </c>
      <c r="AC901" s="34">
        <f>Q901*L901</f>
        <v/>
      </c>
      <c r="AD901" s="34">
        <f>S901*N901</f>
        <v/>
      </c>
      <c r="AE901" s="34">
        <f>E901*N901</f>
        <v/>
      </c>
      <c r="AF901" s="34">
        <f>R901*N901</f>
        <v/>
      </c>
      <c r="AG901" s="29">
        <f>MAX(SumAssured,AA901)</f>
        <v/>
      </c>
      <c r="AH901" s="34">
        <f>AG901*O901</f>
        <v/>
      </c>
      <c r="AI901" s="34">
        <f>AA901*O901</f>
        <v/>
      </c>
      <c r="AJ901" s="34">
        <f>AA901*P901</f>
        <v/>
      </c>
      <c r="AK901" s="34">
        <f>I901*AA901*P901</f>
        <v/>
      </c>
      <c r="AL901" s="34">
        <f>AJ901-AK901</f>
        <v/>
      </c>
      <c r="AM901" s="34">
        <f>Q901*K901</f>
        <v/>
      </c>
      <c r="AN901" s="34">
        <f>AH901+AL901+AM901</f>
        <v/>
      </c>
      <c r="AO901" s="34">
        <f>(AG901-AA901)*O901</f>
        <v/>
      </c>
      <c r="AP901" s="34">
        <f>W901*N901</f>
        <v/>
      </c>
      <c r="AQ901" s="34">
        <f>T901*N901</f>
        <v/>
      </c>
      <c r="AR901" s="34">
        <f>Z901*J902+0.5*Z901*(O901+P901)</f>
        <v/>
      </c>
      <c r="AS901" s="30">
        <f>(1+InflationRate)^(A901/12)</f>
        <v/>
      </c>
      <c r="AT901" s="29">
        <f>ExpenseAcq*M901+N901*ExpenseMaint/12*AS901</f>
        <v/>
      </c>
      <c r="AU901" s="29">
        <f>CommissionRate*AE901</f>
        <v/>
      </c>
      <c r="AV901" s="34">
        <f>AB902-AB901</f>
        <v/>
      </c>
      <c r="AW901" s="34">
        <f>AE901+AR901-AN901-AT901-AU901-AV901</f>
        <v/>
      </c>
      <c r="AX901" s="29">
        <f>LoadPremRate*E901*N901+AK901+AQ901-AU901-AT901</f>
        <v/>
      </c>
      <c r="AY901" s="34">
        <f>AP901-AO901</f>
        <v/>
      </c>
      <c r="AZ901" s="37">
        <f>(AW901-AX901-AY901)/MAX(1,ABS(AW901),ABS(AX901),ABS(AY901))</f>
        <v/>
      </c>
      <c r="BA901" s="37">
        <f>IF(OR(K901&gt;0,K902&gt;0),0,(AC902-(AC901+AF901-AQ901-AP901+AR901-AI901-AJ901-AM901))/MAX(1,ABS(AC901),ABS(AC902)))</f>
        <v/>
      </c>
      <c r="BB901" s="35">
        <f>(1+INDEX(DiscRateAnn,INT(A901/12)+1))^(1/12)-1</f>
        <v/>
      </c>
      <c r="BC901" s="31">
        <f>(1+BB901)^-A901</f>
        <v/>
      </c>
      <c r="BD901" s="34">
        <f>AW901*BC901</f>
        <v/>
      </c>
    </row>
    <row r="902">
      <c r="A902" s="27">
        <f>A901+1</f>
        <v/>
      </c>
      <c r="B902" s="28">
        <f>Duration0+A902</f>
        <v/>
      </c>
      <c r="C902" s="27">
        <f>INT(B902/12)</f>
        <v/>
      </c>
      <c r="D902" s="28">
        <f>AgeAtEntry+C902</f>
        <v/>
      </c>
      <c r="E902" s="29">
        <f>IF(PremiumType="SINGLE",IF(B902=0,PremiumPPInput,0),IF(B902&lt;12*PolicyTerm,PremiumPPInput,0))</f>
        <v/>
      </c>
      <c r="F902" s="30">
        <f>INDEX(MortRates,MATCH(MIN(D902,120),MortAges,0),MAX(MIN(C902,5),0)+1)</f>
        <v/>
      </c>
      <c r="G902" s="31">
        <f>1-(1-F902)^(1/12)</f>
        <v/>
      </c>
      <c r="H902" s="32">
        <f>MAX(LapseBase-LapseStep*C902,LapseFloor)</f>
        <v/>
      </c>
      <c r="I902" s="32">
        <f>IF(HasSurrCharge,INDEX(SurrRates,MIN(C902,SurrDurMax)+1,MATCH(SurrChargeID,SurrTypes,0)),0)</f>
        <v/>
      </c>
      <c r="J902" s="33">
        <f>N901-P901-O901</f>
        <v/>
      </c>
      <c r="K902" s="30">
        <f>IF(B902=12*PolicyTerm,J902,0)</f>
        <v/>
      </c>
      <c r="L902" s="33">
        <f>J902-K902</f>
        <v/>
      </c>
      <c r="M902" s="30">
        <f>IF(B902=0,PolicyCount,0)</f>
        <v/>
      </c>
      <c r="N902" s="33">
        <f>L902+M902</f>
        <v/>
      </c>
      <c r="O902" s="31">
        <f>N902*G902</f>
        <v/>
      </c>
      <c r="P902" s="33">
        <f>(N902-O902)*(1-(1-H902)^(1/12))</f>
        <v/>
      </c>
      <c r="Q902" s="34">
        <f>X901+Z901</f>
        <v/>
      </c>
      <c r="R902" s="29">
        <f>(1-LoadPremRate)*E902</f>
        <v/>
      </c>
      <c r="S902" s="34">
        <f>Q902+R902</f>
        <v/>
      </c>
      <c r="T902" s="29">
        <f>MaintFeeRateAnn/12*S902</f>
        <v/>
      </c>
      <c r="U902" s="29">
        <f>MAX(SumAssured-S902,0)</f>
        <v/>
      </c>
      <c r="V902" s="35">
        <f>CoiMultiple*G902</f>
        <v/>
      </c>
      <c r="W902" s="34">
        <f>V902*U902</f>
        <v/>
      </c>
      <c r="X902" s="34">
        <f>S902-T902-W902</f>
        <v/>
      </c>
      <c r="Y902" s="36">
        <f>EXP((Mu-0.5*Sigma^2)/12+Sigma*SQRT(1/12)*INDEX(NormRand,ScenID,A902+1))-1</f>
        <v/>
      </c>
      <c r="Z902" s="34">
        <f>Y902*X902</f>
        <v/>
      </c>
      <c r="AA902" s="34">
        <f>X902+0.5*Z902</f>
        <v/>
      </c>
      <c r="AB902" s="34">
        <f>Q902*J902</f>
        <v/>
      </c>
      <c r="AC902" s="34">
        <f>Q902*L902</f>
        <v/>
      </c>
      <c r="AD902" s="34">
        <f>S902*N902</f>
        <v/>
      </c>
      <c r="AE902" s="34">
        <f>E902*N902</f>
        <v/>
      </c>
      <c r="AF902" s="34">
        <f>R902*N902</f>
        <v/>
      </c>
      <c r="AG902" s="29">
        <f>MAX(SumAssured,AA902)</f>
        <v/>
      </c>
      <c r="AH902" s="34">
        <f>AG902*O902</f>
        <v/>
      </c>
      <c r="AI902" s="34">
        <f>AA902*O902</f>
        <v/>
      </c>
      <c r="AJ902" s="34">
        <f>AA902*P902</f>
        <v/>
      </c>
      <c r="AK902" s="34">
        <f>I902*AA902*P902</f>
        <v/>
      </c>
      <c r="AL902" s="34">
        <f>AJ902-AK902</f>
        <v/>
      </c>
      <c r="AM902" s="34">
        <f>Q902*K902</f>
        <v/>
      </c>
      <c r="AN902" s="34">
        <f>AH902+AL902+AM902</f>
        <v/>
      </c>
      <c r="AO902" s="34">
        <f>(AG902-AA902)*O902</f>
        <v/>
      </c>
      <c r="AP902" s="34">
        <f>W902*N902</f>
        <v/>
      </c>
      <c r="AQ902" s="34">
        <f>T902*N902</f>
        <v/>
      </c>
      <c r="AR902" s="34">
        <f>Z902*J903+0.5*Z902*(O902+P902)</f>
        <v/>
      </c>
      <c r="AS902" s="30">
        <f>(1+InflationRate)^(A902/12)</f>
        <v/>
      </c>
      <c r="AT902" s="29">
        <f>ExpenseAcq*M902+N902*ExpenseMaint/12*AS902</f>
        <v/>
      </c>
      <c r="AU902" s="29">
        <f>CommissionRate*AE902</f>
        <v/>
      </c>
      <c r="AV902" s="34">
        <f>AB903-AB902</f>
        <v/>
      </c>
      <c r="AW902" s="34">
        <f>AE902+AR902-AN902-AT902-AU902-AV902</f>
        <v/>
      </c>
      <c r="AX902" s="29">
        <f>LoadPremRate*E902*N902+AK902+AQ902-AU902-AT902</f>
        <v/>
      </c>
      <c r="AY902" s="34">
        <f>AP902-AO902</f>
        <v/>
      </c>
      <c r="AZ902" s="37">
        <f>(AW902-AX902-AY902)/MAX(1,ABS(AW902),ABS(AX902),ABS(AY902))</f>
        <v/>
      </c>
      <c r="BA902" s="37">
        <f>IF(OR(K902&gt;0,K903&gt;0),0,(AC903-(AC902+AF902-AQ902-AP902+AR902-AI902-AJ902-AM902))/MAX(1,ABS(AC902),ABS(AC903)))</f>
        <v/>
      </c>
      <c r="BB902" s="35">
        <f>(1+INDEX(DiscRateAnn,INT(A902/12)+1))^(1/12)-1</f>
        <v/>
      </c>
      <c r="BC902" s="31">
        <f>(1+BB902)^-A902</f>
        <v/>
      </c>
      <c r="BD902" s="34">
        <f>AW902*BC902</f>
        <v/>
      </c>
    </row>
    <row r="903">
      <c r="A903" s="27">
        <f>A902+1</f>
        <v/>
      </c>
      <c r="B903" s="28">
        <f>Duration0+A903</f>
        <v/>
      </c>
      <c r="C903" s="27">
        <f>INT(B903/12)</f>
        <v/>
      </c>
      <c r="D903" s="28">
        <f>AgeAtEntry+C903</f>
        <v/>
      </c>
      <c r="E903" s="29">
        <f>IF(PremiumType="SINGLE",IF(B903=0,PremiumPPInput,0),IF(B903&lt;12*PolicyTerm,PremiumPPInput,0))</f>
        <v/>
      </c>
      <c r="F903" s="30">
        <f>INDEX(MortRates,MATCH(MIN(D903,120),MortAges,0),MAX(MIN(C903,5),0)+1)</f>
        <v/>
      </c>
      <c r="G903" s="31">
        <f>1-(1-F903)^(1/12)</f>
        <v/>
      </c>
      <c r="H903" s="32">
        <f>MAX(LapseBase-LapseStep*C903,LapseFloor)</f>
        <v/>
      </c>
      <c r="I903" s="32">
        <f>IF(HasSurrCharge,INDEX(SurrRates,MIN(C903,SurrDurMax)+1,MATCH(SurrChargeID,SurrTypes,0)),0)</f>
        <v/>
      </c>
      <c r="J903" s="33">
        <f>N902-P902-O902</f>
        <v/>
      </c>
      <c r="K903" s="30">
        <f>IF(B903=12*PolicyTerm,J903,0)</f>
        <v/>
      </c>
      <c r="L903" s="33">
        <f>J903-K903</f>
        <v/>
      </c>
      <c r="M903" s="30">
        <f>IF(B903=0,PolicyCount,0)</f>
        <v/>
      </c>
      <c r="N903" s="33">
        <f>L903+M903</f>
        <v/>
      </c>
      <c r="O903" s="31">
        <f>N903*G903</f>
        <v/>
      </c>
      <c r="P903" s="33">
        <f>(N903-O903)*(1-(1-H903)^(1/12))</f>
        <v/>
      </c>
      <c r="Q903" s="34">
        <f>X902+Z902</f>
        <v/>
      </c>
      <c r="R903" s="29">
        <f>(1-LoadPremRate)*E903</f>
        <v/>
      </c>
      <c r="S903" s="34">
        <f>Q903+R903</f>
        <v/>
      </c>
      <c r="T903" s="29">
        <f>MaintFeeRateAnn/12*S903</f>
        <v/>
      </c>
      <c r="U903" s="29">
        <f>MAX(SumAssured-S903,0)</f>
        <v/>
      </c>
      <c r="V903" s="35">
        <f>CoiMultiple*G903</f>
        <v/>
      </c>
      <c r="W903" s="34">
        <f>V903*U903</f>
        <v/>
      </c>
      <c r="X903" s="34">
        <f>S903-T903-W903</f>
        <v/>
      </c>
      <c r="Y903" s="36">
        <f>EXP((Mu-0.5*Sigma^2)/12+Sigma*SQRT(1/12)*INDEX(NormRand,ScenID,A903+1))-1</f>
        <v/>
      </c>
      <c r="Z903" s="34">
        <f>Y903*X903</f>
        <v/>
      </c>
      <c r="AA903" s="34">
        <f>X903+0.5*Z903</f>
        <v/>
      </c>
      <c r="AB903" s="34">
        <f>Q903*J903</f>
        <v/>
      </c>
      <c r="AC903" s="34">
        <f>Q903*L903</f>
        <v/>
      </c>
      <c r="AD903" s="34">
        <f>S903*N903</f>
        <v/>
      </c>
      <c r="AE903" s="34">
        <f>E903*N903</f>
        <v/>
      </c>
      <c r="AF903" s="34">
        <f>R903*N903</f>
        <v/>
      </c>
      <c r="AG903" s="29">
        <f>MAX(SumAssured,AA903)</f>
        <v/>
      </c>
      <c r="AH903" s="34">
        <f>AG903*O903</f>
        <v/>
      </c>
      <c r="AI903" s="34">
        <f>AA903*O903</f>
        <v/>
      </c>
      <c r="AJ903" s="34">
        <f>AA903*P903</f>
        <v/>
      </c>
      <c r="AK903" s="34">
        <f>I903*AA903*P903</f>
        <v/>
      </c>
      <c r="AL903" s="34">
        <f>AJ903-AK903</f>
        <v/>
      </c>
      <c r="AM903" s="34">
        <f>Q903*K903</f>
        <v/>
      </c>
      <c r="AN903" s="34">
        <f>AH903+AL903+AM903</f>
        <v/>
      </c>
      <c r="AO903" s="34">
        <f>(AG903-AA903)*O903</f>
        <v/>
      </c>
      <c r="AP903" s="34">
        <f>W903*N903</f>
        <v/>
      </c>
      <c r="AQ903" s="34">
        <f>T903*N903</f>
        <v/>
      </c>
      <c r="AR903" s="34">
        <f>Z903*J904+0.5*Z903*(O903+P903)</f>
        <v/>
      </c>
      <c r="AS903" s="30">
        <f>(1+InflationRate)^(A903/12)</f>
        <v/>
      </c>
      <c r="AT903" s="29">
        <f>ExpenseAcq*M903+N903*ExpenseMaint/12*AS903</f>
        <v/>
      </c>
      <c r="AU903" s="29">
        <f>CommissionRate*AE903</f>
        <v/>
      </c>
      <c r="AV903" s="34">
        <f>AB904-AB903</f>
        <v/>
      </c>
      <c r="AW903" s="34">
        <f>AE903+AR903-AN903-AT903-AU903-AV903</f>
        <v/>
      </c>
      <c r="AX903" s="29">
        <f>LoadPremRate*E903*N903+AK903+AQ903-AU903-AT903</f>
        <v/>
      </c>
      <c r="AY903" s="34">
        <f>AP903-AO903</f>
        <v/>
      </c>
      <c r="AZ903" s="37">
        <f>(AW903-AX903-AY903)/MAX(1,ABS(AW903),ABS(AX903),ABS(AY903))</f>
        <v/>
      </c>
      <c r="BA903" s="37">
        <f>IF(OR(K903&gt;0,K904&gt;0),0,(AC904-(AC903+AF903-AQ903-AP903+AR903-AI903-AJ903-AM903))/MAX(1,ABS(AC903),ABS(AC904)))</f>
        <v/>
      </c>
      <c r="BB903" s="35">
        <f>(1+INDEX(DiscRateAnn,INT(A903/12)+1))^(1/12)-1</f>
        <v/>
      </c>
      <c r="BC903" s="31">
        <f>(1+BB903)^-A903</f>
        <v/>
      </c>
      <c r="BD903" s="34">
        <f>AW903*BC903</f>
        <v/>
      </c>
    </row>
    <row r="904">
      <c r="A904" s="27">
        <f>A903+1</f>
        <v/>
      </c>
      <c r="B904" s="28">
        <f>Duration0+A904</f>
        <v/>
      </c>
      <c r="C904" s="27">
        <f>INT(B904/12)</f>
        <v/>
      </c>
      <c r="D904" s="28">
        <f>AgeAtEntry+C904</f>
        <v/>
      </c>
      <c r="E904" s="29">
        <f>IF(PremiumType="SINGLE",IF(B904=0,PremiumPPInput,0),IF(B904&lt;12*PolicyTerm,PremiumPPInput,0))</f>
        <v/>
      </c>
      <c r="F904" s="30">
        <f>INDEX(MortRates,MATCH(MIN(D904,120),MortAges,0),MAX(MIN(C904,5),0)+1)</f>
        <v/>
      </c>
      <c r="G904" s="31">
        <f>1-(1-F904)^(1/12)</f>
        <v/>
      </c>
      <c r="H904" s="32">
        <f>MAX(LapseBase-LapseStep*C904,LapseFloor)</f>
        <v/>
      </c>
      <c r="I904" s="32">
        <f>IF(HasSurrCharge,INDEX(SurrRates,MIN(C904,SurrDurMax)+1,MATCH(SurrChargeID,SurrTypes,0)),0)</f>
        <v/>
      </c>
      <c r="J904" s="33">
        <f>N903-P903-O903</f>
        <v/>
      </c>
      <c r="K904" s="30">
        <f>IF(B904=12*PolicyTerm,J904,0)</f>
        <v/>
      </c>
      <c r="L904" s="33">
        <f>J904-K904</f>
        <v/>
      </c>
      <c r="M904" s="30">
        <f>IF(B904=0,PolicyCount,0)</f>
        <v/>
      </c>
      <c r="N904" s="33">
        <f>L904+M904</f>
        <v/>
      </c>
      <c r="O904" s="31">
        <f>N904*G904</f>
        <v/>
      </c>
      <c r="P904" s="33">
        <f>(N904-O904)*(1-(1-H904)^(1/12))</f>
        <v/>
      </c>
      <c r="Q904" s="34">
        <f>X903+Z903</f>
        <v/>
      </c>
      <c r="R904" s="29">
        <f>(1-LoadPremRate)*E904</f>
        <v/>
      </c>
      <c r="S904" s="34">
        <f>Q904+R904</f>
        <v/>
      </c>
      <c r="T904" s="29">
        <f>MaintFeeRateAnn/12*S904</f>
        <v/>
      </c>
      <c r="U904" s="29">
        <f>MAX(SumAssured-S904,0)</f>
        <v/>
      </c>
      <c r="V904" s="35">
        <f>CoiMultiple*G904</f>
        <v/>
      </c>
      <c r="W904" s="34">
        <f>V904*U904</f>
        <v/>
      </c>
      <c r="X904" s="34">
        <f>S904-T904-W904</f>
        <v/>
      </c>
      <c r="Y904" s="36">
        <f>EXP((Mu-0.5*Sigma^2)/12+Sigma*SQRT(1/12)*INDEX(NormRand,ScenID,A904+1))-1</f>
        <v/>
      </c>
      <c r="Z904" s="34">
        <f>Y904*X904</f>
        <v/>
      </c>
      <c r="AA904" s="34">
        <f>X904+0.5*Z904</f>
        <v/>
      </c>
      <c r="AB904" s="34">
        <f>Q904*J904</f>
        <v/>
      </c>
      <c r="AC904" s="34">
        <f>Q904*L904</f>
        <v/>
      </c>
      <c r="AD904" s="34">
        <f>S904*N904</f>
        <v/>
      </c>
      <c r="AE904" s="34">
        <f>E904*N904</f>
        <v/>
      </c>
      <c r="AF904" s="34">
        <f>R904*N904</f>
        <v/>
      </c>
      <c r="AG904" s="29">
        <f>MAX(SumAssured,AA904)</f>
        <v/>
      </c>
      <c r="AH904" s="34">
        <f>AG904*O904</f>
        <v/>
      </c>
      <c r="AI904" s="34">
        <f>AA904*O904</f>
        <v/>
      </c>
      <c r="AJ904" s="34">
        <f>AA904*P904</f>
        <v/>
      </c>
      <c r="AK904" s="34">
        <f>I904*AA904*P904</f>
        <v/>
      </c>
      <c r="AL904" s="34">
        <f>AJ904-AK904</f>
        <v/>
      </c>
      <c r="AM904" s="34">
        <f>Q904*K904</f>
        <v/>
      </c>
      <c r="AN904" s="34">
        <f>AH904+AL904+AM904</f>
        <v/>
      </c>
      <c r="AO904" s="34">
        <f>(AG904-AA904)*O904</f>
        <v/>
      </c>
      <c r="AP904" s="34">
        <f>W904*N904</f>
        <v/>
      </c>
      <c r="AQ904" s="34">
        <f>T904*N904</f>
        <v/>
      </c>
      <c r="AR904" s="34">
        <f>Z904*J905+0.5*Z904*(O904+P904)</f>
        <v/>
      </c>
      <c r="AS904" s="30">
        <f>(1+InflationRate)^(A904/12)</f>
        <v/>
      </c>
      <c r="AT904" s="29">
        <f>ExpenseAcq*M904+N904*ExpenseMaint/12*AS904</f>
        <v/>
      </c>
      <c r="AU904" s="29">
        <f>CommissionRate*AE904</f>
        <v/>
      </c>
      <c r="AV904" s="34">
        <f>AB905-AB904</f>
        <v/>
      </c>
      <c r="AW904" s="34">
        <f>AE904+AR904-AN904-AT904-AU904-AV904</f>
        <v/>
      </c>
      <c r="AX904" s="29">
        <f>LoadPremRate*E904*N904+AK904+AQ904-AU904-AT904</f>
        <v/>
      </c>
      <c r="AY904" s="34">
        <f>AP904-AO904</f>
        <v/>
      </c>
      <c r="AZ904" s="37">
        <f>(AW904-AX904-AY904)/MAX(1,ABS(AW904),ABS(AX904),ABS(AY904))</f>
        <v/>
      </c>
      <c r="BA904" s="37">
        <f>IF(OR(K904&gt;0,K905&gt;0),0,(AC905-(AC904+AF904-AQ904-AP904+AR904-AI904-AJ904-AM904))/MAX(1,ABS(AC904),ABS(AC905)))</f>
        <v/>
      </c>
      <c r="BB904" s="35">
        <f>(1+INDEX(DiscRateAnn,INT(A904/12)+1))^(1/12)-1</f>
        <v/>
      </c>
      <c r="BC904" s="31">
        <f>(1+BB904)^-A904</f>
        <v/>
      </c>
      <c r="BD904" s="34">
        <f>AW904*BC904</f>
        <v/>
      </c>
    </row>
    <row r="905">
      <c r="A905" s="27">
        <f>A904+1</f>
        <v/>
      </c>
      <c r="B905" s="28">
        <f>Duration0+A905</f>
        <v/>
      </c>
      <c r="C905" s="27">
        <f>INT(B905/12)</f>
        <v/>
      </c>
      <c r="D905" s="28">
        <f>AgeAtEntry+C905</f>
        <v/>
      </c>
      <c r="E905" s="29">
        <f>IF(PremiumType="SINGLE",IF(B905=0,PremiumPPInput,0),IF(B905&lt;12*PolicyTerm,PremiumPPInput,0))</f>
        <v/>
      </c>
      <c r="F905" s="30">
        <f>INDEX(MortRates,MATCH(MIN(D905,120),MortAges,0),MAX(MIN(C905,5),0)+1)</f>
        <v/>
      </c>
      <c r="G905" s="31">
        <f>1-(1-F905)^(1/12)</f>
        <v/>
      </c>
      <c r="H905" s="32">
        <f>MAX(LapseBase-LapseStep*C905,LapseFloor)</f>
        <v/>
      </c>
      <c r="I905" s="32">
        <f>IF(HasSurrCharge,INDEX(SurrRates,MIN(C905,SurrDurMax)+1,MATCH(SurrChargeID,SurrTypes,0)),0)</f>
        <v/>
      </c>
      <c r="J905" s="33">
        <f>N904-P904-O904</f>
        <v/>
      </c>
      <c r="K905" s="30">
        <f>IF(B905=12*PolicyTerm,J905,0)</f>
        <v/>
      </c>
      <c r="L905" s="33">
        <f>J905-K905</f>
        <v/>
      </c>
      <c r="M905" s="30">
        <f>IF(B905=0,PolicyCount,0)</f>
        <v/>
      </c>
      <c r="N905" s="33">
        <f>L905+M905</f>
        <v/>
      </c>
      <c r="O905" s="31">
        <f>N905*G905</f>
        <v/>
      </c>
      <c r="P905" s="33">
        <f>(N905-O905)*(1-(1-H905)^(1/12))</f>
        <v/>
      </c>
      <c r="Q905" s="34">
        <f>X904+Z904</f>
        <v/>
      </c>
      <c r="R905" s="29">
        <f>(1-LoadPremRate)*E905</f>
        <v/>
      </c>
      <c r="S905" s="34">
        <f>Q905+R905</f>
        <v/>
      </c>
      <c r="T905" s="29">
        <f>MaintFeeRateAnn/12*S905</f>
        <v/>
      </c>
      <c r="U905" s="29">
        <f>MAX(SumAssured-S905,0)</f>
        <v/>
      </c>
      <c r="V905" s="35">
        <f>CoiMultiple*G905</f>
        <v/>
      </c>
      <c r="W905" s="34">
        <f>V905*U905</f>
        <v/>
      </c>
      <c r="X905" s="34">
        <f>S905-T905-W905</f>
        <v/>
      </c>
      <c r="Y905" s="36">
        <f>EXP((Mu-0.5*Sigma^2)/12+Sigma*SQRT(1/12)*INDEX(NormRand,ScenID,A905+1))-1</f>
        <v/>
      </c>
      <c r="Z905" s="34">
        <f>Y905*X905</f>
        <v/>
      </c>
      <c r="AA905" s="34">
        <f>X905+0.5*Z905</f>
        <v/>
      </c>
      <c r="AB905" s="34">
        <f>Q905*J905</f>
        <v/>
      </c>
      <c r="AC905" s="34">
        <f>Q905*L905</f>
        <v/>
      </c>
      <c r="AD905" s="34">
        <f>S905*N905</f>
        <v/>
      </c>
      <c r="AE905" s="34">
        <f>E905*N905</f>
        <v/>
      </c>
      <c r="AF905" s="34">
        <f>R905*N905</f>
        <v/>
      </c>
      <c r="AG905" s="29">
        <f>MAX(SumAssured,AA905)</f>
        <v/>
      </c>
      <c r="AH905" s="34">
        <f>AG905*O905</f>
        <v/>
      </c>
      <c r="AI905" s="34">
        <f>AA905*O905</f>
        <v/>
      </c>
      <c r="AJ905" s="34">
        <f>AA905*P905</f>
        <v/>
      </c>
      <c r="AK905" s="34">
        <f>I905*AA905*P905</f>
        <v/>
      </c>
      <c r="AL905" s="34">
        <f>AJ905-AK905</f>
        <v/>
      </c>
      <c r="AM905" s="34">
        <f>Q905*K905</f>
        <v/>
      </c>
      <c r="AN905" s="34">
        <f>AH905+AL905+AM905</f>
        <v/>
      </c>
      <c r="AO905" s="34">
        <f>(AG905-AA905)*O905</f>
        <v/>
      </c>
      <c r="AP905" s="34">
        <f>W905*N905</f>
        <v/>
      </c>
      <c r="AQ905" s="34">
        <f>T905*N905</f>
        <v/>
      </c>
      <c r="AR905" s="34">
        <f>Z905*J906+0.5*Z905*(O905+P905)</f>
        <v/>
      </c>
      <c r="AS905" s="30">
        <f>(1+InflationRate)^(A905/12)</f>
        <v/>
      </c>
      <c r="AT905" s="29">
        <f>ExpenseAcq*M905+N905*ExpenseMaint/12*AS905</f>
        <v/>
      </c>
      <c r="AU905" s="29">
        <f>CommissionRate*AE905</f>
        <v/>
      </c>
      <c r="AV905" s="34">
        <f>AB906-AB905</f>
        <v/>
      </c>
      <c r="AW905" s="34">
        <f>AE905+AR905-AN905-AT905-AU905-AV905</f>
        <v/>
      </c>
      <c r="AX905" s="29">
        <f>LoadPremRate*E905*N905+AK905+AQ905-AU905-AT905</f>
        <v/>
      </c>
      <c r="AY905" s="34">
        <f>AP905-AO905</f>
        <v/>
      </c>
      <c r="AZ905" s="37">
        <f>(AW905-AX905-AY905)/MAX(1,ABS(AW905),ABS(AX905),ABS(AY905))</f>
        <v/>
      </c>
      <c r="BA905" s="37">
        <f>IF(OR(K905&gt;0,K906&gt;0),0,(AC906-(AC905+AF905-AQ905-AP905+AR905-AI905-AJ905-AM905))/MAX(1,ABS(AC905),ABS(AC906)))</f>
        <v/>
      </c>
      <c r="BB905" s="35">
        <f>(1+INDEX(DiscRateAnn,INT(A905/12)+1))^(1/12)-1</f>
        <v/>
      </c>
      <c r="BC905" s="31">
        <f>(1+BB905)^-A905</f>
        <v/>
      </c>
      <c r="BD905" s="34">
        <f>AW905*BC905</f>
        <v/>
      </c>
    </row>
    <row r="906">
      <c r="A906" s="27">
        <f>A905+1</f>
        <v/>
      </c>
      <c r="B906" s="28">
        <f>Duration0+A906</f>
        <v/>
      </c>
      <c r="C906" s="27">
        <f>INT(B906/12)</f>
        <v/>
      </c>
      <c r="D906" s="28">
        <f>AgeAtEntry+C906</f>
        <v/>
      </c>
      <c r="E906" s="29">
        <f>IF(PremiumType="SINGLE",IF(B906=0,PremiumPPInput,0),IF(B906&lt;12*PolicyTerm,PremiumPPInput,0))</f>
        <v/>
      </c>
      <c r="F906" s="30">
        <f>INDEX(MortRates,MATCH(MIN(D906,120),MortAges,0),MAX(MIN(C906,5),0)+1)</f>
        <v/>
      </c>
      <c r="G906" s="31">
        <f>1-(1-F906)^(1/12)</f>
        <v/>
      </c>
      <c r="H906" s="32">
        <f>MAX(LapseBase-LapseStep*C906,LapseFloor)</f>
        <v/>
      </c>
      <c r="I906" s="32">
        <f>IF(HasSurrCharge,INDEX(SurrRates,MIN(C906,SurrDurMax)+1,MATCH(SurrChargeID,SurrTypes,0)),0)</f>
        <v/>
      </c>
      <c r="J906" s="33">
        <f>N905-P905-O905</f>
        <v/>
      </c>
      <c r="K906" s="30">
        <f>IF(B906=12*PolicyTerm,J906,0)</f>
        <v/>
      </c>
      <c r="L906" s="33">
        <f>J906-K906</f>
        <v/>
      </c>
      <c r="M906" s="30">
        <f>IF(B906=0,PolicyCount,0)</f>
        <v/>
      </c>
      <c r="N906" s="33">
        <f>L906+M906</f>
        <v/>
      </c>
      <c r="O906" s="31">
        <f>N906*G906</f>
        <v/>
      </c>
      <c r="P906" s="33">
        <f>(N906-O906)*(1-(1-H906)^(1/12))</f>
        <v/>
      </c>
      <c r="Q906" s="34">
        <f>X905+Z905</f>
        <v/>
      </c>
      <c r="R906" s="29">
        <f>(1-LoadPremRate)*E906</f>
        <v/>
      </c>
      <c r="S906" s="34">
        <f>Q906+R906</f>
        <v/>
      </c>
      <c r="T906" s="29">
        <f>MaintFeeRateAnn/12*S906</f>
        <v/>
      </c>
      <c r="U906" s="29">
        <f>MAX(SumAssured-S906,0)</f>
        <v/>
      </c>
      <c r="V906" s="35">
        <f>CoiMultiple*G906</f>
        <v/>
      </c>
      <c r="W906" s="34">
        <f>V906*U906</f>
        <v/>
      </c>
      <c r="X906" s="34">
        <f>S906-T906-W906</f>
        <v/>
      </c>
      <c r="Y906" s="36">
        <f>EXP((Mu-0.5*Sigma^2)/12+Sigma*SQRT(1/12)*INDEX(NormRand,ScenID,A906+1))-1</f>
        <v/>
      </c>
      <c r="Z906" s="34">
        <f>Y906*X906</f>
        <v/>
      </c>
      <c r="AA906" s="34">
        <f>X906+0.5*Z906</f>
        <v/>
      </c>
      <c r="AB906" s="34">
        <f>Q906*J906</f>
        <v/>
      </c>
      <c r="AC906" s="34">
        <f>Q906*L906</f>
        <v/>
      </c>
      <c r="AD906" s="34">
        <f>S906*N906</f>
        <v/>
      </c>
      <c r="AE906" s="34">
        <f>E906*N906</f>
        <v/>
      </c>
      <c r="AF906" s="34">
        <f>R906*N906</f>
        <v/>
      </c>
      <c r="AG906" s="29">
        <f>MAX(SumAssured,AA906)</f>
        <v/>
      </c>
      <c r="AH906" s="34">
        <f>AG906*O906</f>
        <v/>
      </c>
      <c r="AI906" s="34">
        <f>AA906*O906</f>
        <v/>
      </c>
      <c r="AJ906" s="34">
        <f>AA906*P906</f>
        <v/>
      </c>
      <c r="AK906" s="34">
        <f>I906*AA906*P906</f>
        <v/>
      </c>
      <c r="AL906" s="34">
        <f>AJ906-AK906</f>
        <v/>
      </c>
      <c r="AM906" s="34">
        <f>Q906*K906</f>
        <v/>
      </c>
      <c r="AN906" s="34">
        <f>AH906+AL906+AM906</f>
        <v/>
      </c>
      <c r="AO906" s="34">
        <f>(AG906-AA906)*O906</f>
        <v/>
      </c>
      <c r="AP906" s="34">
        <f>W906*N906</f>
        <v/>
      </c>
      <c r="AQ906" s="34">
        <f>T906*N906</f>
        <v/>
      </c>
      <c r="AR906" s="34">
        <f>Z906*J907+0.5*Z906*(O906+P906)</f>
        <v/>
      </c>
      <c r="AS906" s="30">
        <f>(1+InflationRate)^(A906/12)</f>
        <v/>
      </c>
      <c r="AT906" s="29">
        <f>ExpenseAcq*M906+N906*ExpenseMaint/12*AS906</f>
        <v/>
      </c>
      <c r="AU906" s="29">
        <f>CommissionRate*AE906</f>
        <v/>
      </c>
      <c r="AV906" s="34">
        <f>AB907-AB906</f>
        <v/>
      </c>
      <c r="AW906" s="34">
        <f>AE906+AR906-AN906-AT906-AU906-AV906</f>
        <v/>
      </c>
      <c r="AX906" s="29">
        <f>LoadPremRate*E906*N906+AK906+AQ906-AU906-AT906</f>
        <v/>
      </c>
      <c r="AY906" s="34">
        <f>AP906-AO906</f>
        <v/>
      </c>
      <c r="AZ906" s="37">
        <f>(AW906-AX906-AY906)/MAX(1,ABS(AW906),ABS(AX906),ABS(AY906))</f>
        <v/>
      </c>
      <c r="BA906" s="37">
        <f>IF(OR(K906&gt;0,K907&gt;0),0,(AC907-(AC906+AF906-AQ906-AP906+AR906-AI906-AJ906-AM906))/MAX(1,ABS(AC906),ABS(AC907)))</f>
        <v/>
      </c>
      <c r="BB906" s="35">
        <f>(1+INDEX(DiscRateAnn,INT(A906/12)+1))^(1/12)-1</f>
        <v/>
      </c>
      <c r="BC906" s="31">
        <f>(1+BB906)^-A906</f>
        <v/>
      </c>
      <c r="BD906" s="34">
        <f>AW906*BC906</f>
        <v/>
      </c>
    </row>
    <row r="907">
      <c r="A907" s="27">
        <f>A906+1</f>
        <v/>
      </c>
      <c r="B907" s="28">
        <f>Duration0+A907</f>
        <v/>
      </c>
      <c r="C907" s="27">
        <f>INT(B907/12)</f>
        <v/>
      </c>
      <c r="D907" s="28">
        <f>AgeAtEntry+C907</f>
        <v/>
      </c>
      <c r="E907" s="29">
        <f>IF(PremiumType="SINGLE",IF(B907=0,PremiumPPInput,0),IF(B907&lt;12*PolicyTerm,PremiumPPInput,0))</f>
        <v/>
      </c>
      <c r="F907" s="30">
        <f>INDEX(MortRates,MATCH(MIN(D907,120),MortAges,0),MAX(MIN(C907,5),0)+1)</f>
        <v/>
      </c>
      <c r="G907" s="31">
        <f>1-(1-F907)^(1/12)</f>
        <v/>
      </c>
      <c r="H907" s="32">
        <f>MAX(LapseBase-LapseStep*C907,LapseFloor)</f>
        <v/>
      </c>
      <c r="I907" s="32">
        <f>IF(HasSurrCharge,INDEX(SurrRates,MIN(C907,SurrDurMax)+1,MATCH(SurrChargeID,SurrTypes,0)),0)</f>
        <v/>
      </c>
      <c r="J907" s="33">
        <f>N906-P906-O906</f>
        <v/>
      </c>
      <c r="K907" s="30">
        <f>IF(B907=12*PolicyTerm,J907,0)</f>
        <v/>
      </c>
      <c r="L907" s="33">
        <f>J907-K907</f>
        <v/>
      </c>
      <c r="M907" s="30">
        <f>IF(B907=0,PolicyCount,0)</f>
        <v/>
      </c>
      <c r="N907" s="33">
        <f>L907+M907</f>
        <v/>
      </c>
      <c r="O907" s="31">
        <f>N907*G907</f>
        <v/>
      </c>
      <c r="P907" s="33">
        <f>(N907-O907)*(1-(1-H907)^(1/12))</f>
        <v/>
      </c>
      <c r="Q907" s="34">
        <f>X906+Z906</f>
        <v/>
      </c>
      <c r="R907" s="29">
        <f>(1-LoadPremRate)*E907</f>
        <v/>
      </c>
      <c r="S907" s="34">
        <f>Q907+R907</f>
        <v/>
      </c>
      <c r="T907" s="29">
        <f>MaintFeeRateAnn/12*S907</f>
        <v/>
      </c>
      <c r="U907" s="29">
        <f>MAX(SumAssured-S907,0)</f>
        <v/>
      </c>
      <c r="V907" s="35">
        <f>CoiMultiple*G907</f>
        <v/>
      </c>
      <c r="W907" s="34">
        <f>V907*U907</f>
        <v/>
      </c>
      <c r="X907" s="34">
        <f>S907-T907-W907</f>
        <v/>
      </c>
      <c r="Y907" s="36">
        <f>EXP((Mu-0.5*Sigma^2)/12+Sigma*SQRT(1/12)*INDEX(NormRand,ScenID,A907+1))-1</f>
        <v/>
      </c>
      <c r="Z907" s="34">
        <f>Y907*X907</f>
        <v/>
      </c>
      <c r="AA907" s="34">
        <f>X907+0.5*Z907</f>
        <v/>
      </c>
      <c r="AB907" s="34">
        <f>Q907*J907</f>
        <v/>
      </c>
      <c r="AC907" s="34">
        <f>Q907*L907</f>
        <v/>
      </c>
      <c r="AD907" s="34">
        <f>S907*N907</f>
        <v/>
      </c>
      <c r="AE907" s="34">
        <f>E907*N907</f>
        <v/>
      </c>
      <c r="AF907" s="34">
        <f>R907*N907</f>
        <v/>
      </c>
      <c r="AG907" s="29">
        <f>MAX(SumAssured,AA907)</f>
        <v/>
      </c>
      <c r="AH907" s="34">
        <f>AG907*O907</f>
        <v/>
      </c>
      <c r="AI907" s="34">
        <f>AA907*O907</f>
        <v/>
      </c>
      <c r="AJ907" s="34">
        <f>AA907*P907</f>
        <v/>
      </c>
      <c r="AK907" s="34">
        <f>I907*AA907*P907</f>
        <v/>
      </c>
      <c r="AL907" s="34">
        <f>AJ907-AK907</f>
        <v/>
      </c>
      <c r="AM907" s="34">
        <f>Q907*K907</f>
        <v/>
      </c>
      <c r="AN907" s="34">
        <f>AH907+AL907+AM907</f>
        <v/>
      </c>
      <c r="AO907" s="34">
        <f>(AG907-AA907)*O907</f>
        <v/>
      </c>
      <c r="AP907" s="34">
        <f>W907*N907</f>
        <v/>
      </c>
      <c r="AQ907" s="34">
        <f>T907*N907</f>
        <v/>
      </c>
      <c r="AR907" s="34">
        <f>Z907*J908+0.5*Z907*(O907+P907)</f>
        <v/>
      </c>
      <c r="AS907" s="30">
        <f>(1+InflationRate)^(A907/12)</f>
        <v/>
      </c>
      <c r="AT907" s="29">
        <f>ExpenseAcq*M907+N907*ExpenseMaint/12*AS907</f>
        <v/>
      </c>
      <c r="AU907" s="29">
        <f>CommissionRate*AE907</f>
        <v/>
      </c>
      <c r="AV907" s="34">
        <f>AB908-AB907</f>
        <v/>
      </c>
      <c r="AW907" s="34">
        <f>AE907+AR907-AN907-AT907-AU907-AV907</f>
        <v/>
      </c>
      <c r="AX907" s="29">
        <f>LoadPremRate*E907*N907+AK907+AQ907-AU907-AT907</f>
        <v/>
      </c>
      <c r="AY907" s="34">
        <f>AP907-AO907</f>
        <v/>
      </c>
      <c r="AZ907" s="37">
        <f>(AW907-AX907-AY907)/MAX(1,ABS(AW907),ABS(AX907),ABS(AY907))</f>
        <v/>
      </c>
      <c r="BA907" s="37">
        <f>IF(OR(K907&gt;0,K908&gt;0),0,(AC908-(AC907+AF907-AQ907-AP907+AR907-AI907-AJ907-AM907))/MAX(1,ABS(AC907),ABS(AC908)))</f>
        <v/>
      </c>
      <c r="BB907" s="35">
        <f>(1+INDEX(DiscRateAnn,INT(A907/12)+1))^(1/12)-1</f>
        <v/>
      </c>
      <c r="BC907" s="31">
        <f>(1+BB907)^-A907</f>
        <v/>
      </c>
      <c r="BD907" s="34">
        <f>AW907*BC907</f>
        <v/>
      </c>
    </row>
    <row r="908">
      <c r="A908" s="27">
        <f>A907+1</f>
        <v/>
      </c>
      <c r="B908" s="28">
        <f>Duration0+A908</f>
        <v/>
      </c>
      <c r="C908" s="27">
        <f>INT(B908/12)</f>
        <v/>
      </c>
      <c r="D908" s="28">
        <f>AgeAtEntry+C908</f>
        <v/>
      </c>
      <c r="E908" s="29">
        <f>IF(PremiumType="SINGLE",IF(B908=0,PremiumPPInput,0),IF(B908&lt;12*PolicyTerm,PremiumPPInput,0))</f>
        <v/>
      </c>
      <c r="F908" s="30">
        <f>INDEX(MortRates,MATCH(MIN(D908,120),MortAges,0),MAX(MIN(C908,5),0)+1)</f>
        <v/>
      </c>
      <c r="G908" s="31">
        <f>1-(1-F908)^(1/12)</f>
        <v/>
      </c>
      <c r="H908" s="32">
        <f>MAX(LapseBase-LapseStep*C908,LapseFloor)</f>
        <v/>
      </c>
      <c r="I908" s="32">
        <f>IF(HasSurrCharge,INDEX(SurrRates,MIN(C908,SurrDurMax)+1,MATCH(SurrChargeID,SurrTypes,0)),0)</f>
        <v/>
      </c>
      <c r="J908" s="33">
        <f>N907-P907-O907</f>
        <v/>
      </c>
      <c r="K908" s="30">
        <f>IF(B908=12*PolicyTerm,J908,0)</f>
        <v/>
      </c>
      <c r="L908" s="33">
        <f>J908-K908</f>
        <v/>
      </c>
      <c r="M908" s="30">
        <f>IF(B908=0,PolicyCount,0)</f>
        <v/>
      </c>
      <c r="N908" s="33">
        <f>L908+M908</f>
        <v/>
      </c>
      <c r="O908" s="31">
        <f>N908*G908</f>
        <v/>
      </c>
      <c r="P908" s="33">
        <f>(N908-O908)*(1-(1-H908)^(1/12))</f>
        <v/>
      </c>
      <c r="Q908" s="34">
        <f>X907+Z907</f>
        <v/>
      </c>
      <c r="R908" s="29">
        <f>(1-LoadPremRate)*E908</f>
        <v/>
      </c>
      <c r="S908" s="34">
        <f>Q908+R908</f>
        <v/>
      </c>
      <c r="T908" s="29">
        <f>MaintFeeRateAnn/12*S908</f>
        <v/>
      </c>
      <c r="U908" s="29">
        <f>MAX(SumAssured-S908,0)</f>
        <v/>
      </c>
      <c r="V908" s="35">
        <f>CoiMultiple*G908</f>
        <v/>
      </c>
      <c r="W908" s="34">
        <f>V908*U908</f>
        <v/>
      </c>
      <c r="X908" s="34">
        <f>S908-T908-W908</f>
        <v/>
      </c>
      <c r="Y908" s="36">
        <f>EXP((Mu-0.5*Sigma^2)/12+Sigma*SQRT(1/12)*INDEX(NormRand,ScenID,A908+1))-1</f>
        <v/>
      </c>
      <c r="Z908" s="34">
        <f>Y908*X908</f>
        <v/>
      </c>
      <c r="AA908" s="34">
        <f>X908+0.5*Z908</f>
        <v/>
      </c>
      <c r="AB908" s="34">
        <f>Q908*J908</f>
        <v/>
      </c>
      <c r="AC908" s="34">
        <f>Q908*L908</f>
        <v/>
      </c>
      <c r="AD908" s="34">
        <f>S908*N908</f>
        <v/>
      </c>
      <c r="AE908" s="34">
        <f>E908*N908</f>
        <v/>
      </c>
      <c r="AF908" s="34">
        <f>R908*N908</f>
        <v/>
      </c>
      <c r="AG908" s="29">
        <f>MAX(SumAssured,AA908)</f>
        <v/>
      </c>
      <c r="AH908" s="34">
        <f>AG908*O908</f>
        <v/>
      </c>
      <c r="AI908" s="34">
        <f>AA908*O908</f>
        <v/>
      </c>
      <c r="AJ908" s="34">
        <f>AA908*P908</f>
        <v/>
      </c>
      <c r="AK908" s="34">
        <f>I908*AA908*P908</f>
        <v/>
      </c>
      <c r="AL908" s="34">
        <f>AJ908-AK908</f>
        <v/>
      </c>
      <c r="AM908" s="34">
        <f>Q908*K908</f>
        <v/>
      </c>
      <c r="AN908" s="34">
        <f>AH908+AL908+AM908</f>
        <v/>
      </c>
      <c r="AO908" s="34">
        <f>(AG908-AA908)*O908</f>
        <v/>
      </c>
      <c r="AP908" s="34">
        <f>W908*N908</f>
        <v/>
      </c>
      <c r="AQ908" s="34">
        <f>T908*N908</f>
        <v/>
      </c>
      <c r="AR908" s="34">
        <f>Z908*J909+0.5*Z908*(O908+P908)</f>
        <v/>
      </c>
      <c r="AS908" s="30">
        <f>(1+InflationRate)^(A908/12)</f>
        <v/>
      </c>
      <c r="AT908" s="29">
        <f>ExpenseAcq*M908+N908*ExpenseMaint/12*AS908</f>
        <v/>
      </c>
      <c r="AU908" s="29">
        <f>CommissionRate*AE908</f>
        <v/>
      </c>
      <c r="AV908" s="34">
        <f>AB909-AB908</f>
        <v/>
      </c>
      <c r="AW908" s="34">
        <f>AE908+AR908-AN908-AT908-AU908-AV908</f>
        <v/>
      </c>
      <c r="AX908" s="29">
        <f>LoadPremRate*E908*N908+AK908+AQ908-AU908-AT908</f>
        <v/>
      </c>
      <c r="AY908" s="34">
        <f>AP908-AO908</f>
        <v/>
      </c>
      <c r="AZ908" s="37">
        <f>(AW908-AX908-AY908)/MAX(1,ABS(AW908),ABS(AX908),ABS(AY908))</f>
        <v/>
      </c>
      <c r="BA908" s="37">
        <f>IF(OR(K908&gt;0,K909&gt;0),0,(AC909-(AC908+AF908-AQ908-AP908+AR908-AI908-AJ908-AM908))/MAX(1,ABS(AC908),ABS(AC909)))</f>
        <v/>
      </c>
      <c r="BB908" s="35">
        <f>(1+INDEX(DiscRateAnn,INT(A908/12)+1))^(1/12)-1</f>
        <v/>
      </c>
      <c r="BC908" s="31">
        <f>(1+BB908)^-A908</f>
        <v/>
      </c>
      <c r="BD908" s="34">
        <f>AW908*BC908</f>
        <v/>
      </c>
    </row>
    <row r="909">
      <c r="A909" s="27">
        <f>A908+1</f>
        <v/>
      </c>
      <c r="B909" s="28">
        <f>Duration0+A909</f>
        <v/>
      </c>
      <c r="C909" s="27">
        <f>INT(B909/12)</f>
        <v/>
      </c>
      <c r="D909" s="28">
        <f>AgeAtEntry+C909</f>
        <v/>
      </c>
      <c r="E909" s="29">
        <f>IF(PremiumType="SINGLE",IF(B909=0,PremiumPPInput,0),IF(B909&lt;12*PolicyTerm,PremiumPPInput,0))</f>
        <v/>
      </c>
      <c r="F909" s="30">
        <f>INDEX(MortRates,MATCH(MIN(D909,120),MortAges,0),MAX(MIN(C909,5),0)+1)</f>
        <v/>
      </c>
      <c r="G909" s="31">
        <f>1-(1-F909)^(1/12)</f>
        <v/>
      </c>
      <c r="H909" s="32">
        <f>MAX(LapseBase-LapseStep*C909,LapseFloor)</f>
        <v/>
      </c>
      <c r="I909" s="32">
        <f>IF(HasSurrCharge,INDEX(SurrRates,MIN(C909,SurrDurMax)+1,MATCH(SurrChargeID,SurrTypes,0)),0)</f>
        <v/>
      </c>
      <c r="J909" s="33">
        <f>N908-P908-O908</f>
        <v/>
      </c>
      <c r="K909" s="30">
        <f>IF(B909=12*PolicyTerm,J909,0)</f>
        <v/>
      </c>
      <c r="L909" s="33">
        <f>J909-K909</f>
        <v/>
      </c>
      <c r="M909" s="30">
        <f>IF(B909=0,PolicyCount,0)</f>
        <v/>
      </c>
      <c r="N909" s="33">
        <f>L909+M909</f>
        <v/>
      </c>
      <c r="O909" s="31">
        <f>N909*G909</f>
        <v/>
      </c>
      <c r="P909" s="33">
        <f>(N909-O909)*(1-(1-H909)^(1/12))</f>
        <v/>
      </c>
      <c r="Q909" s="34">
        <f>X908+Z908</f>
        <v/>
      </c>
      <c r="R909" s="29">
        <f>(1-LoadPremRate)*E909</f>
        <v/>
      </c>
      <c r="S909" s="34">
        <f>Q909+R909</f>
        <v/>
      </c>
      <c r="T909" s="29">
        <f>MaintFeeRateAnn/12*S909</f>
        <v/>
      </c>
      <c r="U909" s="29">
        <f>MAX(SumAssured-S909,0)</f>
        <v/>
      </c>
      <c r="V909" s="35">
        <f>CoiMultiple*G909</f>
        <v/>
      </c>
      <c r="W909" s="34">
        <f>V909*U909</f>
        <v/>
      </c>
      <c r="X909" s="34">
        <f>S909-T909-W909</f>
        <v/>
      </c>
      <c r="Y909" s="36">
        <f>EXP((Mu-0.5*Sigma^2)/12+Sigma*SQRT(1/12)*INDEX(NormRand,ScenID,A909+1))-1</f>
        <v/>
      </c>
      <c r="Z909" s="34">
        <f>Y909*X909</f>
        <v/>
      </c>
      <c r="AA909" s="34">
        <f>X909+0.5*Z909</f>
        <v/>
      </c>
      <c r="AB909" s="34">
        <f>Q909*J909</f>
        <v/>
      </c>
      <c r="AC909" s="34">
        <f>Q909*L909</f>
        <v/>
      </c>
      <c r="AD909" s="34">
        <f>S909*N909</f>
        <v/>
      </c>
      <c r="AE909" s="34">
        <f>E909*N909</f>
        <v/>
      </c>
      <c r="AF909" s="34">
        <f>R909*N909</f>
        <v/>
      </c>
      <c r="AG909" s="29">
        <f>MAX(SumAssured,AA909)</f>
        <v/>
      </c>
      <c r="AH909" s="34">
        <f>AG909*O909</f>
        <v/>
      </c>
      <c r="AI909" s="34">
        <f>AA909*O909</f>
        <v/>
      </c>
      <c r="AJ909" s="34">
        <f>AA909*P909</f>
        <v/>
      </c>
      <c r="AK909" s="34">
        <f>I909*AA909*P909</f>
        <v/>
      </c>
      <c r="AL909" s="34">
        <f>AJ909-AK909</f>
        <v/>
      </c>
      <c r="AM909" s="34">
        <f>Q909*K909</f>
        <v/>
      </c>
      <c r="AN909" s="34">
        <f>AH909+AL909+AM909</f>
        <v/>
      </c>
      <c r="AO909" s="34">
        <f>(AG909-AA909)*O909</f>
        <v/>
      </c>
      <c r="AP909" s="34">
        <f>W909*N909</f>
        <v/>
      </c>
      <c r="AQ909" s="34">
        <f>T909*N909</f>
        <v/>
      </c>
      <c r="AR909" s="34">
        <f>Z909*J910+0.5*Z909*(O909+P909)</f>
        <v/>
      </c>
      <c r="AS909" s="30">
        <f>(1+InflationRate)^(A909/12)</f>
        <v/>
      </c>
      <c r="AT909" s="29">
        <f>ExpenseAcq*M909+N909*ExpenseMaint/12*AS909</f>
        <v/>
      </c>
      <c r="AU909" s="29">
        <f>CommissionRate*AE909</f>
        <v/>
      </c>
      <c r="AV909" s="34">
        <f>AB910-AB909</f>
        <v/>
      </c>
      <c r="AW909" s="34">
        <f>AE909+AR909-AN909-AT909-AU909-AV909</f>
        <v/>
      </c>
      <c r="AX909" s="29">
        <f>LoadPremRate*E909*N909+AK909+AQ909-AU909-AT909</f>
        <v/>
      </c>
      <c r="AY909" s="34">
        <f>AP909-AO909</f>
        <v/>
      </c>
      <c r="AZ909" s="37">
        <f>(AW909-AX909-AY909)/MAX(1,ABS(AW909),ABS(AX909),ABS(AY909))</f>
        <v/>
      </c>
      <c r="BA909" s="37">
        <f>IF(OR(K909&gt;0,K910&gt;0),0,(AC910-(AC909+AF909-AQ909-AP909+AR909-AI909-AJ909-AM909))/MAX(1,ABS(AC909),ABS(AC910)))</f>
        <v/>
      </c>
      <c r="BB909" s="35">
        <f>(1+INDEX(DiscRateAnn,INT(A909/12)+1))^(1/12)-1</f>
        <v/>
      </c>
      <c r="BC909" s="31">
        <f>(1+BB909)^-A909</f>
        <v/>
      </c>
      <c r="BD909" s="34">
        <f>AW909*BC909</f>
        <v/>
      </c>
    </row>
    <row r="910">
      <c r="A910" s="27">
        <f>A909+1</f>
        <v/>
      </c>
      <c r="B910" s="28">
        <f>Duration0+A910</f>
        <v/>
      </c>
      <c r="C910" s="27">
        <f>INT(B910/12)</f>
        <v/>
      </c>
      <c r="D910" s="28">
        <f>AgeAtEntry+C910</f>
        <v/>
      </c>
      <c r="E910" s="29">
        <f>IF(PremiumType="SINGLE",IF(B910=0,PremiumPPInput,0),IF(B910&lt;12*PolicyTerm,PremiumPPInput,0))</f>
        <v/>
      </c>
      <c r="F910" s="30">
        <f>INDEX(MortRates,MATCH(MIN(D910,120),MortAges,0),MAX(MIN(C910,5),0)+1)</f>
        <v/>
      </c>
      <c r="G910" s="31">
        <f>1-(1-F910)^(1/12)</f>
        <v/>
      </c>
      <c r="H910" s="32">
        <f>MAX(LapseBase-LapseStep*C910,LapseFloor)</f>
        <v/>
      </c>
      <c r="I910" s="32">
        <f>IF(HasSurrCharge,INDEX(SurrRates,MIN(C910,SurrDurMax)+1,MATCH(SurrChargeID,SurrTypes,0)),0)</f>
        <v/>
      </c>
      <c r="J910" s="33">
        <f>N909-P909-O909</f>
        <v/>
      </c>
      <c r="K910" s="30">
        <f>IF(B910=12*PolicyTerm,J910,0)</f>
        <v/>
      </c>
      <c r="L910" s="33">
        <f>J910-K910</f>
        <v/>
      </c>
      <c r="M910" s="30">
        <f>IF(B910=0,PolicyCount,0)</f>
        <v/>
      </c>
      <c r="N910" s="33">
        <f>L910+M910</f>
        <v/>
      </c>
      <c r="O910" s="31">
        <f>N910*G910</f>
        <v/>
      </c>
      <c r="P910" s="33">
        <f>(N910-O910)*(1-(1-H910)^(1/12))</f>
        <v/>
      </c>
      <c r="Q910" s="34">
        <f>X909+Z909</f>
        <v/>
      </c>
      <c r="R910" s="29">
        <f>(1-LoadPremRate)*E910</f>
        <v/>
      </c>
      <c r="S910" s="34">
        <f>Q910+R910</f>
        <v/>
      </c>
      <c r="T910" s="29">
        <f>MaintFeeRateAnn/12*S910</f>
        <v/>
      </c>
      <c r="U910" s="29">
        <f>MAX(SumAssured-S910,0)</f>
        <v/>
      </c>
      <c r="V910" s="35">
        <f>CoiMultiple*G910</f>
        <v/>
      </c>
      <c r="W910" s="34">
        <f>V910*U910</f>
        <v/>
      </c>
      <c r="X910" s="34">
        <f>S910-T910-W910</f>
        <v/>
      </c>
      <c r="Y910" s="36">
        <f>EXP((Mu-0.5*Sigma^2)/12+Sigma*SQRT(1/12)*INDEX(NormRand,ScenID,A910+1))-1</f>
        <v/>
      </c>
      <c r="Z910" s="34">
        <f>Y910*X910</f>
        <v/>
      </c>
      <c r="AA910" s="34">
        <f>X910+0.5*Z910</f>
        <v/>
      </c>
      <c r="AB910" s="34">
        <f>Q910*J910</f>
        <v/>
      </c>
      <c r="AC910" s="34">
        <f>Q910*L910</f>
        <v/>
      </c>
      <c r="AD910" s="34">
        <f>S910*N910</f>
        <v/>
      </c>
      <c r="AE910" s="34">
        <f>E910*N910</f>
        <v/>
      </c>
      <c r="AF910" s="34">
        <f>R910*N910</f>
        <v/>
      </c>
      <c r="AG910" s="29">
        <f>MAX(SumAssured,AA910)</f>
        <v/>
      </c>
      <c r="AH910" s="34">
        <f>AG910*O910</f>
        <v/>
      </c>
      <c r="AI910" s="34">
        <f>AA910*O910</f>
        <v/>
      </c>
      <c r="AJ910" s="34">
        <f>AA910*P910</f>
        <v/>
      </c>
      <c r="AK910" s="34">
        <f>I910*AA910*P910</f>
        <v/>
      </c>
      <c r="AL910" s="34">
        <f>AJ910-AK910</f>
        <v/>
      </c>
      <c r="AM910" s="34">
        <f>Q910*K910</f>
        <v/>
      </c>
      <c r="AN910" s="34">
        <f>AH910+AL910+AM910</f>
        <v/>
      </c>
      <c r="AO910" s="34">
        <f>(AG910-AA910)*O910</f>
        <v/>
      </c>
      <c r="AP910" s="34">
        <f>W910*N910</f>
        <v/>
      </c>
      <c r="AQ910" s="34">
        <f>T910*N910</f>
        <v/>
      </c>
      <c r="AR910" s="34">
        <f>Z910*J911+0.5*Z910*(O910+P910)</f>
        <v/>
      </c>
      <c r="AS910" s="30">
        <f>(1+InflationRate)^(A910/12)</f>
        <v/>
      </c>
      <c r="AT910" s="29">
        <f>ExpenseAcq*M910+N910*ExpenseMaint/12*AS910</f>
        <v/>
      </c>
      <c r="AU910" s="29">
        <f>CommissionRate*AE910</f>
        <v/>
      </c>
      <c r="AV910" s="34">
        <f>AB911-AB910</f>
        <v/>
      </c>
      <c r="AW910" s="34">
        <f>AE910+AR910-AN910-AT910-AU910-AV910</f>
        <v/>
      </c>
      <c r="AX910" s="29">
        <f>LoadPremRate*E910*N910+AK910+AQ910-AU910-AT910</f>
        <v/>
      </c>
      <c r="AY910" s="34">
        <f>AP910-AO910</f>
        <v/>
      </c>
      <c r="AZ910" s="37">
        <f>(AW910-AX910-AY910)/MAX(1,ABS(AW910),ABS(AX910),ABS(AY910))</f>
        <v/>
      </c>
      <c r="BA910" s="37">
        <f>IF(OR(K910&gt;0,K911&gt;0),0,(AC911-(AC910+AF910-AQ910-AP910+AR910-AI910-AJ910-AM910))/MAX(1,ABS(AC910),ABS(AC911)))</f>
        <v/>
      </c>
      <c r="BB910" s="35">
        <f>(1+INDEX(DiscRateAnn,INT(A910/12)+1))^(1/12)-1</f>
        <v/>
      </c>
      <c r="BC910" s="31">
        <f>(1+BB910)^-A910</f>
        <v/>
      </c>
      <c r="BD910" s="34">
        <f>AW910*BC910</f>
        <v/>
      </c>
    </row>
    <row r="911">
      <c r="A911" s="27">
        <f>A910+1</f>
        <v/>
      </c>
      <c r="B911" s="28">
        <f>Duration0+A911</f>
        <v/>
      </c>
      <c r="C911" s="27">
        <f>INT(B911/12)</f>
        <v/>
      </c>
      <c r="D911" s="28">
        <f>AgeAtEntry+C911</f>
        <v/>
      </c>
      <c r="E911" s="29">
        <f>IF(PremiumType="SINGLE",IF(B911=0,PremiumPPInput,0),IF(B911&lt;12*PolicyTerm,PremiumPPInput,0))</f>
        <v/>
      </c>
      <c r="F911" s="30">
        <f>INDEX(MortRates,MATCH(MIN(D911,120),MortAges,0),MAX(MIN(C911,5),0)+1)</f>
        <v/>
      </c>
      <c r="G911" s="31">
        <f>1-(1-F911)^(1/12)</f>
        <v/>
      </c>
      <c r="H911" s="32">
        <f>MAX(LapseBase-LapseStep*C911,LapseFloor)</f>
        <v/>
      </c>
      <c r="I911" s="32">
        <f>IF(HasSurrCharge,INDEX(SurrRates,MIN(C911,SurrDurMax)+1,MATCH(SurrChargeID,SurrTypes,0)),0)</f>
        <v/>
      </c>
      <c r="J911" s="33">
        <f>N910-P910-O910</f>
        <v/>
      </c>
      <c r="K911" s="30">
        <f>IF(B911=12*PolicyTerm,J911,0)</f>
        <v/>
      </c>
      <c r="L911" s="33">
        <f>J911-K911</f>
        <v/>
      </c>
      <c r="M911" s="30">
        <f>IF(B911=0,PolicyCount,0)</f>
        <v/>
      </c>
      <c r="N911" s="33">
        <f>L911+M911</f>
        <v/>
      </c>
      <c r="O911" s="31">
        <f>N911*G911</f>
        <v/>
      </c>
      <c r="P911" s="33">
        <f>(N911-O911)*(1-(1-H911)^(1/12))</f>
        <v/>
      </c>
      <c r="Q911" s="34">
        <f>X910+Z910</f>
        <v/>
      </c>
      <c r="R911" s="29">
        <f>(1-LoadPremRate)*E911</f>
        <v/>
      </c>
      <c r="S911" s="34">
        <f>Q911+R911</f>
        <v/>
      </c>
      <c r="T911" s="29">
        <f>MaintFeeRateAnn/12*S911</f>
        <v/>
      </c>
      <c r="U911" s="29">
        <f>MAX(SumAssured-S911,0)</f>
        <v/>
      </c>
      <c r="V911" s="35">
        <f>CoiMultiple*G911</f>
        <v/>
      </c>
      <c r="W911" s="34">
        <f>V911*U911</f>
        <v/>
      </c>
      <c r="X911" s="34">
        <f>S911-T911-W911</f>
        <v/>
      </c>
      <c r="Y911" s="36">
        <f>EXP((Mu-0.5*Sigma^2)/12+Sigma*SQRT(1/12)*INDEX(NormRand,ScenID,A911+1))-1</f>
        <v/>
      </c>
      <c r="Z911" s="34">
        <f>Y911*X911</f>
        <v/>
      </c>
      <c r="AA911" s="34">
        <f>X911+0.5*Z911</f>
        <v/>
      </c>
      <c r="AB911" s="34">
        <f>Q911*J911</f>
        <v/>
      </c>
      <c r="AC911" s="34">
        <f>Q911*L911</f>
        <v/>
      </c>
      <c r="AD911" s="34">
        <f>S911*N911</f>
        <v/>
      </c>
      <c r="AE911" s="34">
        <f>E911*N911</f>
        <v/>
      </c>
      <c r="AF911" s="34">
        <f>R911*N911</f>
        <v/>
      </c>
      <c r="AG911" s="29">
        <f>MAX(SumAssured,AA911)</f>
        <v/>
      </c>
      <c r="AH911" s="34">
        <f>AG911*O911</f>
        <v/>
      </c>
      <c r="AI911" s="34">
        <f>AA911*O911</f>
        <v/>
      </c>
      <c r="AJ911" s="34">
        <f>AA911*P911</f>
        <v/>
      </c>
      <c r="AK911" s="34">
        <f>I911*AA911*P911</f>
        <v/>
      </c>
      <c r="AL911" s="34">
        <f>AJ911-AK911</f>
        <v/>
      </c>
      <c r="AM911" s="34">
        <f>Q911*K911</f>
        <v/>
      </c>
      <c r="AN911" s="34">
        <f>AH911+AL911+AM911</f>
        <v/>
      </c>
      <c r="AO911" s="34">
        <f>(AG911-AA911)*O911</f>
        <v/>
      </c>
      <c r="AP911" s="34">
        <f>W911*N911</f>
        <v/>
      </c>
      <c r="AQ911" s="34">
        <f>T911*N911</f>
        <v/>
      </c>
      <c r="AR911" s="34">
        <f>Z911*J912+0.5*Z911*(O911+P911)</f>
        <v/>
      </c>
      <c r="AS911" s="30">
        <f>(1+InflationRate)^(A911/12)</f>
        <v/>
      </c>
      <c r="AT911" s="29">
        <f>ExpenseAcq*M911+N911*ExpenseMaint/12*AS911</f>
        <v/>
      </c>
      <c r="AU911" s="29">
        <f>CommissionRate*AE911</f>
        <v/>
      </c>
      <c r="AV911" s="34">
        <f>AB912-AB911</f>
        <v/>
      </c>
      <c r="AW911" s="34">
        <f>AE911+AR911-AN911-AT911-AU911-AV911</f>
        <v/>
      </c>
      <c r="AX911" s="29">
        <f>LoadPremRate*E911*N911+AK911+AQ911-AU911-AT911</f>
        <v/>
      </c>
      <c r="AY911" s="34">
        <f>AP911-AO911</f>
        <v/>
      </c>
      <c r="AZ911" s="37">
        <f>(AW911-AX911-AY911)/MAX(1,ABS(AW911),ABS(AX911),ABS(AY911))</f>
        <v/>
      </c>
      <c r="BA911" s="37">
        <f>IF(OR(K911&gt;0,K912&gt;0),0,(AC912-(AC911+AF911-AQ911-AP911+AR911-AI911-AJ911-AM911))/MAX(1,ABS(AC911),ABS(AC912)))</f>
        <v/>
      </c>
      <c r="BB911" s="35">
        <f>(1+INDEX(DiscRateAnn,INT(A911/12)+1))^(1/12)-1</f>
        <v/>
      </c>
      <c r="BC911" s="31">
        <f>(1+BB911)^-A911</f>
        <v/>
      </c>
      <c r="BD911" s="34">
        <f>AW911*BC911</f>
        <v/>
      </c>
    </row>
    <row r="912">
      <c r="A912" s="27">
        <f>A911+1</f>
        <v/>
      </c>
      <c r="B912" s="28">
        <f>Duration0+A912</f>
        <v/>
      </c>
      <c r="C912" s="27">
        <f>INT(B912/12)</f>
        <v/>
      </c>
      <c r="D912" s="28">
        <f>AgeAtEntry+C912</f>
        <v/>
      </c>
      <c r="E912" s="29">
        <f>IF(PremiumType="SINGLE",IF(B912=0,PremiumPPInput,0),IF(B912&lt;12*PolicyTerm,PremiumPPInput,0))</f>
        <v/>
      </c>
      <c r="F912" s="30">
        <f>INDEX(MortRates,MATCH(MIN(D912,120),MortAges,0),MAX(MIN(C912,5),0)+1)</f>
        <v/>
      </c>
      <c r="G912" s="31">
        <f>1-(1-F912)^(1/12)</f>
        <v/>
      </c>
      <c r="H912" s="32">
        <f>MAX(LapseBase-LapseStep*C912,LapseFloor)</f>
        <v/>
      </c>
      <c r="I912" s="32">
        <f>IF(HasSurrCharge,INDEX(SurrRates,MIN(C912,SurrDurMax)+1,MATCH(SurrChargeID,SurrTypes,0)),0)</f>
        <v/>
      </c>
      <c r="J912" s="33">
        <f>N911-P911-O911</f>
        <v/>
      </c>
      <c r="K912" s="30">
        <f>IF(B912=12*PolicyTerm,J912,0)</f>
        <v/>
      </c>
      <c r="L912" s="33">
        <f>J912-K912</f>
        <v/>
      </c>
      <c r="M912" s="30">
        <f>IF(B912=0,PolicyCount,0)</f>
        <v/>
      </c>
      <c r="N912" s="33">
        <f>L912+M912</f>
        <v/>
      </c>
      <c r="O912" s="31">
        <f>N912*G912</f>
        <v/>
      </c>
      <c r="P912" s="33">
        <f>(N912-O912)*(1-(1-H912)^(1/12))</f>
        <v/>
      </c>
      <c r="Q912" s="34">
        <f>X911+Z911</f>
        <v/>
      </c>
      <c r="R912" s="29">
        <f>(1-LoadPremRate)*E912</f>
        <v/>
      </c>
      <c r="S912" s="34">
        <f>Q912+R912</f>
        <v/>
      </c>
      <c r="T912" s="29">
        <f>MaintFeeRateAnn/12*S912</f>
        <v/>
      </c>
      <c r="U912" s="29">
        <f>MAX(SumAssured-S912,0)</f>
        <v/>
      </c>
      <c r="V912" s="35">
        <f>CoiMultiple*G912</f>
        <v/>
      </c>
      <c r="W912" s="34">
        <f>V912*U912</f>
        <v/>
      </c>
      <c r="X912" s="34">
        <f>S912-T912-W912</f>
        <v/>
      </c>
      <c r="Y912" s="36">
        <f>EXP((Mu-0.5*Sigma^2)/12+Sigma*SQRT(1/12)*INDEX(NormRand,ScenID,A912+1))-1</f>
        <v/>
      </c>
      <c r="Z912" s="34">
        <f>Y912*X912</f>
        <v/>
      </c>
      <c r="AA912" s="34">
        <f>X912+0.5*Z912</f>
        <v/>
      </c>
      <c r="AB912" s="34">
        <f>Q912*J912</f>
        <v/>
      </c>
      <c r="AC912" s="34">
        <f>Q912*L912</f>
        <v/>
      </c>
      <c r="AD912" s="34">
        <f>S912*N912</f>
        <v/>
      </c>
      <c r="AE912" s="34">
        <f>E912*N912</f>
        <v/>
      </c>
      <c r="AF912" s="34">
        <f>R912*N912</f>
        <v/>
      </c>
      <c r="AG912" s="29">
        <f>MAX(SumAssured,AA912)</f>
        <v/>
      </c>
      <c r="AH912" s="34">
        <f>AG912*O912</f>
        <v/>
      </c>
      <c r="AI912" s="34">
        <f>AA912*O912</f>
        <v/>
      </c>
      <c r="AJ912" s="34">
        <f>AA912*P912</f>
        <v/>
      </c>
      <c r="AK912" s="34">
        <f>I912*AA912*P912</f>
        <v/>
      </c>
      <c r="AL912" s="34">
        <f>AJ912-AK912</f>
        <v/>
      </c>
      <c r="AM912" s="34">
        <f>Q912*K912</f>
        <v/>
      </c>
      <c r="AN912" s="34">
        <f>AH912+AL912+AM912</f>
        <v/>
      </c>
      <c r="AO912" s="34">
        <f>(AG912-AA912)*O912</f>
        <v/>
      </c>
      <c r="AP912" s="34">
        <f>W912*N912</f>
        <v/>
      </c>
      <c r="AQ912" s="34">
        <f>T912*N912</f>
        <v/>
      </c>
      <c r="AR912" s="34">
        <f>Z912*J913+0.5*Z912*(O912+P912)</f>
        <v/>
      </c>
      <c r="AS912" s="30">
        <f>(1+InflationRate)^(A912/12)</f>
        <v/>
      </c>
      <c r="AT912" s="29">
        <f>ExpenseAcq*M912+N912*ExpenseMaint/12*AS912</f>
        <v/>
      </c>
      <c r="AU912" s="29">
        <f>CommissionRate*AE912</f>
        <v/>
      </c>
      <c r="AV912" s="34">
        <f>AB913-AB912</f>
        <v/>
      </c>
      <c r="AW912" s="34">
        <f>AE912+AR912-AN912-AT912-AU912-AV912</f>
        <v/>
      </c>
      <c r="AX912" s="29">
        <f>LoadPremRate*E912*N912+AK912+AQ912-AU912-AT912</f>
        <v/>
      </c>
      <c r="AY912" s="34">
        <f>AP912-AO912</f>
        <v/>
      </c>
      <c r="AZ912" s="37">
        <f>(AW912-AX912-AY912)/MAX(1,ABS(AW912),ABS(AX912),ABS(AY912))</f>
        <v/>
      </c>
      <c r="BA912" s="37">
        <f>IF(OR(K912&gt;0,K913&gt;0),0,(AC913-(AC912+AF912-AQ912-AP912+AR912-AI912-AJ912-AM912))/MAX(1,ABS(AC912),ABS(AC913)))</f>
        <v/>
      </c>
      <c r="BB912" s="35">
        <f>(1+INDEX(DiscRateAnn,INT(A912/12)+1))^(1/12)-1</f>
        <v/>
      </c>
      <c r="BC912" s="31">
        <f>(1+BB912)^-A912</f>
        <v/>
      </c>
      <c r="BD912" s="34">
        <f>AW912*BC912</f>
        <v/>
      </c>
    </row>
    <row r="913">
      <c r="A913" s="27">
        <f>A912+1</f>
        <v/>
      </c>
      <c r="B913" s="28">
        <f>Duration0+A913</f>
        <v/>
      </c>
      <c r="C913" s="27">
        <f>INT(B913/12)</f>
        <v/>
      </c>
      <c r="D913" s="28">
        <f>AgeAtEntry+C913</f>
        <v/>
      </c>
      <c r="E913" s="29">
        <f>IF(PremiumType="SINGLE",IF(B913=0,PremiumPPInput,0),IF(B913&lt;12*PolicyTerm,PremiumPPInput,0))</f>
        <v/>
      </c>
      <c r="F913" s="30">
        <f>INDEX(MortRates,MATCH(MIN(D913,120),MortAges,0),MAX(MIN(C913,5),0)+1)</f>
        <v/>
      </c>
      <c r="G913" s="31">
        <f>1-(1-F913)^(1/12)</f>
        <v/>
      </c>
      <c r="H913" s="32">
        <f>MAX(LapseBase-LapseStep*C913,LapseFloor)</f>
        <v/>
      </c>
      <c r="I913" s="32">
        <f>IF(HasSurrCharge,INDEX(SurrRates,MIN(C913,SurrDurMax)+1,MATCH(SurrChargeID,SurrTypes,0)),0)</f>
        <v/>
      </c>
      <c r="J913" s="33">
        <f>N912-P912-O912</f>
        <v/>
      </c>
      <c r="K913" s="30">
        <f>IF(B913=12*PolicyTerm,J913,0)</f>
        <v/>
      </c>
      <c r="L913" s="33">
        <f>J913-K913</f>
        <v/>
      </c>
      <c r="M913" s="30">
        <f>IF(B913=0,PolicyCount,0)</f>
        <v/>
      </c>
      <c r="N913" s="33">
        <f>L913+M913</f>
        <v/>
      </c>
      <c r="O913" s="31">
        <f>N913*G913</f>
        <v/>
      </c>
      <c r="P913" s="33">
        <f>(N913-O913)*(1-(1-H913)^(1/12))</f>
        <v/>
      </c>
      <c r="Q913" s="34">
        <f>X912+Z912</f>
        <v/>
      </c>
      <c r="R913" s="29">
        <f>(1-LoadPremRate)*E913</f>
        <v/>
      </c>
      <c r="S913" s="34">
        <f>Q913+R913</f>
        <v/>
      </c>
      <c r="T913" s="29">
        <f>MaintFeeRateAnn/12*S913</f>
        <v/>
      </c>
      <c r="U913" s="29">
        <f>MAX(SumAssured-S913,0)</f>
        <v/>
      </c>
      <c r="V913" s="35">
        <f>CoiMultiple*G913</f>
        <v/>
      </c>
      <c r="W913" s="34">
        <f>V913*U913</f>
        <v/>
      </c>
      <c r="X913" s="34">
        <f>S913-T913-W913</f>
        <v/>
      </c>
      <c r="Y913" s="36">
        <f>EXP((Mu-0.5*Sigma^2)/12+Sigma*SQRT(1/12)*INDEX(NormRand,ScenID,A913+1))-1</f>
        <v/>
      </c>
      <c r="Z913" s="34">
        <f>Y913*X913</f>
        <v/>
      </c>
      <c r="AA913" s="34">
        <f>X913+0.5*Z913</f>
        <v/>
      </c>
      <c r="AB913" s="34">
        <f>Q913*J913</f>
        <v/>
      </c>
      <c r="AC913" s="34">
        <f>Q913*L913</f>
        <v/>
      </c>
      <c r="AD913" s="34">
        <f>S913*N913</f>
        <v/>
      </c>
      <c r="AE913" s="34">
        <f>E913*N913</f>
        <v/>
      </c>
      <c r="AF913" s="34">
        <f>R913*N913</f>
        <v/>
      </c>
      <c r="AG913" s="29">
        <f>MAX(SumAssured,AA913)</f>
        <v/>
      </c>
      <c r="AH913" s="34">
        <f>AG913*O913</f>
        <v/>
      </c>
      <c r="AI913" s="34">
        <f>AA913*O913</f>
        <v/>
      </c>
      <c r="AJ913" s="34">
        <f>AA913*P913</f>
        <v/>
      </c>
      <c r="AK913" s="34">
        <f>I913*AA913*P913</f>
        <v/>
      </c>
      <c r="AL913" s="34">
        <f>AJ913-AK913</f>
        <v/>
      </c>
      <c r="AM913" s="34">
        <f>Q913*K913</f>
        <v/>
      </c>
      <c r="AN913" s="34">
        <f>AH913+AL913+AM913</f>
        <v/>
      </c>
      <c r="AO913" s="34">
        <f>(AG913-AA913)*O913</f>
        <v/>
      </c>
      <c r="AP913" s="34">
        <f>W913*N913</f>
        <v/>
      </c>
      <c r="AQ913" s="34">
        <f>T913*N913</f>
        <v/>
      </c>
      <c r="AR913" s="34">
        <f>Z913*J914+0.5*Z913*(O913+P913)</f>
        <v/>
      </c>
      <c r="AS913" s="30">
        <f>(1+InflationRate)^(A913/12)</f>
        <v/>
      </c>
      <c r="AT913" s="29">
        <f>ExpenseAcq*M913+N913*ExpenseMaint/12*AS913</f>
        <v/>
      </c>
      <c r="AU913" s="29">
        <f>CommissionRate*AE913</f>
        <v/>
      </c>
      <c r="AV913" s="34">
        <f>AB914-AB913</f>
        <v/>
      </c>
      <c r="AW913" s="34">
        <f>AE913+AR913-AN913-AT913-AU913-AV913</f>
        <v/>
      </c>
      <c r="AX913" s="29">
        <f>LoadPremRate*E913*N913+AK913+AQ913-AU913-AT913</f>
        <v/>
      </c>
      <c r="AY913" s="34">
        <f>AP913-AO913</f>
        <v/>
      </c>
      <c r="AZ913" s="37">
        <f>(AW913-AX913-AY913)/MAX(1,ABS(AW913),ABS(AX913),ABS(AY913))</f>
        <v/>
      </c>
      <c r="BA913" s="37">
        <f>IF(OR(K913&gt;0,K914&gt;0),0,(AC914-(AC913+AF913-AQ913-AP913+AR913-AI913-AJ913-AM913))/MAX(1,ABS(AC913),ABS(AC914)))</f>
        <v/>
      </c>
      <c r="BB913" s="35">
        <f>(1+INDEX(DiscRateAnn,INT(A913/12)+1))^(1/12)-1</f>
        <v/>
      </c>
      <c r="BC913" s="31">
        <f>(1+BB913)^-A913</f>
        <v/>
      </c>
      <c r="BD913" s="34">
        <f>AW913*BC913</f>
        <v/>
      </c>
    </row>
    <row r="914">
      <c r="A914" s="27">
        <f>A913+1</f>
        <v/>
      </c>
      <c r="B914" s="28">
        <f>Duration0+A914</f>
        <v/>
      </c>
      <c r="C914" s="27">
        <f>INT(B914/12)</f>
        <v/>
      </c>
      <c r="D914" s="28">
        <f>AgeAtEntry+C914</f>
        <v/>
      </c>
      <c r="E914" s="29">
        <f>IF(PremiumType="SINGLE",IF(B914=0,PremiumPPInput,0),IF(B914&lt;12*PolicyTerm,PremiumPPInput,0))</f>
        <v/>
      </c>
      <c r="F914" s="30">
        <f>INDEX(MortRates,MATCH(MIN(D914,120),MortAges,0),MAX(MIN(C914,5),0)+1)</f>
        <v/>
      </c>
      <c r="G914" s="31">
        <f>1-(1-F914)^(1/12)</f>
        <v/>
      </c>
      <c r="H914" s="32">
        <f>MAX(LapseBase-LapseStep*C914,LapseFloor)</f>
        <v/>
      </c>
      <c r="I914" s="32">
        <f>IF(HasSurrCharge,INDEX(SurrRates,MIN(C914,SurrDurMax)+1,MATCH(SurrChargeID,SurrTypes,0)),0)</f>
        <v/>
      </c>
      <c r="J914" s="33">
        <f>N913-P913-O913</f>
        <v/>
      </c>
      <c r="K914" s="30">
        <f>IF(B914=12*PolicyTerm,J914,0)</f>
        <v/>
      </c>
      <c r="L914" s="33">
        <f>J914-K914</f>
        <v/>
      </c>
      <c r="M914" s="30">
        <f>IF(B914=0,PolicyCount,0)</f>
        <v/>
      </c>
      <c r="N914" s="33">
        <f>L914+M914</f>
        <v/>
      </c>
      <c r="O914" s="31">
        <f>N914*G914</f>
        <v/>
      </c>
      <c r="P914" s="33">
        <f>(N914-O914)*(1-(1-H914)^(1/12))</f>
        <v/>
      </c>
      <c r="Q914" s="34">
        <f>X913+Z913</f>
        <v/>
      </c>
      <c r="R914" s="29">
        <f>(1-LoadPremRate)*E914</f>
        <v/>
      </c>
      <c r="S914" s="34">
        <f>Q914+R914</f>
        <v/>
      </c>
      <c r="T914" s="29">
        <f>MaintFeeRateAnn/12*S914</f>
        <v/>
      </c>
      <c r="U914" s="29">
        <f>MAX(SumAssured-S914,0)</f>
        <v/>
      </c>
      <c r="V914" s="35">
        <f>CoiMultiple*G914</f>
        <v/>
      </c>
      <c r="W914" s="34">
        <f>V914*U914</f>
        <v/>
      </c>
      <c r="X914" s="34">
        <f>S914-T914-W914</f>
        <v/>
      </c>
      <c r="Y914" s="36">
        <f>EXP((Mu-0.5*Sigma^2)/12+Sigma*SQRT(1/12)*INDEX(NormRand,ScenID,A914+1))-1</f>
        <v/>
      </c>
      <c r="Z914" s="34">
        <f>Y914*X914</f>
        <v/>
      </c>
      <c r="AA914" s="34">
        <f>X914+0.5*Z914</f>
        <v/>
      </c>
      <c r="AB914" s="34">
        <f>Q914*J914</f>
        <v/>
      </c>
      <c r="AC914" s="34">
        <f>Q914*L914</f>
        <v/>
      </c>
      <c r="AD914" s="34">
        <f>S914*N914</f>
        <v/>
      </c>
      <c r="AE914" s="34">
        <f>E914*N914</f>
        <v/>
      </c>
      <c r="AF914" s="34">
        <f>R914*N914</f>
        <v/>
      </c>
      <c r="AG914" s="29">
        <f>MAX(SumAssured,AA914)</f>
        <v/>
      </c>
      <c r="AH914" s="34">
        <f>AG914*O914</f>
        <v/>
      </c>
      <c r="AI914" s="34">
        <f>AA914*O914</f>
        <v/>
      </c>
      <c r="AJ914" s="34">
        <f>AA914*P914</f>
        <v/>
      </c>
      <c r="AK914" s="34">
        <f>I914*AA914*P914</f>
        <v/>
      </c>
      <c r="AL914" s="34">
        <f>AJ914-AK914</f>
        <v/>
      </c>
      <c r="AM914" s="34">
        <f>Q914*K914</f>
        <v/>
      </c>
      <c r="AN914" s="34">
        <f>AH914+AL914+AM914</f>
        <v/>
      </c>
      <c r="AO914" s="34">
        <f>(AG914-AA914)*O914</f>
        <v/>
      </c>
      <c r="AP914" s="34">
        <f>W914*N914</f>
        <v/>
      </c>
      <c r="AQ914" s="34">
        <f>T914*N914</f>
        <v/>
      </c>
      <c r="AR914" s="34">
        <f>Z914*J915+0.5*Z914*(O914+P914)</f>
        <v/>
      </c>
      <c r="AS914" s="30">
        <f>(1+InflationRate)^(A914/12)</f>
        <v/>
      </c>
      <c r="AT914" s="29">
        <f>ExpenseAcq*M914+N914*ExpenseMaint/12*AS914</f>
        <v/>
      </c>
      <c r="AU914" s="29">
        <f>CommissionRate*AE914</f>
        <v/>
      </c>
      <c r="AV914" s="34">
        <f>AB915-AB914</f>
        <v/>
      </c>
      <c r="AW914" s="34">
        <f>AE914+AR914-AN914-AT914-AU914-AV914</f>
        <v/>
      </c>
      <c r="AX914" s="29">
        <f>LoadPremRate*E914*N914+AK914+AQ914-AU914-AT914</f>
        <v/>
      </c>
      <c r="AY914" s="34">
        <f>AP914-AO914</f>
        <v/>
      </c>
      <c r="AZ914" s="37">
        <f>(AW914-AX914-AY914)/MAX(1,ABS(AW914),ABS(AX914),ABS(AY914))</f>
        <v/>
      </c>
      <c r="BA914" s="37">
        <f>IF(OR(K914&gt;0,K915&gt;0),0,(AC915-(AC914+AF914-AQ914-AP914+AR914-AI914-AJ914-AM914))/MAX(1,ABS(AC914),ABS(AC915)))</f>
        <v/>
      </c>
      <c r="BB914" s="35">
        <f>(1+INDEX(DiscRateAnn,INT(A914/12)+1))^(1/12)-1</f>
        <v/>
      </c>
      <c r="BC914" s="31">
        <f>(1+BB914)^-A914</f>
        <v/>
      </c>
      <c r="BD914" s="34">
        <f>AW914*BC914</f>
        <v/>
      </c>
    </row>
    <row r="915">
      <c r="A915" s="27">
        <f>A914+1</f>
        <v/>
      </c>
      <c r="B915" s="28">
        <f>Duration0+A915</f>
        <v/>
      </c>
      <c r="C915" s="27">
        <f>INT(B915/12)</f>
        <v/>
      </c>
      <c r="D915" s="28">
        <f>AgeAtEntry+C915</f>
        <v/>
      </c>
      <c r="E915" s="29">
        <f>IF(PremiumType="SINGLE",IF(B915=0,PremiumPPInput,0),IF(B915&lt;12*PolicyTerm,PremiumPPInput,0))</f>
        <v/>
      </c>
      <c r="F915" s="30">
        <f>INDEX(MortRates,MATCH(MIN(D915,120),MortAges,0),MAX(MIN(C915,5),0)+1)</f>
        <v/>
      </c>
      <c r="G915" s="31">
        <f>1-(1-F915)^(1/12)</f>
        <v/>
      </c>
      <c r="H915" s="32">
        <f>MAX(LapseBase-LapseStep*C915,LapseFloor)</f>
        <v/>
      </c>
      <c r="I915" s="32">
        <f>IF(HasSurrCharge,INDEX(SurrRates,MIN(C915,SurrDurMax)+1,MATCH(SurrChargeID,SurrTypes,0)),0)</f>
        <v/>
      </c>
      <c r="J915" s="33">
        <f>N914-P914-O914</f>
        <v/>
      </c>
      <c r="K915" s="30">
        <f>IF(B915=12*PolicyTerm,J915,0)</f>
        <v/>
      </c>
      <c r="L915" s="33">
        <f>J915-K915</f>
        <v/>
      </c>
      <c r="M915" s="30">
        <f>IF(B915=0,PolicyCount,0)</f>
        <v/>
      </c>
      <c r="N915" s="33">
        <f>L915+M915</f>
        <v/>
      </c>
      <c r="O915" s="31">
        <f>N915*G915</f>
        <v/>
      </c>
      <c r="P915" s="33">
        <f>(N915-O915)*(1-(1-H915)^(1/12))</f>
        <v/>
      </c>
      <c r="Q915" s="34">
        <f>X914+Z914</f>
        <v/>
      </c>
      <c r="R915" s="29">
        <f>(1-LoadPremRate)*E915</f>
        <v/>
      </c>
      <c r="S915" s="34">
        <f>Q915+R915</f>
        <v/>
      </c>
      <c r="T915" s="29">
        <f>MaintFeeRateAnn/12*S915</f>
        <v/>
      </c>
      <c r="U915" s="29">
        <f>MAX(SumAssured-S915,0)</f>
        <v/>
      </c>
      <c r="V915" s="35">
        <f>CoiMultiple*G915</f>
        <v/>
      </c>
      <c r="W915" s="34">
        <f>V915*U915</f>
        <v/>
      </c>
      <c r="X915" s="34">
        <f>S915-T915-W915</f>
        <v/>
      </c>
      <c r="Y915" s="36">
        <f>EXP((Mu-0.5*Sigma^2)/12+Sigma*SQRT(1/12)*INDEX(NormRand,ScenID,A915+1))-1</f>
        <v/>
      </c>
      <c r="Z915" s="34">
        <f>Y915*X915</f>
        <v/>
      </c>
      <c r="AA915" s="34">
        <f>X915+0.5*Z915</f>
        <v/>
      </c>
      <c r="AB915" s="34">
        <f>Q915*J915</f>
        <v/>
      </c>
      <c r="AC915" s="34">
        <f>Q915*L915</f>
        <v/>
      </c>
      <c r="AD915" s="34">
        <f>S915*N915</f>
        <v/>
      </c>
      <c r="AE915" s="34">
        <f>E915*N915</f>
        <v/>
      </c>
      <c r="AF915" s="34">
        <f>R915*N915</f>
        <v/>
      </c>
      <c r="AG915" s="29">
        <f>MAX(SumAssured,AA915)</f>
        <v/>
      </c>
      <c r="AH915" s="34">
        <f>AG915*O915</f>
        <v/>
      </c>
      <c r="AI915" s="34">
        <f>AA915*O915</f>
        <v/>
      </c>
      <c r="AJ915" s="34">
        <f>AA915*P915</f>
        <v/>
      </c>
      <c r="AK915" s="34">
        <f>I915*AA915*P915</f>
        <v/>
      </c>
      <c r="AL915" s="34">
        <f>AJ915-AK915</f>
        <v/>
      </c>
      <c r="AM915" s="34">
        <f>Q915*K915</f>
        <v/>
      </c>
      <c r="AN915" s="34">
        <f>AH915+AL915+AM915</f>
        <v/>
      </c>
      <c r="AO915" s="34">
        <f>(AG915-AA915)*O915</f>
        <v/>
      </c>
      <c r="AP915" s="34">
        <f>W915*N915</f>
        <v/>
      </c>
      <c r="AQ915" s="34">
        <f>T915*N915</f>
        <v/>
      </c>
      <c r="AR915" s="34">
        <f>Z915*J916+0.5*Z915*(O915+P915)</f>
        <v/>
      </c>
      <c r="AS915" s="30">
        <f>(1+InflationRate)^(A915/12)</f>
        <v/>
      </c>
      <c r="AT915" s="29">
        <f>ExpenseAcq*M915+N915*ExpenseMaint/12*AS915</f>
        <v/>
      </c>
      <c r="AU915" s="29">
        <f>CommissionRate*AE915</f>
        <v/>
      </c>
      <c r="AV915" s="34">
        <f>AB916-AB915</f>
        <v/>
      </c>
      <c r="AW915" s="34">
        <f>AE915+AR915-AN915-AT915-AU915-AV915</f>
        <v/>
      </c>
      <c r="AX915" s="29">
        <f>LoadPremRate*E915*N915+AK915+AQ915-AU915-AT915</f>
        <v/>
      </c>
      <c r="AY915" s="34">
        <f>AP915-AO915</f>
        <v/>
      </c>
      <c r="AZ915" s="37">
        <f>(AW915-AX915-AY915)/MAX(1,ABS(AW915),ABS(AX915),ABS(AY915))</f>
        <v/>
      </c>
      <c r="BA915" s="37">
        <f>IF(OR(K915&gt;0,K916&gt;0),0,(AC916-(AC915+AF915-AQ915-AP915+AR915-AI915-AJ915-AM915))/MAX(1,ABS(AC915),ABS(AC916)))</f>
        <v/>
      </c>
      <c r="BB915" s="35">
        <f>(1+INDEX(DiscRateAnn,INT(A915/12)+1))^(1/12)-1</f>
        <v/>
      </c>
      <c r="BC915" s="31">
        <f>(1+BB915)^-A915</f>
        <v/>
      </c>
      <c r="BD915" s="34">
        <f>AW915*BC915</f>
        <v/>
      </c>
    </row>
    <row r="916">
      <c r="A916" s="27">
        <f>A915+1</f>
        <v/>
      </c>
      <c r="B916" s="28">
        <f>Duration0+A916</f>
        <v/>
      </c>
      <c r="C916" s="27">
        <f>INT(B916/12)</f>
        <v/>
      </c>
      <c r="D916" s="28">
        <f>AgeAtEntry+C916</f>
        <v/>
      </c>
      <c r="E916" s="29">
        <f>IF(PremiumType="SINGLE",IF(B916=0,PremiumPPInput,0),IF(B916&lt;12*PolicyTerm,PremiumPPInput,0))</f>
        <v/>
      </c>
      <c r="F916" s="30">
        <f>INDEX(MortRates,MATCH(MIN(D916,120),MortAges,0),MAX(MIN(C916,5),0)+1)</f>
        <v/>
      </c>
      <c r="G916" s="31">
        <f>1-(1-F916)^(1/12)</f>
        <v/>
      </c>
      <c r="H916" s="32">
        <f>MAX(LapseBase-LapseStep*C916,LapseFloor)</f>
        <v/>
      </c>
      <c r="I916" s="32">
        <f>IF(HasSurrCharge,INDEX(SurrRates,MIN(C916,SurrDurMax)+1,MATCH(SurrChargeID,SurrTypes,0)),0)</f>
        <v/>
      </c>
      <c r="J916" s="33">
        <f>N915-P915-O915</f>
        <v/>
      </c>
      <c r="K916" s="30">
        <f>IF(B916=12*PolicyTerm,J916,0)</f>
        <v/>
      </c>
      <c r="L916" s="33">
        <f>J916-K916</f>
        <v/>
      </c>
      <c r="M916" s="30">
        <f>IF(B916=0,PolicyCount,0)</f>
        <v/>
      </c>
      <c r="N916" s="33">
        <f>L916+M916</f>
        <v/>
      </c>
      <c r="O916" s="31">
        <f>N916*G916</f>
        <v/>
      </c>
      <c r="P916" s="33">
        <f>(N916-O916)*(1-(1-H916)^(1/12))</f>
        <v/>
      </c>
      <c r="Q916" s="34">
        <f>X915+Z915</f>
        <v/>
      </c>
      <c r="R916" s="29">
        <f>(1-LoadPremRate)*E916</f>
        <v/>
      </c>
      <c r="S916" s="34">
        <f>Q916+R916</f>
        <v/>
      </c>
      <c r="T916" s="29">
        <f>MaintFeeRateAnn/12*S916</f>
        <v/>
      </c>
      <c r="U916" s="29">
        <f>MAX(SumAssured-S916,0)</f>
        <v/>
      </c>
      <c r="V916" s="35">
        <f>CoiMultiple*G916</f>
        <v/>
      </c>
      <c r="W916" s="34">
        <f>V916*U916</f>
        <v/>
      </c>
      <c r="X916" s="34">
        <f>S916-T916-W916</f>
        <v/>
      </c>
      <c r="Y916" s="36">
        <f>EXP((Mu-0.5*Sigma^2)/12+Sigma*SQRT(1/12)*INDEX(NormRand,ScenID,A916+1))-1</f>
        <v/>
      </c>
      <c r="Z916" s="34">
        <f>Y916*X916</f>
        <v/>
      </c>
      <c r="AA916" s="34">
        <f>X916+0.5*Z916</f>
        <v/>
      </c>
      <c r="AB916" s="34">
        <f>Q916*J916</f>
        <v/>
      </c>
      <c r="AC916" s="34">
        <f>Q916*L916</f>
        <v/>
      </c>
      <c r="AD916" s="34">
        <f>S916*N916</f>
        <v/>
      </c>
      <c r="AE916" s="34">
        <f>E916*N916</f>
        <v/>
      </c>
      <c r="AF916" s="34">
        <f>R916*N916</f>
        <v/>
      </c>
      <c r="AG916" s="29">
        <f>MAX(SumAssured,AA916)</f>
        <v/>
      </c>
      <c r="AH916" s="34">
        <f>AG916*O916</f>
        <v/>
      </c>
      <c r="AI916" s="34">
        <f>AA916*O916</f>
        <v/>
      </c>
      <c r="AJ916" s="34">
        <f>AA916*P916</f>
        <v/>
      </c>
      <c r="AK916" s="34">
        <f>I916*AA916*P916</f>
        <v/>
      </c>
      <c r="AL916" s="34">
        <f>AJ916-AK916</f>
        <v/>
      </c>
      <c r="AM916" s="34">
        <f>Q916*K916</f>
        <v/>
      </c>
      <c r="AN916" s="34">
        <f>AH916+AL916+AM916</f>
        <v/>
      </c>
      <c r="AO916" s="34">
        <f>(AG916-AA916)*O916</f>
        <v/>
      </c>
      <c r="AP916" s="34">
        <f>W916*N916</f>
        <v/>
      </c>
      <c r="AQ916" s="34">
        <f>T916*N916</f>
        <v/>
      </c>
      <c r="AR916" s="34">
        <f>Z916*J917+0.5*Z916*(O916+P916)</f>
        <v/>
      </c>
      <c r="AS916" s="30">
        <f>(1+InflationRate)^(A916/12)</f>
        <v/>
      </c>
      <c r="AT916" s="29">
        <f>ExpenseAcq*M916+N916*ExpenseMaint/12*AS916</f>
        <v/>
      </c>
      <c r="AU916" s="29">
        <f>CommissionRate*AE916</f>
        <v/>
      </c>
      <c r="AV916" s="34">
        <f>AB917-AB916</f>
        <v/>
      </c>
      <c r="AW916" s="34">
        <f>AE916+AR916-AN916-AT916-AU916-AV916</f>
        <v/>
      </c>
      <c r="AX916" s="29">
        <f>LoadPremRate*E916*N916+AK916+AQ916-AU916-AT916</f>
        <v/>
      </c>
      <c r="AY916" s="34">
        <f>AP916-AO916</f>
        <v/>
      </c>
      <c r="AZ916" s="37">
        <f>(AW916-AX916-AY916)/MAX(1,ABS(AW916),ABS(AX916),ABS(AY916))</f>
        <v/>
      </c>
      <c r="BA916" s="37">
        <f>IF(OR(K916&gt;0,K917&gt;0),0,(AC917-(AC916+AF916-AQ916-AP916+AR916-AI916-AJ916-AM916))/MAX(1,ABS(AC916),ABS(AC917)))</f>
        <v/>
      </c>
      <c r="BB916" s="35">
        <f>(1+INDEX(DiscRateAnn,INT(A916/12)+1))^(1/12)-1</f>
        <v/>
      </c>
      <c r="BC916" s="31">
        <f>(1+BB916)^-A916</f>
        <v/>
      </c>
      <c r="BD916" s="34">
        <f>AW916*BC916</f>
        <v/>
      </c>
    </row>
    <row r="917">
      <c r="A917" s="27">
        <f>A916+1</f>
        <v/>
      </c>
      <c r="B917" s="28">
        <f>Duration0+A917</f>
        <v/>
      </c>
      <c r="C917" s="27">
        <f>INT(B917/12)</f>
        <v/>
      </c>
      <c r="D917" s="28">
        <f>AgeAtEntry+C917</f>
        <v/>
      </c>
      <c r="E917" s="29">
        <f>IF(PremiumType="SINGLE",IF(B917=0,PremiumPPInput,0),IF(B917&lt;12*PolicyTerm,PremiumPPInput,0))</f>
        <v/>
      </c>
      <c r="F917" s="30">
        <f>INDEX(MortRates,MATCH(MIN(D917,120),MortAges,0),MAX(MIN(C917,5),0)+1)</f>
        <v/>
      </c>
      <c r="G917" s="31">
        <f>1-(1-F917)^(1/12)</f>
        <v/>
      </c>
      <c r="H917" s="32">
        <f>MAX(LapseBase-LapseStep*C917,LapseFloor)</f>
        <v/>
      </c>
      <c r="I917" s="32">
        <f>IF(HasSurrCharge,INDEX(SurrRates,MIN(C917,SurrDurMax)+1,MATCH(SurrChargeID,SurrTypes,0)),0)</f>
        <v/>
      </c>
      <c r="J917" s="33">
        <f>N916-P916-O916</f>
        <v/>
      </c>
      <c r="K917" s="30">
        <f>IF(B917=12*PolicyTerm,J917,0)</f>
        <v/>
      </c>
      <c r="L917" s="33">
        <f>J917-K917</f>
        <v/>
      </c>
      <c r="M917" s="30">
        <f>IF(B917=0,PolicyCount,0)</f>
        <v/>
      </c>
      <c r="N917" s="33">
        <f>L917+M917</f>
        <v/>
      </c>
      <c r="O917" s="31">
        <f>N917*G917</f>
        <v/>
      </c>
      <c r="P917" s="33">
        <f>(N917-O917)*(1-(1-H917)^(1/12))</f>
        <v/>
      </c>
      <c r="Q917" s="34">
        <f>X916+Z916</f>
        <v/>
      </c>
      <c r="R917" s="29">
        <f>(1-LoadPremRate)*E917</f>
        <v/>
      </c>
      <c r="S917" s="34">
        <f>Q917+R917</f>
        <v/>
      </c>
      <c r="T917" s="29">
        <f>MaintFeeRateAnn/12*S917</f>
        <v/>
      </c>
      <c r="U917" s="29">
        <f>MAX(SumAssured-S917,0)</f>
        <v/>
      </c>
      <c r="V917" s="35">
        <f>CoiMultiple*G917</f>
        <v/>
      </c>
      <c r="W917" s="34">
        <f>V917*U917</f>
        <v/>
      </c>
      <c r="X917" s="34">
        <f>S917-T917-W917</f>
        <v/>
      </c>
      <c r="Y917" s="36">
        <f>EXP((Mu-0.5*Sigma^2)/12+Sigma*SQRT(1/12)*INDEX(NormRand,ScenID,A917+1))-1</f>
        <v/>
      </c>
      <c r="Z917" s="34">
        <f>Y917*X917</f>
        <v/>
      </c>
      <c r="AA917" s="34">
        <f>X917+0.5*Z917</f>
        <v/>
      </c>
      <c r="AB917" s="34">
        <f>Q917*J917</f>
        <v/>
      </c>
      <c r="AC917" s="34">
        <f>Q917*L917</f>
        <v/>
      </c>
      <c r="AD917" s="34">
        <f>S917*N917</f>
        <v/>
      </c>
      <c r="AE917" s="34">
        <f>E917*N917</f>
        <v/>
      </c>
      <c r="AF917" s="34">
        <f>R917*N917</f>
        <v/>
      </c>
      <c r="AG917" s="29">
        <f>MAX(SumAssured,AA917)</f>
        <v/>
      </c>
      <c r="AH917" s="34">
        <f>AG917*O917</f>
        <v/>
      </c>
      <c r="AI917" s="34">
        <f>AA917*O917</f>
        <v/>
      </c>
      <c r="AJ917" s="34">
        <f>AA917*P917</f>
        <v/>
      </c>
      <c r="AK917" s="34">
        <f>I917*AA917*P917</f>
        <v/>
      </c>
      <c r="AL917" s="34">
        <f>AJ917-AK917</f>
        <v/>
      </c>
      <c r="AM917" s="34">
        <f>Q917*K917</f>
        <v/>
      </c>
      <c r="AN917" s="34">
        <f>AH917+AL917+AM917</f>
        <v/>
      </c>
      <c r="AO917" s="34">
        <f>(AG917-AA917)*O917</f>
        <v/>
      </c>
      <c r="AP917" s="34">
        <f>W917*N917</f>
        <v/>
      </c>
      <c r="AQ917" s="34">
        <f>T917*N917</f>
        <v/>
      </c>
      <c r="AR917" s="34">
        <f>Z917*J918+0.5*Z917*(O917+P917)</f>
        <v/>
      </c>
      <c r="AS917" s="30">
        <f>(1+InflationRate)^(A917/12)</f>
        <v/>
      </c>
      <c r="AT917" s="29">
        <f>ExpenseAcq*M917+N917*ExpenseMaint/12*AS917</f>
        <v/>
      </c>
      <c r="AU917" s="29">
        <f>CommissionRate*AE917</f>
        <v/>
      </c>
      <c r="AV917" s="34">
        <f>AB918-AB917</f>
        <v/>
      </c>
      <c r="AW917" s="34">
        <f>AE917+AR917-AN917-AT917-AU917-AV917</f>
        <v/>
      </c>
      <c r="AX917" s="29">
        <f>LoadPremRate*E917*N917+AK917+AQ917-AU917-AT917</f>
        <v/>
      </c>
      <c r="AY917" s="34">
        <f>AP917-AO917</f>
        <v/>
      </c>
      <c r="AZ917" s="37">
        <f>(AW917-AX917-AY917)/MAX(1,ABS(AW917),ABS(AX917),ABS(AY917))</f>
        <v/>
      </c>
      <c r="BA917" s="37">
        <f>IF(OR(K917&gt;0,K918&gt;0),0,(AC918-(AC917+AF917-AQ917-AP917+AR917-AI917-AJ917-AM917))/MAX(1,ABS(AC917),ABS(AC918)))</f>
        <v/>
      </c>
      <c r="BB917" s="35">
        <f>(1+INDEX(DiscRateAnn,INT(A917/12)+1))^(1/12)-1</f>
        <v/>
      </c>
      <c r="BC917" s="31">
        <f>(1+BB917)^-A917</f>
        <v/>
      </c>
      <c r="BD917" s="34">
        <f>AW917*BC917</f>
        <v/>
      </c>
    </row>
    <row r="918">
      <c r="A918" s="27">
        <f>A917+1</f>
        <v/>
      </c>
      <c r="B918" s="28">
        <f>Duration0+A918</f>
        <v/>
      </c>
      <c r="C918" s="27">
        <f>INT(B918/12)</f>
        <v/>
      </c>
      <c r="D918" s="28">
        <f>AgeAtEntry+C918</f>
        <v/>
      </c>
      <c r="E918" s="29">
        <f>IF(PremiumType="SINGLE",IF(B918=0,PremiumPPInput,0),IF(B918&lt;12*PolicyTerm,PremiumPPInput,0))</f>
        <v/>
      </c>
      <c r="F918" s="30">
        <f>INDEX(MortRates,MATCH(MIN(D918,120),MortAges,0),MAX(MIN(C918,5),0)+1)</f>
        <v/>
      </c>
      <c r="G918" s="31">
        <f>1-(1-F918)^(1/12)</f>
        <v/>
      </c>
      <c r="H918" s="32">
        <f>MAX(LapseBase-LapseStep*C918,LapseFloor)</f>
        <v/>
      </c>
      <c r="I918" s="32">
        <f>IF(HasSurrCharge,INDEX(SurrRates,MIN(C918,SurrDurMax)+1,MATCH(SurrChargeID,SurrTypes,0)),0)</f>
        <v/>
      </c>
      <c r="J918" s="33">
        <f>N917-P917-O917</f>
        <v/>
      </c>
      <c r="K918" s="30">
        <f>IF(B918=12*PolicyTerm,J918,0)</f>
        <v/>
      </c>
      <c r="L918" s="33">
        <f>J918-K918</f>
        <v/>
      </c>
      <c r="M918" s="30">
        <f>IF(B918=0,PolicyCount,0)</f>
        <v/>
      </c>
      <c r="N918" s="33">
        <f>L918+M918</f>
        <v/>
      </c>
      <c r="O918" s="31">
        <f>N918*G918</f>
        <v/>
      </c>
      <c r="P918" s="33">
        <f>(N918-O918)*(1-(1-H918)^(1/12))</f>
        <v/>
      </c>
      <c r="Q918" s="34">
        <f>X917+Z917</f>
        <v/>
      </c>
      <c r="R918" s="29">
        <f>(1-LoadPremRate)*E918</f>
        <v/>
      </c>
      <c r="S918" s="34">
        <f>Q918+R918</f>
        <v/>
      </c>
      <c r="T918" s="29">
        <f>MaintFeeRateAnn/12*S918</f>
        <v/>
      </c>
      <c r="U918" s="29">
        <f>MAX(SumAssured-S918,0)</f>
        <v/>
      </c>
      <c r="V918" s="35">
        <f>CoiMultiple*G918</f>
        <v/>
      </c>
      <c r="W918" s="34">
        <f>V918*U918</f>
        <v/>
      </c>
      <c r="X918" s="34">
        <f>S918-T918-W918</f>
        <v/>
      </c>
      <c r="Y918" s="36">
        <f>EXP((Mu-0.5*Sigma^2)/12+Sigma*SQRT(1/12)*INDEX(NormRand,ScenID,A918+1))-1</f>
        <v/>
      </c>
      <c r="Z918" s="34">
        <f>Y918*X918</f>
        <v/>
      </c>
      <c r="AA918" s="34">
        <f>X918+0.5*Z918</f>
        <v/>
      </c>
      <c r="AB918" s="34">
        <f>Q918*J918</f>
        <v/>
      </c>
      <c r="AC918" s="34">
        <f>Q918*L918</f>
        <v/>
      </c>
      <c r="AD918" s="34">
        <f>S918*N918</f>
        <v/>
      </c>
      <c r="AE918" s="34">
        <f>E918*N918</f>
        <v/>
      </c>
      <c r="AF918" s="34">
        <f>R918*N918</f>
        <v/>
      </c>
      <c r="AG918" s="29">
        <f>MAX(SumAssured,AA918)</f>
        <v/>
      </c>
      <c r="AH918" s="34">
        <f>AG918*O918</f>
        <v/>
      </c>
      <c r="AI918" s="34">
        <f>AA918*O918</f>
        <v/>
      </c>
      <c r="AJ918" s="34">
        <f>AA918*P918</f>
        <v/>
      </c>
      <c r="AK918" s="34">
        <f>I918*AA918*P918</f>
        <v/>
      </c>
      <c r="AL918" s="34">
        <f>AJ918-AK918</f>
        <v/>
      </c>
      <c r="AM918" s="34">
        <f>Q918*K918</f>
        <v/>
      </c>
      <c r="AN918" s="34">
        <f>AH918+AL918+AM918</f>
        <v/>
      </c>
      <c r="AO918" s="34">
        <f>(AG918-AA918)*O918</f>
        <v/>
      </c>
      <c r="AP918" s="34">
        <f>W918*N918</f>
        <v/>
      </c>
      <c r="AQ918" s="34">
        <f>T918*N918</f>
        <v/>
      </c>
      <c r="AR918" s="34">
        <f>Z918*J919+0.5*Z918*(O918+P918)</f>
        <v/>
      </c>
      <c r="AS918" s="30">
        <f>(1+InflationRate)^(A918/12)</f>
        <v/>
      </c>
      <c r="AT918" s="29">
        <f>ExpenseAcq*M918+N918*ExpenseMaint/12*AS918</f>
        <v/>
      </c>
      <c r="AU918" s="29">
        <f>CommissionRate*AE918</f>
        <v/>
      </c>
      <c r="AV918" s="34">
        <f>AB919-AB918</f>
        <v/>
      </c>
      <c r="AW918" s="34">
        <f>AE918+AR918-AN918-AT918-AU918-AV918</f>
        <v/>
      </c>
      <c r="AX918" s="29">
        <f>LoadPremRate*E918*N918+AK918+AQ918-AU918-AT918</f>
        <v/>
      </c>
      <c r="AY918" s="34">
        <f>AP918-AO918</f>
        <v/>
      </c>
      <c r="AZ918" s="37">
        <f>(AW918-AX918-AY918)/MAX(1,ABS(AW918),ABS(AX918),ABS(AY918))</f>
        <v/>
      </c>
      <c r="BA918" s="37">
        <f>IF(OR(K918&gt;0,K919&gt;0),0,(AC919-(AC918+AF918-AQ918-AP918+AR918-AI918-AJ918-AM918))/MAX(1,ABS(AC918),ABS(AC919)))</f>
        <v/>
      </c>
      <c r="BB918" s="35">
        <f>(1+INDEX(DiscRateAnn,INT(A918/12)+1))^(1/12)-1</f>
        <v/>
      </c>
      <c r="BC918" s="31">
        <f>(1+BB918)^-A918</f>
        <v/>
      </c>
      <c r="BD918" s="34">
        <f>AW918*BC918</f>
        <v/>
      </c>
    </row>
    <row r="919">
      <c r="A919" s="27">
        <f>A918+1</f>
        <v/>
      </c>
      <c r="B919" s="28">
        <f>Duration0+A919</f>
        <v/>
      </c>
      <c r="C919" s="27">
        <f>INT(B919/12)</f>
        <v/>
      </c>
      <c r="D919" s="28">
        <f>AgeAtEntry+C919</f>
        <v/>
      </c>
      <c r="E919" s="29">
        <f>IF(PremiumType="SINGLE",IF(B919=0,PremiumPPInput,0),IF(B919&lt;12*PolicyTerm,PremiumPPInput,0))</f>
        <v/>
      </c>
      <c r="F919" s="30">
        <f>INDEX(MortRates,MATCH(MIN(D919,120),MortAges,0),MAX(MIN(C919,5),0)+1)</f>
        <v/>
      </c>
      <c r="G919" s="31">
        <f>1-(1-F919)^(1/12)</f>
        <v/>
      </c>
      <c r="H919" s="32">
        <f>MAX(LapseBase-LapseStep*C919,LapseFloor)</f>
        <v/>
      </c>
      <c r="I919" s="32">
        <f>IF(HasSurrCharge,INDEX(SurrRates,MIN(C919,SurrDurMax)+1,MATCH(SurrChargeID,SurrTypes,0)),0)</f>
        <v/>
      </c>
      <c r="J919" s="33">
        <f>N918-P918-O918</f>
        <v/>
      </c>
      <c r="K919" s="30">
        <f>IF(B919=12*PolicyTerm,J919,0)</f>
        <v/>
      </c>
      <c r="L919" s="33">
        <f>J919-K919</f>
        <v/>
      </c>
      <c r="M919" s="30">
        <f>IF(B919=0,PolicyCount,0)</f>
        <v/>
      </c>
      <c r="N919" s="33">
        <f>L919+M919</f>
        <v/>
      </c>
      <c r="O919" s="31">
        <f>N919*G919</f>
        <v/>
      </c>
      <c r="P919" s="33">
        <f>(N919-O919)*(1-(1-H919)^(1/12))</f>
        <v/>
      </c>
      <c r="Q919" s="34">
        <f>X918+Z918</f>
        <v/>
      </c>
      <c r="R919" s="29">
        <f>(1-LoadPremRate)*E919</f>
        <v/>
      </c>
      <c r="S919" s="34">
        <f>Q919+R919</f>
        <v/>
      </c>
      <c r="T919" s="29">
        <f>MaintFeeRateAnn/12*S919</f>
        <v/>
      </c>
      <c r="U919" s="29">
        <f>MAX(SumAssured-S919,0)</f>
        <v/>
      </c>
      <c r="V919" s="35">
        <f>CoiMultiple*G919</f>
        <v/>
      </c>
      <c r="W919" s="34">
        <f>V919*U919</f>
        <v/>
      </c>
      <c r="X919" s="34">
        <f>S919-T919-W919</f>
        <v/>
      </c>
      <c r="Y919" s="36">
        <f>EXP((Mu-0.5*Sigma^2)/12+Sigma*SQRT(1/12)*INDEX(NormRand,ScenID,A919+1))-1</f>
        <v/>
      </c>
      <c r="Z919" s="34">
        <f>Y919*X919</f>
        <v/>
      </c>
      <c r="AA919" s="34">
        <f>X919+0.5*Z919</f>
        <v/>
      </c>
      <c r="AB919" s="34">
        <f>Q919*J919</f>
        <v/>
      </c>
      <c r="AC919" s="34">
        <f>Q919*L919</f>
        <v/>
      </c>
      <c r="AD919" s="34">
        <f>S919*N919</f>
        <v/>
      </c>
      <c r="AE919" s="34">
        <f>E919*N919</f>
        <v/>
      </c>
      <c r="AF919" s="34">
        <f>R919*N919</f>
        <v/>
      </c>
      <c r="AG919" s="29">
        <f>MAX(SumAssured,AA919)</f>
        <v/>
      </c>
      <c r="AH919" s="34">
        <f>AG919*O919</f>
        <v/>
      </c>
      <c r="AI919" s="34">
        <f>AA919*O919</f>
        <v/>
      </c>
      <c r="AJ919" s="34">
        <f>AA919*P919</f>
        <v/>
      </c>
      <c r="AK919" s="34">
        <f>I919*AA919*P919</f>
        <v/>
      </c>
      <c r="AL919" s="34">
        <f>AJ919-AK919</f>
        <v/>
      </c>
      <c r="AM919" s="34">
        <f>Q919*K919</f>
        <v/>
      </c>
      <c r="AN919" s="34">
        <f>AH919+AL919+AM919</f>
        <v/>
      </c>
      <c r="AO919" s="34">
        <f>(AG919-AA919)*O919</f>
        <v/>
      </c>
      <c r="AP919" s="34">
        <f>W919*N919</f>
        <v/>
      </c>
      <c r="AQ919" s="34">
        <f>T919*N919</f>
        <v/>
      </c>
      <c r="AR919" s="34">
        <f>Z919*J920+0.5*Z919*(O919+P919)</f>
        <v/>
      </c>
      <c r="AS919" s="30">
        <f>(1+InflationRate)^(A919/12)</f>
        <v/>
      </c>
      <c r="AT919" s="29">
        <f>ExpenseAcq*M919+N919*ExpenseMaint/12*AS919</f>
        <v/>
      </c>
      <c r="AU919" s="29">
        <f>CommissionRate*AE919</f>
        <v/>
      </c>
      <c r="AV919" s="34">
        <f>AB920-AB919</f>
        <v/>
      </c>
      <c r="AW919" s="34">
        <f>AE919+AR919-AN919-AT919-AU919-AV919</f>
        <v/>
      </c>
      <c r="AX919" s="29">
        <f>LoadPremRate*E919*N919+AK919+AQ919-AU919-AT919</f>
        <v/>
      </c>
      <c r="AY919" s="34">
        <f>AP919-AO919</f>
        <v/>
      </c>
      <c r="AZ919" s="37">
        <f>(AW919-AX919-AY919)/MAX(1,ABS(AW919),ABS(AX919),ABS(AY919))</f>
        <v/>
      </c>
      <c r="BA919" s="37">
        <f>IF(OR(K919&gt;0,K920&gt;0),0,(AC920-(AC919+AF919-AQ919-AP919+AR919-AI919-AJ919-AM919))/MAX(1,ABS(AC919),ABS(AC920)))</f>
        <v/>
      </c>
      <c r="BB919" s="35">
        <f>(1+INDEX(DiscRateAnn,INT(A919/12)+1))^(1/12)-1</f>
        <v/>
      </c>
      <c r="BC919" s="31">
        <f>(1+BB919)^-A919</f>
        <v/>
      </c>
      <c r="BD919" s="34">
        <f>AW919*BC919</f>
        <v/>
      </c>
    </row>
    <row r="920">
      <c r="A920" s="27">
        <f>A919+1</f>
        <v/>
      </c>
      <c r="B920" s="28">
        <f>Duration0+A920</f>
        <v/>
      </c>
      <c r="C920" s="27">
        <f>INT(B920/12)</f>
        <v/>
      </c>
      <c r="D920" s="28">
        <f>AgeAtEntry+C920</f>
        <v/>
      </c>
      <c r="E920" s="29">
        <f>IF(PremiumType="SINGLE",IF(B920=0,PremiumPPInput,0),IF(B920&lt;12*PolicyTerm,PremiumPPInput,0))</f>
        <v/>
      </c>
      <c r="F920" s="30">
        <f>INDEX(MortRates,MATCH(MIN(D920,120),MortAges,0),MAX(MIN(C920,5),0)+1)</f>
        <v/>
      </c>
      <c r="G920" s="31">
        <f>1-(1-F920)^(1/12)</f>
        <v/>
      </c>
      <c r="H920" s="32">
        <f>MAX(LapseBase-LapseStep*C920,LapseFloor)</f>
        <v/>
      </c>
      <c r="I920" s="32">
        <f>IF(HasSurrCharge,INDEX(SurrRates,MIN(C920,SurrDurMax)+1,MATCH(SurrChargeID,SurrTypes,0)),0)</f>
        <v/>
      </c>
      <c r="J920" s="33">
        <f>N919-P919-O919</f>
        <v/>
      </c>
      <c r="K920" s="30">
        <f>IF(B920=12*PolicyTerm,J920,0)</f>
        <v/>
      </c>
      <c r="L920" s="33">
        <f>J920-K920</f>
        <v/>
      </c>
      <c r="M920" s="30">
        <f>IF(B920=0,PolicyCount,0)</f>
        <v/>
      </c>
      <c r="N920" s="33">
        <f>L920+M920</f>
        <v/>
      </c>
      <c r="O920" s="31">
        <f>N920*G920</f>
        <v/>
      </c>
      <c r="P920" s="33">
        <f>(N920-O920)*(1-(1-H920)^(1/12))</f>
        <v/>
      </c>
      <c r="Q920" s="34">
        <f>X919+Z919</f>
        <v/>
      </c>
      <c r="R920" s="29">
        <f>(1-LoadPremRate)*E920</f>
        <v/>
      </c>
      <c r="S920" s="34">
        <f>Q920+R920</f>
        <v/>
      </c>
      <c r="T920" s="29">
        <f>MaintFeeRateAnn/12*S920</f>
        <v/>
      </c>
      <c r="U920" s="29">
        <f>MAX(SumAssured-S920,0)</f>
        <v/>
      </c>
      <c r="V920" s="35">
        <f>CoiMultiple*G920</f>
        <v/>
      </c>
      <c r="W920" s="34">
        <f>V920*U920</f>
        <v/>
      </c>
      <c r="X920" s="34">
        <f>S920-T920-W920</f>
        <v/>
      </c>
      <c r="Y920" s="36">
        <f>EXP((Mu-0.5*Sigma^2)/12+Sigma*SQRT(1/12)*INDEX(NormRand,ScenID,A920+1))-1</f>
        <v/>
      </c>
      <c r="Z920" s="34">
        <f>Y920*X920</f>
        <v/>
      </c>
      <c r="AA920" s="34">
        <f>X920+0.5*Z920</f>
        <v/>
      </c>
      <c r="AB920" s="34">
        <f>Q920*J920</f>
        <v/>
      </c>
      <c r="AC920" s="34">
        <f>Q920*L920</f>
        <v/>
      </c>
      <c r="AD920" s="34">
        <f>S920*N920</f>
        <v/>
      </c>
      <c r="AE920" s="34">
        <f>E920*N920</f>
        <v/>
      </c>
      <c r="AF920" s="34">
        <f>R920*N920</f>
        <v/>
      </c>
      <c r="AG920" s="29">
        <f>MAX(SumAssured,AA920)</f>
        <v/>
      </c>
      <c r="AH920" s="34">
        <f>AG920*O920</f>
        <v/>
      </c>
      <c r="AI920" s="34">
        <f>AA920*O920</f>
        <v/>
      </c>
      <c r="AJ920" s="34">
        <f>AA920*P920</f>
        <v/>
      </c>
      <c r="AK920" s="34">
        <f>I920*AA920*P920</f>
        <v/>
      </c>
      <c r="AL920" s="34">
        <f>AJ920-AK920</f>
        <v/>
      </c>
      <c r="AM920" s="34">
        <f>Q920*K920</f>
        <v/>
      </c>
      <c r="AN920" s="34">
        <f>AH920+AL920+AM920</f>
        <v/>
      </c>
      <c r="AO920" s="34">
        <f>(AG920-AA920)*O920</f>
        <v/>
      </c>
      <c r="AP920" s="34">
        <f>W920*N920</f>
        <v/>
      </c>
      <c r="AQ920" s="34">
        <f>T920*N920</f>
        <v/>
      </c>
      <c r="AR920" s="34">
        <f>Z920*J921+0.5*Z920*(O920+P920)</f>
        <v/>
      </c>
      <c r="AS920" s="30">
        <f>(1+InflationRate)^(A920/12)</f>
        <v/>
      </c>
      <c r="AT920" s="29">
        <f>ExpenseAcq*M920+N920*ExpenseMaint/12*AS920</f>
        <v/>
      </c>
      <c r="AU920" s="29">
        <f>CommissionRate*AE920</f>
        <v/>
      </c>
      <c r="AV920" s="34">
        <f>AB921-AB920</f>
        <v/>
      </c>
      <c r="AW920" s="34">
        <f>AE920+AR920-AN920-AT920-AU920-AV920</f>
        <v/>
      </c>
      <c r="AX920" s="29">
        <f>LoadPremRate*E920*N920+AK920+AQ920-AU920-AT920</f>
        <v/>
      </c>
      <c r="AY920" s="34">
        <f>AP920-AO920</f>
        <v/>
      </c>
      <c r="AZ920" s="37">
        <f>(AW920-AX920-AY920)/MAX(1,ABS(AW920),ABS(AX920),ABS(AY920))</f>
        <v/>
      </c>
      <c r="BA920" s="37">
        <f>IF(OR(K920&gt;0,K921&gt;0),0,(AC921-(AC920+AF920-AQ920-AP920+AR920-AI920-AJ920-AM920))/MAX(1,ABS(AC920),ABS(AC921)))</f>
        <v/>
      </c>
      <c r="BB920" s="35">
        <f>(1+INDEX(DiscRateAnn,INT(A920/12)+1))^(1/12)-1</f>
        <v/>
      </c>
      <c r="BC920" s="31">
        <f>(1+BB920)^-A920</f>
        <v/>
      </c>
      <c r="BD920" s="34">
        <f>AW920*BC920</f>
        <v/>
      </c>
    </row>
    <row r="921">
      <c r="A921" s="27">
        <f>A920+1</f>
        <v/>
      </c>
      <c r="B921" s="28">
        <f>Duration0+A921</f>
        <v/>
      </c>
      <c r="C921" s="27">
        <f>INT(B921/12)</f>
        <v/>
      </c>
      <c r="D921" s="28">
        <f>AgeAtEntry+C921</f>
        <v/>
      </c>
      <c r="E921" s="29">
        <f>IF(PremiumType="SINGLE",IF(B921=0,PremiumPPInput,0),IF(B921&lt;12*PolicyTerm,PremiumPPInput,0))</f>
        <v/>
      </c>
      <c r="F921" s="30">
        <f>INDEX(MortRates,MATCH(MIN(D921,120),MortAges,0),MAX(MIN(C921,5),0)+1)</f>
        <v/>
      </c>
      <c r="G921" s="31">
        <f>1-(1-F921)^(1/12)</f>
        <v/>
      </c>
      <c r="H921" s="32">
        <f>MAX(LapseBase-LapseStep*C921,LapseFloor)</f>
        <v/>
      </c>
      <c r="I921" s="32">
        <f>IF(HasSurrCharge,INDEX(SurrRates,MIN(C921,SurrDurMax)+1,MATCH(SurrChargeID,SurrTypes,0)),0)</f>
        <v/>
      </c>
      <c r="J921" s="33">
        <f>N920-P920-O920</f>
        <v/>
      </c>
      <c r="K921" s="30">
        <f>IF(B921=12*PolicyTerm,J921,0)</f>
        <v/>
      </c>
      <c r="L921" s="33">
        <f>J921-K921</f>
        <v/>
      </c>
      <c r="M921" s="30">
        <f>IF(B921=0,PolicyCount,0)</f>
        <v/>
      </c>
      <c r="N921" s="33">
        <f>L921+M921</f>
        <v/>
      </c>
      <c r="O921" s="31">
        <f>N921*G921</f>
        <v/>
      </c>
      <c r="P921" s="33">
        <f>(N921-O921)*(1-(1-H921)^(1/12))</f>
        <v/>
      </c>
      <c r="Q921" s="34">
        <f>X920+Z920</f>
        <v/>
      </c>
      <c r="R921" s="29">
        <f>(1-LoadPremRate)*E921</f>
        <v/>
      </c>
      <c r="S921" s="34">
        <f>Q921+R921</f>
        <v/>
      </c>
      <c r="T921" s="29">
        <f>MaintFeeRateAnn/12*S921</f>
        <v/>
      </c>
      <c r="U921" s="29">
        <f>MAX(SumAssured-S921,0)</f>
        <v/>
      </c>
      <c r="V921" s="35">
        <f>CoiMultiple*G921</f>
        <v/>
      </c>
      <c r="W921" s="34">
        <f>V921*U921</f>
        <v/>
      </c>
      <c r="X921" s="34">
        <f>S921-T921-W921</f>
        <v/>
      </c>
      <c r="Y921" s="36">
        <f>EXP((Mu-0.5*Sigma^2)/12+Sigma*SQRT(1/12)*INDEX(NormRand,ScenID,A921+1))-1</f>
        <v/>
      </c>
      <c r="Z921" s="34">
        <f>Y921*X921</f>
        <v/>
      </c>
      <c r="AA921" s="34">
        <f>X921+0.5*Z921</f>
        <v/>
      </c>
      <c r="AB921" s="34">
        <f>Q921*J921</f>
        <v/>
      </c>
      <c r="AC921" s="34">
        <f>Q921*L921</f>
        <v/>
      </c>
      <c r="AD921" s="34">
        <f>S921*N921</f>
        <v/>
      </c>
      <c r="AE921" s="34">
        <f>E921*N921</f>
        <v/>
      </c>
      <c r="AF921" s="34">
        <f>R921*N921</f>
        <v/>
      </c>
      <c r="AG921" s="29">
        <f>MAX(SumAssured,AA921)</f>
        <v/>
      </c>
      <c r="AH921" s="34">
        <f>AG921*O921</f>
        <v/>
      </c>
      <c r="AI921" s="34">
        <f>AA921*O921</f>
        <v/>
      </c>
      <c r="AJ921" s="34">
        <f>AA921*P921</f>
        <v/>
      </c>
      <c r="AK921" s="34">
        <f>I921*AA921*P921</f>
        <v/>
      </c>
      <c r="AL921" s="34">
        <f>AJ921-AK921</f>
        <v/>
      </c>
      <c r="AM921" s="34">
        <f>Q921*K921</f>
        <v/>
      </c>
      <c r="AN921" s="34">
        <f>AH921+AL921+AM921</f>
        <v/>
      </c>
      <c r="AO921" s="34">
        <f>(AG921-AA921)*O921</f>
        <v/>
      </c>
      <c r="AP921" s="34">
        <f>W921*N921</f>
        <v/>
      </c>
      <c r="AQ921" s="34">
        <f>T921*N921</f>
        <v/>
      </c>
      <c r="AR921" s="34">
        <f>Z921*J922+0.5*Z921*(O921+P921)</f>
        <v/>
      </c>
      <c r="AS921" s="30">
        <f>(1+InflationRate)^(A921/12)</f>
        <v/>
      </c>
      <c r="AT921" s="29">
        <f>ExpenseAcq*M921+N921*ExpenseMaint/12*AS921</f>
        <v/>
      </c>
      <c r="AU921" s="29">
        <f>CommissionRate*AE921</f>
        <v/>
      </c>
      <c r="AV921" s="34">
        <f>AB922-AB921</f>
        <v/>
      </c>
      <c r="AW921" s="34">
        <f>AE921+AR921-AN921-AT921-AU921-AV921</f>
        <v/>
      </c>
      <c r="AX921" s="29">
        <f>LoadPremRate*E921*N921+AK921+AQ921-AU921-AT921</f>
        <v/>
      </c>
      <c r="AY921" s="34">
        <f>AP921-AO921</f>
        <v/>
      </c>
      <c r="AZ921" s="37">
        <f>(AW921-AX921-AY921)/MAX(1,ABS(AW921),ABS(AX921),ABS(AY921))</f>
        <v/>
      </c>
      <c r="BA921" s="37">
        <f>IF(OR(K921&gt;0,K922&gt;0),0,(AC922-(AC921+AF921-AQ921-AP921+AR921-AI921-AJ921-AM921))/MAX(1,ABS(AC921),ABS(AC922)))</f>
        <v/>
      </c>
      <c r="BB921" s="35">
        <f>(1+INDEX(DiscRateAnn,INT(A921/12)+1))^(1/12)-1</f>
        <v/>
      </c>
      <c r="BC921" s="31">
        <f>(1+BB921)^-A921</f>
        <v/>
      </c>
      <c r="BD921" s="34">
        <f>AW921*BC921</f>
        <v/>
      </c>
    </row>
    <row r="922">
      <c r="A922" s="27">
        <f>A921+1</f>
        <v/>
      </c>
      <c r="B922" s="28">
        <f>Duration0+A922</f>
        <v/>
      </c>
      <c r="C922" s="27">
        <f>INT(B922/12)</f>
        <v/>
      </c>
      <c r="D922" s="28">
        <f>AgeAtEntry+C922</f>
        <v/>
      </c>
      <c r="E922" s="29">
        <f>IF(PremiumType="SINGLE",IF(B922=0,PremiumPPInput,0),IF(B922&lt;12*PolicyTerm,PremiumPPInput,0))</f>
        <v/>
      </c>
      <c r="F922" s="30">
        <f>INDEX(MortRates,MATCH(MIN(D922,120),MortAges,0),MAX(MIN(C922,5),0)+1)</f>
        <v/>
      </c>
      <c r="G922" s="31">
        <f>1-(1-F922)^(1/12)</f>
        <v/>
      </c>
      <c r="H922" s="32">
        <f>MAX(LapseBase-LapseStep*C922,LapseFloor)</f>
        <v/>
      </c>
      <c r="I922" s="32">
        <f>IF(HasSurrCharge,INDEX(SurrRates,MIN(C922,SurrDurMax)+1,MATCH(SurrChargeID,SurrTypes,0)),0)</f>
        <v/>
      </c>
      <c r="J922" s="33">
        <f>N921-P921-O921</f>
        <v/>
      </c>
      <c r="K922" s="30">
        <f>IF(B922=12*PolicyTerm,J922,0)</f>
        <v/>
      </c>
      <c r="L922" s="33">
        <f>J922-K922</f>
        <v/>
      </c>
      <c r="M922" s="30">
        <f>IF(B922=0,PolicyCount,0)</f>
        <v/>
      </c>
      <c r="N922" s="33">
        <f>L922+M922</f>
        <v/>
      </c>
      <c r="O922" s="31">
        <f>N922*G922</f>
        <v/>
      </c>
      <c r="P922" s="33">
        <f>(N922-O922)*(1-(1-H922)^(1/12))</f>
        <v/>
      </c>
      <c r="Q922" s="34">
        <f>X921+Z921</f>
        <v/>
      </c>
      <c r="R922" s="29">
        <f>(1-LoadPremRate)*E922</f>
        <v/>
      </c>
      <c r="S922" s="34">
        <f>Q922+R922</f>
        <v/>
      </c>
      <c r="T922" s="29">
        <f>MaintFeeRateAnn/12*S922</f>
        <v/>
      </c>
      <c r="U922" s="29">
        <f>MAX(SumAssured-S922,0)</f>
        <v/>
      </c>
      <c r="V922" s="35">
        <f>CoiMultiple*G922</f>
        <v/>
      </c>
      <c r="W922" s="34">
        <f>V922*U922</f>
        <v/>
      </c>
      <c r="X922" s="34">
        <f>S922-T922-W922</f>
        <v/>
      </c>
      <c r="Y922" s="36">
        <f>EXP((Mu-0.5*Sigma^2)/12+Sigma*SQRT(1/12)*INDEX(NormRand,ScenID,A922+1))-1</f>
        <v/>
      </c>
      <c r="Z922" s="34">
        <f>Y922*X922</f>
        <v/>
      </c>
      <c r="AA922" s="34">
        <f>X922+0.5*Z922</f>
        <v/>
      </c>
      <c r="AB922" s="34">
        <f>Q922*J922</f>
        <v/>
      </c>
      <c r="AC922" s="34">
        <f>Q922*L922</f>
        <v/>
      </c>
      <c r="AD922" s="34">
        <f>S922*N922</f>
        <v/>
      </c>
      <c r="AE922" s="34">
        <f>E922*N922</f>
        <v/>
      </c>
      <c r="AF922" s="34">
        <f>R922*N922</f>
        <v/>
      </c>
      <c r="AG922" s="29">
        <f>MAX(SumAssured,AA922)</f>
        <v/>
      </c>
      <c r="AH922" s="34">
        <f>AG922*O922</f>
        <v/>
      </c>
      <c r="AI922" s="34">
        <f>AA922*O922</f>
        <v/>
      </c>
      <c r="AJ922" s="34">
        <f>AA922*P922</f>
        <v/>
      </c>
      <c r="AK922" s="34">
        <f>I922*AA922*P922</f>
        <v/>
      </c>
      <c r="AL922" s="34">
        <f>AJ922-AK922</f>
        <v/>
      </c>
      <c r="AM922" s="34">
        <f>Q922*K922</f>
        <v/>
      </c>
      <c r="AN922" s="34">
        <f>AH922+AL922+AM922</f>
        <v/>
      </c>
      <c r="AO922" s="34">
        <f>(AG922-AA922)*O922</f>
        <v/>
      </c>
      <c r="AP922" s="34">
        <f>W922*N922</f>
        <v/>
      </c>
      <c r="AQ922" s="34">
        <f>T922*N922</f>
        <v/>
      </c>
      <c r="AR922" s="34">
        <f>Z922*J923+0.5*Z922*(O922+P922)</f>
        <v/>
      </c>
      <c r="AS922" s="30">
        <f>(1+InflationRate)^(A922/12)</f>
        <v/>
      </c>
      <c r="AT922" s="29">
        <f>ExpenseAcq*M922+N922*ExpenseMaint/12*AS922</f>
        <v/>
      </c>
      <c r="AU922" s="29">
        <f>CommissionRate*AE922</f>
        <v/>
      </c>
      <c r="AV922" s="34">
        <f>AB923-AB922</f>
        <v/>
      </c>
      <c r="AW922" s="34">
        <f>AE922+AR922-AN922-AT922-AU922-AV922</f>
        <v/>
      </c>
      <c r="AX922" s="29">
        <f>LoadPremRate*E922*N922+AK922+AQ922-AU922-AT922</f>
        <v/>
      </c>
      <c r="AY922" s="34">
        <f>AP922-AO922</f>
        <v/>
      </c>
      <c r="AZ922" s="37">
        <f>(AW922-AX922-AY922)/MAX(1,ABS(AW922),ABS(AX922),ABS(AY922))</f>
        <v/>
      </c>
      <c r="BA922" s="37">
        <f>IF(OR(K922&gt;0,K923&gt;0),0,(AC923-(AC922+AF922-AQ922-AP922+AR922-AI922-AJ922-AM922))/MAX(1,ABS(AC922),ABS(AC923)))</f>
        <v/>
      </c>
      <c r="BB922" s="35">
        <f>(1+INDEX(DiscRateAnn,INT(A922/12)+1))^(1/12)-1</f>
        <v/>
      </c>
      <c r="BC922" s="31">
        <f>(1+BB922)^-A922</f>
        <v/>
      </c>
      <c r="BD922" s="34">
        <f>AW922*BC922</f>
        <v/>
      </c>
    </row>
    <row r="923">
      <c r="A923" s="27">
        <f>A922+1</f>
        <v/>
      </c>
      <c r="B923" s="28">
        <f>Duration0+A923</f>
        <v/>
      </c>
      <c r="C923" s="27">
        <f>INT(B923/12)</f>
        <v/>
      </c>
      <c r="D923" s="28">
        <f>AgeAtEntry+C923</f>
        <v/>
      </c>
      <c r="E923" s="29">
        <f>IF(PremiumType="SINGLE",IF(B923=0,PremiumPPInput,0),IF(B923&lt;12*PolicyTerm,PremiumPPInput,0))</f>
        <v/>
      </c>
      <c r="F923" s="30">
        <f>INDEX(MortRates,MATCH(MIN(D923,120),MortAges,0),MAX(MIN(C923,5),0)+1)</f>
        <v/>
      </c>
      <c r="G923" s="31">
        <f>1-(1-F923)^(1/12)</f>
        <v/>
      </c>
      <c r="H923" s="32">
        <f>MAX(LapseBase-LapseStep*C923,LapseFloor)</f>
        <v/>
      </c>
      <c r="I923" s="32">
        <f>IF(HasSurrCharge,INDEX(SurrRates,MIN(C923,SurrDurMax)+1,MATCH(SurrChargeID,SurrTypes,0)),0)</f>
        <v/>
      </c>
      <c r="J923" s="33">
        <f>N922-P922-O922</f>
        <v/>
      </c>
      <c r="K923" s="30">
        <f>IF(B923=12*PolicyTerm,J923,0)</f>
        <v/>
      </c>
      <c r="L923" s="33">
        <f>J923-K923</f>
        <v/>
      </c>
      <c r="M923" s="30">
        <f>IF(B923=0,PolicyCount,0)</f>
        <v/>
      </c>
      <c r="N923" s="33">
        <f>L923+M923</f>
        <v/>
      </c>
      <c r="O923" s="31">
        <f>N923*G923</f>
        <v/>
      </c>
      <c r="P923" s="33">
        <f>(N923-O923)*(1-(1-H923)^(1/12))</f>
        <v/>
      </c>
      <c r="Q923" s="34">
        <f>X922+Z922</f>
        <v/>
      </c>
      <c r="R923" s="29">
        <f>(1-LoadPremRate)*E923</f>
        <v/>
      </c>
      <c r="S923" s="34">
        <f>Q923+R923</f>
        <v/>
      </c>
      <c r="T923" s="29">
        <f>MaintFeeRateAnn/12*S923</f>
        <v/>
      </c>
      <c r="U923" s="29">
        <f>MAX(SumAssured-S923,0)</f>
        <v/>
      </c>
      <c r="V923" s="35">
        <f>CoiMultiple*G923</f>
        <v/>
      </c>
      <c r="W923" s="34">
        <f>V923*U923</f>
        <v/>
      </c>
      <c r="X923" s="34">
        <f>S923-T923-W923</f>
        <v/>
      </c>
      <c r="Y923" s="36">
        <f>EXP((Mu-0.5*Sigma^2)/12+Sigma*SQRT(1/12)*INDEX(NormRand,ScenID,A923+1))-1</f>
        <v/>
      </c>
      <c r="Z923" s="34">
        <f>Y923*X923</f>
        <v/>
      </c>
      <c r="AA923" s="34">
        <f>X923+0.5*Z923</f>
        <v/>
      </c>
      <c r="AB923" s="34">
        <f>Q923*J923</f>
        <v/>
      </c>
      <c r="AC923" s="34">
        <f>Q923*L923</f>
        <v/>
      </c>
      <c r="AD923" s="34">
        <f>S923*N923</f>
        <v/>
      </c>
      <c r="AE923" s="34">
        <f>E923*N923</f>
        <v/>
      </c>
      <c r="AF923" s="34">
        <f>R923*N923</f>
        <v/>
      </c>
      <c r="AG923" s="29">
        <f>MAX(SumAssured,AA923)</f>
        <v/>
      </c>
      <c r="AH923" s="34">
        <f>AG923*O923</f>
        <v/>
      </c>
      <c r="AI923" s="34">
        <f>AA923*O923</f>
        <v/>
      </c>
      <c r="AJ923" s="34">
        <f>AA923*P923</f>
        <v/>
      </c>
      <c r="AK923" s="34">
        <f>I923*AA923*P923</f>
        <v/>
      </c>
      <c r="AL923" s="34">
        <f>AJ923-AK923</f>
        <v/>
      </c>
      <c r="AM923" s="34">
        <f>Q923*K923</f>
        <v/>
      </c>
      <c r="AN923" s="34">
        <f>AH923+AL923+AM923</f>
        <v/>
      </c>
      <c r="AO923" s="34">
        <f>(AG923-AA923)*O923</f>
        <v/>
      </c>
      <c r="AP923" s="34">
        <f>W923*N923</f>
        <v/>
      </c>
      <c r="AQ923" s="34">
        <f>T923*N923</f>
        <v/>
      </c>
      <c r="AR923" s="34">
        <f>Z923*J924+0.5*Z923*(O923+P923)</f>
        <v/>
      </c>
      <c r="AS923" s="30">
        <f>(1+InflationRate)^(A923/12)</f>
        <v/>
      </c>
      <c r="AT923" s="29">
        <f>ExpenseAcq*M923+N923*ExpenseMaint/12*AS923</f>
        <v/>
      </c>
      <c r="AU923" s="29">
        <f>CommissionRate*AE923</f>
        <v/>
      </c>
      <c r="AV923" s="34">
        <f>AB924-AB923</f>
        <v/>
      </c>
      <c r="AW923" s="34">
        <f>AE923+AR923-AN923-AT923-AU923-AV923</f>
        <v/>
      </c>
      <c r="AX923" s="29">
        <f>LoadPremRate*E923*N923+AK923+AQ923-AU923-AT923</f>
        <v/>
      </c>
      <c r="AY923" s="34">
        <f>AP923-AO923</f>
        <v/>
      </c>
      <c r="AZ923" s="37">
        <f>(AW923-AX923-AY923)/MAX(1,ABS(AW923),ABS(AX923),ABS(AY923))</f>
        <v/>
      </c>
      <c r="BA923" s="37">
        <f>IF(OR(K923&gt;0,K924&gt;0),0,(AC924-(AC923+AF923-AQ923-AP923+AR923-AI923-AJ923-AM923))/MAX(1,ABS(AC923),ABS(AC924)))</f>
        <v/>
      </c>
      <c r="BB923" s="35">
        <f>(1+INDEX(DiscRateAnn,INT(A923/12)+1))^(1/12)-1</f>
        <v/>
      </c>
      <c r="BC923" s="31">
        <f>(1+BB923)^-A923</f>
        <v/>
      </c>
      <c r="BD923" s="34">
        <f>AW923*BC923</f>
        <v/>
      </c>
    </row>
    <row r="924">
      <c r="A924" s="27">
        <f>A923+1</f>
        <v/>
      </c>
      <c r="B924" s="28">
        <f>Duration0+A924</f>
        <v/>
      </c>
      <c r="C924" s="27">
        <f>INT(B924/12)</f>
        <v/>
      </c>
      <c r="D924" s="28">
        <f>AgeAtEntry+C924</f>
        <v/>
      </c>
      <c r="E924" s="29">
        <f>IF(PremiumType="SINGLE",IF(B924=0,PremiumPPInput,0),IF(B924&lt;12*PolicyTerm,PremiumPPInput,0))</f>
        <v/>
      </c>
      <c r="F924" s="30">
        <f>INDEX(MortRates,MATCH(MIN(D924,120),MortAges,0),MAX(MIN(C924,5),0)+1)</f>
        <v/>
      </c>
      <c r="G924" s="31">
        <f>1-(1-F924)^(1/12)</f>
        <v/>
      </c>
      <c r="H924" s="32">
        <f>MAX(LapseBase-LapseStep*C924,LapseFloor)</f>
        <v/>
      </c>
      <c r="I924" s="32">
        <f>IF(HasSurrCharge,INDEX(SurrRates,MIN(C924,SurrDurMax)+1,MATCH(SurrChargeID,SurrTypes,0)),0)</f>
        <v/>
      </c>
      <c r="J924" s="33">
        <f>N923-P923-O923</f>
        <v/>
      </c>
      <c r="K924" s="30">
        <f>IF(B924=12*PolicyTerm,J924,0)</f>
        <v/>
      </c>
      <c r="L924" s="33">
        <f>J924-K924</f>
        <v/>
      </c>
      <c r="M924" s="30">
        <f>IF(B924=0,PolicyCount,0)</f>
        <v/>
      </c>
      <c r="N924" s="33">
        <f>L924+M924</f>
        <v/>
      </c>
      <c r="O924" s="31">
        <f>N924*G924</f>
        <v/>
      </c>
      <c r="P924" s="33">
        <f>(N924-O924)*(1-(1-H924)^(1/12))</f>
        <v/>
      </c>
      <c r="Q924" s="34">
        <f>X923+Z923</f>
        <v/>
      </c>
      <c r="R924" s="29">
        <f>(1-LoadPremRate)*E924</f>
        <v/>
      </c>
      <c r="S924" s="34">
        <f>Q924+R924</f>
        <v/>
      </c>
      <c r="T924" s="29">
        <f>MaintFeeRateAnn/12*S924</f>
        <v/>
      </c>
      <c r="U924" s="29">
        <f>MAX(SumAssured-S924,0)</f>
        <v/>
      </c>
      <c r="V924" s="35">
        <f>CoiMultiple*G924</f>
        <v/>
      </c>
      <c r="W924" s="34">
        <f>V924*U924</f>
        <v/>
      </c>
      <c r="X924" s="34">
        <f>S924-T924-W924</f>
        <v/>
      </c>
      <c r="Y924" s="36">
        <f>EXP((Mu-0.5*Sigma^2)/12+Sigma*SQRT(1/12)*INDEX(NormRand,ScenID,A924+1))-1</f>
        <v/>
      </c>
      <c r="Z924" s="34">
        <f>Y924*X924</f>
        <v/>
      </c>
      <c r="AA924" s="34">
        <f>X924+0.5*Z924</f>
        <v/>
      </c>
      <c r="AB924" s="34">
        <f>Q924*J924</f>
        <v/>
      </c>
      <c r="AC924" s="34">
        <f>Q924*L924</f>
        <v/>
      </c>
      <c r="AD924" s="34">
        <f>S924*N924</f>
        <v/>
      </c>
      <c r="AE924" s="34">
        <f>E924*N924</f>
        <v/>
      </c>
      <c r="AF924" s="34">
        <f>R924*N924</f>
        <v/>
      </c>
      <c r="AG924" s="29">
        <f>MAX(SumAssured,AA924)</f>
        <v/>
      </c>
      <c r="AH924" s="34">
        <f>AG924*O924</f>
        <v/>
      </c>
      <c r="AI924" s="34">
        <f>AA924*O924</f>
        <v/>
      </c>
      <c r="AJ924" s="34">
        <f>AA924*P924</f>
        <v/>
      </c>
      <c r="AK924" s="34">
        <f>I924*AA924*P924</f>
        <v/>
      </c>
      <c r="AL924" s="34">
        <f>AJ924-AK924</f>
        <v/>
      </c>
      <c r="AM924" s="34">
        <f>Q924*K924</f>
        <v/>
      </c>
      <c r="AN924" s="34">
        <f>AH924+AL924+AM924</f>
        <v/>
      </c>
      <c r="AO924" s="34">
        <f>(AG924-AA924)*O924</f>
        <v/>
      </c>
      <c r="AP924" s="34">
        <f>W924*N924</f>
        <v/>
      </c>
      <c r="AQ924" s="34">
        <f>T924*N924</f>
        <v/>
      </c>
      <c r="AR924" s="34">
        <f>Z924*J925+0.5*Z924*(O924+P924)</f>
        <v/>
      </c>
      <c r="AS924" s="30">
        <f>(1+InflationRate)^(A924/12)</f>
        <v/>
      </c>
      <c r="AT924" s="29">
        <f>ExpenseAcq*M924+N924*ExpenseMaint/12*AS924</f>
        <v/>
      </c>
      <c r="AU924" s="29">
        <f>CommissionRate*AE924</f>
        <v/>
      </c>
      <c r="AV924" s="34">
        <f>AB925-AB924</f>
        <v/>
      </c>
      <c r="AW924" s="34">
        <f>AE924+AR924-AN924-AT924-AU924-AV924</f>
        <v/>
      </c>
      <c r="AX924" s="29">
        <f>LoadPremRate*E924*N924+AK924+AQ924-AU924-AT924</f>
        <v/>
      </c>
      <c r="AY924" s="34">
        <f>AP924-AO924</f>
        <v/>
      </c>
      <c r="AZ924" s="37">
        <f>(AW924-AX924-AY924)/MAX(1,ABS(AW924),ABS(AX924),ABS(AY924))</f>
        <v/>
      </c>
      <c r="BA924" s="37">
        <f>IF(OR(K924&gt;0,K925&gt;0),0,(AC925-(AC924+AF924-AQ924-AP924+AR924-AI924-AJ924-AM924))/MAX(1,ABS(AC924),ABS(AC925)))</f>
        <v/>
      </c>
      <c r="BB924" s="35">
        <f>(1+INDEX(DiscRateAnn,INT(A924/12)+1))^(1/12)-1</f>
        <v/>
      </c>
      <c r="BC924" s="31">
        <f>(1+BB924)^-A924</f>
        <v/>
      </c>
      <c r="BD924" s="34">
        <f>AW924*BC924</f>
        <v/>
      </c>
    </row>
    <row r="925">
      <c r="A925" s="27">
        <f>A924+1</f>
        <v/>
      </c>
      <c r="B925" s="28">
        <f>Duration0+A925</f>
        <v/>
      </c>
      <c r="C925" s="27">
        <f>INT(B925/12)</f>
        <v/>
      </c>
      <c r="D925" s="28">
        <f>AgeAtEntry+C925</f>
        <v/>
      </c>
      <c r="E925" s="29">
        <f>IF(PremiumType="SINGLE",IF(B925=0,PremiumPPInput,0),IF(B925&lt;12*PolicyTerm,PremiumPPInput,0))</f>
        <v/>
      </c>
      <c r="F925" s="30">
        <f>INDEX(MortRates,MATCH(MIN(D925,120),MortAges,0),MAX(MIN(C925,5),0)+1)</f>
        <v/>
      </c>
      <c r="G925" s="31">
        <f>1-(1-F925)^(1/12)</f>
        <v/>
      </c>
      <c r="H925" s="32">
        <f>MAX(LapseBase-LapseStep*C925,LapseFloor)</f>
        <v/>
      </c>
      <c r="I925" s="32">
        <f>IF(HasSurrCharge,INDEX(SurrRates,MIN(C925,SurrDurMax)+1,MATCH(SurrChargeID,SurrTypes,0)),0)</f>
        <v/>
      </c>
      <c r="J925" s="33">
        <f>N924-P924-O924</f>
        <v/>
      </c>
      <c r="K925" s="30">
        <f>IF(B925=12*PolicyTerm,J925,0)</f>
        <v/>
      </c>
      <c r="L925" s="33">
        <f>J925-K925</f>
        <v/>
      </c>
      <c r="M925" s="30">
        <f>IF(B925=0,PolicyCount,0)</f>
        <v/>
      </c>
      <c r="N925" s="33">
        <f>L925+M925</f>
        <v/>
      </c>
      <c r="O925" s="31">
        <f>N925*G925</f>
        <v/>
      </c>
      <c r="P925" s="33">
        <f>(N925-O925)*(1-(1-H925)^(1/12))</f>
        <v/>
      </c>
      <c r="Q925" s="34">
        <f>X924+Z924</f>
        <v/>
      </c>
      <c r="R925" s="29">
        <f>(1-LoadPremRate)*E925</f>
        <v/>
      </c>
      <c r="S925" s="34">
        <f>Q925+R925</f>
        <v/>
      </c>
      <c r="T925" s="29">
        <f>MaintFeeRateAnn/12*S925</f>
        <v/>
      </c>
      <c r="U925" s="29">
        <f>MAX(SumAssured-S925,0)</f>
        <v/>
      </c>
      <c r="V925" s="35">
        <f>CoiMultiple*G925</f>
        <v/>
      </c>
      <c r="W925" s="34">
        <f>V925*U925</f>
        <v/>
      </c>
      <c r="X925" s="34">
        <f>S925-T925-W925</f>
        <v/>
      </c>
      <c r="Y925" s="36">
        <f>EXP((Mu-0.5*Sigma^2)/12+Sigma*SQRT(1/12)*INDEX(NormRand,ScenID,A925+1))-1</f>
        <v/>
      </c>
      <c r="Z925" s="34">
        <f>Y925*X925</f>
        <v/>
      </c>
      <c r="AA925" s="34">
        <f>X925+0.5*Z925</f>
        <v/>
      </c>
      <c r="AB925" s="34">
        <f>Q925*J925</f>
        <v/>
      </c>
      <c r="AC925" s="34">
        <f>Q925*L925</f>
        <v/>
      </c>
      <c r="AD925" s="34">
        <f>S925*N925</f>
        <v/>
      </c>
      <c r="AE925" s="34">
        <f>E925*N925</f>
        <v/>
      </c>
      <c r="AF925" s="34">
        <f>R925*N925</f>
        <v/>
      </c>
      <c r="AG925" s="29">
        <f>MAX(SumAssured,AA925)</f>
        <v/>
      </c>
      <c r="AH925" s="34">
        <f>AG925*O925</f>
        <v/>
      </c>
      <c r="AI925" s="34">
        <f>AA925*O925</f>
        <v/>
      </c>
      <c r="AJ925" s="34">
        <f>AA925*P925</f>
        <v/>
      </c>
      <c r="AK925" s="34">
        <f>I925*AA925*P925</f>
        <v/>
      </c>
      <c r="AL925" s="34">
        <f>AJ925-AK925</f>
        <v/>
      </c>
      <c r="AM925" s="34">
        <f>Q925*K925</f>
        <v/>
      </c>
      <c r="AN925" s="34">
        <f>AH925+AL925+AM925</f>
        <v/>
      </c>
      <c r="AO925" s="34">
        <f>(AG925-AA925)*O925</f>
        <v/>
      </c>
      <c r="AP925" s="34">
        <f>W925*N925</f>
        <v/>
      </c>
      <c r="AQ925" s="34">
        <f>T925*N925</f>
        <v/>
      </c>
      <c r="AR925" s="34">
        <f>Z925*J926+0.5*Z925*(O925+P925)</f>
        <v/>
      </c>
      <c r="AS925" s="30">
        <f>(1+InflationRate)^(A925/12)</f>
        <v/>
      </c>
      <c r="AT925" s="29">
        <f>ExpenseAcq*M925+N925*ExpenseMaint/12*AS925</f>
        <v/>
      </c>
      <c r="AU925" s="29">
        <f>CommissionRate*AE925</f>
        <v/>
      </c>
      <c r="AV925" s="34">
        <f>AB926-AB925</f>
        <v/>
      </c>
      <c r="AW925" s="34">
        <f>AE925+AR925-AN925-AT925-AU925-AV925</f>
        <v/>
      </c>
      <c r="AX925" s="29">
        <f>LoadPremRate*E925*N925+AK925+AQ925-AU925-AT925</f>
        <v/>
      </c>
      <c r="AY925" s="34">
        <f>AP925-AO925</f>
        <v/>
      </c>
      <c r="AZ925" s="37">
        <f>(AW925-AX925-AY925)/MAX(1,ABS(AW925),ABS(AX925),ABS(AY925))</f>
        <v/>
      </c>
      <c r="BA925" s="37">
        <f>IF(OR(K925&gt;0,K926&gt;0),0,(AC926-(AC925+AF925-AQ925-AP925+AR925-AI925-AJ925-AM925))/MAX(1,ABS(AC925),ABS(AC926)))</f>
        <v/>
      </c>
      <c r="BB925" s="35">
        <f>(1+INDEX(DiscRateAnn,INT(A925/12)+1))^(1/12)-1</f>
        <v/>
      </c>
      <c r="BC925" s="31">
        <f>(1+BB925)^-A925</f>
        <v/>
      </c>
      <c r="BD925" s="34">
        <f>AW925*BC925</f>
        <v/>
      </c>
    </row>
    <row r="926">
      <c r="A926" s="27">
        <f>A925+1</f>
        <v/>
      </c>
      <c r="B926" s="28">
        <f>Duration0+A926</f>
        <v/>
      </c>
      <c r="C926" s="27">
        <f>INT(B926/12)</f>
        <v/>
      </c>
      <c r="D926" s="28">
        <f>AgeAtEntry+C926</f>
        <v/>
      </c>
      <c r="E926" s="29">
        <f>IF(PremiumType="SINGLE",IF(B926=0,PremiumPPInput,0),IF(B926&lt;12*PolicyTerm,PremiumPPInput,0))</f>
        <v/>
      </c>
      <c r="F926" s="30">
        <f>INDEX(MortRates,MATCH(MIN(D926,120),MortAges,0),MAX(MIN(C926,5),0)+1)</f>
        <v/>
      </c>
      <c r="G926" s="31">
        <f>1-(1-F926)^(1/12)</f>
        <v/>
      </c>
      <c r="H926" s="32">
        <f>MAX(LapseBase-LapseStep*C926,LapseFloor)</f>
        <v/>
      </c>
      <c r="I926" s="32">
        <f>IF(HasSurrCharge,INDEX(SurrRates,MIN(C926,SurrDurMax)+1,MATCH(SurrChargeID,SurrTypes,0)),0)</f>
        <v/>
      </c>
      <c r="J926" s="33">
        <f>N925-P925-O925</f>
        <v/>
      </c>
      <c r="K926" s="30">
        <f>IF(B926=12*PolicyTerm,J926,0)</f>
        <v/>
      </c>
      <c r="L926" s="33">
        <f>J926-K926</f>
        <v/>
      </c>
      <c r="M926" s="30">
        <f>IF(B926=0,PolicyCount,0)</f>
        <v/>
      </c>
      <c r="N926" s="33">
        <f>L926+M926</f>
        <v/>
      </c>
      <c r="O926" s="31">
        <f>N926*G926</f>
        <v/>
      </c>
      <c r="P926" s="33">
        <f>(N926-O926)*(1-(1-H926)^(1/12))</f>
        <v/>
      </c>
      <c r="Q926" s="34">
        <f>X925+Z925</f>
        <v/>
      </c>
      <c r="R926" s="29">
        <f>(1-LoadPremRate)*E926</f>
        <v/>
      </c>
      <c r="S926" s="34">
        <f>Q926+R926</f>
        <v/>
      </c>
      <c r="T926" s="29">
        <f>MaintFeeRateAnn/12*S926</f>
        <v/>
      </c>
      <c r="U926" s="29">
        <f>MAX(SumAssured-S926,0)</f>
        <v/>
      </c>
      <c r="V926" s="35">
        <f>CoiMultiple*G926</f>
        <v/>
      </c>
      <c r="W926" s="34">
        <f>V926*U926</f>
        <v/>
      </c>
      <c r="X926" s="34">
        <f>S926-T926-W926</f>
        <v/>
      </c>
      <c r="Y926" s="36">
        <f>EXP((Mu-0.5*Sigma^2)/12+Sigma*SQRT(1/12)*INDEX(NormRand,ScenID,A926+1))-1</f>
        <v/>
      </c>
      <c r="Z926" s="34">
        <f>Y926*X926</f>
        <v/>
      </c>
      <c r="AA926" s="34">
        <f>X926+0.5*Z926</f>
        <v/>
      </c>
      <c r="AB926" s="34">
        <f>Q926*J926</f>
        <v/>
      </c>
      <c r="AC926" s="34">
        <f>Q926*L926</f>
        <v/>
      </c>
      <c r="AD926" s="34">
        <f>S926*N926</f>
        <v/>
      </c>
      <c r="AE926" s="34">
        <f>E926*N926</f>
        <v/>
      </c>
      <c r="AF926" s="34">
        <f>R926*N926</f>
        <v/>
      </c>
      <c r="AG926" s="29">
        <f>MAX(SumAssured,AA926)</f>
        <v/>
      </c>
      <c r="AH926" s="34">
        <f>AG926*O926</f>
        <v/>
      </c>
      <c r="AI926" s="34">
        <f>AA926*O926</f>
        <v/>
      </c>
      <c r="AJ926" s="34">
        <f>AA926*P926</f>
        <v/>
      </c>
      <c r="AK926" s="34">
        <f>I926*AA926*P926</f>
        <v/>
      </c>
      <c r="AL926" s="34">
        <f>AJ926-AK926</f>
        <v/>
      </c>
      <c r="AM926" s="34">
        <f>Q926*K926</f>
        <v/>
      </c>
      <c r="AN926" s="34">
        <f>AH926+AL926+AM926</f>
        <v/>
      </c>
      <c r="AO926" s="34">
        <f>(AG926-AA926)*O926</f>
        <v/>
      </c>
      <c r="AP926" s="34">
        <f>W926*N926</f>
        <v/>
      </c>
      <c r="AQ926" s="34">
        <f>T926*N926</f>
        <v/>
      </c>
      <c r="AR926" s="34">
        <f>Z926*J927+0.5*Z926*(O926+P926)</f>
        <v/>
      </c>
      <c r="AS926" s="30">
        <f>(1+InflationRate)^(A926/12)</f>
        <v/>
      </c>
      <c r="AT926" s="29">
        <f>ExpenseAcq*M926+N926*ExpenseMaint/12*AS926</f>
        <v/>
      </c>
      <c r="AU926" s="29">
        <f>CommissionRate*AE926</f>
        <v/>
      </c>
      <c r="AV926" s="34">
        <f>AB927-AB926</f>
        <v/>
      </c>
      <c r="AW926" s="34">
        <f>AE926+AR926-AN926-AT926-AU926-AV926</f>
        <v/>
      </c>
      <c r="AX926" s="29">
        <f>LoadPremRate*E926*N926+AK926+AQ926-AU926-AT926</f>
        <v/>
      </c>
      <c r="AY926" s="34">
        <f>AP926-AO926</f>
        <v/>
      </c>
      <c r="AZ926" s="37">
        <f>(AW926-AX926-AY926)/MAX(1,ABS(AW926),ABS(AX926),ABS(AY926))</f>
        <v/>
      </c>
      <c r="BA926" s="37">
        <f>IF(OR(K926&gt;0,K927&gt;0),0,(AC927-(AC926+AF926-AQ926-AP926+AR926-AI926-AJ926-AM926))/MAX(1,ABS(AC926),ABS(AC927)))</f>
        <v/>
      </c>
      <c r="BB926" s="35">
        <f>(1+INDEX(DiscRateAnn,INT(A926/12)+1))^(1/12)-1</f>
        <v/>
      </c>
      <c r="BC926" s="31">
        <f>(1+BB926)^-A926</f>
        <v/>
      </c>
      <c r="BD926" s="34">
        <f>AW926*BC926</f>
        <v/>
      </c>
    </row>
    <row r="927">
      <c r="A927" s="27">
        <f>A926+1</f>
        <v/>
      </c>
      <c r="B927" s="28">
        <f>Duration0+A927</f>
        <v/>
      </c>
      <c r="C927" s="27">
        <f>INT(B927/12)</f>
        <v/>
      </c>
      <c r="D927" s="28">
        <f>AgeAtEntry+C927</f>
        <v/>
      </c>
      <c r="E927" s="29">
        <f>IF(PremiumType="SINGLE",IF(B927=0,PremiumPPInput,0),IF(B927&lt;12*PolicyTerm,PremiumPPInput,0))</f>
        <v/>
      </c>
      <c r="F927" s="30">
        <f>INDEX(MortRates,MATCH(MIN(D927,120),MortAges,0),MAX(MIN(C927,5),0)+1)</f>
        <v/>
      </c>
      <c r="G927" s="31">
        <f>1-(1-F927)^(1/12)</f>
        <v/>
      </c>
      <c r="H927" s="32">
        <f>MAX(LapseBase-LapseStep*C927,LapseFloor)</f>
        <v/>
      </c>
      <c r="I927" s="32">
        <f>IF(HasSurrCharge,INDEX(SurrRates,MIN(C927,SurrDurMax)+1,MATCH(SurrChargeID,SurrTypes,0)),0)</f>
        <v/>
      </c>
      <c r="J927" s="33">
        <f>N926-P926-O926</f>
        <v/>
      </c>
      <c r="K927" s="30">
        <f>IF(B927=12*PolicyTerm,J927,0)</f>
        <v/>
      </c>
      <c r="L927" s="33">
        <f>J927-K927</f>
        <v/>
      </c>
      <c r="M927" s="30">
        <f>IF(B927=0,PolicyCount,0)</f>
        <v/>
      </c>
      <c r="N927" s="33">
        <f>L927+M927</f>
        <v/>
      </c>
      <c r="O927" s="31">
        <f>N927*G927</f>
        <v/>
      </c>
      <c r="P927" s="33">
        <f>(N927-O927)*(1-(1-H927)^(1/12))</f>
        <v/>
      </c>
      <c r="Q927" s="34">
        <f>X926+Z926</f>
        <v/>
      </c>
      <c r="R927" s="29">
        <f>(1-LoadPremRate)*E927</f>
        <v/>
      </c>
      <c r="S927" s="34">
        <f>Q927+R927</f>
        <v/>
      </c>
      <c r="T927" s="29">
        <f>MaintFeeRateAnn/12*S927</f>
        <v/>
      </c>
      <c r="U927" s="29">
        <f>MAX(SumAssured-S927,0)</f>
        <v/>
      </c>
      <c r="V927" s="35">
        <f>CoiMultiple*G927</f>
        <v/>
      </c>
      <c r="W927" s="34">
        <f>V927*U927</f>
        <v/>
      </c>
      <c r="X927" s="34">
        <f>S927-T927-W927</f>
        <v/>
      </c>
      <c r="Y927" s="36">
        <f>EXP((Mu-0.5*Sigma^2)/12+Sigma*SQRT(1/12)*INDEX(NormRand,ScenID,A927+1))-1</f>
        <v/>
      </c>
      <c r="Z927" s="34">
        <f>Y927*X927</f>
        <v/>
      </c>
      <c r="AA927" s="34">
        <f>X927+0.5*Z927</f>
        <v/>
      </c>
      <c r="AB927" s="34">
        <f>Q927*J927</f>
        <v/>
      </c>
      <c r="AC927" s="34">
        <f>Q927*L927</f>
        <v/>
      </c>
      <c r="AD927" s="34">
        <f>S927*N927</f>
        <v/>
      </c>
      <c r="AE927" s="34">
        <f>E927*N927</f>
        <v/>
      </c>
      <c r="AF927" s="34">
        <f>R927*N927</f>
        <v/>
      </c>
      <c r="AG927" s="29">
        <f>MAX(SumAssured,AA927)</f>
        <v/>
      </c>
      <c r="AH927" s="34">
        <f>AG927*O927</f>
        <v/>
      </c>
      <c r="AI927" s="34">
        <f>AA927*O927</f>
        <v/>
      </c>
      <c r="AJ927" s="34">
        <f>AA927*P927</f>
        <v/>
      </c>
      <c r="AK927" s="34">
        <f>I927*AA927*P927</f>
        <v/>
      </c>
      <c r="AL927" s="34">
        <f>AJ927-AK927</f>
        <v/>
      </c>
      <c r="AM927" s="34">
        <f>Q927*K927</f>
        <v/>
      </c>
      <c r="AN927" s="34">
        <f>AH927+AL927+AM927</f>
        <v/>
      </c>
      <c r="AO927" s="34">
        <f>(AG927-AA927)*O927</f>
        <v/>
      </c>
      <c r="AP927" s="34">
        <f>W927*N927</f>
        <v/>
      </c>
      <c r="AQ927" s="34">
        <f>T927*N927</f>
        <v/>
      </c>
      <c r="AR927" s="34">
        <f>Z927*J928+0.5*Z927*(O927+P927)</f>
        <v/>
      </c>
      <c r="AS927" s="30">
        <f>(1+InflationRate)^(A927/12)</f>
        <v/>
      </c>
      <c r="AT927" s="29">
        <f>ExpenseAcq*M927+N927*ExpenseMaint/12*AS927</f>
        <v/>
      </c>
      <c r="AU927" s="29">
        <f>CommissionRate*AE927</f>
        <v/>
      </c>
      <c r="AV927" s="34">
        <f>AB928-AB927</f>
        <v/>
      </c>
      <c r="AW927" s="34">
        <f>AE927+AR927-AN927-AT927-AU927-AV927</f>
        <v/>
      </c>
      <c r="AX927" s="29">
        <f>LoadPremRate*E927*N927+AK927+AQ927-AU927-AT927</f>
        <v/>
      </c>
      <c r="AY927" s="34">
        <f>AP927-AO927</f>
        <v/>
      </c>
      <c r="AZ927" s="37">
        <f>(AW927-AX927-AY927)/MAX(1,ABS(AW927),ABS(AX927),ABS(AY927))</f>
        <v/>
      </c>
      <c r="BA927" s="37">
        <f>IF(OR(K927&gt;0,K928&gt;0),0,(AC928-(AC927+AF927-AQ927-AP927+AR927-AI927-AJ927-AM927))/MAX(1,ABS(AC927),ABS(AC928)))</f>
        <v/>
      </c>
      <c r="BB927" s="35">
        <f>(1+INDEX(DiscRateAnn,INT(A927/12)+1))^(1/12)-1</f>
        <v/>
      </c>
      <c r="BC927" s="31">
        <f>(1+BB927)^-A927</f>
        <v/>
      </c>
      <c r="BD927" s="34">
        <f>AW927*BC927</f>
        <v/>
      </c>
    </row>
    <row r="928">
      <c r="A928" s="27">
        <f>A927+1</f>
        <v/>
      </c>
      <c r="B928" s="28">
        <f>Duration0+A928</f>
        <v/>
      </c>
      <c r="C928" s="27">
        <f>INT(B928/12)</f>
        <v/>
      </c>
      <c r="D928" s="28">
        <f>AgeAtEntry+C928</f>
        <v/>
      </c>
      <c r="E928" s="29">
        <f>IF(PremiumType="SINGLE",IF(B928=0,PremiumPPInput,0),IF(B928&lt;12*PolicyTerm,PremiumPPInput,0))</f>
        <v/>
      </c>
      <c r="F928" s="30">
        <f>INDEX(MortRates,MATCH(MIN(D928,120),MortAges,0),MAX(MIN(C928,5),0)+1)</f>
        <v/>
      </c>
      <c r="G928" s="31">
        <f>1-(1-F928)^(1/12)</f>
        <v/>
      </c>
      <c r="H928" s="32">
        <f>MAX(LapseBase-LapseStep*C928,LapseFloor)</f>
        <v/>
      </c>
      <c r="I928" s="32">
        <f>IF(HasSurrCharge,INDEX(SurrRates,MIN(C928,SurrDurMax)+1,MATCH(SurrChargeID,SurrTypes,0)),0)</f>
        <v/>
      </c>
      <c r="J928" s="33">
        <f>N927-P927-O927</f>
        <v/>
      </c>
      <c r="K928" s="30">
        <f>IF(B928=12*PolicyTerm,J928,0)</f>
        <v/>
      </c>
      <c r="L928" s="33">
        <f>J928-K928</f>
        <v/>
      </c>
      <c r="M928" s="30">
        <f>IF(B928=0,PolicyCount,0)</f>
        <v/>
      </c>
      <c r="N928" s="33">
        <f>L928+M928</f>
        <v/>
      </c>
      <c r="O928" s="31">
        <f>N928*G928</f>
        <v/>
      </c>
      <c r="P928" s="33">
        <f>(N928-O928)*(1-(1-H928)^(1/12))</f>
        <v/>
      </c>
      <c r="Q928" s="34">
        <f>X927+Z927</f>
        <v/>
      </c>
      <c r="R928" s="29">
        <f>(1-LoadPremRate)*E928</f>
        <v/>
      </c>
      <c r="S928" s="34">
        <f>Q928+R928</f>
        <v/>
      </c>
      <c r="T928" s="29">
        <f>MaintFeeRateAnn/12*S928</f>
        <v/>
      </c>
      <c r="U928" s="29">
        <f>MAX(SumAssured-S928,0)</f>
        <v/>
      </c>
      <c r="V928" s="35">
        <f>CoiMultiple*G928</f>
        <v/>
      </c>
      <c r="W928" s="34">
        <f>V928*U928</f>
        <v/>
      </c>
      <c r="X928" s="34">
        <f>S928-T928-W928</f>
        <v/>
      </c>
      <c r="Y928" s="36">
        <f>EXP((Mu-0.5*Sigma^2)/12+Sigma*SQRT(1/12)*INDEX(NormRand,ScenID,A928+1))-1</f>
        <v/>
      </c>
      <c r="Z928" s="34">
        <f>Y928*X928</f>
        <v/>
      </c>
      <c r="AA928" s="34">
        <f>X928+0.5*Z928</f>
        <v/>
      </c>
      <c r="AB928" s="34">
        <f>Q928*J928</f>
        <v/>
      </c>
      <c r="AC928" s="34">
        <f>Q928*L928</f>
        <v/>
      </c>
      <c r="AD928" s="34">
        <f>S928*N928</f>
        <v/>
      </c>
      <c r="AE928" s="34">
        <f>E928*N928</f>
        <v/>
      </c>
      <c r="AF928" s="34">
        <f>R928*N928</f>
        <v/>
      </c>
      <c r="AG928" s="29">
        <f>MAX(SumAssured,AA928)</f>
        <v/>
      </c>
      <c r="AH928" s="34">
        <f>AG928*O928</f>
        <v/>
      </c>
      <c r="AI928" s="34">
        <f>AA928*O928</f>
        <v/>
      </c>
      <c r="AJ928" s="34">
        <f>AA928*P928</f>
        <v/>
      </c>
      <c r="AK928" s="34">
        <f>I928*AA928*P928</f>
        <v/>
      </c>
      <c r="AL928" s="34">
        <f>AJ928-AK928</f>
        <v/>
      </c>
      <c r="AM928" s="34">
        <f>Q928*K928</f>
        <v/>
      </c>
      <c r="AN928" s="34">
        <f>AH928+AL928+AM928</f>
        <v/>
      </c>
      <c r="AO928" s="34">
        <f>(AG928-AA928)*O928</f>
        <v/>
      </c>
      <c r="AP928" s="34">
        <f>W928*N928</f>
        <v/>
      </c>
      <c r="AQ928" s="34">
        <f>T928*N928</f>
        <v/>
      </c>
      <c r="AR928" s="34">
        <f>Z928*J929+0.5*Z928*(O928+P928)</f>
        <v/>
      </c>
      <c r="AS928" s="30">
        <f>(1+InflationRate)^(A928/12)</f>
        <v/>
      </c>
      <c r="AT928" s="29">
        <f>ExpenseAcq*M928+N928*ExpenseMaint/12*AS928</f>
        <v/>
      </c>
      <c r="AU928" s="29">
        <f>CommissionRate*AE928</f>
        <v/>
      </c>
      <c r="AV928" s="34">
        <f>AB929-AB928</f>
        <v/>
      </c>
      <c r="AW928" s="34">
        <f>AE928+AR928-AN928-AT928-AU928-AV928</f>
        <v/>
      </c>
      <c r="AX928" s="29">
        <f>LoadPremRate*E928*N928+AK928+AQ928-AU928-AT928</f>
        <v/>
      </c>
      <c r="AY928" s="34">
        <f>AP928-AO928</f>
        <v/>
      </c>
      <c r="AZ928" s="37">
        <f>(AW928-AX928-AY928)/MAX(1,ABS(AW928),ABS(AX928),ABS(AY928))</f>
        <v/>
      </c>
      <c r="BA928" s="37">
        <f>IF(OR(K928&gt;0,K929&gt;0),0,(AC929-(AC928+AF928-AQ928-AP928+AR928-AI928-AJ928-AM928))/MAX(1,ABS(AC928),ABS(AC929)))</f>
        <v/>
      </c>
      <c r="BB928" s="35">
        <f>(1+INDEX(DiscRateAnn,INT(A928/12)+1))^(1/12)-1</f>
        <v/>
      </c>
      <c r="BC928" s="31">
        <f>(1+BB928)^-A928</f>
        <v/>
      </c>
      <c r="BD928" s="34">
        <f>AW928*BC928</f>
        <v/>
      </c>
    </row>
    <row r="929">
      <c r="A929" s="27">
        <f>A928+1</f>
        <v/>
      </c>
      <c r="B929" s="28">
        <f>Duration0+A929</f>
        <v/>
      </c>
      <c r="C929" s="27">
        <f>INT(B929/12)</f>
        <v/>
      </c>
      <c r="D929" s="28">
        <f>AgeAtEntry+C929</f>
        <v/>
      </c>
      <c r="E929" s="29">
        <f>IF(PremiumType="SINGLE",IF(B929=0,PremiumPPInput,0),IF(B929&lt;12*PolicyTerm,PremiumPPInput,0))</f>
        <v/>
      </c>
      <c r="F929" s="30">
        <f>INDEX(MortRates,MATCH(MIN(D929,120),MortAges,0),MAX(MIN(C929,5),0)+1)</f>
        <v/>
      </c>
      <c r="G929" s="31">
        <f>1-(1-F929)^(1/12)</f>
        <v/>
      </c>
      <c r="H929" s="32">
        <f>MAX(LapseBase-LapseStep*C929,LapseFloor)</f>
        <v/>
      </c>
      <c r="I929" s="32">
        <f>IF(HasSurrCharge,INDEX(SurrRates,MIN(C929,SurrDurMax)+1,MATCH(SurrChargeID,SurrTypes,0)),0)</f>
        <v/>
      </c>
      <c r="J929" s="33">
        <f>N928-P928-O928</f>
        <v/>
      </c>
      <c r="K929" s="30">
        <f>IF(B929=12*PolicyTerm,J929,0)</f>
        <v/>
      </c>
      <c r="L929" s="33">
        <f>J929-K929</f>
        <v/>
      </c>
      <c r="M929" s="30">
        <f>IF(B929=0,PolicyCount,0)</f>
        <v/>
      </c>
      <c r="N929" s="33">
        <f>L929+M929</f>
        <v/>
      </c>
      <c r="O929" s="31">
        <f>N929*G929</f>
        <v/>
      </c>
      <c r="P929" s="33">
        <f>(N929-O929)*(1-(1-H929)^(1/12))</f>
        <v/>
      </c>
      <c r="Q929" s="34">
        <f>X928+Z928</f>
        <v/>
      </c>
      <c r="R929" s="29">
        <f>(1-LoadPremRate)*E929</f>
        <v/>
      </c>
      <c r="S929" s="34">
        <f>Q929+R929</f>
        <v/>
      </c>
      <c r="T929" s="29">
        <f>MaintFeeRateAnn/12*S929</f>
        <v/>
      </c>
      <c r="U929" s="29">
        <f>MAX(SumAssured-S929,0)</f>
        <v/>
      </c>
      <c r="V929" s="35">
        <f>CoiMultiple*G929</f>
        <v/>
      </c>
      <c r="W929" s="34">
        <f>V929*U929</f>
        <v/>
      </c>
      <c r="X929" s="34">
        <f>S929-T929-W929</f>
        <v/>
      </c>
      <c r="Y929" s="36">
        <f>EXP((Mu-0.5*Sigma^2)/12+Sigma*SQRT(1/12)*INDEX(NormRand,ScenID,A929+1))-1</f>
        <v/>
      </c>
      <c r="Z929" s="34">
        <f>Y929*X929</f>
        <v/>
      </c>
      <c r="AA929" s="34">
        <f>X929+0.5*Z929</f>
        <v/>
      </c>
      <c r="AB929" s="34">
        <f>Q929*J929</f>
        <v/>
      </c>
      <c r="AC929" s="34">
        <f>Q929*L929</f>
        <v/>
      </c>
      <c r="AD929" s="34">
        <f>S929*N929</f>
        <v/>
      </c>
      <c r="AE929" s="34">
        <f>E929*N929</f>
        <v/>
      </c>
      <c r="AF929" s="34">
        <f>R929*N929</f>
        <v/>
      </c>
      <c r="AG929" s="29">
        <f>MAX(SumAssured,AA929)</f>
        <v/>
      </c>
      <c r="AH929" s="34">
        <f>AG929*O929</f>
        <v/>
      </c>
      <c r="AI929" s="34">
        <f>AA929*O929</f>
        <v/>
      </c>
      <c r="AJ929" s="34">
        <f>AA929*P929</f>
        <v/>
      </c>
      <c r="AK929" s="34">
        <f>I929*AA929*P929</f>
        <v/>
      </c>
      <c r="AL929" s="34">
        <f>AJ929-AK929</f>
        <v/>
      </c>
      <c r="AM929" s="34">
        <f>Q929*K929</f>
        <v/>
      </c>
      <c r="AN929" s="34">
        <f>AH929+AL929+AM929</f>
        <v/>
      </c>
      <c r="AO929" s="34">
        <f>(AG929-AA929)*O929</f>
        <v/>
      </c>
      <c r="AP929" s="34">
        <f>W929*N929</f>
        <v/>
      </c>
      <c r="AQ929" s="34">
        <f>T929*N929</f>
        <v/>
      </c>
      <c r="AR929" s="34">
        <f>Z929*J930+0.5*Z929*(O929+P929)</f>
        <v/>
      </c>
      <c r="AS929" s="30">
        <f>(1+InflationRate)^(A929/12)</f>
        <v/>
      </c>
      <c r="AT929" s="29">
        <f>ExpenseAcq*M929+N929*ExpenseMaint/12*AS929</f>
        <v/>
      </c>
      <c r="AU929" s="29">
        <f>CommissionRate*AE929</f>
        <v/>
      </c>
      <c r="AV929" s="34">
        <f>AB930-AB929</f>
        <v/>
      </c>
      <c r="AW929" s="34">
        <f>AE929+AR929-AN929-AT929-AU929-AV929</f>
        <v/>
      </c>
      <c r="AX929" s="29">
        <f>LoadPremRate*E929*N929+AK929+AQ929-AU929-AT929</f>
        <v/>
      </c>
      <c r="AY929" s="34">
        <f>AP929-AO929</f>
        <v/>
      </c>
      <c r="AZ929" s="37">
        <f>(AW929-AX929-AY929)/MAX(1,ABS(AW929),ABS(AX929),ABS(AY929))</f>
        <v/>
      </c>
      <c r="BA929" s="37">
        <f>IF(OR(K929&gt;0,K930&gt;0),0,(AC930-(AC929+AF929-AQ929-AP929+AR929-AI929-AJ929-AM929))/MAX(1,ABS(AC929),ABS(AC930)))</f>
        <v/>
      </c>
      <c r="BB929" s="35">
        <f>(1+INDEX(DiscRateAnn,INT(A929/12)+1))^(1/12)-1</f>
        <v/>
      </c>
      <c r="BC929" s="31">
        <f>(1+BB929)^-A929</f>
        <v/>
      </c>
      <c r="BD929" s="34">
        <f>AW929*BC929</f>
        <v/>
      </c>
    </row>
    <row r="930">
      <c r="A930" s="27">
        <f>A929+1</f>
        <v/>
      </c>
      <c r="B930" s="28">
        <f>Duration0+A930</f>
        <v/>
      </c>
      <c r="C930" s="27">
        <f>INT(B930/12)</f>
        <v/>
      </c>
      <c r="D930" s="28">
        <f>AgeAtEntry+C930</f>
        <v/>
      </c>
      <c r="E930" s="29">
        <f>IF(PremiumType="SINGLE",IF(B930=0,PremiumPPInput,0),IF(B930&lt;12*PolicyTerm,PremiumPPInput,0))</f>
        <v/>
      </c>
      <c r="F930" s="30">
        <f>INDEX(MortRates,MATCH(MIN(D930,120),MortAges,0),MAX(MIN(C930,5),0)+1)</f>
        <v/>
      </c>
      <c r="G930" s="31">
        <f>1-(1-F930)^(1/12)</f>
        <v/>
      </c>
      <c r="H930" s="32">
        <f>MAX(LapseBase-LapseStep*C930,LapseFloor)</f>
        <v/>
      </c>
      <c r="I930" s="32">
        <f>IF(HasSurrCharge,INDEX(SurrRates,MIN(C930,SurrDurMax)+1,MATCH(SurrChargeID,SurrTypes,0)),0)</f>
        <v/>
      </c>
      <c r="J930" s="33">
        <f>N929-P929-O929</f>
        <v/>
      </c>
      <c r="K930" s="30">
        <f>IF(B930=12*PolicyTerm,J930,0)</f>
        <v/>
      </c>
      <c r="L930" s="33">
        <f>J930-K930</f>
        <v/>
      </c>
      <c r="M930" s="30">
        <f>IF(B930=0,PolicyCount,0)</f>
        <v/>
      </c>
      <c r="N930" s="33">
        <f>L930+M930</f>
        <v/>
      </c>
      <c r="O930" s="31">
        <f>N930*G930</f>
        <v/>
      </c>
      <c r="P930" s="33">
        <f>(N930-O930)*(1-(1-H930)^(1/12))</f>
        <v/>
      </c>
      <c r="Q930" s="34">
        <f>X929+Z929</f>
        <v/>
      </c>
      <c r="R930" s="29">
        <f>(1-LoadPremRate)*E930</f>
        <v/>
      </c>
      <c r="S930" s="34">
        <f>Q930+R930</f>
        <v/>
      </c>
      <c r="T930" s="29">
        <f>MaintFeeRateAnn/12*S930</f>
        <v/>
      </c>
      <c r="U930" s="29">
        <f>MAX(SumAssured-S930,0)</f>
        <v/>
      </c>
      <c r="V930" s="35">
        <f>CoiMultiple*G930</f>
        <v/>
      </c>
      <c r="W930" s="34">
        <f>V930*U930</f>
        <v/>
      </c>
      <c r="X930" s="34">
        <f>S930-T930-W930</f>
        <v/>
      </c>
      <c r="Y930" s="36">
        <f>EXP((Mu-0.5*Sigma^2)/12+Sigma*SQRT(1/12)*INDEX(NormRand,ScenID,A930+1))-1</f>
        <v/>
      </c>
      <c r="Z930" s="34">
        <f>Y930*X930</f>
        <v/>
      </c>
      <c r="AA930" s="34">
        <f>X930+0.5*Z930</f>
        <v/>
      </c>
      <c r="AB930" s="34">
        <f>Q930*J930</f>
        <v/>
      </c>
      <c r="AC930" s="34">
        <f>Q930*L930</f>
        <v/>
      </c>
      <c r="AD930" s="34">
        <f>S930*N930</f>
        <v/>
      </c>
      <c r="AE930" s="34">
        <f>E930*N930</f>
        <v/>
      </c>
      <c r="AF930" s="34">
        <f>R930*N930</f>
        <v/>
      </c>
      <c r="AG930" s="29">
        <f>MAX(SumAssured,AA930)</f>
        <v/>
      </c>
      <c r="AH930" s="34">
        <f>AG930*O930</f>
        <v/>
      </c>
      <c r="AI930" s="34">
        <f>AA930*O930</f>
        <v/>
      </c>
      <c r="AJ930" s="34">
        <f>AA930*P930</f>
        <v/>
      </c>
      <c r="AK930" s="34">
        <f>I930*AA930*P930</f>
        <v/>
      </c>
      <c r="AL930" s="34">
        <f>AJ930-AK930</f>
        <v/>
      </c>
      <c r="AM930" s="34">
        <f>Q930*K930</f>
        <v/>
      </c>
      <c r="AN930" s="34">
        <f>AH930+AL930+AM930</f>
        <v/>
      </c>
      <c r="AO930" s="34">
        <f>(AG930-AA930)*O930</f>
        <v/>
      </c>
      <c r="AP930" s="34">
        <f>W930*N930</f>
        <v/>
      </c>
      <c r="AQ930" s="34">
        <f>T930*N930</f>
        <v/>
      </c>
      <c r="AR930" s="34">
        <f>Z930*J931+0.5*Z930*(O930+P930)</f>
        <v/>
      </c>
      <c r="AS930" s="30">
        <f>(1+InflationRate)^(A930/12)</f>
        <v/>
      </c>
      <c r="AT930" s="29">
        <f>ExpenseAcq*M930+N930*ExpenseMaint/12*AS930</f>
        <v/>
      </c>
      <c r="AU930" s="29">
        <f>CommissionRate*AE930</f>
        <v/>
      </c>
      <c r="AV930" s="34">
        <f>AB931-AB930</f>
        <v/>
      </c>
      <c r="AW930" s="34">
        <f>AE930+AR930-AN930-AT930-AU930-AV930</f>
        <v/>
      </c>
      <c r="AX930" s="29">
        <f>LoadPremRate*E930*N930+AK930+AQ930-AU930-AT930</f>
        <v/>
      </c>
      <c r="AY930" s="34">
        <f>AP930-AO930</f>
        <v/>
      </c>
      <c r="AZ930" s="37">
        <f>(AW930-AX930-AY930)/MAX(1,ABS(AW930),ABS(AX930),ABS(AY930))</f>
        <v/>
      </c>
      <c r="BA930" s="37">
        <f>IF(OR(K930&gt;0,K931&gt;0),0,(AC931-(AC930+AF930-AQ930-AP930+AR930-AI930-AJ930-AM930))/MAX(1,ABS(AC930),ABS(AC931)))</f>
        <v/>
      </c>
      <c r="BB930" s="35">
        <f>(1+INDEX(DiscRateAnn,INT(A930/12)+1))^(1/12)-1</f>
        <v/>
      </c>
      <c r="BC930" s="31">
        <f>(1+BB930)^-A930</f>
        <v/>
      </c>
      <c r="BD930" s="34">
        <f>AW930*BC930</f>
        <v/>
      </c>
    </row>
    <row r="931">
      <c r="A931" s="27">
        <f>A930+1</f>
        <v/>
      </c>
      <c r="B931" s="28">
        <f>Duration0+A931</f>
        <v/>
      </c>
      <c r="C931" s="27">
        <f>INT(B931/12)</f>
        <v/>
      </c>
      <c r="D931" s="28">
        <f>AgeAtEntry+C931</f>
        <v/>
      </c>
      <c r="E931" s="29">
        <f>IF(PremiumType="SINGLE",IF(B931=0,PremiumPPInput,0),IF(B931&lt;12*PolicyTerm,PremiumPPInput,0))</f>
        <v/>
      </c>
      <c r="F931" s="30">
        <f>INDEX(MortRates,MATCH(MIN(D931,120),MortAges,0),MAX(MIN(C931,5),0)+1)</f>
        <v/>
      </c>
      <c r="G931" s="31">
        <f>1-(1-F931)^(1/12)</f>
        <v/>
      </c>
      <c r="H931" s="32">
        <f>MAX(LapseBase-LapseStep*C931,LapseFloor)</f>
        <v/>
      </c>
      <c r="I931" s="32">
        <f>IF(HasSurrCharge,INDEX(SurrRates,MIN(C931,SurrDurMax)+1,MATCH(SurrChargeID,SurrTypes,0)),0)</f>
        <v/>
      </c>
      <c r="J931" s="33">
        <f>N930-P930-O930</f>
        <v/>
      </c>
      <c r="K931" s="30">
        <f>IF(B931=12*PolicyTerm,J931,0)</f>
        <v/>
      </c>
      <c r="L931" s="33">
        <f>J931-K931</f>
        <v/>
      </c>
      <c r="M931" s="30">
        <f>IF(B931=0,PolicyCount,0)</f>
        <v/>
      </c>
      <c r="N931" s="33">
        <f>L931+M931</f>
        <v/>
      </c>
      <c r="O931" s="31">
        <f>N931*G931</f>
        <v/>
      </c>
      <c r="P931" s="33">
        <f>(N931-O931)*(1-(1-H931)^(1/12))</f>
        <v/>
      </c>
      <c r="Q931" s="34">
        <f>X930+Z930</f>
        <v/>
      </c>
      <c r="R931" s="29">
        <f>(1-LoadPremRate)*E931</f>
        <v/>
      </c>
      <c r="S931" s="34">
        <f>Q931+R931</f>
        <v/>
      </c>
      <c r="T931" s="29">
        <f>MaintFeeRateAnn/12*S931</f>
        <v/>
      </c>
      <c r="U931" s="29">
        <f>MAX(SumAssured-S931,0)</f>
        <v/>
      </c>
      <c r="V931" s="35">
        <f>CoiMultiple*G931</f>
        <v/>
      </c>
      <c r="W931" s="34">
        <f>V931*U931</f>
        <v/>
      </c>
      <c r="X931" s="34">
        <f>S931-T931-W931</f>
        <v/>
      </c>
      <c r="Y931" s="36">
        <f>EXP((Mu-0.5*Sigma^2)/12+Sigma*SQRT(1/12)*INDEX(NormRand,ScenID,A931+1))-1</f>
        <v/>
      </c>
      <c r="Z931" s="34">
        <f>Y931*X931</f>
        <v/>
      </c>
      <c r="AA931" s="34">
        <f>X931+0.5*Z931</f>
        <v/>
      </c>
      <c r="AB931" s="34">
        <f>Q931*J931</f>
        <v/>
      </c>
      <c r="AC931" s="34">
        <f>Q931*L931</f>
        <v/>
      </c>
      <c r="AD931" s="34">
        <f>S931*N931</f>
        <v/>
      </c>
      <c r="AE931" s="34">
        <f>E931*N931</f>
        <v/>
      </c>
      <c r="AF931" s="34">
        <f>R931*N931</f>
        <v/>
      </c>
      <c r="AG931" s="29">
        <f>MAX(SumAssured,AA931)</f>
        <v/>
      </c>
      <c r="AH931" s="34">
        <f>AG931*O931</f>
        <v/>
      </c>
      <c r="AI931" s="34">
        <f>AA931*O931</f>
        <v/>
      </c>
      <c r="AJ931" s="34">
        <f>AA931*P931</f>
        <v/>
      </c>
      <c r="AK931" s="34">
        <f>I931*AA931*P931</f>
        <v/>
      </c>
      <c r="AL931" s="34">
        <f>AJ931-AK931</f>
        <v/>
      </c>
      <c r="AM931" s="34">
        <f>Q931*K931</f>
        <v/>
      </c>
      <c r="AN931" s="34">
        <f>AH931+AL931+AM931</f>
        <v/>
      </c>
      <c r="AO931" s="34">
        <f>(AG931-AA931)*O931</f>
        <v/>
      </c>
      <c r="AP931" s="34">
        <f>W931*N931</f>
        <v/>
      </c>
      <c r="AQ931" s="34">
        <f>T931*N931</f>
        <v/>
      </c>
      <c r="AR931" s="34">
        <f>Z931*J932+0.5*Z931*(O931+P931)</f>
        <v/>
      </c>
      <c r="AS931" s="30">
        <f>(1+InflationRate)^(A931/12)</f>
        <v/>
      </c>
      <c r="AT931" s="29">
        <f>ExpenseAcq*M931+N931*ExpenseMaint/12*AS931</f>
        <v/>
      </c>
      <c r="AU931" s="29">
        <f>CommissionRate*AE931</f>
        <v/>
      </c>
      <c r="AV931" s="34">
        <f>AB932-AB931</f>
        <v/>
      </c>
      <c r="AW931" s="34">
        <f>AE931+AR931-AN931-AT931-AU931-AV931</f>
        <v/>
      </c>
      <c r="AX931" s="29">
        <f>LoadPremRate*E931*N931+AK931+AQ931-AU931-AT931</f>
        <v/>
      </c>
      <c r="AY931" s="34">
        <f>AP931-AO931</f>
        <v/>
      </c>
      <c r="AZ931" s="37">
        <f>(AW931-AX931-AY931)/MAX(1,ABS(AW931),ABS(AX931),ABS(AY931))</f>
        <v/>
      </c>
      <c r="BA931" s="37">
        <f>IF(OR(K931&gt;0,K932&gt;0),0,(AC932-(AC931+AF931-AQ931-AP931+AR931-AI931-AJ931-AM931))/MAX(1,ABS(AC931),ABS(AC932)))</f>
        <v/>
      </c>
      <c r="BB931" s="35">
        <f>(1+INDEX(DiscRateAnn,INT(A931/12)+1))^(1/12)-1</f>
        <v/>
      </c>
      <c r="BC931" s="31">
        <f>(1+BB931)^-A931</f>
        <v/>
      </c>
      <c r="BD931" s="34">
        <f>AW931*BC931</f>
        <v/>
      </c>
    </row>
    <row r="932">
      <c r="A932" s="27">
        <f>A931+1</f>
        <v/>
      </c>
      <c r="B932" s="28">
        <f>Duration0+A932</f>
        <v/>
      </c>
      <c r="C932" s="27">
        <f>INT(B932/12)</f>
        <v/>
      </c>
      <c r="D932" s="28">
        <f>AgeAtEntry+C932</f>
        <v/>
      </c>
      <c r="E932" s="29">
        <f>IF(PremiumType="SINGLE",IF(B932=0,PremiumPPInput,0),IF(B932&lt;12*PolicyTerm,PremiumPPInput,0))</f>
        <v/>
      </c>
      <c r="F932" s="30">
        <f>INDEX(MortRates,MATCH(MIN(D932,120),MortAges,0),MAX(MIN(C932,5),0)+1)</f>
        <v/>
      </c>
      <c r="G932" s="31">
        <f>1-(1-F932)^(1/12)</f>
        <v/>
      </c>
      <c r="H932" s="32">
        <f>MAX(LapseBase-LapseStep*C932,LapseFloor)</f>
        <v/>
      </c>
      <c r="I932" s="32">
        <f>IF(HasSurrCharge,INDEX(SurrRates,MIN(C932,SurrDurMax)+1,MATCH(SurrChargeID,SurrTypes,0)),0)</f>
        <v/>
      </c>
      <c r="J932" s="33">
        <f>N931-P931-O931</f>
        <v/>
      </c>
      <c r="K932" s="30">
        <f>IF(B932=12*PolicyTerm,J932,0)</f>
        <v/>
      </c>
      <c r="L932" s="33">
        <f>J932-K932</f>
        <v/>
      </c>
      <c r="M932" s="30">
        <f>IF(B932=0,PolicyCount,0)</f>
        <v/>
      </c>
      <c r="N932" s="33">
        <f>L932+M932</f>
        <v/>
      </c>
      <c r="O932" s="31">
        <f>N932*G932</f>
        <v/>
      </c>
      <c r="P932" s="33">
        <f>(N932-O932)*(1-(1-H932)^(1/12))</f>
        <v/>
      </c>
      <c r="Q932" s="34">
        <f>X931+Z931</f>
        <v/>
      </c>
      <c r="R932" s="29">
        <f>(1-LoadPremRate)*E932</f>
        <v/>
      </c>
      <c r="S932" s="34">
        <f>Q932+R932</f>
        <v/>
      </c>
      <c r="T932" s="29">
        <f>MaintFeeRateAnn/12*S932</f>
        <v/>
      </c>
      <c r="U932" s="29">
        <f>MAX(SumAssured-S932,0)</f>
        <v/>
      </c>
      <c r="V932" s="35">
        <f>CoiMultiple*G932</f>
        <v/>
      </c>
      <c r="W932" s="34">
        <f>V932*U932</f>
        <v/>
      </c>
      <c r="X932" s="34">
        <f>S932-T932-W932</f>
        <v/>
      </c>
      <c r="Y932" s="36">
        <f>EXP((Mu-0.5*Sigma^2)/12+Sigma*SQRT(1/12)*INDEX(NormRand,ScenID,A932+1))-1</f>
        <v/>
      </c>
      <c r="Z932" s="34">
        <f>Y932*X932</f>
        <v/>
      </c>
      <c r="AA932" s="34">
        <f>X932+0.5*Z932</f>
        <v/>
      </c>
      <c r="AB932" s="34">
        <f>Q932*J932</f>
        <v/>
      </c>
      <c r="AC932" s="34">
        <f>Q932*L932</f>
        <v/>
      </c>
      <c r="AD932" s="34">
        <f>S932*N932</f>
        <v/>
      </c>
      <c r="AE932" s="34">
        <f>E932*N932</f>
        <v/>
      </c>
      <c r="AF932" s="34">
        <f>R932*N932</f>
        <v/>
      </c>
      <c r="AG932" s="29">
        <f>MAX(SumAssured,AA932)</f>
        <v/>
      </c>
      <c r="AH932" s="34">
        <f>AG932*O932</f>
        <v/>
      </c>
      <c r="AI932" s="34">
        <f>AA932*O932</f>
        <v/>
      </c>
      <c r="AJ932" s="34">
        <f>AA932*P932</f>
        <v/>
      </c>
      <c r="AK932" s="34">
        <f>I932*AA932*P932</f>
        <v/>
      </c>
      <c r="AL932" s="34">
        <f>AJ932-AK932</f>
        <v/>
      </c>
      <c r="AM932" s="34">
        <f>Q932*K932</f>
        <v/>
      </c>
      <c r="AN932" s="34">
        <f>AH932+AL932+AM932</f>
        <v/>
      </c>
      <c r="AO932" s="34">
        <f>(AG932-AA932)*O932</f>
        <v/>
      </c>
      <c r="AP932" s="34">
        <f>W932*N932</f>
        <v/>
      </c>
      <c r="AQ932" s="34">
        <f>T932*N932</f>
        <v/>
      </c>
      <c r="AR932" s="34">
        <f>Z932*J933+0.5*Z932*(O932+P932)</f>
        <v/>
      </c>
      <c r="AS932" s="30">
        <f>(1+InflationRate)^(A932/12)</f>
        <v/>
      </c>
      <c r="AT932" s="29">
        <f>ExpenseAcq*M932+N932*ExpenseMaint/12*AS932</f>
        <v/>
      </c>
      <c r="AU932" s="29">
        <f>CommissionRate*AE932</f>
        <v/>
      </c>
      <c r="AV932" s="34">
        <f>AB933-AB932</f>
        <v/>
      </c>
      <c r="AW932" s="34">
        <f>AE932+AR932-AN932-AT932-AU932-AV932</f>
        <v/>
      </c>
      <c r="AX932" s="29">
        <f>LoadPremRate*E932*N932+AK932+AQ932-AU932-AT932</f>
        <v/>
      </c>
      <c r="AY932" s="34">
        <f>AP932-AO932</f>
        <v/>
      </c>
      <c r="AZ932" s="37">
        <f>(AW932-AX932-AY932)/MAX(1,ABS(AW932),ABS(AX932),ABS(AY932))</f>
        <v/>
      </c>
      <c r="BA932" s="37">
        <f>IF(OR(K932&gt;0,K933&gt;0),0,(AC933-(AC932+AF932-AQ932-AP932+AR932-AI932-AJ932-AM932))/MAX(1,ABS(AC932),ABS(AC933)))</f>
        <v/>
      </c>
      <c r="BB932" s="35">
        <f>(1+INDEX(DiscRateAnn,INT(A932/12)+1))^(1/12)-1</f>
        <v/>
      </c>
      <c r="BC932" s="31">
        <f>(1+BB932)^-A932</f>
        <v/>
      </c>
      <c r="BD932" s="34">
        <f>AW932*BC932</f>
        <v/>
      </c>
    </row>
    <row r="933">
      <c r="A933" s="27">
        <f>A932+1</f>
        <v/>
      </c>
      <c r="B933" s="28">
        <f>Duration0+A933</f>
        <v/>
      </c>
      <c r="C933" s="27">
        <f>INT(B933/12)</f>
        <v/>
      </c>
      <c r="D933" s="28">
        <f>AgeAtEntry+C933</f>
        <v/>
      </c>
      <c r="E933" s="29">
        <f>IF(PremiumType="SINGLE",IF(B933=0,PremiumPPInput,0),IF(B933&lt;12*PolicyTerm,PremiumPPInput,0))</f>
        <v/>
      </c>
      <c r="F933" s="30">
        <f>INDEX(MortRates,MATCH(MIN(D933,120),MortAges,0),MAX(MIN(C933,5),0)+1)</f>
        <v/>
      </c>
      <c r="G933" s="31">
        <f>1-(1-F933)^(1/12)</f>
        <v/>
      </c>
      <c r="H933" s="32">
        <f>MAX(LapseBase-LapseStep*C933,LapseFloor)</f>
        <v/>
      </c>
      <c r="I933" s="32">
        <f>IF(HasSurrCharge,INDEX(SurrRates,MIN(C933,SurrDurMax)+1,MATCH(SurrChargeID,SurrTypes,0)),0)</f>
        <v/>
      </c>
      <c r="J933" s="33">
        <f>N932-P932-O932</f>
        <v/>
      </c>
      <c r="K933" s="30">
        <f>IF(B933=12*PolicyTerm,J933,0)</f>
        <v/>
      </c>
      <c r="L933" s="33">
        <f>J933-K933</f>
        <v/>
      </c>
      <c r="M933" s="30">
        <f>IF(B933=0,PolicyCount,0)</f>
        <v/>
      </c>
      <c r="N933" s="33">
        <f>L933+M933</f>
        <v/>
      </c>
      <c r="O933" s="31">
        <f>N933*G933</f>
        <v/>
      </c>
      <c r="P933" s="33">
        <f>(N933-O933)*(1-(1-H933)^(1/12))</f>
        <v/>
      </c>
      <c r="Q933" s="34">
        <f>X932+Z932</f>
        <v/>
      </c>
      <c r="R933" s="29">
        <f>(1-LoadPremRate)*E933</f>
        <v/>
      </c>
      <c r="S933" s="34">
        <f>Q933+R933</f>
        <v/>
      </c>
      <c r="T933" s="29">
        <f>MaintFeeRateAnn/12*S933</f>
        <v/>
      </c>
      <c r="U933" s="29">
        <f>MAX(SumAssured-S933,0)</f>
        <v/>
      </c>
      <c r="V933" s="35">
        <f>CoiMultiple*G933</f>
        <v/>
      </c>
      <c r="W933" s="34">
        <f>V933*U933</f>
        <v/>
      </c>
      <c r="X933" s="34">
        <f>S933-T933-W933</f>
        <v/>
      </c>
      <c r="Y933" s="36">
        <f>EXP((Mu-0.5*Sigma^2)/12+Sigma*SQRT(1/12)*INDEX(NormRand,ScenID,A933+1))-1</f>
        <v/>
      </c>
      <c r="Z933" s="34">
        <f>Y933*X933</f>
        <v/>
      </c>
      <c r="AA933" s="34">
        <f>X933+0.5*Z933</f>
        <v/>
      </c>
      <c r="AB933" s="34">
        <f>Q933*J933</f>
        <v/>
      </c>
      <c r="AC933" s="34">
        <f>Q933*L933</f>
        <v/>
      </c>
      <c r="AD933" s="34">
        <f>S933*N933</f>
        <v/>
      </c>
      <c r="AE933" s="34">
        <f>E933*N933</f>
        <v/>
      </c>
      <c r="AF933" s="34">
        <f>R933*N933</f>
        <v/>
      </c>
      <c r="AG933" s="29">
        <f>MAX(SumAssured,AA933)</f>
        <v/>
      </c>
      <c r="AH933" s="34">
        <f>AG933*O933</f>
        <v/>
      </c>
      <c r="AI933" s="34">
        <f>AA933*O933</f>
        <v/>
      </c>
      <c r="AJ933" s="34">
        <f>AA933*P933</f>
        <v/>
      </c>
      <c r="AK933" s="34">
        <f>I933*AA933*P933</f>
        <v/>
      </c>
      <c r="AL933" s="34">
        <f>AJ933-AK933</f>
        <v/>
      </c>
      <c r="AM933" s="34">
        <f>Q933*K933</f>
        <v/>
      </c>
      <c r="AN933" s="34">
        <f>AH933+AL933+AM933</f>
        <v/>
      </c>
      <c r="AO933" s="34">
        <f>(AG933-AA933)*O933</f>
        <v/>
      </c>
      <c r="AP933" s="34">
        <f>W933*N933</f>
        <v/>
      </c>
      <c r="AQ933" s="34">
        <f>T933*N933</f>
        <v/>
      </c>
      <c r="AR933" s="34">
        <f>Z933*J934+0.5*Z933*(O933+P933)</f>
        <v/>
      </c>
      <c r="AS933" s="30">
        <f>(1+InflationRate)^(A933/12)</f>
        <v/>
      </c>
      <c r="AT933" s="29">
        <f>ExpenseAcq*M933+N933*ExpenseMaint/12*AS933</f>
        <v/>
      </c>
      <c r="AU933" s="29">
        <f>CommissionRate*AE933</f>
        <v/>
      </c>
      <c r="AV933" s="34">
        <f>AB934-AB933</f>
        <v/>
      </c>
      <c r="AW933" s="34">
        <f>AE933+AR933-AN933-AT933-AU933-AV933</f>
        <v/>
      </c>
      <c r="AX933" s="29">
        <f>LoadPremRate*E933*N933+AK933+AQ933-AU933-AT933</f>
        <v/>
      </c>
      <c r="AY933" s="34">
        <f>AP933-AO933</f>
        <v/>
      </c>
      <c r="AZ933" s="37">
        <f>(AW933-AX933-AY933)/MAX(1,ABS(AW933),ABS(AX933),ABS(AY933))</f>
        <v/>
      </c>
      <c r="BA933" s="37">
        <f>IF(OR(K933&gt;0,K934&gt;0),0,(AC934-(AC933+AF933-AQ933-AP933+AR933-AI933-AJ933-AM933))/MAX(1,ABS(AC933),ABS(AC934)))</f>
        <v/>
      </c>
      <c r="BB933" s="35">
        <f>(1+INDEX(DiscRateAnn,INT(A933/12)+1))^(1/12)-1</f>
        <v/>
      </c>
      <c r="BC933" s="31">
        <f>(1+BB933)^-A933</f>
        <v/>
      </c>
      <c r="BD933" s="34">
        <f>AW933*BC933</f>
        <v/>
      </c>
    </row>
    <row r="934">
      <c r="A934" s="27">
        <f>A933+1</f>
        <v/>
      </c>
      <c r="B934" s="28">
        <f>Duration0+A934</f>
        <v/>
      </c>
      <c r="C934" s="27">
        <f>INT(B934/12)</f>
        <v/>
      </c>
      <c r="D934" s="28">
        <f>AgeAtEntry+C934</f>
        <v/>
      </c>
      <c r="E934" s="29">
        <f>IF(PremiumType="SINGLE",IF(B934=0,PremiumPPInput,0),IF(B934&lt;12*PolicyTerm,PremiumPPInput,0))</f>
        <v/>
      </c>
      <c r="F934" s="30">
        <f>INDEX(MortRates,MATCH(MIN(D934,120),MortAges,0),MAX(MIN(C934,5),0)+1)</f>
        <v/>
      </c>
      <c r="G934" s="31">
        <f>1-(1-F934)^(1/12)</f>
        <v/>
      </c>
      <c r="H934" s="32">
        <f>MAX(LapseBase-LapseStep*C934,LapseFloor)</f>
        <v/>
      </c>
      <c r="I934" s="32">
        <f>IF(HasSurrCharge,INDEX(SurrRates,MIN(C934,SurrDurMax)+1,MATCH(SurrChargeID,SurrTypes,0)),0)</f>
        <v/>
      </c>
      <c r="J934" s="33">
        <f>N933-P933-O933</f>
        <v/>
      </c>
      <c r="K934" s="30">
        <f>IF(B934=12*PolicyTerm,J934,0)</f>
        <v/>
      </c>
      <c r="L934" s="33">
        <f>J934-K934</f>
        <v/>
      </c>
      <c r="M934" s="30">
        <f>IF(B934=0,PolicyCount,0)</f>
        <v/>
      </c>
      <c r="N934" s="33">
        <f>L934+M934</f>
        <v/>
      </c>
      <c r="O934" s="31">
        <f>N934*G934</f>
        <v/>
      </c>
      <c r="P934" s="33">
        <f>(N934-O934)*(1-(1-H934)^(1/12))</f>
        <v/>
      </c>
      <c r="Q934" s="34">
        <f>X933+Z933</f>
        <v/>
      </c>
      <c r="R934" s="29">
        <f>(1-LoadPremRate)*E934</f>
        <v/>
      </c>
      <c r="S934" s="34">
        <f>Q934+R934</f>
        <v/>
      </c>
      <c r="T934" s="29">
        <f>MaintFeeRateAnn/12*S934</f>
        <v/>
      </c>
      <c r="U934" s="29">
        <f>MAX(SumAssured-S934,0)</f>
        <v/>
      </c>
      <c r="V934" s="35">
        <f>CoiMultiple*G934</f>
        <v/>
      </c>
      <c r="W934" s="34">
        <f>V934*U934</f>
        <v/>
      </c>
      <c r="X934" s="34">
        <f>S934-T934-W934</f>
        <v/>
      </c>
      <c r="Y934" s="36">
        <f>EXP((Mu-0.5*Sigma^2)/12+Sigma*SQRT(1/12)*INDEX(NormRand,ScenID,A934+1))-1</f>
        <v/>
      </c>
      <c r="Z934" s="34">
        <f>Y934*X934</f>
        <v/>
      </c>
      <c r="AA934" s="34">
        <f>X934+0.5*Z934</f>
        <v/>
      </c>
      <c r="AB934" s="34">
        <f>Q934*J934</f>
        <v/>
      </c>
      <c r="AC934" s="34">
        <f>Q934*L934</f>
        <v/>
      </c>
      <c r="AD934" s="34">
        <f>S934*N934</f>
        <v/>
      </c>
      <c r="AE934" s="34">
        <f>E934*N934</f>
        <v/>
      </c>
      <c r="AF934" s="34">
        <f>R934*N934</f>
        <v/>
      </c>
      <c r="AG934" s="29">
        <f>MAX(SumAssured,AA934)</f>
        <v/>
      </c>
      <c r="AH934" s="34">
        <f>AG934*O934</f>
        <v/>
      </c>
      <c r="AI934" s="34">
        <f>AA934*O934</f>
        <v/>
      </c>
      <c r="AJ934" s="34">
        <f>AA934*P934</f>
        <v/>
      </c>
      <c r="AK934" s="34">
        <f>I934*AA934*P934</f>
        <v/>
      </c>
      <c r="AL934" s="34">
        <f>AJ934-AK934</f>
        <v/>
      </c>
      <c r="AM934" s="34">
        <f>Q934*K934</f>
        <v/>
      </c>
      <c r="AN934" s="34">
        <f>AH934+AL934+AM934</f>
        <v/>
      </c>
      <c r="AO934" s="34">
        <f>(AG934-AA934)*O934</f>
        <v/>
      </c>
      <c r="AP934" s="34">
        <f>W934*N934</f>
        <v/>
      </c>
      <c r="AQ934" s="34">
        <f>T934*N934</f>
        <v/>
      </c>
      <c r="AR934" s="34">
        <f>Z934*J935+0.5*Z934*(O934+P934)</f>
        <v/>
      </c>
      <c r="AS934" s="30">
        <f>(1+InflationRate)^(A934/12)</f>
        <v/>
      </c>
      <c r="AT934" s="29">
        <f>ExpenseAcq*M934+N934*ExpenseMaint/12*AS934</f>
        <v/>
      </c>
      <c r="AU934" s="29">
        <f>CommissionRate*AE934</f>
        <v/>
      </c>
      <c r="AV934" s="34">
        <f>AB935-AB934</f>
        <v/>
      </c>
      <c r="AW934" s="34">
        <f>AE934+AR934-AN934-AT934-AU934-AV934</f>
        <v/>
      </c>
      <c r="AX934" s="29">
        <f>LoadPremRate*E934*N934+AK934+AQ934-AU934-AT934</f>
        <v/>
      </c>
      <c r="AY934" s="34">
        <f>AP934-AO934</f>
        <v/>
      </c>
      <c r="AZ934" s="37">
        <f>(AW934-AX934-AY934)/MAX(1,ABS(AW934),ABS(AX934),ABS(AY934))</f>
        <v/>
      </c>
      <c r="BA934" s="37">
        <f>IF(OR(K934&gt;0,K935&gt;0),0,(AC935-(AC934+AF934-AQ934-AP934+AR934-AI934-AJ934-AM934))/MAX(1,ABS(AC934),ABS(AC935)))</f>
        <v/>
      </c>
      <c r="BB934" s="35">
        <f>(1+INDEX(DiscRateAnn,INT(A934/12)+1))^(1/12)-1</f>
        <v/>
      </c>
      <c r="BC934" s="31">
        <f>(1+BB934)^-A934</f>
        <v/>
      </c>
      <c r="BD934" s="34">
        <f>AW934*BC934</f>
        <v/>
      </c>
    </row>
    <row r="935">
      <c r="A935" s="27">
        <f>A934+1</f>
        <v/>
      </c>
      <c r="B935" s="28">
        <f>Duration0+A935</f>
        <v/>
      </c>
      <c r="C935" s="27">
        <f>INT(B935/12)</f>
        <v/>
      </c>
      <c r="D935" s="28">
        <f>AgeAtEntry+C935</f>
        <v/>
      </c>
      <c r="E935" s="29">
        <f>IF(PremiumType="SINGLE",IF(B935=0,PremiumPPInput,0),IF(B935&lt;12*PolicyTerm,PremiumPPInput,0))</f>
        <v/>
      </c>
      <c r="F935" s="30">
        <f>INDEX(MortRates,MATCH(MIN(D935,120),MortAges,0),MAX(MIN(C935,5),0)+1)</f>
        <v/>
      </c>
      <c r="G935" s="31">
        <f>1-(1-F935)^(1/12)</f>
        <v/>
      </c>
      <c r="H935" s="32">
        <f>MAX(LapseBase-LapseStep*C935,LapseFloor)</f>
        <v/>
      </c>
      <c r="I935" s="32">
        <f>IF(HasSurrCharge,INDEX(SurrRates,MIN(C935,SurrDurMax)+1,MATCH(SurrChargeID,SurrTypes,0)),0)</f>
        <v/>
      </c>
      <c r="J935" s="33">
        <f>N934-P934-O934</f>
        <v/>
      </c>
      <c r="K935" s="30">
        <f>IF(B935=12*PolicyTerm,J935,0)</f>
        <v/>
      </c>
      <c r="L935" s="33">
        <f>J935-K935</f>
        <v/>
      </c>
      <c r="M935" s="30">
        <f>IF(B935=0,PolicyCount,0)</f>
        <v/>
      </c>
      <c r="N935" s="33">
        <f>L935+M935</f>
        <v/>
      </c>
      <c r="O935" s="31">
        <f>N935*G935</f>
        <v/>
      </c>
      <c r="P935" s="33">
        <f>(N935-O935)*(1-(1-H935)^(1/12))</f>
        <v/>
      </c>
      <c r="Q935" s="34">
        <f>X934+Z934</f>
        <v/>
      </c>
      <c r="R935" s="29">
        <f>(1-LoadPremRate)*E935</f>
        <v/>
      </c>
      <c r="S935" s="34">
        <f>Q935+R935</f>
        <v/>
      </c>
      <c r="T935" s="29">
        <f>MaintFeeRateAnn/12*S935</f>
        <v/>
      </c>
      <c r="U935" s="29">
        <f>MAX(SumAssured-S935,0)</f>
        <v/>
      </c>
      <c r="V935" s="35">
        <f>CoiMultiple*G935</f>
        <v/>
      </c>
      <c r="W935" s="34">
        <f>V935*U935</f>
        <v/>
      </c>
      <c r="X935" s="34">
        <f>S935-T935-W935</f>
        <v/>
      </c>
      <c r="Y935" s="36">
        <f>EXP((Mu-0.5*Sigma^2)/12+Sigma*SQRT(1/12)*INDEX(NormRand,ScenID,A935+1))-1</f>
        <v/>
      </c>
      <c r="Z935" s="34">
        <f>Y935*X935</f>
        <v/>
      </c>
      <c r="AA935" s="34">
        <f>X935+0.5*Z935</f>
        <v/>
      </c>
      <c r="AB935" s="34">
        <f>Q935*J935</f>
        <v/>
      </c>
      <c r="AC935" s="34">
        <f>Q935*L935</f>
        <v/>
      </c>
      <c r="AD935" s="34">
        <f>S935*N935</f>
        <v/>
      </c>
      <c r="AE935" s="34">
        <f>E935*N935</f>
        <v/>
      </c>
      <c r="AF935" s="34">
        <f>R935*N935</f>
        <v/>
      </c>
      <c r="AG935" s="29">
        <f>MAX(SumAssured,AA935)</f>
        <v/>
      </c>
      <c r="AH935" s="34">
        <f>AG935*O935</f>
        <v/>
      </c>
      <c r="AI935" s="34">
        <f>AA935*O935</f>
        <v/>
      </c>
      <c r="AJ935" s="34">
        <f>AA935*P935</f>
        <v/>
      </c>
      <c r="AK935" s="34">
        <f>I935*AA935*P935</f>
        <v/>
      </c>
      <c r="AL935" s="34">
        <f>AJ935-AK935</f>
        <v/>
      </c>
      <c r="AM935" s="34">
        <f>Q935*K935</f>
        <v/>
      </c>
      <c r="AN935" s="34">
        <f>AH935+AL935+AM935</f>
        <v/>
      </c>
      <c r="AO935" s="34">
        <f>(AG935-AA935)*O935</f>
        <v/>
      </c>
      <c r="AP935" s="34">
        <f>W935*N935</f>
        <v/>
      </c>
      <c r="AQ935" s="34">
        <f>T935*N935</f>
        <v/>
      </c>
      <c r="AR935" s="34">
        <f>Z935*J936+0.5*Z935*(O935+P935)</f>
        <v/>
      </c>
      <c r="AS935" s="30">
        <f>(1+InflationRate)^(A935/12)</f>
        <v/>
      </c>
      <c r="AT935" s="29">
        <f>ExpenseAcq*M935+N935*ExpenseMaint/12*AS935</f>
        <v/>
      </c>
      <c r="AU935" s="29">
        <f>CommissionRate*AE935</f>
        <v/>
      </c>
      <c r="AV935" s="34">
        <f>AB936-AB935</f>
        <v/>
      </c>
      <c r="AW935" s="34">
        <f>AE935+AR935-AN935-AT935-AU935-AV935</f>
        <v/>
      </c>
      <c r="AX935" s="29">
        <f>LoadPremRate*E935*N935+AK935+AQ935-AU935-AT935</f>
        <v/>
      </c>
      <c r="AY935" s="34">
        <f>AP935-AO935</f>
        <v/>
      </c>
      <c r="AZ935" s="37">
        <f>(AW935-AX935-AY935)/MAX(1,ABS(AW935),ABS(AX935),ABS(AY935))</f>
        <v/>
      </c>
      <c r="BA935" s="37">
        <f>IF(OR(K935&gt;0,K936&gt;0),0,(AC936-(AC935+AF935-AQ935-AP935+AR935-AI935-AJ935-AM935))/MAX(1,ABS(AC935),ABS(AC936)))</f>
        <v/>
      </c>
      <c r="BB935" s="35">
        <f>(1+INDEX(DiscRateAnn,INT(A935/12)+1))^(1/12)-1</f>
        <v/>
      </c>
      <c r="BC935" s="31">
        <f>(1+BB935)^-A935</f>
        <v/>
      </c>
      <c r="BD935" s="34">
        <f>AW935*BC935</f>
        <v/>
      </c>
    </row>
    <row r="936">
      <c r="A936" s="27">
        <f>A935+1</f>
        <v/>
      </c>
      <c r="B936" s="28">
        <f>Duration0+A936</f>
        <v/>
      </c>
      <c r="C936" s="27">
        <f>INT(B936/12)</f>
        <v/>
      </c>
      <c r="D936" s="28">
        <f>AgeAtEntry+C936</f>
        <v/>
      </c>
      <c r="E936" s="29">
        <f>IF(PremiumType="SINGLE",IF(B936=0,PremiumPPInput,0),IF(B936&lt;12*PolicyTerm,PremiumPPInput,0))</f>
        <v/>
      </c>
      <c r="F936" s="30">
        <f>INDEX(MortRates,MATCH(MIN(D936,120),MortAges,0),MAX(MIN(C936,5),0)+1)</f>
        <v/>
      </c>
      <c r="G936" s="31">
        <f>1-(1-F936)^(1/12)</f>
        <v/>
      </c>
      <c r="H936" s="32">
        <f>MAX(LapseBase-LapseStep*C936,LapseFloor)</f>
        <v/>
      </c>
      <c r="I936" s="32">
        <f>IF(HasSurrCharge,INDEX(SurrRates,MIN(C936,SurrDurMax)+1,MATCH(SurrChargeID,SurrTypes,0)),0)</f>
        <v/>
      </c>
      <c r="J936" s="33">
        <f>N935-P935-O935</f>
        <v/>
      </c>
      <c r="K936" s="30">
        <f>IF(B936=12*PolicyTerm,J936,0)</f>
        <v/>
      </c>
      <c r="L936" s="33">
        <f>J936-K936</f>
        <v/>
      </c>
      <c r="M936" s="30">
        <f>IF(B936=0,PolicyCount,0)</f>
        <v/>
      </c>
      <c r="N936" s="33">
        <f>L936+M936</f>
        <v/>
      </c>
      <c r="O936" s="31">
        <f>N936*G936</f>
        <v/>
      </c>
      <c r="P936" s="33">
        <f>(N936-O936)*(1-(1-H936)^(1/12))</f>
        <v/>
      </c>
      <c r="Q936" s="34">
        <f>X935+Z935</f>
        <v/>
      </c>
      <c r="R936" s="29">
        <f>(1-LoadPremRate)*E936</f>
        <v/>
      </c>
      <c r="S936" s="34">
        <f>Q936+R936</f>
        <v/>
      </c>
      <c r="T936" s="29">
        <f>MaintFeeRateAnn/12*S936</f>
        <v/>
      </c>
      <c r="U936" s="29">
        <f>MAX(SumAssured-S936,0)</f>
        <v/>
      </c>
      <c r="V936" s="35">
        <f>CoiMultiple*G936</f>
        <v/>
      </c>
      <c r="W936" s="34">
        <f>V936*U936</f>
        <v/>
      </c>
      <c r="X936" s="34">
        <f>S936-T936-W936</f>
        <v/>
      </c>
      <c r="Y936" s="36">
        <f>EXP((Mu-0.5*Sigma^2)/12+Sigma*SQRT(1/12)*INDEX(NormRand,ScenID,A936+1))-1</f>
        <v/>
      </c>
      <c r="Z936" s="34">
        <f>Y936*X936</f>
        <v/>
      </c>
      <c r="AA936" s="34">
        <f>X936+0.5*Z936</f>
        <v/>
      </c>
      <c r="AB936" s="34">
        <f>Q936*J936</f>
        <v/>
      </c>
      <c r="AC936" s="34">
        <f>Q936*L936</f>
        <v/>
      </c>
      <c r="AD936" s="34">
        <f>S936*N936</f>
        <v/>
      </c>
      <c r="AE936" s="34">
        <f>E936*N936</f>
        <v/>
      </c>
      <c r="AF936" s="34">
        <f>R936*N936</f>
        <v/>
      </c>
      <c r="AG936" s="29">
        <f>MAX(SumAssured,AA936)</f>
        <v/>
      </c>
      <c r="AH936" s="34">
        <f>AG936*O936</f>
        <v/>
      </c>
      <c r="AI936" s="34">
        <f>AA936*O936</f>
        <v/>
      </c>
      <c r="AJ936" s="34">
        <f>AA936*P936</f>
        <v/>
      </c>
      <c r="AK936" s="34">
        <f>I936*AA936*P936</f>
        <v/>
      </c>
      <c r="AL936" s="34">
        <f>AJ936-AK936</f>
        <v/>
      </c>
      <c r="AM936" s="34">
        <f>Q936*K936</f>
        <v/>
      </c>
      <c r="AN936" s="34">
        <f>AH936+AL936+AM936</f>
        <v/>
      </c>
      <c r="AO936" s="34">
        <f>(AG936-AA936)*O936</f>
        <v/>
      </c>
      <c r="AP936" s="34">
        <f>W936*N936</f>
        <v/>
      </c>
      <c r="AQ936" s="34">
        <f>T936*N936</f>
        <v/>
      </c>
      <c r="AR936" s="34">
        <f>Z936*J937+0.5*Z936*(O936+P936)</f>
        <v/>
      </c>
      <c r="AS936" s="30">
        <f>(1+InflationRate)^(A936/12)</f>
        <v/>
      </c>
      <c r="AT936" s="29">
        <f>ExpenseAcq*M936+N936*ExpenseMaint/12*AS936</f>
        <v/>
      </c>
      <c r="AU936" s="29">
        <f>CommissionRate*AE936</f>
        <v/>
      </c>
      <c r="AV936" s="34">
        <f>AB937-AB936</f>
        <v/>
      </c>
      <c r="AW936" s="34">
        <f>AE936+AR936-AN936-AT936-AU936-AV936</f>
        <v/>
      </c>
      <c r="AX936" s="29">
        <f>LoadPremRate*E936*N936+AK936+AQ936-AU936-AT936</f>
        <v/>
      </c>
      <c r="AY936" s="34">
        <f>AP936-AO936</f>
        <v/>
      </c>
      <c r="AZ936" s="37">
        <f>(AW936-AX936-AY936)/MAX(1,ABS(AW936),ABS(AX936),ABS(AY936))</f>
        <v/>
      </c>
      <c r="BA936" s="37">
        <f>IF(OR(K936&gt;0,K937&gt;0),0,(AC937-(AC936+AF936-AQ936-AP936+AR936-AI936-AJ936-AM936))/MAX(1,ABS(AC936),ABS(AC937)))</f>
        <v/>
      </c>
      <c r="BB936" s="35">
        <f>(1+INDEX(DiscRateAnn,INT(A936/12)+1))^(1/12)-1</f>
        <v/>
      </c>
      <c r="BC936" s="31">
        <f>(1+BB936)^-A936</f>
        <v/>
      </c>
      <c r="BD936" s="34">
        <f>AW936*BC936</f>
        <v/>
      </c>
    </row>
    <row r="937">
      <c r="A937" s="27">
        <f>A936+1</f>
        <v/>
      </c>
      <c r="B937" s="28">
        <f>Duration0+A937</f>
        <v/>
      </c>
      <c r="C937" s="27">
        <f>INT(B937/12)</f>
        <v/>
      </c>
      <c r="D937" s="28">
        <f>AgeAtEntry+C937</f>
        <v/>
      </c>
      <c r="E937" s="29">
        <f>IF(PremiumType="SINGLE",IF(B937=0,PremiumPPInput,0),IF(B937&lt;12*PolicyTerm,PremiumPPInput,0))</f>
        <v/>
      </c>
      <c r="F937" s="30">
        <f>INDEX(MortRates,MATCH(MIN(D937,120),MortAges,0),MAX(MIN(C937,5),0)+1)</f>
        <v/>
      </c>
      <c r="G937" s="31">
        <f>1-(1-F937)^(1/12)</f>
        <v/>
      </c>
      <c r="H937" s="32">
        <f>MAX(LapseBase-LapseStep*C937,LapseFloor)</f>
        <v/>
      </c>
      <c r="I937" s="32">
        <f>IF(HasSurrCharge,INDEX(SurrRates,MIN(C937,SurrDurMax)+1,MATCH(SurrChargeID,SurrTypes,0)),0)</f>
        <v/>
      </c>
      <c r="J937" s="33">
        <f>N936-P936-O936</f>
        <v/>
      </c>
      <c r="K937" s="30">
        <f>IF(B937=12*PolicyTerm,J937,0)</f>
        <v/>
      </c>
      <c r="L937" s="33">
        <f>J937-K937</f>
        <v/>
      </c>
      <c r="M937" s="30">
        <f>IF(B937=0,PolicyCount,0)</f>
        <v/>
      </c>
      <c r="N937" s="33">
        <f>L937+M937</f>
        <v/>
      </c>
      <c r="O937" s="31">
        <f>N937*G937</f>
        <v/>
      </c>
      <c r="P937" s="33">
        <f>(N937-O937)*(1-(1-H937)^(1/12))</f>
        <v/>
      </c>
      <c r="Q937" s="34">
        <f>X936+Z936</f>
        <v/>
      </c>
      <c r="R937" s="29">
        <f>(1-LoadPremRate)*E937</f>
        <v/>
      </c>
      <c r="S937" s="34">
        <f>Q937+R937</f>
        <v/>
      </c>
      <c r="T937" s="29">
        <f>MaintFeeRateAnn/12*S937</f>
        <v/>
      </c>
      <c r="U937" s="29">
        <f>MAX(SumAssured-S937,0)</f>
        <v/>
      </c>
      <c r="V937" s="35">
        <f>CoiMultiple*G937</f>
        <v/>
      </c>
      <c r="W937" s="34">
        <f>V937*U937</f>
        <v/>
      </c>
      <c r="X937" s="34">
        <f>S937-T937-W937</f>
        <v/>
      </c>
      <c r="Y937" s="36">
        <f>EXP((Mu-0.5*Sigma^2)/12+Sigma*SQRT(1/12)*INDEX(NormRand,ScenID,A937+1))-1</f>
        <v/>
      </c>
      <c r="Z937" s="34">
        <f>Y937*X937</f>
        <v/>
      </c>
      <c r="AA937" s="34">
        <f>X937+0.5*Z937</f>
        <v/>
      </c>
      <c r="AB937" s="34">
        <f>Q937*J937</f>
        <v/>
      </c>
      <c r="AC937" s="34">
        <f>Q937*L937</f>
        <v/>
      </c>
      <c r="AD937" s="34">
        <f>S937*N937</f>
        <v/>
      </c>
      <c r="AE937" s="34">
        <f>E937*N937</f>
        <v/>
      </c>
      <c r="AF937" s="34">
        <f>R937*N937</f>
        <v/>
      </c>
      <c r="AG937" s="29">
        <f>MAX(SumAssured,AA937)</f>
        <v/>
      </c>
      <c r="AH937" s="34">
        <f>AG937*O937</f>
        <v/>
      </c>
      <c r="AI937" s="34">
        <f>AA937*O937</f>
        <v/>
      </c>
      <c r="AJ937" s="34">
        <f>AA937*P937</f>
        <v/>
      </c>
      <c r="AK937" s="34">
        <f>I937*AA937*P937</f>
        <v/>
      </c>
      <c r="AL937" s="34">
        <f>AJ937-AK937</f>
        <v/>
      </c>
      <c r="AM937" s="34">
        <f>Q937*K937</f>
        <v/>
      </c>
      <c r="AN937" s="34">
        <f>AH937+AL937+AM937</f>
        <v/>
      </c>
      <c r="AO937" s="34">
        <f>(AG937-AA937)*O937</f>
        <v/>
      </c>
      <c r="AP937" s="34">
        <f>W937*N937</f>
        <v/>
      </c>
      <c r="AQ937" s="34">
        <f>T937*N937</f>
        <v/>
      </c>
      <c r="AR937" s="34">
        <f>Z937*J938+0.5*Z937*(O937+P937)</f>
        <v/>
      </c>
      <c r="AS937" s="30">
        <f>(1+InflationRate)^(A937/12)</f>
        <v/>
      </c>
      <c r="AT937" s="29">
        <f>ExpenseAcq*M937+N937*ExpenseMaint/12*AS937</f>
        <v/>
      </c>
      <c r="AU937" s="29">
        <f>CommissionRate*AE937</f>
        <v/>
      </c>
      <c r="AV937" s="34">
        <f>AB938-AB937</f>
        <v/>
      </c>
      <c r="AW937" s="34">
        <f>AE937+AR937-AN937-AT937-AU937-AV937</f>
        <v/>
      </c>
      <c r="AX937" s="29">
        <f>LoadPremRate*E937*N937+AK937+AQ937-AU937-AT937</f>
        <v/>
      </c>
      <c r="AY937" s="34">
        <f>AP937-AO937</f>
        <v/>
      </c>
      <c r="AZ937" s="37">
        <f>(AW937-AX937-AY937)/MAX(1,ABS(AW937),ABS(AX937),ABS(AY937))</f>
        <v/>
      </c>
      <c r="BA937" s="37">
        <f>IF(OR(K937&gt;0,K938&gt;0),0,(AC938-(AC937+AF937-AQ937-AP937+AR937-AI937-AJ937-AM937))/MAX(1,ABS(AC937),ABS(AC938)))</f>
        <v/>
      </c>
      <c r="BB937" s="35">
        <f>(1+INDEX(DiscRateAnn,INT(A937/12)+1))^(1/12)-1</f>
        <v/>
      </c>
      <c r="BC937" s="31">
        <f>(1+BB937)^-A937</f>
        <v/>
      </c>
      <c r="BD937" s="34">
        <f>AW937*BC937</f>
        <v/>
      </c>
    </row>
    <row r="938">
      <c r="A938" s="27">
        <f>A937+1</f>
        <v/>
      </c>
      <c r="B938" s="28">
        <f>Duration0+A938</f>
        <v/>
      </c>
      <c r="C938" s="27">
        <f>INT(B938/12)</f>
        <v/>
      </c>
      <c r="D938" s="28">
        <f>AgeAtEntry+C938</f>
        <v/>
      </c>
      <c r="E938" s="29">
        <f>IF(PremiumType="SINGLE",IF(B938=0,PremiumPPInput,0),IF(B938&lt;12*PolicyTerm,PremiumPPInput,0))</f>
        <v/>
      </c>
      <c r="F938" s="30">
        <f>INDEX(MortRates,MATCH(MIN(D938,120),MortAges,0),MAX(MIN(C938,5),0)+1)</f>
        <v/>
      </c>
      <c r="G938" s="31">
        <f>1-(1-F938)^(1/12)</f>
        <v/>
      </c>
      <c r="H938" s="32">
        <f>MAX(LapseBase-LapseStep*C938,LapseFloor)</f>
        <v/>
      </c>
      <c r="I938" s="32">
        <f>IF(HasSurrCharge,INDEX(SurrRates,MIN(C938,SurrDurMax)+1,MATCH(SurrChargeID,SurrTypes,0)),0)</f>
        <v/>
      </c>
      <c r="J938" s="33">
        <f>N937-P937-O937</f>
        <v/>
      </c>
      <c r="K938" s="30">
        <f>IF(B938=12*PolicyTerm,J938,0)</f>
        <v/>
      </c>
      <c r="L938" s="33">
        <f>J938-K938</f>
        <v/>
      </c>
      <c r="M938" s="30">
        <f>IF(B938=0,PolicyCount,0)</f>
        <v/>
      </c>
      <c r="N938" s="33">
        <f>L938+M938</f>
        <v/>
      </c>
      <c r="O938" s="31">
        <f>N938*G938</f>
        <v/>
      </c>
      <c r="P938" s="33">
        <f>(N938-O938)*(1-(1-H938)^(1/12))</f>
        <v/>
      </c>
      <c r="Q938" s="34">
        <f>X937+Z937</f>
        <v/>
      </c>
      <c r="R938" s="29">
        <f>(1-LoadPremRate)*E938</f>
        <v/>
      </c>
      <c r="S938" s="34">
        <f>Q938+R938</f>
        <v/>
      </c>
      <c r="T938" s="29">
        <f>MaintFeeRateAnn/12*S938</f>
        <v/>
      </c>
      <c r="U938" s="29">
        <f>MAX(SumAssured-S938,0)</f>
        <v/>
      </c>
      <c r="V938" s="35">
        <f>CoiMultiple*G938</f>
        <v/>
      </c>
      <c r="W938" s="34">
        <f>V938*U938</f>
        <v/>
      </c>
      <c r="X938" s="34">
        <f>S938-T938-W938</f>
        <v/>
      </c>
      <c r="Y938" s="36">
        <f>EXP((Mu-0.5*Sigma^2)/12+Sigma*SQRT(1/12)*INDEX(NormRand,ScenID,A938+1))-1</f>
        <v/>
      </c>
      <c r="Z938" s="34">
        <f>Y938*X938</f>
        <v/>
      </c>
      <c r="AA938" s="34">
        <f>X938+0.5*Z938</f>
        <v/>
      </c>
      <c r="AB938" s="34">
        <f>Q938*J938</f>
        <v/>
      </c>
      <c r="AC938" s="34">
        <f>Q938*L938</f>
        <v/>
      </c>
      <c r="AD938" s="34">
        <f>S938*N938</f>
        <v/>
      </c>
      <c r="AE938" s="34">
        <f>E938*N938</f>
        <v/>
      </c>
      <c r="AF938" s="34">
        <f>R938*N938</f>
        <v/>
      </c>
      <c r="AG938" s="29">
        <f>MAX(SumAssured,AA938)</f>
        <v/>
      </c>
      <c r="AH938" s="34">
        <f>AG938*O938</f>
        <v/>
      </c>
      <c r="AI938" s="34">
        <f>AA938*O938</f>
        <v/>
      </c>
      <c r="AJ938" s="34">
        <f>AA938*P938</f>
        <v/>
      </c>
      <c r="AK938" s="34">
        <f>I938*AA938*P938</f>
        <v/>
      </c>
      <c r="AL938" s="34">
        <f>AJ938-AK938</f>
        <v/>
      </c>
      <c r="AM938" s="34">
        <f>Q938*K938</f>
        <v/>
      </c>
      <c r="AN938" s="34">
        <f>AH938+AL938+AM938</f>
        <v/>
      </c>
      <c r="AO938" s="34">
        <f>(AG938-AA938)*O938</f>
        <v/>
      </c>
      <c r="AP938" s="34">
        <f>W938*N938</f>
        <v/>
      </c>
      <c r="AQ938" s="34">
        <f>T938*N938</f>
        <v/>
      </c>
      <c r="AR938" s="34">
        <f>Z938*J939+0.5*Z938*(O938+P938)</f>
        <v/>
      </c>
      <c r="AS938" s="30">
        <f>(1+InflationRate)^(A938/12)</f>
        <v/>
      </c>
      <c r="AT938" s="29">
        <f>ExpenseAcq*M938+N938*ExpenseMaint/12*AS938</f>
        <v/>
      </c>
      <c r="AU938" s="29">
        <f>CommissionRate*AE938</f>
        <v/>
      </c>
      <c r="AV938" s="34">
        <f>AB939-AB938</f>
        <v/>
      </c>
      <c r="AW938" s="34">
        <f>AE938+AR938-AN938-AT938-AU938-AV938</f>
        <v/>
      </c>
      <c r="AX938" s="29">
        <f>LoadPremRate*E938*N938+AK938+AQ938-AU938-AT938</f>
        <v/>
      </c>
      <c r="AY938" s="34">
        <f>AP938-AO938</f>
        <v/>
      </c>
      <c r="AZ938" s="37">
        <f>(AW938-AX938-AY938)/MAX(1,ABS(AW938),ABS(AX938),ABS(AY938))</f>
        <v/>
      </c>
      <c r="BA938" s="37">
        <f>IF(OR(K938&gt;0,K939&gt;0),0,(AC939-(AC938+AF938-AQ938-AP938+AR938-AI938-AJ938-AM938))/MAX(1,ABS(AC938),ABS(AC939)))</f>
        <v/>
      </c>
      <c r="BB938" s="35">
        <f>(1+INDEX(DiscRateAnn,INT(A938/12)+1))^(1/12)-1</f>
        <v/>
      </c>
      <c r="BC938" s="31">
        <f>(1+BB938)^-A938</f>
        <v/>
      </c>
      <c r="BD938" s="34">
        <f>AW938*BC938</f>
        <v/>
      </c>
    </row>
    <row r="939">
      <c r="A939" s="27">
        <f>A938+1</f>
        <v/>
      </c>
      <c r="B939" s="28">
        <f>Duration0+A939</f>
        <v/>
      </c>
      <c r="C939" s="27">
        <f>INT(B939/12)</f>
        <v/>
      </c>
      <c r="D939" s="28">
        <f>AgeAtEntry+C939</f>
        <v/>
      </c>
      <c r="E939" s="29">
        <f>IF(PremiumType="SINGLE",IF(B939=0,PremiumPPInput,0),IF(B939&lt;12*PolicyTerm,PremiumPPInput,0))</f>
        <v/>
      </c>
      <c r="F939" s="30">
        <f>INDEX(MortRates,MATCH(MIN(D939,120),MortAges,0),MAX(MIN(C939,5),0)+1)</f>
        <v/>
      </c>
      <c r="G939" s="31">
        <f>1-(1-F939)^(1/12)</f>
        <v/>
      </c>
      <c r="H939" s="32">
        <f>MAX(LapseBase-LapseStep*C939,LapseFloor)</f>
        <v/>
      </c>
      <c r="I939" s="32">
        <f>IF(HasSurrCharge,INDEX(SurrRates,MIN(C939,SurrDurMax)+1,MATCH(SurrChargeID,SurrTypes,0)),0)</f>
        <v/>
      </c>
      <c r="J939" s="33">
        <f>N938-P938-O938</f>
        <v/>
      </c>
      <c r="K939" s="30">
        <f>IF(B939=12*PolicyTerm,J939,0)</f>
        <v/>
      </c>
      <c r="L939" s="33">
        <f>J939-K939</f>
        <v/>
      </c>
      <c r="M939" s="30">
        <f>IF(B939=0,PolicyCount,0)</f>
        <v/>
      </c>
      <c r="N939" s="33">
        <f>L939+M939</f>
        <v/>
      </c>
      <c r="O939" s="31">
        <f>N939*G939</f>
        <v/>
      </c>
      <c r="P939" s="33">
        <f>(N939-O939)*(1-(1-H939)^(1/12))</f>
        <v/>
      </c>
      <c r="Q939" s="34">
        <f>X938+Z938</f>
        <v/>
      </c>
      <c r="R939" s="29">
        <f>(1-LoadPremRate)*E939</f>
        <v/>
      </c>
      <c r="S939" s="34">
        <f>Q939+R939</f>
        <v/>
      </c>
      <c r="T939" s="29">
        <f>MaintFeeRateAnn/12*S939</f>
        <v/>
      </c>
      <c r="U939" s="29">
        <f>MAX(SumAssured-S939,0)</f>
        <v/>
      </c>
      <c r="V939" s="35">
        <f>CoiMultiple*G939</f>
        <v/>
      </c>
      <c r="W939" s="34">
        <f>V939*U939</f>
        <v/>
      </c>
      <c r="X939" s="34">
        <f>S939-T939-W939</f>
        <v/>
      </c>
      <c r="Y939" s="36">
        <f>EXP((Mu-0.5*Sigma^2)/12+Sigma*SQRT(1/12)*INDEX(NormRand,ScenID,A939+1))-1</f>
        <v/>
      </c>
      <c r="Z939" s="34">
        <f>Y939*X939</f>
        <v/>
      </c>
      <c r="AA939" s="34">
        <f>X939+0.5*Z939</f>
        <v/>
      </c>
      <c r="AB939" s="34">
        <f>Q939*J939</f>
        <v/>
      </c>
      <c r="AC939" s="34">
        <f>Q939*L939</f>
        <v/>
      </c>
      <c r="AD939" s="34">
        <f>S939*N939</f>
        <v/>
      </c>
      <c r="AE939" s="34">
        <f>E939*N939</f>
        <v/>
      </c>
      <c r="AF939" s="34">
        <f>R939*N939</f>
        <v/>
      </c>
      <c r="AG939" s="29">
        <f>MAX(SumAssured,AA939)</f>
        <v/>
      </c>
      <c r="AH939" s="34">
        <f>AG939*O939</f>
        <v/>
      </c>
      <c r="AI939" s="34">
        <f>AA939*O939</f>
        <v/>
      </c>
      <c r="AJ939" s="34">
        <f>AA939*P939</f>
        <v/>
      </c>
      <c r="AK939" s="34">
        <f>I939*AA939*P939</f>
        <v/>
      </c>
      <c r="AL939" s="34">
        <f>AJ939-AK939</f>
        <v/>
      </c>
      <c r="AM939" s="34">
        <f>Q939*K939</f>
        <v/>
      </c>
      <c r="AN939" s="34">
        <f>AH939+AL939+AM939</f>
        <v/>
      </c>
      <c r="AO939" s="34">
        <f>(AG939-AA939)*O939</f>
        <v/>
      </c>
      <c r="AP939" s="34">
        <f>W939*N939</f>
        <v/>
      </c>
      <c r="AQ939" s="34">
        <f>T939*N939</f>
        <v/>
      </c>
      <c r="AR939" s="34">
        <f>Z939*J940+0.5*Z939*(O939+P939)</f>
        <v/>
      </c>
      <c r="AS939" s="30">
        <f>(1+InflationRate)^(A939/12)</f>
        <v/>
      </c>
      <c r="AT939" s="29">
        <f>ExpenseAcq*M939+N939*ExpenseMaint/12*AS939</f>
        <v/>
      </c>
      <c r="AU939" s="29">
        <f>CommissionRate*AE939</f>
        <v/>
      </c>
      <c r="AV939" s="34">
        <f>AB940-AB939</f>
        <v/>
      </c>
      <c r="AW939" s="34">
        <f>AE939+AR939-AN939-AT939-AU939-AV939</f>
        <v/>
      </c>
      <c r="AX939" s="29">
        <f>LoadPremRate*E939*N939+AK939+AQ939-AU939-AT939</f>
        <v/>
      </c>
      <c r="AY939" s="34">
        <f>AP939-AO939</f>
        <v/>
      </c>
      <c r="AZ939" s="37">
        <f>(AW939-AX939-AY939)/MAX(1,ABS(AW939),ABS(AX939),ABS(AY939))</f>
        <v/>
      </c>
      <c r="BA939" s="37">
        <f>IF(OR(K939&gt;0,K940&gt;0),0,(AC940-(AC939+AF939-AQ939-AP939+AR939-AI939-AJ939-AM939))/MAX(1,ABS(AC939),ABS(AC940)))</f>
        <v/>
      </c>
      <c r="BB939" s="35">
        <f>(1+INDEX(DiscRateAnn,INT(A939/12)+1))^(1/12)-1</f>
        <v/>
      </c>
      <c r="BC939" s="31">
        <f>(1+BB939)^-A939</f>
        <v/>
      </c>
      <c r="BD939" s="34">
        <f>AW939*BC939</f>
        <v/>
      </c>
    </row>
    <row r="940">
      <c r="A940" s="27">
        <f>A939+1</f>
        <v/>
      </c>
      <c r="B940" s="28">
        <f>Duration0+A940</f>
        <v/>
      </c>
      <c r="C940" s="27">
        <f>INT(B940/12)</f>
        <v/>
      </c>
      <c r="D940" s="28">
        <f>AgeAtEntry+C940</f>
        <v/>
      </c>
      <c r="E940" s="29">
        <f>IF(PremiumType="SINGLE",IF(B940=0,PremiumPPInput,0),IF(B940&lt;12*PolicyTerm,PremiumPPInput,0))</f>
        <v/>
      </c>
      <c r="F940" s="30">
        <f>INDEX(MortRates,MATCH(MIN(D940,120),MortAges,0),MAX(MIN(C940,5),0)+1)</f>
        <v/>
      </c>
      <c r="G940" s="31">
        <f>1-(1-F940)^(1/12)</f>
        <v/>
      </c>
      <c r="H940" s="32">
        <f>MAX(LapseBase-LapseStep*C940,LapseFloor)</f>
        <v/>
      </c>
      <c r="I940" s="32">
        <f>IF(HasSurrCharge,INDEX(SurrRates,MIN(C940,SurrDurMax)+1,MATCH(SurrChargeID,SurrTypes,0)),0)</f>
        <v/>
      </c>
      <c r="J940" s="33">
        <f>N939-P939-O939</f>
        <v/>
      </c>
      <c r="K940" s="30">
        <f>IF(B940=12*PolicyTerm,J940,0)</f>
        <v/>
      </c>
      <c r="L940" s="33">
        <f>J940-K940</f>
        <v/>
      </c>
      <c r="M940" s="30">
        <f>IF(B940=0,PolicyCount,0)</f>
        <v/>
      </c>
      <c r="N940" s="33">
        <f>L940+M940</f>
        <v/>
      </c>
      <c r="O940" s="31">
        <f>N940*G940</f>
        <v/>
      </c>
      <c r="P940" s="33">
        <f>(N940-O940)*(1-(1-H940)^(1/12))</f>
        <v/>
      </c>
      <c r="Q940" s="34">
        <f>X939+Z939</f>
        <v/>
      </c>
      <c r="R940" s="29">
        <f>(1-LoadPremRate)*E940</f>
        <v/>
      </c>
      <c r="S940" s="34">
        <f>Q940+R940</f>
        <v/>
      </c>
      <c r="T940" s="29">
        <f>MaintFeeRateAnn/12*S940</f>
        <v/>
      </c>
      <c r="U940" s="29">
        <f>MAX(SumAssured-S940,0)</f>
        <v/>
      </c>
      <c r="V940" s="35">
        <f>CoiMultiple*G940</f>
        <v/>
      </c>
      <c r="W940" s="34">
        <f>V940*U940</f>
        <v/>
      </c>
      <c r="X940" s="34">
        <f>S940-T940-W940</f>
        <v/>
      </c>
      <c r="Y940" s="36">
        <f>EXP((Mu-0.5*Sigma^2)/12+Sigma*SQRT(1/12)*INDEX(NormRand,ScenID,A940+1))-1</f>
        <v/>
      </c>
      <c r="Z940" s="34">
        <f>Y940*X940</f>
        <v/>
      </c>
      <c r="AA940" s="34">
        <f>X940+0.5*Z940</f>
        <v/>
      </c>
      <c r="AB940" s="34">
        <f>Q940*J940</f>
        <v/>
      </c>
      <c r="AC940" s="34">
        <f>Q940*L940</f>
        <v/>
      </c>
      <c r="AD940" s="34">
        <f>S940*N940</f>
        <v/>
      </c>
      <c r="AE940" s="34">
        <f>E940*N940</f>
        <v/>
      </c>
      <c r="AF940" s="34">
        <f>R940*N940</f>
        <v/>
      </c>
      <c r="AG940" s="29">
        <f>MAX(SumAssured,AA940)</f>
        <v/>
      </c>
      <c r="AH940" s="34">
        <f>AG940*O940</f>
        <v/>
      </c>
      <c r="AI940" s="34">
        <f>AA940*O940</f>
        <v/>
      </c>
      <c r="AJ940" s="34">
        <f>AA940*P940</f>
        <v/>
      </c>
      <c r="AK940" s="34">
        <f>I940*AA940*P940</f>
        <v/>
      </c>
      <c r="AL940" s="34">
        <f>AJ940-AK940</f>
        <v/>
      </c>
      <c r="AM940" s="34">
        <f>Q940*K940</f>
        <v/>
      </c>
      <c r="AN940" s="34">
        <f>AH940+AL940+AM940</f>
        <v/>
      </c>
      <c r="AO940" s="34">
        <f>(AG940-AA940)*O940</f>
        <v/>
      </c>
      <c r="AP940" s="34">
        <f>W940*N940</f>
        <v/>
      </c>
      <c r="AQ940" s="34">
        <f>T940*N940</f>
        <v/>
      </c>
      <c r="AR940" s="34">
        <f>Z940*J941+0.5*Z940*(O940+P940)</f>
        <v/>
      </c>
      <c r="AS940" s="30">
        <f>(1+InflationRate)^(A940/12)</f>
        <v/>
      </c>
      <c r="AT940" s="29">
        <f>ExpenseAcq*M940+N940*ExpenseMaint/12*AS940</f>
        <v/>
      </c>
      <c r="AU940" s="29">
        <f>CommissionRate*AE940</f>
        <v/>
      </c>
      <c r="AV940" s="34">
        <f>AB941-AB940</f>
        <v/>
      </c>
      <c r="AW940" s="34">
        <f>AE940+AR940-AN940-AT940-AU940-AV940</f>
        <v/>
      </c>
      <c r="AX940" s="29">
        <f>LoadPremRate*E940*N940+AK940+AQ940-AU940-AT940</f>
        <v/>
      </c>
      <c r="AY940" s="34">
        <f>AP940-AO940</f>
        <v/>
      </c>
      <c r="AZ940" s="37">
        <f>(AW940-AX940-AY940)/MAX(1,ABS(AW940),ABS(AX940),ABS(AY940))</f>
        <v/>
      </c>
      <c r="BA940" s="37">
        <f>IF(OR(K940&gt;0,K941&gt;0),0,(AC941-(AC940+AF940-AQ940-AP940+AR940-AI940-AJ940-AM940))/MAX(1,ABS(AC940),ABS(AC941)))</f>
        <v/>
      </c>
      <c r="BB940" s="35">
        <f>(1+INDEX(DiscRateAnn,INT(A940/12)+1))^(1/12)-1</f>
        <v/>
      </c>
      <c r="BC940" s="31">
        <f>(1+BB940)^-A940</f>
        <v/>
      </c>
      <c r="BD940" s="34">
        <f>AW940*BC940</f>
        <v/>
      </c>
    </row>
    <row r="941">
      <c r="A941" s="27">
        <f>A940+1</f>
        <v/>
      </c>
      <c r="B941" s="28">
        <f>Duration0+A941</f>
        <v/>
      </c>
      <c r="C941" s="27">
        <f>INT(B941/12)</f>
        <v/>
      </c>
      <c r="D941" s="28">
        <f>AgeAtEntry+C941</f>
        <v/>
      </c>
      <c r="E941" s="29">
        <f>IF(PremiumType="SINGLE",IF(B941=0,PremiumPPInput,0),IF(B941&lt;12*PolicyTerm,PremiumPPInput,0))</f>
        <v/>
      </c>
      <c r="F941" s="30">
        <f>INDEX(MortRates,MATCH(MIN(D941,120),MortAges,0),MAX(MIN(C941,5),0)+1)</f>
        <v/>
      </c>
      <c r="G941" s="31">
        <f>1-(1-F941)^(1/12)</f>
        <v/>
      </c>
      <c r="H941" s="32">
        <f>MAX(LapseBase-LapseStep*C941,LapseFloor)</f>
        <v/>
      </c>
      <c r="I941" s="32">
        <f>IF(HasSurrCharge,INDEX(SurrRates,MIN(C941,SurrDurMax)+1,MATCH(SurrChargeID,SurrTypes,0)),0)</f>
        <v/>
      </c>
      <c r="J941" s="33">
        <f>N940-P940-O940</f>
        <v/>
      </c>
      <c r="K941" s="30">
        <f>IF(B941=12*PolicyTerm,J941,0)</f>
        <v/>
      </c>
      <c r="L941" s="33">
        <f>J941-K941</f>
        <v/>
      </c>
      <c r="M941" s="30">
        <f>IF(B941=0,PolicyCount,0)</f>
        <v/>
      </c>
      <c r="N941" s="33">
        <f>L941+M941</f>
        <v/>
      </c>
      <c r="O941" s="31">
        <f>N941*G941</f>
        <v/>
      </c>
      <c r="P941" s="33">
        <f>(N941-O941)*(1-(1-H941)^(1/12))</f>
        <v/>
      </c>
      <c r="Q941" s="34">
        <f>X940+Z940</f>
        <v/>
      </c>
      <c r="R941" s="29">
        <f>(1-LoadPremRate)*E941</f>
        <v/>
      </c>
      <c r="S941" s="34">
        <f>Q941+R941</f>
        <v/>
      </c>
      <c r="T941" s="29">
        <f>MaintFeeRateAnn/12*S941</f>
        <v/>
      </c>
      <c r="U941" s="29">
        <f>MAX(SumAssured-S941,0)</f>
        <v/>
      </c>
      <c r="V941" s="35">
        <f>CoiMultiple*G941</f>
        <v/>
      </c>
      <c r="W941" s="34">
        <f>V941*U941</f>
        <v/>
      </c>
      <c r="X941" s="34">
        <f>S941-T941-W941</f>
        <v/>
      </c>
      <c r="Y941" s="36">
        <f>EXP((Mu-0.5*Sigma^2)/12+Sigma*SQRT(1/12)*INDEX(NormRand,ScenID,A941+1))-1</f>
        <v/>
      </c>
      <c r="Z941" s="34">
        <f>Y941*X941</f>
        <v/>
      </c>
      <c r="AA941" s="34">
        <f>X941+0.5*Z941</f>
        <v/>
      </c>
      <c r="AB941" s="34">
        <f>Q941*J941</f>
        <v/>
      </c>
      <c r="AC941" s="34">
        <f>Q941*L941</f>
        <v/>
      </c>
      <c r="AD941" s="34">
        <f>S941*N941</f>
        <v/>
      </c>
      <c r="AE941" s="34">
        <f>E941*N941</f>
        <v/>
      </c>
      <c r="AF941" s="34">
        <f>R941*N941</f>
        <v/>
      </c>
      <c r="AG941" s="29">
        <f>MAX(SumAssured,AA941)</f>
        <v/>
      </c>
      <c r="AH941" s="34">
        <f>AG941*O941</f>
        <v/>
      </c>
      <c r="AI941" s="34">
        <f>AA941*O941</f>
        <v/>
      </c>
      <c r="AJ941" s="34">
        <f>AA941*P941</f>
        <v/>
      </c>
      <c r="AK941" s="34">
        <f>I941*AA941*P941</f>
        <v/>
      </c>
      <c r="AL941" s="34">
        <f>AJ941-AK941</f>
        <v/>
      </c>
      <c r="AM941" s="34">
        <f>Q941*K941</f>
        <v/>
      </c>
      <c r="AN941" s="34">
        <f>AH941+AL941+AM941</f>
        <v/>
      </c>
      <c r="AO941" s="34">
        <f>(AG941-AA941)*O941</f>
        <v/>
      </c>
      <c r="AP941" s="34">
        <f>W941*N941</f>
        <v/>
      </c>
      <c r="AQ941" s="34">
        <f>T941*N941</f>
        <v/>
      </c>
      <c r="AR941" s="34">
        <f>Z941*J942+0.5*Z941*(O941+P941)</f>
        <v/>
      </c>
      <c r="AS941" s="30">
        <f>(1+InflationRate)^(A941/12)</f>
        <v/>
      </c>
      <c r="AT941" s="29">
        <f>ExpenseAcq*M941+N941*ExpenseMaint/12*AS941</f>
        <v/>
      </c>
      <c r="AU941" s="29">
        <f>CommissionRate*AE941</f>
        <v/>
      </c>
      <c r="AV941" s="34">
        <f>AB942-AB941</f>
        <v/>
      </c>
      <c r="AW941" s="34">
        <f>AE941+AR941-AN941-AT941-AU941-AV941</f>
        <v/>
      </c>
      <c r="AX941" s="29">
        <f>LoadPremRate*E941*N941+AK941+AQ941-AU941-AT941</f>
        <v/>
      </c>
      <c r="AY941" s="34">
        <f>AP941-AO941</f>
        <v/>
      </c>
      <c r="AZ941" s="37">
        <f>(AW941-AX941-AY941)/MAX(1,ABS(AW941),ABS(AX941),ABS(AY941))</f>
        <v/>
      </c>
      <c r="BA941" s="37">
        <f>IF(OR(K941&gt;0,K942&gt;0),0,(AC942-(AC941+AF941-AQ941-AP941+AR941-AI941-AJ941-AM941))/MAX(1,ABS(AC941),ABS(AC942)))</f>
        <v/>
      </c>
      <c r="BB941" s="35">
        <f>(1+INDEX(DiscRateAnn,INT(A941/12)+1))^(1/12)-1</f>
        <v/>
      </c>
      <c r="BC941" s="31">
        <f>(1+BB941)^-A941</f>
        <v/>
      </c>
      <c r="BD941" s="34">
        <f>AW941*BC941</f>
        <v/>
      </c>
    </row>
    <row r="942">
      <c r="A942" s="27">
        <f>A941+1</f>
        <v/>
      </c>
      <c r="B942" s="28">
        <f>Duration0+A942</f>
        <v/>
      </c>
      <c r="C942" s="27">
        <f>INT(B942/12)</f>
        <v/>
      </c>
      <c r="D942" s="28">
        <f>AgeAtEntry+C942</f>
        <v/>
      </c>
      <c r="E942" s="29">
        <f>IF(PremiumType="SINGLE",IF(B942=0,PremiumPPInput,0),IF(B942&lt;12*PolicyTerm,PremiumPPInput,0))</f>
        <v/>
      </c>
      <c r="F942" s="30">
        <f>INDEX(MortRates,MATCH(MIN(D942,120),MortAges,0),MAX(MIN(C942,5),0)+1)</f>
        <v/>
      </c>
      <c r="G942" s="31">
        <f>1-(1-F942)^(1/12)</f>
        <v/>
      </c>
      <c r="H942" s="32">
        <f>MAX(LapseBase-LapseStep*C942,LapseFloor)</f>
        <v/>
      </c>
      <c r="I942" s="32">
        <f>IF(HasSurrCharge,INDEX(SurrRates,MIN(C942,SurrDurMax)+1,MATCH(SurrChargeID,SurrTypes,0)),0)</f>
        <v/>
      </c>
      <c r="J942" s="33">
        <f>N941-P941-O941</f>
        <v/>
      </c>
      <c r="K942" s="30">
        <f>IF(B942=12*PolicyTerm,J942,0)</f>
        <v/>
      </c>
      <c r="L942" s="33">
        <f>J942-K942</f>
        <v/>
      </c>
      <c r="M942" s="30">
        <f>IF(B942=0,PolicyCount,0)</f>
        <v/>
      </c>
      <c r="N942" s="33">
        <f>L942+M942</f>
        <v/>
      </c>
      <c r="O942" s="31">
        <f>N942*G942</f>
        <v/>
      </c>
      <c r="P942" s="33">
        <f>(N942-O942)*(1-(1-H942)^(1/12))</f>
        <v/>
      </c>
      <c r="Q942" s="34">
        <f>X941+Z941</f>
        <v/>
      </c>
      <c r="R942" s="29">
        <f>(1-LoadPremRate)*E942</f>
        <v/>
      </c>
      <c r="S942" s="34">
        <f>Q942+R942</f>
        <v/>
      </c>
      <c r="T942" s="29">
        <f>MaintFeeRateAnn/12*S942</f>
        <v/>
      </c>
      <c r="U942" s="29">
        <f>MAX(SumAssured-S942,0)</f>
        <v/>
      </c>
      <c r="V942" s="35">
        <f>CoiMultiple*G942</f>
        <v/>
      </c>
      <c r="W942" s="34">
        <f>V942*U942</f>
        <v/>
      </c>
      <c r="X942" s="34">
        <f>S942-T942-W942</f>
        <v/>
      </c>
      <c r="Y942" s="36">
        <f>EXP((Mu-0.5*Sigma^2)/12+Sigma*SQRT(1/12)*INDEX(NormRand,ScenID,A942+1))-1</f>
        <v/>
      </c>
      <c r="Z942" s="34">
        <f>Y942*X942</f>
        <v/>
      </c>
      <c r="AA942" s="34">
        <f>X942+0.5*Z942</f>
        <v/>
      </c>
      <c r="AB942" s="34">
        <f>Q942*J942</f>
        <v/>
      </c>
      <c r="AC942" s="34">
        <f>Q942*L942</f>
        <v/>
      </c>
      <c r="AD942" s="34">
        <f>S942*N942</f>
        <v/>
      </c>
      <c r="AE942" s="34">
        <f>E942*N942</f>
        <v/>
      </c>
      <c r="AF942" s="34">
        <f>R942*N942</f>
        <v/>
      </c>
      <c r="AG942" s="29">
        <f>MAX(SumAssured,AA942)</f>
        <v/>
      </c>
      <c r="AH942" s="34">
        <f>AG942*O942</f>
        <v/>
      </c>
      <c r="AI942" s="34">
        <f>AA942*O942</f>
        <v/>
      </c>
      <c r="AJ942" s="34">
        <f>AA942*P942</f>
        <v/>
      </c>
      <c r="AK942" s="34">
        <f>I942*AA942*P942</f>
        <v/>
      </c>
      <c r="AL942" s="34">
        <f>AJ942-AK942</f>
        <v/>
      </c>
      <c r="AM942" s="34">
        <f>Q942*K942</f>
        <v/>
      </c>
      <c r="AN942" s="34">
        <f>AH942+AL942+AM942</f>
        <v/>
      </c>
      <c r="AO942" s="34">
        <f>(AG942-AA942)*O942</f>
        <v/>
      </c>
      <c r="AP942" s="34">
        <f>W942*N942</f>
        <v/>
      </c>
      <c r="AQ942" s="34">
        <f>T942*N942</f>
        <v/>
      </c>
      <c r="AR942" s="34">
        <f>Z942*J943+0.5*Z942*(O942+P942)</f>
        <v/>
      </c>
      <c r="AS942" s="30">
        <f>(1+InflationRate)^(A942/12)</f>
        <v/>
      </c>
      <c r="AT942" s="29">
        <f>ExpenseAcq*M942+N942*ExpenseMaint/12*AS942</f>
        <v/>
      </c>
      <c r="AU942" s="29">
        <f>CommissionRate*AE942</f>
        <v/>
      </c>
      <c r="AV942" s="34">
        <f>AB943-AB942</f>
        <v/>
      </c>
      <c r="AW942" s="34">
        <f>AE942+AR942-AN942-AT942-AU942-AV942</f>
        <v/>
      </c>
      <c r="AX942" s="29">
        <f>LoadPremRate*E942*N942+AK942+AQ942-AU942-AT942</f>
        <v/>
      </c>
      <c r="AY942" s="34">
        <f>AP942-AO942</f>
        <v/>
      </c>
      <c r="AZ942" s="37">
        <f>(AW942-AX942-AY942)/MAX(1,ABS(AW942),ABS(AX942),ABS(AY942))</f>
        <v/>
      </c>
      <c r="BA942" s="37">
        <f>IF(OR(K942&gt;0,K943&gt;0),0,(AC943-(AC942+AF942-AQ942-AP942+AR942-AI942-AJ942-AM942))/MAX(1,ABS(AC942),ABS(AC943)))</f>
        <v/>
      </c>
      <c r="BB942" s="35">
        <f>(1+INDEX(DiscRateAnn,INT(A942/12)+1))^(1/12)-1</f>
        <v/>
      </c>
      <c r="BC942" s="31">
        <f>(1+BB942)^-A942</f>
        <v/>
      </c>
      <c r="BD942" s="34">
        <f>AW942*BC942</f>
        <v/>
      </c>
    </row>
    <row r="943">
      <c r="A943" s="27">
        <f>A942+1</f>
        <v/>
      </c>
      <c r="B943" s="28">
        <f>Duration0+A943</f>
        <v/>
      </c>
      <c r="C943" s="27">
        <f>INT(B943/12)</f>
        <v/>
      </c>
      <c r="D943" s="28">
        <f>AgeAtEntry+C943</f>
        <v/>
      </c>
      <c r="E943" s="29">
        <f>IF(PremiumType="SINGLE",IF(B943=0,PremiumPPInput,0),IF(B943&lt;12*PolicyTerm,PremiumPPInput,0))</f>
        <v/>
      </c>
      <c r="F943" s="30">
        <f>INDEX(MortRates,MATCH(MIN(D943,120),MortAges,0),MAX(MIN(C943,5),0)+1)</f>
        <v/>
      </c>
      <c r="G943" s="31">
        <f>1-(1-F943)^(1/12)</f>
        <v/>
      </c>
      <c r="H943" s="32">
        <f>MAX(LapseBase-LapseStep*C943,LapseFloor)</f>
        <v/>
      </c>
      <c r="I943" s="32">
        <f>IF(HasSurrCharge,INDEX(SurrRates,MIN(C943,SurrDurMax)+1,MATCH(SurrChargeID,SurrTypes,0)),0)</f>
        <v/>
      </c>
      <c r="J943" s="33">
        <f>N942-P942-O942</f>
        <v/>
      </c>
      <c r="K943" s="30">
        <f>IF(B943=12*PolicyTerm,J943,0)</f>
        <v/>
      </c>
      <c r="L943" s="33">
        <f>J943-K943</f>
        <v/>
      </c>
      <c r="M943" s="30">
        <f>IF(B943=0,PolicyCount,0)</f>
        <v/>
      </c>
      <c r="N943" s="33">
        <f>L943+M943</f>
        <v/>
      </c>
      <c r="O943" s="31">
        <f>N943*G943</f>
        <v/>
      </c>
      <c r="P943" s="33">
        <f>(N943-O943)*(1-(1-H943)^(1/12))</f>
        <v/>
      </c>
      <c r="Q943" s="34">
        <f>X942+Z942</f>
        <v/>
      </c>
      <c r="R943" s="29">
        <f>(1-LoadPremRate)*E943</f>
        <v/>
      </c>
      <c r="S943" s="34">
        <f>Q943+R943</f>
        <v/>
      </c>
      <c r="T943" s="29">
        <f>MaintFeeRateAnn/12*S943</f>
        <v/>
      </c>
      <c r="U943" s="29">
        <f>MAX(SumAssured-S943,0)</f>
        <v/>
      </c>
      <c r="V943" s="35">
        <f>CoiMultiple*G943</f>
        <v/>
      </c>
      <c r="W943" s="34">
        <f>V943*U943</f>
        <v/>
      </c>
      <c r="X943" s="34">
        <f>S943-T943-W943</f>
        <v/>
      </c>
      <c r="Y943" s="36">
        <f>EXP((Mu-0.5*Sigma^2)/12+Sigma*SQRT(1/12)*INDEX(NormRand,ScenID,A943+1))-1</f>
        <v/>
      </c>
      <c r="Z943" s="34">
        <f>Y943*X943</f>
        <v/>
      </c>
      <c r="AA943" s="34">
        <f>X943+0.5*Z943</f>
        <v/>
      </c>
      <c r="AB943" s="34">
        <f>Q943*J943</f>
        <v/>
      </c>
      <c r="AC943" s="34">
        <f>Q943*L943</f>
        <v/>
      </c>
      <c r="AD943" s="34">
        <f>S943*N943</f>
        <v/>
      </c>
      <c r="AE943" s="34">
        <f>E943*N943</f>
        <v/>
      </c>
      <c r="AF943" s="34">
        <f>R943*N943</f>
        <v/>
      </c>
      <c r="AG943" s="29">
        <f>MAX(SumAssured,AA943)</f>
        <v/>
      </c>
      <c r="AH943" s="34">
        <f>AG943*O943</f>
        <v/>
      </c>
      <c r="AI943" s="34">
        <f>AA943*O943</f>
        <v/>
      </c>
      <c r="AJ943" s="34">
        <f>AA943*P943</f>
        <v/>
      </c>
      <c r="AK943" s="34">
        <f>I943*AA943*P943</f>
        <v/>
      </c>
      <c r="AL943" s="34">
        <f>AJ943-AK943</f>
        <v/>
      </c>
      <c r="AM943" s="34">
        <f>Q943*K943</f>
        <v/>
      </c>
      <c r="AN943" s="34">
        <f>AH943+AL943+AM943</f>
        <v/>
      </c>
      <c r="AO943" s="34">
        <f>(AG943-AA943)*O943</f>
        <v/>
      </c>
      <c r="AP943" s="34">
        <f>W943*N943</f>
        <v/>
      </c>
      <c r="AQ943" s="34">
        <f>T943*N943</f>
        <v/>
      </c>
      <c r="AR943" s="34">
        <f>Z943*J944+0.5*Z943*(O943+P943)</f>
        <v/>
      </c>
      <c r="AS943" s="30">
        <f>(1+InflationRate)^(A943/12)</f>
        <v/>
      </c>
      <c r="AT943" s="29">
        <f>ExpenseAcq*M943+N943*ExpenseMaint/12*AS943</f>
        <v/>
      </c>
      <c r="AU943" s="29">
        <f>CommissionRate*AE943</f>
        <v/>
      </c>
      <c r="AV943" s="34">
        <f>AB944-AB943</f>
        <v/>
      </c>
      <c r="AW943" s="34">
        <f>AE943+AR943-AN943-AT943-AU943-AV943</f>
        <v/>
      </c>
      <c r="AX943" s="29">
        <f>LoadPremRate*E943*N943+AK943+AQ943-AU943-AT943</f>
        <v/>
      </c>
      <c r="AY943" s="34">
        <f>AP943-AO943</f>
        <v/>
      </c>
      <c r="AZ943" s="37">
        <f>(AW943-AX943-AY943)/MAX(1,ABS(AW943),ABS(AX943),ABS(AY943))</f>
        <v/>
      </c>
      <c r="BA943" s="37">
        <f>IF(OR(K943&gt;0,K944&gt;0),0,(AC944-(AC943+AF943-AQ943-AP943+AR943-AI943-AJ943-AM943))/MAX(1,ABS(AC943),ABS(AC944)))</f>
        <v/>
      </c>
      <c r="BB943" s="35">
        <f>(1+INDEX(DiscRateAnn,INT(A943/12)+1))^(1/12)-1</f>
        <v/>
      </c>
      <c r="BC943" s="31">
        <f>(1+BB943)^-A943</f>
        <v/>
      </c>
      <c r="BD943" s="34">
        <f>AW943*BC943</f>
        <v/>
      </c>
    </row>
    <row r="944">
      <c r="A944" s="27">
        <f>A943+1</f>
        <v/>
      </c>
      <c r="B944" s="28">
        <f>Duration0+A944</f>
        <v/>
      </c>
      <c r="C944" s="27">
        <f>INT(B944/12)</f>
        <v/>
      </c>
      <c r="D944" s="28">
        <f>AgeAtEntry+C944</f>
        <v/>
      </c>
      <c r="E944" s="29">
        <f>IF(PremiumType="SINGLE",IF(B944=0,PremiumPPInput,0),IF(B944&lt;12*PolicyTerm,PremiumPPInput,0))</f>
        <v/>
      </c>
      <c r="F944" s="30">
        <f>INDEX(MortRates,MATCH(MIN(D944,120),MortAges,0),MAX(MIN(C944,5),0)+1)</f>
        <v/>
      </c>
      <c r="G944" s="31">
        <f>1-(1-F944)^(1/12)</f>
        <v/>
      </c>
      <c r="H944" s="32">
        <f>MAX(LapseBase-LapseStep*C944,LapseFloor)</f>
        <v/>
      </c>
      <c r="I944" s="32">
        <f>IF(HasSurrCharge,INDEX(SurrRates,MIN(C944,SurrDurMax)+1,MATCH(SurrChargeID,SurrTypes,0)),0)</f>
        <v/>
      </c>
      <c r="J944" s="33">
        <f>N943-P943-O943</f>
        <v/>
      </c>
      <c r="K944" s="30">
        <f>IF(B944=12*PolicyTerm,J944,0)</f>
        <v/>
      </c>
      <c r="L944" s="33">
        <f>J944-K944</f>
        <v/>
      </c>
      <c r="M944" s="30">
        <f>IF(B944=0,PolicyCount,0)</f>
        <v/>
      </c>
      <c r="N944" s="33">
        <f>L944+M944</f>
        <v/>
      </c>
      <c r="O944" s="31">
        <f>N944*G944</f>
        <v/>
      </c>
      <c r="P944" s="33">
        <f>(N944-O944)*(1-(1-H944)^(1/12))</f>
        <v/>
      </c>
      <c r="Q944" s="34">
        <f>X943+Z943</f>
        <v/>
      </c>
      <c r="R944" s="29">
        <f>(1-LoadPremRate)*E944</f>
        <v/>
      </c>
      <c r="S944" s="34">
        <f>Q944+R944</f>
        <v/>
      </c>
      <c r="T944" s="29">
        <f>MaintFeeRateAnn/12*S944</f>
        <v/>
      </c>
      <c r="U944" s="29">
        <f>MAX(SumAssured-S944,0)</f>
        <v/>
      </c>
      <c r="V944" s="35">
        <f>CoiMultiple*G944</f>
        <v/>
      </c>
      <c r="W944" s="34">
        <f>V944*U944</f>
        <v/>
      </c>
      <c r="X944" s="34">
        <f>S944-T944-W944</f>
        <v/>
      </c>
      <c r="Y944" s="36">
        <f>EXP((Mu-0.5*Sigma^2)/12+Sigma*SQRT(1/12)*INDEX(NormRand,ScenID,A944+1))-1</f>
        <v/>
      </c>
      <c r="Z944" s="34">
        <f>Y944*X944</f>
        <v/>
      </c>
      <c r="AA944" s="34">
        <f>X944+0.5*Z944</f>
        <v/>
      </c>
      <c r="AB944" s="34">
        <f>Q944*J944</f>
        <v/>
      </c>
      <c r="AC944" s="34">
        <f>Q944*L944</f>
        <v/>
      </c>
      <c r="AD944" s="34">
        <f>S944*N944</f>
        <v/>
      </c>
      <c r="AE944" s="34">
        <f>E944*N944</f>
        <v/>
      </c>
      <c r="AF944" s="34">
        <f>R944*N944</f>
        <v/>
      </c>
      <c r="AG944" s="29">
        <f>MAX(SumAssured,AA944)</f>
        <v/>
      </c>
      <c r="AH944" s="34">
        <f>AG944*O944</f>
        <v/>
      </c>
      <c r="AI944" s="34">
        <f>AA944*O944</f>
        <v/>
      </c>
      <c r="AJ944" s="34">
        <f>AA944*P944</f>
        <v/>
      </c>
      <c r="AK944" s="34">
        <f>I944*AA944*P944</f>
        <v/>
      </c>
      <c r="AL944" s="34">
        <f>AJ944-AK944</f>
        <v/>
      </c>
      <c r="AM944" s="34">
        <f>Q944*K944</f>
        <v/>
      </c>
      <c r="AN944" s="34">
        <f>AH944+AL944+AM944</f>
        <v/>
      </c>
      <c r="AO944" s="34">
        <f>(AG944-AA944)*O944</f>
        <v/>
      </c>
      <c r="AP944" s="34">
        <f>W944*N944</f>
        <v/>
      </c>
      <c r="AQ944" s="34">
        <f>T944*N944</f>
        <v/>
      </c>
      <c r="AR944" s="34">
        <f>Z944*J945+0.5*Z944*(O944+P944)</f>
        <v/>
      </c>
      <c r="AS944" s="30">
        <f>(1+InflationRate)^(A944/12)</f>
        <v/>
      </c>
      <c r="AT944" s="29">
        <f>ExpenseAcq*M944+N944*ExpenseMaint/12*AS944</f>
        <v/>
      </c>
      <c r="AU944" s="29">
        <f>CommissionRate*AE944</f>
        <v/>
      </c>
      <c r="AV944" s="34">
        <f>AB945-AB944</f>
        <v/>
      </c>
      <c r="AW944" s="34">
        <f>AE944+AR944-AN944-AT944-AU944-AV944</f>
        <v/>
      </c>
      <c r="AX944" s="29">
        <f>LoadPremRate*E944*N944+AK944+AQ944-AU944-AT944</f>
        <v/>
      </c>
      <c r="AY944" s="34">
        <f>AP944-AO944</f>
        <v/>
      </c>
      <c r="AZ944" s="37">
        <f>(AW944-AX944-AY944)/MAX(1,ABS(AW944),ABS(AX944),ABS(AY944))</f>
        <v/>
      </c>
      <c r="BA944" s="37">
        <f>IF(OR(K944&gt;0,K945&gt;0),0,(AC945-(AC944+AF944-AQ944-AP944+AR944-AI944-AJ944-AM944))/MAX(1,ABS(AC944),ABS(AC945)))</f>
        <v/>
      </c>
      <c r="BB944" s="35">
        <f>(1+INDEX(DiscRateAnn,INT(A944/12)+1))^(1/12)-1</f>
        <v/>
      </c>
      <c r="BC944" s="31">
        <f>(1+BB944)^-A944</f>
        <v/>
      </c>
      <c r="BD944" s="34">
        <f>AW944*BC944</f>
        <v/>
      </c>
    </row>
    <row r="945">
      <c r="A945" s="27">
        <f>A944+1</f>
        <v/>
      </c>
      <c r="B945" s="28">
        <f>Duration0+A945</f>
        <v/>
      </c>
      <c r="C945" s="27">
        <f>INT(B945/12)</f>
        <v/>
      </c>
      <c r="D945" s="28">
        <f>AgeAtEntry+C945</f>
        <v/>
      </c>
      <c r="E945" s="29">
        <f>IF(PremiumType="SINGLE",IF(B945=0,PremiumPPInput,0),IF(B945&lt;12*PolicyTerm,PremiumPPInput,0))</f>
        <v/>
      </c>
      <c r="F945" s="30">
        <f>INDEX(MortRates,MATCH(MIN(D945,120),MortAges,0),MAX(MIN(C945,5),0)+1)</f>
        <v/>
      </c>
      <c r="G945" s="31">
        <f>1-(1-F945)^(1/12)</f>
        <v/>
      </c>
      <c r="H945" s="32">
        <f>MAX(LapseBase-LapseStep*C945,LapseFloor)</f>
        <v/>
      </c>
      <c r="I945" s="32">
        <f>IF(HasSurrCharge,INDEX(SurrRates,MIN(C945,SurrDurMax)+1,MATCH(SurrChargeID,SurrTypes,0)),0)</f>
        <v/>
      </c>
      <c r="J945" s="33">
        <f>N944-P944-O944</f>
        <v/>
      </c>
      <c r="K945" s="30">
        <f>IF(B945=12*PolicyTerm,J945,0)</f>
        <v/>
      </c>
      <c r="L945" s="33">
        <f>J945-K945</f>
        <v/>
      </c>
      <c r="M945" s="30">
        <f>IF(B945=0,PolicyCount,0)</f>
        <v/>
      </c>
      <c r="N945" s="33">
        <f>L945+M945</f>
        <v/>
      </c>
      <c r="O945" s="31">
        <f>N945*G945</f>
        <v/>
      </c>
      <c r="P945" s="33">
        <f>(N945-O945)*(1-(1-H945)^(1/12))</f>
        <v/>
      </c>
      <c r="Q945" s="34">
        <f>X944+Z944</f>
        <v/>
      </c>
      <c r="R945" s="29">
        <f>(1-LoadPremRate)*E945</f>
        <v/>
      </c>
      <c r="S945" s="34">
        <f>Q945+R945</f>
        <v/>
      </c>
      <c r="T945" s="29">
        <f>MaintFeeRateAnn/12*S945</f>
        <v/>
      </c>
      <c r="U945" s="29">
        <f>MAX(SumAssured-S945,0)</f>
        <v/>
      </c>
      <c r="V945" s="35">
        <f>CoiMultiple*G945</f>
        <v/>
      </c>
      <c r="W945" s="34">
        <f>V945*U945</f>
        <v/>
      </c>
      <c r="X945" s="34">
        <f>S945-T945-W945</f>
        <v/>
      </c>
      <c r="Y945" s="36">
        <f>EXP((Mu-0.5*Sigma^2)/12+Sigma*SQRT(1/12)*INDEX(NormRand,ScenID,A945+1))-1</f>
        <v/>
      </c>
      <c r="Z945" s="34">
        <f>Y945*X945</f>
        <v/>
      </c>
      <c r="AA945" s="34">
        <f>X945+0.5*Z945</f>
        <v/>
      </c>
      <c r="AB945" s="34">
        <f>Q945*J945</f>
        <v/>
      </c>
      <c r="AC945" s="34">
        <f>Q945*L945</f>
        <v/>
      </c>
      <c r="AD945" s="34">
        <f>S945*N945</f>
        <v/>
      </c>
      <c r="AE945" s="34">
        <f>E945*N945</f>
        <v/>
      </c>
      <c r="AF945" s="34">
        <f>R945*N945</f>
        <v/>
      </c>
      <c r="AG945" s="29">
        <f>MAX(SumAssured,AA945)</f>
        <v/>
      </c>
      <c r="AH945" s="34">
        <f>AG945*O945</f>
        <v/>
      </c>
      <c r="AI945" s="34">
        <f>AA945*O945</f>
        <v/>
      </c>
      <c r="AJ945" s="34">
        <f>AA945*P945</f>
        <v/>
      </c>
      <c r="AK945" s="34">
        <f>I945*AA945*P945</f>
        <v/>
      </c>
      <c r="AL945" s="34">
        <f>AJ945-AK945</f>
        <v/>
      </c>
      <c r="AM945" s="34">
        <f>Q945*K945</f>
        <v/>
      </c>
      <c r="AN945" s="34">
        <f>AH945+AL945+AM945</f>
        <v/>
      </c>
      <c r="AO945" s="34">
        <f>(AG945-AA945)*O945</f>
        <v/>
      </c>
      <c r="AP945" s="34">
        <f>W945*N945</f>
        <v/>
      </c>
      <c r="AQ945" s="34">
        <f>T945*N945</f>
        <v/>
      </c>
      <c r="AR945" s="34">
        <f>Z945*J946+0.5*Z945*(O945+P945)</f>
        <v/>
      </c>
      <c r="AS945" s="30">
        <f>(1+InflationRate)^(A945/12)</f>
        <v/>
      </c>
      <c r="AT945" s="29">
        <f>ExpenseAcq*M945+N945*ExpenseMaint/12*AS945</f>
        <v/>
      </c>
      <c r="AU945" s="29">
        <f>CommissionRate*AE945</f>
        <v/>
      </c>
      <c r="AV945" s="34">
        <f>AB946-AB945</f>
        <v/>
      </c>
      <c r="AW945" s="34">
        <f>AE945+AR945-AN945-AT945-AU945-AV945</f>
        <v/>
      </c>
      <c r="AX945" s="29">
        <f>LoadPremRate*E945*N945+AK945+AQ945-AU945-AT945</f>
        <v/>
      </c>
      <c r="AY945" s="34">
        <f>AP945-AO945</f>
        <v/>
      </c>
      <c r="AZ945" s="37">
        <f>(AW945-AX945-AY945)/MAX(1,ABS(AW945),ABS(AX945),ABS(AY945))</f>
        <v/>
      </c>
      <c r="BA945" s="37">
        <f>IF(OR(K945&gt;0,K946&gt;0),0,(AC946-(AC945+AF945-AQ945-AP945+AR945-AI945-AJ945-AM945))/MAX(1,ABS(AC945),ABS(AC946)))</f>
        <v/>
      </c>
      <c r="BB945" s="35">
        <f>(1+INDEX(DiscRateAnn,INT(A945/12)+1))^(1/12)-1</f>
        <v/>
      </c>
      <c r="BC945" s="31">
        <f>(1+BB945)^-A945</f>
        <v/>
      </c>
      <c r="BD945" s="34">
        <f>AW945*BC945</f>
        <v/>
      </c>
    </row>
    <row r="946">
      <c r="A946" s="27">
        <f>A945+1</f>
        <v/>
      </c>
      <c r="B946" s="28">
        <f>Duration0+A946</f>
        <v/>
      </c>
      <c r="C946" s="27">
        <f>INT(B946/12)</f>
        <v/>
      </c>
      <c r="D946" s="28">
        <f>AgeAtEntry+C946</f>
        <v/>
      </c>
      <c r="E946" s="29">
        <f>IF(PremiumType="SINGLE",IF(B946=0,PremiumPPInput,0),IF(B946&lt;12*PolicyTerm,PremiumPPInput,0))</f>
        <v/>
      </c>
      <c r="F946" s="30">
        <f>INDEX(MortRates,MATCH(MIN(D946,120),MortAges,0),MAX(MIN(C946,5),0)+1)</f>
        <v/>
      </c>
      <c r="G946" s="31">
        <f>1-(1-F946)^(1/12)</f>
        <v/>
      </c>
      <c r="H946" s="32">
        <f>MAX(LapseBase-LapseStep*C946,LapseFloor)</f>
        <v/>
      </c>
      <c r="I946" s="32">
        <f>IF(HasSurrCharge,INDEX(SurrRates,MIN(C946,SurrDurMax)+1,MATCH(SurrChargeID,SurrTypes,0)),0)</f>
        <v/>
      </c>
      <c r="J946" s="33">
        <f>N945-P945-O945</f>
        <v/>
      </c>
      <c r="K946" s="30">
        <f>IF(B946=12*PolicyTerm,J946,0)</f>
        <v/>
      </c>
      <c r="L946" s="33">
        <f>J946-K946</f>
        <v/>
      </c>
      <c r="M946" s="30">
        <f>IF(B946=0,PolicyCount,0)</f>
        <v/>
      </c>
      <c r="N946" s="33">
        <f>L946+M946</f>
        <v/>
      </c>
      <c r="O946" s="31">
        <f>N946*G946</f>
        <v/>
      </c>
      <c r="P946" s="33">
        <f>(N946-O946)*(1-(1-H946)^(1/12))</f>
        <v/>
      </c>
      <c r="Q946" s="34">
        <f>X945+Z945</f>
        <v/>
      </c>
      <c r="R946" s="29">
        <f>(1-LoadPremRate)*E946</f>
        <v/>
      </c>
      <c r="S946" s="34">
        <f>Q946+R946</f>
        <v/>
      </c>
      <c r="T946" s="29">
        <f>MaintFeeRateAnn/12*S946</f>
        <v/>
      </c>
      <c r="U946" s="29">
        <f>MAX(SumAssured-S946,0)</f>
        <v/>
      </c>
      <c r="V946" s="35">
        <f>CoiMultiple*G946</f>
        <v/>
      </c>
      <c r="W946" s="34">
        <f>V946*U946</f>
        <v/>
      </c>
      <c r="X946" s="34">
        <f>S946-T946-W946</f>
        <v/>
      </c>
      <c r="Y946" s="36">
        <f>EXP((Mu-0.5*Sigma^2)/12+Sigma*SQRT(1/12)*INDEX(NormRand,ScenID,A946+1))-1</f>
        <v/>
      </c>
      <c r="Z946" s="34">
        <f>Y946*X946</f>
        <v/>
      </c>
      <c r="AA946" s="34">
        <f>X946+0.5*Z946</f>
        <v/>
      </c>
      <c r="AB946" s="34">
        <f>Q946*J946</f>
        <v/>
      </c>
      <c r="AC946" s="34">
        <f>Q946*L946</f>
        <v/>
      </c>
      <c r="AD946" s="34">
        <f>S946*N946</f>
        <v/>
      </c>
      <c r="AE946" s="34">
        <f>E946*N946</f>
        <v/>
      </c>
      <c r="AF946" s="34">
        <f>R946*N946</f>
        <v/>
      </c>
      <c r="AG946" s="29">
        <f>MAX(SumAssured,AA946)</f>
        <v/>
      </c>
      <c r="AH946" s="34">
        <f>AG946*O946</f>
        <v/>
      </c>
      <c r="AI946" s="34">
        <f>AA946*O946</f>
        <v/>
      </c>
      <c r="AJ946" s="34">
        <f>AA946*P946</f>
        <v/>
      </c>
      <c r="AK946" s="34">
        <f>I946*AA946*P946</f>
        <v/>
      </c>
      <c r="AL946" s="34">
        <f>AJ946-AK946</f>
        <v/>
      </c>
      <c r="AM946" s="34">
        <f>Q946*K946</f>
        <v/>
      </c>
      <c r="AN946" s="34">
        <f>AH946+AL946+AM946</f>
        <v/>
      </c>
      <c r="AO946" s="34">
        <f>(AG946-AA946)*O946</f>
        <v/>
      </c>
      <c r="AP946" s="34">
        <f>W946*N946</f>
        <v/>
      </c>
      <c r="AQ946" s="34">
        <f>T946*N946</f>
        <v/>
      </c>
      <c r="AR946" s="34">
        <f>Z946*J947+0.5*Z946*(O946+P946)</f>
        <v/>
      </c>
      <c r="AS946" s="30">
        <f>(1+InflationRate)^(A946/12)</f>
        <v/>
      </c>
      <c r="AT946" s="29">
        <f>ExpenseAcq*M946+N946*ExpenseMaint/12*AS946</f>
        <v/>
      </c>
      <c r="AU946" s="29">
        <f>CommissionRate*AE946</f>
        <v/>
      </c>
      <c r="AV946" s="34">
        <f>AB947-AB946</f>
        <v/>
      </c>
      <c r="AW946" s="34">
        <f>AE946+AR946-AN946-AT946-AU946-AV946</f>
        <v/>
      </c>
      <c r="AX946" s="29">
        <f>LoadPremRate*E946*N946+AK946+AQ946-AU946-AT946</f>
        <v/>
      </c>
      <c r="AY946" s="34">
        <f>AP946-AO946</f>
        <v/>
      </c>
      <c r="AZ946" s="37">
        <f>(AW946-AX946-AY946)/MAX(1,ABS(AW946),ABS(AX946),ABS(AY946))</f>
        <v/>
      </c>
      <c r="BA946" s="37">
        <f>IF(OR(K946&gt;0,K947&gt;0),0,(AC947-(AC946+AF946-AQ946-AP946+AR946-AI946-AJ946-AM946))/MAX(1,ABS(AC946),ABS(AC947)))</f>
        <v/>
      </c>
      <c r="BB946" s="35">
        <f>(1+INDEX(DiscRateAnn,INT(A946/12)+1))^(1/12)-1</f>
        <v/>
      </c>
      <c r="BC946" s="31">
        <f>(1+BB946)^-A946</f>
        <v/>
      </c>
      <c r="BD946" s="34">
        <f>AW946*BC946</f>
        <v/>
      </c>
    </row>
    <row r="947">
      <c r="A947" s="27">
        <f>A946+1</f>
        <v/>
      </c>
      <c r="B947" s="28">
        <f>Duration0+A947</f>
        <v/>
      </c>
      <c r="C947" s="27">
        <f>INT(B947/12)</f>
        <v/>
      </c>
      <c r="D947" s="28">
        <f>AgeAtEntry+C947</f>
        <v/>
      </c>
      <c r="E947" s="29">
        <f>IF(PremiumType="SINGLE",IF(B947=0,PremiumPPInput,0),IF(B947&lt;12*PolicyTerm,PremiumPPInput,0))</f>
        <v/>
      </c>
      <c r="F947" s="30">
        <f>INDEX(MortRates,MATCH(MIN(D947,120),MortAges,0),MAX(MIN(C947,5),0)+1)</f>
        <v/>
      </c>
      <c r="G947" s="31">
        <f>1-(1-F947)^(1/12)</f>
        <v/>
      </c>
      <c r="H947" s="32">
        <f>MAX(LapseBase-LapseStep*C947,LapseFloor)</f>
        <v/>
      </c>
      <c r="I947" s="32">
        <f>IF(HasSurrCharge,INDEX(SurrRates,MIN(C947,SurrDurMax)+1,MATCH(SurrChargeID,SurrTypes,0)),0)</f>
        <v/>
      </c>
      <c r="J947" s="33">
        <f>N946-P946-O946</f>
        <v/>
      </c>
      <c r="K947" s="30">
        <f>IF(B947=12*PolicyTerm,J947,0)</f>
        <v/>
      </c>
      <c r="L947" s="33">
        <f>J947-K947</f>
        <v/>
      </c>
      <c r="M947" s="30">
        <f>IF(B947=0,PolicyCount,0)</f>
        <v/>
      </c>
      <c r="N947" s="33">
        <f>L947+M947</f>
        <v/>
      </c>
      <c r="O947" s="31">
        <f>N947*G947</f>
        <v/>
      </c>
      <c r="P947" s="33">
        <f>(N947-O947)*(1-(1-H947)^(1/12))</f>
        <v/>
      </c>
      <c r="Q947" s="34">
        <f>X946+Z946</f>
        <v/>
      </c>
      <c r="R947" s="29">
        <f>(1-LoadPremRate)*E947</f>
        <v/>
      </c>
      <c r="S947" s="34">
        <f>Q947+R947</f>
        <v/>
      </c>
      <c r="T947" s="29">
        <f>MaintFeeRateAnn/12*S947</f>
        <v/>
      </c>
      <c r="U947" s="29">
        <f>MAX(SumAssured-S947,0)</f>
        <v/>
      </c>
      <c r="V947" s="35">
        <f>CoiMultiple*G947</f>
        <v/>
      </c>
      <c r="W947" s="34">
        <f>V947*U947</f>
        <v/>
      </c>
      <c r="X947" s="34">
        <f>S947-T947-W947</f>
        <v/>
      </c>
      <c r="Y947" s="36">
        <f>EXP((Mu-0.5*Sigma^2)/12+Sigma*SQRT(1/12)*INDEX(NormRand,ScenID,A947+1))-1</f>
        <v/>
      </c>
      <c r="Z947" s="34">
        <f>Y947*X947</f>
        <v/>
      </c>
      <c r="AA947" s="34">
        <f>X947+0.5*Z947</f>
        <v/>
      </c>
      <c r="AB947" s="34">
        <f>Q947*J947</f>
        <v/>
      </c>
      <c r="AC947" s="34">
        <f>Q947*L947</f>
        <v/>
      </c>
      <c r="AD947" s="34">
        <f>S947*N947</f>
        <v/>
      </c>
      <c r="AE947" s="34">
        <f>E947*N947</f>
        <v/>
      </c>
      <c r="AF947" s="34">
        <f>R947*N947</f>
        <v/>
      </c>
      <c r="AG947" s="29">
        <f>MAX(SumAssured,AA947)</f>
        <v/>
      </c>
      <c r="AH947" s="34">
        <f>AG947*O947</f>
        <v/>
      </c>
      <c r="AI947" s="34">
        <f>AA947*O947</f>
        <v/>
      </c>
      <c r="AJ947" s="34">
        <f>AA947*P947</f>
        <v/>
      </c>
      <c r="AK947" s="34">
        <f>I947*AA947*P947</f>
        <v/>
      </c>
      <c r="AL947" s="34">
        <f>AJ947-AK947</f>
        <v/>
      </c>
      <c r="AM947" s="34">
        <f>Q947*K947</f>
        <v/>
      </c>
      <c r="AN947" s="34">
        <f>AH947+AL947+AM947</f>
        <v/>
      </c>
      <c r="AO947" s="34">
        <f>(AG947-AA947)*O947</f>
        <v/>
      </c>
      <c r="AP947" s="34">
        <f>W947*N947</f>
        <v/>
      </c>
      <c r="AQ947" s="34">
        <f>T947*N947</f>
        <v/>
      </c>
      <c r="AR947" s="34">
        <f>Z947*J948+0.5*Z947*(O947+P947)</f>
        <v/>
      </c>
      <c r="AS947" s="30">
        <f>(1+InflationRate)^(A947/12)</f>
        <v/>
      </c>
      <c r="AT947" s="29">
        <f>ExpenseAcq*M947+N947*ExpenseMaint/12*AS947</f>
        <v/>
      </c>
      <c r="AU947" s="29">
        <f>CommissionRate*AE947</f>
        <v/>
      </c>
      <c r="AV947" s="34">
        <f>AB948-AB947</f>
        <v/>
      </c>
      <c r="AW947" s="34">
        <f>AE947+AR947-AN947-AT947-AU947-AV947</f>
        <v/>
      </c>
      <c r="AX947" s="29">
        <f>LoadPremRate*E947*N947+AK947+AQ947-AU947-AT947</f>
        <v/>
      </c>
      <c r="AY947" s="34">
        <f>AP947-AO947</f>
        <v/>
      </c>
      <c r="AZ947" s="37">
        <f>(AW947-AX947-AY947)/MAX(1,ABS(AW947),ABS(AX947),ABS(AY947))</f>
        <v/>
      </c>
      <c r="BA947" s="37">
        <f>IF(OR(K947&gt;0,K948&gt;0),0,(AC948-(AC947+AF947-AQ947-AP947+AR947-AI947-AJ947-AM947))/MAX(1,ABS(AC947),ABS(AC948)))</f>
        <v/>
      </c>
      <c r="BB947" s="35">
        <f>(1+INDEX(DiscRateAnn,INT(A947/12)+1))^(1/12)-1</f>
        <v/>
      </c>
      <c r="BC947" s="31">
        <f>(1+BB947)^-A947</f>
        <v/>
      </c>
      <c r="BD947" s="34">
        <f>AW947*BC947</f>
        <v/>
      </c>
    </row>
    <row r="948">
      <c r="A948" s="27">
        <f>A947+1</f>
        <v/>
      </c>
      <c r="B948" s="28">
        <f>Duration0+A948</f>
        <v/>
      </c>
      <c r="C948" s="27">
        <f>INT(B948/12)</f>
        <v/>
      </c>
      <c r="D948" s="28">
        <f>AgeAtEntry+C948</f>
        <v/>
      </c>
      <c r="E948" s="29">
        <f>IF(PremiumType="SINGLE",IF(B948=0,PremiumPPInput,0),IF(B948&lt;12*PolicyTerm,PremiumPPInput,0))</f>
        <v/>
      </c>
      <c r="F948" s="30">
        <f>INDEX(MortRates,MATCH(MIN(D948,120),MortAges,0),MAX(MIN(C948,5),0)+1)</f>
        <v/>
      </c>
      <c r="G948" s="31">
        <f>1-(1-F948)^(1/12)</f>
        <v/>
      </c>
      <c r="H948" s="32">
        <f>MAX(LapseBase-LapseStep*C948,LapseFloor)</f>
        <v/>
      </c>
      <c r="I948" s="32">
        <f>IF(HasSurrCharge,INDEX(SurrRates,MIN(C948,SurrDurMax)+1,MATCH(SurrChargeID,SurrTypes,0)),0)</f>
        <v/>
      </c>
      <c r="J948" s="33">
        <f>N947-P947-O947</f>
        <v/>
      </c>
      <c r="K948" s="30">
        <f>IF(B948=12*PolicyTerm,J948,0)</f>
        <v/>
      </c>
      <c r="L948" s="33">
        <f>J948-K948</f>
        <v/>
      </c>
      <c r="M948" s="30">
        <f>IF(B948=0,PolicyCount,0)</f>
        <v/>
      </c>
      <c r="N948" s="33">
        <f>L948+M948</f>
        <v/>
      </c>
      <c r="O948" s="31">
        <f>N948*G948</f>
        <v/>
      </c>
      <c r="P948" s="33">
        <f>(N948-O948)*(1-(1-H948)^(1/12))</f>
        <v/>
      </c>
      <c r="Q948" s="34">
        <f>X947+Z947</f>
        <v/>
      </c>
      <c r="R948" s="29">
        <f>(1-LoadPremRate)*E948</f>
        <v/>
      </c>
      <c r="S948" s="34">
        <f>Q948+R948</f>
        <v/>
      </c>
      <c r="T948" s="29">
        <f>MaintFeeRateAnn/12*S948</f>
        <v/>
      </c>
      <c r="U948" s="29">
        <f>MAX(SumAssured-S948,0)</f>
        <v/>
      </c>
      <c r="V948" s="35">
        <f>CoiMultiple*G948</f>
        <v/>
      </c>
      <c r="W948" s="34">
        <f>V948*U948</f>
        <v/>
      </c>
      <c r="X948" s="34">
        <f>S948-T948-W948</f>
        <v/>
      </c>
      <c r="Y948" s="36">
        <f>EXP((Mu-0.5*Sigma^2)/12+Sigma*SQRT(1/12)*INDEX(NormRand,ScenID,A948+1))-1</f>
        <v/>
      </c>
      <c r="Z948" s="34">
        <f>Y948*X948</f>
        <v/>
      </c>
      <c r="AA948" s="34">
        <f>X948+0.5*Z948</f>
        <v/>
      </c>
      <c r="AB948" s="34">
        <f>Q948*J948</f>
        <v/>
      </c>
      <c r="AC948" s="34">
        <f>Q948*L948</f>
        <v/>
      </c>
      <c r="AD948" s="34">
        <f>S948*N948</f>
        <v/>
      </c>
      <c r="AE948" s="34">
        <f>E948*N948</f>
        <v/>
      </c>
      <c r="AF948" s="34">
        <f>R948*N948</f>
        <v/>
      </c>
      <c r="AG948" s="29">
        <f>MAX(SumAssured,AA948)</f>
        <v/>
      </c>
      <c r="AH948" s="34">
        <f>AG948*O948</f>
        <v/>
      </c>
      <c r="AI948" s="34">
        <f>AA948*O948</f>
        <v/>
      </c>
      <c r="AJ948" s="34">
        <f>AA948*P948</f>
        <v/>
      </c>
      <c r="AK948" s="34">
        <f>I948*AA948*P948</f>
        <v/>
      </c>
      <c r="AL948" s="34">
        <f>AJ948-AK948</f>
        <v/>
      </c>
      <c r="AM948" s="34">
        <f>Q948*K948</f>
        <v/>
      </c>
      <c r="AN948" s="34">
        <f>AH948+AL948+AM948</f>
        <v/>
      </c>
      <c r="AO948" s="34">
        <f>(AG948-AA948)*O948</f>
        <v/>
      </c>
      <c r="AP948" s="34">
        <f>W948*N948</f>
        <v/>
      </c>
      <c r="AQ948" s="34">
        <f>T948*N948</f>
        <v/>
      </c>
      <c r="AR948" s="34">
        <f>Z948*J949+0.5*Z948*(O948+P948)</f>
        <v/>
      </c>
      <c r="AS948" s="30">
        <f>(1+InflationRate)^(A948/12)</f>
        <v/>
      </c>
      <c r="AT948" s="29">
        <f>ExpenseAcq*M948+N948*ExpenseMaint/12*AS948</f>
        <v/>
      </c>
      <c r="AU948" s="29">
        <f>CommissionRate*AE948</f>
        <v/>
      </c>
      <c r="AV948" s="34">
        <f>AB949-AB948</f>
        <v/>
      </c>
      <c r="AW948" s="34">
        <f>AE948+AR948-AN948-AT948-AU948-AV948</f>
        <v/>
      </c>
      <c r="AX948" s="29">
        <f>LoadPremRate*E948*N948+AK948+AQ948-AU948-AT948</f>
        <v/>
      </c>
      <c r="AY948" s="34">
        <f>AP948-AO948</f>
        <v/>
      </c>
      <c r="AZ948" s="37">
        <f>(AW948-AX948-AY948)/MAX(1,ABS(AW948),ABS(AX948),ABS(AY948))</f>
        <v/>
      </c>
      <c r="BA948" s="37">
        <f>IF(OR(K948&gt;0,K949&gt;0),0,(AC949-(AC948+AF948-AQ948-AP948+AR948-AI948-AJ948-AM948))/MAX(1,ABS(AC948),ABS(AC949)))</f>
        <v/>
      </c>
      <c r="BB948" s="35">
        <f>(1+INDEX(DiscRateAnn,INT(A948/12)+1))^(1/12)-1</f>
        <v/>
      </c>
      <c r="BC948" s="31">
        <f>(1+BB948)^-A948</f>
        <v/>
      </c>
      <c r="BD948" s="34">
        <f>AW948*BC948</f>
        <v/>
      </c>
    </row>
    <row r="949">
      <c r="A949" s="27">
        <f>A948+1</f>
        <v/>
      </c>
      <c r="B949" s="28">
        <f>Duration0+A949</f>
        <v/>
      </c>
      <c r="C949" s="27">
        <f>INT(B949/12)</f>
        <v/>
      </c>
      <c r="D949" s="28">
        <f>AgeAtEntry+C949</f>
        <v/>
      </c>
      <c r="E949" s="29">
        <f>IF(PremiumType="SINGLE",IF(B949=0,PremiumPPInput,0),IF(B949&lt;12*PolicyTerm,PremiumPPInput,0))</f>
        <v/>
      </c>
      <c r="F949" s="30">
        <f>INDEX(MortRates,MATCH(MIN(D949,120),MortAges,0),MAX(MIN(C949,5),0)+1)</f>
        <v/>
      </c>
      <c r="G949" s="31">
        <f>1-(1-F949)^(1/12)</f>
        <v/>
      </c>
      <c r="H949" s="32">
        <f>MAX(LapseBase-LapseStep*C949,LapseFloor)</f>
        <v/>
      </c>
      <c r="I949" s="32">
        <f>IF(HasSurrCharge,INDEX(SurrRates,MIN(C949,SurrDurMax)+1,MATCH(SurrChargeID,SurrTypes,0)),0)</f>
        <v/>
      </c>
      <c r="J949" s="33">
        <f>N948-P948-O948</f>
        <v/>
      </c>
      <c r="K949" s="30">
        <f>IF(B949=12*PolicyTerm,J949,0)</f>
        <v/>
      </c>
      <c r="L949" s="33">
        <f>J949-K949</f>
        <v/>
      </c>
      <c r="M949" s="30">
        <f>IF(B949=0,PolicyCount,0)</f>
        <v/>
      </c>
      <c r="N949" s="33">
        <f>L949+M949</f>
        <v/>
      </c>
      <c r="O949" s="31">
        <f>N949*G949</f>
        <v/>
      </c>
      <c r="P949" s="33">
        <f>(N949-O949)*(1-(1-H949)^(1/12))</f>
        <v/>
      </c>
      <c r="Q949" s="34">
        <f>X948+Z948</f>
        <v/>
      </c>
      <c r="R949" s="29">
        <f>(1-LoadPremRate)*E949</f>
        <v/>
      </c>
      <c r="S949" s="34">
        <f>Q949+R949</f>
        <v/>
      </c>
      <c r="T949" s="29">
        <f>MaintFeeRateAnn/12*S949</f>
        <v/>
      </c>
      <c r="U949" s="29">
        <f>MAX(SumAssured-S949,0)</f>
        <v/>
      </c>
      <c r="V949" s="35">
        <f>CoiMultiple*G949</f>
        <v/>
      </c>
      <c r="W949" s="34">
        <f>V949*U949</f>
        <v/>
      </c>
      <c r="X949" s="34">
        <f>S949-T949-W949</f>
        <v/>
      </c>
      <c r="Y949" s="36">
        <f>EXP((Mu-0.5*Sigma^2)/12+Sigma*SQRT(1/12)*INDEX(NormRand,ScenID,A949+1))-1</f>
        <v/>
      </c>
      <c r="Z949" s="34">
        <f>Y949*X949</f>
        <v/>
      </c>
      <c r="AA949" s="34">
        <f>X949+0.5*Z949</f>
        <v/>
      </c>
      <c r="AB949" s="34">
        <f>Q949*J949</f>
        <v/>
      </c>
      <c r="AC949" s="34">
        <f>Q949*L949</f>
        <v/>
      </c>
      <c r="AD949" s="34">
        <f>S949*N949</f>
        <v/>
      </c>
      <c r="AE949" s="34">
        <f>E949*N949</f>
        <v/>
      </c>
      <c r="AF949" s="34">
        <f>R949*N949</f>
        <v/>
      </c>
      <c r="AG949" s="29">
        <f>MAX(SumAssured,AA949)</f>
        <v/>
      </c>
      <c r="AH949" s="34">
        <f>AG949*O949</f>
        <v/>
      </c>
      <c r="AI949" s="34">
        <f>AA949*O949</f>
        <v/>
      </c>
      <c r="AJ949" s="34">
        <f>AA949*P949</f>
        <v/>
      </c>
      <c r="AK949" s="34">
        <f>I949*AA949*P949</f>
        <v/>
      </c>
      <c r="AL949" s="34">
        <f>AJ949-AK949</f>
        <v/>
      </c>
      <c r="AM949" s="34">
        <f>Q949*K949</f>
        <v/>
      </c>
      <c r="AN949" s="34">
        <f>AH949+AL949+AM949</f>
        <v/>
      </c>
      <c r="AO949" s="34">
        <f>(AG949-AA949)*O949</f>
        <v/>
      </c>
      <c r="AP949" s="34">
        <f>W949*N949</f>
        <v/>
      </c>
      <c r="AQ949" s="34">
        <f>T949*N949</f>
        <v/>
      </c>
      <c r="AR949" s="34">
        <f>Z949*J950+0.5*Z949*(O949+P949)</f>
        <v/>
      </c>
      <c r="AS949" s="30">
        <f>(1+InflationRate)^(A949/12)</f>
        <v/>
      </c>
      <c r="AT949" s="29">
        <f>ExpenseAcq*M949+N949*ExpenseMaint/12*AS949</f>
        <v/>
      </c>
      <c r="AU949" s="29">
        <f>CommissionRate*AE949</f>
        <v/>
      </c>
      <c r="AV949" s="34">
        <f>AB950-AB949</f>
        <v/>
      </c>
      <c r="AW949" s="34">
        <f>AE949+AR949-AN949-AT949-AU949-AV949</f>
        <v/>
      </c>
      <c r="AX949" s="29">
        <f>LoadPremRate*E949*N949+AK949+AQ949-AU949-AT949</f>
        <v/>
      </c>
      <c r="AY949" s="34">
        <f>AP949-AO949</f>
        <v/>
      </c>
      <c r="AZ949" s="37">
        <f>(AW949-AX949-AY949)/MAX(1,ABS(AW949),ABS(AX949),ABS(AY949))</f>
        <v/>
      </c>
      <c r="BA949" s="37">
        <f>IF(OR(K949&gt;0,K950&gt;0),0,(AC950-(AC949+AF949-AQ949-AP949+AR949-AI949-AJ949-AM949))/MAX(1,ABS(AC949),ABS(AC950)))</f>
        <v/>
      </c>
      <c r="BB949" s="35">
        <f>(1+INDEX(DiscRateAnn,INT(A949/12)+1))^(1/12)-1</f>
        <v/>
      </c>
      <c r="BC949" s="31">
        <f>(1+BB949)^-A949</f>
        <v/>
      </c>
      <c r="BD949" s="34">
        <f>AW949*BC949</f>
        <v/>
      </c>
    </row>
    <row r="950">
      <c r="A950" s="27">
        <f>A949+1</f>
        <v/>
      </c>
      <c r="B950" s="28">
        <f>Duration0+A950</f>
        <v/>
      </c>
      <c r="C950" s="27">
        <f>INT(B950/12)</f>
        <v/>
      </c>
      <c r="D950" s="28">
        <f>AgeAtEntry+C950</f>
        <v/>
      </c>
      <c r="E950" s="29">
        <f>IF(PremiumType="SINGLE",IF(B950=0,PremiumPPInput,0),IF(B950&lt;12*PolicyTerm,PremiumPPInput,0))</f>
        <v/>
      </c>
      <c r="F950" s="30">
        <f>INDEX(MortRates,MATCH(MIN(D950,120),MortAges,0),MAX(MIN(C950,5),0)+1)</f>
        <v/>
      </c>
      <c r="G950" s="31">
        <f>1-(1-F950)^(1/12)</f>
        <v/>
      </c>
      <c r="H950" s="32">
        <f>MAX(LapseBase-LapseStep*C950,LapseFloor)</f>
        <v/>
      </c>
      <c r="I950" s="32">
        <f>IF(HasSurrCharge,INDEX(SurrRates,MIN(C950,SurrDurMax)+1,MATCH(SurrChargeID,SurrTypes,0)),0)</f>
        <v/>
      </c>
      <c r="J950" s="33">
        <f>N949-P949-O949</f>
        <v/>
      </c>
      <c r="K950" s="30">
        <f>IF(B950=12*PolicyTerm,J950,0)</f>
        <v/>
      </c>
      <c r="L950" s="33">
        <f>J950-K950</f>
        <v/>
      </c>
      <c r="M950" s="30">
        <f>IF(B950=0,PolicyCount,0)</f>
        <v/>
      </c>
      <c r="N950" s="33">
        <f>L950+M950</f>
        <v/>
      </c>
      <c r="O950" s="31">
        <f>N950*G950</f>
        <v/>
      </c>
      <c r="P950" s="33">
        <f>(N950-O950)*(1-(1-H950)^(1/12))</f>
        <v/>
      </c>
      <c r="Q950" s="34">
        <f>X949+Z949</f>
        <v/>
      </c>
      <c r="R950" s="29">
        <f>(1-LoadPremRate)*E950</f>
        <v/>
      </c>
      <c r="S950" s="34">
        <f>Q950+R950</f>
        <v/>
      </c>
      <c r="T950" s="29">
        <f>MaintFeeRateAnn/12*S950</f>
        <v/>
      </c>
      <c r="U950" s="29">
        <f>MAX(SumAssured-S950,0)</f>
        <v/>
      </c>
      <c r="V950" s="35">
        <f>CoiMultiple*G950</f>
        <v/>
      </c>
      <c r="W950" s="34">
        <f>V950*U950</f>
        <v/>
      </c>
      <c r="X950" s="34">
        <f>S950-T950-W950</f>
        <v/>
      </c>
      <c r="Y950" s="36">
        <f>EXP((Mu-0.5*Sigma^2)/12+Sigma*SQRT(1/12)*INDEX(NormRand,ScenID,A950+1))-1</f>
        <v/>
      </c>
      <c r="Z950" s="34">
        <f>Y950*X950</f>
        <v/>
      </c>
      <c r="AA950" s="34">
        <f>X950+0.5*Z950</f>
        <v/>
      </c>
      <c r="AB950" s="34">
        <f>Q950*J950</f>
        <v/>
      </c>
      <c r="AC950" s="34">
        <f>Q950*L950</f>
        <v/>
      </c>
      <c r="AD950" s="34">
        <f>S950*N950</f>
        <v/>
      </c>
      <c r="AE950" s="34">
        <f>E950*N950</f>
        <v/>
      </c>
      <c r="AF950" s="34">
        <f>R950*N950</f>
        <v/>
      </c>
      <c r="AG950" s="29">
        <f>MAX(SumAssured,AA950)</f>
        <v/>
      </c>
      <c r="AH950" s="34">
        <f>AG950*O950</f>
        <v/>
      </c>
      <c r="AI950" s="34">
        <f>AA950*O950</f>
        <v/>
      </c>
      <c r="AJ950" s="34">
        <f>AA950*P950</f>
        <v/>
      </c>
      <c r="AK950" s="34">
        <f>I950*AA950*P950</f>
        <v/>
      </c>
      <c r="AL950" s="34">
        <f>AJ950-AK950</f>
        <v/>
      </c>
      <c r="AM950" s="34">
        <f>Q950*K950</f>
        <v/>
      </c>
      <c r="AN950" s="34">
        <f>AH950+AL950+AM950</f>
        <v/>
      </c>
      <c r="AO950" s="34">
        <f>(AG950-AA950)*O950</f>
        <v/>
      </c>
      <c r="AP950" s="34">
        <f>W950*N950</f>
        <v/>
      </c>
      <c r="AQ950" s="34">
        <f>T950*N950</f>
        <v/>
      </c>
      <c r="AR950" s="34">
        <f>Z950*J951+0.5*Z950*(O950+P950)</f>
        <v/>
      </c>
      <c r="AS950" s="30">
        <f>(1+InflationRate)^(A950/12)</f>
        <v/>
      </c>
      <c r="AT950" s="29">
        <f>ExpenseAcq*M950+N950*ExpenseMaint/12*AS950</f>
        <v/>
      </c>
      <c r="AU950" s="29">
        <f>CommissionRate*AE950</f>
        <v/>
      </c>
      <c r="AV950" s="34">
        <f>AB951-AB950</f>
        <v/>
      </c>
      <c r="AW950" s="34">
        <f>AE950+AR950-AN950-AT950-AU950-AV950</f>
        <v/>
      </c>
      <c r="AX950" s="29">
        <f>LoadPremRate*E950*N950+AK950+AQ950-AU950-AT950</f>
        <v/>
      </c>
      <c r="AY950" s="34">
        <f>AP950-AO950</f>
        <v/>
      </c>
      <c r="AZ950" s="37">
        <f>(AW950-AX950-AY950)/MAX(1,ABS(AW950),ABS(AX950),ABS(AY950))</f>
        <v/>
      </c>
      <c r="BA950" s="37">
        <f>IF(OR(K950&gt;0,K951&gt;0),0,(AC951-(AC950+AF950-AQ950-AP950+AR950-AI950-AJ950-AM950))/MAX(1,ABS(AC950),ABS(AC951)))</f>
        <v/>
      </c>
      <c r="BB950" s="35">
        <f>(1+INDEX(DiscRateAnn,INT(A950/12)+1))^(1/12)-1</f>
        <v/>
      </c>
      <c r="BC950" s="31">
        <f>(1+BB950)^-A950</f>
        <v/>
      </c>
      <c r="BD950" s="34">
        <f>AW950*BC950</f>
        <v/>
      </c>
    </row>
    <row r="951">
      <c r="A951" s="27">
        <f>A950+1</f>
        <v/>
      </c>
      <c r="B951" s="28">
        <f>Duration0+A951</f>
        <v/>
      </c>
      <c r="C951" s="27">
        <f>INT(B951/12)</f>
        <v/>
      </c>
      <c r="D951" s="28">
        <f>AgeAtEntry+C951</f>
        <v/>
      </c>
      <c r="E951" s="29">
        <f>IF(PremiumType="SINGLE",IF(B951=0,PremiumPPInput,0),IF(B951&lt;12*PolicyTerm,PremiumPPInput,0))</f>
        <v/>
      </c>
      <c r="F951" s="30">
        <f>INDEX(MortRates,MATCH(MIN(D951,120),MortAges,0),MAX(MIN(C951,5),0)+1)</f>
        <v/>
      </c>
      <c r="G951" s="31">
        <f>1-(1-F951)^(1/12)</f>
        <v/>
      </c>
      <c r="H951" s="32">
        <f>MAX(LapseBase-LapseStep*C951,LapseFloor)</f>
        <v/>
      </c>
      <c r="I951" s="32">
        <f>IF(HasSurrCharge,INDEX(SurrRates,MIN(C951,SurrDurMax)+1,MATCH(SurrChargeID,SurrTypes,0)),0)</f>
        <v/>
      </c>
      <c r="J951" s="33">
        <f>N950-P950-O950</f>
        <v/>
      </c>
      <c r="K951" s="30">
        <f>IF(B951=12*PolicyTerm,J951,0)</f>
        <v/>
      </c>
      <c r="L951" s="33">
        <f>J951-K951</f>
        <v/>
      </c>
      <c r="M951" s="30">
        <f>IF(B951=0,PolicyCount,0)</f>
        <v/>
      </c>
      <c r="N951" s="33">
        <f>L951+M951</f>
        <v/>
      </c>
      <c r="O951" s="31">
        <f>N951*G951</f>
        <v/>
      </c>
      <c r="P951" s="33">
        <f>(N951-O951)*(1-(1-H951)^(1/12))</f>
        <v/>
      </c>
      <c r="Q951" s="34">
        <f>X950+Z950</f>
        <v/>
      </c>
      <c r="R951" s="29">
        <f>(1-LoadPremRate)*E951</f>
        <v/>
      </c>
      <c r="S951" s="34">
        <f>Q951+R951</f>
        <v/>
      </c>
      <c r="T951" s="29">
        <f>MaintFeeRateAnn/12*S951</f>
        <v/>
      </c>
      <c r="U951" s="29">
        <f>MAX(SumAssured-S951,0)</f>
        <v/>
      </c>
      <c r="V951" s="35">
        <f>CoiMultiple*G951</f>
        <v/>
      </c>
      <c r="W951" s="34">
        <f>V951*U951</f>
        <v/>
      </c>
      <c r="X951" s="34">
        <f>S951-T951-W951</f>
        <v/>
      </c>
      <c r="Y951" s="36">
        <f>EXP((Mu-0.5*Sigma^2)/12+Sigma*SQRT(1/12)*INDEX(NormRand,ScenID,A951+1))-1</f>
        <v/>
      </c>
      <c r="Z951" s="34">
        <f>Y951*X951</f>
        <v/>
      </c>
      <c r="AA951" s="34">
        <f>X951+0.5*Z951</f>
        <v/>
      </c>
      <c r="AB951" s="34">
        <f>Q951*J951</f>
        <v/>
      </c>
      <c r="AC951" s="34">
        <f>Q951*L951</f>
        <v/>
      </c>
      <c r="AD951" s="34">
        <f>S951*N951</f>
        <v/>
      </c>
      <c r="AE951" s="34">
        <f>E951*N951</f>
        <v/>
      </c>
      <c r="AF951" s="34">
        <f>R951*N951</f>
        <v/>
      </c>
      <c r="AG951" s="29">
        <f>MAX(SumAssured,AA951)</f>
        <v/>
      </c>
      <c r="AH951" s="34">
        <f>AG951*O951</f>
        <v/>
      </c>
      <c r="AI951" s="34">
        <f>AA951*O951</f>
        <v/>
      </c>
      <c r="AJ951" s="34">
        <f>AA951*P951</f>
        <v/>
      </c>
      <c r="AK951" s="34">
        <f>I951*AA951*P951</f>
        <v/>
      </c>
      <c r="AL951" s="34">
        <f>AJ951-AK951</f>
        <v/>
      </c>
      <c r="AM951" s="34">
        <f>Q951*K951</f>
        <v/>
      </c>
      <c r="AN951" s="34">
        <f>AH951+AL951+AM951</f>
        <v/>
      </c>
      <c r="AO951" s="34">
        <f>(AG951-AA951)*O951</f>
        <v/>
      </c>
      <c r="AP951" s="34">
        <f>W951*N951</f>
        <v/>
      </c>
      <c r="AQ951" s="34">
        <f>T951*N951</f>
        <v/>
      </c>
      <c r="AR951" s="34">
        <f>Z951*J952+0.5*Z951*(O951+P951)</f>
        <v/>
      </c>
      <c r="AS951" s="30">
        <f>(1+InflationRate)^(A951/12)</f>
        <v/>
      </c>
      <c r="AT951" s="29">
        <f>ExpenseAcq*M951+N951*ExpenseMaint/12*AS951</f>
        <v/>
      </c>
      <c r="AU951" s="29">
        <f>CommissionRate*AE951</f>
        <v/>
      </c>
      <c r="AV951" s="34">
        <f>AB952-AB951</f>
        <v/>
      </c>
      <c r="AW951" s="34">
        <f>AE951+AR951-AN951-AT951-AU951-AV951</f>
        <v/>
      </c>
      <c r="AX951" s="29">
        <f>LoadPremRate*E951*N951+AK951+AQ951-AU951-AT951</f>
        <v/>
      </c>
      <c r="AY951" s="34">
        <f>AP951-AO951</f>
        <v/>
      </c>
      <c r="AZ951" s="37">
        <f>(AW951-AX951-AY951)/MAX(1,ABS(AW951),ABS(AX951),ABS(AY951))</f>
        <v/>
      </c>
      <c r="BA951" s="37">
        <f>IF(OR(K951&gt;0,K952&gt;0),0,(AC952-(AC951+AF951-AQ951-AP951+AR951-AI951-AJ951-AM951))/MAX(1,ABS(AC951),ABS(AC952)))</f>
        <v/>
      </c>
      <c r="BB951" s="35">
        <f>(1+INDEX(DiscRateAnn,INT(A951/12)+1))^(1/12)-1</f>
        <v/>
      </c>
      <c r="BC951" s="31">
        <f>(1+BB951)^-A951</f>
        <v/>
      </c>
      <c r="BD951" s="34">
        <f>AW951*BC951</f>
        <v/>
      </c>
    </row>
    <row r="952">
      <c r="A952" s="27">
        <f>A951+1</f>
        <v/>
      </c>
      <c r="B952" s="28">
        <f>Duration0+A952</f>
        <v/>
      </c>
      <c r="C952" s="27">
        <f>INT(B952/12)</f>
        <v/>
      </c>
      <c r="D952" s="28">
        <f>AgeAtEntry+C952</f>
        <v/>
      </c>
      <c r="E952" s="29">
        <f>IF(PremiumType="SINGLE",IF(B952=0,PremiumPPInput,0),IF(B952&lt;12*PolicyTerm,PremiumPPInput,0))</f>
        <v/>
      </c>
      <c r="F952" s="30">
        <f>INDEX(MortRates,MATCH(MIN(D952,120),MortAges,0),MAX(MIN(C952,5),0)+1)</f>
        <v/>
      </c>
      <c r="G952" s="31">
        <f>1-(1-F952)^(1/12)</f>
        <v/>
      </c>
      <c r="H952" s="32">
        <f>MAX(LapseBase-LapseStep*C952,LapseFloor)</f>
        <v/>
      </c>
      <c r="I952" s="32">
        <f>IF(HasSurrCharge,INDEX(SurrRates,MIN(C952,SurrDurMax)+1,MATCH(SurrChargeID,SurrTypes,0)),0)</f>
        <v/>
      </c>
      <c r="J952" s="33">
        <f>N951-P951-O951</f>
        <v/>
      </c>
      <c r="K952" s="30">
        <f>IF(B952=12*PolicyTerm,J952,0)</f>
        <v/>
      </c>
      <c r="L952" s="33">
        <f>J952-K952</f>
        <v/>
      </c>
      <c r="M952" s="30">
        <f>IF(B952=0,PolicyCount,0)</f>
        <v/>
      </c>
      <c r="N952" s="33">
        <f>L952+M952</f>
        <v/>
      </c>
      <c r="O952" s="31">
        <f>N952*G952</f>
        <v/>
      </c>
      <c r="P952" s="33">
        <f>(N952-O952)*(1-(1-H952)^(1/12))</f>
        <v/>
      </c>
      <c r="Q952" s="34">
        <f>X951+Z951</f>
        <v/>
      </c>
      <c r="R952" s="29">
        <f>(1-LoadPremRate)*E952</f>
        <v/>
      </c>
      <c r="S952" s="34">
        <f>Q952+R952</f>
        <v/>
      </c>
      <c r="T952" s="29">
        <f>MaintFeeRateAnn/12*S952</f>
        <v/>
      </c>
      <c r="U952" s="29">
        <f>MAX(SumAssured-S952,0)</f>
        <v/>
      </c>
      <c r="V952" s="35">
        <f>CoiMultiple*G952</f>
        <v/>
      </c>
      <c r="W952" s="34">
        <f>V952*U952</f>
        <v/>
      </c>
      <c r="X952" s="34">
        <f>S952-T952-W952</f>
        <v/>
      </c>
      <c r="Y952" s="36">
        <f>EXP((Mu-0.5*Sigma^2)/12+Sigma*SQRT(1/12)*INDEX(NormRand,ScenID,A952+1))-1</f>
        <v/>
      </c>
      <c r="Z952" s="34">
        <f>Y952*X952</f>
        <v/>
      </c>
      <c r="AA952" s="34">
        <f>X952+0.5*Z952</f>
        <v/>
      </c>
      <c r="AB952" s="34">
        <f>Q952*J952</f>
        <v/>
      </c>
      <c r="AC952" s="34">
        <f>Q952*L952</f>
        <v/>
      </c>
      <c r="AD952" s="34">
        <f>S952*N952</f>
        <v/>
      </c>
      <c r="AE952" s="34">
        <f>E952*N952</f>
        <v/>
      </c>
      <c r="AF952" s="34">
        <f>R952*N952</f>
        <v/>
      </c>
      <c r="AG952" s="29">
        <f>MAX(SumAssured,AA952)</f>
        <v/>
      </c>
      <c r="AH952" s="34">
        <f>AG952*O952</f>
        <v/>
      </c>
      <c r="AI952" s="34">
        <f>AA952*O952</f>
        <v/>
      </c>
      <c r="AJ952" s="34">
        <f>AA952*P952</f>
        <v/>
      </c>
      <c r="AK952" s="34">
        <f>I952*AA952*P952</f>
        <v/>
      </c>
      <c r="AL952" s="34">
        <f>AJ952-AK952</f>
        <v/>
      </c>
      <c r="AM952" s="34">
        <f>Q952*K952</f>
        <v/>
      </c>
      <c r="AN952" s="34">
        <f>AH952+AL952+AM952</f>
        <v/>
      </c>
      <c r="AO952" s="34">
        <f>(AG952-AA952)*O952</f>
        <v/>
      </c>
      <c r="AP952" s="34">
        <f>W952*N952</f>
        <v/>
      </c>
      <c r="AQ952" s="34">
        <f>T952*N952</f>
        <v/>
      </c>
      <c r="AR952" s="34">
        <f>Z952*J953+0.5*Z952*(O952+P952)</f>
        <v/>
      </c>
      <c r="AS952" s="30">
        <f>(1+InflationRate)^(A952/12)</f>
        <v/>
      </c>
      <c r="AT952" s="29">
        <f>ExpenseAcq*M952+N952*ExpenseMaint/12*AS952</f>
        <v/>
      </c>
      <c r="AU952" s="29">
        <f>CommissionRate*AE952</f>
        <v/>
      </c>
      <c r="AV952" s="34">
        <f>AB953-AB952</f>
        <v/>
      </c>
      <c r="AW952" s="34">
        <f>AE952+AR952-AN952-AT952-AU952-AV952</f>
        <v/>
      </c>
      <c r="AX952" s="29">
        <f>LoadPremRate*E952*N952+AK952+AQ952-AU952-AT952</f>
        <v/>
      </c>
      <c r="AY952" s="34">
        <f>AP952-AO952</f>
        <v/>
      </c>
      <c r="AZ952" s="37">
        <f>(AW952-AX952-AY952)/MAX(1,ABS(AW952),ABS(AX952),ABS(AY952))</f>
        <v/>
      </c>
      <c r="BA952" s="37">
        <f>IF(OR(K952&gt;0,K953&gt;0),0,(AC953-(AC952+AF952-AQ952-AP952+AR952-AI952-AJ952-AM952))/MAX(1,ABS(AC952),ABS(AC953)))</f>
        <v/>
      </c>
      <c r="BB952" s="35">
        <f>(1+INDEX(DiscRateAnn,INT(A952/12)+1))^(1/12)-1</f>
        <v/>
      </c>
      <c r="BC952" s="31">
        <f>(1+BB952)^-A952</f>
        <v/>
      </c>
      <c r="BD952" s="34">
        <f>AW952*BC952</f>
        <v/>
      </c>
    </row>
    <row r="953">
      <c r="A953" s="27">
        <f>A952+1</f>
        <v/>
      </c>
      <c r="B953" s="28">
        <f>Duration0+A953</f>
        <v/>
      </c>
      <c r="C953" s="27">
        <f>INT(B953/12)</f>
        <v/>
      </c>
      <c r="D953" s="28">
        <f>AgeAtEntry+C953</f>
        <v/>
      </c>
      <c r="E953" s="29">
        <f>IF(PremiumType="SINGLE",IF(B953=0,PremiumPPInput,0),IF(B953&lt;12*PolicyTerm,PremiumPPInput,0))</f>
        <v/>
      </c>
      <c r="F953" s="30">
        <f>INDEX(MortRates,MATCH(MIN(D953,120),MortAges,0),MAX(MIN(C953,5),0)+1)</f>
        <v/>
      </c>
      <c r="G953" s="31">
        <f>1-(1-F953)^(1/12)</f>
        <v/>
      </c>
      <c r="H953" s="32">
        <f>MAX(LapseBase-LapseStep*C953,LapseFloor)</f>
        <v/>
      </c>
      <c r="I953" s="32">
        <f>IF(HasSurrCharge,INDEX(SurrRates,MIN(C953,SurrDurMax)+1,MATCH(SurrChargeID,SurrTypes,0)),0)</f>
        <v/>
      </c>
      <c r="J953" s="33">
        <f>N952-P952-O952</f>
        <v/>
      </c>
      <c r="K953" s="30">
        <f>IF(B953=12*PolicyTerm,J953,0)</f>
        <v/>
      </c>
      <c r="L953" s="33">
        <f>J953-K953</f>
        <v/>
      </c>
      <c r="M953" s="30">
        <f>IF(B953=0,PolicyCount,0)</f>
        <v/>
      </c>
      <c r="N953" s="33">
        <f>L953+M953</f>
        <v/>
      </c>
      <c r="O953" s="31">
        <f>N953*G953</f>
        <v/>
      </c>
      <c r="P953" s="33">
        <f>(N953-O953)*(1-(1-H953)^(1/12))</f>
        <v/>
      </c>
      <c r="Q953" s="34">
        <f>X952+Z952</f>
        <v/>
      </c>
      <c r="R953" s="29">
        <f>(1-LoadPremRate)*E953</f>
        <v/>
      </c>
      <c r="S953" s="34">
        <f>Q953+R953</f>
        <v/>
      </c>
      <c r="T953" s="29">
        <f>MaintFeeRateAnn/12*S953</f>
        <v/>
      </c>
      <c r="U953" s="29">
        <f>MAX(SumAssured-S953,0)</f>
        <v/>
      </c>
      <c r="V953" s="35">
        <f>CoiMultiple*G953</f>
        <v/>
      </c>
      <c r="W953" s="34">
        <f>V953*U953</f>
        <v/>
      </c>
      <c r="X953" s="34">
        <f>S953-T953-W953</f>
        <v/>
      </c>
      <c r="Y953" s="36">
        <f>EXP((Mu-0.5*Sigma^2)/12+Sigma*SQRT(1/12)*INDEX(NormRand,ScenID,A953+1))-1</f>
        <v/>
      </c>
      <c r="Z953" s="34">
        <f>Y953*X953</f>
        <v/>
      </c>
      <c r="AA953" s="34">
        <f>X953+0.5*Z953</f>
        <v/>
      </c>
      <c r="AB953" s="34">
        <f>Q953*J953</f>
        <v/>
      </c>
      <c r="AC953" s="34">
        <f>Q953*L953</f>
        <v/>
      </c>
      <c r="AD953" s="34">
        <f>S953*N953</f>
        <v/>
      </c>
      <c r="AE953" s="34">
        <f>E953*N953</f>
        <v/>
      </c>
      <c r="AF953" s="34">
        <f>R953*N953</f>
        <v/>
      </c>
      <c r="AG953" s="29">
        <f>MAX(SumAssured,AA953)</f>
        <v/>
      </c>
      <c r="AH953" s="34">
        <f>AG953*O953</f>
        <v/>
      </c>
      <c r="AI953" s="34">
        <f>AA953*O953</f>
        <v/>
      </c>
      <c r="AJ953" s="34">
        <f>AA953*P953</f>
        <v/>
      </c>
      <c r="AK953" s="34">
        <f>I953*AA953*P953</f>
        <v/>
      </c>
      <c r="AL953" s="34">
        <f>AJ953-AK953</f>
        <v/>
      </c>
      <c r="AM953" s="34">
        <f>Q953*K953</f>
        <v/>
      </c>
      <c r="AN953" s="34">
        <f>AH953+AL953+AM953</f>
        <v/>
      </c>
      <c r="AO953" s="34">
        <f>(AG953-AA953)*O953</f>
        <v/>
      </c>
      <c r="AP953" s="34">
        <f>W953*N953</f>
        <v/>
      </c>
      <c r="AQ953" s="34">
        <f>T953*N953</f>
        <v/>
      </c>
      <c r="AR953" s="34">
        <f>Z953*J954+0.5*Z953*(O953+P953)</f>
        <v/>
      </c>
      <c r="AS953" s="30">
        <f>(1+InflationRate)^(A953/12)</f>
        <v/>
      </c>
      <c r="AT953" s="29">
        <f>ExpenseAcq*M953+N953*ExpenseMaint/12*AS953</f>
        <v/>
      </c>
      <c r="AU953" s="29">
        <f>CommissionRate*AE953</f>
        <v/>
      </c>
      <c r="AV953" s="34">
        <f>AB954-AB953</f>
        <v/>
      </c>
      <c r="AW953" s="34">
        <f>AE953+AR953-AN953-AT953-AU953-AV953</f>
        <v/>
      </c>
      <c r="AX953" s="29">
        <f>LoadPremRate*E953*N953+AK953+AQ953-AU953-AT953</f>
        <v/>
      </c>
      <c r="AY953" s="34">
        <f>AP953-AO953</f>
        <v/>
      </c>
      <c r="AZ953" s="37">
        <f>(AW953-AX953-AY953)/MAX(1,ABS(AW953),ABS(AX953),ABS(AY953))</f>
        <v/>
      </c>
      <c r="BA953" s="37">
        <f>IF(OR(K953&gt;0,K954&gt;0),0,(AC954-(AC953+AF953-AQ953-AP953+AR953-AI953-AJ953-AM953))/MAX(1,ABS(AC953),ABS(AC954)))</f>
        <v/>
      </c>
      <c r="BB953" s="35">
        <f>(1+INDEX(DiscRateAnn,INT(A953/12)+1))^(1/12)-1</f>
        <v/>
      </c>
      <c r="BC953" s="31">
        <f>(1+BB953)^-A953</f>
        <v/>
      </c>
      <c r="BD953" s="34">
        <f>AW953*BC953</f>
        <v/>
      </c>
    </row>
    <row r="954">
      <c r="A954" s="27">
        <f>A953+1</f>
        <v/>
      </c>
      <c r="B954" s="28">
        <f>Duration0+A954</f>
        <v/>
      </c>
      <c r="C954" s="27">
        <f>INT(B954/12)</f>
        <v/>
      </c>
      <c r="D954" s="28">
        <f>AgeAtEntry+C954</f>
        <v/>
      </c>
      <c r="E954" s="29">
        <f>IF(PremiumType="SINGLE",IF(B954=0,PremiumPPInput,0),IF(B954&lt;12*PolicyTerm,PremiumPPInput,0))</f>
        <v/>
      </c>
      <c r="F954" s="30">
        <f>INDEX(MortRates,MATCH(MIN(D954,120),MortAges,0),MAX(MIN(C954,5),0)+1)</f>
        <v/>
      </c>
      <c r="G954" s="31">
        <f>1-(1-F954)^(1/12)</f>
        <v/>
      </c>
      <c r="H954" s="32">
        <f>MAX(LapseBase-LapseStep*C954,LapseFloor)</f>
        <v/>
      </c>
      <c r="I954" s="32">
        <f>IF(HasSurrCharge,INDEX(SurrRates,MIN(C954,SurrDurMax)+1,MATCH(SurrChargeID,SurrTypes,0)),0)</f>
        <v/>
      </c>
      <c r="J954" s="33">
        <f>N953-P953-O953</f>
        <v/>
      </c>
      <c r="K954" s="30">
        <f>IF(B954=12*PolicyTerm,J954,0)</f>
        <v/>
      </c>
      <c r="L954" s="33">
        <f>J954-K954</f>
        <v/>
      </c>
      <c r="M954" s="30">
        <f>IF(B954=0,PolicyCount,0)</f>
        <v/>
      </c>
      <c r="N954" s="33">
        <f>L954+M954</f>
        <v/>
      </c>
      <c r="O954" s="31">
        <f>N954*G954</f>
        <v/>
      </c>
      <c r="P954" s="33">
        <f>(N954-O954)*(1-(1-H954)^(1/12))</f>
        <v/>
      </c>
      <c r="Q954" s="34">
        <f>X953+Z953</f>
        <v/>
      </c>
      <c r="R954" s="29">
        <f>(1-LoadPremRate)*E954</f>
        <v/>
      </c>
      <c r="S954" s="34">
        <f>Q954+R954</f>
        <v/>
      </c>
      <c r="T954" s="29">
        <f>MaintFeeRateAnn/12*S954</f>
        <v/>
      </c>
      <c r="U954" s="29">
        <f>MAX(SumAssured-S954,0)</f>
        <v/>
      </c>
      <c r="V954" s="35">
        <f>CoiMultiple*G954</f>
        <v/>
      </c>
      <c r="W954" s="34">
        <f>V954*U954</f>
        <v/>
      </c>
      <c r="X954" s="34">
        <f>S954-T954-W954</f>
        <v/>
      </c>
      <c r="Y954" s="36">
        <f>EXP((Mu-0.5*Sigma^2)/12+Sigma*SQRT(1/12)*INDEX(NormRand,ScenID,A954+1))-1</f>
        <v/>
      </c>
      <c r="Z954" s="34">
        <f>Y954*X954</f>
        <v/>
      </c>
      <c r="AA954" s="34">
        <f>X954+0.5*Z954</f>
        <v/>
      </c>
      <c r="AB954" s="34">
        <f>Q954*J954</f>
        <v/>
      </c>
      <c r="AC954" s="34">
        <f>Q954*L954</f>
        <v/>
      </c>
      <c r="AD954" s="34">
        <f>S954*N954</f>
        <v/>
      </c>
      <c r="AE954" s="34">
        <f>E954*N954</f>
        <v/>
      </c>
      <c r="AF954" s="34">
        <f>R954*N954</f>
        <v/>
      </c>
      <c r="AG954" s="29">
        <f>MAX(SumAssured,AA954)</f>
        <v/>
      </c>
      <c r="AH954" s="34">
        <f>AG954*O954</f>
        <v/>
      </c>
      <c r="AI954" s="34">
        <f>AA954*O954</f>
        <v/>
      </c>
      <c r="AJ954" s="34">
        <f>AA954*P954</f>
        <v/>
      </c>
      <c r="AK954" s="34">
        <f>I954*AA954*P954</f>
        <v/>
      </c>
      <c r="AL954" s="34">
        <f>AJ954-AK954</f>
        <v/>
      </c>
      <c r="AM954" s="34">
        <f>Q954*K954</f>
        <v/>
      </c>
      <c r="AN954" s="34">
        <f>AH954+AL954+AM954</f>
        <v/>
      </c>
      <c r="AO954" s="34">
        <f>(AG954-AA954)*O954</f>
        <v/>
      </c>
      <c r="AP954" s="34">
        <f>W954*N954</f>
        <v/>
      </c>
      <c r="AQ954" s="34">
        <f>T954*N954</f>
        <v/>
      </c>
      <c r="AR954" s="34">
        <f>Z954*J955+0.5*Z954*(O954+P954)</f>
        <v/>
      </c>
      <c r="AS954" s="30">
        <f>(1+InflationRate)^(A954/12)</f>
        <v/>
      </c>
      <c r="AT954" s="29">
        <f>ExpenseAcq*M954+N954*ExpenseMaint/12*AS954</f>
        <v/>
      </c>
      <c r="AU954" s="29">
        <f>CommissionRate*AE954</f>
        <v/>
      </c>
      <c r="AV954" s="34">
        <f>AB955-AB954</f>
        <v/>
      </c>
      <c r="AW954" s="34">
        <f>AE954+AR954-AN954-AT954-AU954-AV954</f>
        <v/>
      </c>
      <c r="AX954" s="29">
        <f>LoadPremRate*E954*N954+AK954+AQ954-AU954-AT954</f>
        <v/>
      </c>
      <c r="AY954" s="34">
        <f>AP954-AO954</f>
        <v/>
      </c>
      <c r="AZ954" s="37">
        <f>(AW954-AX954-AY954)/MAX(1,ABS(AW954),ABS(AX954),ABS(AY954))</f>
        <v/>
      </c>
      <c r="BA954" s="37">
        <f>IF(OR(K954&gt;0,K955&gt;0),0,(AC955-(AC954+AF954-AQ954-AP954+AR954-AI954-AJ954-AM954))/MAX(1,ABS(AC954),ABS(AC955)))</f>
        <v/>
      </c>
      <c r="BB954" s="35">
        <f>(1+INDEX(DiscRateAnn,INT(A954/12)+1))^(1/12)-1</f>
        <v/>
      </c>
      <c r="BC954" s="31">
        <f>(1+BB954)^-A954</f>
        <v/>
      </c>
      <c r="BD954" s="34">
        <f>AW954*BC954</f>
        <v/>
      </c>
    </row>
    <row r="955">
      <c r="A955" s="27">
        <f>A954+1</f>
        <v/>
      </c>
      <c r="B955" s="28">
        <f>Duration0+A955</f>
        <v/>
      </c>
      <c r="C955" s="27">
        <f>INT(B955/12)</f>
        <v/>
      </c>
      <c r="D955" s="28">
        <f>AgeAtEntry+C955</f>
        <v/>
      </c>
      <c r="E955" s="29">
        <f>IF(PremiumType="SINGLE",IF(B955=0,PremiumPPInput,0),IF(B955&lt;12*PolicyTerm,PremiumPPInput,0))</f>
        <v/>
      </c>
      <c r="F955" s="30">
        <f>INDEX(MortRates,MATCH(MIN(D955,120),MortAges,0),MAX(MIN(C955,5),0)+1)</f>
        <v/>
      </c>
      <c r="G955" s="31">
        <f>1-(1-F955)^(1/12)</f>
        <v/>
      </c>
      <c r="H955" s="32">
        <f>MAX(LapseBase-LapseStep*C955,LapseFloor)</f>
        <v/>
      </c>
      <c r="I955" s="32">
        <f>IF(HasSurrCharge,INDEX(SurrRates,MIN(C955,SurrDurMax)+1,MATCH(SurrChargeID,SurrTypes,0)),0)</f>
        <v/>
      </c>
      <c r="J955" s="33">
        <f>N954-P954-O954</f>
        <v/>
      </c>
      <c r="K955" s="30">
        <f>IF(B955=12*PolicyTerm,J955,0)</f>
        <v/>
      </c>
      <c r="L955" s="33">
        <f>J955-K955</f>
        <v/>
      </c>
      <c r="M955" s="30">
        <f>IF(B955=0,PolicyCount,0)</f>
        <v/>
      </c>
      <c r="N955" s="33">
        <f>L955+M955</f>
        <v/>
      </c>
      <c r="O955" s="31">
        <f>N955*G955</f>
        <v/>
      </c>
      <c r="P955" s="33">
        <f>(N955-O955)*(1-(1-H955)^(1/12))</f>
        <v/>
      </c>
      <c r="Q955" s="34">
        <f>X954+Z954</f>
        <v/>
      </c>
      <c r="R955" s="29">
        <f>(1-LoadPremRate)*E955</f>
        <v/>
      </c>
      <c r="S955" s="34">
        <f>Q955+R955</f>
        <v/>
      </c>
      <c r="T955" s="29">
        <f>MaintFeeRateAnn/12*S955</f>
        <v/>
      </c>
      <c r="U955" s="29">
        <f>MAX(SumAssured-S955,0)</f>
        <v/>
      </c>
      <c r="V955" s="35">
        <f>CoiMultiple*G955</f>
        <v/>
      </c>
      <c r="W955" s="34">
        <f>V955*U955</f>
        <v/>
      </c>
      <c r="X955" s="34">
        <f>S955-T955-W955</f>
        <v/>
      </c>
      <c r="Y955" s="36">
        <f>EXP((Mu-0.5*Sigma^2)/12+Sigma*SQRT(1/12)*INDEX(NormRand,ScenID,A955+1))-1</f>
        <v/>
      </c>
      <c r="Z955" s="34">
        <f>Y955*X955</f>
        <v/>
      </c>
      <c r="AA955" s="34">
        <f>X955+0.5*Z955</f>
        <v/>
      </c>
      <c r="AB955" s="34">
        <f>Q955*J955</f>
        <v/>
      </c>
      <c r="AC955" s="34">
        <f>Q955*L955</f>
        <v/>
      </c>
      <c r="AD955" s="34">
        <f>S955*N955</f>
        <v/>
      </c>
      <c r="AE955" s="34">
        <f>E955*N955</f>
        <v/>
      </c>
      <c r="AF955" s="34">
        <f>R955*N955</f>
        <v/>
      </c>
      <c r="AG955" s="29">
        <f>MAX(SumAssured,AA955)</f>
        <v/>
      </c>
      <c r="AH955" s="34">
        <f>AG955*O955</f>
        <v/>
      </c>
      <c r="AI955" s="34">
        <f>AA955*O955</f>
        <v/>
      </c>
      <c r="AJ955" s="34">
        <f>AA955*P955</f>
        <v/>
      </c>
      <c r="AK955" s="34">
        <f>I955*AA955*P955</f>
        <v/>
      </c>
      <c r="AL955" s="34">
        <f>AJ955-AK955</f>
        <v/>
      </c>
      <c r="AM955" s="34">
        <f>Q955*K955</f>
        <v/>
      </c>
      <c r="AN955" s="34">
        <f>AH955+AL955+AM955</f>
        <v/>
      </c>
      <c r="AO955" s="34">
        <f>(AG955-AA955)*O955</f>
        <v/>
      </c>
      <c r="AP955" s="34">
        <f>W955*N955</f>
        <v/>
      </c>
      <c r="AQ955" s="34">
        <f>T955*N955</f>
        <v/>
      </c>
      <c r="AR955" s="34">
        <f>Z955*J956+0.5*Z955*(O955+P955)</f>
        <v/>
      </c>
      <c r="AS955" s="30">
        <f>(1+InflationRate)^(A955/12)</f>
        <v/>
      </c>
      <c r="AT955" s="29">
        <f>ExpenseAcq*M955+N955*ExpenseMaint/12*AS955</f>
        <v/>
      </c>
      <c r="AU955" s="29">
        <f>CommissionRate*AE955</f>
        <v/>
      </c>
      <c r="AV955" s="34">
        <f>AB956-AB955</f>
        <v/>
      </c>
      <c r="AW955" s="34">
        <f>AE955+AR955-AN955-AT955-AU955-AV955</f>
        <v/>
      </c>
      <c r="AX955" s="29">
        <f>LoadPremRate*E955*N955+AK955+AQ955-AU955-AT955</f>
        <v/>
      </c>
      <c r="AY955" s="34">
        <f>AP955-AO955</f>
        <v/>
      </c>
      <c r="AZ955" s="37">
        <f>(AW955-AX955-AY955)/MAX(1,ABS(AW955),ABS(AX955),ABS(AY955))</f>
        <v/>
      </c>
      <c r="BA955" s="37">
        <f>IF(OR(K955&gt;0,K956&gt;0),0,(AC956-(AC955+AF955-AQ955-AP955+AR955-AI955-AJ955-AM955))/MAX(1,ABS(AC955),ABS(AC956)))</f>
        <v/>
      </c>
      <c r="BB955" s="35">
        <f>(1+INDEX(DiscRateAnn,INT(A955/12)+1))^(1/12)-1</f>
        <v/>
      </c>
      <c r="BC955" s="31">
        <f>(1+BB955)^-A955</f>
        <v/>
      </c>
      <c r="BD955" s="34">
        <f>AW955*BC955</f>
        <v/>
      </c>
    </row>
    <row r="956">
      <c r="A956" s="27">
        <f>A955+1</f>
        <v/>
      </c>
      <c r="B956" s="28">
        <f>Duration0+A956</f>
        <v/>
      </c>
      <c r="C956" s="27">
        <f>INT(B956/12)</f>
        <v/>
      </c>
      <c r="D956" s="28">
        <f>AgeAtEntry+C956</f>
        <v/>
      </c>
      <c r="E956" s="29">
        <f>IF(PremiumType="SINGLE",IF(B956=0,PremiumPPInput,0),IF(B956&lt;12*PolicyTerm,PremiumPPInput,0))</f>
        <v/>
      </c>
      <c r="F956" s="30">
        <f>INDEX(MortRates,MATCH(MIN(D956,120),MortAges,0),MAX(MIN(C956,5),0)+1)</f>
        <v/>
      </c>
      <c r="G956" s="31">
        <f>1-(1-F956)^(1/12)</f>
        <v/>
      </c>
      <c r="H956" s="32">
        <f>MAX(LapseBase-LapseStep*C956,LapseFloor)</f>
        <v/>
      </c>
      <c r="I956" s="32">
        <f>IF(HasSurrCharge,INDEX(SurrRates,MIN(C956,SurrDurMax)+1,MATCH(SurrChargeID,SurrTypes,0)),0)</f>
        <v/>
      </c>
      <c r="J956" s="33">
        <f>N955-P955-O955</f>
        <v/>
      </c>
      <c r="K956" s="30">
        <f>IF(B956=12*PolicyTerm,J956,0)</f>
        <v/>
      </c>
      <c r="L956" s="33">
        <f>J956-K956</f>
        <v/>
      </c>
      <c r="M956" s="30">
        <f>IF(B956=0,PolicyCount,0)</f>
        <v/>
      </c>
      <c r="N956" s="33">
        <f>L956+M956</f>
        <v/>
      </c>
      <c r="O956" s="31">
        <f>N956*G956</f>
        <v/>
      </c>
      <c r="P956" s="33">
        <f>(N956-O956)*(1-(1-H956)^(1/12))</f>
        <v/>
      </c>
      <c r="Q956" s="34">
        <f>X955+Z955</f>
        <v/>
      </c>
      <c r="R956" s="29">
        <f>(1-LoadPremRate)*E956</f>
        <v/>
      </c>
      <c r="S956" s="34">
        <f>Q956+R956</f>
        <v/>
      </c>
      <c r="T956" s="29">
        <f>MaintFeeRateAnn/12*S956</f>
        <v/>
      </c>
      <c r="U956" s="29">
        <f>MAX(SumAssured-S956,0)</f>
        <v/>
      </c>
      <c r="V956" s="35">
        <f>CoiMultiple*G956</f>
        <v/>
      </c>
      <c r="W956" s="34">
        <f>V956*U956</f>
        <v/>
      </c>
      <c r="X956" s="34">
        <f>S956-T956-W956</f>
        <v/>
      </c>
      <c r="Y956" s="36">
        <f>EXP((Mu-0.5*Sigma^2)/12+Sigma*SQRT(1/12)*INDEX(NormRand,ScenID,A956+1))-1</f>
        <v/>
      </c>
      <c r="Z956" s="34">
        <f>Y956*X956</f>
        <v/>
      </c>
      <c r="AA956" s="34">
        <f>X956+0.5*Z956</f>
        <v/>
      </c>
      <c r="AB956" s="34">
        <f>Q956*J956</f>
        <v/>
      </c>
      <c r="AC956" s="34">
        <f>Q956*L956</f>
        <v/>
      </c>
      <c r="AD956" s="34">
        <f>S956*N956</f>
        <v/>
      </c>
      <c r="AE956" s="34">
        <f>E956*N956</f>
        <v/>
      </c>
      <c r="AF956" s="34">
        <f>R956*N956</f>
        <v/>
      </c>
      <c r="AG956" s="29">
        <f>MAX(SumAssured,AA956)</f>
        <v/>
      </c>
      <c r="AH956" s="34">
        <f>AG956*O956</f>
        <v/>
      </c>
      <c r="AI956" s="34">
        <f>AA956*O956</f>
        <v/>
      </c>
      <c r="AJ956" s="34">
        <f>AA956*P956</f>
        <v/>
      </c>
      <c r="AK956" s="34">
        <f>I956*AA956*P956</f>
        <v/>
      </c>
      <c r="AL956" s="34">
        <f>AJ956-AK956</f>
        <v/>
      </c>
      <c r="AM956" s="34">
        <f>Q956*K956</f>
        <v/>
      </c>
      <c r="AN956" s="34">
        <f>AH956+AL956+AM956</f>
        <v/>
      </c>
      <c r="AO956" s="34">
        <f>(AG956-AA956)*O956</f>
        <v/>
      </c>
      <c r="AP956" s="34">
        <f>W956*N956</f>
        <v/>
      </c>
      <c r="AQ956" s="34">
        <f>T956*N956</f>
        <v/>
      </c>
      <c r="AR956" s="34">
        <f>Z956*J957+0.5*Z956*(O956+P956)</f>
        <v/>
      </c>
      <c r="AS956" s="30">
        <f>(1+InflationRate)^(A956/12)</f>
        <v/>
      </c>
      <c r="AT956" s="29">
        <f>ExpenseAcq*M956+N956*ExpenseMaint/12*AS956</f>
        <v/>
      </c>
      <c r="AU956" s="29">
        <f>CommissionRate*AE956</f>
        <v/>
      </c>
      <c r="AV956" s="34">
        <f>AB957-AB956</f>
        <v/>
      </c>
      <c r="AW956" s="34">
        <f>AE956+AR956-AN956-AT956-AU956-AV956</f>
        <v/>
      </c>
      <c r="AX956" s="29">
        <f>LoadPremRate*E956*N956+AK956+AQ956-AU956-AT956</f>
        <v/>
      </c>
      <c r="AY956" s="34">
        <f>AP956-AO956</f>
        <v/>
      </c>
      <c r="AZ956" s="37">
        <f>(AW956-AX956-AY956)/MAX(1,ABS(AW956),ABS(AX956),ABS(AY956))</f>
        <v/>
      </c>
      <c r="BA956" s="37">
        <f>IF(OR(K956&gt;0,K957&gt;0),0,(AC957-(AC956+AF956-AQ956-AP956+AR956-AI956-AJ956-AM956))/MAX(1,ABS(AC956),ABS(AC957)))</f>
        <v/>
      </c>
      <c r="BB956" s="35">
        <f>(1+INDEX(DiscRateAnn,INT(A956/12)+1))^(1/12)-1</f>
        <v/>
      </c>
      <c r="BC956" s="31">
        <f>(1+BB956)^-A956</f>
        <v/>
      </c>
      <c r="BD956" s="34">
        <f>AW956*BC956</f>
        <v/>
      </c>
    </row>
    <row r="957">
      <c r="A957" s="27">
        <f>A956+1</f>
        <v/>
      </c>
      <c r="B957" s="28">
        <f>Duration0+A957</f>
        <v/>
      </c>
      <c r="C957" s="27">
        <f>INT(B957/12)</f>
        <v/>
      </c>
      <c r="D957" s="28">
        <f>AgeAtEntry+C957</f>
        <v/>
      </c>
      <c r="E957" s="29">
        <f>IF(PremiumType="SINGLE",IF(B957=0,PremiumPPInput,0),IF(B957&lt;12*PolicyTerm,PremiumPPInput,0))</f>
        <v/>
      </c>
      <c r="F957" s="30">
        <f>INDEX(MortRates,MATCH(MIN(D957,120),MortAges,0),MAX(MIN(C957,5),0)+1)</f>
        <v/>
      </c>
      <c r="G957" s="31">
        <f>1-(1-F957)^(1/12)</f>
        <v/>
      </c>
      <c r="H957" s="32">
        <f>MAX(LapseBase-LapseStep*C957,LapseFloor)</f>
        <v/>
      </c>
      <c r="I957" s="32">
        <f>IF(HasSurrCharge,INDEX(SurrRates,MIN(C957,SurrDurMax)+1,MATCH(SurrChargeID,SurrTypes,0)),0)</f>
        <v/>
      </c>
      <c r="J957" s="33">
        <f>N956-P956-O956</f>
        <v/>
      </c>
      <c r="K957" s="30">
        <f>IF(B957=12*PolicyTerm,J957,0)</f>
        <v/>
      </c>
      <c r="L957" s="33">
        <f>J957-K957</f>
        <v/>
      </c>
      <c r="M957" s="30">
        <f>IF(B957=0,PolicyCount,0)</f>
        <v/>
      </c>
      <c r="N957" s="33">
        <f>L957+M957</f>
        <v/>
      </c>
      <c r="O957" s="31">
        <f>N957*G957</f>
        <v/>
      </c>
      <c r="P957" s="33">
        <f>(N957-O957)*(1-(1-H957)^(1/12))</f>
        <v/>
      </c>
      <c r="Q957" s="34">
        <f>X956+Z956</f>
        <v/>
      </c>
      <c r="R957" s="29">
        <f>(1-LoadPremRate)*E957</f>
        <v/>
      </c>
      <c r="S957" s="34">
        <f>Q957+R957</f>
        <v/>
      </c>
      <c r="T957" s="29">
        <f>MaintFeeRateAnn/12*S957</f>
        <v/>
      </c>
      <c r="U957" s="29">
        <f>MAX(SumAssured-S957,0)</f>
        <v/>
      </c>
      <c r="V957" s="35">
        <f>CoiMultiple*G957</f>
        <v/>
      </c>
      <c r="W957" s="34">
        <f>V957*U957</f>
        <v/>
      </c>
      <c r="X957" s="34">
        <f>S957-T957-W957</f>
        <v/>
      </c>
      <c r="Y957" s="36">
        <f>EXP((Mu-0.5*Sigma^2)/12+Sigma*SQRT(1/12)*INDEX(NormRand,ScenID,A957+1))-1</f>
        <v/>
      </c>
      <c r="Z957" s="34">
        <f>Y957*X957</f>
        <v/>
      </c>
      <c r="AA957" s="34">
        <f>X957+0.5*Z957</f>
        <v/>
      </c>
      <c r="AB957" s="34">
        <f>Q957*J957</f>
        <v/>
      </c>
      <c r="AC957" s="34">
        <f>Q957*L957</f>
        <v/>
      </c>
      <c r="AD957" s="34">
        <f>S957*N957</f>
        <v/>
      </c>
      <c r="AE957" s="34">
        <f>E957*N957</f>
        <v/>
      </c>
      <c r="AF957" s="34">
        <f>R957*N957</f>
        <v/>
      </c>
      <c r="AG957" s="29">
        <f>MAX(SumAssured,AA957)</f>
        <v/>
      </c>
      <c r="AH957" s="34">
        <f>AG957*O957</f>
        <v/>
      </c>
      <c r="AI957" s="34">
        <f>AA957*O957</f>
        <v/>
      </c>
      <c r="AJ957" s="34">
        <f>AA957*P957</f>
        <v/>
      </c>
      <c r="AK957" s="34">
        <f>I957*AA957*P957</f>
        <v/>
      </c>
      <c r="AL957" s="34">
        <f>AJ957-AK957</f>
        <v/>
      </c>
      <c r="AM957" s="34">
        <f>Q957*K957</f>
        <v/>
      </c>
      <c r="AN957" s="34">
        <f>AH957+AL957+AM957</f>
        <v/>
      </c>
      <c r="AO957" s="34">
        <f>(AG957-AA957)*O957</f>
        <v/>
      </c>
      <c r="AP957" s="34">
        <f>W957*N957</f>
        <v/>
      </c>
      <c r="AQ957" s="34">
        <f>T957*N957</f>
        <v/>
      </c>
      <c r="AR957" s="34">
        <f>Z957*J958+0.5*Z957*(O957+P957)</f>
        <v/>
      </c>
      <c r="AS957" s="30">
        <f>(1+InflationRate)^(A957/12)</f>
        <v/>
      </c>
      <c r="AT957" s="29">
        <f>ExpenseAcq*M957+N957*ExpenseMaint/12*AS957</f>
        <v/>
      </c>
      <c r="AU957" s="29">
        <f>CommissionRate*AE957</f>
        <v/>
      </c>
      <c r="AV957" s="34">
        <f>AB958-AB957</f>
        <v/>
      </c>
      <c r="AW957" s="34">
        <f>AE957+AR957-AN957-AT957-AU957-AV957</f>
        <v/>
      </c>
      <c r="AX957" s="29">
        <f>LoadPremRate*E957*N957+AK957+AQ957-AU957-AT957</f>
        <v/>
      </c>
      <c r="AY957" s="34">
        <f>AP957-AO957</f>
        <v/>
      </c>
      <c r="AZ957" s="37">
        <f>(AW957-AX957-AY957)/MAX(1,ABS(AW957),ABS(AX957),ABS(AY957))</f>
        <v/>
      </c>
      <c r="BA957" s="37">
        <f>IF(OR(K957&gt;0,K958&gt;0),0,(AC958-(AC957+AF957-AQ957-AP957+AR957-AI957-AJ957-AM957))/MAX(1,ABS(AC957),ABS(AC958)))</f>
        <v/>
      </c>
      <c r="BB957" s="35">
        <f>(1+INDEX(DiscRateAnn,INT(A957/12)+1))^(1/12)-1</f>
        <v/>
      </c>
      <c r="BC957" s="31">
        <f>(1+BB957)^-A957</f>
        <v/>
      </c>
      <c r="BD957" s="34">
        <f>AW957*BC957</f>
        <v/>
      </c>
    </row>
    <row r="958">
      <c r="A958" s="27">
        <f>A957+1</f>
        <v/>
      </c>
      <c r="B958" s="28">
        <f>Duration0+A958</f>
        <v/>
      </c>
      <c r="C958" s="27">
        <f>INT(B958/12)</f>
        <v/>
      </c>
      <c r="D958" s="28">
        <f>AgeAtEntry+C958</f>
        <v/>
      </c>
      <c r="E958" s="29">
        <f>IF(PremiumType="SINGLE",IF(B958=0,PremiumPPInput,0),IF(B958&lt;12*PolicyTerm,PremiumPPInput,0))</f>
        <v/>
      </c>
      <c r="F958" s="30">
        <f>INDEX(MortRates,MATCH(MIN(D958,120),MortAges,0),MAX(MIN(C958,5),0)+1)</f>
        <v/>
      </c>
      <c r="G958" s="31">
        <f>1-(1-F958)^(1/12)</f>
        <v/>
      </c>
      <c r="H958" s="32">
        <f>MAX(LapseBase-LapseStep*C958,LapseFloor)</f>
        <v/>
      </c>
      <c r="I958" s="32">
        <f>IF(HasSurrCharge,INDEX(SurrRates,MIN(C958,SurrDurMax)+1,MATCH(SurrChargeID,SurrTypes,0)),0)</f>
        <v/>
      </c>
      <c r="J958" s="33">
        <f>N957-P957-O957</f>
        <v/>
      </c>
      <c r="K958" s="30">
        <f>IF(B958=12*PolicyTerm,J958,0)</f>
        <v/>
      </c>
      <c r="L958" s="33">
        <f>J958-K958</f>
        <v/>
      </c>
      <c r="M958" s="30">
        <f>IF(B958=0,PolicyCount,0)</f>
        <v/>
      </c>
      <c r="N958" s="33">
        <f>L958+M958</f>
        <v/>
      </c>
      <c r="O958" s="31">
        <f>N958*G958</f>
        <v/>
      </c>
      <c r="P958" s="33">
        <f>(N958-O958)*(1-(1-H958)^(1/12))</f>
        <v/>
      </c>
      <c r="Q958" s="34">
        <f>X957+Z957</f>
        <v/>
      </c>
      <c r="R958" s="29">
        <f>(1-LoadPremRate)*E958</f>
        <v/>
      </c>
      <c r="S958" s="34">
        <f>Q958+R958</f>
        <v/>
      </c>
      <c r="T958" s="29">
        <f>MaintFeeRateAnn/12*S958</f>
        <v/>
      </c>
      <c r="U958" s="29">
        <f>MAX(SumAssured-S958,0)</f>
        <v/>
      </c>
      <c r="V958" s="35">
        <f>CoiMultiple*G958</f>
        <v/>
      </c>
      <c r="W958" s="34">
        <f>V958*U958</f>
        <v/>
      </c>
      <c r="X958" s="34">
        <f>S958-T958-W958</f>
        <v/>
      </c>
      <c r="Y958" s="36">
        <f>EXP((Mu-0.5*Sigma^2)/12+Sigma*SQRT(1/12)*INDEX(NormRand,ScenID,A958+1))-1</f>
        <v/>
      </c>
      <c r="Z958" s="34">
        <f>Y958*X958</f>
        <v/>
      </c>
      <c r="AA958" s="34">
        <f>X958+0.5*Z958</f>
        <v/>
      </c>
      <c r="AB958" s="34">
        <f>Q958*J958</f>
        <v/>
      </c>
      <c r="AC958" s="34">
        <f>Q958*L958</f>
        <v/>
      </c>
      <c r="AD958" s="34">
        <f>S958*N958</f>
        <v/>
      </c>
      <c r="AE958" s="34">
        <f>E958*N958</f>
        <v/>
      </c>
      <c r="AF958" s="34">
        <f>R958*N958</f>
        <v/>
      </c>
      <c r="AG958" s="29">
        <f>MAX(SumAssured,AA958)</f>
        <v/>
      </c>
      <c r="AH958" s="34">
        <f>AG958*O958</f>
        <v/>
      </c>
      <c r="AI958" s="34">
        <f>AA958*O958</f>
        <v/>
      </c>
      <c r="AJ958" s="34">
        <f>AA958*P958</f>
        <v/>
      </c>
      <c r="AK958" s="34">
        <f>I958*AA958*P958</f>
        <v/>
      </c>
      <c r="AL958" s="34">
        <f>AJ958-AK958</f>
        <v/>
      </c>
      <c r="AM958" s="34">
        <f>Q958*K958</f>
        <v/>
      </c>
      <c r="AN958" s="34">
        <f>AH958+AL958+AM958</f>
        <v/>
      </c>
      <c r="AO958" s="34">
        <f>(AG958-AA958)*O958</f>
        <v/>
      </c>
      <c r="AP958" s="34">
        <f>W958*N958</f>
        <v/>
      </c>
      <c r="AQ958" s="34">
        <f>T958*N958</f>
        <v/>
      </c>
      <c r="AR958" s="34">
        <f>Z958*J959+0.5*Z958*(O958+P958)</f>
        <v/>
      </c>
      <c r="AS958" s="30">
        <f>(1+InflationRate)^(A958/12)</f>
        <v/>
      </c>
      <c r="AT958" s="29">
        <f>ExpenseAcq*M958+N958*ExpenseMaint/12*AS958</f>
        <v/>
      </c>
      <c r="AU958" s="29">
        <f>CommissionRate*AE958</f>
        <v/>
      </c>
      <c r="AV958" s="34">
        <f>AB959-AB958</f>
        <v/>
      </c>
      <c r="AW958" s="34">
        <f>AE958+AR958-AN958-AT958-AU958-AV958</f>
        <v/>
      </c>
      <c r="AX958" s="29">
        <f>LoadPremRate*E958*N958+AK958+AQ958-AU958-AT958</f>
        <v/>
      </c>
      <c r="AY958" s="34">
        <f>AP958-AO958</f>
        <v/>
      </c>
      <c r="AZ958" s="37">
        <f>(AW958-AX958-AY958)/MAX(1,ABS(AW958),ABS(AX958),ABS(AY958))</f>
        <v/>
      </c>
      <c r="BA958" s="37">
        <f>IF(OR(K958&gt;0,K959&gt;0),0,(AC959-(AC958+AF958-AQ958-AP958+AR958-AI958-AJ958-AM958))/MAX(1,ABS(AC958),ABS(AC959)))</f>
        <v/>
      </c>
      <c r="BB958" s="35">
        <f>(1+INDEX(DiscRateAnn,INT(A958/12)+1))^(1/12)-1</f>
        <v/>
      </c>
      <c r="BC958" s="31">
        <f>(1+BB958)^-A958</f>
        <v/>
      </c>
      <c r="BD958" s="34">
        <f>AW958*BC958</f>
        <v/>
      </c>
    </row>
    <row r="959">
      <c r="A959" s="27">
        <f>A958+1</f>
        <v/>
      </c>
      <c r="B959" s="28">
        <f>Duration0+A959</f>
        <v/>
      </c>
      <c r="C959" s="27">
        <f>INT(B959/12)</f>
        <v/>
      </c>
      <c r="D959" s="28">
        <f>AgeAtEntry+C959</f>
        <v/>
      </c>
      <c r="E959" s="29">
        <f>IF(PremiumType="SINGLE",IF(B959=0,PremiumPPInput,0),IF(B959&lt;12*PolicyTerm,PremiumPPInput,0))</f>
        <v/>
      </c>
      <c r="F959" s="30">
        <f>INDEX(MortRates,MATCH(MIN(D959,120),MortAges,0),MAX(MIN(C959,5),0)+1)</f>
        <v/>
      </c>
      <c r="G959" s="31">
        <f>1-(1-F959)^(1/12)</f>
        <v/>
      </c>
      <c r="H959" s="32">
        <f>MAX(LapseBase-LapseStep*C959,LapseFloor)</f>
        <v/>
      </c>
      <c r="I959" s="32">
        <f>IF(HasSurrCharge,INDEX(SurrRates,MIN(C959,SurrDurMax)+1,MATCH(SurrChargeID,SurrTypes,0)),0)</f>
        <v/>
      </c>
      <c r="J959" s="33">
        <f>N958-P958-O958</f>
        <v/>
      </c>
      <c r="K959" s="30">
        <f>IF(B959=12*PolicyTerm,J959,0)</f>
        <v/>
      </c>
      <c r="L959" s="33">
        <f>J959-K959</f>
        <v/>
      </c>
      <c r="M959" s="30">
        <f>IF(B959=0,PolicyCount,0)</f>
        <v/>
      </c>
      <c r="N959" s="33">
        <f>L959+M959</f>
        <v/>
      </c>
      <c r="O959" s="31">
        <f>N959*G959</f>
        <v/>
      </c>
      <c r="P959" s="33">
        <f>(N959-O959)*(1-(1-H959)^(1/12))</f>
        <v/>
      </c>
      <c r="Q959" s="34">
        <f>X958+Z958</f>
        <v/>
      </c>
      <c r="R959" s="29">
        <f>(1-LoadPremRate)*E959</f>
        <v/>
      </c>
      <c r="S959" s="34">
        <f>Q959+R959</f>
        <v/>
      </c>
      <c r="T959" s="29">
        <f>MaintFeeRateAnn/12*S959</f>
        <v/>
      </c>
      <c r="U959" s="29">
        <f>MAX(SumAssured-S959,0)</f>
        <v/>
      </c>
      <c r="V959" s="35">
        <f>CoiMultiple*G959</f>
        <v/>
      </c>
      <c r="W959" s="34">
        <f>V959*U959</f>
        <v/>
      </c>
      <c r="X959" s="34">
        <f>S959-T959-W959</f>
        <v/>
      </c>
      <c r="Y959" s="36">
        <f>EXP((Mu-0.5*Sigma^2)/12+Sigma*SQRT(1/12)*INDEX(NormRand,ScenID,A959+1))-1</f>
        <v/>
      </c>
      <c r="Z959" s="34">
        <f>Y959*X959</f>
        <v/>
      </c>
      <c r="AA959" s="34">
        <f>X959+0.5*Z959</f>
        <v/>
      </c>
      <c r="AB959" s="34">
        <f>Q959*J959</f>
        <v/>
      </c>
      <c r="AC959" s="34">
        <f>Q959*L959</f>
        <v/>
      </c>
      <c r="AD959" s="34">
        <f>S959*N959</f>
        <v/>
      </c>
      <c r="AE959" s="34">
        <f>E959*N959</f>
        <v/>
      </c>
      <c r="AF959" s="34">
        <f>R959*N959</f>
        <v/>
      </c>
      <c r="AG959" s="29">
        <f>MAX(SumAssured,AA959)</f>
        <v/>
      </c>
      <c r="AH959" s="34">
        <f>AG959*O959</f>
        <v/>
      </c>
      <c r="AI959" s="34">
        <f>AA959*O959</f>
        <v/>
      </c>
      <c r="AJ959" s="34">
        <f>AA959*P959</f>
        <v/>
      </c>
      <c r="AK959" s="34">
        <f>I959*AA959*P959</f>
        <v/>
      </c>
      <c r="AL959" s="34">
        <f>AJ959-AK959</f>
        <v/>
      </c>
      <c r="AM959" s="34">
        <f>Q959*K959</f>
        <v/>
      </c>
      <c r="AN959" s="34">
        <f>AH959+AL959+AM959</f>
        <v/>
      </c>
      <c r="AO959" s="34">
        <f>(AG959-AA959)*O959</f>
        <v/>
      </c>
      <c r="AP959" s="34">
        <f>W959*N959</f>
        <v/>
      </c>
      <c r="AQ959" s="34">
        <f>T959*N959</f>
        <v/>
      </c>
      <c r="AR959" s="34">
        <f>Z959*J960+0.5*Z959*(O959+P959)</f>
        <v/>
      </c>
      <c r="AS959" s="30">
        <f>(1+InflationRate)^(A959/12)</f>
        <v/>
      </c>
      <c r="AT959" s="29">
        <f>ExpenseAcq*M959+N959*ExpenseMaint/12*AS959</f>
        <v/>
      </c>
      <c r="AU959" s="29">
        <f>CommissionRate*AE959</f>
        <v/>
      </c>
      <c r="AV959" s="34">
        <f>AB960-AB959</f>
        <v/>
      </c>
      <c r="AW959" s="34">
        <f>AE959+AR959-AN959-AT959-AU959-AV959</f>
        <v/>
      </c>
      <c r="AX959" s="29">
        <f>LoadPremRate*E959*N959+AK959+AQ959-AU959-AT959</f>
        <v/>
      </c>
      <c r="AY959" s="34">
        <f>AP959-AO959</f>
        <v/>
      </c>
      <c r="AZ959" s="37">
        <f>(AW959-AX959-AY959)/MAX(1,ABS(AW959),ABS(AX959),ABS(AY959))</f>
        <v/>
      </c>
      <c r="BA959" s="37">
        <f>IF(OR(K959&gt;0,K960&gt;0),0,(AC960-(AC959+AF959-AQ959-AP959+AR959-AI959-AJ959-AM959))/MAX(1,ABS(AC959),ABS(AC960)))</f>
        <v/>
      </c>
      <c r="BB959" s="35">
        <f>(1+INDEX(DiscRateAnn,INT(A959/12)+1))^(1/12)-1</f>
        <v/>
      </c>
      <c r="BC959" s="31">
        <f>(1+BB959)^-A959</f>
        <v/>
      </c>
      <c r="BD959" s="34">
        <f>AW959*BC959</f>
        <v/>
      </c>
    </row>
    <row r="960">
      <c r="A960" s="27">
        <f>A959+1</f>
        <v/>
      </c>
      <c r="B960" s="28">
        <f>Duration0+A960</f>
        <v/>
      </c>
      <c r="C960" s="27">
        <f>INT(B960/12)</f>
        <v/>
      </c>
      <c r="D960" s="28">
        <f>AgeAtEntry+C960</f>
        <v/>
      </c>
      <c r="E960" s="29">
        <f>IF(PremiumType="SINGLE",IF(B960=0,PremiumPPInput,0),IF(B960&lt;12*PolicyTerm,PremiumPPInput,0))</f>
        <v/>
      </c>
      <c r="F960" s="30">
        <f>INDEX(MortRates,MATCH(MIN(D960,120),MortAges,0),MAX(MIN(C960,5),0)+1)</f>
        <v/>
      </c>
      <c r="G960" s="31">
        <f>1-(1-F960)^(1/12)</f>
        <v/>
      </c>
      <c r="H960" s="32">
        <f>MAX(LapseBase-LapseStep*C960,LapseFloor)</f>
        <v/>
      </c>
      <c r="I960" s="32">
        <f>IF(HasSurrCharge,INDEX(SurrRates,MIN(C960,SurrDurMax)+1,MATCH(SurrChargeID,SurrTypes,0)),0)</f>
        <v/>
      </c>
      <c r="J960" s="33">
        <f>N959-P959-O959</f>
        <v/>
      </c>
      <c r="K960" s="30">
        <f>IF(B960=12*PolicyTerm,J960,0)</f>
        <v/>
      </c>
      <c r="L960" s="33">
        <f>J960-K960</f>
        <v/>
      </c>
      <c r="M960" s="30">
        <f>IF(B960=0,PolicyCount,0)</f>
        <v/>
      </c>
      <c r="N960" s="33">
        <f>L960+M960</f>
        <v/>
      </c>
      <c r="O960" s="31">
        <f>N960*G960</f>
        <v/>
      </c>
      <c r="P960" s="33">
        <f>(N960-O960)*(1-(1-H960)^(1/12))</f>
        <v/>
      </c>
      <c r="Q960" s="34">
        <f>X959+Z959</f>
        <v/>
      </c>
      <c r="R960" s="29">
        <f>(1-LoadPremRate)*E960</f>
        <v/>
      </c>
      <c r="S960" s="34">
        <f>Q960+R960</f>
        <v/>
      </c>
      <c r="T960" s="29">
        <f>MaintFeeRateAnn/12*S960</f>
        <v/>
      </c>
      <c r="U960" s="29">
        <f>MAX(SumAssured-S960,0)</f>
        <v/>
      </c>
      <c r="V960" s="35">
        <f>CoiMultiple*G960</f>
        <v/>
      </c>
      <c r="W960" s="34">
        <f>V960*U960</f>
        <v/>
      </c>
      <c r="X960" s="34">
        <f>S960-T960-W960</f>
        <v/>
      </c>
      <c r="Y960" s="36">
        <f>EXP((Mu-0.5*Sigma^2)/12+Sigma*SQRT(1/12)*INDEX(NormRand,ScenID,A960+1))-1</f>
        <v/>
      </c>
      <c r="Z960" s="34">
        <f>Y960*X960</f>
        <v/>
      </c>
      <c r="AA960" s="34">
        <f>X960+0.5*Z960</f>
        <v/>
      </c>
      <c r="AB960" s="34">
        <f>Q960*J960</f>
        <v/>
      </c>
      <c r="AC960" s="34">
        <f>Q960*L960</f>
        <v/>
      </c>
      <c r="AD960" s="34">
        <f>S960*N960</f>
        <v/>
      </c>
      <c r="AE960" s="34">
        <f>E960*N960</f>
        <v/>
      </c>
      <c r="AF960" s="34">
        <f>R960*N960</f>
        <v/>
      </c>
      <c r="AG960" s="29">
        <f>MAX(SumAssured,AA960)</f>
        <v/>
      </c>
      <c r="AH960" s="34">
        <f>AG960*O960</f>
        <v/>
      </c>
      <c r="AI960" s="34">
        <f>AA960*O960</f>
        <v/>
      </c>
      <c r="AJ960" s="34">
        <f>AA960*P960</f>
        <v/>
      </c>
      <c r="AK960" s="34">
        <f>I960*AA960*P960</f>
        <v/>
      </c>
      <c r="AL960" s="34">
        <f>AJ960-AK960</f>
        <v/>
      </c>
      <c r="AM960" s="34">
        <f>Q960*K960</f>
        <v/>
      </c>
      <c r="AN960" s="34">
        <f>AH960+AL960+AM960</f>
        <v/>
      </c>
      <c r="AO960" s="34">
        <f>(AG960-AA960)*O960</f>
        <v/>
      </c>
      <c r="AP960" s="34">
        <f>W960*N960</f>
        <v/>
      </c>
      <c r="AQ960" s="34">
        <f>T960*N960</f>
        <v/>
      </c>
      <c r="AR960" s="34">
        <f>Z960*J961+0.5*Z960*(O960+P960)</f>
        <v/>
      </c>
      <c r="AS960" s="30">
        <f>(1+InflationRate)^(A960/12)</f>
        <v/>
      </c>
      <c r="AT960" s="29">
        <f>ExpenseAcq*M960+N960*ExpenseMaint/12*AS960</f>
        <v/>
      </c>
      <c r="AU960" s="29">
        <f>CommissionRate*AE960</f>
        <v/>
      </c>
      <c r="AV960" s="34">
        <f>AB961-AB960</f>
        <v/>
      </c>
      <c r="AW960" s="34">
        <f>AE960+AR960-AN960-AT960-AU960-AV960</f>
        <v/>
      </c>
      <c r="AX960" s="29">
        <f>LoadPremRate*E960*N960+AK960+AQ960-AU960-AT960</f>
        <v/>
      </c>
      <c r="AY960" s="34">
        <f>AP960-AO960</f>
        <v/>
      </c>
      <c r="AZ960" s="37">
        <f>(AW960-AX960-AY960)/MAX(1,ABS(AW960),ABS(AX960),ABS(AY960))</f>
        <v/>
      </c>
      <c r="BA960" s="37">
        <f>IF(OR(K960&gt;0,K961&gt;0),0,(AC961-(AC960+AF960-AQ960-AP960+AR960-AI960-AJ960-AM960))/MAX(1,ABS(AC960),ABS(AC961)))</f>
        <v/>
      </c>
      <c r="BB960" s="35">
        <f>(1+INDEX(DiscRateAnn,INT(A960/12)+1))^(1/12)-1</f>
        <v/>
      </c>
      <c r="BC960" s="31">
        <f>(1+BB960)^-A960</f>
        <v/>
      </c>
      <c r="BD960" s="34">
        <f>AW960*BC960</f>
        <v/>
      </c>
    </row>
    <row r="961">
      <c r="A961" s="27">
        <f>A960+1</f>
        <v/>
      </c>
      <c r="B961" s="28">
        <f>Duration0+A961</f>
        <v/>
      </c>
      <c r="C961" s="27">
        <f>INT(B961/12)</f>
        <v/>
      </c>
      <c r="D961" s="28">
        <f>AgeAtEntry+C961</f>
        <v/>
      </c>
      <c r="E961" s="29">
        <f>IF(PremiumType="SINGLE",IF(B961=0,PremiumPPInput,0),IF(B961&lt;12*PolicyTerm,PremiumPPInput,0))</f>
        <v/>
      </c>
      <c r="F961" s="30">
        <f>INDEX(MortRates,MATCH(MIN(D961,120),MortAges,0),MAX(MIN(C961,5),0)+1)</f>
        <v/>
      </c>
      <c r="G961" s="31">
        <f>1-(1-F961)^(1/12)</f>
        <v/>
      </c>
      <c r="H961" s="32">
        <f>MAX(LapseBase-LapseStep*C961,LapseFloor)</f>
        <v/>
      </c>
      <c r="I961" s="32">
        <f>IF(HasSurrCharge,INDEX(SurrRates,MIN(C961,SurrDurMax)+1,MATCH(SurrChargeID,SurrTypes,0)),0)</f>
        <v/>
      </c>
      <c r="J961" s="33">
        <f>N960-P960-O960</f>
        <v/>
      </c>
      <c r="K961" s="30">
        <f>IF(B961=12*PolicyTerm,J961,0)</f>
        <v/>
      </c>
      <c r="L961" s="33">
        <f>J961-K961</f>
        <v/>
      </c>
      <c r="M961" s="30">
        <f>IF(B961=0,PolicyCount,0)</f>
        <v/>
      </c>
      <c r="N961" s="33">
        <f>L961+M961</f>
        <v/>
      </c>
      <c r="O961" s="31">
        <f>N961*G961</f>
        <v/>
      </c>
      <c r="P961" s="33">
        <f>(N961-O961)*(1-(1-H961)^(1/12))</f>
        <v/>
      </c>
      <c r="Q961" s="34">
        <f>X960+Z960</f>
        <v/>
      </c>
      <c r="R961" s="29">
        <f>(1-LoadPremRate)*E961</f>
        <v/>
      </c>
      <c r="S961" s="34">
        <f>Q961+R961</f>
        <v/>
      </c>
      <c r="T961" s="29">
        <f>MaintFeeRateAnn/12*S961</f>
        <v/>
      </c>
      <c r="U961" s="29">
        <f>MAX(SumAssured-S961,0)</f>
        <v/>
      </c>
      <c r="V961" s="35">
        <f>CoiMultiple*G961</f>
        <v/>
      </c>
      <c r="W961" s="34">
        <f>V961*U961</f>
        <v/>
      </c>
      <c r="X961" s="34">
        <f>S961-T961-W961</f>
        <v/>
      </c>
      <c r="Y961" s="36">
        <f>EXP((Mu-0.5*Sigma^2)/12+Sigma*SQRT(1/12)*INDEX(NormRand,ScenID,A961+1))-1</f>
        <v/>
      </c>
      <c r="Z961" s="34">
        <f>Y961*X961</f>
        <v/>
      </c>
      <c r="AA961" s="34">
        <f>X961+0.5*Z961</f>
        <v/>
      </c>
      <c r="AB961" s="34">
        <f>Q961*J961</f>
        <v/>
      </c>
      <c r="AC961" s="34">
        <f>Q961*L961</f>
        <v/>
      </c>
      <c r="AD961" s="34">
        <f>S961*N961</f>
        <v/>
      </c>
      <c r="AE961" s="34">
        <f>E961*N961</f>
        <v/>
      </c>
      <c r="AF961" s="34">
        <f>R961*N961</f>
        <v/>
      </c>
      <c r="AG961" s="29">
        <f>MAX(SumAssured,AA961)</f>
        <v/>
      </c>
      <c r="AH961" s="34">
        <f>AG961*O961</f>
        <v/>
      </c>
      <c r="AI961" s="34">
        <f>AA961*O961</f>
        <v/>
      </c>
      <c r="AJ961" s="34">
        <f>AA961*P961</f>
        <v/>
      </c>
      <c r="AK961" s="34">
        <f>I961*AA961*P961</f>
        <v/>
      </c>
      <c r="AL961" s="34">
        <f>AJ961-AK961</f>
        <v/>
      </c>
      <c r="AM961" s="34">
        <f>Q961*K961</f>
        <v/>
      </c>
      <c r="AN961" s="34">
        <f>AH961+AL961+AM961</f>
        <v/>
      </c>
      <c r="AO961" s="34">
        <f>(AG961-AA961)*O961</f>
        <v/>
      </c>
      <c r="AP961" s="34">
        <f>W961*N961</f>
        <v/>
      </c>
      <c r="AQ961" s="34">
        <f>T961*N961</f>
        <v/>
      </c>
      <c r="AR961" s="34">
        <f>Z961*J962+0.5*Z961*(O961+P961)</f>
        <v/>
      </c>
      <c r="AS961" s="30">
        <f>(1+InflationRate)^(A961/12)</f>
        <v/>
      </c>
      <c r="AT961" s="29">
        <f>ExpenseAcq*M961+N961*ExpenseMaint/12*AS961</f>
        <v/>
      </c>
      <c r="AU961" s="29">
        <f>CommissionRate*AE961</f>
        <v/>
      </c>
      <c r="AV961" s="34">
        <f>AB962-AB961</f>
        <v/>
      </c>
      <c r="AW961" s="34">
        <f>AE961+AR961-AN961-AT961-AU961-AV961</f>
        <v/>
      </c>
      <c r="AX961" s="29">
        <f>LoadPremRate*E961*N961+AK961+AQ961-AU961-AT961</f>
        <v/>
      </c>
      <c r="AY961" s="34">
        <f>AP961-AO961</f>
        <v/>
      </c>
      <c r="AZ961" s="37">
        <f>(AW961-AX961-AY961)/MAX(1,ABS(AW961),ABS(AX961),ABS(AY961))</f>
        <v/>
      </c>
      <c r="BA961" s="37">
        <f>IF(OR(K961&gt;0,K962&gt;0),0,(AC962-(AC961+AF961-AQ961-AP961+AR961-AI961-AJ961-AM961))/MAX(1,ABS(AC961),ABS(AC962)))</f>
        <v/>
      </c>
      <c r="BB961" s="35">
        <f>(1+INDEX(DiscRateAnn,INT(A961/12)+1))^(1/12)-1</f>
        <v/>
      </c>
      <c r="BC961" s="31">
        <f>(1+BB961)^-A961</f>
        <v/>
      </c>
      <c r="BD961" s="34">
        <f>AW961*BC961</f>
        <v/>
      </c>
    </row>
    <row r="962">
      <c r="A962" s="27">
        <f>A961+1</f>
        <v/>
      </c>
      <c r="B962" s="28">
        <f>Duration0+A962</f>
        <v/>
      </c>
      <c r="C962" s="27">
        <f>INT(B962/12)</f>
        <v/>
      </c>
      <c r="D962" s="28">
        <f>AgeAtEntry+C962</f>
        <v/>
      </c>
      <c r="E962" s="29">
        <f>IF(PremiumType="SINGLE",IF(B962=0,PremiumPPInput,0),IF(B962&lt;12*PolicyTerm,PremiumPPInput,0))</f>
        <v/>
      </c>
      <c r="F962" s="30">
        <f>INDEX(MortRates,MATCH(MIN(D962,120),MortAges,0),MAX(MIN(C962,5),0)+1)</f>
        <v/>
      </c>
      <c r="G962" s="31">
        <f>1-(1-F962)^(1/12)</f>
        <v/>
      </c>
      <c r="H962" s="32">
        <f>MAX(LapseBase-LapseStep*C962,LapseFloor)</f>
        <v/>
      </c>
      <c r="I962" s="32">
        <f>IF(HasSurrCharge,INDEX(SurrRates,MIN(C962,SurrDurMax)+1,MATCH(SurrChargeID,SurrTypes,0)),0)</f>
        <v/>
      </c>
      <c r="J962" s="33">
        <f>N961-P961-O961</f>
        <v/>
      </c>
      <c r="K962" s="30">
        <f>IF(B962=12*PolicyTerm,J962,0)</f>
        <v/>
      </c>
      <c r="L962" s="33">
        <f>J962-K962</f>
        <v/>
      </c>
      <c r="M962" s="30">
        <f>IF(B962=0,PolicyCount,0)</f>
        <v/>
      </c>
      <c r="N962" s="33">
        <f>L962+M962</f>
        <v/>
      </c>
      <c r="O962" s="31">
        <f>N962*G962</f>
        <v/>
      </c>
      <c r="P962" s="33">
        <f>(N962-O962)*(1-(1-H962)^(1/12))</f>
        <v/>
      </c>
      <c r="Q962" s="34">
        <f>X961+Z961</f>
        <v/>
      </c>
      <c r="R962" s="29">
        <f>(1-LoadPremRate)*E962</f>
        <v/>
      </c>
      <c r="S962" s="34">
        <f>Q962+R962</f>
        <v/>
      </c>
      <c r="T962" s="29">
        <f>MaintFeeRateAnn/12*S962</f>
        <v/>
      </c>
      <c r="U962" s="29">
        <f>MAX(SumAssured-S962,0)</f>
        <v/>
      </c>
      <c r="V962" s="35">
        <f>CoiMultiple*G962</f>
        <v/>
      </c>
      <c r="W962" s="34">
        <f>V962*U962</f>
        <v/>
      </c>
      <c r="X962" s="34">
        <f>S962-T962-W962</f>
        <v/>
      </c>
      <c r="Y962" s="36">
        <f>EXP((Mu-0.5*Sigma^2)/12+Sigma*SQRT(1/12)*INDEX(NormRand,ScenID,A962+1))-1</f>
        <v/>
      </c>
      <c r="Z962" s="34">
        <f>Y962*X962</f>
        <v/>
      </c>
      <c r="AA962" s="34">
        <f>X962+0.5*Z962</f>
        <v/>
      </c>
      <c r="AB962" s="34">
        <f>Q962*J962</f>
        <v/>
      </c>
      <c r="AC962" s="34">
        <f>Q962*L962</f>
        <v/>
      </c>
      <c r="AD962" s="34">
        <f>S962*N962</f>
        <v/>
      </c>
      <c r="AE962" s="34">
        <f>E962*N962</f>
        <v/>
      </c>
      <c r="AF962" s="34">
        <f>R962*N962</f>
        <v/>
      </c>
      <c r="AG962" s="29">
        <f>MAX(SumAssured,AA962)</f>
        <v/>
      </c>
      <c r="AH962" s="34">
        <f>AG962*O962</f>
        <v/>
      </c>
      <c r="AI962" s="34">
        <f>AA962*O962</f>
        <v/>
      </c>
      <c r="AJ962" s="34">
        <f>AA962*P962</f>
        <v/>
      </c>
      <c r="AK962" s="34">
        <f>I962*AA962*P962</f>
        <v/>
      </c>
      <c r="AL962" s="34">
        <f>AJ962-AK962</f>
        <v/>
      </c>
      <c r="AM962" s="34">
        <f>Q962*K962</f>
        <v/>
      </c>
      <c r="AN962" s="34">
        <f>AH962+AL962+AM962</f>
        <v/>
      </c>
      <c r="AO962" s="34">
        <f>(AG962-AA962)*O962</f>
        <v/>
      </c>
      <c r="AP962" s="34">
        <f>W962*N962</f>
        <v/>
      </c>
      <c r="AQ962" s="34">
        <f>T962*N962</f>
        <v/>
      </c>
      <c r="AR962" s="34">
        <f>Z962*J963+0.5*Z962*(O962+P962)</f>
        <v/>
      </c>
      <c r="AS962" s="30">
        <f>(1+InflationRate)^(A962/12)</f>
        <v/>
      </c>
      <c r="AT962" s="29">
        <f>ExpenseAcq*M962+N962*ExpenseMaint/12*AS962</f>
        <v/>
      </c>
      <c r="AU962" s="29">
        <f>CommissionRate*AE962</f>
        <v/>
      </c>
      <c r="AV962" s="34">
        <f>AB963-AB962</f>
        <v/>
      </c>
      <c r="AW962" s="34">
        <f>AE962+AR962-AN962-AT962-AU962-AV962</f>
        <v/>
      </c>
      <c r="AX962" s="29">
        <f>LoadPremRate*E962*N962+AK962+AQ962-AU962-AT962</f>
        <v/>
      </c>
      <c r="AY962" s="34">
        <f>AP962-AO962</f>
        <v/>
      </c>
      <c r="AZ962" s="37">
        <f>(AW962-AX962-AY962)/MAX(1,ABS(AW962),ABS(AX962),ABS(AY962))</f>
        <v/>
      </c>
      <c r="BA962" s="37">
        <f>IF(OR(K962&gt;0,K963&gt;0),0,(AC963-(AC962+AF962-AQ962-AP962+AR962-AI962-AJ962-AM962))/MAX(1,ABS(AC962),ABS(AC963)))</f>
        <v/>
      </c>
      <c r="BB962" s="35">
        <f>(1+INDEX(DiscRateAnn,INT(A962/12)+1))^(1/12)-1</f>
        <v/>
      </c>
      <c r="BC962" s="31">
        <f>(1+BB962)^-A962</f>
        <v/>
      </c>
      <c r="BD962" s="34">
        <f>AW962*BC962</f>
        <v/>
      </c>
    </row>
    <row r="963">
      <c r="A963" s="27">
        <f>A962+1</f>
        <v/>
      </c>
      <c r="B963" s="28">
        <f>Duration0+A963</f>
        <v/>
      </c>
      <c r="C963" s="27">
        <f>INT(B963/12)</f>
        <v/>
      </c>
      <c r="D963" s="28">
        <f>AgeAtEntry+C963</f>
        <v/>
      </c>
      <c r="E963" s="29">
        <f>IF(PremiumType="SINGLE",IF(B963=0,PremiumPPInput,0),IF(B963&lt;12*PolicyTerm,PremiumPPInput,0))</f>
        <v/>
      </c>
      <c r="F963" s="30">
        <f>INDEX(MortRates,MATCH(MIN(D963,120),MortAges,0),MAX(MIN(C963,5),0)+1)</f>
        <v/>
      </c>
      <c r="G963" s="31">
        <f>1-(1-F963)^(1/12)</f>
        <v/>
      </c>
      <c r="H963" s="32">
        <f>MAX(LapseBase-LapseStep*C963,LapseFloor)</f>
        <v/>
      </c>
      <c r="I963" s="32">
        <f>IF(HasSurrCharge,INDEX(SurrRates,MIN(C963,SurrDurMax)+1,MATCH(SurrChargeID,SurrTypes,0)),0)</f>
        <v/>
      </c>
      <c r="J963" s="33">
        <f>N962-P962-O962</f>
        <v/>
      </c>
      <c r="K963" s="30">
        <f>IF(B963=12*PolicyTerm,J963,0)</f>
        <v/>
      </c>
      <c r="L963" s="33">
        <f>J963-K963</f>
        <v/>
      </c>
      <c r="M963" s="30">
        <f>IF(B963=0,PolicyCount,0)</f>
        <v/>
      </c>
      <c r="N963" s="33">
        <f>L963+M963</f>
        <v/>
      </c>
      <c r="O963" s="31">
        <f>N963*G963</f>
        <v/>
      </c>
      <c r="P963" s="33">
        <f>(N963-O963)*(1-(1-H963)^(1/12))</f>
        <v/>
      </c>
      <c r="Q963" s="34">
        <f>X962+Z962</f>
        <v/>
      </c>
      <c r="R963" s="29">
        <f>(1-LoadPremRate)*E963</f>
        <v/>
      </c>
      <c r="S963" s="34">
        <f>Q963+R963</f>
        <v/>
      </c>
      <c r="T963" s="29">
        <f>MaintFeeRateAnn/12*S963</f>
        <v/>
      </c>
      <c r="U963" s="29">
        <f>MAX(SumAssured-S963,0)</f>
        <v/>
      </c>
      <c r="V963" s="35">
        <f>CoiMultiple*G963</f>
        <v/>
      </c>
      <c r="W963" s="34">
        <f>V963*U963</f>
        <v/>
      </c>
      <c r="X963" s="34">
        <f>S963-T963-W963</f>
        <v/>
      </c>
      <c r="Y963" s="36">
        <f>EXP((Mu-0.5*Sigma^2)/12+Sigma*SQRT(1/12)*INDEX(NormRand,ScenID,A963+1))-1</f>
        <v/>
      </c>
      <c r="Z963" s="34">
        <f>Y963*X963</f>
        <v/>
      </c>
      <c r="AA963" s="34">
        <f>X963+0.5*Z963</f>
        <v/>
      </c>
      <c r="AB963" s="34">
        <f>Q963*J963</f>
        <v/>
      </c>
      <c r="AC963" s="34">
        <f>Q963*L963</f>
        <v/>
      </c>
      <c r="AD963" s="34">
        <f>S963*N963</f>
        <v/>
      </c>
      <c r="AE963" s="34">
        <f>E963*N963</f>
        <v/>
      </c>
      <c r="AF963" s="34">
        <f>R963*N963</f>
        <v/>
      </c>
      <c r="AG963" s="29">
        <f>MAX(SumAssured,AA963)</f>
        <v/>
      </c>
      <c r="AH963" s="34">
        <f>AG963*O963</f>
        <v/>
      </c>
      <c r="AI963" s="34">
        <f>AA963*O963</f>
        <v/>
      </c>
      <c r="AJ963" s="34">
        <f>AA963*P963</f>
        <v/>
      </c>
      <c r="AK963" s="34">
        <f>I963*AA963*P963</f>
        <v/>
      </c>
      <c r="AL963" s="34">
        <f>AJ963-AK963</f>
        <v/>
      </c>
      <c r="AM963" s="34">
        <f>Q963*K963</f>
        <v/>
      </c>
      <c r="AN963" s="34">
        <f>AH963+AL963+AM963</f>
        <v/>
      </c>
      <c r="AO963" s="34">
        <f>(AG963-AA963)*O963</f>
        <v/>
      </c>
      <c r="AP963" s="34">
        <f>W963*N963</f>
        <v/>
      </c>
      <c r="AQ963" s="34">
        <f>T963*N963</f>
        <v/>
      </c>
      <c r="AR963" s="34">
        <f>Z963*J964+0.5*Z963*(O963+P963)</f>
        <v/>
      </c>
      <c r="AS963" s="30">
        <f>(1+InflationRate)^(A963/12)</f>
        <v/>
      </c>
      <c r="AT963" s="29">
        <f>ExpenseAcq*M963+N963*ExpenseMaint/12*AS963</f>
        <v/>
      </c>
      <c r="AU963" s="29">
        <f>CommissionRate*AE963</f>
        <v/>
      </c>
      <c r="AV963" s="34">
        <f>AB964-AB963</f>
        <v/>
      </c>
      <c r="AW963" s="34">
        <f>AE963+AR963-AN963-AT963-AU963-AV963</f>
        <v/>
      </c>
      <c r="AX963" s="29">
        <f>LoadPremRate*E963*N963+AK963+AQ963-AU963-AT963</f>
        <v/>
      </c>
      <c r="AY963" s="34">
        <f>AP963-AO963</f>
        <v/>
      </c>
      <c r="AZ963" s="37">
        <f>(AW963-AX963-AY963)/MAX(1,ABS(AW963),ABS(AX963),ABS(AY963))</f>
        <v/>
      </c>
      <c r="BA963" s="37">
        <f>IF(OR(K963&gt;0,K964&gt;0),0,(AC964-(AC963+AF963-AQ963-AP963+AR963-AI963-AJ963-AM963))/MAX(1,ABS(AC963),ABS(AC964)))</f>
        <v/>
      </c>
      <c r="BB963" s="35">
        <f>(1+INDEX(DiscRateAnn,INT(A963/12)+1))^(1/12)-1</f>
        <v/>
      </c>
      <c r="BC963" s="31">
        <f>(1+BB963)^-A963</f>
        <v/>
      </c>
      <c r="BD963" s="34">
        <f>AW963*BC963</f>
        <v/>
      </c>
    </row>
    <row r="964">
      <c r="A964" s="27">
        <f>A963+1</f>
        <v/>
      </c>
      <c r="B964" s="28">
        <f>Duration0+A964</f>
        <v/>
      </c>
      <c r="C964" s="27">
        <f>INT(B964/12)</f>
        <v/>
      </c>
      <c r="D964" s="28">
        <f>AgeAtEntry+C964</f>
        <v/>
      </c>
      <c r="E964" s="29">
        <f>IF(PremiumType="SINGLE",IF(B964=0,PremiumPPInput,0),IF(B964&lt;12*PolicyTerm,PremiumPPInput,0))</f>
        <v/>
      </c>
      <c r="F964" s="30">
        <f>INDEX(MortRates,MATCH(MIN(D964,120),MortAges,0),MAX(MIN(C964,5),0)+1)</f>
        <v/>
      </c>
      <c r="G964" s="31">
        <f>1-(1-F964)^(1/12)</f>
        <v/>
      </c>
      <c r="H964" s="32">
        <f>MAX(LapseBase-LapseStep*C964,LapseFloor)</f>
        <v/>
      </c>
      <c r="I964" s="32">
        <f>IF(HasSurrCharge,INDEX(SurrRates,MIN(C964,SurrDurMax)+1,MATCH(SurrChargeID,SurrTypes,0)),0)</f>
        <v/>
      </c>
      <c r="J964" s="33">
        <f>N963-P963-O963</f>
        <v/>
      </c>
      <c r="K964" s="30">
        <f>IF(B964=12*PolicyTerm,J964,0)</f>
        <v/>
      </c>
      <c r="L964" s="33">
        <f>J964-K964</f>
        <v/>
      </c>
      <c r="M964" s="30">
        <f>IF(B964=0,PolicyCount,0)</f>
        <v/>
      </c>
      <c r="N964" s="33">
        <f>L964+M964</f>
        <v/>
      </c>
      <c r="O964" s="31">
        <f>N964*G964</f>
        <v/>
      </c>
      <c r="P964" s="33">
        <f>(N964-O964)*(1-(1-H964)^(1/12))</f>
        <v/>
      </c>
      <c r="Q964" s="34">
        <f>X963+Z963</f>
        <v/>
      </c>
      <c r="R964" s="29">
        <f>(1-LoadPremRate)*E964</f>
        <v/>
      </c>
      <c r="S964" s="34">
        <f>Q964+R964</f>
        <v/>
      </c>
      <c r="T964" s="29">
        <f>MaintFeeRateAnn/12*S964</f>
        <v/>
      </c>
      <c r="U964" s="29">
        <f>MAX(SumAssured-S964,0)</f>
        <v/>
      </c>
      <c r="V964" s="35">
        <f>CoiMultiple*G964</f>
        <v/>
      </c>
      <c r="W964" s="34">
        <f>V964*U964</f>
        <v/>
      </c>
      <c r="X964" s="34">
        <f>S964-T964-W964</f>
        <v/>
      </c>
      <c r="Y964" s="36">
        <f>EXP((Mu-0.5*Sigma^2)/12+Sigma*SQRT(1/12)*INDEX(NormRand,ScenID,A964+1))-1</f>
        <v/>
      </c>
      <c r="Z964" s="34">
        <f>Y964*X964</f>
        <v/>
      </c>
      <c r="AA964" s="34">
        <f>X964+0.5*Z964</f>
        <v/>
      </c>
      <c r="AB964" s="34">
        <f>Q964*J964</f>
        <v/>
      </c>
      <c r="AC964" s="34">
        <f>Q964*L964</f>
        <v/>
      </c>
      <c r="AD964" s="34">
        <f>S964*N964</f>
        <v/>
      </c>
      <c r="AE964" s="34">
        <f>E964*N964</f>
        <v/>
      </c>
      <c r="AF964" s="34">
        <f>R964*N964</f>
        <v/>
      </c>
      <c r="AG964" s="29">
        <f>MAX(SumAssured,AA964)</f>
        <v/>
      </c>
      <c r="AH964" s="34">
        <f>AG964*O964</f>
        <v/>
      </c>
      <c r="AI964" s="34">
        <f>AA964*O964</f>
        <v/>
      </c>
      <c r="AJ964" s="34">
        <f>AA964*P964</f>
        <v/>
      </c>
      <c r="AK964" s="34">
        <f>I964*AA964*P964</f>
        <v/>
      </c>
      <c r="AL964" s="34">
        <f>AJ964-AK964</f>
        <v/>
      </c>
      <c r="AM964" s="34">
        <f>Q964*K964</f>
        <v/>
      </c>
      <c r="AN964" s="34">
        <f>AH964+AL964+AM964</f>
        <v/>
      </c>
      <c r="AO964" s="34">
        <f>(AG964-AA964)*O964</f>
        <v/>
      </c>
      <c r="AP964" s="34">
        <f>W964*N964</f>
        <v/>
      </c>
      <c r="AQ964" s="34">
        <f>T964*N964</f>
        <v/>
      </c>
      <c r="AR964" s="34">
        <f>Z964*J965+0.5*Z964*(O964+P964)</f>
        <v/>
      </c>
      <c r="AS964" s="30">
        <f>(1+InflationRate)^(A964/12)</f>
        <v/>
      </c>
      <c r="AT964" s="29">
        <f>ExpenseAcq*M964+N964*ExpenseMaint/12*AS964</f>
        <v/>
      </c>
      <c r="AU964" s="29">
        <f>CommissionRate*AE964</f>
        <v/>
      </c>
      <c r="AV964" s="34">
        <f>AB965-AB964</f>
        <v/>
      </c>
      <c r="AW964" s="34">
        <f>AE964+AR964-AN964-AT964-AU964-AV964</f>
        <v/>
      </c>
      <c r="AX964" s="29">
        <f>LoadPremRate*E964*N964+AK964+AQ964-AU964-AT964</f>
        <v/>
      </c>
      <c r="AY964" s="34">
        <f>AP964-AO964</f>
        <v/>
      </c>
      <c r="AZ964" s="37">
        <f>(AW964-AX964-AY964)/MAX(1,ABS(AW964),ABS(AX964),ABS(AY964))</f>
        <v/>
      </c>
      <c r="BA964" s="37">
        <f>IF(OR(K964&gt;0,K965&gt;0),0,(AC965-(AC964+AF964-AQ964-AP964+AR964-AI964-AJ964-AM964))/MAX(1,ABS(AC964),ABS(AC965)))</f>
        <v/>
      </c>
      <c r="BB964" s="35">
        <f>(1+INDEX(DiscRateAnn,INT(A964/12)+1))^(1/12)-1</f>
        <v/>
      </c>
      <c r="BC964" s="31">
        <f>(1+BB964)^-A964</f>
        <v/>
      </c>
      <c r="BD964" s="34">
        <f>AW964*BC964</f>
        <v/>
      </c>
    </row>
    <row r="965">
      <c r="A965" s="27">
        <f>A964+1</f>
        <v/>
      </c>
      <c r="B965" s="28">
        <f>Duration0+A965</f>
        <v/>
      </c>
      <c r="C965" s="27">
        <f>INT(B965/12)</f>
        <v/>
      </c>
      <c r="D965" s="28">
        <f>AgeAtEntry+C965</f>
        <v/>
      </c>
      <c r="E965" s="29">
        <f>IF(PremiumType="SINGLE",IF(B965=0,PremiumPPInput,0),IF(B965&lt;12*PolicyTerm,PremiumPPInput,0))</f>
        <v/>
      </c>
      <c r="F965" s="30">
        <f>INDEX(MortRates,MATCH(MIN(D965,120),MortAges,0),MAX(MIN(C965,5),0)+1)</f>
        <v/>
      </c>
      <c r="G965" s="31">
        <f>1-(1-F965)^(1/12)</f>
        <v/>
      </c>
      <c r="H965" s="32">
        <f>MAX(LapseBase-LapseStep*C965,LapseFloor)</f>
        <v/>
      </c>
      <c r="I965" s="32">
        <f>IF(HasSurrCharge,INDEX(SurrRates,MIN(C965,SurrDurMax)+1,MATCH(SurrChargeID,SurrTypes,0)),0)</f>
        <v/>
      </c>
      <c r="J965" s="33">
        <f>N964-P964-O964</f>
        <v/>
      </c>
      <c r="K965" s="30">
        <f>IF(B965=12*PolicyTerm,J965,0)</f>
        <v/>
      </c>
      <c r="L965" s="33">
        <f>J965-K965</f>
        <v/>
      </c>
      <c r="M965" s="30">
        <f>IF(B965=0,PolicyCount,0)</f>
        <v/>
      </c>
      <c r="N965" s="33">
        <f>L965+M965</f>
        <v/>
      </c>
      <c r="O965" s="31">
        <f>N965*G965</f>
        <v/>
      </c>
      <c r="P965" s="33">
        <f>(N965-O965)*(1-(1-H965)^(1/12))</f>
        <v/>
      </c>
      <c r="Q965" s="34">
        <f>X964+Z964</f>
        <v/>
      </c>
      <c r="R965" s="29">
        <f>(1-LoadPremRate)*E965</f>
        <v/>
      </c>
      <c r="S965" s="34">
        <f>Q965+R965</f>
        <v/>
      </c>
      <c r="T965" s="29">
        <f>MaintFeeRateAnn/12*S965</f>
        <v/>
      </c>
      <c r="U965" s="29">
        <f>MAX(SumAssured-S965,0)</f>
        <v/>
      </c>
      <c r="V965" s="35">
        <f>CoiMultiple*G965</f>
        <v/>
      </c>
      <c r="W965" s="34">
        <f>V965*U965</f>
        <v/>
      </c>
      <c r="X965" s="34">
        <f>S965-T965-W965</f>
        <v/>
      </c>
      <c r="Y965" s="36">
        <f>EXP((Mu-0.5*Sigma^2)/12+Sigma*SQRT(1/12)*INDEX(NormRand,ScenID,A965+1))-1</f>
        <v/>
      </c>
      <c r="Z965" s="34">
        <f>Y965*X965</f>
        <v/>
      </c>
      <c r="AA965" s="34">
        <f>X965+0.5*Z965</f>
        <v/>
      </c>
      <c r="AB965" s="34">
        <f>Q965*J965</f>
        <v/>
      </c>
      <c r="AC965" s="34">
        <f>Q965*L965</f>
        <v/>
      </c>
      <c r="AD965" s="34">
        <f>S965*N965</f>
        <v/>
      </c>
      <c r="AE965" s="34">
        <f>E965*N965</f>
        <v/>
      </c>
      <c r="AF965" s="34">
        <f>R965*N965</f>
        <v/>
      </c>
      <c r="AG965" s="29">
        <f>MAX(SumAssured,AA965)</f>
        <v/>
      </c>
      <c r="AH965" s="34">
        <f>AG965*O965</f>
        <v/>
      </c>
      <c r="AI965" s="34">
        <f>AA965*O965</f>
        <v/>
      </c>
      <c r="AJ965" s="34">
        <f>AA965*P965</f>
        <v/>
      </c>
      <c r="AK965" s="34">
        <f>I965*AA965*P965</f>
        <v/>
      </c>
      <c r="AL965" s="34">
        <f>AJ965-AK965</f>
        <v/>
      </c>
      <c r="AM965" s="34">
        <f>Q965*K965</f>
        <v/>
      </c>
      <c r="AN965" s="34">
        <f>AH965+AL965+AM965</f>
        <v/>
      </c>
      <c r="AO965" s="34">
        <f>(AG965-AA965)*O965</f>
        <v/>
      </c>
      <c r="AP965" s="34">
        <f>W965*N965</f>
        <v/>
      </c>
      <c r="AQ965" s="34">
        <f>T965*N965</f>
        <v/>
      </c>
      <c r="AR965" s="34">
        <f>Z965*J966+0.5*Z965*(O965+P965)</f>
        <v/>
      </c>
      <c r="AS965" s="30">
        <f>(1+InflationRate)^(A965/12)</f>
        <v/>
      </c>
      <c r="AT965" s="29">
        <f>ExpenseAcq*M965+N965*ExpenseMaint/12*AS965</f>
        <v/>
      </c>
      <c r="AU965" s="29">
        <f>CommissionRate*AE965</f>
        <v/>
      </c>
      <c r="AV965" s="34">
        <f>AB966-AB965</f>
        <v/>
      </c>
      <c r="AW965" s="34">
        <f>AE965+AR965-AN965-AT965-AU965-AV965</f>
        <v/>
      </c>
      <c r="AX965" s="29">
        <f>LoadPremRate*E965*N965+AK965+AQ965-AU965-AT965</f>
        <v/>
      </c>
      <c r="AY965" s="34">
        <f>AP965-AO965</f>
        <v/>
      </c>
      <c r="AZ965" s="37">
        <f>(AW965-AX965-AY965)/MAX(1,ABS(AW965),ABS(AX965),ABS(AY965))</f>
        <v/>
      </c>
      <c r="BA965" s="37">
        <f>IF(OR(K965&gt;0,K966&gt;0),0,(AC966-(AC965+AF965-AQ965-AP965+AR965-AI965-AJ965-AM965))/MAX(1,ABS(AC965),ABS(AC966)))</f>
        <v/>
      </c>
      <c r="BB965" s="35">
        <f>(1+INDEX(DiscRateAnn,INT(A965/12)+1))^(1/12)-1</f>
        <v/>
      </c>
      <c r="BC965" s="31">
        <f>(1+BB965)^-A965</f>
        <v/>
      </c>
      <c r="BD965" s="34">
        <f>AW965*BC965</f>
        <v/>
      </c>
    </row>
    <row r="966">
      <c r="A966" s="27">
        <f>A965+1</f>
        <v/>
      </c>
      <c r="B966" s="28">
        <f>Duration0+A966</f>
        <v/>
      </c>
      <c r="C966" s="27">
        <f>INT(B966/12)</f>
        <v/>
      </c>
      <c r="D966" s="28">
        <f>AgeAtEntry+C966</f>
        <v/>
      </c>
      <c r="E966" s="29">
        <f>IF(PremiumType="SINGLE",IF(B966=0,PremiumPPInput,0),IF(B966&lt;12*PolicyTerm,PremiumPPInput,0))</f>
        <v/>
      </c>
      <c r="F966" s="30">
        <f>INDEX(MortRates,MATCH(MIN(D966,120),MortAges,0),MAX(MIN(C966,5),0)+1)</f>
        <v/>
      </c>
      <c r="G966" s="31">
        <f>1-(1-F966)^(1/12)</f>
        <v/>
      </c>
      <c r="H966" s="32">
        <f>MAX(LapseBase-LapseStep*C966,LapseFloor)</f>
        <v/>
      </c>
      <c r="I966" s="32">
        <f>IF(HasSurrCharge,INDEX(SurrRates,MIN(C966,SurrDurMax)+1,MATCH(SurrChargeID,SurrTypes,0)),0)</f>
        <v/>
      </c>
      <c r="J966" s="33">
        <f>N965-P965-O965</f>
        <v/>
      </c>
      <c r="K966" s="30">
        <f>IF(B966=12*PolicyTerm,J966,0)</f>
        <v/>
      </c>
      <c r="L966" s="33">
        <f>J966-K966</f>
        <v/>
      </c>
      <c r="M966" s="30">
        <f>IF(B966=0,PolicyCount,0)</f>
        <v/>
      </c>
      <c r="N966" s="33">
        <f>L966+M966</f>
        <v/>
      </c>
      <c r="O966" s="31">
        <f>N966*G966</f>
        <v/>
      </c>
      <c r="P966" s="33">
        <f>(N966-O966)*(1-(1-H966)^(1/12))</f>
        <v/>
      </c>
      <c r="Q966" s="34">
        <f>X965+Z965</f>
        <v/>
      </c>
      <c r="R966" s="29">
        <f>(1-LoadPremRate)*E966</f>
        <v/>
      </c>
      <c r="S966" s="34">
        <f>Q966+R966</f>
        <v/>
      </c>
      <c r="T966" s="29">
        <f>MaintFeeRateAnn/12*S966</f>
        <v/>
      </c>
      <c r="U966" s="29">
        <f>MAX(SumAssured-S966,0)</f>
        <v/>
      </c>
      <c r="V966" s="35">
        <f>CoiMultiple*G966</f>
        <v/>
      </c>
      <c r="W966" s="34">
        <f>V966*U966</f>
        <v/>
      </c>
      <c r="X966" s="34">
        <f>S966-T966-W966</f>
        <v/>
      </c>
      <c r="Y966" s="36">
        <f>EXP((Mu-0.5*Sigma^2)/12+Sigma*SQRT(1/12)*INDEX(NormRand,ScenID,A966+1))-1</f>
        <v/>
      </c>
      <c r="Z966" s="34">
        <f>Y966*X966</f>
        <v/>
      </c>
      <c r="AA966" s="34">
        <f>X966+0.5*Z966</f>
        <v/>
      </c>
      <c r="AB966" s="34">
        <f>Q966*J966</f>
        <v/>
      </c>
      <c r="AC966" s="34">
        <f>Q966*L966</f>
        <v/>
      </c>
      <c r="AD966" s="34">
        <f>S966*N966</f>
        <v/>
      </c>
      <c r="AE966" s="34">
        <f>E966*N966</f>
        <v/>
      </c>
      <c r="AF966" s="34">
        <f>R966*N966</f>
        <v/>
      </c>
      <c r="AG966" s="29">
        <f>MAX(SumAssured,AA966)</f>
        <v/>
      </c>
      <c r="AH966" s="34">
        <f>AG966*O966</f>
        <v/>
      </c>
      <c r="AI966" s="34">
        <f>AA966*O966</f>
        <v/>
      </c>
      <c r="AJ966" s="34">
        <f>AA966*P966</f>
        <v/>
      </c>
      <c r="AK966" s="34">
        <f>I966*AA966*P966</f>
        <v/>
      </c>
      <c r="AL966" s="34">
        <f>AJ966-AK966</f>
        <v/>
      </c>
      <c r="AM966" s="34">
        <f>Q966*K966</f>
        <v/>
      </c>
      <c r="AN966" s="34">
        <f>AH966+AL966+AM966</f>
        <v/>
      </c>
      <c r="AO966" s="34">
        <f>(AG966-AA966)*O966</f>
        <v/>
      </c>
      <c r="AP966" s="34">
        <f>W966*N966</f>
        <v/>
      </c>
      <c r="AQ966" s="34">
        <f>T966*N966</f>
        <v/>
      </c>
      <c r="AR966" s="34">
        <f>Z966*J967+0.5*Z966*(O966+P966)</f>
        <v/>
      </c>
      <c r="AS966" s="30">
        <f>(1+InflationRate)^(A966/12)</f>
        <v/>
      </c>
      <c r="AT966" s="29">
        <f>ExpenseAcq*M966+N966*ExpenseMaint/12*AS966</f>
        <v/>
      </c>
      <c r="AU966" s="29">
        <f>CommissionRate*AE966</f>
        <v/>
      </c>
      <c r="AV966" s="34">
        <f>AB967-AB966</f>
        <v/>
      </c>
      <c r="AW966" s="34">
        <f>AE966+AR966-AN966-AT966-AU966-AV966</f>
        <v/>
      </c>
      <c r="AX966" s="29">
        <f>LoadPremRate*E966*N966+AK966+AQ966-AU966-AT966</f>
        <v/>
      </c>
      <c r="AY966" s="34">
        <f>AP966-AO966</f>
        <v/>
      </c>
      <c r="AZ966" s="37">
        <f>(AW966-AX966-AY966)/MAX(1,ABS(AW966),ABS(AX966),ABS(AY966))</f>
        <v/>
      </c>
      <c r="BA966" s="37">
        <f>IF(OR(K966&gt;0,K967&gt;0),0,(AC967-(AC966+AF966-AQ966-AP966+AR966-AI966-AJ966-AM966))/MAX(1,ABS(AC966),ABS(AC967)))</f>
        <v/>
      </c>
      <c r="BB966" s="35">
        <f>(1+INDEX(DiscRateAnn,INT(A966/12)+1))^(1/12)-1</f>
        <v/>
      </c>
      <c r="BC966" s="31">
        <f>(1+BB966)^-A966</f>
        <v/>
      </c>
      <c r="BD966" s="34">
        <f>AW966*BC966</f>
        <v/>
      </c>
    </row>
    <row r="967">
      <c r="A967" s="27">
        <f>A966+1</f>
        <v/>
      </c>
      <c r="B967" s="28">
        <f>Duration0+A967</f>
        <v/>
      </c>
      <c r="C967" s="27">
        <f>INT(B967/12)</f>
        <v/>
      </c>
      <c r="D967" s="28">
        <f>AgeAtEntry+C967</f>
        <v/>
      </c>
      <c r="E967" s="29">
        <f>IF(PremiumType="SINGLE",IF(B967=0,PremiumPPInput,0),IF(B967&lt;12*PolicyTerm,PremiumPPInput,0))</f>
        <v/>
      </c>
      <c r="F967" s="30">
        <f>INDEX(MortRates,MATCH(MIN(D967,120),MortAges,0),MAX(MIN(C967,5),0)+1)</f>
        <v/>
      </c>
      <c r="G967" s="31">
        <f>1-(1-F967)^(1/12)</f>
        <v/>
      </c>
      <c r="H967" s="32">
        <f>MAX(LapseBase-LapseStep*C967,LapseFloor)</f>
        <v/>
      </c>
      <c r="I967" s="32">
        <f>IF(HasSurrCharge,INDEX(SurrRates,MIN(C967,SurrDurMax)+1,MATCH(SurrChargeID,SurrTypes,0)),0)</f>
        <v/>
      </c>
      <c r="J967" s="33">
        <f>N966-P966-O966</f>
        <v/>
      </c>
      <c r="K967" s="30">
        <f>IF(B967=12*PolicyTerm,J967,0)</f>
        <v/>
      </c>
      <c r="L967" s="33">
        <f>J967-K967</f>
        <v/>
      </c>
      <c r="M967" s="30">
        <f>IF(B967=0,PolicyCount,0)</f>
        <v/>
      </c>
      <c r="N967" s="33">
        <f>L967+M967</f>
        <v/>
      </c>
      <c r="O967" s="31">
        <f>N967*G967</f>
        <v/>
      </c>
      <c r="P967" s="33">
        <f>(N967-O967)*(1-(1-H967)^(1/12))</f>
        <v/>
      </c>
      <c r="Q967" s="34">
        <f>X966+Z966</f>
        <v/>
      </c>
      <c r="R967" s="29">
        <f>(1-LoadPremRate)*E967</f>
        <v/>
      </c>
      <c r="S967" s="34">
        <f>Q967+R967</f>
        <v/>
      </c>
      <c r="T967" s="29">
        <f>MaintFeeRateAnn/12*S967</f>
        <v/>
      </c>
      <c r="U967" s="29">
        <f>MAX(SumAssured-S967,0)</f>
        <v/>
      </c>
      <c r="V967" s="35">
        <f>CoiMultiple*G967</f>
        <v/>
      </c>
      <c r="W967" s="34">
        <f>V967*U967</f>
        <v/>
      </c>
      <c r="X967" s="34">
        <f>S967-T967-W967</f>
        <v/>
      </c>
      <c r="Y967" s="36">
        <f>EXP((Mu-0.5*Sigma^2)/12+Sigma*SQRT(1/12)*INDEX(NormRand,ScenID,A967+1))-1</f>
        <v/>
      </c>
      <c r="Z967" s="34">
        <f>Y967*X967</f>
        <v/>
      </c>
      <c r="AA967" s="34">
        <f>X967+0.5*Z967</f>
        <v/>
      </c>
      <c r="AB967" s="34">
        <f>Q967*J967</f>
        <v/>
      </c>
      <c r="AC967" s="34">
        <f>Q967*L967</f>
        <v/>
      </c>
      <c r="AD967" s="34">
        <f>S967*N967</f>
        <v/>
      </c>
      <c r="AE967" s="34">
        <f>E967*N967</f>
        <v/>
      </c>
      <c r="AF967" s="34">
        <f>R967*N967</f>
        <v/>
      </c>
      <c r="AG967" s="29">
        <f>MAX(SumAssured,AA967)</f>
        <v/>
      </c>
      <c r="AH967" s="34">
        <f>AG967*O967</f>
        <v/>
      </c>
      <c r="AI967" s="34">
        <f>AA967*O967</f>
        <v/>
      </c>
      <c r="AJ967" s="34">
        <f>AA967*P967</f>
        <v/>
      </c>
      <c r="AK967" s="34">
        <f>I967*AA967*P967</f>
        <v/>
      </c>
      <c r="AL967" s="34">
        <f>AJ967-AK967</f>
        <v/>
      </c>
      <c r="AM967" s="34">
        <f>Q967*K967</f>
        <v/>
      </c>
      <c r="AN967" s="34">
        <f>AH967+AL967+AM967</f>
        <v/>
      </c>
      <c r="AO967" s="34">
        <f>(AG967-AA967)*O967</f>
        <v/>
      </c>
      <c r="AP967" s="34">
        <f>W967*N967</f>
        <v/>
      </c>
      <c r="AQ967" s="34">
        <f>T967*N967</f>
        <v/>
      </c>
      <c r="AR967" s="34">
        <f>Z967*J968+0.5*Z967*(O967+P967)</f>
        <v/>
      </c>
      <c r="AS967" s="30">
        <f>(1+InflationRate)^(A967/12)</f>
        <v/>
      </c>
      <c r="AT967" s="29">
        <f>ExpenseAcq*M967+N967*ExpenseMaint/12*AS967</f>
        <v/>
      </c>
      <c r="AU967" s="29">
        <f>CommissionRate*AE967</f>
        <v/>
      </c>
      <c r="AV967" s="34">
        <f>AB968-AB967</f>
        <v/>
      </c>
      <c r="AW967" s="34">
        <f>AE967+AR967-AN967-AT967-AU967-AV967</f>
        <v/>
      </c>
      <c r="AX967" s="29">
        <f>LoadPremRate*E967*N967+AK967+AQ967-AU967-AT967</f>
        <v/>
      </c>
      <c r="AY967" s="34">
        <f>AP967-AO967</f>
        <v/>
      </c>
      <c r="AZ967" s="37">
        <f>(AW967-AX967-AY967)/MAX(1,ABS(AW967),ABS(AX967),ABS(AY967))</f>
        <v/>
      </c>
      <c r="BA967" s="37">
        <f>IF(OR(K967&gt;0,K968&gt;0),0,(AC968-(AC967+AF967-AQ967-AP967+AR967-AI967-AJ967-AM967))/MAX(1,ABS(AC967),ABS(AC968)))</f>
        <v/>
      </c>
      <c r="BB967" s="35">
        <f>(1+INDEX(DiscRateAnn,INT(A967/12)+1))^(1/12)-1</f>
        <v/>
      </c>
      <c r="BC967" s="31">
        <f>(1+BB967)^-A967</f>
        <v/>
      </c>
      <c r="BD967" s="34">
        <f>AW967*BC967</f>
        <v/>
      </c>
    </row>
    <row r="968">
      <c r="A968" s="27">
        <f>A967+1</f>
        <v/>
      </c>
      <c r="B968" s="28">
        <f>Duration0+A968</f>
        <v/>
      </c>
      <c r="C968" s="27">
        <f>INT(B968/12)</f>
        <v/>
      </c>
      <c r="D968" s="28">
        <f>AgeAtEntry+C968</f>
        <v/>
      </c>
      <c r="E968" s="29">
        <f>IF(PremiumType="SINGLE",IF(B968=0,PremiumPPInput,0),IF(B968&lt;12*PolicyTerm,PremiumPPInput,0))</f>
        <v/>
      </c>
      <c r="F968" s="30">
        <f>INDEX(MortRates,MATCH(MIN(D968,120),MortAges,0),MAX(MIN(C968,5),0)+1)</f>
        <v/>
      </c>
      <c r="G968" s="31">
        <f>1-(1-F968)^(1/12)</f>
        <v/>
      </c>
      <c r="H968" s="32">
        <f>MAX(LapseBase-LapseStep*C968,LapseFloor)</f>
        <v/>
      </c>
      <c r="I968" s="32">
        <f>IF(HasSurrCharge,INDEX(SurrRates,MIN(C968,SurrDurMax)+1,MATCH(SurrChargeID,SurrTypes,0)),0)</f>
        <v/>
      </c>
      <c r="J968" s="33">
        <f>N967-P967-O967</f>
        <v/>
      </c>
      <c r="K968" s="30">
        <f>IF(B968=12*PolicyTerm,J968,0)</f>
        <v/>
      </c>
      <c r="L968" s="33">
        <f>J968-K968</f>
        <v/>
      </c>
      <c r="M968" s="30">
        <f>IF(B968=0,PolicyCount,0)</f>
        <v/>
      </c>
      <c r="N968" s="33">
        <f>L968+M968</f>
        <v/>
      </c>
      <c r="O968" s="31">
        <f>N968*G968</f>
        <v/>
      </c>
      <c r="P968" s="33">
        <f>(N968-O968)*(1-(1-H968)^(1/12))</f>
        <v/>
      </c>
      <c r="Q968" s="34">
        <f>X967+Z967</f>
        <v/>
      </c>
      <c r="R968" s="29">
        <f>(1-LoadPremRate)*E968</f>
        <v/>
      </c>
      <c r="S968" s="34">
        <f>Q968+R968</f>
        <v/>
      </c>
      <c r="T968" s="29">
        <f>MaintFeeRateAnn/12*S968</f>
        <v/>
      </c>
      <c r="U968" s="29">
        <f>MAX(SumAssured-S968,0)</f>
        <v/>
      </c>
      <c r="V968" s="35">
        <f>CoiMultiple*G968</f>
        <v/>
      </c>
      <c r="W968" s="34">
        <f>V968*U968</f>
        <v/>
      </c>
      <c r="X968" s="34">
        <f>S968-T968-W968</f>
        <v/>
      </c>
      <c r="Y968" s="36">
        <f>EXP((Mu-0.5*Sigma^2)/12+Sigma*SQRT(1/12)*INDEX(NormRand,ScenID,A968+1))-1</f>
        <v/>
      </c>
      <c r="Z968" s="34">
        <f>Y968*X968</f>
        <v/>
      </c>
      <c r="AA968" s="34">
        <f>X968+0.5*Z968</f>
        <v/>
      </c>
      <c r="AB968" s="34">
        <f>Q968*J968</f>
        <v/>
      </c>
      <c r="AC968" s="34">
        <f>Q968*L968</f>
        <v/>
      </c>
      <c r="AD968" s="34">
        <f>S968*N968</f>
        <v/>
      </c>
      <c r="AE968" s="34">
        <f>E968*N968</f>
        <v/>
      </c>
      <c r="AF968" s="34">
        <f>R968*N968</f>
        <v/>
      </c>
      <c r="AG968" s="29">
        <f>MAX(SumAssured,AA968)</f>
        <v/>
      </c>
      <c r="AH968" s="34">
        <f>AG968*O968</f>
        <v/>
      </c>
      <c r="AI968" s="34">
        <f>AA968*O968</f>
        <v/>
      </c>
      <c r="AJ968" s="34">
        <f>AA968*P968</f>
        <v/>
      </c>
      <c r="AK968" s="34">
        <f>I968*AA968*P968</f>
        <v/>
      </c>
      <c r="AL968" s="34">
        <f>AJ968-AK968</f>
        <v/>
      </c>
      <c r="AM968" s="34">
        <f>Q968*K968</f>
        <v/>
      </c>
      <c r="AN968" s="34">
        <f>AH968+AL968+AM968</f>
        <v/>
      </c>
      <c r="AO968" s="34">
        <f>(AG968-AA968)*O968</f>
        <v/>
      </c>
      <c r="AP968" s="34">
        <f>W968*N968</f>
        <v/>
      </c>
      <c r="AQ968" s="34">
        <f>T968*N968</f>
        <v/>
      </c>
      <c r="AR968" s="34">
        <f>Z968*J969+0.5*Z968*(O968+P968)</f>
        <v/>
      </c>
      <c r="AS968" s="30">
        <f>(1+InflationRate)^(A968/12)</f>
        <v/>
      </c>
      <c r="AT968" s="29">
        <f>ExpenseAcq*M968+N968*ExpenseMaint/12*AS968</f>
        <v/>
      </c>
      <c r="AU968" s="29">
        <f>CommissionRate*AE968</f>
        <v/>
      </c>
      <c r="AV968" s="34">
        <f>AB969-AB968</f>
        <v/>
      </c>
      <c r="AW968" s="34">
        <f>AE968+AR968-AN968-AT968-AU968-AV968</f>
        <v/>
      </c>
      <c r="AX968" s="29">
        <f>LoadPremRate*E968*N968+AK968+AQ968-AU968-AT968</f>
        <v/>
      </c>
      <c r="AY968" s="34">
        <f>AP968-AO968</f>
        <v/>
      </c>
      <c r="AZ968" s="37">
        <f>(AW968-AX968-AY968)/MAX(1,ABS(AW968),ABS(AX968),ABS(AY968))</f>
        <v/>
      </c>
      <c r="BA968" s="37">
        <f>IF(OR(K968&gt;0,K969&gt;0),0,(AC969-(AC968+AF968-AQ968-AP968+AR968-AI968-AJ968-AM968))/MAX(1,ABS(AC968),ABS(AC969)))</f>
        <v/>
      </c>
      <c r="BB968" s="35">
        <f>(1+INDEX(DiscRateAnn,INT(A968/12)+1))^(1/12)-1</f>
        <v/>
      </c>
      <c r="BC968" s="31">
        <f>(1+BB968)^-A968</f>
        <v/>
      </c>
      <c r="BD968" s="34">
        <f>AW968*BC968</f>
        <v/>
      </c>
    </row>
    <row r="969">
      <c r="A969" s="27">
        <f>A968+1</f>
        <v/>
      </c>
      <c r="B969" s="28">
        <f>Duration0+A969</f>
        <v/>
      </c>
      <c r="C969" s="27">
        <f>INT(B969/12)</f>
        <v/>
      </c>
      <c r="D969" s="28">
        <f>AgeAtEntry+C969</f>
        <v/>
      </c>
      <c r="E969" s="29">
        <f>IF(PremiumType="SINGLE",IF(B969=0,PremiumPPInput,0),IF(B969&lt;12*PolicyTerm,PremiumPPInput,0))</f>
        <v/>
      </c>
      <c r="F969" s="30">
        <f>INDEX(MortRates,MATCH(MIN(D969,120),MortAges,0),MAX(MIN(C969,5),0)+1)</f>
        <v/>
      </c>
      <c r="G969" s="31">
        <f>1-(1-F969)^(1/12)</f>
        <v/>
      </c>
      <c r="H969" s="32">
        <f>MAX(LapseBase-LapseStep*C969,LapseFloor)</f>
        <v/>
      </c>
      <c r="I969" s="32">
        <f>IF(HasSurrCharge,INDEX(SurrRates,MIN(C969,SurrDurMax)+1,MATCH(SurrChargeID,SurrTypes,0)),0)</f>
        <v/>
      </c>
      <c r="J969" s="33">
        <f>N968-P968-O968</f>
        <v/>
      </c>
      <c r="K969" s="30">
        <f>IF(B969=12*PolicyTerm,J969,0)</f>
        <v/>
      </c>
      <c r="L969" s="33">
        <f>J969-K969</f>
        <v/>
      </c>
      <c r="M969" s="30">
        <f>IF(B969=0,PolicyCount,0)</f>
        <v/>
      </c>
      <c r="N969" s="33">
        <f>L969+M969</f>
        <v/>
      </c>
      <c r="O969" s="31">
        <f>N969*G969</f>
        <v/>
      </c>
      <c r="P969" s="33">
        <f>(N969-O969)*(1-(1-H969)^(1/12))</f>
        <v/>
      </c>
      <c r="Q969" s="34">
        <f>X968+Z968</f>
        <v/>
      </c>
      <c r="R969" s="29">
        <f>(1-LoadPremRate)*E969</f>
        <v/>
      </c>
      <c r="S969" s="34">
        <f>Q969+R969</f>
        <v/>
      </c>
      <c r="T969" s="29">
        <f>MaintFeeRateAnn/12*S969</f>
        <v/>
      </c>
      <c r="U969" s="29">
        <f>MAX(SumAssured-S969,0)</f>
        <v/>
      </c>
      <c r="V969" s="35">
        <f>CoiMultiple*G969</f>
        <v/>
      </c>
      <c r="W969" s="34">
        <f>V969*U969</f>
        <v/>
      </c>
      <c r="X969" s="34">
        <f>S969-T969-W969</f>
        <v/>
      </c>
      <c r="Y969" s="36">
        <f>EXP((Mu-0.5*Sigma^2)/12+Sigma*SQRT(1/12)*INDEX(NormRand,ScenID,A969+1))-1</f>
        <v/>
      </c>
      <c r="Z969" s="34">
        <f>Y969*X969</f>
        <v/>
      </c>
      <c r="AA969" s="34">
        <f>X969+0.5*Z969</f>
        <v/>
      </c>
      <c r="AB969" s="34">
        <f>Q969*J969</f>
        <v/>
      </c>
      <c r="AC969" s="34">
        <f>Q969*L969</f>
        <v/>
      </c>
      <c r="AD969" s="34">
        <f>S969*N969</f>
        <v/>
      </c>
      <c r="AE969" s="34">
        <f>E969*N969</f>
        <v/>
      </c>
      <c r="AF969" s="34">
        <f>R969*N969</f>
        <v/>
      </c>
      <c r="AG969" s="29">
        <f>MAX(SumAssured,AA969)</f>
        <v/>
      </c>
      <c r="AH969" s="34">
        <f>AG969*O969</f>
        <v/>
      </c>
      <c r="AI969" s="34">
        <f>AA969*O969</f>
        <v/>
      </c>
      <c r="AJ969" s="34">
        <f>AA969*P969</f>
        <v/>
      </c>
      <c r="AK969" s="34">
        <f>I969*AA969*P969</f>
        <v/>
      </c>
      <c r="AL969" s="34">
        <f>AJ969-AK969</f>
        <v/>
      </c>
      <c r="AM969" s="34">
        <f>Q969*K969</f>
        <v/>
      </c>
      <c r="AN969" s="34">
        <f>AH969+AL969+AM969</f>
        <v/>
      </c>
      <c r="AO969" s="34">
        <f>(AG969-AA969)*O969</f>
        <v/>
      </c>
      <c r="AP969" s="34">
        <f>W969*N969</f>
        <v/>
      </c>
      <c r="AQ969" s="34">
        <f>T969*N969</f>
        <v/>
      </c>
      <c r="AR969" s="34">
        <f>Z969*J970+0.5*Z969*(O969+P969)</f>
        <v/>
      </c>
      <c r="AS969" s="30">
        <f>(1+InflationRate)^(A969/12)</f>
        <v/>
      </c>
      <c r="AT969" s="29">
        <f>ExpenseAcq*M969+N969*ExpenseMaint/12*AS969</f>
        <v/>
      </c>
      <c r="AU969" s="29">
        <f>CommissionRate*AE969</f>
        <v/>
      </c>
      <c r="AV969" s="34">
        <f>AB970-AB969</f>
        <v/>
      </c>
      <c r="AW969" s="34">
        <f>AE969+AR969-AN969-AT969-AU969-AV969</f>
        <v/>
      </c>
      <c r="AX969" s="29">
        <f>LoadPremRate*E969*N969+AK969+AQ969-AU969-AT969</f>
        <v/>
      </c>
      <c r="AY969" s="34">
        <f>AP969-AO969</f>
        <v/>
      </c>
      <c r="AZ969" s="37">
        <f>(AW969-AX969-AY969)/MAX(1,ABS(AW969),ABS(AX969),ABS(AY969))</f>
        <v/>
      </c>
      <c r="BA969" s="37">
        <f>IF(OR(K969&gt;0,K970&gt;0),0,(AC970-(AC969+AF969-AQ969-AP969+AR969-AI969-AJ969-AM969))/MAX(1,ABS(AC969),ABS(AC970)))</f>
        <v/>
      </c>
      <c r="BB969" s="35">
        <f>(1+INDEX(DiscRateAnn,INT(A969/12)+1))^(1/12)-1</f>
        <v/>
      </c>
      <c r="BC969" s="31">
        <f>(1+BB969)^-A969</f>
        <v/>
      </c>
      <c r="BD969" s="34">
        <f>AW969*BC969</f>
        <v/>
      </c>
    </row>
    <row r="970">
      <c r="A970" s="27">
        <f>A969+1</f>
        <v/>
      </c>
      <c r="B970" s="28">
        <f>Duration0+A970</f>
        <v/>
      </c>
      <c r="C970" s="27">
        <f>INT(B970/12)</f>
        <v/>
      </c>
      <c r="D970" s="28">
        <f>AgeAtEntry+C970</f>
        <v/>
      </c>
      <c r="E970" s="29">
        <f>IF(PremiumType="SINGLE",IF(B970=0,PremiumPPInput,0),IF(B970&lt;12*PolicyTerm,PremiumPPInput,0))</f>
        <v/>
      </c>
      <c r="F970" s="30">
        <f>INDEX(MortRates,MATCH(MIN(D970,120),MortAges,0),MAX(MIN(C970,5),0)+1)</f>
        <v/>
      </c>
      <c r="G970" s="31">
        <f>1-(1-F970)^(1/12)</f>
        <v/>
      </c>
      <c r="H970" s="32">
        <f>MAX(LapseBase-LapseStep*C970,LapseFloor)</f>
        <v/>
      </c>
      <c r="I970" s="32">
        <f>IF(HasSurrCharge,INDEX(SurrRates,MIN(C970,SurrDurMax)+1,MATCH(SurrChargeID,SurrTypes,0)),0)</f>
        <v/>
      </c>
      <c r="J970" s="33">
        <f>N969-P969-O969</f>
        <v/>
      </c>
      <c r="K970" s="30">
        <f>IF(B970=12*PolicyTerm,J970,0)</f>
        <v/>
      </c>
      <c r="L970" s="33">
        <f>J970-K970</f>
        <v/>
      </c>
      <c r="M970" s="30">
        <f>IF(B970=0,PolicyCount,0)</f>
        <v/>
      </c>
      <c r="N970" s="33">
        <f>L970+M970</f>
        <v/>
      </c>
      <c r="O970" s="31">
        <f>N970*G970</f>
        <v/>
      </c>
      <c r="P970" s="33">
        <f>(N970-O970)*(1-(1-H970)^(1/12))</f>
        <v/>
      </c>
      <c r="Q970" s="34">
        <f>X969+Z969</f>
        <v/>
      </c>
      <c r="R970" s="29">
        <f>(1-LoadPremRate)*E970</f>
        <v/>
      </c>
      <c r="S970" s="34">
        <f>Q970+R970</f>
        <v/>
      </c>
      <c r="T970" s="29">
        <f>MaintFeeRateAnn/12*S970</f>
        <v/>
      </c>
      <c r="U970" s="29">
        <f>MAX(SumAssured-S970,0)</f>
        <v/>
      </c>
      <c r="V970" s="35">
        <f>CoiMultiple*G970</f>
        <v/>
      </c>
      <c r="W970" s="34">
        <f>V970*U970</f>
        <v/>
      </c>
      <c r="X970" s="34">
        <f>S970-T970-W970</f>
        <v/>
      </c>
      <c r="Y970" s="36">
        <f>EXP((Mu-0.5*Sigma^2)/12+Sigma*SQRT(1/12)*INDEX(NormRand,ScenID,A970+1))-1</f>
        <v/>
      </c>
      <c r="Z970" s="34">
        <f>Y970*X970</f>
        <v/>
      </c>
      <c r="AA970" s="34">
        <f>X970+0.5*Z970</f>
        <v/>
      </c>
      <c r="AB970" s="34">
        <f>Q970*J970</f>
        <v/>
      </c>
      <c r="AC970" s="34">
        <f>Q970*L970</f>
        <v/>
      </c>
      <c r="AD970" s="34">
        <f>S970*N970</f>
        <v/>
      </c>
      <c r="AE970" s="34">
        <f>E970*N970</f>
        <v/>
      </c>
      <c r="AF970" s="34">
        <f>R970*N970</f>
        <v/>
      </c>
      <c r="AG970" s="29">
        <f>MAX(SumAssured,AA970)</f>
        <v/>
      </c>
      <c r="AH970" s="34">
        <f>AG970*O970</f>
        <v/>
      </c>
      <c r="AI970" s="34">
        <f>AA970*O970</f>
        <v/>
      </c>
      <c r="AJ970" s="34">
        <f>AA970*P970</f>
        <v/>
      </c>
      <c r="AK970" s="34">
        <f>I970*AA970*P970</f>
        <v/>
      </c>
      <c r="AL970" s="34">
        <f>AJ970-AK970</f>
        <v/>
      </c>
      <c r="AM970" s="34">
        <f>Q970*K970</f>
        <v/>
      </c>
      <c r="AN970" s="34">
        <f>AH970+AL970+AM970</f>
        <v/>
      </c>
      <c r="AO970" s="34">
        <f>(AG970-AA970)*O970</f>
        <v/>
      </c>
      <c r="AP970" s="34">
        <f>W970*N970</f>
        <v/>
      </c>
      <c r="AQ970" s="34">
        <f>T970*N970</f>
        <v/>
      </c>
      <c r="AR970" s="34">
        <f>Z970*J971+0.5*Z970*(O970+P970)</f>
        <v/>
      </c>
      <c r="AS970" s="30">
        <f>(1+InflationRate)^(A970/12)</f>
        <v/>
      </c>
      <c r="AT970" s="29">
        <f>ExpenseAcq*M970+N970*ExpenseMaint/12*AS970</f>
        <v/>
      </c>
      <c r="AU970" s="29">
        <f>CommissionRate*AE970</f>
        <v/>
      </c>
      <c r="AV970" s="34">
        <f>AB971-AB970</f>
        <v/>
      </c>
      <c r="AW970" s="34">
        <f>AE970+AR970-AN970-AT970-AU970-AV970</f>
        <v/>
      </c>
      <c r="AX970" s="29">
        <f>LoadPremRate*E970*N970+AK970+AQ970-AU970-AT970</f>
        <v/>
      </c>
      <c r="AY970" s="34">
        <f>AP970-AO970</f>
        <v/>
      </c>
      <c r="AZ970" s="37">
        <f>(AW970-AX970-AY970)/MAX(1,ABS(AW970),ABS(AX970),ABS(AY970))</f>
        <v/>
      </c>
      <c r="BA970" s="37">
        <f>IF(OR(K970&gt;0,K971&gt;0),0,(AC971-(AC970+AF970-AQ970-AP970+AR970-AI970-AJ970-AM970))/MAX(1,ABS(AC970),ABS(AC971)))</f>
        <v/>
      </c>
      <c r="BB970" s="35">
        <f>(1+INDEX(DiscRateAnn,INT(A970/12)+1))^(1/12)-1</f>
        <v/>
      </c>
      <c r="BC970" s="31">
        <f>(1+BB970)^-A970</f>
        <v/>
      </c>
      <c r="BD970" s="34">
        <f>AW970*BC970</f>
        <v/>
      </c>
    </row>
    <row r="971">
      <c r="A971" s="27">
        <f>A970+1</f>
        <v/>
      </c>
      <c r="B971" s="28">
        <f>Duration0+A971</f>
        <v/>
      </c>
      <c r="C971" s="27">
        <f>INT(B971/12)</f>
        <v/>
      </c>
      <c r="D971" s="28">
        <f>AgeAtEntry+C971</f>
        <v/>
      </c>
      <c r="E971" s="29">
        <f>IF(PremiumType="SINGLE",IF(B971=0,PremiumPPInput,0),IF(B971&lt;12*PolicyTerm,PremiumPPInput,0))</f>
        <v/>
      </c>
      <c r="F971" s="30">
        <f>INDEX(MortRates,MATCH(MIN(D971,120),MortAges,0),MAX(MIN(C971,5),0)+1)</f>
        <v/>
      </c>
      <c r="G971" s="31">
        <f>1-(1-F971)^(1/12)</f>
        <v/>
      </c>
      <c r="H971" s="32">
        <f>MAX(LapseBase-LapseStep*C971,LapseFloor)</f>
        <v/>
      </c>
      <c r="I971" s="32">
        <f>IF(HasSurrCharge,INDEX(SurrRates,MIN(C971,SurrDurMax)+1,MATCH(SurrChargeID,SurrTypes,0)),0)</f>
        <v/>
      </c>
      <c r="J971" s="33">
        <f>N970-P970-O970</f>
        <v/>
      </c>
      <c r="K971" s="30">
        <f>IF(B971=12*PolicyTerm,J971,0)</f>
        <v/>
      </c>
      <c r="L971" s="33">
        <f>J971-K971</f>
        <v/>
      </c>
      <c r="M971" s="30">
        <f>IF(B971=0,PolicyCount,0)</f>
        <v/>
      </c>
      <c r="N971" s="33">
        <f>L971+M971</f>
        <v/>
      </c>
      <c r="O971" s="31">
        <f>N971*G971</f>
        <v/>
      </c>
      <c r="P971" s="33">
        <f>(N971-O971)*(1-(1-H971)^(1/12))</f>
        <v/>
      </c>
      <c r="Q971" s="34">
        <f>X970+Z970</f>
        <v/>
      </c>
      <c r="R971" s="29">
        <f>(1-LoadPremRate)*E971</f>
        <v/>
      </c>
      <c r="S971" s="34">
        <f>Q971+R971</f>
        <v/>
      </c>
      <c r="T971" s="29">
        <f>MaintFeeRateAnn/12*S971</f>
        <v/>
      </c>
      <c r="U971" s="29">
        <f>MAX(SumAssured-S971,0)</f>
        <v/>
      </c>
      <c r="V971" s="35">
        <f>CoiMultiple*G971</f>
        <v/>
      </c>
      <c r="W971" s="34">
        <f>V971*U971</f>
        <v/>
      </c>
      <c r="X971" s="34">
        <f>S971-T971-W971</f>
        <v/>
      </c>
      <c r="Y971" s="36">
        <f>EXP((Mu-0.5*Sigma^2)/12+Sigma*SQRT(1/12)*INDEX(NormRand,ScenID,A971+1))-1</f>
        <v/>
      </c>
      <c r="Z971" s="34">
        <f>Y971*X971</f>
        <v/>
      </c>
      <c r="AA971" s="34">
        <f>X971+0.5*Z971</f>
        <v/>
      </c>
      <c r="AB971" s="34">
        <f>Q971*J971</f>
        <v/>
      </c>
      <c r="AC971" s="34">
        <f>Q971*L971</f>
        <v/>
      </c>
      <c r="AD971" s="34">
        <f>S971*N971</f>
        <v/>
      </c>
      <c r="AE971" s="34">
        <f>E971*N971</f>
        <v/>
      </c>
      <c r="AF971" s="34">
        <f>R971*N971</f>
        <v/>
      </c>
      <c r="AG971" s="29">
        <f>MAX(SumAssured,AA971)</f>
        <v/>
      </c>
      <c r="AH971" s="34">
        <f>AG971*O971</f>
        <v/>
      </c>
      <c r="AI971" s="34">
        <f>AA971*O971</f>
        <v/>
      </c>
      <c r="AJ971" s="34">
        <f>AA971*P971</f>
        <v/>
      </c>
      <c r="AK971" s="34">
        <f>I971*AA971*P971</f>
        <v/>
      </c>
      <c r="AL971" s="34">
        <f>AJ971-AK971</f>
        <v/>
      </c>
      <c r="AM971" s="34">
        <f>Q971*K971</f>
        <v/>
      </c>
      <c r="AN971" s="34">
        <f>AH971+AL971+AM971</f>
        <v/>
      </c>
      <c r="AO971" s="34">
        <f>(AG971-AA971)*O971</f>
        <v/>
      </c>
      <c r="AP971" s="34">
        <f>W971*N971</f>
        <v/>
      </c>
      <c r="AQ971" s="34">
        <f>T971*N971</f>
        <v/>
      </c>
      <c r="AR971" s="34">
        <f>Z971*J972+0.5*Z971*(O971+P971)</f>
        <v/>
      </c>
      <c r="AS971" s="30">
        <f>(1+InflationRate)^(A971/12)</f>
        <v/>
      </c>
      <c r="AT971" s="29">
        <f>ExpenseAcq*M971+N971*ExpenseMaint/12*AS971</f>
        <v/>
      </c>
      <c r="AU971" s="29">
        <f>CommissionRate*AE971</f>
        <v/>
      </c>
      <c r="AV971" s="34">
        <f>AB972-AB971</f>
        <v/>
      </c>
      <c r="AW971" s="34">
        <f>AE971+AR971-AN971-AT971-AU971-AV971</f>
        <v/>
      </c>
      <c r="AX971" s="29">
        <f>LoadPremRate*E971*N971+AK971+AQ971-AU971-AT971</f>
        <v/>
      </c>
      <c r="AY971" s="34">
        <f>AP971-AO971</f>
        <v/>
      </c>
      <c r="AZ971" s="37">
        <f>(AW971-AX971-AY971)/MAX(1,ABS(AW971),ABS(AX971),ABS(AY971))</f>
        <v/>
      </c>
      <c r="BA971" s="37">
        <f>IF(OR(K971&gt;0,K972&gt;0),0,(AC972-(AC971+AF971-AQ971-AP971+AR971-AI971-AJ971-AM971))/MAX(1,ABS(AC971),ABS(AC972)))</f>
        <v/>
      </c>
      <c r="BB971" s="35">
        <f>(1+INDEX(DiscRateAnn,INT(A971/12)+1))^(1/12)-1</f>
        <v/>
      </c>
      <c r="BC971" s="31">
        <f>(1+BB971)^-A971</f>
        <v/>
      </c>
      <c r="BD971" s="34">
        <f>AW971*BC971</f>
        <v/>
      </c>
    </row>
    <row r="972">
      <c r="A972" s="27">
        <f>A971+1</f>
        <v/>
      </c>
      <c r="B972" s="28">
        <f>Duration0+A972</f>
        <v/>
      </c>
      <c r="C972" s="27">
        <f>INT(B972/12)</f>
        <v/>
      </c>
      <c r="D972" s="28">
        <f>AgeAtEntry+C972</f>
        <v/>
      </c>
      <c r="E972" s="29">
        <f>IF(PremiumType="SINGLE",IF(B972=0,PremiumPPInput,0),IF(B972&lt;12*PolicyTerm,PremiumPPInput,0))</f>
        <v/>
      </c>
      <c r="F972" s="30">
        <f>INDEX(MortRates,MATCH(MIN(D972,120),MortAges,0),MAX(MIN(C972,5),0)+1)</f>
        <v/>
      </c>
      <c r="G972" s="31">
        <f>1-(1-F972)^(1/12)</f>
        <v/>
      </c>
      <c r="H972" s="32">
        <f>MAX(LapseBase-LapseStep*C972,LapseFloor)</f>
        <v/>
      </c>
      <c r="I972" s="32">
        <f>IF(HasSurrCharge,INDEX(SurrRates,MIN(C972,SurrDurMax)+1,MATCH(SurrChargeID,SurrTypes,0)),0)</f>
        <v/>
      </c>
      <c r="J972" s="33">
        <f>N971-P971-O971</f>
        <v/>
      </c>
      <c r="K972" s="30">
        <f>IF(B972=12*PolicyTerm,J972,0)</f>
        <v/>
      </c>
      <c r="L972" s="33">
        <f>J972-K972</f>
        <v/>
      </c>
      <c r="M972" s="30">
        <f>IF(B972=0,PolicyCount,0)</f>
        <v/>
      </c>
      <c r="N972" s="33">
        <f>L972+M972</f>
        <v/>
      </c>
      <c r="O972" s="31">
        <f>N972*G972</f>
        <v/>
      </c>
      <c r="P972" s="33">
        <f>(N972-O972)*(1-(1-H972)^(1/12))</f>
        <v/>
      </c>
      <c r="Q972" s="34">
        <f>X971+Z971</f>
        <v/>
      </c>
      <c r="R972" s="29">
        <f>(1-LoadPremRate)*E972</f>
        <v/>
      </c>
      <c r="S972" s="34">
        <f>Q972+R972</f>
        <v/>
      </c>
      <c r="T972" s="29">
        <f>MaintFeeRateAnn/12*S972</f>
        <v/>
      </c>
      <c r="U972" s="29">
        <f>MAX(SumAssured-S972,0)</f>
        <v/>
      </c>
      <c r="V972" s="35">
        <f>CoiMultiple*G972</f>
        <v/>
      </c>
      <c r="W972" s="34">
        <f>V972*U972</f>
        <v/>
      </c>
      <c r="X972" s="34">
        <f>S972-T972-W972</f>
        <v/>
      </c>
      <c r="Y972" s="36">
        <f>EXP((Mu-0.5*Sigma^2)/12+Sigma*SQRT(1/12)*INDEX(NormRand,ScenID,A972+1))-1</f>
        <v/>
      </c>
      <c r="Z972" s="34">
        <f>Y972*X972</f>
        <v/>
      </c>
      <c r="AA972" s="34">
        <f>X972+0.5*Z972</f>
        <v/>
      </c>
      <c r="AB972" s="34">
        <f>Q972*J972</f>
        <v/>
      </c>
      <c r="AC972" s="34">
        <f>Q972*L972</f>
        <v/>
      </c>
      <c r="AD972" s="34">
        <f>S972*N972</f>
        <v/>
      </c>
      <c r="AE972" s="34">
        <f>E972*N972</f>
        <v/>
      </c>
      <c r="AF972" s="34">
        <f>R972*N972</f>
        <v/>
      </c>
      <c r="AG972" s="29">
        <f>MAX(SumAssured,AA972)</f>
        <v/>
      </c>
      <c r="AH972" s="34">
        <f>AG972*O972</f>
        <v/>
      </c>
      <c r="AI972" s="34">
        <f>AA972*O972</f>
        <v/>
      </c>
      <c r="AJ972" s="34">
        <f>AA972*P972</f>
        <v/>
      </c>
      <c r="AK972" s="34">
        <f>I972*AA972*P972</f>
        <v/>
      </c>
      <c r="AL972" s="34">
        <f>AJ972-AK972</f>
        <v/>
      </c>
      <c r="AM972" s="34">
        <f>Q972*K972</f>
        <v/>
      </c>
      <c r="AN972" s="34">
        <f>AH972+AL972+AM972</f>
        <v/>
      </c>
      <c r="AO972" s="34">
        <f>(AG972-AA972)*O972</f>
        <v/>
      </c>
      <c r="AP972" s="34">
        <f>W972*N972</f>
        <v/>
      </c>
      <c r="AQ972" s="34">
        <f>T972*N972</f>
        <v/>
      </c>
      <c r="AR972" s="34">
        <f>Z972*J973+0.5*Z972*(O972+P972)</f>
        <v/>
      </c>
      <c r="AS972" s="30">
        <f>(1+InflationRate)^(A972/12)</f>
        <v/>
      </c>
      <c r="AT972" s="29">
        <f>ExpenseAcq*M972+N972*ExpenseMaint/12*AS972</f>
        <v/>
      </c>
      <c r="AU972" s="29">
        <f>CommissionRate*AE972</f>
        <v/>
      </c>
      <c r="AV972" s="34">
        <f>AB973-AB972</f>
        <v/>
      </c>
      <c r="AW972" s="34">
        <f>AE972+AR972-AN972-AT972-AU972-AV972</f>
        <v/>
      </c>
      <c r="AX972" s="29">
        <f>LoadPremRate*E972*N972+AK972+AQ972-AU972-AT972</f>
        <v/>
      </c>
      <c r="AY972" s="34">
        <f>AP972-AO972</f>
        <v/>
      </c>
      <c r="AZ972" s="37">
        <f>(AW972-AX972-AY972)/MAX(1,ABS(AW972),ABS(AX972),ABS(AY972))</f>
        <v/>
      </c>
      <c r="BA972" s="37">
        <f>IF(OR(K972&gt;0,K973&gt;0),0,(AC973-(AC972+AF972-AQ972-AP972+AR972-AI972-AJ972-AM972))/MAX(1,ABS(AC972),ABS(AC973)))</f>
        <v/>
      </c>
      <c r="BB972" s="35">
        <f>(1+INDEX(DiscRateAnn,INT(A972/12)+1))^(1/12)-1</f>
        <v/>
      </c>
      <c r="BC972" s="31">
        <f>(1+BB972)^-A972</f>
        <v/>
      </c>
      <c r="BD972" s="34">
        <f>AW972*BC972</f>
        <v/>
      </c>
    </row>
    <row r="973">
      <c r="A973" s="27">
        <f>A972+1</f>
        <v/>
      </c>
      <c r="B973" s="28">
        <f>Duration0+A973</f>
        <v/>
      </c>
      <c r="C973" s="27">
        <f>INT(B973/12)</f>
        <v/>
      </c>
      <c r="D973" s="28">
        <f>AgeAtEntry+C973</f>
        <v/>
      </c>
      <c r="E973" s="29">
        <f>IF(PremiumType="SINGLE",IF(B973=0,PremiumPPInput,0),IF(B973&lt;12*PolicyTerm,PremiumPPInput,0))</f>
        <v/>
      </c>
      <c r="F973" s="30">
        <f>INDEX(MortRates,MATCH(MIN(D973,120),MortAges,0),MAX(MIN(C973,5),0)+1)</f>
        <v/>
      </c>
      <c r="G973" s="31">
        <f>1-(1-F973)^(1/12)</f>
        <v/>
      </c>
      <c r="H973" s="32">
        <f>MAX(LapseBase-LapseStep*C973,LapseFloor)</f>
        <v/>
      </c>
      <c r="I973" s="32">
        <f>IF(HasSurrCharge,INDEX(SurrRates,MIN(C973,SurrDurMax)+1,MATCH(SurrChargeID,SurrTypes,0)),0)</f>
        <v/>
      </c>
      <c r="J973" s="33">
        <f>N972-P972-O972</f>
        <v/>
      </c>
      <c r="K973" s="30">
        <f>IF(B973=12*PolicyTerm,J973,0)</f>
        <v/>
      </c>
      <c r="L973" s="33">
        <f>J973-K973</f>
        <v/>
      </c>
      <c r="M973" s="30">
        <f>IF(B973=0,PolicyCount,0)</f>
        <v/>
      </c>
      <c r="N973" s="33">
        <f>L973+M973</f>
        <v/>
      </c>
      <c r="O973" s="31">
        <f>N973*G973</f>
        <v/>
      </c>
      <c r="P973" s="33">
        <f>(N973-O973)*(1-(1-H973)^(1/12))</f>
        <v/>
      </c>
      <c r="Q973" s="34">
        <f>X972+Z972</f>
        <v/>
      </c>
      <c r="R973" s="29">
        <f>(1-LoadPremRate)*E973</f>
        <v/>
      </c>
      <c r="S973" s="34">
        <f>Q973+R973</f>
        <v/>
      </c>
      <c r="T973" s="29">
        <f>MaintFeeRateAnn/12*S973</f>
        <v/>
      </c>
      <c r="U973" s="29">
        <f>MAX(SumAssured-S973,0)</f>
        <v/>
      </c>
      <c r="V973" s="35">
        <f>CoiMultiple*G973</f>
        <v/>
      </c>
      <c r="W973" s="34">
        <f>V973*U973</f>
        <v/>
      </c>
      <c r="X973" s="34">
        <f>S973-T973-W973</f>
        <v/>
      </c>
      <c r="Y973" s="36">
        <f>EXP((Mu-0.5*Sigma^2)/12+Sigma*SQRT(1/12)*INDEX(NormRand,ScenID,A973+1))-1</f>
        <v/>
      </c>
      <c r="Z973" s="34">
        <f>Y973*X973</f>
        <v/>
      </c>
      <c r="AA973" s="34">
        <f>X973+0.5*Z973</f>
        <v/>
      </c>
      <c r="AB973" s="34">
        <f>Q973*J973</f>
        <v/>
      </c>
      <c r="AC973" s="34">
        <f>Q973*L973</f>
        <v/>
      </c>
      <c r="AD973" s="34">
        <f>S973*N973</f>
        <v/>
      </c>
      <c r="AE973" s="34">
        <f>E973*N973</f>
        <v/>
      </c>
      <c r="AF973" s="34">
        <f>R973*N973</f>
        <v/>
      </c>
      <c r="AG973" s="29">
        <f>MAX(SumAssured,AA973)</f>
        <v/>
      </c>
      <c r="AH973" s="34">
        <f>AG973*O973</f>
        <v/>
      </c>
      <c r="AI973" s="34">
        <f>AA973*O973</f>
        <v/>
      </c>
      <c r="AJ973" s="34">
        <f>AA973*P973</f>
        <v/>
      </c>
      <c r="AK973" s="34">
        <f>I973*AA973*P973</f>
        <v/>
      </c>
      <c r="AL973" s="34">
        <f>AJ973-AK973</f>
        <v/>
      </c>
      <c r="AM973" s="34">
        <f>Q973*K973</f>
        <v/>
      </c>
      <c r="AN973" s="34">
        <f>AH973+AL973+AM973</f>
        <v/>
      </c>
      <c r="AO973" s="34">
        <f>(AG973-AA973)*O973</f>
        <v/>
      </c>
      <c r="AP973" s="34">
        <f>W973*N973</f>
        <v/>
      </c>
      <c r="AQ973" s="34">
        <f>T973*N973</f>
        <v/>
      </c>
      <c r="AR973" s="34">
        <f>Z973*J974+0.5*Z973*(O973+P973)</f>
        <v/>
      </c>
      <c r="AS973" s="30">
        <f>(1+InflationRate)^(A973/12)</f>
        <v/>
      </c>
      <c r="AT973" s="29">
        <f>ExpenseAcq*M973+N973*ExpenseMaint/12*AS973</f>
        <v/>
      </c>
      <c r="AU973" s="29">
        <f>CommissionRate*AE973</f>
        <v/>
      </c>
      <c r="AV973" s="34">
        <f>AB974-AB973</f>
        <v/>
      </c>
      <c r="AW973" s="34">
        <f>AE973+AR973-AN973-AT973-AU973-AV973</f>
        <v/>
      </c>
      <c r="AX973" s="29">
        <f>LoadPremRate*E973*N973+AK973+AQ973-AU973-AT973</f>
        <v/>
      </c>
      <c r="AY973" s="34">
        <f>AP973-AO973</f>
        <v/>
      </c>
      <c r="AZ973" s="37">
        <f>(AW973-AX973-AY973)/MAX(1,ABS(AW973),ABS(AX973),ABS(AY973))</f>
        <v/>
      </c>
      <c r="BA973" s="37">
        <f>IF(OR(K973&gt;0,K974&gt;0),0,(AC974-(AC973+AF973-AQ973-AP973+AR973-AI973-AJ973-AM973))/MAX(1,ABS(AC973),ABS(AC974)))</f>
        <v/>
      </c>
      <c r="BB973" s="35">
        <f>(1+INDEX(DiscRateAnn,INT(A973/12)+1))^(1/12)-1</f>
        <v/>
      </c>
      <c r="BC973" s="31">
        <f>(1+BB973)^-A973</f>
        <v/>
      </c>
      <c r="BD973" s="34">
        <f>AW973*BC973</f>
        <v/>
      </c>
    </row>
    <row r="974">
      <c r="A974" s="27">
        <f>A973+1</f>
        <v/>
      </c>
      <c r="B974" s="28">
        <f>Duration0+A974</f>
        <v/>
      </c>
      <c r="C974" s="27">
        <f>INT(B974/12)</f>
        <v/>
      </c>
      <c r="D974" s="28">
        <f>AgeAtEntry+C974</f>
        <v/>
      </c>
      <c r="E974" s="29">
        <f>IF(PremiumType="SINGLE",IF(B974=0,PremiumPPInput,0),IF(B974&lt;12*PolicyTerm,PremiumPPInput,0))</f>
        <v/>
      </c>
      <c r="F974" s="30">
        <f>INDEX(MortRates,MATCH(MIN(D974,120),MortAges,0),MAX(MIN(C974,5),0)+1)</f>
        <v/>
      </c>
      <c r="G974" s="31">
        <f>1-(1-F974)^(1/12)</f>
        <v/>
      </c>
      <c r="H974" s="32">
        <f>MAX(LapseBase-LapseStep*C974,LapseFloor)</f>
        <v/>
      </c>
      <c r="I974" s="32">
        <f>IF(HasSurrCharge,INDEX(SurrRates,MIN(C974,SurrDurMax)+1,MATCH(SurrChargeID,SurrTypes,0)),0)</f>
        <v/>
      </c>
      <c r="J974" s="33">
        <f>N973-P973-O973</f>
        <v/>
      </c>
      <c r="K974" s="30">
        <f>IF(B974=12*PolicyTerm,J974,0)</f>
        <v/>
      </c>
      <c r="L974" s="33">
        <f>J974-K974</f>
        <v/>
      </c>
      <c r="M974" s="30">
        <f>IF(B974=0,PolicyCount,0)</f>
        <v/>
      </c>
      <c r="N974" s="33">
        <f>L974+M974</f>
        <v/>
      </c>
      <c r="O974" s="31">
        <f>N974*G974</f>
        <v/>
      </c>
      <c r="P974" s="33">
        <f>(N974-O974)*(1-(1-H974)^(1/12))</f>
        <v/>
      </c>
      <c r="Q974" s="34">
        <f>X973+Z973</f>
        <v/>
      </c>
      <c r="R974" s="29">
        <f>(1-LoadPremRate)*E974</f>
        <v/>
      </c>
      <c r="S974" s="34">
        <f>Q974+R974</f>
        <v/>
      </c>
      <c r="T974" s="29">
        <f>MaintFeeRateAnn/12*S974</f>
        <v/>
      </c>
      <c r="U974" s="29">
        <f>MAX(SumAssured-S974,0)</f>
        <v/>
      </c>
      <c r="V974" s="35">
        <f>CoiMultiple*G974</f>
        <v/>
      </c>
      <c r="W974" s="34">
        <f>V974*U974</f>
        <v/>
      </c>
      <c r="X974" s="34">
        <f>S974-T974-W974</f>
        <v/>
      </c>
      <c r="Y974" s="36">
        <f>EXP((Mu-0.5*Sigma^2)/12+Sigma*SQRT(1/12)*INDEX(NormRand,ScenID,A974+1))-1</f>
        <v/>
      </c>
      <c r="Z974" s="34">
        <f>Y974*X974</f>
        <v/>
      </c>
      <c r="AA974" s="34">
        <f>X974+0.5*Z974</f>
        <v/>
      </c>
      <c r="AB974" s="34">
        <f>Q974*J974</f>
        <v/>
      </c>
      <c r="AC974" s="34">
        <f>Q974*L974</f>
        <v/>
      </c>
      <c r="AD974" s="34">
        <f>S974*N974</f>
        <v/>
      </c>
      <c r="AE974" s="34">
        <f>E974*N974</f>
        <v/>
      </c>
      <c r="AF974" s="34">
        <f>R974*N974</f>
        <v/>
      </c>
      <c r="AG974" s="29">
        <f>MAX(SumAssured,AA974)</f>
        <v/>
      </c>
      <c r="AH974" s="34">
        <f>AG974*O974</f>
        <v/>
      </c>
      <c r="AI974" s="34">
        <f>AA974*O974</f>
        <v/>
      </c>
      <c r="AJ974" s="34">
        <f>AA974*P974</f>
        <v/>
      </c>
      <c r="AK974" s="34">
        <f>I974*AA974*P974</f>
        <v/>
      </c>
      <c r="AL974" s="34">
        <f>AJ974-AK974</f>
        <v/>
      </c>
      <c r="AM974" s="34">
        <f>Q974*K974</f>
        <v/>
      </c>
      <c r="AN974" s="34">
        <f>AH974+AL974+AM974</f>
        <v/>
      </c>
      <c r="AO974" s="34">
        <f>(AG974-AA974)*O974</f>
        <v/>
      </c>
      <c r="AP974" s="34">
        <f>W974*N974</f>
        <v/>
      </c>
      <c r="AQ974" s="34">
        <f>T974*N974</f>
        <v/>
      </c>
      <c r="AR974" s="34">
        <f>Z974*J975+0.5*Z974*(O974+P974)</f>
        <v/>
      </c>
      <c r="AS974" s="30">
        <f>(1+InflationRate)^(A974/12)</f>
        <v/>
      </c>
      <c r="AT974" s="29">
        <f>ExpenseAcq*M974+N974*ExpenseMaint/12*AS974</f>
        <v/>
      </c>
      <c r="AU974" s="29">
        <f>CommissionRate*AE974</f>
        <v/>
      </c>
      <c r="AV974" s="34">
        <f>AB975-AB974</f>
        <v/>
      </c>
      <c r="AW974" s="34">
        <f>AE974+AR974-AN974-AT974-AU974-AV974</f>
        <v/>
      </c>
      <c r="AX974" s="29">
        <f>LoadPremRate*E974*N974+AK974+AQ974-AU974-AT974</f>
        <v/>
      </c>
      <c r="AY974" s="34">
        <f>AP974-AO974</f>
        <v/>
      </c>
      <c r="AZ974" s="37">
        <f>(AW974-AX974-AY974)/MAX(1,ABS(AW974),ABS(AX974),ABS(AY974))</f>
        <v/>
      </c>
      <c r="BA974" s="37">
        <f>IF(OR(K974&gt;0,K975&gt;0),0,(AC975-(AC974+AF974-AQ974-AP974+AR974-AI974-AJ974-AM974))/MAX(1,ABS(AC974),ABS(AC975)))</f>
        <v/>
      </c>
      <c r="BB974" s="35">
        <f>(1+INDEX(DiscRateAnn,INT(A974/12)+1))^(1/12)-1</f>
        <v/>
      </c>
      <c r="BC974" s="31">
        <f>(1+BB974)^-A974</f>
        <v/>
      </c>
      <c r="BD974" s="34">
        <f>AW974*BC974</f>
        <v/>
      </c>
    </row>
    <row r="975">
      <c r="A975" s="27">
        <f>A974+1</f>
        <v/>
      </c>
      <c r="B975" s="28">
        <f>Duration0+A975</f>
        <v/>
      </c>
      <c r="C975" s="27">
        <f>INT(B975/12)</f>
        <v/>
      </c>
      <c r="D975" s="28">
        <f>AgeAtEntry+C975</f>
        <v/>
      </c>
      <c r="E975" s="29">
        <f>IF(PremiumType="SINGLE",IF(B975=0,PremiumPPInput,0),IF(B975&lt;12*PolicyTerm,PremiumPPInput,0))</f>
        <v/>
      </c>
      <c r="F975" s="30">
        <f>INDEX(MortRates,MATCH(MIN(D975,120),MortAges,0),MAX(MIN(C975,5),0)+1)</f>
        <v/>
      </c>
      <c r="G975" s="31">
        <f>1-(1-F975)^(1/12)</f>
        <v/>
      </c>
      <c r="H975" s="32">
        <f>MAX(LapseBase-LapseStep*C975,LapseFloor)</f>
        <v/>
      </c>
      <c r="I975" s="32">
        <f>IF(HasSurrCharge,INDEX(SurrRates,MIN(C975,SurrDurMax)+1,MATCH(SurrChargeID,SurrTypes,0)),0)</f>
        <v/>
      </c>
      <c r="J975" s="33">
        <f>N974-P974-O974</f>
        <v/>
      </c>
      <c r="K975" s="30">
        <f>IF(B975=12*PolicyTerm,J975,0)</f>
        <v/>
      </c>
      <c r="L975" s="33">
        <f>J975-K975</f>
        <v/>
      </c>
      <c r="M975" s="30">
        <f>IF(B975=0,PolicyCount,0)</f>
        <v/>
      </c>
      <c r="N975" s="33">
        <f>L975+M975</f>
        <v/>
      </c>
      <c r="O975" s="31">
        <f>N975*G975</f>
        <v/>
      </c>
      <c r="P975" s="33">
        <f>(N975-O975)*(1-(1-H975)^(1/12))</f>
        <v/>
      </c>
      <c r="Q975" s="34">
        <f>X974+Z974</f>
        <v/>
      </c>
      <c r="R975" s="29">
        <f>(1-LoadPremRate)*E975</f>
        <v/>
      </c>
      <c r="S975" s="34">
        <f>Q975+R975</f>
        <v/>
      </c>
      <c r="T975" s="29">
        <f>MaintFeeRateAnn/12*S975</f>
        <v/>
      </c>
      <c r="U975" s="29">
        <f>MAX(SumAssured-S975,0)</f>
        <v/>
      </c>
      <c r="V975" s="35">
        <f>CoiMultiple*G975</f>
        <v/>
      </c>
      <c r="W975" s="34">
        <f>V975*U975</f>
        <v/>
      </c>
      <c r="X975" s="34">
        <f>S975-T975-W975</f>
        <v/>
      </c>
      <c r="Y975" s="36">
        <f>EXP((Mu-0.5*Sigma^2)/12+Sigma*SQRT(1/12)*INDEX(NormRand,ScenID,A975+1))-1</f>
        <v/>
      </c>
      <c r="Z975" s="34">
        <f>Y975*X975</f>
        <v/>
      </c>
      <c r="AA975" s="34">
        <f>X975+0.5*Z975</f>
        <v/>
      </c>
      <c r="AB975" s="34">
        <f>Q975*J975</f>
        <v/>
      </c>
      <c r="AC975" s="34">
        <f>Q975*L975</f>
        <v/>
      </c>
      <c r="AD975" s="34">
        <f>S975*N975</f>
        <v/>
      </c>
      <c r="AE975" s="34">
        <f>E975*N975</f>
        <v/>
      </c>
      <c r="AF975" s="34">
        <f>R975*N975</f>
        <v/>
      </c>
      <c r="AG975" s="29">
        <f>MAX(SumAssured,AA975)</f>
        <v/>
      </c>
      <c r="AH975" s="34">
        <f>AG975*O975</f>
        <v/>
      </c>
      <c r="AI975" s="34">
        <f>AA975*O975</f>
        <v/>
      </c>
      <c r="AJ975" s="34">
        <f>AA975*P975</f>
        <v/>
      </c>
      <c r="AK975" s="34">
        <f>I975*AA975*P975</f>
        <v/>
      </c>
      <c r="AL975" s="34">
        <f>AJ975-AK975</f>
        <v/>
      </c>
      <c r="AM975" s="34">
        <f>Q975*K975</f>
        <v/>
      </c>
      <c r="AN975" s="34">
        <f>AH975+AL975+AM975</f>
        <v/>
      </c>
      <c r="AO975" s="34">
        <f>(AG975-AA975)*O975</f>
        <v/>
      </c>
      <c r="AP975" s="34">
        <f>W975*N975</f>
        <v/>
      </c>
      <c r="AQ975" s="34">
        <f>T975*N975</f>
        <v/>
      </c>
      <c r="AR975" s="34">
        <f>Z975*J976+0.5*Z975*(O975+P975)</f>
        <v/>
      </c>
      <c r="AS975" s="30">
        <f>(1+InflationRate)^(A975/12)</f>
        <v/>
      </c>
      <c r="AT975" s="29">
        <f>ExpenseAcq*M975+N975*ExpenseMaint/12*AS975</f>
        <v/>
      </c>
      <c r="AU975" s="29">
        <f>CommissionRate*AE975</f>
        <v/>
      </c>
      <c r="AV975" s="34">
        <f>AB976-AB975</f>
        <v/>
      </c>
      <c r="AW975" s="34">
        <f>AE975+AR975-AN975-AT975-AU975-AV975</f>
        <v/>
      </c>
      <c r="AX975" s="29">
        <f>LoadPremRate*E975*N975+AK975+AQ975-AU975-AT975</f>
        <v/>
      </c>
      <c r="AY975" s="34">
        <f>AP975-AO975</f>
        <v/>
      </c>
      <c r="AZ975" s="37">
        <f>(AW975-AX975-AY975)/MAX(1,ABS(AW975),ABS(AX975),ABS(AY975))</f>
        <v/>
      </c>
      <c r="BA975" s="37">
        <f>IF(OR(K975&gt;0,K976&gt;0),0,(AC976-(AC975+AF975-AQ975-AP975+AR975-AI975-AJ975-AM975))/MAX(1,ABS(AC975),ABS(AC976)))</f>
        <v/>
      </c>
      <c r="BB975" s="35">
        <f>(1+INDEX(DiscRateAnn,INT(A975/12)+1))^(1/12)-1</f>
        <v/>
      </c>
      <c r="BC975" s="31">
        <f>(1+BB975)^-A975</f>
        <v/>
      </c>
      <c r="BD975" s="34">
        <f>AW975*BC975</f>
        <v/>
      </c>
    </row>
    <row r="976">
      <c r="A976" s="27">
        <f>A975+1</f>
        <v/>
      </c>
      <c r="B976" s="28">
        <f>Duration0+A976</f>
        <v/>
      </c>
      <c r="C976" s="27">
        <f>INT(B976/12)</f>
        <v/>
      </c>
      <c r="D976" s="28">
        <f>AgeAtEntry+C976</f>
        <v/>
      </c>
      <c r="E976" s="29">
        <f>IF(PremiumType="SINGLE",IF(B976=0,PremiumPPInput,0),IF(B976&lt;12*PolicyTerm,PremiumPPInput,0))</f>
        <v/>
      </c>
      <c r="F976" s="30">
        <f>INDEX(MortRates,MATCH(MIN(D976,120),MortAges,0),MAX(MIN(C976,5),0)+1)</f>
        <v/>
      </c>
      <c r="G976" s="31">
        <f>1-(1-F976)^(1/12)</f>
        <v/>
      </c>
      <c r="H976" s="32">
        <f>MAX(LapseBase-LapseStep*C976,LapseFloor)</f>
        <v/>
      </c>
      <c r="I976" s="32">
        <f>IF(HasSurrCharge,INDEX(SurrRates,MIN(C976,SurrDurMax)+1,MATCH(SurrChargeID,SurrTypes,0)),0)</f>
        <v/>
      </c>
      <c r="J976" s="33">
        <f>N975-P975-O975</f>
        <v/>
      </c>
      <c r="K976" s="30">
        <f>IF(B976=12*PolicyTerm,J976,0)</f>
        <v/>
      </c>
      <c r="L976" s="33">
        <f>J976-K976</f>
        <v/>
      </c>
      <c r="M976" s="30">
        <f>IF(B976=0,PolicyCount,0)</f>
        <v/>
      </c>
      <c r="N976" s="33">
        <f>L976+M976</f>
        <v/>
      </c>
      <c r="O976" s="31">
        <f>N976*G976</f>
        <v/>
      </c>
      <c r="P976" s="33">
        <f>(N976-O976)*(1-(1-H976)^(1/12))</f>
        <v/>
      </c>
      <c r="Q976" s="34">
        <f>X975+Z975</f>
        <v/>
      </c>
      <c r="R976" s="29">
        <f>(1-LoadPremRate)*E976</f>
        <v/>
      </c>
      <c r="S976" s="34">
        <f>Q976+R976</f>
        <v/>
      </c>
      <c r="T976" s="29">
        <f>MaintFeeRateAnn/12*S976</f>
        <v/>
      </c>
      <c r="U976" s="29">
        <f>MAX(SumAssured-S976,0)</f>
        <v/>
      </c>
      <c r="V976" s="35">
        <f>CoiMultiple*G976</f>
        <v/>
      </c>
      <c r="W976" s="34">
        <f>V976*U976</f>
        <v/>
      </c>
      <c r="X976" s="34">
        <f>S976-T976-W976</f>
        <v/>
      </c>
      <c r="Y976" s="36">
        <f>EXP((Mu-0.5*Sigma^2)/12+Sigma*SQRT(1/12)*INDEX(NormRand,ScenID,A976+1))-1</f>
        <v/>
      </c>
      <c r="Z976" s="34">
        <f>Y976*X976</f>
        <v/>
      </c>
      <c r="AA976" s="34">
        <f>X976+0.5*Z976</f>
        <v/>
      </c>
      <c r="AB976" s="34">
        <f>Q976*J976</f>
        <v/>
      </c>
      <c r="AC976" s="34">
        <f>Q976*L976</f>
        <v/>
      </c>
      <c r="AD976" s="34">
        <f>S976*N976</f>
        <v/>
      </c>
      <c r="AE976" s="34">
        <f>E976*N976</f>
        <v/>
      </c>
      <c r="AF976" s="34">
        <f>R976*N976</f>
        <v/>
      </c>
      <c r="AG976" s="29">
        <f>MAX(SumAssured,AA976)</f>
        <v/>
      </c>
      <c r="AH976" s="34">
        <f>AG976*O976</f>
        <v/>
      </c>
      <c r="AI976" s="34">
        <f>AA976*O976</f>
        <v/>
      </c>
      <c r="AJ976" s="34">
        <f>AA976*P976</f>
        <v/>
      </c>
      <c r="AK976" s="34">
        <f>I976*AA976*P976</f>
        <v/>
      </c>
      <c r="AL976" s="34">
        <f>AJ976-AK976</f>
        <v/>
      </c>
      <c r="AM976" s="34">
        <f>Q976*K976</f>
        <v/>
      </c>
      <c r="AN976" s="34">
        <f>AH976+AL976+AM976</f>
        <v/>
      </c>
      <c r="AO976" s="34">
        <f>(AG976-AA976)*O976</f>
        <v/>
      </c>
      <c r="AP976" s="34">
        <f>W976*N976</f>
        <v/>
      </c>
      <c r="AQ976" s="34">
        <f>T976*N976</f>
        <v/>
      </c>
      <c r="AR976" s="34">
        <f>Z976*J977+0.5*Z976*(O976+P976)</f>
        <v/>
      </c>
      <c r="AS976" s="30">
        <f>(1+InflationRate)^(A976/12)</f>
        <v/>
      </c>
      <c r="AT976" s="29">
        <f>ExpenseAcq*M976+N976*ExpenseMaint/12*AS976</f>
        <v/>
      </c>
      <c r="AU976" s="29">
        <f>CommissionRate*AE976</f>
        <v/>
      </c>
      <c r="AV976" s="34">
        <f>AB977-AB976</f>
        <v/>
      </c>
      <c r="AW976" s="34">
        <f>AE976+AR976-AN976-AT976-AU976-AV976</f>
        <v/>
      </c>
      <c r="AX976" s="29">
        <f>LoadPremRate*E976*N976+AK976+AQ976-AU976-AT976</f>
        <v/>
      </c>
      <c r="AY976" s="34">
        <f>AP976-AO976</f>
        <v/>
      </c>
      <c r="AZ976" s="37">
        <f>(AW976-AX976-AY976)/MAX(1,ABS(AW976),ABS(AX976),ABS(AY976))</f>
        <v/>
      </c>
      <c r="BA976" s="37">
        <f>IF(OR(K976&gt;0,K977&gt;0),0,(AC977-(AC976+AF976-AQ976-AP976+AR976-AI976-AJ976-AM976))/MAX(1,ABS(AC976),ABS(AC977)))</f>
        <v/>
      </c>
      <c r="BB976" s="35">
        <f>(1+INDEX(DiscRateAnn,INT(A976/12)+1))^(1/12)-1</f>
        <v/>
      </c>
      <c r="BC976" s="31">
        <f>(1+BB976)^-A976</f>
        <v/>
      </c>
      <c r="BD976" s="34">
        <f>AW976*BC976</f>
        <v/>
      </c>
    </row>
    <row r="977">
      <c r="A977" s="27">
        <f>A976+1</f>
        <v/>
      </c>
      <c r="B977" s="28">
        <f>Duration0+A977</f>
        <v/>
      </c>
      <c r="C977" s="27">
        <f>INT(B977/12)</f>
        <v/>
      </c>
      <c r="D977" s="28">
        <f>AgeAtEntry+C977</f>
        <v/>
      </c>
      <c r="E977" s="29">
        <f>IF(PremiumType="SINGLE",IF(B977=0,PremiumPPInput,0),IF(B977&lt;12*PolicyTerm,PremiumPPInput,0))</f>
        <v/>
      </c>
      <c r="F977" s="30">
        <f>INDEX(MortRates,MATCH(MIN(D977,120),MortAges,0),MAX(MIN(C977,5),0)+1)</f>
        <v/>
      </c>
      <c r="G977" s="31">
        <f>1-(1-F977)^(1/12)</f>
        <v/>
      </c>
      <c r="H977" s="32">
        <f>MAX(LapseBase-LapseStep*C977,LapseFloor)</f>
        <v/>
      </c>
      <c r="I977" s="32">
        <f>IF(HasSurrCharge,INDEX(SurrRates,MIN(C977,SurrDurMax)+1,MATCH(SurrChargeID,SurrTypes,0)),0)</f>
        <v/>
      </c>
      <c r="J977" s="33">
        <f>N976-P976-O976</f>
        <v/>
      </c>
      <c r="K977" s="30">
        <f>IF(B977=12*PolicyTerm,J977,0)</f>
        <v/>
      </c>
      <c r="L977" s="33">
        <f>J977-K977</f>
        <v/>
      </c>
      <c r="M977" s="30">
        <f>IF(B977=0,PolicyCount,0)</f>
        <v/>
      </c>
      <c r="N977" s="33">
        <f>L977+M977</f>
        <v/>
      </c>
      <c r="O977" s="31">
        <f>N977*G977</f>
        <v/>
      </c>
      <c r="P977" s="33">
        <f>(N977-O977)*(1-(1-H977)^(1/12))</f>
        <v/>
      </c>
      <c r="Q977" s="34">
        <f>X976+Z976</f>
        <v/>
      </c>
      <c r="R977" s="29">
        <f>(1-LoadPremRate)*E977</f>
        <v/>
      </c>
      <c r="S977" s="34">
        <f>Q977+R977</f>
        <v/>
      </c>
      <c r="T977" s="29">
        <f>MaintFeeRateAnn/12*S977</f>
        <v/>
      </c>
      <c r="U977" s="29">
        <f>MAX(SumAssured-S977,0)</f>
        <v/>
      </c>
      <c r="V977" s="35">
        <f>CoiMultiple*G977</f>
        <v/>
      </c>
      <c r="W977" s="34">
        <f>V977*U977</f>
        <v/>
      </c>
      <c r="X977" s="34">
        <f>S977-T977-W977</f>
        <v/>
      </c>
      <c r="Y977" s="36">
        <f>EXP((Mu-0.5*Sigma^2)/12+Sigma*SQRT(1/12)*INDEX(NormRand,ScenID,A977+1))-1</f>
        <v/>
      </c>
      <c r="Z977" s="34">
        <f>Y977*X977</f>
        <v/>
      </c>
      <c r="AA977" s="34">
        <f>X977+0.5*Z977</f>
        <v/>
      </c>
      <c r="AB977" s="34">
        <f>Q977*J977</f>
        <v/>
      </c>
      <c r="AC977" s="34">
        <f>Q977*L977</f>
        <v/>
      </c>
      <c r="AD977" s="34">
        <f>S977*N977</f>
        <v/>
      </c>
      <c r="AE977" s="34">
        <f>E977*N977</f>
        <v/>
      </c>
      <c r="AF977" s="34">
        <f>R977*N977</f>
        <v/>
      </c>
      <c r="AG977" s="29">
        <f>MAX(SumAssured,AA977)</f>
        <v/>
      </c>
      <c r="AH977" s="34">
        <f>AG977*O977</f>
        <v/>
      </c>
      <c r="AI977" s="34">
        <f>AA977*O977</f>
        <v/>
      </c>
      <c r="AJ977" s="34">
        <f>AA977*P977</f>
        <v/>
      </c>
      <c r="AK977" s="34">
        <f>I977*AA977*P977</f>
        <v/>
      </c>
      <c r="AL977" s="34">
        <f>AJ977-AK977</f>
        <v/>
      </c>
      <c r="AM977" s="34">
        <f>Q977*K977</f>
        <v/>
      </c>
      <c r="AN977" s="34">
        <f>AH977+AL977+AM977</f>
        <v/>
      </c>
      <c r="AO977" s="34">
        <f>(AG977-AA977)*O977</f>
        <v/>
      </c>
      <c r="AP977" s="34">
        <f>W977*N977</f>
        <v/>
      </c>
      <c r="AQ977" s="34">
        <f>T977*N977</f>
        <v/>
      </c>
      <c r="AR977" s="34">
        <f>Z977*J978+0.5*Z977*(O977+P977)</f>
        <v/>
      </c>
      <c r="AS977" s="30">
        <f>(1+InflationRate)^(A977/12)</f>
        <v/>
      </c>
      <c r="AT977" s="29">
        <f>ExpenseAcq*M977+N977*ExpenseMaint/12*AS977</f>
        <v/>
      </c>
      <c r="AU977" s="29">
        <f>CommissionRate*AE977</f>
        <v/>
      </c>
      <c r="AV977" s="34">
        <f>AB978-AB977</f>
        <v/>
      </c>
      <c r="AW977" s="34">
        <f>AE977+AR977-AN977-AT977-AU977-AV977</f>
        <v/>
      </c>
      <c r="AX977" s="29">
        <f>LoadPremRate*E977*N977+AK977+AQ977-AU977-AT977</f>
        <v/>
      </c>
      <c r="AY977" s="34">
        <f>AP977-AO977</f>
        <v/>
      </c>
      <c r="AZ977" s="37">
        <f>(AW977-AX977-AY977)/MAX(1,ABS(AW977),ABS(AX977),ABS(AY977))</f>
        <v/>
      </c>
      <c r="BA977" s="37">
        <f>IF(OR(K977&gt;0,K978&gt;0),0,(AC978-(AC977+AF977-AQ977-AP977+AR977-AI977-AJ977-AM977))/MAX(1,ABS(AC977),ABS(AC978)))</f>
        <v/>
      </c>
      <c r="BB977" s="35">
        <f>(1+INDEX(DiscRateAnn,INT(A977/12)+1))^(1/12)-1</f>
        <v/>
      </c>
      <c r="BC977" s="31">
        <f>(1+BB977)^-A977</f>
        <v/>
      </c>
      <c r="BD977" s="34">
        <f>AW977*BC977</f>
        <v/>
      </c>
    </row>
    <row r="978">
      <c r="A978" s="27">
        <f>A977+1</f>
        <v/>
      </c>
      <c r="B978" s="28">
        <f>Duration0+A978</f>
        <v/>
      </c>
      <c r="C978" s="27">
        <f>INT(B978/12)</f>
        <v/>
      </c>
      <c r="D978" s="28">
        <f>AgeAtEntry+C978</f>
        <v/>
      </c>
      <c r="E978" s="29">
        <f>IF(PremiumType="SINGLE",IF(B978=0,PremiumPPInput,0),IF(B978&lt;12*PolicyTerm,PremiumPPInput,0))</f>
        <v/>
      </c>
      <c r="F978" s="30">
        <f>INDEX(MortRates,MATCH(MIN(D978,120),MortAges,0),MAX(MIN(C978,5),0)+1)</f>
        <v/>
      </c>
      <c r="G978" s="31">
        <f>1-(1-F978)^(1/12)</f>
        <v/>
      </c>
      <c r="H978" s="32">
        <f>MAX(LapseBase-LapseStep*C978,LapseFloor)</f>
        <v/>
      </c>
      <c r="I978" s="32">
        <f>IF(HasSurrCharge,INDEX(SurrRates,MIN(C978,SurrDurMax)+1,MATCH(SurrChargeID,SurrTypes,0)),0)</f>
        <v/>
      </c>
      <c r="J978" s="33">
        <f>N977-P977-O977</f>
        <v/>
      </c>
      <c r="K978" s="30">
        <f>IF(B978=12*PolicyTerm,J978,0)</f>
        <v/>
      </c>
      <c r="L978" s="33">
        <f>J978-K978</f>
        <v/>
      </c>
      <c r="M978" s="30">
        <f>IF(B978=0,PolicyCount,0)</f>
        <v/>
      </c>
      <c r="N978" s="33">
        <f>L978+M978</f>
        <v/>
      </c>
      <c r="O978" s="31">
        <f>N978*G978</f>
        <v/>
      </c>
      <c r="P978" s="33">
        <f>(N978-O978)*(1-(1-H978)^(1/12))</f>
        <v/>
      </c>
      <c r="Q978" s="34">
        <f>X977+Z977</f>
        <v/>
      </c>
      <c r="R978" s="29">
        <f>(1-LoadPremRate)*E978</f>
        <v/>
      </c>
      <c r="S978" s="34">
        <f>Q978+R978</f>
        <v/>
      </c>
      <c r="T978" s="29">
        <f>MaintFeeRateAnn/12*S978</f>
        <v/>
      </c>
      <c r="U978" s="29">
        <f>MAX(SumAssured-S978,0)</f>
        <v/>
      </c>
      <c r="V978" s="35">
        <f>CoiMultiple*G978</f>
        <v/>
      </c>
      <c r="W978" s="34">
        <f>V978*U978</f>
        <v/>
      </c>
      <c r="X978" s="34">
        <f>S978-T978-W978</f>
        <v/>
      </c>
      <c r="Y978" s="36">
        <f>EXP((Mu-0.5*Sigma^2)/12+Sigma*SQRT(1/12)*INDEX(NormRand,ScenID,A978+1))-1</f>
        <v/>
      </c>
      <c r="Z978" s="34">
        <f>Y978*X978</f>
        <v/>
      </c>
      <c r="AA978" s="34">
        <f>X978+0.5*Z978</f>
        <v/>
      </c>
      <c r="AB978" s="34">
        <f>Q978*J978</f>
        <v/>
      </c>
      <c r="AC978" s="34">
        <f>Q978*L978</f>
        <v/>
      </c>
      <c r="AD978" s="34">
        <f>S978*N978</f>
        <v/>
      </c>
      <c r="AE978" s="34">
        <f>E978*N978</f>
        <v/>
      </c>
      <c r="AF978" s="34">
        <f>R978*N978</f>
        <v/>
      </c>
      <c r="AG978" s="29">
        <f>MAX(SumAssured,AA978)</f>
        <v/>
      </c>
      <c r="AH978" s="34">
        <f>AG978*O978</f>
        <v/>
      </c>
      <c r="AI978" s="34">
        <f>AA978*O978</f>
        <v/>
      </c>
      <c r="AJ978" s="34">
        <f>AA978*P978</f>
        <v/>
      </c>
      <c r="AK978" s="34">
        <f>I978*AA978*P978</f>
        <v/>
      </c>
      <c r="AL978" s="34">
        <f>AJ978-AK978</f>
        <v/>
      </c>
      <c r="AM978" s="34">
        <f>Q978*K978</f>
        <v/>
      </c>
      <c r="AN978" s="34">
        <f>AH978+AL978+AM978</f>
        <v/>
      </c>
      <c r="AO978" s="34">
        <f>(AG978-AA978)*O978</f>
        <v/>
      </c>
      <c r="AP978" s="34">
        <f>W978*N978</f>
        <v/>
      </c>
      <c r="AQ978" s="34">
        <f>T978*N978</f>
        <v/>
      </c>
      <c r="AR978" s="34">
        <f>Z978*J979+0.5*Z978*(O978+P978)</f>
        <v/>
      </c>
      <c r="AS978" s="30">
        <f>(1+InflationRate)^(A978/12)</f>
        <v/>
      </c>
      <c r="AT978" s="29">
        <f>ExpenseAcq*M978+N978*ExpenseMaint/12*AS978</f>
        <v/>
      </c>
      <c r="AU978" s="29">
        <f>CommissionRate*AE978</f>
        <v/>
      </c>
      <c r="AV978" s="34">
        <f>AB979-AB978</f>
        <v/>
      </c>
      <c r="AW978" s="34">
        <f>AE978+AR978-AN978-AT978-AU978-AV978</f>
        <v/>
      </c>
      <c r="AX978" s="29">
        <f>LoadPremRate*E978*N978+AK978+AQ978-AU978-AT978</f>
        <v/>
      </c>
      <c r="AY978" s="34">
        <f>AP978-AO978</f>
        <v/>
      </c>
      <c r="AZ978" s="37">
        <f>(AW978-AX978-AY978)/MAX(1,ABS(AW978),ABS(AX978),ABS(AY978))</f>
        <v/>
      </c>
      <c r="BA978" s="37">
        <f>IF(OR(K978&gt;0,K979&gt;0),0,(AC979-(AC978+AF978-AQ978-AP978+AR978-AI978-AJ978-AM978))/MAX(1,ABS(AC978),ABS(AC979)))</f>
        <v/>
      </c>
      <c r="BB978" s="35">
        <f>(1+INDEX(DiscRateAnn,INT(A978/12)+1))^(1/12)-1</f>
        <v/>
      </c>
      <c r="BC978" s="31">
        <f>(1+BB978)^-A978</f>
        <v/>
      </c>
      <c r="BD978" s="34">
        <f>AW978*BC978</f>
        <v/>
      </c>
    </row>
    <row r="979">
      <c r="A979" s="27">
        <f>A978+1</f>
        <v/>
      </c>
      <c r="B979" s="28">
        <f>Duration0+A979</f>
        <v/>
      </c>
      <c r="C979" s="27">
        <f>INT(B979/12)</f>
        <v/>
      </c>
      <c r="D979" s="28">
        <f>AgeAtEntry+C979</f>
        <v/>
      </c>
      <c r="E979" s="29">
        <f>IF(PremiumType="SINGLE",IF(B979=0,PremiumPPInput,0),IF(B979&lt;12*PolicyTerm,PremiumPPInput,0))</f>
        <v/>
      </c>
      <c r="F979" s="30">
        <f>INDEX(MortRates,MATCH(MIN(D979,120),MortAges,0),MAX(MIN(C979,5),0)+1)</f>
        <v/>
      </c>
      <c r="G979" s="31">
        <f>1-(1-F979)^(1/12)</f>
        <v/>
      </c>
      <c r="H979" s="32">
        <f>MAX(LapseBase-LapseStep*C979,LapseFloor)</f>
        <v/>
      </c>
      <c r="I979" s="32">
        <f>IF(HasSurrCharge,INDEX(SurrRates,MIN(C979,SurrDurMax)+1,MATCH(SurrChargeID,SurrTypes,0)),0)</f>
        <v/>
      </c>
      <c r="J979" s="33">
        <f>N978-P978-O978</f>
        <v/>
      </c>
      <c r="K979" s="30">
        <f>IF(B979=12*PolicyTerm,J979,0)</f>
        <v/>
      </c>
      <c r="L979" s="33">
        <f>J979-K979</f>
        <v/>
      </c>
      <c r="M979" s="30">
        <f>IF(B979=0,PolicyCount,0)</f>
        <v/>
      </c>
      <c r="N979" s="33">
        <f>L979+M979</f>
        <v/>
      </c>
      <c r="O979" s="31">
        <f>N979*G979</f>
        <v/>
      </c>
      <c r="P979" s="33">
        <f>(N979-O979)*(1-(1-H979)^(1/12))</f>
        <v/>
      </c>
      <c r="Q979" s="34">
        <f>X978+Z978</f>
        <v/>
      </c>
      <c r="R979" s="29">
        <f>(1-LoadPremRate)*E979</f>
        <v/>
      </c>
      <c r="S979" s="34">
        <f>Q979+R979</f>
        <v/>
      </c>
      <c r="T979" s="29">
        <f>MaintFeeRateAnn/12*S979</f>
        <v/>
      </c>
      <c r="U979" s="29">
        <f>MAX(SumAssured-S979,0)</f>
        <v/>
      </c>
      <c r="V979" s="35">
        <f>CoiMultiple*G979</f>
        <v/>
      </c>
      <c r="W979" s="34">
        <f>V979*U979</f>
        <v/>
      </c>
      <c r="X979" s="34">
        <f>S979-T979-W979</f>
        <v/>
      </c>
      <c r="Y979" s="36">
        <f>EXP((Mu-0.5*Sigma^2)/12+Sigma*SQRT(1/12)*INDEX(NormRand,ScenID,A979+1))-1</f>
        <v/>
      </c>
      <c r="Z979" s="34">
        <f>Y979*X979</f>
        <v/>
      </c>
      <c r="AA979" s="34">
        <f>X979+0.5*Z979</f>
        <v/>
      </c>
      <c r="AB979" s="34">
        <f>Q979*J979</f>
        <v/>
      </c>
      <c r="AC979" s="34">
        <f>Q979*L979</f>
        <v/>
      </c>
      <c r="AD979" s="34">
        <f>S979*N979</f>
        <v/>
      </c>
      <c r="AE979" s="34">
        <f>E979*N979</f>
        <v/>
      </c>
      <c r="AF979" s="34">
        <f>R979*N979</f>
        <v/>
      </c>
      <c r="AG979" s="29">
        <f>MAX(SumAssured,AA979)</f>
        <v/>
      </c>
      <c r="AH979" s="34">
        <f>AG979*O979</f>
        <v/>
      </c>
      <c r="AI979" s="34">
        <f>AA979*O979</f>
        <v/>
      </c>
      <c r="AJ979" s="34">
        <f>AA979*P979</f>
        <v/>
      </c>
      <c r="AK979" s="34">
        <f>I979*AA979*P979</f>
        <v/>
      </c>
      <c r="AL979" s="34">
        <f>AJ979-AK979</f>
        <v/>
      </c>
      <c r="AM979" s="34">
        <f>Q979*K979</f>
        <v/>
      </c>
      <c r="AN979" s="34">
        <f>AH979+AL979+AM979</f>
        <v/>
      </c>
      <c r="AO979" s="34">
        <f>(AG979-AA979)*O979</f>
        <v/>
      </c>
      <c r="AP979" s="34">
        <f>W979*N979</f>
        <v/>
      </c>
      <c r="AQ979" s="34">
        <f>T979*N979</f>
        <v/>
      </c>
      <c r="AR979" s="34">
        <f>Z979*J980+0.5*Z979*(O979+P979)</f>
        <v/>
      </c>
      <c r="AS979" s="30">
        <f>(1+InflationRate)^(A979/12)</f>
        <v/>
      </c>
      <c r="AT979" s="29">
        <f>ExpenseAcq*M979+N979*ExpenseMaint/12*AS979</f>
        <v/>
      </c>
      <c r="AU979" s="29">
        <f>CommissionRate*AE979</f>
        <v/>
      </c>
      <c r="AV979" s="34">
        <f>AB980-AB979</f>
        <v/>
      </c>
      <c r="AW979" s="34">
        <f>AE979+AR979-AN979-AT979-AU979-AV979</f>
        <v/>
      </c>
      <c r="AX979" s="29">
        <f>LoadPremRate*E979*N979+AK979+AQ979-AU979-AT979</f>
        <v/>
      </c>
      <c r="AY979" s="34">
        <f>AP979-AO979</f>
        <v/>
      </c>
      <c r="AZ979" s="37">
        <f>(AW979-AX979-AY979)/MAX(1,ABS(AW979),ABS(AX979),ABS(AY979))</f>
        <v/>
      </c>
      <c r="BA979" s="37">
        <f>IF(OR(K979&gt;0,K980&gt;0),0,(AC980-(AC979+AF979-AQ979-AP979+AR979-AI979-AJ979-AM979))/MAX(1,ABS(AC979),ABS(AC980)))</f>
        <v/>
      </c>
      <c r="BB979" s="35">
        <f>(1+INDEX(DiscRateAnn,INT(A979/12)+1))^(1/12)-1</f>
        <v/>
      </c>
      <c r="BC979" s="31">
        <f>(1+BB979)^-A979</f>
        <v/>
      </c>
      <c r="BD979" s="34">
        <f>AW979*BC979</f>
        <v/>
      </c>
    </row>
    <row r="980">
      <c r="A980" s="27">
        <f>A979+1</f>
        <v/>
      </c>
      <c r="B980" s="28">
        <f>Duration0+A980</f>
        <v/>
      </c>
      <c r="C980" s="27">
        <f>INT(B980/12)</f>
        <v/>
      </c>
      <c r="D980" s="28">
        <f>AgeAtEntry+C980</f>
        <v/>
      </c>
      <c r="E980" s="29">
        <f>IF(PremiumType="SINGLE",IF(B980=0,PremiumPPInput,0),IF(B980&lt;12*PolicyTerm,PremiumPPInput,0))</f>
        <v/>
      </c>
      <c r="F980" s="30">
        <f>INDEX(MortRates,MATCH(MIN(D980,120),MortAges,0),MAX(MIN(C980,5),0)+1)</f>
        <v/>
      </c>
      <c r="G980" s="31">
        <f>1-(1-F980)^(1/12)</f>
        <v/>
      </c>
      <c r="H980" s="32">
        <f>MAX(LapseBase-LapseStep*C980,LapseFloor)</f>
        <v/>
      </c>
      <c r="I980" s="32">
        <f>IF(HasSurrCharge,INDEX(SurrRates,MIN(C980,SurrDurMax)+1,MATCH(SurrChargeID,SurrTypes,0)),0)</f>
        <v/>
      </c>
      <c r="J980" s="33">
        <f>N979-P979-O979</f>
        <v/>
      </c>
      <c r="K980" s="30">
        <f>IF(B980=12*PolicyTerm,J980,0)</f>
        <v/>
      </c>
      <c r="L980" s="33">
        <f>J980-K980</f>
        <v/>
      </c>
      <c r="M980" s="30">
        <f>IF(B980=0,PolicyCount,0)</f>
        <v/>
      </c>
      <c r="N980" s="33">
        <f>L980+M980</f>
        <v/>
      </c>
      <c r="O980" s="31">
        <f>N980*G980</f>
        <v/>
      </c>
      <c r="P980" s="33">
        <f>(N980-O980)*(1-(1-H980)^(1/12))</f>
        <v/>
      </c>
      <c r="Q980" s="34">
        <f>X979+Z979</f>
        <v/>
      </c>
      <c r="R980" s="29">
        <f>(1-LoadPremRate)*E980</f>
        <v/>
      </c>
      <c r="S980" s="34">
        <f>Q980+R980</f>
        <v/>
      </c>
      <c r="T980" s="29">
        <f>MaintFeeRateAnn/12*S980</f>
        <v/>
      </c>
      <c r="U980" s="29">
        <f>MAX(SumAssured-S980,0)</f>
        <v/>
      </c>
      <c r="V980" s="35">
        <f>CoiMultiple*G980</f>
        <v/>
      </c>
      <c r="W980" s="34">
        <f>V980*U980</f>
        <v/>
      </c>
      <c r="X980" s="34">
        <f>S980-T980-W980</f>
        <v/>
      </c>
      <c r="Y980" s="36">
        <f>EXP((Mu-0.5*Sigma^2)/12+Sigma*SQRT(1/12)*INDEX(NormRand,ScenID,A980+1))-1</f>
        <v/>
      </c>
      <c r="Z980" s="34">
        <f>Y980*X980</f>
        <v/>
      </c>
      <c r="AA980" s="34">
        <f>X980+0.5*Z980</f>
        <v/>
      </c>
      <c r="AB980" s="34">
        <f>Q980*J980</f>
        <v/>
      </c>
      <c r="AC980" s="34">
        <f>Q980*L980</f>
        <v/>
      </c>
      <c r="AD980" s="34">
        <f>S980*N980</f>
        <v/>
      </c>
      <c r="AE980" s="34">
        <f>E980*N980</f>
        <v/>
      </c>
      <c r="AF980" s="34">
        <f>R980*N980</f>
        <v/>
      </c>
      <c r="AG980" s="29">
        <f>MAX(SumAssured,AA980)</f>
        <v/>
      </c>
      <c r="AH980" s="34">
        <f>AG980*O980</f>
        <v/>
      </c>
      <c r="AI980" s="34">
        <f>AA980*O980</f>
        <v/>
      </c>
      <c r="AJ980" s="34">
        <f>AA980*P980</f>
        <v/>
      </c>
      <c r="AK980" s="34">
        <f>I980*AA980*P980</f>
        <v/>
      </c>
      <c r="AL980" s="34">
        <f>AJ980-AK980</f>
        <v/>
      </c>
      <c r="AM980" s="34">
        <f>Q980*K980</f>
        <v/>
      </c>
      <c r="AN980" s="34">
        <f>AH980+AL980+AM980</f>
        <v/>
      </c>
      <c r="AO980" s="34">
        <f>(AG980-AA980)*O980</f>
        <v/>
      </c>
      <c r="AP980" s="34">
        <f>W980*N980</f>
        <v/>
      </c>
      <c r="AQ980" s="34">
        <f>T980*N980</f>
        <v/>
      </c>
      <c r="AR980" s="34">
        <f>Z980*J981+0.5*Z980*(O980+P980)</f>
        <v/>
      </c>
      <c r="AS980" s="30">
        <f>(1+InflationRate)^(A980/12)</f>
        <v/>
      </c>
      <c r="AT980" s="29">
        <f>ExpenseAcq*M980+N980*ExpenseMaint/12*AS980</f>
        <v/>
      </c>
      <c r="AU980" s="29">
        <f>CommissionRate*AE980</f>
        <v/>
      </c>
      <c r="AV980" s="34">
        <f>AB981-AB980</f>
        <v/>
      </c>
      <c r="AW980" s="34">
        <f>AE980+AR980-AN980-AT980-AU980-AV980</f>
        <v/>
      </c>
      <c r="AX980" s="29">
        <f>LoadPremRate*E980*N980+AK980+AQ980-AU980-AT980</f>
        <v/>
      </c>
      <c r="AY980" s="34">
        <f>AP980-AO980</f>
        <v/>
      </c>
      <c r="AZ980" s="37">
        <f>(AW980-AX980-AY980)/MAX(1,ABS(AW980),ABS(AX980),ABS(AY980))</f>
        <v/>
      </c>
      <c r="BA980" s="37">
        <f>IF(OR(K980&gt;0,K981&gt;0),0,(AC981-(AC980+AF980-AQ980-AP980+AR980-AI980-AJ980-AM980))/MAX(1,ABS(AC980),ABS(AC981)))</f>
        <v/>
      </c>
      <c r="BB980" s="35">
        <f>(1+INDEX(DiscRateAnn,INT(A980/12)+1))^(1/12)-1</f>
        <v/>
      </c>
      <c r="BC980" s="31">
        <f>(1+BB980)^-A980</f>
        <v/>
      </c>
      <c r="BD980" s="34">
        <f>AW980*BC980</f>
        <v/>
      </c>
    </row>
    <row r="981">
      <c r="A981" s="27">
        <f>A980+1</f>
        <v/>
      </c>
      <c r="B981" s="28">
        <f>Duration0+A981</f>
        <v/>
      </c>
      <c r="C981" s="27">
        <f>INT(B981/12)</f>
        <v/>
      </c>
      <c r="D981" s="28">
        <f>AgeAtEntry+C981</f>
        <v/>
      </c>
      <c r="E981" s="29">
        <f>IF(PremiumType="SINGLE",IF(B981=0,PremiumPPInput,0),IF(B981&lt;12*PolicyTerm,PremiumPPInput,0))</f>
        <v/>
      </c>
      <c r="F981" s="30">
        <f>INDEX(MortRates,MATCH(MIN(D981,120),MortAges,0),MAX(MIN(C981,5),0)+1)</f>
        <v/>
      </c>
      <c r="G981" s="31">
        <f>1-(1-F981)^(1/12)</f>
        <v/>
      </c>
      <c r="H981" s="32">
        <f>MAX(LapseBase-LapseStep*C981,LapseFloor)</f>
        <v/>
      </c>
      <c r="I981" s="32">
        <f>IF(HasSurrCharge,INDEX(SurrRates,MIN(C981,SurrDurMax)+1,MATCH(SurrChargeID,SurrTypes,0)),0)</f>
        <v/>
      </c>
      <c r="J981" s="33">
        <f>N980-P980-O980</f>
        <v/>
      </c>
      <c r="K981" s="30">
        <f>IF(B981=12*PolicyTerm,J981,0)</f>
        <v/>
      </c>
      <c r="L981" s="33">
        <f>J981-K981</f>
        <v/>
      </c>
      <c r="M981" s="30">
        <f>IF(B981=0,PolicyCount,0)</f>
        <v/>
      </c>
      <c r="N981" s="33">
        <f>L981+M981</f>
        <v/>
      </c>
      <c r="O981" s="31">
        <f>N981*G981</f>
        <v/>
      </c>
      <c r="P981" s="33">
        <f>(N981-O981)*(1-(1-H981)^(1/12))</f>
        <v/>
      </c>
      <c r="Q981" s="34">
        <f>X980+Z980</f>
        <v/>
      </c>
      <c r="R981" s="29">
        <f>(1-LoadPremRate)*E981</f>
        <v/>
      </c>
      <c r="S981" s="34">
        <f>Q981+R981</f>
        <v/>
      </c>
      <c r="T981" s="29">
        <f>MaintFeeRateAnn/12*S981</f>
        <v/>
      </c>
      <c r="U981" s="29">
        <f>MAX(SumAssured-S981,0)</f>
        <v/>
      </c>
      <c r="V981" s="35">
        <f>CoiMultiple*G981</f>
        <v/>
      </c>
      <c r="W981" s="34">
        <f>V981*U981</f>
        <v/>
      </c>
      <c r="X981" s="34">
        <f>S981-T981-W981</f>
        <v/>
      </c>
      <c r="Y981" s="36">
        <f>EXP((Mu-0.5*Sigma^2)/12+Sigma*SQRT(1/12)*INDEX(NormRand,ScenID,A981+1))-1</f>
        <v/>
      </c>
      <c r="Z981" s="34">
        <f>Y981*X981</f>
        <v/>
      </c>
      <c r="AA981" s="34">
        <f>X981+0.5*Z981</f>
        <v/>
      </c>
      <c r="AB981" s="34">
        <f>Q981*J981</f>
        <v/>
      </c>
      <c r="AC981" s="34">
        <f>Q981*L981</f>
        <v/>
      </c>
      <c r="AD981" s="34">
        <f>S981*N981</f>
        <v/>
      </c>
      <c r="AE981" s="34">
        <f>E981*N981</f>
        <v/>
      </c>
      <c r="AF981" s="34">
        <f>R981*N981</f>
        <v/>
      </c>
      <c r="AG981" s="29">
        <f>MAX(SumAssured,AA981)</f>
        <v/>
      </c>
      <c r="AH981" s="34">
        <f>AG981*O981</f>
        <v/>
      </c>
      <c r="AI981" s="34">
        <f>AA981*O981</f>
        <v/>
      </c>
      <c r="AJ981" s="34">
        <f>AA981*P981</f>
        <v/>
      </c>
      <c r="AK981" s="34">
        <f>I981*AA981*P981</f>
        <v/>
      </c>
      <c r="AL981" s="34">
        <f>AJ981-AK981</f>
        <v/>
      </c>
      <c r="AM981" s="34">
        <f>Q981*K981</f>
        <v/>
      </c>
      <c r="AN981" s="34">
        <f>AH981+AL981+AM981</f>
        <v/>
      </c>
      <c r="AO981" s="34">
        <f>(AG981-AA981)*O981</f>
        <v/>
      </c>
      <c r="AP981" s="34">
        <f>W981*N981</f>
        <v/>
      </c>
      <c r="AQ981" s="34">
        <f>T981*N981</f>
        <v/>
      </c>
      <c r="AR981" s="34">
        <f>Z981*J982+0.5*Z981*(O981+P981)</f>
        <v/>
      </c>
      <c r="AS981" s="30">
        <f>(1+InflationRate)^(A981/12)</f>
        <v/>
      </c>
      <c r="AT981" s="29">
        <f>ExpenseAcq*M981+N981*ExpenseMaint/12*AS981</f>
        <v/>
      </c>
      <c r="AU981" s="29">
        <f>CommissionRate*AE981</f>
        <v/>
      </c>
      <c r="AV981" s="34">
        <f>AB982-AB981</f>
        <v/>
      </c>
      <c r="AW981" s="34">
        <f>AE981+AR981-AN981-AT981-AU981-AV981</f>
        <v/>
      </c>
      <c r="AX981" s="29">
        <f>LoadPremRate*E981*N981+AK981+AQ981-AU981-AT981</f>
        <v/>
      </c>
      <c r="AY981" s="34">
        <f>AP981-AO981</f>
        <v/>
      </c>
      <c r="AZ981" s="37">
        <f>(AW981-AX981-AY981)/MAX(1,ABS(AW981),ABS(AX981),ABS(AY981))</f>
        <v/>
      </c>
      <c r="BA981" s="37">
        <f>IF(OR(K981&gt;0,K982&gt;0),0,(AC982-(AC981+AF981-AQ981-AP981+AR981-AI981-AJ981-AM981))/MAX(1,ABS(AC981),ABS(AC982)))</f>
        <v/>
      </c>
      <c r="BB981" s="35">
        <f>(1+INDEX(DiscRateAnn,INT(A981/12)+1))^(1/12)-1</f>
        <v/>
      </c>
      <c r="BC981" s="31">
        <f>(1+BB981)^-A981</f>
        <v/>
      </c>
      <c r="BD981" s="34">
        <f>AW981*BC981</f>
        <v/>
      </c>
    </row>
    <row r="982">
      <c r="A982" s="27">
        <f>A981+1</f>
        <v/>
      </c>
      <c r="B982" s="28">
        <f>Duration0+A982</f>
        <v/>
      </c>
      <c r="C982" s="27">
        <f>INT(B982/12)</f>
        <v/>
      </c>
      <c r="D982" s="28">
        <f>AgeAtEntry+C982</f>
        <v/>
      </c>
      <c r="E982" s="29">
        <f>IF(PremiumType="SINGLE",IF(B982=0,PremiumPPInput,0),IF(B982&lt;12*PolicyTerm,PremiumPPInput,0))</f>
        <v/>
      </c>
      <c r="F982" s="30">
        <f>INDEX(MortRates,MATCH(MIN(D982,120),MortAges,0),MAX(MIN(C982,5),0)+1)</f>
        <v/>
      </c>
      <c r="G982" s="31">
        <f>1-(1-F982)^(1/12)</f>
        <v/>
      </c>
      <c r="H982" s="32">
        <f>MAX(LapseBase-LapseStep*C982,LapseFloor)</f>
        <v/>
      </c>
      <c r="I982" s="32">
        <f>IF(HasSurrCharge,INDEX(SurrRates,MIN(C982,SurrDurMax)+1,MATCH(SurrChargeID,SurrTypes,0)),0)</f>
        <v/>
      </c>
      <c r="J982" s="33">
        <f>N981-P981-O981</f>
        <v/>
      </c>
      <c r="K982" s="30">
        <f>IF(B982=12*PolicyTerm,J982,0)</f>
        <v/>
      </c>
      <c r="L982" s="33">
        <f>J982-K982</f>
        <v/>
      </c>
      <c r="M982" s="30">
        <f>IF(B982=0,PolicyCount,0)</f>
        <v/>
      </c>
      <c r="N982" s="33">
        <f>L982+M982</f>
        <v/>
      </c>
      <c r="O982" s="31">
        <f>N982*G982</f>
        <v/>
      </c>
      <c r="P982" s="33">
        <f>(N982-O982)*(1-(1-H982)^(1/12))</f>
        <v/>
      </c>
      <c r="Q982" s="34">
        <f>X981+Z981</f>
        <v/>
      </c>
      <c r="R982" s="29">
        <f>(1-LoadPremRate)*E982</f>
        <v/>
      </c>
      <c r="S982" s="34">
        <f>Q982+R982</f>
        <v/>
      </c>
      <c r="T982" s="29">
        <f>MaintFeeRateAnn/12*S982</f>
        <v/>
      </c>
      <c r="U982" s="29">
        <f>MAX(SumAssured-S982,0)</f>
        <v/>
      </c>
      <c r="V982" s="35">
        <f>CoiMultiple*G982</f>
        <v/>
      </c>
      <c r="W982" s="34">
        <f>V982*U982</f>
        <v/>
      </c>
      <c r="X982" s="34">
        <f>S982-T982-W982</f>
        <v/>
      </c>
      <c r="Y982" s="36">
        <f>EXP((Mu-0.5*Sigma^2)/12+Sigma*SQRT(1/12)*INDEX(NormRand,ScenID,A982+1))-1</f>
        <v/>
      </c>
      <c r="Z982" s="34">
        <f>Y982*X982</f>
        <v/>
      </c>
      <c r="AA982" s="34">
        <f>X982+0.5*Z982</f>
        <v/>
      </c>
      <c r="AB982" s="34">
        <f>Q982*J982</f>
        <v/>
      </c>
      <c r="AC982" s="34">
        <f>Q982*L982</f>
        <v/>
      </c>
      <c r="AD982" s="34">
        <f>S982*N982</f>
        <v/>
      </c>
      <c r="AE982" s="34">
        <f>E982*N982</f>
        <v/>
      </c>
      <c r="AF982" s="34">
        <f>R982*N982</f>
        <v/>
      </c>
      <c r="AG982" s="29">
        <f>MAX(SumAssured,AA982)</f>
        <v/>
      </c>
      <c r="AH982" s="34">
        <f>AG982*O982</f>
        <v/>
      </c>
      <c r="AI982" s="34">
        <f>AA982*O982</f>
        <v/>
      </c>
      <c r="AJ982" s="34">
        <f>AA982*P982</f>
        <v/>
      </c>
      <c r="AK982" s="34">
        <f>I982*AA982*P982</f>
        <v/>
      </c>
      <c r="AL982" s="34">
        <f>AJ982-AK982</f>
        <v/>
      </c>
      <c r="AM982" s="34">
        <f>Q982*K982</f>
        <v/>
      </c>
      <c r="AN982" s="34">
        <f>AH982+AL982+AM982</f>
        <v/>
      </c>
      <c r="AO982" s="34">
        <f>(AG982-AA982)*O982</f>
        <v/>
      </c>
      <c r="AP982" s="34">
        <f>W982*N982</f>
        <v/>
      </c>
      <c r="AQ982" s="34">
        <f>T982*N982</f>
        <v/>
      </c>
      <c r="AR982" s="34">
        <f>Z982*J983+0.5*Z982*(O982+P982)</f>
        <v/>
      </c>
      <c r="AS982" s="30">
        <f>(1+InflationRate)^(A982/12)</f>
        <v/>
      </c>
      <c r="AT982" s="29">
        <f>ExpenseAcq*M982+N982*ExpenseMaint/12*AS982</f>
        <v/>
      </c>
      <c r="AU982" s="29">
        <f>CommissionRate*AE982</f>
        <v/>
      </c>
      <c r="AV982" s="34">
        <f>AB983-AB982</f>
        <v/>
      </c>
      <c r="AW982" s="34">
        <f>AE982+AR982-AN982-AT982-AU982-AV982</f>
        <v/>
      </c>
      <c r="AX982" s="29">
        <f>LoadPremRate*E982*N982+AK982+AQ982-AU982-AT982</f>
        <v/>
      </c>
      <c r="AY982" s="34">
        <f>AP982-AO982</f>
        <v/>
      </c>
      <c r="AZ982" s="37">
        <f>(AW982-AX982-AY982)/MAX(1,ABS(AW982),ABS(AX982),ABS(AY982))</f>
        <v/>
      </c>
      <c r="BA982" s="37">
        <f>IF(OR(K982&gt;0,K983&gt;0),0,(AC983-(AC982+AF982-AQ982-AP982+AR982-AI982-AJ982-AM982))/MAX(1,ABS(AC982),ABS(AC983)))</f>
        <v/>
      </c>
      <c r="BB982" s="35">
        <f>(1+INDEX(DiscRateAnn,INT(A982/12)+1))^(1/12)-1</f>
        <v/>
      </c>
      <c r="BC982" s="31">
        <f>(1+BB982)^-A982</f>
        <v/>
      </c>
      <c r="BD982" s="34">
        <f>AW982*BC982</f>
        <v/>
      </c>
    </row>
    <row r="983">
      <c r="A983" s="27">
        <f>A982+1</f>
        <v/>
      </c>
      <c r="B983" s="28">
        <f>Duration0+A983</f>
        <v/>
      </c>
      <c r="C983" s="27">
        <f>INT(B983/12)</f>
        <v/>
      </c>
      <c r="D983" s="28">
        <f>AgeAtEntry+C983</f>
        <v/>
      </c>
      <c r="E983" s="29">
        <f>IF(PremiumType="SINGLE",IF(B983=0,PremiumPPInput,0),IF(B983&lt;12*PolicyTerm,PremiumPPInput,0))</f>
        <v/>
      </c>
      <c r="F983" s="30">
        <f>INDEX(MortRates,MATCH(MIN(D983,120),MortAges,0),MAX(MIN(C983,5),0)+1)</f>
        <v/>
      </c>
      <c r="G983" s="31">
        <f>1-(1-F983)^(1/12)</f>
        <v/>
      </c>
      <c r="H983" s="32">
        <f>MAX(LapseBase-LapseStep*C983,LapseFloor)</f>
        <v/>
      </c>
      <c r="I983" s="32">
        <f>IF(HasSurrCharge,INDEX(SurrRates,MIN(C983,SurrDurMax)+1,MATCH(SurrChargeID,SurrTypes,0)),0)</f>
        <v/>
      </c>
      <c r="J983" s="33">
        <f>N982-P982-O982</f>
        <v/>
      </c>
      <c r="K983" s="30">
        <f>IF(B983=12*PolicyTerm,J983,0)</f>
        <v/>
      </c>
      <c r="L983" s="33">
        <f>J983-K983</f>
        <v/>
      </c>
      <c r="M983" s="30">
        <f>IF(B983=0,PolicyCount,0)</f>
        <v/>
      </c>
      <c r="N983" s="33">
        <f>L983+M983</f>
        <v/>
      </c>
      <c r="O983" s="31">
        <f>N983*G983</f>
        <v/>
      </c>
      <c r="P983" s="33">
        <f>(N983-O983)*(1-(1-H983)^(1/12))</f>
        <v/>
      </c>
      <c r="Q983" s="34">
        <f>X982+Z982</f>
        <v/>
      </c>
      <c r="R983" s="29">
        <f>(1-LoadPremRate)*E983</f>
        <v/>
      </c>
      <c r="S983" s="34">
        <f>Q983+R983</f>
        <v/>
      </c>
      <c r="T983" s="29">
        <f>MaintFeeRateAnn/12*S983</f>
        <v/>
      </c>
      <c r="U983" s="29">
        <f>MAX(SumAssured-S983,0)</f>
        <v/>
      </c>
      <c r="V983" s="35">
        <f>CoiMultiple*G983</f>
        <v/>
      </c>
      <c r="W983" s="34">
        <f>V983*U983</f>
        <v/>
      </c>
      <c r="X983" s="34">
        <f>S983-T983-W983</f>
        <v/>
      </c>
      <c r="Y983" s="36">
        <f>EXP((Mu-0.5*Sigma^2)/12+Sigma*SQRT(1/12)*INDEX(NormRand,ScenID,A983+1))-1</f>
        <v/>
      </c>
      <c r="Z983" s="34">
        <f>Y983*X983</f>
        <v/>
      </c>
      <c r="AA983" s="34">
        <f>X983+0.5*Z983</f>
        <v/>
      </c>
      <c r="AB983" s="34">
        <f>Q983*J983</f>
        <v/>
      </c>
      <c r="AC983" s="34">
        <f>Q983*L983</f>
        <v/>
      </c>
      <c r="AD983" s="34">
        <f>S983*N983</f>
        <v/>
      </c>
      <c r="AE983" s="34">
        <f>E983*N983</f>
        <v/>
      </c>
      <c r="AF983" s="34">
        <f>R983*N983</f>
        <v/>
      </c>
      <c r="AG983" s="29">
        <f>MAX(SumAssured,AA983)</f>
        <v/>
      </c>
      <c r="AH983" s="34">
        <f>AG983*O983</f>
        <v/>
      </c>
      <c r="AI983" s="34">
        <f>AA983*O983</f>
        <v/>
      </c>
      <c r="AJ983" s="34">
        <f>AA983*P983</f>
        <v/>
      </c>
      <c r="AK983" s="34">
        <f>I983*AA983*P983</f>
        <v/>
      </c>
      <c r="AL983" s="34">
        <f>AJ983-AK983</f>
        <v/>
      </c>
      <c r="AM983" s="34">
        <f>Q983*K983</f>
        <v/>
      </c>
      <c r="AN983" s="34">
        <f>AH983+AL983+AM983</f>
        <v/>
      </c>
      <c r="AO983" s="34">
        <f>(AG983-AA983)*O983</f>
        <v/>
      </c>
      <c r="AP983" s="34">
        <f>W983*N983</f>
        <v/>
      </c>
      <c r="AQ983" s="34">
        <f>T983*N983</f>
        <v/>
      </c>
      <c r="AR983" s="34">
        <f>Z983*J984+0.5*Z983*(O983+P983)</f>
        <v/>
      </c>
      <c r="AS983" s="30">
        <f>(1+InflationRate)^(A983/12)</f>
        <v/>
      </c>
      <c r="AT983" s="29">
        <f>ExpenseAcq*M983+N983*ExpenseMaint/12*AS983</f>
        <v/>
      </c>
      <c r="AU983" s="29">
        <f>CommissionRate*AE983</f>
        <v/>
      </c>
      <c r="AV983" s="34">
        <f>AB984-AB983</f>
        <v/>
      </c>
      <c r="AW983" s="34">
        <f>AE983+AR983-AN983-AT983-AU983-AV983</f>
        <v/>
      </c>
      <c r="AX983" s="29">
        <f>LoadPremRate*E983*N983+AK983+AQ983-AU983-AT983</f>
        <v/>
      </c>
      <c r="AY983" s="34">
        <f>AP983-AO983</f>
        <v/>
      </c>
      <c r="AZ983" s="37">
        <f>(AW983-AX983-AY983)/MAX(1,ABS(AW983),ABS(AX983),ABS(AY983))</f>
        <v/>
      </c>
      <c r="BA983" s="37">
        <f>IF(OR(K983&gt;0,K984&gt;0),0,(AC984-(AC983+AF983-AQ983-AP983+AR983-AI983-AJ983-AM983))/MAX(1,ABS(AC983),ABS(AC984)))</f>
        <v/>
      </c>
      <c r="BB983" s="35">
        <f>(1+INDEX(DiscRateAnn,INT(A983/12)+1))^(1/12)-1</f>
        <v/>
      </c>
      <c r="BC983" s="31">
        <f>(1+BB983)^-A983</f>
        <v/>
      </c>
      <c r="BD983" s="34">
        <f>AW983*BC983</f>
        <v/>
      </c>
    </row>
    <row r="984">
      <c r="A984" s="27">
        <f>A983+1</f>
        <v/>
      </c>
      <c r="B984" s="28">
        <f>Duration0+A984</f>
        <v/>
      </c>
      <c r="C984" s="27">
        <f>INT(B984/12)</f>
        <v/>
      </c>
      <c r="D984" s="28">
        <f>AgeAtEntry+C984</f>
        <v/>
      </c>
      <c r="E984" s="29">
        <f>IF(PremiumType="SINGLE",IF(B984=0,PremiumPPInput,0),IF(B984&lt;12*PolicyTerm,PremiumPPInput,0))</f>
        <v/>
      </c>
      <c r="F984" s="30">
        <f>INDEX(MortRates,MATCH(MIN(D984,120),MortAges,0),MAX(MIN(C984,5),0)+1)</f>
        <v/>
      </c>
      <c r="G984" s="31">
        <f>1-(1-F984)^(1/12)</f>
        <v/>
      </c>
      <c r="H984" s="32">
        <f>MAX(LapseBase-LapseStep*C984,LapseFloor)</f>
        <v/>
      </c>
      <c r="I984" s="32">
        <f>IF(HasSurrCharge,INDEX(SurrRates,MIN(C984,SurrDurMax)+1,MATCH(SurrChargeID,SurrTypes,0)),0)</f>
        <v/>
      </c>
      <c r="J984" s="33">
        <f>N983-P983-O983</f>
        <v/>
      </c>
      <c r="K984" s="30">
        <f>IF(B984=12*PolicyTerm,J984,0)</f>
        <v/>
      </c>
      <c r="L984" s="33">
        <f>J984-K984</f>
        <v/>
      </c>
      <c r="M984" s="30">
        <f>IF(B984=0,PolicyCount,0)</f>
        <v/>
      </c>
      <c r="N984" s="33">
        <f>L984+M984</f>
        <v/>
      </c>
      <c r="O984" s="31">
        <f>N984*G984</f>
        <v/>
      </c>
      <c r="P984" s="33">
        <f>(N984-O984)*(1-(1-H984)^(1/12))</f>
        <v/>
      </c>
      <c r="Q984" s="34">
        <f>X983+Z983</f>
        <v/>
      </c>
      <c r="R984" s="29">
        <f>(1-LoadPremRate)*E984</f>
        <v/>
      </c>
      <c r="S984" s="34">
        <f>Q984+R984</f>
        <v/>
      </c>
      <c r="T984" s="29">
        <f>MaintFeeRateAnn/12*S984</f>
        <v/>
      </c>
      <c r="U984" s="29">
        <f>MAX(SumAssured-S984,0)</f>
        <v/>
      </c>
      <c r="V984" s="35">
        <f>CoiMultiple*G984</f>
        <v/>
      </c>
      <c r="W984" s="34">
        <f>V984*U984</f>
        <v/>
      </c>
      <c r="X984" s="34">
        <f>S984-T984-W984</f>
        <v/>
      </c>
      <c r="Y984" s="36">
        <f>EXP((Mu-0.5*Sigma^2)/12+Sigma*SQRT(1/12)*INDEX(NormRand,ScenID,A984+1))-1</f>
        <v/>
      </c>
      <c r="Z984" s="34">
        <f>Y984*X984</f>
        <v/>
      </c>
      <c r="AA984" s="34">
        <f>X984+0.5*Z984</f>
        <v/>
      </c>
      <c r="AB984" s="34">
        <f>Q984*J984</f>
        <v/>
      </c>
      <c r="AC984" s="34">
        <f>Q984*L984</f>
        <v/>
      </c>
      <c r="AD984" s="34">
        <f>S984*N984</f>
        <v/>
      </c>
      <c r="AE984" s="34">
        <f>E984*N984</f>
        <v/>
      </c>
      <c r="AF984" s="34">
        <f>R984*N984</f>
        <v/>
      </c>
      <c r="AG984" s="29">
        <f>MAX(SumAssured,AA984)</f>
        <v/>
      </c>
      <c r="AH984" s="34">
        <f>AG984*O984</f>
        <v/>
      </c>
      <c r="AI984" s="34">
        <f>AA984*O984</f>
        <v/>
      </c>
      <c r="AJ984" s="34">
        <f>AA984*P984</f>
        <v/>
      </c>
      <c r="AK984" s="34">
        <f>I984*AA984*P984</f>
        <v/>
      </c>
      <c r="AL984" s="34">
        <f>AJ984-AK984</f>
        <v/>
      </c>
      <c r="AM984" s="34">
        <f>Q984*K984</f>
        <v/>
      </c>
      <c r="AN984" s="34">
        <f>AH984+AL984+AM984</f>
        <v/>
      </c>
      <c r="AO984" s="34">
        <f>(AG984-AA984)*O984</f>
        <v/>
      </c>
      <c r="AP984" s="34">
        <f>W984*N984</f>
        <v/>
      </c>
      <c r="AQ984" s="34">
        <f>T984*N984</f>
        <v/>
      </c>
      <c r="AR984" s="34">
        <f>Z984*J985+0.5*Z984*(O984+P984)</f>
        <v/>
      </c>
      <c r="AS984" s="30">
        <f>(1+InflationRate)^(A984/12)</f>
        <v/>
      </c>
      <c r="AT984" s="29">
        <f>ExpenseAcq*M984+N984*ExpenseMaint/12*AS984</f>
        <v/>
      </c>
      <c r="AU984" s="29">
        <f>CommissionRate*AE984</f>
        <v/>
      </c>
      <c r="AV984" s="34">
        <f>AB985-AB984</f>
        <v/>
      </c>
      <c r="AW984" s="34">
        <f>AE984+AR984-AN984-AT984-AU984-AV984</f>
        <v/>
      </c>
      <c r="AX984" s="29">
        <f>LoadPremRate*E984*N984+AK984+AQ984-AU984-AT984</f>
        <v/>
      </c>
      <c r="AY984" s="34">
        <f>AP984-AO984</f>
        <v/>
      </c>
      <c r="AZ984" s="37">
        <f>(AW984-AX984-AY984)/MAX(1,ABS(AW984),ABS(AX984),ABS(AY984))</f>
        <v/>
      </c>
      <c r="BA984" s="37">
        <f>IF(OR(K984&gt;0,K985&gt;0),0,(AC985-(AC984+AF984-AQ984-AP984+AR984-AI984-AJ984-AM984))/MAX(1,ABS(AC984),ABS(AC985)))</f>
        <v/>
      </c>
      <c r="BB984" s="35">
        <f>(1+INDEX(DiscRateAnn,INT(A984/12)+1))^(1/12)-1</f>
        <v/>
      </c>
      <c r="BC984" s="31">
        <f>(1+BB984)^-A984</f>
        <v/>
      </c>
      <c r="BD984" s="34">
        <f>AW984*BC984</f>
        <v/>
      </c>
    </row>
    <row r="985">
      <c r="A985" s="27">
        <f>A984+1</f>
        <v/>
      </c>
      <c r="B985" s="28">
        <f>Duration0+A985</f>
        <v/>
      </c>
      <c r="C985" s="27">
        <f>INT(B985/12)</f>
        <v/>
      </c>
      <c r="D985" s="28">
        <f>AgeAtEntry+C985</f>
        <v/>
      </c>
      <c r="E985" s="29">
        <f>IF(PremiumType="SINGLE",IF(B985=0,PremiumPPInput,0),IF(B985&lt;12*PolicyTerm,PremiumPPInput,0))</f>
        <v/>
      </c>
      <c r="F985" s="30">
        <f>INDEX(MortRates,MATCH(MIN(D985,120),MortAges,0),MAX(MIN(C985,5),0)+1)</f>
        <v/>
      </c>
      <c r="G985" s="31">
        <f>1-(1-F985)^(1/12)</f>
        <v/>
      </c>
      <c r="H985" s="32">
        <f>MAX(LapseBase-LapseStep*C985,LapseFloor)</f>
        <v/>
      </c>
      <c r="I985" s="32">
        <f>IF(HasSurrCharge,INDEX(SurrRates,MIN(C985,SurrDurMax)+1,MATCH(SurrChargeID,SurrTypes,0)),0)</f>
        <v/>
      </c>
      <c r="J985" s="33">
        <f>N984-P984-O984</f>
        <v/>
      </c>
      <c r="K985" s="30">
        <f>IF(B985=12*PolicyTerm,J985,0)</f>
        <v/>
      </c>
      <c r="L985" s="33">
        <f>J985-K985</f>
        <v/>
      </c>
      <c r="M985" s="30">
        <f>IF(B985=0,PolicyCount,0)</f>
        <v/>
      </c>
      <c r="N985" s="33">
        <f>L985+M985</f>
        <v/>
      </c>
      <c r="O985" s="31">
        <f>N985*G985</f>
        <v/>
      </c>
      <c r="P985" s="33">
        <f>(N985-O985)*(1-(1-H985)^(1/12))</f>
        <v/>
      </c>
      <c r="Q985" s="34">
        <f>X984+Z984</f>
        <v/>
      </c>
      <c r="R985" s="29">
        <f>(1-LoadPremRate)*E985</f>
        <v/>
      </c>
      <c r="S985" s="34">
        <f>Q985+R985</f>
        <v/>
      </c>
      <c r="T985" s="29">
        <f>MaintFeeRateAnn/12*S985</f>
        <v/>
      </c>
      <c r="U985" s="29">
        <f>MAX(SumAssured-S985,0)</f>
        <v/>
      </c>
      <c r="V985" s="35">
        <f>CoiMultiple*G985</f>
        <v/>
      </c>
      <c r="W985" s="34">
        <f>V985*U985</f>
        <v/>
      </c>
      <c r="X985" s="34">
        <f>S985-T985-W985</f>
        <v/>
      </c>
      <c r="Y985" s="36">
        <f>EXP((Mu-0.5*Sigma^2)/12+Sigma*SQRT(1/12)*INDEX(NormRand,ScenID,A985+1))-1</f>
        <v/>
      </c>
      <c r="Z985" s="34">
        <f>Y985*X985</f>
        <v/>
      </c>
      <c r="AA985" s="34">
        <f>X985+0.5*Z985</f>
        <v/>
      </c>
      <c r="AB985" s="34">
        <f>Q985*J985</f>
        <v/>
      </c>
      <c r="AC985" s="34">
        <f>Q985*L985</f>
        <v/>
      </c>
      <c r="AD985" s="34">
        <f>S985*N985</f>
        <v/>
      </c>
      <c r="AE985" s="34">
        <f>E985*N985</f>
        <v/>
      </c>
      <c r="AF985" s="34">
        <f>R985*N985</f>
        <v/>
      </c>
      <c r="AG985" s="29">
        <f>MAX(SumAssured,AA985)</f>
        <v/>
      </c>
      <c r="AH985" s="34">
        <f>AG985*O985</f>
        <v/>
      </c>
      <c r="AI985" s="34">
        <f>AA985*O985</f>
        <v/>
      </c>
      <c r="AJ985" s="34">
        <f>AA985*P985</f>
        <v/>
      </c>
      <c r="AK985" s="34">
        <f>I985*AA985*P985</f>
        <v/>
      </c>
      <c r="AL985" s="34">
        <f>AJ985-AK985</f>
        <v/>
      </c>
      <c r="AM985" s="34">
        <f>Q985*K985</f>
        <v/>
      </c>
      <c r="AN985" s="34">
        <f>AH985+AL985+AM985</f>
        <v/>
      </c>
      <c r="AO985" s="34">
        <f>(AG985-AA985)*O985</f>
        <v/>
      </c>
      <c r="AP985" s="34">
        <f>W985*N985</f>
        <v/>
      </c>
      <c r="AQ985" s="34">
        <f>T985*N985</f>
        <v/>
      </c>
      <c r="AR985" s="34">
        <f>Z985*J986+0.5*Z985*(O985+P985)</f>
        <v/>
      </c>
      <c r="AS985" s="30">
        <f>(1+InflationRate)^(A985/12)</f>
        <v/>
      </c>
      <c r="AT985" s="29">
        <f>ExpenseAcq*M985+N985*ExpenseMaint/12*AS985</f>
        <v/>
      </c>
      <c r="AU985" s="29">
        <f>CommissionRate*AE985</f>
        <v/>
      </c>
      <c r="AV985" s="34">
        <f>AB986-AB985</f>
        <v/>
      </c>
      <c r="AW985" s="34">
        <f>AE985+AR985-AN985-AT985-AU985-AV985</f>
        <v/>
      </c>
      <c r="AX985" s="29">
        <f>LoadPremRate*E985*N985+AK985+AQ985-AU985-AT985</f>
        <v/>
      </c>
      <c r="AY985" s="34">
        <f>AP985-AO985</f>
        <v/>
      </c>
      <c r="AZ985" s="37">
        <f>(AW985-AX985-AY985)/MAX(1,ABS(AW985),ABS(AX985),ABS(AY985))</f>
        <v/>
      </c>
      <c r="BA985" s="37">
        <f>IF(OR(K985&gt;0,K986&gt;0),0,(AC986-(AC985+AF985-AQ985-AP985+AR985-AI985-AJ985-AM985))/MAX(1,ABS(AC985),ABS(AC986)))</f>
        <v/>
      </c>
      <c r="BB985" s="35">
        <f>(1+INDEX(DiscRateAnn,INT(A985/12)+1))^(1/12)-1</f>
        <v/>
      </c>
      <c r="BC985" s="31">
        <f>(1+BB985)^-A985</f>
        <v/>
      </c>
      <c r="BD985" s="34">
        <f>AW985*BC985</f>
        <v/>
      </c>
    </row>
    <row r="986">
      <c r="A986" s="27">
        <f>A985+1</f>
        <v/>
      </c>
      <c r="B986" s="28">
        <f>Duration0+A986</f>
        <v/>
      </c>
      <c r="C986" s="27">
        <f>INT(B986/12)</f>
        <v/>
      </c>
      <c r="D986" s="28">
        <f>AgeAtEntry+C986</f>
        <v/>
      </c>
      <c r="E986" s="29">
        <f>IF(PremiumType="SINGLE",IF(B986=0,PremiumPPInput,0),IF(B986&lt;12*PolicyTerm,PremiumPPInput,0))</f>
        <v/>
      </c>
      <c r="F986" s="30">
        <f>INDEX(MortRates,MATCH(MIN(D986,120),MortAges,0),MAX(MIN(C986,5),0)+1)</f>
        <v/>
      </c>
      <c r="G986" s="31">
        <f>1-(1-F986)^(1/12)</f>
        <v/>
      </c>
      <c r="H986" s="32">
        <f>MAX(LapseBase-LapseStep*C986,LapseFloor)</f>
        <v/>
      </c>
      <c r="I986" s="32">
        <f>IF(HasSurrCharge,INDEX(SurrRates,MIN(C986,SurrDurMax)+1,MATCH(SurrChargeID,SurrTypes,0)),0)</f>
        <v/>
      </c>
      <c r="J986" s="33">
        <f>N985-P985-O985</f>
        <v/>
      </c>
      <c r="K986" s="30">
        <f>IF(B986=12*PolicyTerm,J986,0)</f>
        <v/>
      </c>
      <c r="L986" s="33">
        <f>J986-K986</f>
        <v/>
      </c>
      <c r="M986" s="30">
        <f>IF(B986=0,PolicyCount,0)</f>
        <v/>
      </c>
      <c r="N986" s="33">
        <f>L986+M986</f>
        <v/>
      </c>
      <c r="O986" s="31">
        <f>N986*G986</f>
        <v/>
      </c>
      <c r="P986" s="33">
        <f>(N986-O986)*(1-(1-H986)^(1/12))</f>
        <v/>
      </c>
      <c r="Q986" s="34">
        <f>X985+Z985</f>
        <v/>
      </c>
      <c r="R986" s="29">
        <f>(1-LoadPremRate)*E986</f>
        <v/>
      </c>
      <c r="S986" s="34">
        <f>Q986+R986</f>
        <v/>
      </c>
      <c r="T986" s="29">
        <f>MaintFeeRateAnn/12*S986</f>
        <v/>
      </c>
      <c r="U986" s="29">
        <f>MAX(SumAssured-S986,0)</f>
        <v/>
      </c>
      <c r="V986" s="35">
        <f>CoiMultiple*G986</f>
        <v/>
      </c>
      <c r="W986" s="34">
        <f>V986*U986</f>
        <v/>
      </c>
      <c r="X986" s="34">
        <f>S986-T986-W986</f>
        <v/>
      </c>
      <c r="Y986" s="36">
        <f>EXP((Mu-0.5*Sigma^2)/12+Sigma*SQRT(1/12)*INDEX(NormRand,ScenID,A986+1))-1</f>
        <v/>
      </c>
      <c r="Z986" s="34">
        <f>Y986*X986</f>
        <v/>
      </c>
      <c r="AA986" s="34">
        <f>X986+0.5*Z986</f>
        <v/>
      </c>
      <c r="AB986" s="34">
        <f>Q986*J986</f>
        <v/>
      </c>
      <c r="AC986" s="34">
        <f>Q986*L986</f>
        <v/>
      </c>
      <c r="AD986" s="34">
        <f>S986*N986</f>
        <v/>
      </c>
      <c r="AE986" s="34">
        <f>E986*N986</f>
        <v/>
      </c>
      <c r="AF986" s="34">
        <f>R986*N986</f>
        <v/>
      </c>
      <c r="AG986" s="29">
        <f>MAX(SumAssured,AA986)</f>
        <v/>
      </c>
      <c r="AH986" s="34">
        <f>AG986*O986</f>
        <v/>
      </c>
      <c r="AI986" s="34">
        <f>AA986*O986</f>
        <v/>
      </c>
      <c r="AJ986" s="34">
        <f>AA986*P986</f>
        <v/>
      </c>
      <c r="AK986" s="34">
        <f>I986*AA986*P986</f>
        <v/>
      </c>
      <c r="AL986" s="34">
        <f>AJ986-AK986</f>
        <v/>
      </c>
      <c r="AM986" s="34">
        <f>Q986*K986</f>
        <v/>
      </c>
      <c r="AN986" s="34">
        <f>AH986+AL986+AM986</f>
        <v/>
      </c>
      <c r="AO986" s="34">
        <f>(AG986-AA986)*O986</f>
        <v/>
      </c>
      <c r="AP986" s="34">
        <f>W986*N986</f>
        <v/>
      </c>
      <c r="AQ986" s="34">
        <f>T986*N986</f>
        <v/>
      </c>
      <c r="AR986" s="34">
        <f>Z986*J987+0.5*Z986*(O986+P986)</f>
        <v/>
      </c>
      <c r="AS986" s="30">
        <f>(1+InflationRate)^(A986/12)</f>
        <v/>
      </c>
      <c r="AT986" s="29">
        <f>ExpenseAcq*M986+N986*ExpenseMaint/12*AS986</f>
        <v/>
      </c>
      <c r="AU986" s="29">
        <f>CommissionRate*AE986</f>
        <v/>
      </c>
      <c r="AV986" s="34">
        <f>AB987-AB986</f>
        <v/>
      </c>
      <c r="AW986" s="34">
        <f>AE986+AR986-AN986-AT986-AU986-AV986</f>
        <v/>
      </c>
      <c r="AX986" s="29">
        <f>LoadPremRate*E986*N986+AK986+AQ986-AU986-AT986</f>
        <v/>
      </c>
      <c r="AY986" s="34">
        <f>AP986-AO986</f>
        <v/>
      </c>
      <c r="AZ986" s="37">
        <f>(AW986-AX986-AY986)/MAX(1,ABS(AW986),ABS(AX986),ABS(AY986))</f>
        <v/>
      </c>
      <c r="BA986" s="37">
        <f>IF(OR(K986&gt;0,K987&gt;0),0,(AC987-(AC986+AF986-AQ986-AP986+AR986-AI986-AJ986-AM986))/MAX(1,ABS(AC986),ABS(AC987)))</f>
        <v/>
      </c>
      <c r="BB986" s="35">
        <f>(1+INDEX(DiscRateAnn,INT(A986/12)+1))^(1/12)-1</f>
        <v/>
      </c>
      <c r="BC986" s="31">
        <f>(1+BB986)^-A986</f>
        <v/>
      </c>
      <c r="BD986" s="34">
        <f>AW986*BC986</f>
        <v/>
      </c>
    </row>
    <row r="987">
      <c r="A987" s="27">
        <f>A986+1</f>
        <v/>
      </c>
      <c r="B987" s="28">
        <f>Duration0+A987</f>
        <v/>
      </c>
      <c r="C987" s="27">
        <f>INT(B987/12)</f>
        <v/>
      </c>
      <c r="D987" s="28">
        <f>AgeAtEntry+C987</f>
        <v/>
      </c>
      <c r="E987" s="29">
        <f>IF(PremiumType="SINGLE",IF(B987=0,PremiumPPInput,0),IF(B987&lt;12*PolicyTerm,PremiumPPInput,0))</f>
        <v/>
      </c>
      <c r="F987" s="30">
        <f>INDEX(MortRates,MATCH(MIN(D987,120),MortAges,0),MAX(MIN(C987,5),0)+1)</f>
        <v/>
      </c>
      <c r="G987" s="31">
        <f>1-(1-F987)^(1/12)</f>
        <v/>
      </c>
      <c r="H987" s="32">
        <f>MAX(LapseBase-LapseStep*C987,LapseFloor)</f>
        <v/>
      </c>
      <c r="I987" s="32">
        <f>IF(HasSurrCharge,INDEX(SurrRates,MIN(C987,SurrDurMax)+1,MATCH(SurrChargeID,SurrTypes,0)),0)</f>
        <v/>
      </c>
      <c r="J987" s="33">
        <f>N986-P986-O986</f>
        <v/>
      </c>
      <c r="K987" s="30">
        <f>IF(B987=12*PolicyTerm,J987,0)</f>
        <v/>
      </c>
      <c r="L987" s="33">
        <f>J987-K987</f>
        <v/>
      </c>
      <c r="M987" s="30">
        <f>IF(B987=0,PolicyCount,0)</f>
        <v/>
      </c>
      <c r="N987" s="33">
        <f>L987+M987</f>
        <v/>
      </c>
      <c r="O987" s="31">
        <f>N987*G987</f>
        <v/>
      </c>
      <c r="P987" s="33">
        <f>(N987-O987)*(1-(1-H987)^(1/12))</f>
        <v/>
      </c>
      <c r="Q987" s="34">
        <f>X986+Z986</f>
        <v/>
      </c>
      <c r="R987" s="29">
        <f>(1-LoadPremRate)*E987</f>
        <v/>
      </c>
      <c r="S987" s="34">
        <f>Q987+R987</f>
        <v/>
      </c>
      <c r="T987" s="29">
        <f>MaintFeeRateAnn/12*S987</f>
        <v/>
      </c>
      <c r="U987" s="29">
        <f>MAX(SumAssured-S987,0)</f>
        <v/>
      </c>
      <c r="V987" s="35">
        <f>CoiMultiple*G987</f>
        <v/>
      </c>
      <c r="W987" s="34">
        <f>V987*U987</f>
        <v/>
      </c>
      <c r="X987" s="34">
        <f>S987-T987-W987</f>
        <v/>
      </c>
      <c r="Y987" s="36">
        <f>EXP((Mu-0.5*Sigma^2)/12+Sigma*SQRT(1/12)*INDEX(NormRand,ScenID,A987+1))-1</f>
        <v/>
      </c>
      <c r="Z987" s="34">
        <f>Y987*X987</f>
        <v/>
      </c>
      <c r="AA987" s="34">
        <f>X987+0.5*Z987</f>
        <v/>
      </c>
      <c r="AB987" s="34">
        <f>Q987*J987</f>
        <v/>
      </c>
      <c r="AC987" s="34">
        <f>Q987*L987</f>
        <v/>
      </c>
      <c r="AD987" s="34">
        <f>S987*N987</f>
        <v/>
      </c>
      <c r="AE987" s="34">
        <f>E987*N987</f>
        <v/>
      </c>
      <c r="AF987" s="34">
        <f>R987*N987</f>
        <v/>
      </c>
      <c r="AG987" s="29">
        <f>MAX(SumAssured,AA987)</f>
        <v/>
      </c>
      <c r="AH987" s="34">
        <f>AG987*O987</f>
        <v/>
      </c>
      <c r="AI987" s="34">
        <f>AA987*O987</f>
        <v/>
      </c>
      <c r="AJ987" s="34">
        <f>AA987*P987</f>
        <v/>
      </c>
      <c r="AK987" s="34">
        <f>I987*AA987*P987</f>
        <v/>
      </c>
      <c r="AL987" s="34">
        <f>AJ987-AK987</f>
        <v/>
      </c>
      <c r="AM987" s="34">
        <f>Q987*K987</f>
        <v/>
      </c>
      <c r="AN987" s="34">
        <f>AH987+AL987+AM987</f>
        <v/>
      </c>
      <c r="AO987" s="34">
        <f>(AG987-AA987)*O987</f>
        <v/>
      </c>
      <c r="AP987" s="34">
        <f>W987*N987</f>
        <v/>
      </c>
      <c r="AQ987" s="34">
        <f>T987*N987</f>
        <v/>
      </c>
      <c r="AR987" s="34">
        <f>Z987*J988+0.5*Z987*(O987+P987)</f>
        <v/>
      </c>
      <c r="AS987" s="30">
        <f>(1+InflationRate)^(A987/12)</f>
        <v/>
      </c>
      <c r="AT987" s="29">
        <f>ExpenseAcq*M987+N987*ExpenseMaint/12*AS987</f>
        <v/>
      </c>
      <c r="AU987" s="29">
        <f>CommissionRate*AE987</f>
        <v/>
      </c>
      <c r="AV987" s="34">
        <f>AB988-AB987</f>
        <v/>
      </c>
      <c r="AW987" s="34">
        <f>AE987+AR987-AN987-AT987-AU987-AV987</f>
        <v/>
      </c>
      <c r="AX987" s="29">
        <f>LoadPremRate*E987*N987+AK987+AQ987-AU987-AT987</f>
        <v/>
      </c>
      <c r="AY987" s="34">
        <f>AP987-AO987</f>
        <v/>
      </c>
      <c r="AZ987" s="37">
        <f>(AW987-AX987-AY987)/MAX(1,ABS(AW987),ABS(AX987),ABS(AY987))</f>
        <v/>
      </c>
      <c r="BA987" s="37">
        <f>IF(OR(K987&gt;0,K988&gt;0),0,(AC988-(AC987+AF987-AQ987-AP987+AR987-AI987-AJ987-AM987))/MAX(1,ABS(AC987),ABS(AC988)))</f>
        <v/>
      </c>
      <c r="BB987" s="35">
        <f>(1+INDEX(DiscRateAnn,INT(A987/12)+1))^(1/12)-1</f>
        <v/>
      </c>
      <c r="BC987" s="31">
        <f>(1+BB987)^-A987</f>
        <v/>
      </c>
      <c r="BD987" s="34">
        <f>AW987*BC987</f>
        <v/>
      </c>
    </row>
    <row r="988">
      <c r="A988" s="27">
        <f>A987+1</f>
        <v/>
      </c>
      <c r="B988" s="28">
        <f>Duration0+A988</f>
        <v/>
      </c>
      <c r="C988" s="27">
        <f>INT(B988/12)</f>
        <v/>
      </c>
      <c r="D988" s="28">
        <f>AgeAtEntry+C988</f>
        <v/>
      </c>
      <c r="E988" s="29">
        <f>IF(PremiumType="SINGLE",IF(B988=0,PremiumPPInput,0),IF(B988&lt;12*PolicyTerm,PremiumPPInput,0))</f>
        <v/>
      </c>
      <c r="F988" s="30">
        <f>INDEX(MortRates,MATCH(MIN(D988,120),MortAges,0),MAX(MIN(C988,5),0)+1)</f>
        <v/>
      </c>
      <c r="G988" s="31">
        <f>1-(1-F988)^(1/12)</f>
        <v/>
      </c>
      <c r="H988" s="32">
        <f>MAX(LapseBase-LapseStep*C988,LapseFloor)</f>
        <v/>
      </c>
      <c r="I988" s="32">
        <f>IF(HasSurrCharge,INDEX(SurrRates,MIN(C988,SurrDurMax)+1,MATCH(SurrChargeID,SurrTypes,0)),0)</f>
        <v/>
      </c>
      <c r="J988" s="33">
        <f>N987-P987-O987</f>
        <v/>
      </c>
      <c r="K988" s="30">
        <f>IF(B988=12*PolicyTerm,J988,0)</f>
        <v/>
      </c>
      <c r="L988" s="33">
        <f>J988-K988</f>
        <v/>
      </c>
      <c r="M988" s="30">
        <f>IF(B988=0,PolicyCount,0)</f>
        <v/>
      </c>
      <c r="N988" s="33">
        <f>L988+M988</f>
        <v/>
      </c>
      <c r="O988" s="31">
        <f>N988*G988</f>
        <v/>
      </c>
      <c r="P988" s="33">
        <f>(N988-O988)*(1-(1-H988)^(1/12))</f>
        <v/>
      </c>
      <c r="Q988" s="34">
        <f>X987+Z987</f>
        <v/>
      </c>
      <c r="R988" s="29">
        <f>(1-LoadPremRate)*E988</f>
        <v/>
      </c>
      <c r="S988" s="34">
        <f>Q988+R988</f>
        <v/>
      </c>
      <c r="T988" s="29">
        <f>MaintFeeRateAnn/12*S988</f>
        <v/>
      </c>
      <c r="U988" s="29">
        <f>MAX(SumAssured-S988,0)</f>
        <v/>
      </c>
      <c r="V988" s="35">
        <f>CoiMultiple*G988</f>
        <v/>
      </c>
      <c r="W988" s="34">
        <f>V988*U988</f>
        <v/>
      </c>
      <c r="X988" s="34">
        <f>S988-T988-W988</f>
        <v/>
      </c>
      <c r="Y988" s="36">
        <f>EXP((Mu-0.5*Sigma^2)/12+Sigma*SQRT(1/12)*INDEX(NormRand,ScenID,A988+1))-1</f>
        <v/>
      </c>
      <c r="Z988" s="34">
        <f>Y988*X988</f>
        <v/>
      </c>
      <c r="AA988" s="34">
        <f>X988+0.5*Z988</f>
        <v/>
      </c>
      <c r="AB988" s="34">
        <f>Q988*J988</f>
        <v/>
      </c>
      <c r="AC988" s="34">
        <f>Q988*L988</f>
        <v/>
      </c>
      <c r="AD988" s="34">
        <f>S988*N988</f>
        <v/>
      </c>
      <c r="AE988" s="34">
        <f>E988*N988</f>
        <v/>
      </c>
      <c r="AF988" s="34">
        <f>R988*N988</f>
        <v/>
      </c>
      <c r="AG988" s="29">
        <f>MAX(SumAssured,AA988)</f>
        <v/>
      </c>
      <c r="AH988" s="34">
        <f>AG988*O988</f>
        <v/>
      </c>
      <c r="AI988" s="34">
        <f>AA988*O988</f>
        <v/>
      </c>
      <c r="AJ988" s="34">
        <f>AA988*P988</f>
        <v/>
      </c>
      <c r="AK988" s="34">
        <f>I988*AA988*P988</f>
        <v/>
      </c>
      <c r="AL988" s="34">
        <f>AJ988-AK988</f>
        <v/>
      </c>
      <c r="AM988" s="34">
        <f>Q988*K988</f>
        <v/>
      </c>
      <c r="AN988" s="34">
        <f>AH988+AL988+AM988</f>
        <v/>
      </c>
      <c r="AO988" s="34">
        <f>(AG988-AA988)*O988</f>
        <v/>
      </c>
      <c r="AP988" s="34">
        <f>W988*N988</f>
        <v/>
      </c>
      <c r="AQ988" s="34">
        <f>T988*N988</f>
        <v/>
      </c>
      <c r="AR988" s="34">
        <f>Z988*J989+0.5*Z988*(O988+P988)</f>
        <v/>
      </c>
      <c r="AS988" s="30">
        <f>(1+InflationRate)^(A988/12)</f>
        <v/>
      </c>
      <c r="AT988" s="29">
        <f>ExpenseAcq*M988+N988*ExpenseMaint/12*AS988</f>
        <v/>
      </c>
      <c r="AU988" s="29">
        <f>CommissionRate*AE988</f>
        <v/>
      </c>
      <c r="AV988" s="34">
        <f>AB989-AB988</f>
        <v/>
      </c>
      <c r="AW988" s="34">
        <f>AE988+AR988-AN988-AT988-AU988-AV988</f>
        <v/>
      </c>
      <c r="AX988" s="29">
        <f>LoadPremRate*E988*N988+AK988+AQ988-AU988-AT988</f>
        <v/>
      </c>
      <c r="AY988" s="34">
        <f>AP988-AO988</f>
        <v/>
      </c>
      <c r="AZ988" s="37">
        <f>(AW988-AX988-AY988)/MAX(1,ABS(AW988),ABS(AX988),ABS(AY988))</f>
        <v/>
      </c>
      <c r="BA988" s="37">
        <f>IF(OR(K988&gt;0,K989&gt;0),0,(AC989-(AC988+AF988-AQ988-AP988+AR988-AI988-AJ988-AM988))/MAX(1,ABS(AC988),ABS(AC989)))</f>
        <v/>
      </c>
      <c r="BB988" s="35">
        <f>(1+INDEX(DiscRateAnn,INT(A988/12)+1))^(1/12)-1</f>
        <v/>
      </c>
      <c r="BC988" s="31">
        <f>(1+BB988)^-A988</f>
        <v/>
      </c>
      <c r="BD988" s="34">
        <f>AW988*BC988</f>
        <v/>
      </c>
    </row>
    <row r="989">
      <c r="A989" s="27">
        <f>A988+1</f>
        <v/>
      </c>
      <c r="B989" s="28">
        <f>Duration0+A989</f>
        <v/>
      </c>
      <c r="C989" s="27">
        <f>INT(B989/12)</f>
        <v/>
      </c>
      <c r="D989" s="28">
        <f>AgeAtEntry+C989</f>
        <v/>
      </c>
      <c r="E989" s="29">
        <f>IF(PremiumType="SINGLE",IF(B989=0,PremiumPPInput,0),IF(B989&lt;12*PolicyTerm,PremiumPPInput,0))</f>
        <v/>
      </c>
      <c r="F989" s="30">
        <f>INDEX(MortRates,MATCH(MIN(D989,120),MortAges,0),MAX(MIN(C989,5),0)+1)</f>
        <v/>
      </c>
      <c r="G989" s="31">
        <f>1-(1-F989)^(1/12)</f>
        <v/>
      </c>
      <c r="H989" s="32">
        <f>MAX(LapseBase-LapseStep*C989,LapseFloor)</f>
        <v/>
      </c>
      <c r="I989" s="32">
        <f>IF(HasSurrCharge,INDEX(SurrRates,MIN(C989,SurrDurMax)+1,MATCH(SurrChargeID,SurrTypes,0)),0)</f>
        <v/>
      </c>
      <c r="J989" s="33">
        <f>N988-P988-O988</f>
        <v/>
      </c>
      <c r="K989" s="30">
        <f>IF(B989=12*PolicyTerm,J989,0)</f>
        <v/>
      </c>
      <c r="L989" s="33">
        <f>J989-K989</f>
        <v/>
      </c>
      <c r="M989" s="30">
        <f>IF(B989=0,PolicyCount,0)</f>
        <v/>
      </c>
      <c r="N989" s="33">
        <f>L989+M989</f>
        <v/>
      </c>
      <c r="O989" s="31">
        <f>N989*G989</f>
        <v/>
      </c>
      <c r="P989" s="33">
        <f>(N989-O989)*(1-(1-H989)^(1/12))</f>
        <v/>
      </c>
      <c r="Q989" s="34">
        <f>X988+Z988</f>
        <v/>
      </c>
      <c r="R989" s="29">
        <f>(1-LoadPremRate)*E989</f>
        <v/>
      </c>
      <c r="S989" s="34">
        <f>Q989+R989</f>
        <v/>
      </c>
      <c r="T989" s="29">
        <f>MaintFeeRateAnn/12*S989</f>
        <v/>
      </c>
      <c r="U989" s="29">
        <f>MAX(SumAssured-S989,0)</f>
        <v/>
      </c>
      <c r="V989" s="35">
        <f>CoiMultiple*G989</f>
        <v/>
      </c>
      <c r="W989" s="34">
        <f>V989*U989</f>
        <v/>
      </c>
      <c r="X989" s="34">
        <f>S989-T989-W989</f>
        <v/>
      </c>
      <c r="Y989" s="36">
        <f>EXP((Mu-0.5*Sigma^2)/12+Sigma*SQRT(1/12)*INDEX(NormRand,ScenID,A989+1))-1</f>
        <v/>
      </c>
      <c r="Z989" s="34">
        <f>Y989*X989</f>
        <v/>
      </c>
      <c r="AA989" s="34">
        <f>X989+0.5*Z989</f>
        <v/>
      </c>
      <c r="AB989" s="34">
        <f>Q989*J989</f>
        <v/>
      </c>
      <c r="AC989" s="34">
        <f>Q989*L989</f>
        <v/>
      </c>
      <c r="AD989" s="34">
        <f>S989*N989</f>
        <v/>
      </c>
      <c r="AE989" s="34">
        <f>E989*N989</f>
        <v/>
      </c>
      <c r="AF989" s="34">
        <f>R989*N989</f>
        <v/>
      </c>
      <c r="AG989" s="29">
        <f>MAX(SumAssured,AA989)</f>
        <v/>
      </c>
      <c r="AH989" s="34">
        <f>AG989*O989</f>
        <v/>
      </c>
      <c r="AI989" s="34">
        <f>AA989*O989</f>
        <v/>
      </c>
      <c r="AJ989" s="34">
        <f>AA989*P989</f>
        <v/>
      </c>
      <c r="AK989" s="34">
        <f>I989*AA989*P989</f>
        <v/>
      </c>
      <c r="AL989" s="34">
        <f>AJ989-AK989</f>
        <v/>
      </c>
      <c r="AM989" s="34">
        <f>Q989*K989</f>
        <v/>
      </c>
      <c r="AN989" s="34">
        <f>AH989+AL989+AM989</f>
        <v/>
      </c>
      <c r="AO989" s="34">
        <f>(AG989-AA989)*O989</f>
        <v/>
      </c>
      <c r="AP989" s="34">
        <f>W989*N989</f>
        <v/>
      </c>
      <c r="AQ989" s="34">
        <f>T989*N989</f>
        <v/>
      </c>
      <c r="AR989" s="34">
        <f>Z989*J990+0.5*Z989*(O989+P989)</f>
        <v/>
      </c>
      <c r="AS989" s="30">
        <f>(1+InflationRate)^(A989/12)</f>
        <v/>
      </c>
      <c r="AT989" s="29">
        <f>ExpenseAcq*M989+N989*ExpenseMaint/12*AS989</f>
        <v/>
      </c>
      <c r="AU989" s="29">
        <f>CommissionRate*AE989</f>
        <v/>
      </c>
      <c r="AV989" s="34">
        <f>AB990-AB989</f>
        <v/>
      </c>
      <c r="AW989" s="34">
        <f>AE989+AR989-AN989-AT989-AU989-AV989</f>
        <v/>
      </c>
      <c r="AX989" s="29">
        <f>LoadPremRate*E989*N989+AK989+AQ989-AU989-AT989</f>
        <v/>
      </c>
      <c r="AY989" s="34">
        <f>AP989-AO989</f>
        <v/>
      </c>
      <c r="AZ989" s="37">
        <f>(AW989-AX989-AY989)/MAX(1,ABS(AW989),ABS(AX989),ABS(AY989))</f>
        <v/>
      </c>
      <c r="BA989" s="37">
        <f>IF(OR(K989&gt;0,K990&gt;0),0,(AC990-(AC989+AF989-AQ989-AP989+AR989-AI989-AJ989-AM989))/MAX(1,ABS(AC989),ABS(AC990)))</f>
        <v/>
      </c>
      <c r="BB989" s="35">
        <f>(1+INDEX(DiscRateAnn,INT(A989/12)+1))^(1/12)-1</f>
        <v/>
      </c>
      <c r="BC989" s="31">
        <f>(1+BB989)^-A989</f>
        <v/>
      </c>
      <c r="BD989" s="34">
        <f>AW989*BC989</f>
        <v/>
      </c>
    </row>
    <row r="990">
      <c r="A990" s="27">
        <f>A989+1</f>
        <v/>
      </c>
      <c r="B990" s="28">
        <f>Duration0+A990</f>
        <v/>
      </c>
      <c r="C990" s="27">
        <f>INT(B990/12)</f>
        <v/>
      </c>
      <c r="D990" s="28">
        <f>AgeAtEntry+C990</f>
        <v/>
      </c>
      <c r="E990" s="29">
        <f>IF(PremiumType="SINGLE",IF(B990=0,PremiumPPInput,0),IF(B990&lt;12*PolicyTerm,PremiumPPInput,0))</f>
        <v/>
      </c>
      <c r="F990" s="30">
        <f>INDEX(MortRates,MATCH(MIN(D990,120),MortAges,0),MAX(MIN(C990,5),0)+1)</f>
        <v/>
      </c>
      <c r="G990" s="31">
        <f>1-(1-F990)^(1/12)</f>
        <v/>
      </c>
      <c r="H990" s="32">
        <f>MAX(LapseBase-LapseStep*C990,LapseFloor)</f>
        <v/>
      </c>
      <c r="I990" s="32">
        <f>IF(HasSurrCharge,INDEX(SurrRates,MIN(C990,SurrDurMax)+1,MATCH(SurrChargeID,SurrTypes,0)),0)</f>
        <v/>
      </c>
      <c r="J990" s="33">
        <f>N989-P989-O989</f>
        <v/>
      </c>
      <c r="K990" s="30">
        <f>IF(B990=12*PolicyTerm,J990,0)</f>
        <v/>
      </c>
      <c r="L990" s="33">
        <f>J990-K990</f>
        <v/>
      </c>
      <c r="M990" s="30">
        <f>IF(B990=0,PolicyCount,0)</f>
        <v/>
      </c>
      <c r="N990" s="33">
        <f>L990+M990</f>
        <v/>
      </c>
      <c r="O990" s="31">
        <f>N990*G990</f>
        <v/>
      </c>
      <c r="P990" s="33">
        <f>(N990-O990)*(1-(1-H990)^(1/12))</f>
        <v/>
      </c>
      <c r="Q990" s="34">
        <f>X989+Z989</f>
        <v/>
      </c>
      <c r="R990" s="29">
        <f>(1-LoadPremRate)*E990</f>
        <v/>
      </c>
      <c r="S990" s="34">
        <f>Q990+R990</f>
        <v/>
      </c>
      <c r="T990" s="29">
        <f>MaintFeeRateAnn/12*S990</f>
        <v/>
      </c>
      <c r="U990" s="29">
        <f>MAX(SumAssured-S990,0)</f>
        <v/>
      </c>
      <c r="V990" s="35">
        <f>CoiMultiple*G990</f>
        <v/>
      </c>
      <c r="W990" s="34">
        <f>V990*U990</f>
        <v/>
      </c>
      <c r="X990" s="34">
        <f>S990-T990-W990</f>
        <v/>
      </c>
      <c r="Y990" s="36">
        <f>EXP((Mu-0.5*Sigma^2)/12+Sigma*SQRT(1/12)*INDEX(NormRand,ScenID,A990+1))-1</f>
        <v/>
      </c>
      <c r="Z990" s="34">
        <f>Y990*X990</f>
        <v/>
      </c>
      <c r="AA990" s="34">
        <f>X990+0.5*Z990</f>
        <v/>
      </c>
      <c r="AB990" s="34">
        <f>Q990*J990</f>
        <v/>
      </c>
      <c r="AC990" s="34">
        <f>Q990*L990</f>
        <v/>
      </c>
      <c r="AD990" s="34">
        <f>S990*N990</f>
        <v/>
      </c>
      <c r="AE990" s="34">
        <f>E990*N990</f>
        <v/>
      </c>
      <c r="AF990" s="34">
        <f>R990*N990</f>
        <v/>
      </c>
      <c r="AG990" s="29">
        <f>MAX(SumAssured,AA990)</f>
        <v/>
      </c>
      <c r="AH990" s="34">
        <f>AG990*O990</f>
        <v/>
      </c>
      <c r="AI990" s="34">
        <f>AA990*O990</f>
        <v/>
      </c>
      <c r="AJ990" s="34">
        <f>AA990*P990</f>
        <v/>
      </c>
      <c r="AK990" s="34">
        <f>I990*AA990*P990</f>
        <v/>
      </c>
      <c r="AL990" s="34">
        <f>AJ990-AK990</f>
        <v/>
      </c>
      <c r="AM990" s="34">
        <f>Q990*K990</f>
        <v/>
      </c>
      <c r="AN990" s="34">
        <f>AH990+AL990+AM990</f>
        <v/>
      </c>
      <c r="AO990" s="34">
        <f>(AG990-AA990)*O990</f>
        <v/>
      </c>
      <c r="AP990" s="34">
        <f>W990*N990</f>
        <v/>
      </c>
      <c r="AQ990" s="34">
        <f>T990*N990</f>
        <v/>
      </c>
      <c r="AR990" s="34">
        <f>Z990*J991+0.5*Z990*(O990+P990)</f>
        <v/>
      </c>
      <c r="AS990" s="30">
        <f>(1+InflationRate)^(A990/12)</f>
        <v/>
      </c>
      <c r="AT990" s="29">
        <f>ExpenseAcq*M990+N990*ExpenseMaint/12*AS990</f>
        <v/>
      </c>
      <c r="AU990" s="29">
        <f>CommissionRate*AE990</f>
        <v/>
      </c>
      <c r="AV990" s="34">
        <f>AB991-AB990</f>
        <v/>
      </c>
      <c r="AW990" s="34">
        <f>AE990+AR990-AN990-AT990-AU990-AV990</f>
        <v/>
      </c>
      <c r="AX990" s="29">
        <f>LoadPremRate*E990*N990+AK990+AQ990-AU990-AT990</f>
        <v/>
      </c>
      <c r="AY990" s="34">
        <f>AP990-AO990</f>
        <v/>
      </c>
      <c r="AZ990" s="37">
        <f>(AW990-AX990-AY990)/MAX(1,ABS(AW990),ABS(AX990),ABS(AY990))</f>
        <v/>
      </c>
      <c r="BA990" s="37">
        <f>IF(OR(K990&gt;0,K991&gt;0),0,(AC991-(AC990+AF990-AQ990-AP990+AR990-AI990-AJ990-AM990))/MAX(1,ABS(AC990),ABS(AC991)))</f>
        <v/>
      </c>
      <c r="BB990" s="35">
        <f>(1+INDEX(DiscRateAnn,INT(A990/12)+1))^(1/12)-1</f>
        <v/>
      </c>
      <c r="BC990" s="31">
        <f>(1+BB990)^-A990</f>
        <v/>
      </c>
      <c r="BD990" s="34">
        <f>AW990*BC990</f>
        <v/>
      </c>
    </row>
    <row r="991">
      <c r="A991" s="27">
        <f>A990+1</f>
        <v/>
      </c>
      <c r="B991" s="28">
        <f>Duration0+A991</f>
        <v/>
      </c>
      <c r="C991" s="27">
        <f>INT(B991/12)</f>
        <v/>
      </c>
      <c r="D991" s="28">
        <f>AgeAtEntry+C991</f>
        <v/>
      </c>
      <c r="E991" s="29">
        <f>IF(PremiumType="SINGLE",IF(B991=0,PremiumPPInput,0),IF(B991&lt;12*PolicyTerm,PremiumPPInput,0))</f>
        <v/>
      </c>
      <c r="F991" s="30">
        <f>INDEX(MortRates,MATCH(MIN(D991,120),MortAges,0),MAX(MIN(C991,5),0)+1)</f>
        <v/>
      </c>
      <c r="G991" s="31">
        <f>1-(1-F991)^(1/12)</f>
        <v/>
      </c>
      <c r="H991" s="32">
        <f>MAX(LapseBase-LapseStep*C991,LapseFloor)</f>
        <v/>
      </c>
      <c r="I991" s="32">
        <f>IF(HasSurrCharge,INDEX(SurrRates,MIN(C991,SurrDurMax)+1,MATCH(SurrChargeID,SurrTypes,0)),0)</f>
        <v/>
      </c>
      <c r="J991" s="33">
        <f>N990-P990-O990</f>
        <v/>
      </c>
      <c r="K991" s="30">
        <f>IF(B991=12*PolicyTerm,J991,0)</f>
        <v/>
      </c>
      <c r="L991" s="33">
        <f>J991-K991</f>
        <v/>
      </c>
      <c r="M991" s="30">
        <f>IF(B991=0,PolicyCount,0)</f>
        <v/>
      </c>
      <c r="N991" s="33">
        <f>L991+M991</f>
        <v/>
      </c>
      <c r="O991" s="31">
        <f>N991*G991</f>
        <v/>
      </c>
      <c r="P991" s="33">
        <f>(N991-O991)*(1-(1-H991)^(1/12))</f>
        <v/>
      </c>
      <c r="Q991" s="34">
        <f>X990+Z990</f>
        <v/>
      </c>
      <c r="R991" s="29">
        <f>(1-LoadPremRate)*E991</f>
        <v/>
      </c>
      <c r="S991" s="34">
        <f>Q991+R991</f>
        <v/>
      </c>
      <c r="T991" s="29">
        <f>MaintFeeRateAnn/12*S991</f>
        <v/>
      </c>
      <c r="U991" s="29">
        <f>MAX(SumAssured-S991,0)</f>
        <v/>
      </c>
      <c r="V991" s="35">
        <f>CoiMultiple*G991</f>
        <v/>
      </c>
      <c r="W991" s="34">
        <f>V991*U991</f>
        <v/>
      </c>
      <c r="X991" s="34">
        <f>S991-T991-W991</f>
        <v/>
      </c>
      <c r="Y991" s="36">
        <f>EXP((Mu-0.5*Sigma^2)/12+Sigma*SQRT(1/12)*INDEX(NormRand,ScenID,A991+1))-1</f>
        <v/>
      </c>
      <c r="Z991" s="34">
        <f>Y991*X991</f>
        <v/>
      </c>
      <c r="AA991" s="34">
        <f>X991+0.5*Z991</f>
        <v/>
      </c>
      <c r="AB991" s="34">
        <f>Q991*J991</f>
        <v/>
      </c>
      <c r="AC991" s="34">
        <f>Q991*L991</f>
        <v/>
      </c>
      <c r="AD991" s="34">
        <f>S991*N991</f>
        <v/>
      </c>
      <c r="AE991" s="34">
        <f>E991*N991</f>
        <v/>
      </c>
      <c r="AF991" s="34">
        <f>R991*N991</f>
        <v/>
      </c>
      <c r="AG991" s="29">
        <f>MAX(SumAssured,AA991)</f>
        <v/>
      </c>
      <c r="AH991" s="34">
        <f>AG991*O991</f>
        <v/>
      </c>
      <c r="AI991" s="34">
        <f>AA991*O991</f>
        <v/>
      </c>
      <c r="AJ991" s="34">
        <f>AA991*P991</f>
        <v/>
      </c>
      <c r="AK991" s="34">
        <f>I991*AA991*P991</f>
        <v/>
      </c>
      <c r="AL991" s="34">
        <f>AJ991-AK991</f>
        <v/>
      </c>
      <c r="AM991" s="34">
        <f>Q991*K991</f>
        <v/>
      </c>
      <c r="AN991" s="34">
        <f>AH991+AL991+AM991</f>
        <v/>
      </c>
      <c r="AO991" s="34">
        <f>(AG991-AA991)*O991</f>
        <v/>
      </c>
      <c r="AP991" s="34">
        <f>W991*N991</f>
        <v/>
      </c>
      <c r="AQ991" s="34">
        <f>T991*N991</f>
        <v/>
      </c>
      <c r="AR991" s="34">
        <f>Z991*J992+0.5*Z991*(O991+P991)</f>
        <v/>
      </c>
      <c r="AS991" s="30">
        <f>(1+InflationRate)^(A991/12)</f>
        <v/>
      </c>
      <c r="AT991" s="29">
        <f>ExpenseAcq*M991+N991*ExpenseMaint/12*AS991</f>
        <v/>
      </c>
      <c r="AU991" s="29">
        <f>CommissionRate*AE991</f>
        <v/>
      </c>
      <c r="AV991" s="34">
        <f>AB992-AB991</f>
        <v/>
      </c>
      <c r="AW991" s="34">
        <f>AE991+AR991-AN991-AT991-AU991-AV991</f>
        <v/>
      </c>
      <c r="AX991" s="29">
        <f>LoadPremRate*E991*N991+AK991+AQ991-AU991-AT991</f>
        <v/>
      </c>
      <c r="AY991" s="34">
        <f>AP991-AO991</f>
        <v/>
      </c>
      <c r="AZ991" s="37">
        <f>(AW991-AX991-AY991)/MAX(1,ABS(AW991),ABS(AX991),ABS(AY991))</f>
        <v/>
      </c>
      <c r="BA991" s="37">
        <f>IF(OR(K991&gt;0,K992&gt;0),0,(AC992-(AC991+AF991-AQ991-AP991+AR991-AI991-AJ991-AM991))/MAX(1,ABS(AC991),ABS(AC992)))</f>
        <v/>
      </c>
      <c r="BB991" s="35">
        <f>(1+INDEX(DiscRateAnn,INT(A991/12)+1))^(1/12)-1</f>
        <v/>
      </c>
      <c r="BC991" s="31">
        <f>(1+BB991)^-A991</f>
        <v/>
      </c>
      <c r="BD991" s="34">
        <f>AW991*BC991</f>
        <v/>
      </c>
    </row>
    <row r="992">
      <c r="A992" s="27">
        <f>A991+1</f>
        <v/>
      </c>
      <c r="B992" s="28">
        <f>Duration0+A992</f>
        <v/>
      </c>
      <c r="C992" s="27">
        <f>INT(B992/12)</f>
        <v/>
      </c>
      <c r="D992" s="28">
        <f>AgeAtEntry+C992</f>
        <v/>
      </c>
      <c r="E992" s="29">
        <f>IF(PremiumType="SINGLE",IF(B992=0,PremiumPPInput,0),IF(B992&lt;12*PolicyTerm,PremiumPPInput,0))</f>
        <v/>
      </c>
      <c r="F992" s="30">
        <f>INDEX(MortRates,MATCH(MIN(D992,120),MortAges,0),MAX(MIN(C992,5),0)+1)</f>
        <v/>
      </c>
      <c r="G992" s="31">
        <f>1-(1-F992)^(1/12)</f>
        <v/>
      </c>
      <c r="H992" s="32">
        <f>MAX(LapseBase-LapseStep*C992,LapseFloor)</f>
        <v/>
      </c>
      <c r="I992" s="32">
        <f>IF(HasSurrCharge,INDEX(SurrRates,MIN(C992,SurrDurMax)+1,MATCH(SurrChargeID,SurrTypes,0)),0)</f>
        <v/>
      </c>
      <c r="J992" s="33">
        <f>N991-P991-O991</f>
        <v/>
      </c>
      <c r="K992" s="30">
        <f>IF(B992=12*PolicyTerm,J992,0)</f>
        <v/>
      </c>
      <c r="L992" s="33">
        <f>J992-K992</f>
        <v/>
      </c>
      <c r="M992" s="30">
        <f>IF(B992=0,PolicyCount,0)</f>
        <v/>
      </c>
      <c r="N992" s="33">
        <f>L992+M992</f>
        <v/>
      </c>
      <c r="O992" s="31">
        <f>N992*G992</f>
        <v/>
      </c>
      <c r="P992" s="33">
        <f>(N992-O992)*(1-(1-H992)^(1/12))</f>
        <v/>
      </c>
      <c r="Q992" s="34">
        <f>X991+Z991</f>
        <v/>
      </c>
      <c r="R992" s="29">
        <f>(1-LoadPremRate)*E992</f>
        <v/>
      </c>
      <c r="S992" s="34">
        <f>Q992+R992</f>
        <v/>
      </c>
      <c r="T992" s="29">
        <f>MaintFeeRateAnn/12*S992</f>
        <v/>
      </c>
      <c r="U992" s="29">
        <f>MAX(SumAssured-S992,0)</f>
        <v/>
      </c>
      <c r="V992" s="35">
        <f>CoiMultiple*G992</f>
        <v/>
      </c>
      <c r="W992" s="34">
        <f>V992*U992</f>
        <v/>
      </c>
      <c r="X992" s="34">
        <f>S992-T992-W992</f>
        <v/>
      </c>
      <c r="Y992" s="36">
        <f>EXP((Mu-0.5*Sigma^2)/12+Sigma*SQRT(1/12)*INDEX(NormRand,ScenID,A992+1))-1</f>
        <v/>
      </c>
      <c r="Z992" s="34">
        <f>Y992*X992</f>
        <v/>
      </c>
      <c r="AA992" s="34">
        <f>X992+0.5*Z992</f>
        <v/>
      </c>
      <c r="AB992" s="34">
        <f>Q992*J992</f>
        <v/>
      </c>
      <c r="AC992" s="34">
        <f>Q992*L992</f>
        <v/>
      </c>
      <c r="AD992" s="34">
        <f>S992*N992</f>
        <v/>
      </c>
      <c r="AE992" s="34">
        <f>E992*N992</f>
        <v/>
      </c>
      <c r="AF992" s="34">
        <f>R992*N992</f>
        <v/>
      </c>
      <c r="AG992" s="29">
        <f>MAX(SumAssured,AA992)</f>
        <v/>
      </c>
      <c r="AH992" s="34">
        <f>AG992*O992</f>
        <v/>
      </c>
      <c r="AI992" s="34">
        <f>AA992*O992</f>
        <v/>
      </c>
      <c r="AJ992" s="34">
        <f>AA992*P992</f>
        <v/>
      </c>
      <c r="AK992" s="34">
        <f>I992*AA992*P992</f>
        <v/>
      </c>
      <c r="AL992" s="34">
        <f>AJ992-AK992</f>
        <v/>
      </c>
      <c r="AM992" s="34">
        <f>Q992*K992</f>
        <v/>
      </c>
      <c r="AN992" s="34">
        <f>AH992+AL992+AM992</f>
        <v/>
      </c>
      <c r="AO992" s="34">
        <f>(AG992-AA992)*O992</f>
        <v/>
      </c>
      <c r="AP992" s="34">
        <f>W992*N992</f>
        <v/>
      </c>
      <c r="AQ992" s="34">
        <f>T992*N992</f>
        <v/>
      </c>
      <c r="AR992" s="34">
        <f>Z992*J993+0.5*Z992*(O992+P992)</f>
        <v/>
      </c>
      <c r="AS992" s="30">
        <f>(1+InflationRate)^(A992/12)</f>
        <v/>
      </c>
      <c r="AT992" s="29">
        <f>ExpenseAcq*M992+N992*ExpenseMaint/12*AS992</f>
        <v/>
      </c>
      <c r="AU992" s="29">
        <f>CommissionRate*AE992</f>
        <v/>
      </c>
      <c r="AV992" s="34">
        <f>AB993-AB992</f>
        <v/>
      </c>
      <c r="AW992" s="34">
        <f>AE992+AR992-AN992-AT992-AU992-AV992</f>
        <v/>
      </c>
      <c r="AX992" s="29">
        <f>LoadPremRate*E992*N992+AK992+AQ992-AU992-AT992</f>
        <v/>
      </c>
      <c r="AY992" s="34">
        <f>AP992-AO992</f>
        <v/>
      </c>
      <c r="AZ992" s="37">
        <f>(AW992-AX992-AY992)/MAX(1,ABS(AW992),ABS(AX992),ABS(AY992))</f>
        <v/>
      </c>
      <c r="BA992" s="37">
        <f>IF(OR(K992&gt;0,K993&gt;0),0,(AC993-(AC992+AF992-AQ992-AP992+AR992-AI992-AJ992-AM992))/MAX(1,ABS(AC992),ABS(AC993)))</f>
        <v/>
      </c>
      <c r="BB992" s="35">
        <f>(1+INDEX(DiscRateAnn,INT(A992/12)+1))^(1/12)-1</f>
        <v/>
      </c>
      <c r="BC992" s="31">
        <f>(1+BB992)^-A992</f>
        <v/>
      </c>
      <c r="BD992" s="34">
        <f>AW992*BC992</f>
        <v/>
      </c>
    </row>
    <row r="993">
      <c r="A993" s="27">
        <f>A992+1</f>
        <v/>
      </c>
      <c r="B993" s="28">
        <f>Duration0+A993</f>
        <v/>
      </c>
      <c r="C993" s="27">
        <f>INT(B993/12)</f>
        <v/>
      </c>
      <c r="D993" s="28">
        <f>AgeAtEntry+C993</f>
        <v/>
      </c>
      <c r="E993" s="29">
        <f>IF(PremiumType="SINGLE",IF(B993=0,PremiumPPInput,0),IF(B993&lt;12*PolicyTerm,PremiumPPInput,0))</f>
        <v/>
      </c>
      <c r="F993" s="30">
        <f>INDEX(MortRates,MATCH(MIN(D993,120),MortAges,0),MAX(MIN(C993,5),0)+1)</f>
        <v/>
      </c>
      <c r="G993" s="31">
        <f>1-(1-F993)^(1/12)</f>
        <v/>
      </c>
      <c r="H993" s="32">
        <f>MAX(LapseBase-LapseStep*C993,LapseFloor)</f>
        <v/>
      </c>
      <c r="I993" s="32">
        <f>IF(HasSurrCharge,INDEX(SurrRates,MIN(C993,SurrDurMax)+1,MATCH(SurrChargeID,SurrTypes,0)),0)</f>
        <v/>
      </c>
      <c r="J993" s="33">
        <f>N992-P992-O992</f>
        <v/>
      </c>
      <c r="K993" s="30">
        <f>IF(B993=12*PolicyTerm,J993,0)</f>
        <v/>
      </c>
      <c r="L993" s="33">
        <f>J993-K993</f>
        <v/>
      </c>
      <c r="M993" s="30">
        <f>IF(B993=0,PolicyCount,0)</f>
        <v/>
      </c>
      <c r="N993" s="33">
        <f>L993+M993</f>
        <v/>
      </c>
      <c r="O993" s="31">
        <f>N993*G993</f>
        <v/>
      </c>
      <c r="P993" s="33">
        <f>(N993-O993)*(1-(1-H993)^(1/12))</f>
        <v/>
      </c>
      <c r="Q993" s="34">
        <f>X992+Z992</f>
        <v/>
      </c>
      <c r="R993" s="29">
        <f>(1-LoadPremRate)*E993</f>
        <v/>
      </c>
      <c r="S993" s="34">
        <f>Q993+R993</f>
        <v/>
      </c>
      <c r="T993" s="29">
        <f>MaintFeeRateAnn/12*S993</f>
        <v/>
      </c>
      <c r="U993" s="29">
        <f>MAX(SumAssured-S993,0)</f>
        <v/>
      </c>
      <c r="V993" s="35">
        <f>CoiMultiple*G993</f>
        <v/>
      </c>
      <c r="W993" s="34">
        <f>V993*U993</f>
        <v/>
      </c>
      <c r="X993" s="34">
        <f>S993-T993-W993</f>
        <v/>
      </c>
      <c r="Y993" s="36">
        <f>EXP((Mu-0.5*Sigma^2)/12+Sigma*SQRT(1/12)*INDEX(NormRand,ScenID,A993+1))-1</f>
        <v/>
      </c>
      <c r="Z993" s="34">
        <f>Y993*X993</f>
        <v/>
      </c>
      <c r="AA993" s="34">
        <f>X993+0.5*Z993</f>
        <v/>
      </c>
      <c r="AB993" s="34">
        <f>Q993*J993</f>
        <v/>
      </c>
      <c r="AC993" s="34">
        <f>Q993*L993</f>
        <v/>
      </c>
      <c r="AD993" s="34">
        <f>S993*N993</f>
        <v/>
      </c>
      <c r="AE993" s="34">
        <f>E993*N993</f>
        <v/>
      </c>
      <c r="AF993" s="34">
        <f>R993*N993</f>
        <v/>
      </c>
      <c r="AG993" s="29">
        <f>MAX(SumAssured,AA993)</f>
        <v/>
      </c>
      <c r="AH993" s="34">
        <f>AG993*O993</f>
        <v/>
      </c>
      <c r="AI993" s="34">
        <f>AA993*O993</f>
        <v/>
      </c>
      <c r="AJ993" s="34">
        <f>AA993*P993</f>
        <v/>
      </c>
      <c r="AK993" s="34">
        <f>I993*AA993*P993</f>
        <v/>
      </c>
      <c r="AL993" s="34">
        <f>AJ993-AK993</f>
        <v/>
      </c>
      <c r="AM993" s="34">
        <f>Q993*K993</f>
        <v/>
      </c>
      <c r="AN993" s="34">
        <f>AH993+AL993+AM993</f>
        <v/>
      </c>
      <c r="AO993" s="34">
        <f>(AG993-AA993)*O993</f>
        <v/>
      </c>
      <c r="AP993" s="34">
        <f>W993*N993</f>
        <v/>
      </c>
      <c r="AQ993" s="34">
        <f>T993*N993</f>
        <v/>
      </c>
      <c r="AR993" s="34">
        <f>Z993*J994+0.5*Z993*(O993+P993)</f>
        <v/>
      </c>
      <c r="AS993" s="30">
        <f>(1+InflationRate)^(A993/12)</f>
        <v/>
      </c>
      <c r="AT993" s="29">
        <f>ExpenseAcq*M993+N993*ExpenseMaint/12*AS993</f>
        <v/>
      </c>
      <c r="AU993" s="29">
        <f>CommissionRate*AE993</f>
        <v/>
      </c>
      <c r="AV993" s="34">
        <f>AB994-AB993</f>
        <v/>
      </c>
      <c r="AW993" s="34">
        <f>AE993+AR993-AN993-AT993-AU993-AV993</f>
        <v/>
      </c>
      <c r="AX993" s="29">
        <f>LoadPremRate*E993*N993+AK993+AQ993-AU993-AT993</f>
        <v/>
      </c>
      <c r="AY993" s="34">
        <f>AP993-AO993</f>
        <v/>
      </c>
      <c r="AZ993" s="37">
        <f>(AW993-AX993-AY993)/MAX(1,ABS(AW993),ABS(AX993),ABS(AY993))</f>
        <v/>
      </c>
      <c r="BA993" s="37">
        <f>IF(OR(K993&gt;0,K994&gt;0),0,(AC994-(AC993+AF993-AQ993-AP993+AR993-AI993-AJ993-AM993))/MAX(1,ABS(AC993),ABS(AC994)))</f>
        <v/>
      </c>
      <c r="BB993" s="35">
        <f>(1+INDEX(DiscRateAnn,INT(A993/12)+1))^(1/12)-1</f>
        <v/>
      </c>
      <c r="BC993" s="31">
        <f>(1+BB993)^-A993</f>
        <v/>
      </c>
      <c r="BD993" s="34">
        <f>AW993*BC993</f>
        <v/>
      </c>
    </row>
    <row r="994">
      <c r="A994" s="27">
        <f>A993+1</f>
        <v/>
      </c>
      <c r="B994" s="28">
        <f>Duration0+A994</f>
        <v/>
      </c>
      <c r="C994" s="27">
        <f>INT(B994/12)</f>
        <v/>
      </c>
      <c r="D994" s="28">
        <f>AgeAtEntry+C994</f>
        <v/>
      </c>
      <c r="E994" s="29">
        <f>IF(PremiumType="SINGLE",IF(B994=0,PremiumPPInput,0),IF(B994&lt;12*PolicyTerm,PremiumPPInput,0))</f>
        <v/>
      </c>
      <c r="F994" s="30">
        <f>INDEX(MortRates,MATCH(MIN(D994,120),MortAges,0),MAX(MIN(C994,5),0)+1)</f>
        <v/>
      </c>
      <c r="G994" s="31">
        <f>1-(1-F994)^(1/12)</f>
        <v/>
      </c>
      <c r="H994" s="32">
        <f>MAX(LapseBase-LapseStep*C994,LapseFloor)</f>
        <v/>
      </c>
      <c r="I994" s="32">
        <f>IF(HasSurrCharge,INDEX(SurrRates,MIN(C994,SurrDurMax)+1,MATCH(SurrChargeID,SurrTypes,0)),0)</f>
        <v/>
      </c>
      <c r="J994" s="33">
        <f>N993-P993-O993</f>
        <v/>
      </c>
      <c r="K994" s="30">
        <f>IF(B994=12*PolicyTerm,J994,0)</f>
        <v/>
      </c>
      <c r="L994" s="33">
        <f>J994-K994</f>
        <v/>
      </c>
      <c r="M994" s="30">
        <f>IF(B994=0,PolicyCount,0)</f>
        <v/>
      </c>
      <c r="N994" s="33">
        <f>L994+M994</f>
        <v/>
      </c>
      <c r="O994" s="31">
        <f>N994*G994</f>
        <v/>
      </c>
      <c r="P994" s="33">
        <f>(N994-O994)*(1-(1-H994)^(1/12))</f>
        <v/>
      </c>
      <c r="Q994" s="34">
        <f>X993+Z993</f>
        <v/>
      </c>
      <c r="R994" s="29">
        <f>(1-LoadPremRate)*E994</f>
        <v/>
      </c>
      <c r="S994" s="34">
        <f>Q994+R994</f>
        <v/>
      </c>
      <c r="T994" s="29">
        <f>MaintFeeRateAnn/12*S994</f>
        <v/>
      </c>
      <c r="U994" s="29">
        <f>MAX(SumAssured-S994,0)</f>
        <v/>
      </c>
      <c r="V994" s="35">
        <f>CoiMultiple*G994</f>
        <v/>
      </c>
      <c r="W994" s="34">
        <f>V994*U994</f>
        <v/>
      </c>
      <c r="X994" s="34">
        <f>S994-T994-W994</f>
        <v/>
      </c>
      <c r="Y994" s="36">
        <f>EXP((Mu-0.5*Sigma^2)/12+Sigma*SQRT(1/12)*INDEX(NormRand,ScenID,A994+1))-1</f>
        <v/>
      </c>
      <c r="Z994" s="34">
        <f>Y994*X994</f>
        <v/>
      </c>
      <c r="AA994" s="34">
        <f>X994+0.5*Z994</f>
        <v/>
      </c>
      <c r="AB994" s="34">
        <f>Q994*J994</f>
        <v/>
      </c>
      <c r="AC994" s="34">
        <f>Q994*L994</f>
        <v/>
      </c>
      <c r="AD994" s="34">
        <f>S994*N994</f>
        <v/>
      </c>
      <c r="AE994" s="34">
        <f>E994*N994</f>
        <v/>
      </c>
      <c r="AF994" s="34">
        <f>R994*N994</f>
        <v/>
      </c>
      <c r="AG994" s="29">
        <f>MAX(SumAssured,AA994)</f>
        <v/>
      </c>
      <c r="AH994" s="34">
        <f>AG994*O994</f>
        <v/>
      </c>
      <c r="AI994" s="34">
        <f>AA994*O994</f>
        <v/>
      </c>
      <c r="AJ994" s="34">
        <f>AA994*P994</f>
        <v/>
      </c>
      <c r="AK994" s="34">
        <f>I994*AA994*P994</f>
        <v/>
      </c>
      <c r="AL994" s="34">
        <f>AJ994-AK994</f>
        <v/>
      </c>
      <c r="AM994" s="34">
        <f>Q994*K994</f>
        <v/>
      </c>
      <c r="AN994" s="34">
        <f>AH994+AL994+AM994</f>
        <v/>
      </c>
      <c r="AO994" s="34">
        <f>(AG994-AA994)*O994</f>
        <v/>
      </c>
      <c r="AP994" s="34">
        <f>W994*N994</f>
        <v/>
      </c>
      <c r="AQ994" s="34">
        <f>T994*N994</f>
        <v/>
      </c>
      <c r="AR994" s="34">
        <f>Z994*J995+0.5*Z994*(O994+P994)</f>
        <v/>
      </c>
      <c r="AS994" s="30">
        <f>(1+InflationRate)^(A994/12)</f>
        <v/>
      </c>
      <c r="AT994" s="29">
        <f>ExpenseAcq*M994+N994*ExpenseMaint/12*AS994</f>
        <v/>
      </c>
      <c r="AU994" s="29">
        <f>CommissionRate*AE994</f>
        <v/>
      </c>
      <c r="AV994" s="34">
        <f>AB995-AB994</f>
        <v/>
      </c>
      <c r="AW994" s="34">
        <f>AE994+AR994-AN994-AT994-AU994-AV994</f>
        <v/>
      </c>
      <c r="AX994" s="29">
        <f>LoadPremRate*E994*N994+AK994+AQ994-AU994-AT994</f>
        <v/>
      </c>
      <c r="AY994" s="34">
        <f>AP994-AO994</f>
        <v/>
      </c>
      <c r="AZ994" s="37">
        <f>(AW994-AX994-AY994)/MAX(1,ABS(AW994),ABS(AX994),ABS(AY994))</f>
        <v/>
      </c>
      <c r="BA994" s="37">
        <f>IF(OR(K994&gt;0,K995&gt;0),0,(AC995-(AC994+AF994-AQ994-AP994+AR994-AI994-AJ994-AM994))/MAX(1,ABS(AC994),ABS(AC995)))</f>
        <v/>
      </c>
      <c r="BB994" s="35">
        <f>(1+INDEX(DiscRateAnn,INT(A994/12)+1))^(1/12)-1</f>
        <v/>
      </c>
      <c r="BC994" s="31">
        <f>(1+BB994)^-A994</f>
        <v/>
      </c>
      <c r="BD994" s="34">
        <f>AW994*BC994</f>
        <v/>
      </c>
    </row>
    <row r="995">
      <c r="A995" s="27">
        <f>A994+1</f>
        <v/>
      </c>
      <c r="B995" s="28">
        <f>Duration0+A995</f>
        <v/>
      </c>
      <c r="C995" s="27">
        <f>INT(B995/12)</f>
        <v/>
      </c>
      <c r="D995" s="28">
        <f>AgeAtEntry+C995</f>
        <v/>
      </c>
      <c r="E995" s="29">
        <f>IF(PremiumType="SINGLE",IF(B995=0,PremiumPPInput,0),IF(B995&lt;12*PolicyTerm,PremiumPPInput,0))</f>
        <v/>
      </c>
      <c r="F995" s="30">
        <f>INDEX(MortRates,MATCH(MIN(D995,120),MortAges,0),MAX(MIN(C995,5),0)+1)</f>
        <v/>
      </c>
      <c r="G995" s="31">
        <f>1-(1-F995)^(1/12)</f>
        <v/>
      </c>
      <c r="H995" s="32">
        <f>MAX(LapseBase-LapseStep*C995,LapseFloor)</f>
        <v/>
      </c>
      <c r="I995" s="32">
        <f>IF(HasSurrCharge,INDEX(SurrRates,MIN(C995,SurrDurMax)+1,MATCH(SurrChargeID,SurrTypes,0)),0)</f>
        <v/>
      </c>
      <c r="J995" s="33">
        <f>N994-P994-O994</f>
        <v/>
      </c>
      <c r="K995" s="30">
        <f>IF(B995=12*PolicyTerm,J995,0)</f>
        <v/>
      </c>
      <c r="L995" s="33">
        <f>J995-K995</f>
        <v/>
      </c>
      <c r="M995" s="30">
        <f>IF(B995=0,PolicyCount,0)</f>
        <v/>
      </c>
      <c r="N995" s="33">
        <f>L995+M995</f>
        <v/>
      </c>
      <c r="O995" s="31">
        <f>N995*G995</f>
        <v/>
      </c>
      <c r="P995" s="33">
        <f>(N995-O995)*(1-(1-H995)^(1/12))</f>
        <v/>
      </c>
      <c r="Q995" s="34">
        <f>X994+Z994</f>
        <v/>
      </c>
      <c r="R995" s="29">
        <f>(1-LoadPremRate)*E995</f>
        <v/>
      </c>
      <c r="S995" s="34">
        <f>Q995+R995</f>
        <v/>
      </c>
      <c r="T995" s="29">
        <f>MaintFeeRateAnn/12*S995</f>
        <v/>
      </c>
      <c r="U995" s="29">
        <f>MAX(SumAssured-S995,0)</f>
        <v/>
      </c>
      <c r="V995" s="35">
        <f>CoiMultiple*G995</f>
        <v/>
      </c>
      <c r="W995" s="34">
        <f>V995*U995</f>
        <v/>
      </c>
      <c r="X995" s="34">
        <f>S995-T995-W995</f>
        <v/>
      </c>
      <c r="Y995" s="36">
        <f>EXP((Mu-0.5*Sigma^2)/12+Sigma*SQRT(1/12)*INDEX(NormRand,ScenID,A995+1))-1</f>
        <v/>
      </c>
      <c r="Z995" s="34">
        <f>Y995*X995</f>
        <v/>
      </c>
      <c r="AA995" s="34">
        <f>X995+0.5*Z995</f>
        <v/>
      </c>
      <c r="AB995" s="34">
        <f>Q995*J995</f>
        <v/>
      </c>
      <c r="AC995" s="34">
        <f>Q995*L995</f>
        <v/>
      </c>
      <c r="AD995" s="34">
        <f>S995*N995</f>
        <v/>
      </c>
      <c r="AE995" s="34">
        <f>E995*N995</f>
        <v/>
      </c>
      <c r="AF995" s="34">
        <f>R995*N995</f>
        <v/>
      </c>
      <c r="AG995" s="29">
        <f>MAX(SumAssured,AA995)</f>
        <v/>
      </c>
      <c r="AH995" s="34">
        <f>AG995*O995</f>
        <v/>
      </c>
      <c r="AI995" s="34">
        <f>AA995*O995</f>
        <v/>
      </c>
      <c r="AJ995" s="34">
        <f>AA995*P995</f>
        <v/>
      </c>
      <c r="AK995" s="34">
        <f>I995*AA995*P995</f>
        <v/>
      </c>
      <c r="AL995" s="34">
        <f>AJ995-AK995</f>
        <v/>
      </c>
      <c r="AM995" s="34">
        <f>Q995*K995</f>
        <v/>
      </c>
      <c r="AN995" s="34">
        <f>AH995+AL995+AM995</f>
        <v/>
      </c>
      <c r="AO995" s="34">
        <f>(AG995-AA995)*O995</f>
        <v/>
      </c>
      <c r="AP995" s="34">
        <f>W995*N995</f>
        <v/>
      </c>
      <c r="AQ995" s="34">
        <f>T995*N995</f>
        <v/>
      </c>
      <c r="AR995" s="34">
        <f>Z995*J996+0.5*Z995*(O995+P995)</f>
        <v/>
      </c>
      <c r="AS995" s="30">
        <f>(1+InflationRate)^(A995/12)</f>
        <v/>
      </c>
      <c r="AT995" s="29">
        <f>ExpenseAcq*M995+N995*ExpenseMaint/12*AS995</f>
        <v/>
      </c>
      <c r="AU995" s="29">
        <f>CommissionRate*AE995</f>
        <v/>
      </c>
      <c r="AV995" s="34">
        <f>AB996-AB995</f>
        <v/>
      </c>
      <c r="AW995" s="34">
        <f>AE995+AR995-AN995-AT995-AU995-AV995</f>
        <v/>
      </c>
      <c r="AX995" s="29">
        <f>LoadPremRate*E995*N995+AK995+AQ995-AU995-AT995</f>
        <v/>
      </c>
      <c r="AY995" s="34">
        <f>AP995-AO995</f>
        <v/>
      </c>
      <c r="AZ995" s="37">
        <f>(AW995-AX995-AY995)/MAX(1,ABS(AW995),ABS(AX995),ABS(AY995))</f>
        <v/>
      </c>
      <c r="BA995" s="37">
        <f>IF(OR(K995&gt;0,K996&gt;0),0,(AC996-(AC995+AF995-AQ995-AP995+AR995-AI995-AJ995-AM995))/MAX(1,ABS(AC995),ABS(AC996)))</f>
        <v/>
      </c>
      <c r="BB995" s="35">
        <f>(1+INDEX(DiscRateAnn,INT(A995/12)+1))^(1/12)-1</f>
        <v/>
      </c>
      <c r="BC995" s="31">
        <f>(1+BB995)^-A995</f>
        <v/>
      </c>
      <c r="BD995" s="34">
        <f>AW995*BC995</f>
        <v/>
      </c>
    </row>
    <row r="996">
      <c r="A996" s="27">
        <f>A995+1</f>
        <v/>
      </c>
      <c r="B996" s="28">
        <f>Duration0+A996</f>
        <v/>
      </c>
      <c r="C996" s="27">
        <f>INT(B996/12)</f>
        <v/>
      </c>
      <c r="D996" s="28">
        <f>AgeAtEntry+C996</f>
        <v/>
      </c>
      <c r="E996" s="29">
        <f>IF(PremiumType="SINGLE",IF(B996=0,PremiumPPInput,0),IF(B996&lt;12*PolicyTerm,PremiumPPInput,0))</f>
        <v/>
      </c>
      <c r="F996" s="30">
        <f>INDEX(MortRates,MATCH(MIN(D996,120),MortAges,0),MAX(MIN(C996,5),0)+1)</f>
        <v/>
      </c>
      <c r="G996" s="31">
        <f>1-(1-F996)^(1/12)</f>
        <v/>
      </c>
      <c r="H996" s="32">
        <f>MAX(LapseBase-LapseStep*C996,LapseFloor)</f>
        <v/>
      </c>
      <c r="I996" s="32">
        <f>IF(HasSurrCharge,INDEX(SurrRates,MIN(C996,SurrDurMax)+1,MATCH(SurrChargeID,SurrTypes,0)),0)</f>
        <v/>
      </c>
      <c r="J996" s="33">
        <f>N995-P995-O995</f>
        <v/>
      </c>
      <c r="K996" s="30">
        <f>IF(B996=12*PolicyTerm,J996,0)</f>
        <v/>
      </c>
      <c r="L996" s="33">
        <f>J996-K996</f>
        <v/>
      </c>
      <c r="M996" s="30">
        <f>IF(B996=0,PolicyCount,0)</f>
        <v/>
      </c>
      <c r="N996" s="33">
        <f>L996+M996</f>
        <v/>
      </c>
      <c r="O996" s="31">
        <f>N996*G996</f>
        <v/>
      </c>
      <c r="P996" s="33">
        <f>(N996-O996)*(1-(1-H996)^(1/12))</f>
        <v/>
      </c>
      <c r="Q996" s="34">
        <f>X995+Z995</f>
        <v/>
      </c>
      <c r="R996" s="29">
        <f>(1-LoadPremRate)*E996</f>
        <v/>
      </c>
      <c r="S996" s="34">
        <f>Q996+R996</f>
        <v/>
      </c>
      <c r="T996" s="29">
        <f>MaintFeeRateAnn/12*S996</f>
        <v/>
      </c>
      <c r="U996" s="29">
        <f>MAX(SumAssured-S996,0)</f>
        <v/>
      </c>
      <c r="V996" s="35">
        <f>CoiMultiple*G996</f>
        <v/>
      </c>
      <c r="W996" s="34">
        <f>V996*U996</f>
        <v/>
      </c>
      <c r="X996" s="34">
        <f>S996-T996-W996</f>
        <v/>
      </c>
      <c r="Y996" s="36">
        <f>EXP((Mu-0.5*Sigma^2)/12+Sigma*SQRT(1/12)*INDEX(NormRand,ScenID,A996+1))-1</f>
        <v/>
      </c>
      <c r="Z996" s="34">
        <f>Y996*X996</f>
        <v/>
      </c>
      <c r="AA996" s="34">
        <f>X996+0.5*Z996</f>
        <v/>
      </c>
      <c r="AB996" s="34">
        <f>Q996*J996</f>
        <v/>
      </c>
      <c r="AC996" s="34">
        <f>Q996*L996</f>
        <v/>
      </c>
      <c r="AD996" s="34">
        <f>S996*N996</f>
        <v/>
      </c>
      <c r="AE996" s="34">
        <f>E996*N996</f>
        <v/>
      </c>
      <c r="AF996" s="34">
        <f>R996*N996</f>
        <v/>
      </c>
      <c r="AG996" s="29">
        <f>MAX(SumAssured,AA996)</f>
        <v/>
      </c>
      <c r="AH996" s="34">
        <f>AG996*O996</f>
        <v/>
      </c>
      <c r="AI996" s="34">
        <f>AA996*O996</f>
        <v/>
      </c>
      <c r="AJ996" s="34">
        <f>AA996*P996</f>
        <v/>
      </c>
      <c r="AK996" s="34">
        <f>I996*AA996*P996</f>
        <v/>
      </c>
      <c r="AL996" s="34">
        <f>AJ996-AK996</f>
        <v/>
      </c>
      <c r="AM996" s="34">
        <f>Q996*K996</f>
        <v/>
      </c>
      <c r="AN996" s="34">
        <f>AH996+AL996+AM996</f>
        <v/>
      </c>
      <c r="AO996" s="34">
        <f>(AG996-AA996)*O996</f>
        <v/>
      </c>
      <c r="AP996" s="34">
        <f>W996*N996</f>
        <v/>
      </c>
      <c r="AQ996" s="34">
        <f>T996*N996</f>
        <v/>
      </c>
      <c r="AR996" s="34">
        <f>Z996*J997+0.5*Z996*(O996+P996)</f>
        <v/>
      </c>
      <c r="AS996" s="30">
        <f>(1+InflationRate)^(A996/12)</f>
        <v/>
      </c>
      <c r="AT996" s="29">
        <f>ExpenseAcq*M996+N996*ExpenseMaint/12*AS996</f>
        <v/>
      </c>
      <c r="AU996" s="29">
        <f>CommissionRate*AE996</f>
        <v/>
      </c>
      <c r="AV996" s="34">
        <f>AB997-AB996</f>
        <v/>
      </c>
      <c r="AW996" s="34">
        <f>AE996+AR996-AN996-AT996-AU996-AV996</f>
        <v/>
      </c>
      <c r="AX996" s="29">
        <f>LoadPremRate*E996*N996+AK996+AQ996-AU996-AT996</f>
        <v/>
      </c>
      <c r="AY996" s="34">
        <f>AP996-AO996</f>
        <v/>
      </c>
      <c r="AZ996" s="37">
        <f>(AW996-AX996-AY996)/MAX(1,ABS(AW996),ABS(AX996),ABS(AY996))</f>
        <v/>
      </c>
      <c r="BA996" s="37">
        <f>IF(OR(K996&gt;0,K997&gt;0),0,(AC997-(AC996+AF996-AQ996-AP996+AR996-AI996-AJ996-AM996))/MAX(1,ABS(AC996),ABS(AC997)))</f>
        <v/>
      </c>
      <c r="BB996" s="35">
        <f>(1+INDEX(DiscRateAnn,INT(A996/12)+1))^(1/12)-1</f>
        <v/>
      </c>
      <c r="BC996" s="31">
        <f>(1+BB996)^-A996</f>
        <v/>
      </c>
      <c r="BD996" s="34">
        <f>AW996*BC996</f>
        <v/>
      </c>
    </row>
    <row r="997">
      <c r="A997" s="27">
        <f>A996+1</f>
        <v/>
      </c>
      <c r="B997" s="28">
        <f>Duration0+A997</f>
        <v/>
      </c>
      <c r="C997" s="27">
        <f>INT(B997/12)</f>
        <v/>
      </c>
      <c r="D997" s="28">
        <f>AgeAtEntry+C997</f>
        <v/>
      </c>
      <c r="E997" s="29">
        <f>IF(PremiumType="SINGLE",IF(B997=0,PremiumPPInput,0),IF(B997&lt;12*PolicyTerm,PremiumPPInput,0))</f>
        <v/>
      </c>
      <c r="F997" s="30">
        <f>INDEX(MortRates,MATCH(MIN(D997,120),MortAges,0),MAX(MIN(C997,5),0)+1)</f>
        <v/>
      </c>
      <c r="G997" s="31">
        <f>1-(1-F997)^(1/12)</f>
        <v/>
      </c>
      <c r="H997" s="32">
        <f>MAX(LapseBase-LapseStep*C997,LapseFloor)</f>
        <v/>
      </c>
      <c r="I997" s="32">
        <f>IF(HasSurrCharge,INDEX(SurrRates,MIN(C997,SurrDurMax)+1,MATCH(SurrChargeID,SurrTypes,0)),0)</f>
        <v/>
      </c>
      <c r="J997" s="33">
        <f>N996-P996-O996</f>
        <v/>
      </c>
      <c r="K997" s="30">
        <f>IF(B997=12*PolicyTerm,J997,0)</f>
        <v/>
      </c>
      <c r="L997" s="33">
        <f>J997-K997</f>
        <v/>
      </c>
      <c r="M997" s="30">
        <f>IF(B997=0,PolicyCount,0)</f>
        <v/>
      </c>
      <c r="N997" s="33">
        <f>L997+M997</f>
        <v/>
      </c>
      <c r="O997" s="31">
        <f>N997*G997</f>
        <v/>
      </c>
      <c r="P997" s="33">
        <f>(N997-O997)*(1-(1-H997)^(1/12))</f>
        <v/>
      </c>
      <c r="Q997" s="34">
        <f>X996+Z996</f>
        <v/>
      </c>
      <c r="R997" s="29">
        <f>(1-LoadPremRate)*E997</f>
        <v/>
      </c>
      <c r="S997" s="34">
        <f>Q997+R997</f>
        <v/>
      </c>
      <c r="T997" s="29">
        <f>MaintFeeRateAnn/12*S997</f>
        <v/>
      </c>
      <c r="U997" s="29">
        <f>MAX(SumAssured-S997,0)</f>
        <v/>
      </c>
      <c r="V997" s="35">
        <f>CoiMultiple*G997</f>
        <v/>
      </c>
      <c r="W997" s="34">
        <f>V997*U997</f>
        <v/>
      </c>
      <c r="X997" s="34">
        <f>S997-T997-W997</f>
        <v/>
      </c>
      <c r="Y997" s="36">
        <f>EXP((Mu-0.5*Sigma^2)/12+Sigma*SQRT(1/12)*INDEX(NormRand,ScenID,A997+1))-1</f>
        <v/>
      </c>
      <c r="Z997" s="34">
        <f>Y997*X997</f>
        <v/>
      </c>
      <c r="AA997" s="34">
        <f>X997+0.5*Z997</f>
        <v/>
      </c>
      <c r="AB997" s="34">
        <f>Q997*J997</f>
        <v/>
      </c>
      <c r="AC997" s="34">
        <f>Q997*L997</f>
        <v/>
      </c>
      <c r="AD997" s="34">
        <f>S997*N997</f>
        <v/>
      </c>
      <c r="AE997" s="34">
        <f>E997*N997</f>
        <v/>
      </c>
      <c r="AF997" s="34">
        <f>R997*N997</f>
        <v/>
      </c>
      <c r="AG997" s="29">
        <f>MAX(SumAssured,AA997)</f>
        <v/>
      </c>
      <c r="AH997" s="34">
        <f>AG997*O997</f>
        <v/>
      </c>
      <c r="AI997" s="34">
        <f>AA997*O997</f>
        <v/>
      </c>
      <c r="AJ997" s="34">
        <f>AA997*P997</f>
        <v/>
      </c>
      <c r="AK997" s="34">
        <f>I997*AA997*P997</f>
        <v/>
      </c>
      <c r="AL997" s="34">
        <f>AJ997-AK997</f>
        <v/>
      </c>
      <c r="AM997" s="34">
        <f>Q997*K997</f>
        <v/>
      </c>
      <c r="AN997" s="34">
        <f>AH997+AL997+AM997</f>
        <v/>
      </c>
      <c r="AO997" s="34">
        <f>(AG997-AA997)*O997</f>
        <v/>
      </c>
      <c r="AP997" s="34">
        <f>W997*N997</f>
        <v/>
      </c>
      <c r="AQ997" s="34">
        <f>T997*N997</f>
        <v/>
      </c>
      <c r="AR997" s="34">
        <f>Z997*J998+0.5*Z997*(O997+P997)</f>
        <v/>
      </c>
      <c r="AS997" s="30">
        <f>(1+InflationRate)^(A997/12)</f>
        <v/>
      </c>
      <c r="AT997" s="29">
        <f>ExpenseAcq*M997+N997*ExpenseMaint/12*AS997</f>
        <v/>
      </c>
      <c r="AU997" s="29">
        <f>CommissionRate*AE997</f>
        <v/>
      </c>
      <c r="AV997" s="34">
        <f>AB998-AB997</f>
        <v/>
      </c>
      <c r="AW997" s="34">
        <f>AE997+AR997-AN997-AT997-AU997-AV997</f>
        <v/>
      </c>
      <c r="AX997" s="29">
        <f>LoadPremRate*E997*N997+AK997+AQ997-AU997-AT997</f>
        <v/>
      </c>
      <c r="AY997" s="34">
        <f>AP997-AO997</f>
        <v/>
      </c>
      <c r="AZ997" s="37">
        <f>(AW997-AX997-AY997)/MAX(1,ABS(AW997),ABS(AX997),ABS(AY997))</f>
        <v/>
      </c>
      <c r="BA997" s="37">
        <f>IF(OR(K997&gt;0,K998&gt;0),0,(AC998-(AC997+AF997-AQ997-AP997+AR997-AI997-AJ997-AM997))/MAX(1,ABS(AC997),ABS(AC998)))</f>
        <v/>
      </c>
      <c r="BB997" s="35">
        <f>(1+INDEX(DiscRateAnn,INT(A997/12)+1))^(1/12)-1</f>
        <v/>
      </c>
      <c r="BC997" s="31">
        <f>(1+BB997)^-A997</f>
        <v/>
      </c>
      <c r="BD997" s="34">
        <f>AW997*BC997</f>
        <v/>
      </c>
    </row>
    <row r="998">
      <c r="A998" s="27">
        <f>A997+1</f>
        <v/>
      </c>
      <c r="B998" s="28">
        <f>Duration0+A998</f>
        <v/>
      </c>
      <c r="C998" s="27">
        <f>INT(B998/12)</f>
        <v/>
      </c>
      <c r="D998" s="28">
        <f>AgeAtEntry+C998</f>
        <v/>
      </c>
      <c r="E998" s="29">
        <f>IF(PremiumType="SINGLE",IF(B998=0,PremiumPPInput,0),IF(B998&lt;12*PolicyTerm,PremiumPPInput,0))</f>
        <v/>
      </c>
      <c r="F998" s="30">
        <f>INDEX(MortRates,MATCH(MIN(D998,120),MortAges,0),MAX(MIN(C998,5),0)+1)</f>
        <v/>
      </c>
      <c r="G998" s="31">
        <f>1-(1-F998)^(1/12)</f>
        <v/>
      </c>
      <c r="H998" s="32">
        <f>MAX(LapseBase-LapseStep*C998,LapseFloor)</f>
        <v/>
      </c>
      <c r="I998" s="32">
        <f>IF(HasSurrCharge,INDEX(SurrRates,MIN(C998,SurrDurMax)+1,MATCH(SurrChargeID,SurrTypes,0)),0)</f>
        <v/>
      </c>
      <c r="J998" s="33">
        <f>N997-P997-O997</f>
        <v/>
      </c>
      <c r="K998" s="30">
        <f>IF(B998=12*PolicyTerm,J998,0)</f>
        <v/>
      </c>
      <c r="L998" s="33">
        <f>J998-K998</f>
        <v/>
      </c>
      <c r="M998" s="30">
        <f>IF(B998=0,PolicyCount,0)</f>
        <v/>
      </c>
      <c r="N998" s="33">
        <f>L998+M998</f>
        <v/>
      </c>
      <c r="O998" s="31">
        <f>N998*G998</f>
        <v/>
      </c>
      <c r="P998" s="33">
        <f>(N998-O998)*(1-(1-H998)^(1/12))</f>
        <v/>
      </c>
      <c r="Q998" s="34">
        <f>X997+Z997</f>
        <v/>
      </c>
      <c r="R998" s="29">
        <f>(1-LoadPremRate)*E998</f>
        <v/>
      </c>
      <c r="S998" s="34">
        <f>Q998+R998</f>
        <v/>
      </c>
      <c r="T998" s="29">
        <f>MaintFeeRateAnn/12*S998</f>
        <v/>
      </c>
      <c r="U998" s="29">
        <f>MAX(SumAssured-S998,0)</f>
        <v/>
      </c>
      <c r="V998" s="35">
        <f>CoiMultiple*G998</f>
        <v/>
      </c>
      <c r="W998" s="34">
        <f>V998*U998</f>
        <v/>
      </c>
      <c r="X998" s="34">
        <f>S998-T998-W998</f>
        <v/>
      </c>
      <c r="Y998" s="36">
        <f>EXP((Mu-0.5*Sigma^2)/12+Sigma*SQRT(1/12)*INDEX(NormRand,ScenID,A998+1))-1</f>
        <v/>
      </c>
      <c r="Z998" s="34">
        <f>Y998*X998</f>
        <v/>
      </c>
      <c r="AA998" s="34">
        <f>X998+0.5*Z998</f>
        <v/>
      </c>
      <c r="AB998" s="34">
        <f>Q998*J998</f>
        <v/>
      </c>
      <c r="AC998" s="34">
        <f>Q998*L998</f>
        <v/>
      </c>
      <c r="AD998" s="34">
        <f>S998*N998</f>
        <v/>
      </c>
      <c r="AE998" s="34">
        <f>E998*N998</f>
        <v/>
      </c>
      <c r="AF998" s="34">
        <f>R998*N998</f>
        <v/>
      </c>
      <c r="AG998" s="29">
        <f>MAX(SumAssured,AA998)</f>
        <v/>
      </c>
      <c r="AH998" s="34">
        <f>AG998*O998</f>
        <v/>
      </c>
      <c r="AI998" s="34">
        <f>AA998*O998</f>
        <v/>
      </c>
      <c r="AJ998" s="34">
        <f>AA998*P998</f>
        <v/>
      </c>
      <c r="AK998" s="34">
        <f>I998*AA998*P998</f>
        <v/>
      </c>
      <c r="AL998" s="34">
        <f>AJ998-AK998</f>
        <v/>
      </c>
      <c r="AM998" s="34">
        <f>Q998*K998</f>
        <v/>
      </c>
      <c r="AN998" s="34">
        <f>AH998+AL998+AM998</f>
        <v/>
      </c>
      <c r="AO998" s="34">
        <f>(AG998-AA998)*O998</f>
        <v/>
      </c>
      <c r="AP998" s="34">
        <f>W998*N998</f>
        <v/>
      </c>
      <c r="AQ998" s="34">
        <f>T998*N998</f>
        <v/>
      </c>
      <c r="AR998" s="34">
        <f>Z998*J999+0.5*Z998*(O998+P998)</f>
        <v/>
      </c>
      <c r="AS998" s="30">
        <f>(1+InflationRate)^(A998/12)</f>
        <v/>
      </c>
      <c r="AT998" s="29">
        <f>ExpenseAcq*M998+N998*ExpenseMaint/12*AS998</f>
        <v/>
      </c>
      <c r="AU998" s="29">
        <f>CommissionRate*AE998</f>
        <v/>
      </c>
      <c r="AV998" s="34">
        <f>AB999-AB998</f>
        <v/>
      </c>
      <c r="AW998" s="34">
        <f>AE998+AR998-AN998-AT998-AU998-AV998</f>
        <v/>
      </c>
      <c r="AX998" s="29">
        <f>LoadPremRate*E998*N998+AK998+AQ998-AU998-AT998</f>
        <v/>
      </c>
      <c r="AY998" s="34">
        <f>AP998-AO998</f>
        <v/>
      </c>
      <c r="AZ998" s="37">
        <f>(AW998-AX998-AY998)/MAX(1,ABS(AW998),ABS(AX998),ABS(AY998))</f>
        <v/>
      </c>
      <c r="BA998" s="37">
        <f>IF(OR(K998&gt;0,K999&gt;0),0,(AC999-(AC998+AF998-AQ998-AP998+AR998-AI998-AJ998-AM998))/MAX(1,ABS(AC998),ABS(AC999)))</f>
        <v/>
      </c>
      <c r="BB998" s="35">
        <f>(1+INDEX(DiscRateAnn,INT(A998/12)+1))^(1/12)-1</f>
        <v/>
      </c>
      <c r="BC998" s="31">
        <f>(1+BB998)^-A998</f>
        <v/>
      </c>
      <c r="BD998" s="34">
        <f>AW998*BC998</f>
        <v/>
      </c>
    </row>
    <row r="999">
      <c r="A999" s="27">
        <f>A998+1</f>
        <v/>
      </c>
      <c r="B999" s="28">
        <f>Duration0+A999</f>
        <v/>
      </c>
      <c r="C999" s="27">
        <f>INT(B999/12)</f>
        <v/>
      </c>
      <c r="D999" s="28">
        <f>AgeAtEntry+C999</f>
        <v/>
      </c>
      <c r="E999" s="29">
        <f>IF(PremiumType="SINGLE",IF(B999=0,PremiumPPInput,0),IF(B999&lt;12*PolicyTerm,PremiumPPInput,0))</f>
        <v/>
      </c>
      <c r="F999" s="30">
        <f>INDEX(MortRates,MATCH(MIN(D999,120),MortAges,0),MAX(MIN(C999,5),0)+1)</f>
        <v/>
      </c>
      <c r="G999" s="31">
        <f>1-(1-F999)^(1/12)</f>
        <v/>
      </c>
      <c r="H999" s="32">
        <f>MAX(LapseBase-LapseStep*C999,LapseFloor)</f>
        <v/>
      </c>
      <c r="I999" s="32">
        <f>IF(HasSurrCharge,INDEX(SurrRates,MIN(C999,SurrDurMax)+1,MATCH(SurrChargeID,SurrTypes,0)),0)</f>
        <v/>
      </c>
      <c r="J999" s="33">
        <f>N998-P998-O998</f>
        <v/>
      </c>
      <c r="K999" s="30">
        <f>IF(B999=12*PolicyTerm,J999,0)</f>
        <v/>
      </c>
      <c r="L999" s="33">
        <f>J999-K999</f>
        <v/>
      </c>
      <c r="M999" s="30">
        <f>IF(B999=0,PolicyCount,0)</f>
        <v/>
      </c>
      <c r="N999" s="33">
        <f>L999+M999</f>
        <v/>
      </c>
      <c r="O999" s="31">
        <f>N999*G999</f>
        <v/>
      </c>
      <c r="P999" s="33">
        <f>(N999-O999)*(1-(1-H999)^(1/12))</f>
        <v/>
      </c>
      <c r="Q999" s="34">
        <f>X998+Z998</f>
        <v/>
      </c>
      <c r="R999" s="29">
        <f>(1-LoadPremRate)*E999</f>
        <v/>
      </c>
      <c r="S999" s="34">
        <f>Q999+R999</f>
        <v/>
      </c>
      <c r="T999" s="29">
        <f>MaintFeeRateAnn/12*S999</f>
        <v/>
      </c>
      <c r="U999" s="29">
        <f>MAX(SumAssured-S999,0)</f>
        <v/>
      </c>
      <c r="V999" s="35">
        <f>CoiMultiple*G999</f>
        <v/>
      </c>
      <c r="W999" s="34">
        <f>V999*U999</f>
        <v/>
      </c>
      <c r="X999" s="34">
        <f>S999-T999-W999</f>
        <v/>
      </c>
      <c r="Y999" s="36">
        <f>EXP((Mu-0.5*Sigma^2)/12+Sigma*SQRT(1/12)*INDEX(NormRand,ScenID,A999+1))-1</f>
        <v/>
      </c>
      <c r="Z999" s="34">
        <f>Y999*X999</f>
        <v/>
      </c>
      <c r="AA999" s="34">
        <f>X999+0.5*Z999</f>
        <v/>
      </c>
      <c r="AB999" s="34">
        <f>Q999*J999</f>
        <v/>
      </c>
      <c r="AC999" s="34">
        <f>Q999*L999</f>
        <v/>
      </c>
      <c r="AD999" s="34">
        <f>S999*N999</f>
        <v/>
      </c>
      <c r="AE999" s="34">
        <f>E999*N999</f>
        <v/>
      </c>
      <c r="AF999" s="34">
        <f>R999*N999</f>
        <v/>
      </c>
      <c r="AG999" s="29">
        <f>MAX(SumAssured,AA999)</f>
        <v/>
      </c>
      <c r="AH999" s="34">
        <f>AG999*O999</f>
        <v/>
      </c>
      <c r="AI999" s="34">
        <f>AA999*O999</f>
        <v/>
      </c>
      <c r="AJ999" s="34">
        <f>AA999*P999</f>
        <v/>
      </c>
      <c r="AK999" s="34">
        <f>I999*AA999*P999</f>
        <v/>
      </c>
      <c r="AL999" s="34">
        <f>AJ999-AK999</f>
        <v/>
      </c>
      <c r="AM999" s="34">
        <f>Q999*K999</f>
        <v/>
      </c>
      <c r="AN999" s="34">
        <f>AH999+AL999+AM999</f>
        <v/>
      </c>
      <c r="AO999" s="34">
        <f>(AG999-AA999)*O999</f>
        <v/>
      </c>
      <c r="AP999" s="34">
        <f>W999*N999</f>
        <v/>
      </c>
      <c r="AQ999" s="34">
        <f>T999*N999</f>
        <v/>
      </c>
      <c r="AR999" s="34">
        <f>Z999*J1000+0.5*Z999*(O999+P999)</f>
        <v/>
      </c>
      <c r="AS999" s="30">
        <f>(1+InflationRate)^(A999/12)</f>
        <v/>
      </c>
      <c r="AT999" s="29">
        <f>ExpenseAcq*M999+N999*ExpenseMaint/12*AS999</f>
        <v/>
      </c>
      <c r="AU999" s="29">
        <f>CommissionRate*AE999</f>
        <v/>
      </c>
      <c r="AV999" s="34">
        <f>AB1000-AB999</f>
        <v/>
      </c>
      <c r="AW999" s="34">
        <f>AE999+AR999-AN999-AT999-AU999-AV999</f>
        <v/>
      </c>
      <c r="AX999" s="29">
        <f>LoadPremRate*E999*N999+AK999+AQ999-AU999-AT999</f>
        <v/>
      </c>
      <c r="AY999" s="34">
        <f>AP999-AO999</f>
        <v/>
      </c>
      <c r="AZ999" s="37">
        <f>(AW999-AX999-AY999)/MAX(1,ABS(AW999),ABS(AX999),ABS(AY999))</f>
        <v/>
      </c>
      <c r="BA999" s="37">
        <f>IF(OR(K999&gt;0,K1000&gt;0),0,(AC1000-(AC999+AF999-AQ999-AP999+AR999-AI999-AJ999-AM999))/MAX(1,ABS(AC999),ABS(AC1000)))</f>
        <v/>
      </c>
      <c r="BB999" s="35">
        <f>(1+INDEX(DiscRateAnn,INT(A999/12)+1))^(1/12)-1</f>
        <v/>
      </c>
      <c r="BC999" s="31">
        <f>(1+BB999)^-A999</f>
        <v/>
      </c>
      <c r="BD999" s="34">
        <f>AW999*BC999</f>
        <v/>
      </c>
    </row>
    <row r="1000">
      <c r="A1000" s="27">
        <f>A999+1</f>
        <v/>
      </c>
      <c r="B1000" s="28">
        <f>Duration0+A1000</f>
        <v/>
      </c>
      <c r="C1000" s="27">
        <f>INT(B1000/12)</f>
        <v/>
      </c>
      <c r="D1000" s="28">
        <f>AgeAtEntry+C1000</f>
        <v/>
      </c>
      <c r="E1000" s="29">
        <f>IF(PremiumType="SINGLE",IF(B1000=0,PremiumPPInput,0),IF(B1000&lt;12*PolicyTerm,PremiumPPInput,0))</f>
        <v/>
      </c>
      <c r="F1000" s="30">
        <f>INDEX(MortRates,MATCH(MIN(D1000,120),MortAges,0),MAX(MIN(C1000,5),0)+1)</f>
        <v/>
      </c>
      <c r="G1000" s="31">
        <f>1-(1-F1000)^(1/12)</f>
        <v/>
      </c>
      <c r="H1000" s="32">
        <f>MAX(LapseBase-LapseStep*C1000,LapseFloor)</f>
        <v/>
      </c>
      <c r="I1000" s="32">
        <f>IF(HasSurrCharge,INDEX(SurrRates,MIN(C1000,SurrDurMax)+1,MATCH(SurrChargeID,SurrTypes,0)),0)</f>
        <v/>
      </c>
      <c r="J1000" s="33">
        <f>N999-P999-O999</f>
        <v/>
      </c>
      <c r="K1000" s="30">
        <f>IF(B1000=12*PolicyTerm,J1000,0)</f>
        <v/>
      </c>
      <c r="L1000" s="33">
        <f>J1000-K1000</f>
        <v/>
      </c>
      <c r="M1000" s="30">
        <f>IF(B1000=0,PolicyCount,0)</f>
        <v/>
      </c>
      <c r="N1000" s="33">
        <f>L1000+M1000</f>
        <v/>
      </c>
      <c r="O1000" s="31">
        <f>N1000*G1000</f>
        <v/>
      </c>
      <c r="P1000" s="33">
        <f>(N1000-O1000)*(1-(1-H1000)^(1/12))</f>
        <v/>
      </c>
      <c r="Q1000" s="34">
        <f>X999+Z999</f>
        <v/>
      </c>
      <c r="R1000" s="29">
        <f>(1-LoadPremRate)*E1000</f>
        <v/>
      </c>
      <c r="S1000" s="34">
        <f>Q1000+R1000</f>
        <v/>
      </c>
      <c r="T1000" s="29">
        <f>MaintFeeRateAnn/12*S1000</f>
        <v/>
      </c>
      <c r="U1000" s="29">
        <f>MAX(SumAssured-S1000,0)</f>
        <v/>
      </c>
      <c r="V1000" s="35">
        <f>CoiMultiple*G1000</f>
        <v/>
      </c>
      <c r="W1000" s="34">
        <f>V1000*U1000</f>
        <v/>
      </c>
      <c r="X1000" s="34">
        <f>S1000-T1000-W1000</f>
        <v/>
      </c>
      <c r="Y1000" s="36">
        <f>EXP((Mu-0.5*Sigma^2)/12+Sigma*SQRT(1/12)*INDEX(NormRand,ScenID,A1000+1))-1</f>
        <v/>
      </c>
      <c r="Z1000" s="34">
        <f>Y1000*X1000</f>
        <v/>
      </c>
      <c r="AA1000" s="34">
        <f>X1000+0.5*Z1000</f>
        <v/>
      </c>
      <c r="AB1000" s="34">
        <f>Q1000*J1000</f>
        <v/>
      </c>
      <c r="AC1000" s="34">
        <f>Q1000*L1000</f>
        <v/>
      </c>
      <c r="AD1000" s="34">
        <f>S1000*N1000</f>
        <v/>
      </c>
      <c r="AE1000" s="34">
        <f>E1000*N1000</f>
        <v/>
      </c>
      <c r="AF1000" s="34">
        <f>R1000*N1000</f>
        <v/>
      </c>
      <c r="AG1000" s="29">
        <f>MAX(SumAssured,AA1000)</f>
        <v/>
      </c>
      <c r="AH1000" s="34">
        <f>AG1000*O1000</f>
        <v/>
      </c>
      <c r="AI1000" s="34">
        <f>AA1000*O1000</f>
        <v/>
      </c>
      <c r="AJ1000" s="34">
        <f>AA1000*P1000</f>
        <v/>
      </c>
      <c r="AK1000" s="34">
        <f>I1000*AA1000*P1000</f>
        <v/>
      </c>
      <c r="AL1000" s="34">
        <f>AJ1000-AK1000</f>
        <v/>
      </c>
      <c r="AM1000" s="34">
        <f>Q1000*K1000</f>
        <v/>
      </c>
      <c r="AN1000" s="34">
        <f>AH1000+AL1000+AM1000</f>
        <v/>
      </c>
      <c r="AO1000" s="34">
        <f>(AG1000-AA1000)*O1000</f>
        <v/>
      </c>
      <c r="AP1000" s="34">
        <f>W1000*N1000</f>
        <v/>
      </c>
      <c r="AQ1000" s="34">
        <f>T1000*N1000</f>
        <v/>
      </c>
      <c r="AR1000" s="34">
        <f>Z1000*J1001+0.5*Z1000*(O1000+P1000)</f>
        <v/>
      </c>
      <c r="AS1000" s="30">
        <f>(1+InflationRate)^(A1000/12)</f>
        <v/>
      </c>
      <c r="AT1000" s="29">
        <f>ExpenseAcq*M1000+N1000*ExpenseMaint/12*AS1000</f>
        <v/>
      </c>
      <c r="AU1000" s="29">
        <f>CommissionRate*AE1000</f>
        <v/>
      </c>
      <c r="AV1000" s="34">
        <f>AB1001-AB1000</f>
        <v/>
      </c>
      <c r="AW1000" s="34">
        <f>AE1000+AR1000-AN1000-AT1000-AU1000-AV1000</f>
        <v/>
      </c>
      <c r="AX1000" s="29">
        <f>LoadPremRate*E1000*N1000+AK1000+AQ1000-AU1000-AT1000</f>
        <v/>
      </c>
      <c r="AY1000" s="34">
        <f>AP1000-AO1000</f>
        <v/>
      </c>
      <c r="AZ1000" s="37">
        <f>(AW1000-AX1000-AY1000)/MAX(1,ABS(AW1000),ABS(AX1000),ABS(AY1000))</f>
        <v/>
      </c>
      <c r="BA1000" s="37">
        <f>IF(OR(K1000&gt;0,K1001&gt;0),0,(AC1001-(AC1000+AF1000-AQ1000-AP1000+AR1000-AI1000-AJ1000-AM1000))/MAX(1,ABS(AC1000),ABS(AC1001)))</f>
        <v/>
      </c>
      <c r="BB1000" s="35">
        <f>(1+INDEX(DiscRateAnn,INT(A1000/12)+1))^(1/12)-1</f>
        <v/>
      </c>
      <c r="BC1000" s="31">
        <f>(1+BB1000)^-A1000</f>
        <v/>
      </c>
      <c r="BD1000" s="34">
        <f>AW1000*BC1000</f>
        <v/>
      </c>
    </row>
    <row r="1001">
      <c r="A1001" s="27">
        <f>A1000+1</f>
        <v/>
      </c>
      <c r="B1001" s="28">
        <f>Duration0+A1001</f>
        <v/>
      </c>
      <c r="C1001" s="27">
        <f>INT(B1001/12)</f>
        <v/>
      </c>
      <c r="D1001" s="28">
        <f>AgeAtEntry+C1001</f>
        <v/>
      </c>
      <c r="E1001" s="29">
        <f>IF(PremiumType="SINGLE",IF(B1001=0,PremiumPPInput,0),IF(B1001&lt;12*PolicyTerm,PremiumPPInput,0))</f>
        <v/>
      </c>
      <c r="F1001" s="30">
        <f>INDEX(MortRates,MATCH(MIN(D1001,120),MortAges,0),MAX(MIN(C1001,5),0)+1)</f>
        <v/>
      </c>
      <c r="G1001" s="31">
        <f>1-(1-F1001)^(1/12)</f>
        <v/>
      </c>
      <c r="H1001" s="32">
        <f>MAX(LapseBase-LapseStep*C1001,LapseFloor)</f>
        <v/>
      </c>
      <c r="I1001" s="32">
        <f>IF(HasSurrCharge,INDEX(SurrRates,MIN(C1001,SurrDurMax)+1,MATCH(SurrChargeID,SurrTypes,0)),0)</f>
        <v/>
      </c>
      <c r="J1001" s="33">
        <f>N1000-P1000-O1000</f>
        <v/>
      </c>
      <c r="K1001" s="30">
        <f>IF(B1001=12*PolicyTerm,J1001,0)</f>
        <v/>
      </c>
      <c r="L1001" s="33">
        <f>J1001-K1001</f>
        <v/>
      </c>
      <c r="M1001" s="30">
        <f>IF(B1001=0,PolicyCount,0)</f>
        <v/>
      </c>
      <c r="N1001" s="33">
        <f>L1001+M1001</f>
        <v/>
      </c>
      <c r="O1001" s="31">
        <f>N1001*G1001</f>
        <v/>
      </c>
      <c r="P1001" s="33">
        <f>(N1001-O1001)*(1-(1-H1001)^(1/12))</f>
        <v/>
      </c>
      <c r="Q1001" s="34">
        <f>X1000+Z1000</f>
        <v/>
      </c>
      <c r="R1001" s="29">
        <f>(1-LoadPremRate)*E1001</f>
        <v/>
      </c>
      <c r="S1001" s="34">
        <f>Q1001+R1001</f>
        <v/>
      </c>
      <c r="T1001" s="29">
        <f>MaintFeeRateAnn/12*S1001</f>
        <v/>
      </c>
      <c r="U1001" s="29">
        <f>MAX(SumAssured-S1001,0)</f>
        <v/>
      </c>
      <c r="V1001" s="35">
        <f>CoiMultiple*G1001</f>
        <v/>
      </c>
      <c r="W1001" s="34">
        <f>V1001*U1001</f>
        <v/>
      </c>
      <c r="X1001" s="34">
        <f>S1001-T1001-W1001</f>
        <v/>
      </c>
      <c r="Y1001" s="36">
        <f>EXP((Mu-0.5*Sigma^2)/12+Sigma*SQRT(1/12)*INDEX(NormRand,ScenID,A1001+1))-1</f>
        <v/>
      </c>
      <c r="Z1001" s="34">
        <f>Y1001*X1001</f>
        <v/>
      </c>
      <c r="AA1001" s="34">
        <f>X1001+0.5*Z1001</f>
        <v/>
      </c>
      <c r="AB1001" s="34">
        <f>Q1001*J1001</f>
        <v/>
      </c>
      <c r="AC1001" s="34">
        <f>Q1001*L1001</f>
        <v/>
      </c>
      <c r="AD1001" s="34">
        <f>S1001*N1001</f>
        <v/>
      </c>
      <c r="AE1001" s="34">
        <f>E1001*N1001</f>
        <v/>
      </c>
      <c r="AF1001" s="34">
        <f>R1001*N1001</f>
        <v/>
      </c>
      <c r="AG1001" s="29">
        <f>MAX(SumAssured,AA1001)</f>
        <v/>
      </c>
      <c r="AH1001" s="34">
        <f>AG1001*O1001</f>
        <v/>
      </c>
      <c r="AI1001" s="34">
        <f>AA1001*O1001</f>
        <v/>
      </c>
      <c r="AJ1001" s="34">
        <f>AA1001*P1001</f>
        <v/>
      </c>
      <c r="AK1001" s="34">
        <f>I1001*AA1001*P1001</f>
        <v/>
      </c>
      <c r="AL1001" s="34">
        <f>AJ1001-AK1001</f>
        <v/>
      </c>
      <c r="AM1001" s="34">
        <f>Q1001*K1001</f>
        <v/>
      </c>
      <c r="AN1001" s="34">
        <f>AH1001+AL1001+AM1001</f>
        <v/>
      </c>
      <c r="AO1001" s="34">
        <f>(AG1001-AA1001)*O1001</f>
        <v/>
      </c>
      <c r="AP1001" s="34">
        <f>W1001*N1001</f>
        <v/>
      </c>
      <c r="AQ1001" s="34">
        <f>T1001*N1001</f>
        <v/>
      </c>
      <c r="AR1001" s="34">
        <f>Z1001*J1002+0.5*Z1001*(O1001+P1001)</f>
        <v/>
      </c>
      <c r="AS1001" s="30">
        <f>(1+InflationRate)^(A1001/12)</f>
        <v/>
      </c>
      <c r="AT1001" s="29">
        <f>ExpenseAcq*M1001+N1001*ExpenseMaint/12*AS1001</f>
        <v/>
      </c>
      <c r="AU1001" s="29">
        <f>CommissionRate*AE1001</f>
        <v/>
      </c>
      <c r="AV1001" s="34">
        <f>AB1002-AB1001</f>
        <v/>
      </c>
      <c r="AW1001" s="34">
        <f>AE1001+AR1001-AN1001-AT1001-AU1001-AV1001</f>
        <v/>
      </c>
      <c r="AX1001" s="29">
        <f>LoadPremRate*E1001*N1001+AK1001+AQ1001-AU1001-AT1001</f>
        <v/>
      </c>
      <c r="AY1001" s="34">
        <f>AP1001-AO1001</f>
        <v/>
      </c>
      <c r="AZ1001" s="37">
        <f>(AW1001-AX1001-AY1001)/MAX(1,ABS(AW1001),ABS(AX1001),ABS(AY1001))</f>
        <v/>
      </c>
      <c r="BA1001" s="37">
        <f>IF(OR(K1001&gt;0,K1002&gt;0),0,(AC1002-(AC1001+AF1001-AQ1001-AP1001+AR1001-AI1001-AJ1001-AM1001))/MAX(1,ABS(AC1001),ABS(AC1002)))</f>
        <v/>
      </c>
      <c r="BB1001" s="35">
        <f>(1+INDEX(DiscRateAnn,INT(A1001/12)+1))^(1/12)-1</f>
        <v/>
      </c>
      <c r="BC1001" s="31">
        <f>(1+BB1001)^-A1001</f>
        <v/>
      </c>
      <c r="BD1001" s="34">
        <f>AW1001*BC1001</f>
        <v/>
      </c>
    </row>
    <row r="1002">
      <c r="A1002" s="27">
        <f>A1001+1</f>
        <v/>
      </c>
      <c r="B1002" s="28">
        <f>Duration0+A1002</f>
        <v/>
      </c>
      <c r="C1002" s="27">
        <f>INT(B1002/12)</f>
        <v/>
      </c>
      <c r="D1002" s="28">
        <f>AgeAtEntry+C1002</f>
        <v/>
      </c>
      <c r="E1002" s="29">
        <f>IF(PremiumType="SINGLE",IF(B1002=0,PremiumPPInput,0),IF(B1002&lt;12*PolicyTerm,PremiumPPInput,0))</f>
        <v/>
      </c>
      <c r="F1002" s="30">
        <f>INDEX(MortRates,MATCH(MIN(D1002,120),MortAges,0),MAX(MIN(C1002,5),0)+1)</f>
        <v/>
      </c>
      <c r="G1002" s="31">
        <f>1-(1-F1002)^(1/12)</f>
        <v/>
      </c>
      <c r="H1002" s="32">
        <f>MAX(LapseBase-LapseStep*C1002,LapseFloor)</f>
        <v/>
      </c>
      <c r="I1002" s="32">
        <f>IF(HasSurrCharge,INDEX(SurrRates,MIN(C1002,SurrDurMax)+1,MATCH(SurrChargeID,SurrTypes,0)),0)</f>
        <v/>
      </c>
      <c r="J1002" s="33">
        <f>N1001-P1001-O1001</f>
        <v/>
      </c>
      <c r="K1002" s="30">
        <f>IF(B1002=12*PolicyTerm,J1002,0)</f>
        <v/>
      </c>
      <c r="L1002" s="33">
        <f>J1002-K1002</f>
        <v/>
      </c>
      <c r="M1002" s="30">
        <f>IF(B1002=0,PolicyCount,0)</f>
        <v/>
      </c>
      <c r="N1002" s="33">
        <f>L1002+M1002</f>
        <v/>
      </c>
      <c r="O1002" s="31">
        <f>N1002*G1002</f>
        <v/>
      </c>
      <c r="P1002" s="33">
        <f>(N1002-O1002)*(1-(1-H1002)^(1/12))</f>
        <v/>
      </c>
      <c r="Q1002" s="34">
        <f>X1001+Z1001</f>
        <v/>
      </c>
      <c r="R1002" s="29">
        <f>(1-LoadPremRate)*E1002</f>
        <v/>
      </c>
      <c r="S1002" s="34">
        <f>Q1002+R1002</f>
        <v/>
      </c>
      <c r="T1002" s="29">
        <f>MaintFeeRateAnn/12*S1002</f>
        <v/>
      </c>
      <c r="U1002" s="29">
        <f>MAX(SumAssured-S1002,0)</f>
        <v/>
      </c>
      <c r="V1002" s="35">
        <f>CoiMultiple*G1002</f>
        <v/>
      </c>
      <c r="W1002" s="34">
        <f>V1002*U1002</f>
        <v/>
      </c>
      <c r="X1002" s="34">
        <f>S1002-T1002-W1002</f>
        <v/>
      </c>
      <c r="Y1002" s="36">
        <f>EXP((Mu-0.5*Sigma^2)/12+Sigma*SQRT(1/12)*INDEX(NormRand,ScenID,A1002+1))-1</f>
        <v/>
      </c>
      <c r="Z1002" s="34">
        <f>Y1002*X1002</f>
        <v/>
      </c>
      <c r="AA1002" s="34">
        <f>X1002+0.5*Z1002</f>
        <v/>
      </c>
      <c r="AB1002" s="34">
        <f>Q1002*J1002</f>
        <v/>
      </c>
      <c r="AC1002" s="34">
        <f>Q1002*L1002</f>
        <v/>
      </c>
      <c r="AD1002" s="34">
        <f>S1002*N1002</f>
        <v/>
      </c>
      <c r="AE1002" s="34">
        <f>E1002*N1002</f>
        <v/>
      </c>
      <c r="AF1002" s="34">
        <f>R1002*N1002</f>
        <v/>
      </c>
      <c r="AG1002" s="29">
        <f>MAX(SumAssured,AA1002)</f>
        <v/>
      </c>
      <c r="AH1002" s="34">
        <f>AG1002*O1002</f>
        <v/>
      </c>
      <c r="AI1002" s="34">
        <f>AA1002*O1002</f>
        <v/>
      </c>
      <c r="AJ1002" s="34">
        <f>AA1002*P1002</f>
        <v/>
      </c>
      <c r="AK1002" s="34">
        <f>I1002*AA1002*P1002</f>
        <v/>
      </c>
      <c r="AL1002" s="34">
        <f>AJ1002-AK1002</f>
        <v/>
      </c>
      <c r="AM1002" s="34">
        <f>Q1002*K1002</f>
        <v/>
      </c>
      <c r="AN1002" s="34">
        <f>AH1002+AL1002+AM1002</f>
        <v/>
      </c>
      <c r="AO1002" s="34">
        <f>(AG1002-AA1002)*O1002</f>
        <v/>
      </c>
      <c r="AP1002" s="34">
        <f>W1002*N1002</f>
        <v/>
      </c>
      <c r="AQ1002" s="34">
        <f>T1002*N1002</f>
        <v/>
      </c>
      <c r="AR1002" s="34">
        <f>Z1002*J1003+0.5*Z1002*(O1002+P1002)</f>
        <v/>
      </c>
      <c r="AS1002" s="30">
        <f>(1+InflationRate)^(A1002/12)</f>
        <v/>
      </c>
      <c r="AT1002" s="29">
        <f>ExpenseAcq*M1002+N1002*ExpenseMaint/12*AS1002</f>
        <v/>
      </c>
      <c r="AU1002" s="29">
        <f>CommissionRate*AE1002</f>
        <v/>
      </c>
      <c r="AV1002" s="34">
        <f>AB1003-AB1002</f>
        <v/>
      </c>
      <c r="AW1002" s="34">
        <f>AE1002+AR1002-AN1002-AT1002-AU1002-AV1002</f>
        <v/>
      </c>
      <c r="AX1002" s="29">
        <f>LoadPremRate*E1002*N1002+AK1002+AQ1002-AU1002-AT1002</f>
        <v/>
      </c>
      <c r="AY1002" s="34">
        <f>AP1002-AO1002</f>
        <v/>
      </c>
      <c r="AZ1002" s="37">
        <f>(AW1002-AX1002-AY1002)/MAX(1,ABS(AW1002),ABS(AX1002),ABS(AY1002))</f>
        <v/>
      </c>
      <c r="BA1002" s="37">
        <f>IF(OR(K1002&gt;0,K1003&gt;0),0,(AC1003-(AC1002+AF1002-AQ1002-AP1002+AR1002-AI1002-AJ1002-AM1002))/MAX(1,ABS(AC1002),ABS(AC1003)))</f>
        <v/>
      </c>
      <c r="BB1002" s="35">
        <f>(1+INDEX(DiscRateAnn,INT(A1002/12)+1))^(1/12)-1</f>
        <v/>
      </c>
      <c r="BC1002" s="31">
        <f>(1+BB1002)^-A1002</f>
        <v/>
      </c>
      <c r="BD1002" s="34">
        <f>AW1002*BC1002</f>
        <v/>
      </c>
    </row>
    <row r="1003">
      <c r="A1003" s="27">
        <f>A1002+1</f>
        <v/>
      </c>
      <c r="B1003" s="28">
        <f>Duration0+A1003</f>
        <v/>
      </c>
      <c r="C1003" s="27">
        <f>INT(B1003/12)</f>
        <v/>
      </c>
      <c r="D1003" s="28">
        <f>AgeAtEntry+C1003</f>
        <v/>
      </c>
      <c r="E1003" s="29">
        <f>IF(PremiumType="SINGLE",IF(B1003=0,PremiumPPInput,0),IF(B1003&lt;12*PolicyTerm,PremiumPPInput,0))</f>
        <v/>
      </c>
      <c r="F1003" s="30">
        <f>INDEX(MortRates,MATCH(MIN(D1003,120),MortAges,0),MAX(MIN(C1003,5),0)+1)</f>
        <v/>
      </c>
      <c r="G1003" s="31">
        <f>1-(1-F1003)^(1/12)</f>
        <v/>
      </c>
      <c r="H1003" s="32">
        <f>MAX(LapseBase-LapseStep*C1003,LapseFloor)</f>
        <v/>
      </c>
      <c r="I1003" s="32">
        <f>IF(HasSurrCharge,INDEX(SurrRates,MIN(C1003,SurrDurMax)+1,MATCH(SurrChargeID,SurrTypes,0)),0)</f>
        <v/>
      </c>
      <c r="J1003" s="33">
        <f>N1002-P1002-O1002</f>
        <v/>
      </c>
      <c r="K1003" s="30">
        <f>IF(B1003=12*PolicyTerm,J1003,0)</f>
        <v/>
      </c>
      <c r="L1003" s="33">
        <f>J1003-K1003</f>
        <v/>
      </c>
      <c r="M1003" s="30">
        <f>IF(B1003=0,PolicyCount,0)</f>
        <v/>
      </c>
      <c r="N1003" s="33">
        <f>L1003+M1003</f>
        <v/>
      </c>
      <c r="O1003" s="31">
        <f>N1003*G1003</f>
        <v/>
      </c>
      <c r="P1003" s="33">
        <f>(N1003-O1003)*(1-(1-H1003)^(1/12))</f>
        <v/>
      </c>
      <c r="Q1003" s="34">
        <f>X1002+Z1002</f>
        <v/>
      </c>
      <c r="R1003" s="29">
        <f>(1-LoadPremRate)*E1003</f>
        <v/>
      </c>
      <c r="S1003" s="34">
        <f>Q1003+R1003</f>
        <v/>
      </c>
      <c r="T1003" s="29">
        <f>MaintFeeRateAnn/12*S1003</f>
        <v/>
      </c>
      <c r="U1003" s="29">
        <f>MAX(SumAssured-S1003,0)</f>
        <v/>
      </c>
      <c r="V1003" s="35">
        <f>CoiMultiple*G1003</f>
        <v/>
      </c>
      <c r="W1003" s="34">
        <f>V1003*U1003</f>
        <v/>
      </c>
      <c r="X1003" s="34">
        <f>S1003-T1003-W1003</f>
        <v/>
      </c>
      <c r="Y1003" s="36">
        <f>EXP((Mu-0.5*Sigma^2)/12+Sigma*SQRT(1/12)*INDEX(NormRand,ScenID,A1003+1))-1</f>
        <v/>
      </c>
      <c r="Z1003" s="34">
        <f>Y1003*X1003</f>
        <v/>
      </c>
      <c r="AA1003" s="34">
        <f>X1003+0.5*Z1003</f>
        <v/>
      </c>
      <c r="AB1003" s="34">
        <f>Q1003*J1003</f>
        <v/>
      </c>
      <c r="AC1003" s="34">
        <f>Q1003*L1003</f>
        <v/>
      </c>
      <c r="AD1003" s="34">
        <f>S1003*N1003</f>
        <v/>
      </c>
      <c r="AE1003" s="34">
        <f>E1003*N1003</f>
        <v/>
      </c>
      <c r="AF1003" s="34">
        <f>R1003*N1003</f>
        <v/>
      </c>
      <c r="AG1003" s="29">
        <f>MAX(SumAssured,AA1003)</f>
        <v/>
      </c>
      <c r="AH1003" s="34">
        <f>AG1003*O1003</f>
        <v/>
      </c>
      <c r="AI1003" s="34">
        <f>AA1003*O1003</f>
        <v/>
      </c>
      <c r="AJ1003" s="34">
        <f>AA1003*P1003</f>
        <v/>
      </c>
      <c r="AK1003" s="34">
        <f>I1003*AA1003*P1003</f>
        <v/>
      </c>
      <c r="AL1003" s="34">
        <f>AJ1003-AK1003</f>
        <v/>
      </c>
      <c r="AM1003" s="34">
        <f>Q1003*K1003</f>
        <v/>
      </c>
      <c r="AN1003" s="34">
        <f>AH1003+AL1003+AM1003</f>
        <v/>
      </c>
      <c r="AO1003" s="34">
        <f>(AG1003-AA1003)*O1003</f>
        <v/>
      </c>
      <c r="AP1003" s="34">
        <f>W1003*N1003</f>
        <v/>
      </c>
      <c r="AQ1003" s="34">
        <f>T1003*N1003</f>
        <v/>
      </c>
      <c r="AR1003" s="34">
        <f>Z1003*J1004+0.5*Z1003*(O1003+P1003)</f>
        <v/>
      </c>
      <c r="AS1003" s="30">
        <f>(1+InflationRate)^(A1003/12)</f>
        <v/>
      </c>
      <c r="AT1003" s="29">
        <f>ExpenseAcq*M1003+N1003*ExpenseMaint/12*AS1003</f>
        <v/>
      </c>
      <c r="AU1003" s="29">
        <f>CommissionRate*AE1003</f>
        <v/>
      </c>
      <c r="AV1003" s="34">
        <f>AB1004-AB1003</f>
        <v/>
      </c>
      <c r="AW1003" s="34">
        <f>AE1003+AR1003-AN1003-AT1003-AU1003-AV1003</f>
        <v/>
      </c>
      <c r="AX1003" s="29">
        <f>LoadPremRate*E1003*N1003+AK1003+AQ1003-AU1003-AT1003</f>
        <v/>
      </c>
      <c r="AY1003" s="34">
        <f>AP1003-AO1003</f>
        <v/>
      </c>
      <c r="AZ1003" s="37">
        <f>(AW1003-AX1003-AY1003)/MAX(1,ABS(AW1003),ABS(AX1003),ABS(AY1003))</f>
        <v/>
      </c>
      <c r="BA1003" s="37">
        <f>IF(OR(K1003&gt;0,K1004&gt;0),0,(AC1004-(AC1003+AF1003-AQ1003-AP1003+AR1003-AI1003-AJ1003-AM1003))/MAX(1,ABS(AC1003),ABS(AC1004)))</f>
        <v/>
      </c>
      <c r="BB1003" s="35">
        <f>(1+INDEX(DiscRateAnn,INT(A1003/12)+1))^(1/12)-1</f>
        <v/>
      </c>
      <c r="BC1003" s="31">
        <f>(1+BB1003)^-A1003</f>
        <v/>
      </c>
      <c r="BD1003" s="34">
        <f>AW1003*BC1003</f>
        <v/>
      </c>
    </row>
    <row r="1004">
      <c r="A1004" s="27">
        <f>A1003+1</f>
        <v/>
      </c>
      <c r="B1004" s="28">
        <f>Duration0+A1004</f>
        <v/>
      </c>
      <c r="C1004" s="27">
        <f>INT(B1004/12)</f>
        <v/>
      </c>
      <c r="D1004" s="28">
        <f>AgeAtEntry+C1004</f>
        <v/>
      </c>
      <c r="E1004" s="29">
        <f>IF(PremiumType="SINGLE",IF(B1004=0,PremiumPPInput,0),IF(B1004&lt;12*PolicyTerm,PremiumPPInput,0))</f>
        <v/>
      </c>
      <c r="F1004" s="30">
        <f>INDEX(MortRates,MATCH(MIN(D1004,120),MortAges,0),MAX(MIN(C1004,5),0)+1)</f>
        <v/>
      </c>
      <c r="G1004" s="31">
        <f>1-(1-F1004)^(1/12)</f>
        <v/>
      </c>
      <c r="H1004" s="32">
        <f>MAX(LapseBase-LapseStep*C1004,LapseFloor)</f>
        <v/>
      </c>
      <c r="I1004" s="32">
        <f>IF(HasSurrCharge,INDEX(SurrRates,MIN(C1004,SurrDurMax)+1,MATCH(SurrChargeID,SurrTypes,0)),0)</f>
        <v/>
      </c>
      <c r="J1004" s="33">
        <f>N1003-P1003-O1003</f>
        <v/>
      </c>
      <c r="K1004" s="30">
        <f>IF(B1004=12*PolicyTerm,J1004,0)</f>
        <v/>
      </c>
      <c r="L1004" s="33">
        <f>J1004-K1004</f>
        <v/>
      </c>
      <c r="M1004" s="30">
        <f>IF(B1004=0,PolicyCount,0)</f>
        <v/>
      </c>
      <c r="N1004" s="33">
        <f>L1004+M1004</f>
        <v/>
      </c>
      <c r="O1004" s="31">
        <f>N1004*G1004</f>
        <v/>
      </c>
      <c r="P1004" s="33">
        <f>(N1004-O1004)*(1-(1-H1004)^(1/12))</f>
        <v/>
      </c>
      <c r="Q1004" s="34">
        <f>X1003+Z1003</f>
        <v/>
      </c>
      <c r="R1004" s="29">
        <f>(1-LoadPremRate)*E1004</f>
        <v/>
      </c>
      <c r="S1004" s="34">
        <f>Q1004+R1004</f>
        <v/>
      </c>
      <c r="T1004" s="29">
        <f>MaintFeeRateAnn/12*S1004</f>
        <v/>
      </c>
      <c r="U1004" s="29">
        <f>MAX(SumAssured-S1004,0)</f>
        <v/>
      </c>
      <c r="V1004" s="35">
        <f>CoiMultiple*G1004</f>
        <v/>
      </c>
      <c r="W1004" s="34">
        <f>V1004*U1004</f>
        <v/>
      </c>
      <c r="X1004" s="34">
        <f>S1004-T1004-W1004</f>
        <v/>
      </c>
      <c r="Y1004" s="36">
        <f>EXP((Mu-0.5*Sigma^2)/12+Sigma*SQRT(1/12)*INDEX(NormRand,ScenID,A1004+1))-1</f>
        <v/>
      </c>
      <c r="Z1004" s="34">
        <f>Y1004*X1004</f>
        <v/>
      </c>
      <c r="AA1004" s="34">
        <f>X1004+0.5*Z1004</f>
        <v/>
      </c>
      <c r="AB1004" s="34">
        <f>Q1004*J1004</f>
        <v/>
      </c>
      <c r="AC1004" s="34">
        <f>Q1004*L1004</f>
        <v/>
      </c>
      <c r="AD1004" s="34">
        <f>S1004*N1004</f>
        <v/>
      </c>
      <c r="AE1004" s="34">
        <f>E1004*N1004</f>
        <v/>
      </c>
      <c r="AF1004" s="34">
        <f>R1004*N1004</f>
        <v/>
      </c>
      <c r="AG1004" s="29">
        <f>MAX(SumAssured,AA1004)</f>
        <v/>
      </c>
      <c r="AH1004" s="34">
        <f>AG1004*O1004</f>
        <v/>
      </c>
      <c r="AI1004" s="34">
        <f>AA1004*O1004</f>
        <v/>
      </c>
      <c r="AJ1004" s="34">
        <f>AA1004*P1004</f>
        <v/>
      </c>
      <c r="AK1004" s="34">
        <f>I1004*AA1004*P1004</f>
        <v/>
      </c>
      <c r="AL1004" s="34">
        <f>AJ1004-AK1004</f>
        <v/>
      </c>
      <c r="AM1004" s="34">
        <f>Q1004*K1004</f>
        <v/>
      </c>
      <c r="AN1004" s="34">
        <f>AH1004+AL1004+AM1004</f>
        <v/>
      </c>
      <c r="AO1004" s="34">
        <f>(AG1004-AA1004)*O1004</f>
        <v/>
      </c>
      <c r="AP1004" s="34">
        <f>W1004*N1004</f>
        <v/>
      </c>
      <c r="AQ1004" s="34">
        <f>T1004*N1004</f>
        <v/>
      </c>
      <c r="AR1004" s="34">
        <f>Z1004*J1005+0.5*Z1004*(O1004+P1004)</f>
        <v/>
      </c>
      <c r="AS1004" s="30">
        <f>(1+InflationRate)^(A1004/12)</f>
        <v/>
      </c>
      <c r="AT1004" s="29">
        <f>ExpenseAcq*M1004+N1004*ExpenseMaint/12*AS1004</f>
        <v/>
      </c>
      <c r="AU1004" s="29">
        <f>CommissionRate*AE1004</f>
        <v/>
      </c>
      <c r="AV1004" s="34">
        <f>AB1005-AB1004</f>
        <v/>
      </c>
      <c r="AW1004" s="34">
        <f>AE1004+AR1004-AN1004-AT1004-AU1004-AV1004</f>
        <v/>
      </c>
      <c r="AX1004" s="29">
        <f>LoadPremRate*E1004*N1004+AK1004+AQ1004-AU1004-AT1004</f>
        <v/>
      </c>
      <c r="AY1004" s="34">
        <f>AP1004-AO1004</f>
        <v/>
      </c>
      <c r="AZ1004" s="37">
        <f>(AW1004-AX1004-AY1004)/MAX(1,ABS(AW1004),ABS(AX1004),ABS(AY1004))</f>
        <v/>
      </c>
      <c r="BA1004" s="37">
        <f>IF(OR(K1004&gt;0,K1005&gt;0),0,(AC1005-(AC1004+AF1004-AQ1004-AP1004+AR1004-AI1004-AJ1004-AM1004))/MAX(1,ABS(AC1004),ABS(AC1005)))</f>
        <v/>
      </c>
      <c r="BB1004" s="35">
        <f>(1+INDEX(DiscRateAnn,INT(A1004/12)+1))^(1/12)-1</f>
        <v/>
      </c>
      <c r="BC1004" s="31">
        <f>(1+BB1004)^-A1004</f>
        <v/>
      </c>
      <c r="BD1004" s="34">
        <f>AW1004*BC1004</f>
        <v/>
      </c>
    </row>
    <row r="1005">
      <c r="A1005" s="27">
        <f>A1004+1</f>
        <v/>
      </c>
      <c r="B1005" s="28">
        <f>Duration0+A1005</f>
        <v/>
      </c>
      <c r="C1005" s="27">
        <f>INT(B1005/12)</f>
        <v/>
      </c>
      <c r="D1005" s="28">
        <f>AgeAtEntry+C1005</f>
        <v/>
      </c>
      <c r="E1005" s="29">
        <f>IF(PremiumType="SINGLE",IF(B1005=0,PremiumPPInput,0),IF(B1005&lt;12*PolicyTerm,PremiumPPInput,0))</f>
        <v/>
      </c>
      <c r="F1005" s="30">
        <f>INDEX(MortRates,MATCH(MIN(D1005,120),MortAges,0),MAX(MIN(C1005,5),0)+1)</f>
        <v/>
      </c>
      <c r="G1005" s="31">
        <f>1-(1-F1005)^(1/12)</f>
        <v/>
      </c>
      <c r="H1005" s="32">
        <f>MAX(LapseBase-LapseStep*C1005,LapseFloor)</f>
        <v/>
      </c>
      <c r="I1005" s="32">
        <f>IF(HasSurrCharge,INDEX(SurrRates,MIN(C1005,SurrDurMax)+1,MATCH(SurrChargeID,SurrTypes,0)),0)</f>
        <v/>
      </c>
      <c r="J1005" s="33">
        <f>N1004-P1004-O1004</f>
        <v/>
      </c>
      <c r="K1005" s="30">
        <f>IF(B1005=12*PolicyTerm,J1005,0)</f>
        <v/>
      </c>
      <c r="L1005" s="33">
        <f>J1005-K1005</f>
        <v/>
      </c>
      <c r="M1005" s="30">
        <f>IF(B1005=0,PolicyCount,0)</f>
        <v/>
      </c>
      <c r="N1005" s="33">
        <f>L1005+M1005</f>
        <v/>
      </c>
      <c r="O1005" s="31">
        <f>N1005*G1005</f>
        <v/>
      </c>
      <c r="P1005" s="33">
        <f>(N1005-O1005)*(1-(1-H1005)^(1/12))</f>
        <v/>
      </c>
      <c r="Q1005" s="34">
        <f>X1004+Z1004</f>
        <v/>
      </c>
      <c r="R1005" s="29">
        <f>(1-LoadPremRate)*E1005</f>
        <v/>
      </c>
      <c r="S1005" s="34">
        <f>Q1005+R1005</f>
        <v/>
      </c>
      <c r="T1005" s="29">
        <f>MaintFeeRateAnn/12*S1005</f>
        <v/>
      </c>
      <c r="U1005" s="29">
        <f>MAX(SumAssured-S1005,0)</f>
        <v/>
      </c>
      <c r="V1005" s="35">
        <f>CoiMultiple*G1005</f>
        <v/>
      </c>
      <c r="W1005" s="34">
        <f>V1005*U1005</f>
        <v/>
      </c>
      <c r="X1005" s="34">
        <f>S1005-T1005-W1005</f>
        <v/>
      </c>
      <c r="Y1005" s="36">
        <f>EXP((Mu-0.5*Sigma^2)/12+Sigma*SQRT(1/12)*INDEX(NormRand,ScenID,A1005+1))-1</f>
        <v/>
      </c>
      <c r="Z1005" s="34">
        <f>Y1005*X1005</f>
        <v/>
      </c>
      <c r="AA1005" s="34">
        <f>X1005+0.5*Z1005</f>
        <v/>
      </c>
      <c r="AB1005" s="34">
        <f>Q1005*J1005</f>
        <v/>
      </c>
      <c r="AC1005" s="34">
        <f>Q1005*L1005</f>
        <v/>
      </c>
      <c r="AD1005" s="34">
        <f>S1005*N1005</f>
        <v/>
      </c>
      <c r="AE1005" s="34">
        <f>E1005*N1005</f>
        <v/>
      </c>
      <c r="AF1005" s="34">
        <f>R1005*N1005</f>
        <v/>
      </c>
      <c r="AG1005" s="29">
        <f>MAX(SumAssured,AA1005)</f>
        <v/>
      </c>
      <c r="AH1005" s="34">
        <f>AG1005*O1005</f>
        <v/>
      </c>
      <c r="AI1005" s="34">
        <f>AA1005*O1005</f>
        <v/>
      </c>
      <c r="AJ1005" s="34">
        <f>AA1005*P1005</f>
        <v/>
      </c>
      <c r="AK1005" s="34">
        <f>I1005*AA1005*P1005</f>
        <v/>
      </c>
      <c r="AL1005" s="34">
        <f>AJ1005-AK1005</f>
        <v/>
      </c>
      <c r="AM1005" s="34">
        <f>Q1005*K1005</f>
        <v/>
      </c>
      <c r="AN1005" s="34">
        <f>AH1005+AL1005+AM1005</f>
        <v/>
      </c>
      <c r="AO1005" s="34">
        <f>(AG1005-AA1005)*O1005</f>
        <v/>
      </c>
      <c r="AP1005" s="34">
        <f>W1005*N1005</f>
        <v/>
      </c>
      <c r="AQ1005" s="34">
        <f>T1005*N1005</f>
        <v/>
      </c>
      <c r="AR1005" s="34">
        <f>Z1005*J1006+0.5*Z1005*(O1005+P1005)</f>
        <v/>
      </c>
      <c r="AS1005" s="30">
        <f>(1+InflationRate)^(A1005/12)</f>
        <v/>
      </c>
      <c r="AT1005" s="29">
        <f>ExpenseAcq*M1005+N1005*ExpenseMaint/12*AS1005</f>
        <v/>
      </c>
      <c r="AU1005" s="29">
        <f>CommissionRate*AE1005</f>
        <v/>
      </c>
      <c r="AV1005" s="34">
        <f>AB1006-AB1005</f>
        <v/>
      </c>
      <c r="AW1005" s="34">
        <f>AE1005+AR1005-AN1005-AT1005-AU1005-AV1005</f>
        <v/>
      </c>
      <c r="AX1005" s="29">
        <f>LoadPremRate*E1005*N1005+AK1005+AQ1005-AU1005-AT1005</f>
        <v/>
      </c>
      <c r="AY1005" s="34">
        <f>AP1005-AO1005</f>
        <v/>
      </c>
      <c r="AZ1005" s="37">
        <f>(AW1005-AX1005-AY1005)/MAX(1,ABS(AW1005),ABS(AX1005),ABS(AY1005))</f>
        <v/>
      </c>
      <c r="BA1005" s="37">
        <f>IF(OR(K1005&gt;0,K1006&gt;0),0,(AC1006-(AC1005+AF1005-AQ1005-AP1005+AR1005-AI1005-AJ1005-AM1005))/MAX(1,ABS(AC1005),ABS(AC1006)))</f>
        <v/>
      </c>
      <c r="BB1005" s="35">
        <f>(1+INDEX(DiscRateAnn,INT(A1005/12)+1))^(1/12)-1</f>
        <v/>
      </c>
      <c r="BC1005" s="31">
        <f>(1+BB1005)^-A1005</f>
        <v/>
      </c>
      <c r="BD1005" s="34">
        <f>AW1005*BC1005</f>
        <v/>
      </c>
    </row>
    <row r="1006">
      <c r="A1006" s="27">
        <f>A1005+1</f>
        <v/>
      </c>
      <c r="B1006" s="28">
        <f>Duration0+A1006</f>
        <v/>
      </c>
      <c r="C1006" s="27">
        <f>INT(B1006/12)</f>
        <v/>
      </c>
      <c r="D1006" s="28">
        <f>AgeAtEntry+C1006</f>
        <v/>
      </c>
      <c r="E1006" s="29">
        <f>IF(PremiumType="SINGLE",IF(B1006=0,PremiumPPInput,0),IF(B1006&lt;12*PolicyTerm,PremiumPPInput,0))</f>
        <v/>
      </c>
      <c r="F1006" s="30">
        <f>INDEX(MortRates,MATCH(MIN(D1006,120),MortAges,0),MAX(MIN(C1006,5),0)+1)</f>
        <v/>
      </c>
      <c r="G1006" s="31">
        <f>1-(1-F1006)^(1/12)</f>
        <v/>
      </c>
      <c r="H1006" s="32">
        <f>MAX(LapseBase-LapseStep*C1006,LapseFloor)</f>
        <v/>
      </c>
      <c r="I1006" s="32">
        <f>IF(HasSurrCharge,INDEX(SurrRates,MIN(C1006,SurrDurMax)+1,MATCH(SurrChargeID,SurrTypes,0)),0)</f>
        <v/>
      </c>
      <c r="J1006" s="33">
        <f>N1005-P1005-O1005</f>
        <v/>
      </c>
      <c r="K1006" s="30">
        <f>IF(B1006=12*PolicyTerm,J1006,0)</f>
        <v/>
      </c>
      <c r="L1006" s="33">
        <f>J1006-K1006</f>
        <v/>
      </c>
      <c r="M1006" s="30">
        <f>IF(B1006=0,PolicyCount,0)</f>
        <v/>
      </c>
      <c r="N1006" s="33">
        <f>L1006+M1006</f>
        <v/>
      </c>
      <c r="O1006" s="31">
        <f>N1006*G1006</f>
        <v/>
      </c>
      <c r="P1006" s="33">
        <f>(N1006-O1006)*(1-(1-H1006)^(1/12))</f>
        <v/>
      </c>
      <c r="Q1006" s="34">
        <f>X1005+Z1005</f>
        <v/>
      </c>
      <c r="R1006" s="29">
        <f>(1-LoadPremRate)*E1006</f>
        <v/>
      </c>
      <c r="S1006" s="34">
        <f>Q1006+R1006</f>
        <v/>
      </c>
      <c r="T1006" s="29">
        <f>MaintFeeRateAnn/12*S1006</f>
        <v/>
      </c>
      <c r="U1006" s="29">
        <f>MAX(SumAssured-S1006,0)</f>
        <v/>
      </c>
      <c r="V1006" s="35">
        <f>CoiMultiple*G1006</f>
        <v/>
      </c>
      <c r="W1006" s="34">
        <f>V1006*U1006</f>
        <v/>
      </c>
      <c r="X1006" s="34">
        <f>S1006-T1006-W1006</f>
        <v/>
      </c>
      <c r="Y1006" s="36">
        <f>EXP((Mu-0.5*Sigma^2)/12+Sigma*SQRT(1/12)*INDEX(NormRand,ScenID,A1006+1))-1</f>
        <v/>
      </c>
      <c r="Z1006" s="34">
        <f>Y1006*X1006</f>
        <v/>
      </c>
      <c r="AA1006" s="34">
        <f>X1006+0.5*Z1006</f>
        <v/>
      </c>
      <c r="AB1006" s="34">
        <f>Q1006*J1006</f>
        <v/>
      </c>
      <c r="AC1006" s="34">
        <f>Q1006*L1006</f>
        <v/>
      </c>
      <c r="AD1006" s="34">
        <f>S1006*N1006</f>
        <v/>
      </c>
      <c r="AE1006" s="34">
        <f>E1006*N1006</f>
        <v/>
      </c>
      <c r="AF1006" s="34">
        <f>R1006*N1006</f>
        <v/>
      </c>
      <c r="AG1006" s="29">
        <f>MAX(SumAssured,AA1006)</f>
        <v/>
      </c>
      <c r="AH1006" s="34">
        <f>AG1006*O1006</f>
        <v/>
      </c>
      <c r="AI1006" s="34">
        <f>AA1006*O1006</f>
        <v/>
      </c>
      <c r="AJ1006" s="34">
        <f>AA1006*P1006</f>
        <v/>
      </c>
      <c r="AK1006" s="34">
        <f>I1006*AA1006*P1006</f>
        <v/>
      </c>
      <c r="AL1006" s="34">
        <f>AJ1006-AK1006</f>
        <v/>
      </c>
      <c r="AM1006" s="34">
        <f>Q1006*K1006</f>
        <v/>
      </c>
      <c r="AN1006" s="34">
        <f>AH1006+AL1006+AM1006</f>
        <v/>
      </c>
      <c r="AO1006" s="34">
        <f>(AG1006-AA1006)*O1006</f>
        <v/>
      </c>
      <c r="AP1006" s="34">
        <f>W1006*N1006</f>
        <v/>
      </c>
      <c r="AQ1006" s="34">
        <f>T1006*N1006</f>
        <v/>
      </c>
      <c r="AR1006" s="34">
        <f>Z1006*J1007+0.5*Z1006*(O1006+P1006)</f>
        <v/>
      </c>
      <c r="AS1006" s="30">
        <f>(1+InflationRate)^(A1006/12)</f>
        <v/>
      </c>
      <c r="AT1006" s="29">
        <f>ExpenseAcq*M1006+N1006*ExpenseMaint/12*AS1006</f>
        <v/>
      </c>
      <c r="AU1006" s="29">
        <f>CommissionRate*AE1006</f>
        <v/>
      </c>
      <c r="AV1006" s="34">
        <f>AB1007-AB1006</f>
        <v/>
      </c>
      <c r="AW1006" s="34">
        <f>AE1006+AR1006-AN1006-AT1006-AU1006-AV1006</f>
        <v/>
      </c>
      <c r="AX1006" s="29">
        <f>LoadPremRate*E1006*N1006+AK1006+AQ1006-AU1006-AT1006</f>
        <v/>
      </c>
      <c r="AY1006" s="34">
        <f>AP1006-AO1006</f>
        <v/>
      </c>
      <c r="AZ1006" s="37">
        <f>(AW1006-AX1006-AY1006)/MAX(1,ABS(AW1006),ABS(AX1006),ABS(AY1006))</f>
        <v/>
      </c>
      <c r="BA1006" s="37">
        <f>IF(OR(K1006&gt;0,K1007&gt;0),0,(AC1007-(AC1006+AF1006-AQ1006-AP1006+AR1006-AI1006-AJ1006-AM1006))/MAX(1,ABS(AC1006),ABS(AC1007)))</f>
        <v/>
      </c>
      <c r="BB1006" s="35">
        <f>(1+INDEX(DiscRateAnn,INT(A1006/12)+1))^(1/12)-1</f>
        <v/>
      </c>
      <c r="BC1006" s="31">
        <f>(1+BB1006)^-A1006</f>
        <v/>
      </c>
      <c r="BD1006" s="34">
        <f>AW1006*BC1006</f>
        <v/>
      </c>
    </row>
    <row r="1007">
      <c r="A1007" s="27">
        <f>A1006+1</f>
        <v/>
      </c>
      <c r="B1007" s="28">
        <f>Duration0+A1007</f>
        <v/>
      </c>
      <c r="C1007" s="27">
        <f>INT(B1007/12)</f>
        <v/>
      </c>
      <c r="D1007" s="28">
        <f>AgeAtEntry+C1007</f>
        <v/>
      </c>
      <c r="E1007" s="29">
        <f>IF(PremiumType="SINGLE",IF(B1007=0,PremiumPPInput,0),IF(B1007&lt;12*PolicyTerm,PremiumPPInput,0))</f>
        <v/>
      </c>
      <c r="F1007" s="30">
        <f>INDEX(MortRates,MATCH(MIN(D1007,120),MortAges,0),MAX(MIN(C1007,5),0)+1)</f>
        <v/>
      </c>
      <c r="G1007" s="31">
        <f>1-(1-F1007)^(1/12)</f>
        <v/>
      </c>
      <c r="H1007" s="32">
        <f>MAX(LapseBase-LapseStep*C1007,LapseFloor)</f>
        <v/>
      </c>
      <c r="I1007" s="32">
        <f>IF(HasSurrCharge,INDEX(SurrRates,MIN(C1007,SurrDurMax)+1,MATCH(SurrChargeID,SurrTypes,0)),0)</f>
        <v/>
      </c>
      <c r="J1007" s="33">
        <f>N1006-P1006-O1006</f>
        <v/>
      </c>
      <c r="K1007" s="30">
        <f>IF(B1007=12*PolicyTerm,J1007,0)</f>
        <v/>
      </c>
      <c r="L1007" s="33">
        <f>J1007-K1007</f>
        <v/>
      </c>
      <c r="M1007" s="30">
        <f>IF(B1007=0,PolicyCount,0)</f>
        <v/>
      </c>
      <c r="N1007" s="33">
        <f>L1007+M1007</f>
        <v/>
      </c>
      <c r="O1007" s="31">
        <f>N1007*G1007</f>
        <v/>
      </c>
      <c r="P1007" s="33">
        <f>(N1007-O1007)*(1-(1-H1007)^(1/12))</f>
        <v/>
      </c>
      <c r="Q1007" s="34">
        <f>X1006+Z1006</f>
        <v/>
      </c>
      <c r="R1007" s="29">
        <f>(1-LoadPremRate)*E1007</f>
        <v/>
      </c>
      <c r="S1007" s="34">
        <f>Q1007+R1007</f>
        <v/>
      </c>
      <c r="T1007" s="29">
        <f>MaintFeeRateAnn/12*S1007</f>
        <v/>
      </c>
      <c r="U1007" s="29">
        <f>MAX(SumAssured-S1007,0)</f>
        <v/>
      </c>
      <c r="V1007" s="35">
        <f>CoiMultiple*G1007</f>
        <v/>
      </c>
      <c r="W1007" s="34">
        <f>V1007*U1007</f>
        <v/>
      </c>
      <c r="X1007" s="34">
        <f>S1007-T1007-W1007</f>
        <v/>
      </c>
      <c r="Y1007" s="36">
        <f>EXP((Mu-0.5*Sigma^2)/12+Sigma*SQRT(1/12)*INDEX(NormRand,ScenID,A1007+1))-1</f>
        <v/>
      </c>
      <c r="Z1007" s="34">
        <f>Y1007*X1007</f>
        <v/>
      </c>
      <c r="AA1007" s="34">
        <f>X1007+0.5*Z1007</f>
        <v/>
      </c>
      <c r="AB1007" s="34">
        <f>Q1007*J1007</f>
        <v/>
      </c>
      <c r="AC1007" s="34">
        <f>Q1007*L1007</f>
        <v/>
      </c>
      <c r="AD1007" s="34">
        <f>S1007*N1007</f>
        <v/>
      </c>
      <c r="AE1007" s="34">
        <f>E1007*N1007</f>
        <v/>
      </c>
      <c r="AF1007" s="34">
        <f>R1007*N1007</f>
        <v/>
      </c>
      <c r="AG1007" s="29">
        <f>MAX(SumAssured,AA1007)</f>
        <v/>
      </c>
      <c r="AH1007" s="34">
        <f>AG1007*O1007</f>
        <v/>
      </c>
      <c r="AI1007" s="34">
        <f>AA1007*O1007</f>
        <v/>
      </c>
      <c r="AJ1007" s="34">
        <f>AA1007*P1007</f>
        <v/>
      </c>
      <c r="AK1007" s="34">
        <f>I1007*AA1007*P1007</f>
        <v/>
      </c>
      <c r="AL1007" s="34">
        <f>AJ1007-AK1007</f>
        <v/>
      </c>
      <c r="AM1007" s="34">
        <f>Q1007*K1007</f>
        <v/>
      </c>
      <c r="AN1007" s="34">
        <f>AH1007+AL1007+AM1007</f>
        <v/>
      </c>
      <c r="AO1007" s="34">
        <f>(AG1007-AA1007)*O1007</f>
        <v/>
      </c>
      <c r="AP1007" s="34">
        <f>W1007*N1007</f>
        <v/>
      </c>
      <c r="AQ1007" s="34">
        <f>T1007*N1007</f>
        <v/>
      </c>
      <c r="AR1007" s="34">
        <f>Z1007*J1008+0.5*Z1007*(O1007+P1007)</f>
        <v/>
      </c>
      <c r="AS1007" s="30">
        <f>(1+InflationRate)^(A1007/12)</f>
        <v/>
      </c>
      <c r="AT1007" s="29">
        <f>ExpenseAcq*M1007+N1007*ExpenseMaint/12*AS1007</f>
        <v/>
      </c>
      <c r="AU1007" s="29">
        <f>CommissionRate*AE1007</f>
        <v/>
      </c>
      <c r="AV1007" s="34">
        <f>AB1008-AB1007</f>
        <v/>
      </c>
      <c r="AW1007" s="34">
        <f>AE1007+AR1007-AN1007-AT1007-AU1007-AV1007</f>
        <v/>
      </c>
      <c r="AX1007" s="29">
        <f>LoadPremRate*E1007*N1007+AK1007+AQ1007-AU1007-AT1007</f>
        <v/>
      </c>
      <c r="AY1007" s="34">
        <f>AP1007-AO1007</f>
        <v/>
      </c>
      <c r="AZ1007" s="37">
        <f>(AW1007-AX1007-AY1007)/MAX(1,ABS(AW1007),ABS(AX1007),ABS(AY1007))</f>
        <v/>
      </c>
      <c r="BA1007" s="37">
        <f>IF(OR(K1007&gt;0,K1008&gt;0),0,(AC1008-(AC1007+AF1007-AQ1007-AP1007+AR1007-AI1007-AJ1007-AM1007))/MAX(1,ABS(AC1007),ABS(AC1008)))</f>
        <v/>
      </c>
      <c r="BB1007" s="35">
        <f>(1+INDEX(DiscRateAnn,INT(A1007/12)+1))^(1/12)-1</f>
        <v/>
      </c>
      <c r="BC1007" s="31">
        <f>(1+BB1007)^-A1007</f>
        <v/>
      </c>
      <c r="BD1007" s="34">
        <f>AW1007*BC1007</f>
        <v/>
      </c>
    </row>
    <row r="1008">
      <c r="A1008" s="27">
        <f>A1007+1</f>
        <v/>
      </c>
      <c r="B1008" s="28">
        <f>Duration0+A1008</f>
        <v/>
      </c>
      <c r="C1008" s="27">
        <f>INT(B1008/12)</f>
        <v/>
      </c>
      <c r="D1008" s="28">
        <f>AgeAtEntry+C1008</f>
        <v/>
      </c>
      <c r="E1008" s="29">
        <f>IF(PremiumType="SINGLE",IF(B1008=0,PremiumPPInput,0),IF(B1008&lt;12*PolicyTerm,PremiumPPInput,0))</f>
        <v/>
      </c>
      <c r="F1008" s="30">
        <f>INDEX(MortRates,MATCH(MIN(D1008,120),MortAges,0),MAX(MIN(C1008,5),0)+1)</f>
        <v/>
      </c>
      <c r="G1008" s="31">
        <f>1-(1-F1008)^(1/12)</f>
        <v/>
      </c>
      <c r="H1008" s="32">
        <f>MAX(LapseBase-LapseStep*C1008,LapseFloor)</f>
        <v/>
      </c>
      <c r="I1008" s="32">
        <f>IF(HasSurrCharge,INDEX(SurrRates,MIN(C1008,SurrDurMax)+1,MATCH(SurrChargeID,SurrTypes,0)),0)</f>
        <v/>
      </c>
      <c r="J1008" s="33">
        <f>N1007-P1007-O1007</f>
        <v/>
      </c>
      <c r="K1008" s="30">
        <f>IF(B1008=12*PolicyTerm,J1008,0)</f>
        <v/>
      </c>
      <c r="L1008" s="33">
        <f>J1008-K1008</f>
        <v/>
      </c>
      <c r="M1008" s="30">
        <f>IF(B1008=0,PolicyCount,0)</f>
        <v/>
      </c>
      <c r="N1008" s="33">
        <f>L1008+M1008</f>
        <v/>
      </c>
      <c r="O1008" s="31">
        <f>N1008*G1008</f>
        <v/>
      </c>
      <c r="P1008" s="33">
        <f>(N1008-O1008)*(1-(1-H1008)^(1/12))</f>
        <v/>
      </c>
      <c r="Q1008" s="34">
        <f>X1007+Z1007</f>
        <v/>
      </c>
      <c r="R1008" s="29">
        <f>(1-LoadPremRate)*E1008</f>
        <v/>
      </c>
      <c r="S1008" s="34">
        <f>Q1008+R1008</f>
        <v/>
      </c>
      <c r="T1008" s="29">
        <f>MaintFeeRateAnn/12*S1008</f>
        <v/>
      </c>
      <c r="U1008" s="29">
        <f>MAX(SumAssured-S1008,0)</f>
        <v/>
      </c>
      <c r="V1008" s="35">
        <f>CoiMultiple*G1008</f>
        <v/>
      </c>
      <c r="W1008" s="34">
        <f>V1008*U1008</f>
        <v/>
      </c>
      <c r="X1008" s="34">
        <f>S1008-T1008-W1008</f>
        <v/>
      </c>
      <c r="Y1008" s="36">
        <f>EXP((Mu-0.5*Sigma^2)/12+Sigma*SQRT(1/12)*INDEX(NormRand,ScenID,A1008+1))-1</f>
        <v/>
      </c>
      <c r="Z1008" s="34">
        <f>Y1008*X1008</f>
        <v/>
      </c>
      <c r="AA1008" s="34">
        <f>X1008+0.5*Z1008</f>
        <v/>
      </c>
      <c r="AB1008" s="34">
        <f>Q1008*J1008</f>
        <v/>
      </c>
      <c r="AC1008" s="34">
        <f>Q1008*L1008</f>
        <v/>
      </c>
      <c r="AD1008" s="34">
        <f>S1008*N1008</f>
        <v/>
      </c>
      <c r="AE1008" s="34">
        <f>E1008*N1008</f>
        <v/>
      </c>
      <c r="AF1008" s="34">
        <f>R1008*N1008</f>
        <v/>
      </c>
      <c r="AG1008" s="29">
        <f>MAX(SumAssured,AA1008)</f>
        <v/>
      </c>
      <c r="AH1008" s="34">
        <f>AG1008*O1008</f>
        <v/>
      </c>
      <c r="AI1008" s="34">
        <f>AA1008*O1008</f>
        <v/>
      </c>
      <c r="AJ1008" s="34">
        <f>AA1008*P1008</f>
        <v/>
      </c>
      <c r="AK1008" s="34">
        <f>I1008*AA1008*P1008</f>
        <v/>
      </c>
      <c r="AL1008" s="34">
        <f>AJ1008-AK1008</f>
        <v/>
      </c>
      <c r="AM1008" s="34">
        <f>Q1008*K1008</f>
        <v/>
      </c>
      <c r="AN1008" s="34">
        <f>AH1008+AL1008+AM1008</f>
        <v/>
      </c>
      <c r="AO1008" s="34">
        <f>(AG1008-AA1008)*O1008</f>
        <v/>
      </c>
      <c r="AP1008" s="34">
        <f>W1008*N1008</f>
        <v/>
      </c>
      <c r="AQ1008" s="34">
        <f>T1008*N1008</f>
        <v/>
      </c>
      <c r="AR1008" s="34">
        <f>Z1008*J1009+0.5*Z1008*(O1008+P1008)</f>
        <v/>
      </c>
      <c r="AS1008" s="30">
        <f>(1+InflationRate)^(A1008/12)</f>
        <v/>
      </c>
      <c r="AT1008" s="29">
        <f>ExpenseAcq*M1008+N1008*ExpenseMaint/12*AS1008</f>
        <v/>
      </c>
      <c r="AU1008" s="29">
        <f>CommissionRate*AE1008</f>
        <v/>
      </c>
      <c r="AV1008" s="34">
        <f>AB1009-AB1008</f>
        <v/>
      </c>
      <c r="AW1008" s="34">
        <f>AE1008+AR1008-AN1008-AT1008-AU1008-AV1008</f>
        <v/>
      </c>
      <c r="AX1008" s="29">
        <f>LoadPremRate*E1008*N1008+AK1008+AQ1008-AU1008-AT1008</f>
        <v/>
      </c>
      <c r="AY1008" s="34">
        <f>AP1008-AO1008</f>
        <v/>
      </c>
      <c r="AZ1008" s="37">
        <f>(AW1008-AX1008-AY1008)/MAX(1,ABS(AW1008),ABS(AX1008),ABS(AY1008))</f>
        <v/>
      </c>
      <c r="BA1008" s="37">
        <f>IF(OR(K1008&gt;0,K1009&gt;0),0,(AC1009-(AC1008+AF1008-AQ1008-AP1008+AR1008-AI1008-AJ1008-AM1008))/MAX(1,ABS(AC1008),ABS(AC1009)))</f>
        <v/>
      </c>
      <c r="BB1008" s="35">
        <f>(1+INDEX(DiscRateAnn,INT(A1008/12)+1))^(1/12)-1</f>
        <v/>
      </c>
      <c r="BC1008" s="31">
        <f>(1+BB1008)^-A1008</f>
        <v/>
      </c>
      <c r="BD1008" s="34">
        <f>AW1008*BC1008</f>
        <v/>
      </c>
    </row>
    <row r="1009">
      <c r="A1009" s="27">
        <f>A1008+1</f>
        <v/>
      </c>
      <c r="B1009" s="28">
        <f>Duration0+A1009</f>
        <v/>
      </c>
      <c r="C1009" s="27">
        <f>INT(B1009/12)</f>
        <v/>
      </c>
      <c r="D1009" s="28">
        <f>AgeAtEntry+C1009</f>
        <v/>
      </c>
      <c r="E1009" s="29">
        <f>IF(PremiumType="SINGLE",IF(B1009=0,PremiumPPInput,0),IF(B1009&lt;12*PolicyTerm,PremiumPPInput,0))</f>
        <v/>
      </c>
      <c r="F1009" s="30">
        <f>INDEX(MortRates,MATCH(MIN(D1009,120),MortAges,0),MAX(MIN(C1009,5),0)+1)</f>
        <v/>
      </c>
      <c r="G1009" s="31">
        <f>1-(1-F1009)^(1/12)</f>
        <v/>
      </c>
      <c r="H1009" s="32">
        <f>MAX(LapseBase-LapseStep*C1009,LapseFloor)</f>
        <v/>
      </c>
      <c r="I1009" s="32">
        <f>IF(HasSurrCharge,INDEX(SurrRates,MIN(C1009,SurrDurMax)+1,MATCH(SurrChargeID,SurrTypes,0)),0)</f>
        <v/>
      </c>
      <c r="J1009" s="33">
        <f>N1008-P1008-O1008</f>
        <v/>
      </c>
      <c r="K1009" s="30">
        <f>IF(B1009=12*PolicyTerm,J1009,0)</f>
        <v/>
      </c>
      <c r="L1009" s="33">
        <f>J1009-K1009</f>
        <v/>
      </c>
      <c r="M1009" s="30">
        <f>IF(B1009=0,PolicyCount,0)</f>
        <v/>
      </c>
      <c r="N1009" s="33">
        <f>L1009+M1009</f>
        <v/>
      </c>
      <c r="O1009" s="31">
        <f>N1009*G1009</f>
        <v/>
      </c>
      <c r="P1009" s="33">
        <f>(N1009-O1009)*(1-(1-H1009)^(1/12))</f>
        <v/>
      </c>
      <c r="Q1009" s="34">
        <f>X1008+Z1008</f>
        <v/>
      </c>
      <c r="R1009" s="29">
        <f>(1-LoadPremRate)*E1009</f>
        <v/>
      </c>
      <c r="S1009" s="34">
        <f>Q1009+R1009</f>
        <v/>
      </c>
      <c r="T1009" s="29">
        <f>MaintFeeRateAnn/12*S1009</f>
        <v/>
      </c>
      <c r="U1009" s="29">
        <f>MAX(SumAssured-S1009,0)</f>
        <v/>
      </c>
      <c r="V1009" s="35">
        <f>CoiMultiple*G1009</f>
        <v/>
      </c>
      <c r="W1009" s="34">
        <f>V1009*U1009</f>
        <v/>
      </c>
      <c r="X1009" s="34">
        <f>S1009-T1009-W1009</f>
        <v/>
      </c>
      <c r="Y1009" s="36">
        <f>EXP((Mu-0.5*Sigma^2)/12+Sigma*SQRT(1/12)*INDEX(NormRand,ScenID,A1009+1))-1</f>
        <v/>
      </c>
      <c r="Z1009" s="34">
        <f>Y1009*X1009</f>
        <v/>
      </c>
      <c r="AA1009" s="34">
        <f>X1009+0.5*Z1009</f>
        <v/>
      </c>
      <c r="AB1009" s="34">
        <f>Q1009*J1009</f>
        <v/>
      </c>
      <c r="AC1009" s="34">
        <f>Q1009*L1009</f>
        <v/>
      </c>
      <c r="AD1009" s="34">
        <f>S1009*N1009</f>
        <v/>
      </c>
      <c r="AE1009" s="34">
        <f>E1009*N1009</f>
        <v/>
      </c>
      <c r="AF1009" s="34">
        <f>R1009*N1009</f>
        <v/>
      </c>
      <c r="AG1009" s="29">
        <f>MAX(SumAssured,AA1009)</f>
        <v/>
      </c>
      <c r="AH1009" s="34">
        <f>AG1009*O1009</f>
        <v/>
      </c>
      <c r="AI1009" s="34">
        <f>AA1009*O1009</f>
        <v/>
      </c>
      <c r="AJ1009" s="34">
        <f>AA1009*P1009</f>
        <v/>
      </c>
      <c r="AK1009" s="34">
        <f>I1009*AA1009*P1009</f>
        <v/>
      </c>
      <c r="AL1009" s="34">
        <f>AJ1009-AK1009</f>
        <v/>
      </c>
      <c r="AM1009" s="34">
        <f>Q1009*K1009</f>
        <v/>
      </c>
      <c r="AN1009" s="34">
        <f>AH1009+AL1009+AM1009</f>
        <v/>
      </c>
      <c r="AO1009" s="34">
        <f>(AG1009-AA1009)*O1009</f>
        <v/>
      </c>
      <c r="AP1009" s="34">
        <f>W1009*N1009</f>
        <v/>
      </c>
      <c r="AQ1009" s="34">
        <f>T1009*N1009</f>
        <v/>
      </c>
      <c r="AR1009" s="34">
        <f>Z1009*J1010+0.5*Z1009*(O1009+P1009)</f>
        <v/>
      </c>
      <c r="AS1009" s="30">
        <f>(1+InflationRate)^(A1009/12)</f>
        <v/>
      </c>
      <c r="AT1009" s="29">
        <f>ExpenseAcq*M1009+N1009*ExpenseMaint/12*AS1009</f>
        <v/>
      </c>
      <c r="AU1009" s="29">
        <f>CommissionRate*AE1009</f>
        <v/>
      </c>
      <c r="AV1009" s="34">
        <f>AB1010-AB1009</f>
        <v/>
      </c>
      <c r="AW1009" s="34">
        <f>AE1009+AR1009-AN1009-AT1009-AU1009-AV1009</f>
        <v/>
      </c>
      <c r="AX1009" s="29">
        <f>LoadPremRate*E1009*N1009+AK1009+AQ1009-AU1009-AT1009</f>
        <v/>
      </c>
      <c r="AY1009" s="34">
        <f>AP1009-AO1009</f>
        <v/>
      </c>
      <c r="AZ1009" s="37">
        <f>(AW1009-AX1009-AY1009)/MAX(1,ABS(AW1009),ABS(AX1009),ABS(AY1009))</f>
        <v/>
      </c>
      <c r="BA1009" s="37">
        <f>IF(OR(K1009&gt;0,K1010&gt;0),0,(AC1010-(AC1009+AF1009-AQ1009-AP1009+AR1009-AI1009-AJ1009-AM1009))/MAX(1,ABS(AC1009),ABS(AC1010)))</f>
        <v/>
      </c>
      <c r="BB1009" s="35">
        <f>(1+INDEX(DiscRateAnn,INT(A1009/12)+1))^(1/12)-1</f>
        <v/>
      </c>
      <c r="BC1009" s="31">
        <f>(1+BB1009)^-A1009</f>
        <v/>
      </c>
      <c r="BD1009" s="34">
        <f>AW1009*BC1009</f>
        <v/>
      </c>
    </row>
    <row r="1010">
      <c r="A1010" s="27">
        <f>A1009+1</f>
        <v/>
      </c>
      <c r="B1010" s="28">
        <f>Duration0+A1010</f>
        <v/>
      </c>
      <c r="C1010" s="27">
        <f>INT(B1010/12)</f>
        <v/>
      </c>
      <c r="D1010" s="28">
        <f>AgeAtEntry+C1010</f>
        <v/>
      </c>
      <c r="E1010" s="29">
        <f>IF(PremiumType="SINGLE",IF(B1010=0,PremiumPPInput,0),IF(B1010&lt;12*PolicyTerm,PremiumPPInput,0))</f>
        <v/>
      </c>
      <c r="F1010" s="30">
        <f>INDEX(MortRates,MATCH(MIN(D1010,120),MortAges,0),MAX(MIN(C1010,5),0)+1)</f>
        <v/>
      </c>
      <c r="G1010" s="31">
        <f>1-(1-F1010)^(1/12)</f>
        <v/>
      </c>
      <c r="H1010" s="32">
        <f>MAX(LapseBase-LapseStep*C1010,LapseFloor)</f>
        <v/>
      </c>
      <c r="I1010" s="32">
        <f>IF(HasSurrCharge,INDEX(SurrRates,MIN(C1010,SurrDurMax)+1,MATCH(SurrChargeID,SurrTypes,0)),0)</f>
        <v/>
      </c>
      <c r="J1010" s="33">
        <f>N1009-P1009-O1009</f>
        <v/>
      </c>
      <c r="K1010" s="30">
        <f>IF(B1010=12*PolicyTerm,J1010,0)</f>
        <v/>
      </c>
      <c r="L1010" s="33">
        <f>J1010-K1010</f>
        <v/>
      </c>
      <c r="M1010" s="30">
        <f>IF(B1010=0,PolicyCount,0)</f>
        <v/>
      </c>
      <c r="N1010" s="33">
        <f>L1010+M1010</f>
        <v/>
      </c>
      <c r="O1010" s="31">
        <f>N1010*G1010</f>
        <v/>
      </c>
      <c r="P1010" s="33">
        <f>(N1010-O1010)*(1-(1-H1010)^(1/12))</f>
        <v/>
      </c>
      <c r="Q1010" s="34">
        <f>X1009+Z1009</f>
        <v/>
      </c>
      <c r="R1010" s="29">
        <f>(1-LoadPremRate)*E1010</f>
        <v/>
      </c>
      <c r="S1010" s="34">
        <f>Q1010+R1010</f>
        <v/>
      </c>
      <c r="T1010" s="29">
        <f>MaintFeeRateAnn/12*S1010</f>
        <v/>
      </c>
      <c r="U1010" s="29">
        <f>MAX(SumAssured-S1010,0)</f>
        <v/>
      </c>
      <c r="V1010" s="35">
        <f>CoiMultiple*G1010</f>
        <v/>
      </c>
      <c r="W1010" s="34">
        <f>V1010*U1010</f>
        <v/>
      </c>
      <c r="X1010" s="34">
        <f>S1010-T1010-W1010</f>
        <v/>
      </c>
      <c r="Y1010" s="36">
        <f>EXP((Mu-0.5*Sigma^2)/12+Sigma*SQRT(1/12)*INDEX(NormRand,ScenID,A1010+1))-1</f>
        <v/>
      </c>
      <c r="Z1010" s="34">
        <f>Y1010*X1010</f>
        <v/>
      </c>
      <c r="AA1010" s="34">
        <f>X1010+0.5*Z1010</f>
        <v/>
      </c>
      <c r="AB1010" s="34">
        <f>Q1010*J1010</f>
        <v/>
      </c>
      <c r="AC1010" s="34">
        <f>Q1010*L1010</f>
        <v/>
      </c>
      <c r="AD1010" s="34">
        <f>S1010*N1010</f>
        <v/>
      </c>
      <c r="AE1010" s="34">
        <f>E1010*N1010</f>
        <v/>
      </c>
      <c r="AF1010" s="34">
        <f>R1010*N1010</f>
        <v/>
      </c>
      <c r="AG1010" s="29">
        <f>MAX(SumAssured,AA1010)</f>
        <v/>
      </c>
      <c r="AH1010" s="34">
        <f>AG1010*O1010</f>
        <v/>
      </c>
      <c r="AI1010" s="34">
        <f>AA1010*O1010</f>
        <v/>
      </c>
      <c r="AJ1010" s="34">
        <f>AA1010*P1010</f>
        <v/>
      </c>
      <c r="AK1010" s="34">
        <f>I1010*AA1010*P1010</f>
        <v/>
      </c>
      <c r="AL1010" s="34">
        <f>AJ1010-AK1010</f>
        <v/>
      </c>
      <c r="AM1010" s="34">
        <f>Q1010*K1010</f>
        <v/>
      </c>
      <c r="AN1010" s="34">
        <f>AH1010+AL1010+AM1010</f>
        <v/>
      </c>
      <c r="AO1010" s="34">
        <f>(AG1010-AA1010)*O1010</f>
        <v/>
      </c>
      <c r="AP1010" s="34">
        <f>W1010*N1010</f>
        <v/>
      </c>
      <c r="AQ1010" s="34">
        <f>T1010*N1010</f>
        <v/>
      </c>
      <c r="AR1010" s="34">
        <f>Z1010*J1011+0.5*Z1010*(O1010+P1010)</f>
        <v/>
      </c>
      <c r="AS1010" s="30">
        <f>(1+InflationRate)^(A1010/12)</f>
        <v/>
      </c>
      <c r="AT1010" s="29">
        <f>ExpenseAcq*M1010+N1010*ExpenseMaint/12*AS1010</f>
        <v/>
      </c>
      <c r="AU1010" s="29">
        <f>CommissionRate*AE1010</f>
        <v/>
      </c>
      <c r="AV1010" s="34">
        <f>AB1011-AB1010</f>
        <v/>
      </c>
      <c r="AW1010" s="34">
        <f>AE1010+AR1010-AN1010-AT1010-AU1010-AV1010</f>
        <v/>
      </c>
      <c r="AX1010" s="29">
        <f>LoadPremRate*E1010*N1010+AK1010+AQ1010-AU1010-AT1010</f>
        <v/>
      </c>
      <c r="AY1010" s="34">
        <f>AP1010-AO1010</f>
        <v/>
      </c>
      <c r="AZ1010" s="37">
        <f>(AW1010-AX1010-AY1010)/MAX(1,ABS(AW1010),ABS(AX1010),ABS(AY1010))</f>
        <v/>
      </c>
      <c r="BA1010" s="37">
        <f>IF(OR(K1010&gt;0,K1011&gt;0),0,(AC1011-(AC1010+AF1010-AQ1010-AP1010+AR1010-AI1010-AJ1010-AM1010))/MAX(1,ABS(AC1010),ABS(AC1011)))</f>
        <v/>
      </c>
      <c r="BB1010" s="35">
        <f>(1+INDEX(DiscRateAnn,INT(A1010/12)+1))^(1/12)-1</f>
        <v/>
      </c>
      <c r="BC1010" s="31">
        <f>(1+BB1010)^-A1010</f>
        <v/>
      </c>
      <c r="BD1010" s="34">
        <f>AW1010*BC1010</f>
        <v/>
      </c>
    </row>
    <row r="1011">
      <c r="A1011" s="27">
        <f>A1010+1</f>
        <v/>
      </c>
      <c r="B1011" s="28">
        <f>Duration0+A1011</f>
        <v/>
      </c>
      <c r="C1011" s="27">
        <f>INT(B1011/12)</f>
        <v/>
      </c>
      <c r="D1011" s="28">
        <f>AgeAtEntry+C1011</f>
        <v/>
      </c>
      <c r="E1011" s="29">
        <f>IF(PremiumType="SINGLE",IF(B1011=0,PremiumPPInput,0),IF(B1011&lt;12*PolicyTerm,PremiumPPInput,0))</f>
        <v/>
      </c>
      <c r="F1011" s="30">
        <f>INDEX(MortRates,MATCH(MIN(D1011,120),MortAges,0),MAX(MIN(C1011,5),0)+1)</f>
        <v/>
      </c>
      <c r="G1011" s="31">
        <f>1-(1-F1011)^(1/12)</f>
        <v/>
      </c>
      <c r="H1011" s="32">
        <f>MAX(LapseBase-LapseStep*C1011,LapseFloor)</f>
        <v/>
      </c>
      <c r="I1011" s="32">
        <f>IF(HasSurrCharge,INDEX(SurrRates,MIN(C1011,SurrDurMax)+1,MATCH(SurrChargeID,SurrTypes,0)),0)</f>
        <v/>
      </c>
      <c r="J1011" s="33">
        <f>N1010-P1010-O1010</f>
        <v/>
      </c>
      <c r="K1011" s="30">
        <f>IF(B1011=12*PolicyTerm,J1011,0)</f>
        <v/>
      </c>
      <c r="L1011" s="33">
        <f>J1011-K1011</f>
        <v/>
      </c>
      <c r="M1011" s="30">
        <f>IF(B1011=0,PolicyCount,0)</f>
        <v/>
      </c>
      <c r="N1011" s="33">
        <f>L1011+M1011</f>
        <v/>
      </c>
      <c r="O1011" s="31">
        <f>N1011*G1011</f>
        <v/>
      </c>
      <c r="P1011" s="33">
        <f>(N1011-O1011)*(1-(1-H1011)^(1/12))</f>
        <v/>
      </c>
      <c r="Q1011" s="34">
        <f>X1010+Z1010</f>
        <v/>
      </c>
      <c r="R1011" s="29">
        <f>(1-LoadPremRate)*E1011</f>
        <v/>
      </c>
      <c r="S1011" s="34">
        <f>Q1011+R1011</f>
        <v/>
      </c>
      <c r="T1011" s="29">
        <f>MaintFeeRateAnn/12*S1011</f>
        <v/>
      </c>
      <c r="U1011" s="29">
        <f>MAX(SumAssured-S1011,0)</f>
        <v/>
      </c>
      <c r="V1011" s="35">
        <f>CoiMultiple*G1011</f>
        <v/>
      </c>
      <c r="W1011" s="34">
        <f>V1011*U1011</f>
        <v/>
      </c>
      <c r="X1011" s="34">
        <f>S1011-T1011-W1011</f>
        <v/>
      </c>
      <c r="Y1011" s="36">
        <f>EXP((Mu-0.5*Sigma^2)/12+Sigma*SQRT(1/12)*INDEX(NormRand,ScenID,A1011+1))-1</f>
        <v/>
      </c>
      <c r="Z1011" s="34">
        <f>Y1011*X1011</f>
        <v/>
      </c>
      <c r="AA1011" s="34">
        <f>X1011+0.5*Z1011</f>
        <v/>
      </c>
      <c r="AB1011" s="34">
        <f>Q1011*J1011</f>
        <v/>
      </c>
      <c r="AC1011" s="34">
        <f>Q1011*L1011</f>
        <v/>
      </c>
      <c r="AD1011" s="34">
        <f>S1011*N1011</f>
        <v/>
      </c>
      <c r="AE1011" s="34">
        <f>E1011*N1011</f>
        <v/>
      </c>
      <c r="AF1011" s="34">
        <f>R1011*N1011</f>
        <v/>
      </c>
      <c r="AG1011" s="29">
        <f>MAX(SumAssured,AA1011)</f>
        <v/>
      </c>
      <c r="AH1011" s="34">
        <f>AG1011*O1011</f>
        <v/>
      </c>
      <c r="AI1011" s="34">
        <f>AA1011*O1011</f>
        <v/>
      </c>
      <c r="AJ1011" s="34">
        <f>AA1011*P1011</f>
        <v/>
      </c>
      <c r="AK1011" s="34">
        <f>I1011*AA1011*P1011</f>
        <v/>
      </c>
      <c r="AL1011" s="34">
        <f>AJ1011-AK1011</f>
        <v/>
      </c>
      <c r="AM1011" s="34">
        <f>Q1011*K1011</f>
        <v/>
      </c>
      <c r="AN1011" s="34">
        <f>AH1011+AL1011+AM1011</f>
        <v/>
      </c>
      <c r="AO1011" s="34">
        <f>(AG1011-AA1011)*O1011</f>
        <v/>
      </c>
      <c r="AP1011" s="34">
        <f>W1011*N1011</f>
        <v/>
      </c>
      <c r="AQ1011" s="34">
        <f>T1011*N1011</f>
        <v/>
      </c>
      <c r="AR1011" s="34">
        <f>Z1011*J1012+0.5*Z1011*(O1011+P1011)</f>
        <v/>
      </c>
      <c r="AS1011" s="30">
        <f>(1+InflationRate)^(A1011/12)</f>
        <v/>
      </c>
      <c r="AT1011" s="29">
        <f>ExpenseAcq*M1011+N1011*ExpenseMaint/12*AS1011</f>
        <v/>
      </c>
      <c r="AU1011" s="29">
        <f>CommissionRate*AE1011</f>
        <v/>
      </c>
      <c r="AV1011" s="34">
        <f>AB1012-AB1011</f>
        <v/>
      </c>
      <c r="AW1011" s="34">
        <f>AE1011+AR1011-AN1011-AT1011-AU1011-AV1011</f>
        <v/>
      </c>
      <c r="AX1011" s="29">
        <f>LoadPremRate*E1011*N1011+AK1011+AQ1011-AU1011-AT1011</f>
        <v/>
      </c>
      <c r="AY1011" s="34">
        <f>AP1011-AO1011</f>
        <v/>
      </c>
      <c r="AZ1011" s="37">
        <f>(AW1011-AX1011-AY1011)/MAX(1,ABS(AW1011),ABS(AX1011),ABS(AY1011))</f>
        <v/>
      </c>
      <c r="BA1011" s="37">
        <f>IF(OR(K1011&gt;0,K1012&gt;0),0,(AC1012-(AC1011+AF1011-AQ1011-AP1011+AR1011-AI1011-AJ1011-AM1011))/MAX(1,ABS(AC1011),ABS(AC1012)))</f>
        <v/>
      </c>
      <c r="BB1011" s="35">
        <f>(1+INDEX(DiscRateAnn,INT(A1011/12)+1))^(1/12)-1</f>
        <v/>
      </c>
      <c r="BC1011" s="31">
        <f>(1+BB1011)^-A1011</f>
        <v/>
      </c>
      <c r="BD1011" s="34">
        <f>AW1011*BC1011</f>
        <v/>
      </c>
    </row>
    <row r="1012">
      <c r="A1012" s="27">
        <f>A1011+1</f>
        <v/>
      </c>
      <c r="B1012" s="28">
        <f>Duration0+A1012</f>
        <v/>
      </c>
      <c r="C1012" s="27">
        <f>INT(B1012/12)</f>
        <v/>
      </c>
      <c r="D1012" s="28">
        <f>AgeAtEntry+C1012</f>
        <v/>
      </c>
      <c r="E1012" s="29">
        <f>IF(PremiumType="SINGLE",IF(B1012=0,PremiumPPInput,0),IF(B1012&lt;12*PolicyTerm,PremiumPPInput,0))</f>
        <v/>
      </c>
      <c r="F1012" s="30">
        <f>INDEX(MortRates,MATCH(MIN(D1012,120),MortAges,0),MAX(MIN(C1012,5),0)+1)</f>
        <v/>
      </c>
      <c r="G1012" s="31">
        <f>1-(1-F1012)^(1/12)</f>
        <v/>
      </c>
      <c r="H1012" s="32">
        <f>MAX(LapseBase-LapseStep*C1012,LapseFloor)</f>
        <v/>
      </c>
      <c r="I1012" s="32">
        <f>IF(HasSurrCharge,INDEX(SurrRates,MIN(C1012,SurrDurMax)+1,MATCH(SurrChargeID,SurrTypes,0)),0)</f>
        <v/>
      </c>
      <c r="J1012" s="33">
        <f>N1011-P1011-O1011</f>
        <v/>
      </c>
      <c r="K1012" s="30">
        <f>IF(B1012=12*PolicyTerm,J1012,0)</f>
        <v/>
      </c>
      <c r="L1012" s="33">
        <f>J1012-K1012</f>
        <v/>
      </c>
      <c r="M1012" s="30">
        <f>IF(B1012=0,PolicyCount,0)</f>
        <v/>
      </c>
      <c r="N1012" s="33">
        <f>L1012+M1012</f>
        <v/>
      </c>
      <c r="O1012" s="31">
        <f>N1012*G1012</f>
        <v/>
      </c>
      <c r="P1012" s="33">
        <f>(N1012-O1012)*(1-(1-H1012)^(1/12))</f>
        <v/>
      </c>
      <c r="Q1012" s="34">
        <f>X1011+Z1011</f>
        <v/>
      </c>
      <c r="R1012" s="29">
        <f>(1-LoadPremRate)*E1012</f>
        <v/>
      </c>
      <c r="S1012" s="34">
        <f>Q1012+R1012</f>
        <v/>
      </c>
      <c r="T1012" s="29">
        <f>MaintFeeRateAnn/12*S1012</f>
        <v/>
      </c>
      <c r="U1012" s="29">
        <f>MAX(SumAssured-S1012,0)</f>
        <v/>
      </c>
      <c r="V1012" s="35">
        <f>CoiMultiple*G1012</f>
        <v/>
      </c>
      <c r="W1012" s="34">
        <f>V1012*U1012</f>
        <v/>
      </c>
      <c r="X1012" s="34">
        <f>S1012-T1012-W1012</f>
        <v/>
      </c>
      <c r="Y1012" s="36">
        <f>EXP((Mu-0.5*Sigma^2)/12+Sigma*SQRT(1/12)*INDEX(NormRand,ScenID,A1012+1))-1</f>
        <v/>
      </c>
      <c r="Z1012" s="34">
        <f>Y1012*X1012</f>
        <v/>
      </c>
      <c r="AA1012" s="34">
        <f>X1012+0.5*Z1012</f>
        <v/>
      </c>
      <c r="AB1012" s="34">
        <f>Q1012*J1012</f>
        <v/>
      </c>
      <c r="AC1012" s="34">
        <f>Q1012*L1012</f>
        <v/>
      </c>
      <c r="AD1012" s="34">
        <f>S1012*N1012</f>
        <v/>
      </c>
      <c r="AE1012" s="34">
        <f>E1012*N1012</f>
        <v/>
      </c>
      <c r="AF1012" s="34">
        <f>R1012*N1012</f>
        <v/>
      </c>
      <c r="AG1012" s="29">
        <f>MAX(SumAssured,AA1012)</f>
        <v/>
      </c>
      <c r="AH1012" s="34">
        <f>AG1012*O1012</f>
        <v/>
      </c>
      <c r="AI1012" s="34">
        <f>AA1012*O1012</f>
        <v/>
      </c>
      <c r="AJ1012" s="34">
        <f>AA1012*P1012</f>
        <v/>
      </c>
      <c r="AK1012" s="34">
        <f>I1012*AA1012*P1012</f>
        <v/>
      </c>
      <c r="AL1012" s="34">
        <f>AJ1012-AK1012</f>
        <v/>
      </c>
      <c r="AM1012" s="34">
        <f>Q1012*K1012</f>
        <v/>
      </c>
      <c r="AN1012" s="34">
        <f>AH1012+AL1012+AM1012</f>
        <v/>
      </c>
      <c r="AO1012" s="34">
        <f>(AG1012-AA1012)*O1012</f>
        <v/>
      </c>
      <c r="AP1012" s="34">
        <f>W1012*N1012</f>
        <v/>
      </c>
      <c r="AQ1012" s="34">
        <f>T1012*N1012</f>
        <v/>
      </c>
      <c r="AR1012" s="34">
        <f>Z1012*J1013+0.5*Z1012*(O1012+P1012)</f>
        <v/>
      </c>
      <c r="AS1012" s="30">
        <f>(1+InflationRate)^(A1012/12)</f>
        <v/>
      </c>
      <c r="AT1012" s="29">
        <f>ExpenseAcq*M1012+N1012*ExpenseMaint/12*AS1012</f>
        <v/>
      </c>
      <c r="AU1012" s="29">
        <f>CommissionRate*AE1012</f>
        <v/>
      </c>
      <c r="AV1012" s="34">
        <f>AB1013-AB1012</f>
        <v/>
      </c>
      <c r="AW1012" s="34">
        <f>AE1012+AR1012-AN1012-AT1012-AU1012-AV1012</f>
        <v/>
      </c>
      <c r="AX1012" s="29">
        <f>LoadPremRate*E1012*N1012+AK1012+AQ1012-AU1012-AT1012</f>
        <v/>
      </c>
      <c r="AY1012" s="34">
        <f>AP1012-AO1012</f>
        <v/>
      </c>
      <c r="AZ1012" s="37">
        <f>(AW1012-AX1012-AY1012)/MAX(1,ABS(AW1012),ABS(AX1012),ABS(AY1012))</f>
        <v/>
      </c>
      <c r="BA1012" s="37">
        <f>IF(OR(K1012&gt;0,K1013&gt;0),0,(AC1013-(AC1012+AF1012-AQ1012-AP1012+AR1012-AI1012-AJ1012-AM1012))/MAX(1,ABS(AC1012),ABS(AC1013)))</f>
        <v/>
      </c>
      <c r="BB1012" s="35">
        <f>(1+INDEX(DiscRateAnn,INT(A1012/12)+1))^(1/12)-1</f>
        <v/>
      </c>
      <c r="BC1012" s="31">
        <f>(1+BB1012)^-A1012</f>
        <v/>
      </c>
      <c r="BD1012" s="34">
        <f>AW1012*BC1012</f>
        <v/>
      </c>
    </row>
    <row r="1013">
      <c r="A1013" s="27">
        <f>A1012+1</f>
        <v/>
      </c>
      <c r="B1013" s="28">
        <f>Duration0+A1013</f>
        <v/>
      </c>
      <c r="C1013" s="27">
        <f>INT(B1013/12)</f>
        <v/>
      </c>
      <c r="D1013" s="28">
        <f>AgeAtEntry+C1013</f>
        <v/>
      </c>
      <c r="E1013" s="29">
        <f>IF(PremiumType="SINGLE",IF(B1013=0,PremiumPPInput,0),IF(B1013&lt;12*PolicyTerm,PremiumPPInput,0))</f>
        <v/>
      </c>
      <c r="F1013" s="30">
        <f>INDEX(MortRates,MATCH(MIN(D1013,120),MortAges,0),MAX(MIN(C1013,5),0)+1)</f>
        <v/>
      </c>
      <c r="G1013" s="31">
        <f>1-(1-F1013)^(1/12)</f>
        <v/>
      </c>
      <c r="H1013" s="32">
        <f>MAX(LapseBase-LapseStep*C1013,LapseFloor)</f>
        <v/>
      </c>
      <c r="I1013" s="32">
        <f>IF(HasSurrCharge,INDEX(SurrRates,MIN(C1013,SurrDurMax)+1,MATCH(SurrChargeID,SurrTypes,0)),0)</f>
        <v/>
      </c>
      <c r="J1013" s="33">
        <f>N1012-P1012-O1012</f>
        <v/>
      </c>
      <c r="K1013" s="30">
        <f>IF(B1013=12*PolicyTerm,J1013,0)</f>
        <v/>
      </c>
      <c r="L1013" s="33">
        <f>J1013-K1013</f>
        <v/>
      </c>
      <c r="M1013" s="30">
        <f>IF(B1013=0,PolicyCount,0)</f>
        <v/>
      </c>
      <c r="N1013" s="33">
        <f>L1013+M1013</f>
        <v/>
      </c>
      <c r="O1013" s="31">
        <f>N1013*G1013</f>
        <v/>
      </c>
      <c r="P1013" s="33">
        <f>(N1013-O1013)*(1-(1-H1013)^(1/12))</f>
        <v/>
      </c>
      <c r="Q1013" s="34">
        <f>X1012+Z1012</f>
        <v/>
      </c>
      <c r="R1013" s="29">
        <f>(1-LoadPremRate)*E1013</f>
        <v/>
      </c>
      <c r="S1013" s="34">
        <f>Q1013+R1013</f>
        <v/>
      </c>
      <c r="T1013" s="29">
        <f>MaintFeeRateAnn/12*S1013</f>
        <v/>
      </c>
      <c r="U1013" s="29">
        <f>MAX(SumAssured-S1013,0)</f>
        <v/>
      </c>
      <c r="V1013" s="35">
        <f>CoiMultiple*G1013</f>
        <v/>
      </c>
      <c r="W1013" s="34">
        <f>V1013*U1013</f>
        <v/>
      </c>
      <c r="X1013" s="34">
        <f>S1013-T1013-W1013</f>
        <v/>
      </c>
      <c r="Y1013" s="36">
        <f>EXP((Mu-0.5*Sigma^2)/12+Sigma*SQRT(1/12)*INDEX(NormRand,ScenID,A1013+1))-1</f>
        <v/>
      </c>
      <c r="Z1013" s="34">
        <f>Y1013*X1013</f>
        <v/>
      </c>
      <c r="AA1013" s="34">
        <f>X1013+0.5*Z1013</f>
        <v/>
      </c>
      <c r="AB1013" s="34">
        <f>Q1013*J1013</f>
        <v/>
      </c>
      <c r="AC1013" s="34">
        <f>Q1013*L1013</f>
        <v/>
      </c>
      <c r="AD1013" s="34">
        <f>S1013*N1013</f>
        <v/>
      </c>
      <c r="AE1013" s="34">
        <f>E1013*N1013</f>
        <v/>
      </c>
      <c r="AF1013" s="34">
        <f>R1013*N1013</f>
        <v/>
      </c>
      <c r="AG1013" s="29">
        <f>MAX(SumAssured,AA1013)</f>
        <v/>
      </c>
      <c r="AH1013" s="34">
        <f>AG1013*O1013</f>
        <v/>
      </c>
      <c r="AI1013" s="34">
        <f>AA1013*O1013</f>
        <v/>
      </c>
      <c r="AJ1013" s="34">
        <f>AA1013*P1013</f>
        <v/>
      </c>
      <c r="AK1013" s="34">
        <f>I1013*AA1013*P1013</f>
        <v/>
      </c>
      <c r="AL1013" s="34">
        <f>AJ1013-AK1013</f>
        <v/>
      </c>
      <c r="AM1013" s="34">
        <f>Q1013*K1013</f>
        <v/>
      </c>
      <c r="AN1013" s="34">
        <f>AH1013+AL1013+AM1013</f>
        <v/>
      </c>
      <c r="AO1013" s="34">
        <f>(AG1013-AA1013)*O1013</f>
        <v/>
      </c>
      <c r="AP1013" s="34">
        <f>W1013*N1013</f>
        <v/>
      </c>
      <c r="AQ1013" s="34">
        <f>T1013*N1013</f>
        <v/>
      </c>
      <c r="AR1013" s="34">
        <f>Z1013*J1014+0.5*Z1013*(O1013+P1013)</f>
        <v/>
      </c>
      <c r="AS1013" s="30">
        <f>(1+InflationRate)^(A1013/12)</f>
        <v/>
      </c>
      <c r="AT1013" s="29">
        <f>ExpenseAcq*M1013+N1013*ExpenseMaint/12*AS1013</f>
        <v/>
      </c>
      <c r="AU1013" s="29">
        <f>CommissionRate*AE1013</f>
        <v/>
      </c>
      <c r="AV1013" s="34">
        <f>AB1014-AB1013</f>
        <v/>
      </c>
      <c r="AW1013" s="34">
        <f>AE1013+AR1013-AN1013-AT1013-AU1013-AV1013</f>
        <v/>
      </c>
      <c r="AX1013" s="29">
        <f>LoadPremRate*E1013*N1013+AK1013+AQ1013-AU1013-AT1013</f>
        <v/>
      </c>
      <c r="AY1013" s="34">
        <f>AP1013-AO1013</f>
        <v/>
      </c>
      <c r="AZ1013" s="37">
        <f>(AW1013-AX1013-AY1013)/MAX(1,ABS(AW1013),ABS(AX1013),ABS(AY1013))</f>
        <v/>
      </c>
      <c r="BA1013" s="37">
        <f>IF(OR(K1013&gt;0,K1014&gt;0),0,(AC1014-(AC1013+AF1013-AQ1013-AP1013+AR1013-AI1013-AJ1013-AM1013))/MAX(1,ABS(AC1013),ABS(AC1014)))</f>
        <v/>
      </c>
      <c r="BB1013" s="35">
        <f>(1+INDEX(DiscRateAnn,INT(A1013/12)+1))^(1/12)-1</f>
        <v/>
      </c>
      <c r="BC1013" s="31">
        <f>(1+BB1013)^-A1013</f>
        <v/>
      </c>
      <c r="BD1013" s="34">
        <f>AW1013*BC1013</f>
        <v/>
      </c>
    </row>
    <row r="1014">
      <c r="A1014" s="27">
        <f>A1013+1</f>
        <v/>
      </c>
      <c r="B1014" s="28">
        <f>Duration0+A1014</f>
        <v/>
      </c>
      <c r="C1014" s="27">
        <f>INT(B1014/12)</f>
        <v/>
      </c>
      <c r="D1014" s="28">
        <f>AgeAtEntry+C1014</f>
        <v/>
      </c>
      <c r="E1014" s="29">
        <f>IF(PremiumType="SINGLE",IF(B1014=0,PremiumPPInput,0),IF(B1014&lt;12*PolicyTerm,PremiumPPInput,0))</f>
        <v/>
      </c>
      <c r="F1014" s="30">
        <f>INDEX(MortRates,MATCH(MIN(D1014,120),MortAges,0),MAX(MIN(C1014,5),0)+1)</f>
        <v/>
      </c>
      <c r="G1014" s="31">
        <f>1-(1-F1014)^(1/12)</f>
        <v/>
      </c>
      <c r="H1014" s="32">
        <f>MAX(LapseBase-LapseStep*C1014,LapseFloor)</f>
        <v/>
      </c>
      <c r="I1014" s="32">
        <f>IF(HasSurrCharge,INDEX(SurrRates,MIN(C1014,SurrDurMax)+1,MATCH(SurrChargeID,SurrTypes,0)),0)</f>
        <v/>
      </c>
      <c r="J1014" s="33">
        <f>N1013-P1013-O1013</f>
        <v/>
      </c>
      <c r="K1014" s="30">
        <f>IF(B1014=12*PolicyTerm,J1014,0)</f>
        <v/>
      </c>
      <c r="L1014" s="33">
        <f>J1014-K1014</f>
        <v/>
      </c>
      <c r="M1014" s="30">
        <f>IF(B1014=0,PolicyCount,0)</f>
        <v/>
      </c>
      <c r="N1014" s="33">
        <f>L1014+M1014</f>
        <v/>
      </c>
      <c r="O1014" s="31">
        <f>N1014*G1014</f>
        <v/>
      </c>
      <c r="P1014" s="33">
        <f>(N1014-O1014)*(1-(1-H1014)^(1/12))</f>
        <v/>
      </c>
      <c r="Q1014" s="34">
        <f>X1013+Z1013</f>
        <v/>
      </c>
      <c r="R1014" s="29">
        <f>(1-LoadPremRate)*E1014</f>
        <v/>
      </c>
      <c r="S1014" s="34">
        <f>Q1014+R1014</f>
        <v/>
      </c>
      <c r="T1014" s="29">
        <f>MaintFeeRateAnn/12*S1014</f>
        <v/>
      </c>
      <c r="U1014" s="29">
        <f>MAX(SumAssured-S1014,0)</f>
        <v/>
      </c>
      <c r="V1014" s="35">
        <f>CoiMultiple*G1014</f>
        <v/>
      </c>
      <c r="W1014" s="34">
        <f>V1014*U1014</f>
        <v/>
      </c>
      <c r="X1014" s="34">
        <f>S1014-T1014-W1014</f>
        <v/>
      </c>
      <c r="Y1014" s="36">
        <f>EXP((Mu-0.5*Sigma^2)/12+Sigma*SQRT(1/12)*INDEX(NormRand,ScenID,A1014+1))-1</f>
        <v/>
      </c>
      <c r="Z1014" s="34">
        <f>Y1014*X1014</f>
        <v/>
      </c>
      <c r="AA1014" s="34">
        <f>X1014+0.5*Z1014</f>
        <v/>
      </c>
      <c r="AB1014" s="34">
        <f>Q1014*J1014</f>
        <v/>
      </c>
      <c r="AC1014" s="34">
        <f>Q1014*L1014</f>
        <v/>
      </c>
      <c r="AD1014" s="34">
        <f>S1014*N1014</f>
        <v/>
      </c>
      <c r="AE1014" s="34">
        <f>E1014*N1014</f>
        <v/>
      </c>
      <c r="AF1014" s="34">
        <f>R1014*N1014</f>
        <v/>
      </c>
      <c r="AG1014" s="29">
        <f>MAX(SumAssured,AA1014)</f>
        <v/>
      </c>
      <c r="AH1014" s="34">
        <f>AG1014*O1014</f>
        <v/>
      </c>
      <c r="AI1014" s="34">
        <f>AA1014*O1014</f>
        <v/>
      </c>
      <c r="AJ1014" s="34">
        <f>AA1014*P1014</f>
        <v/>
      </c>
      <c r="AK1014" s="34">
        <f>I1014*AA1014*P1014</f>
        <v/>
      </c>
      <c r="AL1014" s="34">
        <f>AJ1014-AK1014</f>
        <v/>
      </c>
      <c r="AM1014" s="34">
        <f>Q1014*K1014</f>
        <v/>
      </c>
      <c r="AN1014" s="34">
        <f>AH1014+AL1014+AM1014</f>
        <v/>
      </c>
      <c r="AO1014" s="34">
        <f>(AG1014-AA1014)*O1014</f>
        <v/>
      </c>
      <c r="AP1014" s="34">
        <f>W1014*N1014</f>
        <v/>
      </c>
      <c r="AQ1014" s="34">
        <f>T1014*N1014</f>
        <v/>
      </c>
      <c r="AR1014" s="34">
        <f>Z1014*J1015+0.5*Z1014*(O1014+P1014)</f>
        <v/>
      </c>
      <c r="AS1014" s="30">
        <f>(1+InflationRate)^(A1014/12)</f>
        <v/>
      </c>
      <c r="AT1014" s="29">
        <f>ExpenseAcq*M1014+N1014*ExpenseMaint/12*AS1014</f>
        <v/>
      </c>
      <c r="AU1014" s="29">
        <f>CommissionRate*AE1014</f>
        <v/>
      </c>
      <c r="AV1014" s="34">
        <f>AB1015-AB1014</f>
        <v/>
      </c>
      <c r="AW1014" s="34">
        <f>AE1014+AR1014-AN1014-AT1014-AU1014-AV1014</f>
        <v/>
      </c>
      <c r="AX1014" s="29">
        <f>LoadPremRate*E1014*N1014+AK1014+AQ1014-AU1014-AT1014</f>
        <v/>
      </c>
      <c r="AY1014" s="34">
        <f>AP1014-AO1014</f>
        <v/>
      </c>
      <c r="AZ1014" s="37">
        <f>(AW1014-AX1014-AY1014)/MAX(1,ABS(AW1014),ABS(AX1014),ABS(AY1014))</f>
        <v/>
      </c>
      <c r="BA1014" s="37">
        <f>IF(OR(K1014&gt;0,K1015&gt;0),0,(AC1015-(AC1014+AF1014-AQ1014-AP1014+AR1014-AI1014-AJ1014-AM1014))/MAX(1,ABS(AC1014),ABS(AC1015)))</f>
        <v/>
      </c>
      <c r="BB1014" s="35">
        <f>(1+INDEX(DiscRateAnn,INT(A1014/12)+1))^(1/12)-1</f>
        <v/>
      </c>
      <c r="BC1014" s="31">
        <f>(1+BB1014)^-A1014</f>
        <v/>
      </c>
      <c r="BD1014" s="34">
        <f>AW1014*BC1014</f>
        <v/>
      </c>
    </row>
    <row r="1015">
      <c r="A1015" s="27">
        <f>A1014+1</f>
        <v/>
      </c>
      <c r="B1015" s="28">
        <f>Duration0+A1015</f>
        <v/>
      </c>
      <c r="C1015" s="27">
        <f>INT(B1015/12)</f>
        <v/>
      </c>
      <c r="D1015" s="28">
        <f>AgeAtEntry+C1015</f>
        <v/>
      </c>
      <c r="E1015" s="29">
        <f>IF(PremiumType="SINGLE",IF(B1015=0,PremiumPPInput,0),IF(B1015&lt;12*PolicyTerm,PremiumPPInput,0))</f>
        <v/>
      </c>
      <c r="F1015" s="30">
        <f>INDEX(MortRates,MATCH(MIN(D1015,120),MortAges,0),MAX(MIN(C1015,5),0)+1)</f>
        <v/>
      </c>
      <c r="G1015" s="31">
        <f>1-(1-F1015)^(1/12)</f>
        <v/>
      </c>
      <c r="H1015" s="32">
        <f>MAX(LapseBase-LapseStep*C1015,LapseFloor)</f>
        <v/>
      </c>
      <c r="I1015" s="32">
        <f>IF(HasSurrCharge,INDEX(SurrRates,MIN(C1015,SurrDurMax)+1,MATCH(SurrChargeID,SurrTypes,0)),0)</f>
        <v/>
      </c>
      <c r="J1015" s="33">
        <f>N1014-P1014-O1014</f>
        <v/>
      </c>
      <c r="K1015" s="30">
        <f>IF(B1015=12*PolicyTerm,J1015,0)</f>
        <v/>
      </c>
      <c r="L1015" s="33">
        <f>J1015-K1015</f>
        <v/>
      </c>
      <c r="M1015" s="30">
        <f>IF(B1015=0,PolicyCount,0)</f>
        <v/>
      </c>
      <c r="N1015" s="33">
        <f>L1015+M1015</f>
        <v/>
      </c>
      <c r="O1015" s="31">
        <f>N1015*G1015</f>
        <v/>
      </c>
      <c r="P1015" s="33">
        <f>(N1015-O1015)*(1-(1-H1015)^(1/12))</f>
        <v/>
      </c>
      <c r="Q1015" s="34">
        <f>X1014+Z1014</f>
        <v/>
      </c>
      <c r="R1015" s="29">
        <f>(1-LoadPremRate)*E1015</f>
        <v/>
      </c>
      <c r="S1015" s="34">
        <f>Q1015+R1015</f>
        <v/>
      </c>
      <c r="T1015" s="29">
        <f>MaintFeeRateAnn/12*S1015</f>
        <v/>
      </c>
      <c r="U1015" s="29">
        <f>MAX(SumAssured-S1015,0)</f>
        <v/>
      </c>
      <c r="V1015" s="35">
        <f>CoiMultiple*G1015</f>
        <v/>
      </c>
      <c r="W1015" s="34">
        <f>V1015*U1015</f>
        <v/>
      </c>
      <c r="X1015" s="34">
        <f>S1015-T1015-W1015</f>
        <v/>
      </c>
      <c r="Y1015" s="36">
        <f>EXP((Mu-0.5*Sigma^2)/12+Sigma*SQRT(1/12)*INDEX(NormRand,ScenID,A1015+1))-1</f>
        <v/>
      </c>
      <c r="Z1015" s="34">
        <f>Y1015*X1015</f>
        <v/>
      </c>
      <c r="AA1015" s="34">
        <f>X1015+0.5*Z1015</f>
        <v/>
      </c>
      <c r="AB1015" s="34">
        <f>Q1015*J1015</f>
        <v/>
      </c>
      <c r="AC1015" s="34">
        <f>Q1015*L1015</f>
        <v/>
      </c>
      <c r="AD1015" s="34">
        <f>S1015*N1015</f>
        <v/>
      </c>
      <c r="AE1015" s="34">
        <f>E1015*N1015</f>
        <v/>
      </c>
      <c r="AF1015" s="34">
        <f>R1015*N1015</f>
        <v/>
      </c>
      <c r="AG1015" s="29">
        <f>MAX(SumAssured,AA1015)</f>
        <v/>
      </c>
      <c r="AH1015" s="34">
        <f>AG1015*O1015</f>
        <v/>
      </c>
      <c r="AI1015" s="34">
        <f>AA1015*O1015</f>
        <v/>
      </c>
      <c r="AJ1015" s="34">
        <f>AA1015*P1015</f>
        <v/>
      </c>
      <c r="AK1015" s="34">
        <f>I1015*AA1015*P1015</f>
        <v/>
      </c>
      <c r="AL1015" s="34">
        <f>AJ1015-AK1015</f>
        <v/>
      </c>
      <c r="AM1015" s="34">
        <f>Q1015*K1015</f>
        <v/>
      </c>
      <c r="AN1015" s="34">
        <f>AH1015+AL1015+AM1015</f>
        <v/>
      </c>
      <c r="AO1015" s="34">
        <f>(AG1015-AA1015)*O1015</f>
        <v/>
      </c>
      <c r="AP1015" s="34">
        <f>W1015*N1015</f>
        <v/>
      </c>
      <c r="AQ1015" s="34">
        <f>T1015*N1015</f>
        <v/>
      </c>
      <c r="AR1015" s="34">
        <f>Z1015*J1016+0.5*Z1015*(O1015+P1015)</f>
        <v/>
      </c>
      <c r="AS1015" s="30">
        <f>(1+InflationRate)^(A1015/12)</f>
        <v/>
      </c>
      <c r="AT1015" s="29">
        <f>ExpenseAcq*M1015+N1015*ExpenseMaint/12*AS1015</f>
        <v/>
      </c>
      <c r="AU1015" s="29">
        <f>CommissionRate*AE1015</f>
        <v/>
      </c>
      <c r="AV1015" s="34">
        <f>AB1016-AB1015</f>
        <v/>
      </c>
      <c r="AW1015" s="34">
        <f>AE1015+AR1015-AN1015-AT1015-AU1015-AV1015</f>
        <v/>
      </c>
      <c r="AX1015" s="29">
        <f>LoadPremRate*E1015*N1015+AK1015+AQ1015-AU1015-AT1015</f>
        <v/>
      </c>
      <c r="AY1015" s="34">
        <f>AP1015-AO1015</f>
        <v/>
      </c>
      <c r="AZ1015" s="37">
        <f>(AW1015-AX1015-AY1015)/MAX(1,ABS(AW1015),ABS(AX1015),ABS(AY1015))</f>
        <v/>
      </c>
      <c r="BA1015" s="37">
        <f>IF(OR(K1015&gt;0,K1016&gt;0),0,(AC1016-(AC1015+AF1015-AQ1015-AP1015+AR1015-AI1015-AJ1015-AM1015))/MAX(1,ABS(AC1015),ABS(AC1016)))</f>
        <v/>
      </c>
      <c r="BB1015" s="35">
        <f>(1+INDEX(DiscRateAnn,INT(A1015/12)+1))^(1/12)-1</f>
        <v/>
      </c>
      <c r="BC1015" s="31">
        <f>(1+BB1015)^-A1015</f>
        <v/>
      </c>
      <c r="BD1015" s="34">
        <f>AW1015*BC1015</f>
        <v/>
      </c>
    </row>
    <row r="1016">
      <c r="A1016" s="27">
        <f>A1015+1</f>
        <v/>
      </c>
      <c r="B1016" s="28">
        <f>Duration0+A1016</f>
        <v/>
      </c>
      <c r="C1016" s="27">
        <f>INT(B1016/12)</f>
        <v/>
      </c>
      <c r="D1016" s="28">
        <f>AgeAtEntry+C1016</f>
        <v/>
      </c>
      <c r="E1016" s="29">
        <f>IF(PremiumType="SINGLE",IF(B1016=0,PremiumPPInput,0),IF(B1016&lt;12*PolicyTerm,PremiumPPInput,0))</f>
        <v/>
      </c>
      <c r="F1016" s="30">
        <f>INDEX(MortRates,MATCH(MIN(D1016,120),MortAges,0),MAX(MIN(C1016,5),0)+1)</f>
        <v/>
      </c>
      <c r="G1016" s="31">
        <f>1-(1-F1016)^(1/12)</f>
        <v/>
      </c>
      <c r="H1016" s="32">
        <f>MAX(LapseBase-LapseStep*C1016,LapseFloor)</f>
        <v/>
      </c>
      <c r="I1016" s="32">
        <f>IF(HasSurrCharge,INDEX(SurrRates,MIN(C1016,SurrDurMax)+1,MATCH(SurrChargeID,SurrTypes,0)),0)</f>
        <v/>
      </c>
      <c r="J1016" s="33">
        <f>N1015-P1015-O1015</f>
        <v/>
      </c>
      <c r="K1016" s="30">
        <f>IF(B1016=12*PolicyTerm,J1016,0)</f>
        <v/>
      </c>
      <c r="L1016" s="33">
        <f>J1016-K1016</f>
        <v/>
      </c>
      <c r="M1016" s="30">
        <f>IF(B1016=0,PolicyCount,0)</f>
        <v/>
      </c>
      <c r="N1016" s="33">
        <f>L1016+M1016</f>
        <v/>
      </c>
      <c r="O1016" s="31">
        <f>N1016*G1016</f>
        <v/>
      </c>
      <c r="P1016" s="33">
        <f>(N1016-O1016)*(1-(1-H1016)^(1/12))</f>
        <v/>
      </c>
      <c r="Q1016" s="34">
        <f>X1015+Z1015</f>
        <v/>
      </c>
      <c r="R1016" s="29">
        <f>(1-LoadPremRate)*E1016</f>
        <v/>
      </c>
      <c r="S1016" s="34">
        <f>Q1016+R1016</f>
        <v/>
      </c>
      <c r="T1016" s="29">
        <f>MaintFeeRateAnn/12*S1016</f>
        <v/>
      </c>
      <c r="U1016" s="29">
        <f>MAX(SumAssured-S1016,0)</f>
        <v/>
      </c>
      <c r="V1016" s="35">
        <f>CoiMultiple*G1016</f>
        <v/>
      </c>
      <c r="W1016" s="34">
        <f>V1016*U1016</f>
        <v/>
      </c>
      <c r="X1016" s="34">
        <f>S1016-T1016-W1016</f>
        <v/>
      </c>
      <c r="Y1016" s="36">
        <f>EXP((Mu-0.5*Sigma^2)/12+Sigma*SQRT(1/12)*INDEX(NormRand,ScenID,A1016+1))-1</f>
        <v/>
      </c>
      <c r="Z1016" s="34">
        <f>Y1016*X1016</f>
        <v/>
      </c>
      <c r="AA1016" s="34">
        <f>X1016+0.5*Z1016</f>
        <v/>
      </c>
      <c r="AB1016" s="34">
        <f>Q1016*J1016</f>
        <v/>
      </c>
      <c r="AC1016" s="34">
        <f>Q1016*L1016</f>
        <v/>
      </c>
      <c r="AD1016" s="34">
        <f>S1016*N1016</f>
        <v/>
      </c>
      <c r="AE1016" s="34">
        <f>E1016*N1016</f>
        <v/>
      </c>
      <c r="AF1016" s="34">
        <f>R1016*N1016</f>
        <v/>
      </c>
      <c r="AG1016" s="29">
        <f>MAX(SumAssured,AA1016)</f>
        <v/>
      </c>
      <c r="AH1016" s="34">
        <f>AG1016*O1016</f>
        <v/>
      </c>
      <c r="AI1016" s="34">
        <f>AA1016*O1016</f>
        <v/>
      </c>
      <c r="AJ1016" s="34">
        <f>AA1016*P1016</f>
        <v/>
      </c>
      <c r="AK1016" s="34">
        <f>I1016*AA1016*P1016</f>
        <v/>
      </c>
      <c r="AL1016" s="34">
        <f>AJ1016-AK1016</f>
        <v/>
      </c>
      <c r="AM1016" s="34">
        <f>Q1016*K1016</f>
        <v/>
      </c>
      <c r="AN1016" s="34">
        <f>AH1016+AL1016+AM1016</f>
        <v/>
      </c>
      <c r="AO1016" s="34">
        <f>(AG1016-AA1016)*O1016</f>
        <v/>
      </c>
      <c r="AP1016" s="34">
        <f>W1016*N1016</f>
        <v/>
      </c>
      <c r="AQ1016" s="34">
        <f>T1016*N1016</f>
        <v/>
      </c>
      <c r="AR1016" s="34">
        <f>Z1016*J1017+0.5*Z1016*(O1016+P1016)</f>
        <v/>
      </c>
      <c r="AS1016" s="30">
        <f>(1+InflationRate)^(A1016/12)</f>
        <v/>
      </c>
      <c r="AT1016" s="29">
        <f>ExpenseAcq*M1016+N1016*ExpenseMaint/12*AS1016</f>
        <v/>
      </c>
      <c r="AU1016" s="29">
        <f>CommissionRate*AE1016</f>
        <v/>
      </c>
      <c r="AV1016" s="34">
        <f>AB1017-AB1016</f>
        <v/>
      </c>
      <c r="AW1016" s="34">
        <f>AE1016+AR1016-AN1016-AT1016-AU1016-AV1016</f>
        <v/>
      </c>
      <c r="AX1016" s="29">
        <f>LoadPremRate*E1016*N1016+AK1016+AQ1016-AU1016-AT1016</f>
        <v/>
      </c>
      <c r="AY1016" s="34">
        <f>AP1016-AO1016</f>
        <v/>
      </c>
      <c r="AZ1016" s="37">
        <f>(AW1016-AX1016-AY1016)/MAX(1,ABS(AW1016),ABS(AX1016),ABS(AY1016))</f>
        <v/>
      </c>
      <c r="BA1016" s="37">
        <f>IF(OR(K1016&gt;0,K1017&gt;0),0,(AC1017-(AC1016+AF1016-AQ1016-AP1016+AR1016-AI1016-AJ1016-AM1016))/MAX(1,ABS(AC1016),ABS(AC1017)))</f>
        <v/>
      </c>
      <c r="BB1016" s="35">
        <f>(1+INDEX(DiscRateAnn,INT(A1016/12)+1))^(1/12)-1</f>
        <v/>
      </c>
      <c r="BC1016" s="31">
        <f>(1+BB1016)^-A1016</f>
        <v/>
      </c>
      <c r="BD1016" s="34">
        <f>AW1016*BC1016</f>
        <v/>
      </c>
    </row>
    <row r="1017">
      <c r="A1017" s="27">
        <f>A1016+1</f>
        <v/>
      </c>
      <c r="B1017" s="28">
        <f>Duration0+A1017</f>
        <v/>
      </c>
      <c r="C1017" s="27">
        <f>INT(B1017/12)</f>
        <v/>
      </c>
      <c r="D1017" s="28">
        <f>AgeAtEntry+C1017</f>
        <v/>
      </c>
      <c r="E1017" s="29">
        <f>IF(PremiumType="SINGLE",IF(B1017=0,PremiumPPInput,0),IF(B1017&lt;12*PolicyTerm,PremiumPPInput,0))</f>
        <v/>
      </c>
      <c r="F1017" s="30">
        <f>INDEX(MortRates,MATCH(MIN(D1017,120),MortAges,0),MAX(MIN(C1017,5),0)+1)</f>
        <v/>
      </c>
      <c r="G1017" s="31">
        <f>1-(1-F1017)^(1/12)</f>
        <v/>
      </c>
      <c r="H1017" s="32">
        <f>MAX(LapseBase-LapseStep*C1017,LapseFloor)</f>
        <v/>
      </c>
      <c r="I1017" s="32">
        <f>IF(HasSurrCharge,INDEX(SurrRates,MIN(C1017,SurrDurMax)+1,MATCH(SurrChargeID,SurrTypes,0)),0)</f>
        <v/>
      </c>
      <c r="J1017" s="33">
        <f>N1016-P1016-O1016</f>
        <v/>
      </c>
      <c r="K1017" s="30">
        <f>IF(B1017=12*PolicyTerm,J1017,0)</f>
        <v/>
      </c>
      <c r="L1017" s="33">
        <f>J1017-K1017</f>
        <v/>
      </c>
      <c r="M1017" s="30">
        <f>IF(B1017=0,PolicyCount,0)</f>
        <v/>
      </c>
      <c r="N1017" s="33">
        <f>L1017+M1017</f>
        <v/>
      </c>
      <c r="O1017" s="31">
        <f>N1017*G1017</f>
        <v/>
      </c>
      <c r="P1017" s="33">
        <f>(N1017-O1017)*(1-(1-H1017)^(1/12))</f>
        <v/>
      </c>
      <c r="Q1017" s="34">
        <f>X1016+Z1016</f>
        <v/>
      </c>
      <c r="R1017" s="29">
        <f>(1-LoadPremRate)*E1017</f>
        <v/>
      </c>
      <c r="S1017" s="34">
        <f>Q1017+R1017</f>
        <v/>
      </c>
      <c r="T1017" s="29">
        <f>MaintFeeRateAnn/12*S1017</f>
        <v/>
      </c>
      <c r="U1017" s="29">
        <f>MAX(SumAssured-S1017,0)</f>
        <v/>
      </c>
      <c r="V1017" s="35">
        <f>CoiMultiple*G1017</f>
        <v/>
      </c>
      <c r="W1017" s="34">
        <f>V1017*U1017</f>
        <v/>
      </c>
      <c r="X1017" s="34">
        <f>S1017-T1017-W1017</f>
        <v/>
      </c>
      <c r="Y1017" s="36">
        <f>EXP((Mu-0.5*Sigma^2)/12+Sigma*SQRT(1/12)*INDEX(NormRand,ScenID,A1017+1))-1</f>
        <v/>
      </c>
      <c r="Z1017" s="34">
        <f>Y1017*X1017</f>
        <v/>
      </c>
      <c r="AA1017" s="34">
        <f>X1017+0.5*Z1017</f>
        <v/>
      </c>
      <c r="AB1017" s="34">
        <f>Q1017*J1017</f>
        <v/>
      </c>
      <c r="AC1017" s="34">
        <f>Q1017*L1017</f>
        <v/>
      </c>
      <c r="AD1017" s="34">
        <f>S1017*N1017</f>
        <v/>
      </c>
      <c r="AE1017" s="34">
        <f>E1017*N1017</f>
        <v/>
      </c>
      <c r="AF1017" s="34">
        <f>R1017*N1017</f>
        <v/>
      </c>
      <c r="AG1017" s="29">
        <f>MAX(SumAssured,AA1017)</f>
        <v/>
      </c>
      <c r="AH1017" s="34">
        <f>AG1017*O1017</f>
        <v/>
      </c>
      <c r="AI1017" s="34">
        <f>AA1017*O1017</f>
        <v/>
      </c>
      <c r="AJ1017" s="34">
        <f>AA1017*P1017</f>
        <v/>
      </c>
      <c r="AK1017" s="34">
        <f>I1017*AA1017*P1017</f>
        <v/>
      </c>
      <c r="AL1017" s="34">
        <f>AJ1017-AK1017</f>
        <v/>
      </c>
      <c r="AM1017" s="34">
        <f>Q1017*K1017</f>
        <v/>
      </c>
      <c r="AN1017" s="34">
        <f>AH1017+AL1017+AM1017</f>
        <v/>
      </c>
      <c r="AO1017" s="34">
        <f>(AG1017-AA1017)*O1017</f>
        <v/>
      </c>
      <c r="AP1017" s="34">
        <f>W1017*N1017</f>
        <v/>
      </c>
      <c r="AQ1017" s="34">
        <f>T1017*N1017</f>
        <v/>
      </c>
      <c r="AR1017" s="34">
        <f>Z1017*J1018+0.5*Z1017*(O1017+P1017)</f>
        <v/>
      </c>
      <c r="AS1017" s="30">
        <f>(1+InflationRate)^(A1017/12)</f>
        <v/>
      </c>
      <c r="AT1017" s="29">
        <f>ExpenseAcq*M1017+N1017*ExpenseMaint/12*AS1017</f>
        <v/>
      </c>
      <c r="AU1017" s="29">
        <f>CommissionRate*AE1017</f>
        <v/>
      </c>
      <c r="AV1017" s="34">
        <f>AB1018-AB1017</f>
        <v/>
      </c>
      <c r="AW1017" s="34">
        <f>AE1017+AR1017-AN1017-AT1017-AU1017-AV1017</f>
        <v/>
      </c>
      <c r="AX1017" s="29">
        <f>LoadPremRate*E1017*N1017+AK1017+AQ1017-AU1017-AT1017</f>
        <v/>
      </c>
      <c r="AY1017" s="34">
        <f>AP1017-AO1017</f>
        <v/>
      </c>
      <c r="AZ1017" s="37">
        <f>(AW1017-AX1017-AY1017)/MAX(1,ABS(AW1017),ABS(AX1017),ABS(AY1017))</f>
        <v/>
      </c>
      <c r="BA1017" s="37">
        <f>IF(OR(K1017&gt;0,K1018&gt;0),0,(AC1018-(AC1017+AF1017-AQ1017-AP1017+AR1017-AI1017-AJ1017-AM1017))/MAX(1,ABS(AC1017),ABS(AC1018)))</f>
        <v/>
      </c>
      <c r="BB1017" s="35">
        <f>(1+INDEX(DiscRateAnn,INT(A1017/12)+1))^(1/12)-1</f>
        <v/>
      </c>
      <c r="BC1017" s="31">
        <f>(1+BB1017)^-A1017</f>
        <v/>
      </c>
      <c r="BD1017" s="34">
        <f>AW1017*BC1017</f>
        <v/>
      </c>
    </row>
    <row r="1018">
      <c r="A1018" s="27">
        <f>A1017+1</f>
        <v/>
      </c>
      <c r="B1018" s="28">
        <f>Duration0+A1018</f>
        <v/>
      </c>
      <c r="C1018" s="27">
        <f>INT(B1018/12)</f>
        <v/>
      </c>
      <c r="D1018" s="28">
        <f>AgeAtEntry+C1018</f>
        <v/>
      </c>
      <c r="E1018" s="29">
        <f>IF(PremiumType="SINGLE",IF(B1018=0,PremiumPPInput,0),IF(B1018&lt;12*PolicyTerm,PremiumPPInput,0))</f>
        <v/>
      </c>
      <c r="F1018" s="30">
        <f>INDEX(MortRates,MATCH(MIN(D1018,120),MortAges,0),MAX(MIN(C1018,5),0)+1)</f>
        <v/>
      </c>
      <c r="G1018" s="31">
        <f>1-(1-F1018)^(1/12)</f>
        <v/>
      </c>
      <c r="H1018" s="32">
        <f>MAX(LapseBase-LapseStep*C1018,LapseFloor)</f>
        <v/>
      </c>
      <c r="I1018" s="32">
        <f>IF(HasSurrCharge,INDEX(SurrRates,MIN(C1018,SurrDurMax)+1,MATCH(SurrChargeID,SurrTypes,0)),0)</f>
        <v/>
      </c>
      <c r="J1018" s="33">
        <f>N1017-P1017-O1017</f>
        <v/>
      </c>
      <c r="K1018" s="30">
        <f>IF(B1018=12*PolicyTerm,J1018,0)</f>
        <v/>
      </c>
      <c r="L1018" s="33">
        <f>J1018-K1018</f>
        <v/>
      </c>
      <c r="M1018" s="30">
        <f>IF(B1018=0,PolicyCount,0)</f>
        <v/>
      </c>
      <c r="N1018" s="33">
        <f>L1018+M1018</f>
        <v/>
      </c>
      <c r="O1018" s="31">
        <f>N1018*G1018</f>
        <v/>
      </c>
      <c r="P1018" s="33">
        <f>(N1018-O1018)*(1-(1-H1018)^(1/12))</f>
        <v/>
      </c>
      <c r="Q1018" s="34">
        <f>X1017+Z1017</f>
        <v/>
      </c>
      <c r="R1018" s="29">
        <f>(1-LoadPremRate)*E1018</f>
        <v/>
      </c>
      <c r="S1018" s="34">
        <f>Q1018+R1018</f>
        <v/>
      </c>
      <c r="T1018" s="29">
        <f>MaintFeeRateAnn/12*S1018</f>
        <v/>
      </c>
      <c r="U1018" s="29">
        <f>MAX(SumAssured-S1018,0)</f>
        <v/>
      </c>
      <c r="V1018" s="35">
        <f>CoiMultiple*G1018</f>
        <v/>
      </c>
      <c r="W1018" s="34">
        <f>V1018*U1018</f>
        <v/>
      </c>
      <c r="X1018" s="34">
        <f>S1018-T1018-W1018</f>
        <v/>
      </c>
      <c r="Y1018" s="36">
        <f>EXP((Mu-0.5*Sigma^2)/12+Sigma*SQRT(1/12)*INDEX(NormRand,ScenID,A1018+1))-1</f>
        <v/>
      </c>
      <c r="Z1018" s="34">
        <f>Y1018*X1018</f>
        <v/>
      </c>
      <c r="AA1018" s="34">
        <f>X1018+0.5*Z1018</f>
        <v/>
      </c>
      <c r="AB1018" s="34">
        <f>Q1018*J1018</f>
        <v/>
      </c>
      <c r="AC1018" s="34">
        <f>Q1018*L1018</f>
        <v/>
      </c>
      <c r="AD1018" s="34">
        <f>S1018*N1018</f>
        <v/>
      </c>
      <c r="AE1018" s="34">
        <f>E1018*N1018</f>
        <v/>
      </c>
      <c r="AF1018" s="34">
        <f>R1018*N1018</f>
        <v/>
      </c>
      <c r="AG1018" s="29">
        <f>MAX(SumAssured,AA1018)</f>
        <v/>
      </c>
      <c r="AH1018" s="34">
        <f>AG1018*O1018</f>
        <v/>
      </c>
      <c r="AI1018" s="34">
        <f>AA1018*O1018</f>
        <v/>
      </c>
      <c r="AJ1018" s="34">
        <f>AA1018*P1018</f>
        <v/>
      </c>
      <c r="AK1018" s="34">
        <f>I1018*AA1018*P1018</f>
        <v/>
      </c>
      <c r="AL1018" s="34">
        <f>AJ1018-AK1018</f>
        <v/>
      </c>
      <c r="AM1018" s="34">
        <f>Q1018*K1018</f>
        <v/>
      </c>
      <c r="AN1018" s="34">
        <f>AH1018+AL1018+AM1018</f>
        <v/>
      </c>
      <c r="AO1018" s="34">
        <f>(AG1018-AA1018)*O1018</f>
        <v/>
      </c>
      <c r="AP1018" s="34">
        <f>W1018*N1018</f>
        <v/>
      </c>
      <c r="AQ1018" s="34">
        <f>T1018*N1018</f>
        <v/>
      </c>
      <c r="AR1018" s="34">
        <f>Z1018*J1019+0.5*Z1018*(O1018+P1018)</f>
        <v/>
      </c>
      <c r="AS1018" s="30">
        <f>(1+InflationRate)^(A1018/12)</f>
        <v/>
      </c>
      <c r="AT1018" s="29">
        <f>ExpenseAcq*M1018+N1018*ExpenseMaint/12*AS1018</f>
        <v/>
      </c>
      <c r="AU1018" s="29">
        <f>CommissionRate*AE1018</f>
        <v/>
      </c>
      <c r="AV1018" s="34">
        <f>AB1019-AB1018</f>
        <v/>
      </c>
      <c r="AW1018" s="34">
        <f>AE1018+AR1018-AN1018-AT1018-AU1018-AV1018</f>
        <v/>
      </c>
      <c r="AX1018" s="29">
        <f>LoadPremRate*E1018*N1018+AK1018+AQ1018-AU1018-AT1018</f>
        <v/>
      </c>
      <c r="AY1018" s="34">
        <f>AP1018-AO1018</f>
        <v/>
      </c>
      <c r="AZ1018" s="37">
        <f>(AW1018-AX1018-AY1018)/MAX(1,ABS(AW1018),ABS(AX1018),ABS(AY1018))</f>
        <v/>
      </c>
      <c r="BA1018" s="37">
        <f>IF(OR(K1018&gt;0,K1019&gt;0),0,(AC1019-(AC1018+AF1018-AQ1018-AP1018+AR1018-AI1018-AJ1018-AM1018))/MAX(1,ABS(AC1018),ABS(AC1019)))</f>
        <v/>
      </c>
      <c r="BB1018" s="35">
        <f>(1+INDEX(DiscRateAnn,INT(A1018/12)+1))^(1/12)-1</f>
        <v/>
      </c>
      <c r="BC1018" s="31">
        <f>(1+BB1018)^-A1018</f>
        <v/>
      </c>
      <c r="BD1018" s="34">
        <f>AW1018*BC1018</f>
        <v/>
      </c>
    </row>
    <row r="1019">
      <c r="A1019" s="27">
        <f>A1018+1</f>
        <v/>
      </c>
      <c r="B1019" s="28">
        <f>Duration0+A1019</f>
        <v/>
      </c>
      <c r="C1019" s="27">
        <f>INT(B1019/12)</f>
        <v/>
      </c>
      <c r="D1019" s="28">
        <f>AgeAtEntry+C1019</f>
        <v/>
      </c>
      <c r="E1019" s="29">
        <f>IF(PremiumType="SINGLE",IF(B1019=0,PremiumPPInput,0),IF(B1019&lt;12*PolicyTerm,PremiumPPInput,0))</f>
        <v/>
      </c>
      <c r="F1019" s="30">
        <f>INDEX(MortRates,MATCH(MIN(D1019,120),MortAges,0),MAX(MIN(C1019,5),0)+1)</f>
        <v/>
      </c>
      <c r="G1019" s="31">
        <f>1-(1-F1019)^(1/12)</f>
        <v/>
      </c>
      <c r="H1019" s="32">
        <f>MAX(LapseBase-LapseStep*C1019,LapseFloor)</f>
        <v/>
      </c>
      <c r="I1019" s="32">
        <f>IF(HasSurrCharge,INDEX(SurrRates,MIN(C1019,SurrDurMax)+1,MATCH(SurrChargeID,SurrTypes,0)),0)</f>
        <v/>
      </c>
      <c r="J1019" s="33">
        <f>N1018-P1018-O1018</f>
        <v/>
      </c>
      <c r="K1019" s="30">
        <f>IF(B1019=12*PolicyTerm,J1019,0)</f>
        <v/>
      </c>
      <c r="L1019" s="33">
        <f>J1019-K1019</f>
        <v/>
      </c>
      <c r="M1019" s="30">
        <f>IF(B1019=0,PolicyCount,0)</f>
        <v/>
      </c>
      <c r="N1019" s="33">
        <f>L1019+M1019</f>
        <v/>
      </c>
      <c r="O1019" s="31">
        <f>N1019*G1019</f>
        <v/>
      </c>
      <c r="P1019" s="33">
        <f>(N1019-O1019)*(1-(1-H1019)^(1/12))</f>
        <v/>
      </c>
      <c r="Q1019" s="34">
        <f>X1018+Z1018</f>
        <v/>
      </c>
      <c r="R1019" s="29">
        <f>(1-LoadPremRate)*E1019</f>
        <v/>
      </c>
      <c r="S1019" s="34">
        <f>Q1019+R1019</f>
        <v/>
      </c>
      <c r="T1019" s="29">
        <f>MaintFeeRateAnn/12*S1019</f>
        <v/>
      </c>
      <c r="U1019" s="29">
        <f>MAX(SumAssured-S1019,0)</f>
        <v/>
      </c>
      <c r="V1019" s="35">
        <f>CoiMultiple*G1019</f>
        <v/>
      </c>
      <c r="W1019" s="34">
        <f>V1019*U1019</f>
        <v/>
      </c>
      <c r="X1019" s="34">
        <f>S1019-T1019-W1019</f>
        <v/>
      </c>
      <c r="Y1019" s="36">
        <f>EXP((Mu-0.5*Sigma^2)/12+Sigma*SQRT(1/12)*INDEX(NormRand,ScenID,A1019+1))-1</f>
        <v/>
      </c>
      <c r="Z1019" s="34">
        <f>Y1019*X1019</f>
        <v/>
      </c>
      <c r="AA1019" s="34">
        <f>X1019+0.5*Z1019</f>
        <v/>
      </c>
      <c r="AB1019" s="34">
        <f>Q1019*J1019</f>
        <v/>
      </c>
      <c r="AC1019" s="34">
        <f>Q1019*L1019</f>
        <v/>
      </c>
      <c r="AD1019" s="34">
        <f>S1019*N1019</f>
        <v/>
      </c>
      <c r="AE1019" s="34">
        <f>E1019*N1019</f>
        <v/>
      </c>
      <c r="AF1019" s="34">
        <f>R1019*N1019</f>
        <v/>
      </c>
      <c r="AG1019" s="29">
        <f>MAX(SumAssured,AA1019)</f>
        <v/>
      </c>
      <c r="AH1019" s="34">
        <f>AG1019*O1019</f>
        <v/>
      </c>
      <c r="AI1019" s="34">
        <f>AA1019*O1019</f>
        <v/>
      </c>
      <c r="AJ1019" s="34">
        <f>AA1019*P1019</f>
        <v/>
      </c>
      <c r="AK1019" s="34">
        <f>I1019*AA1019*P1019</f>
        <v/>
      </c>
      <c r="AL1019" s="34">
        <f>AJ1019-AK1019</f>
        <v/>
      </c>
      <c r="AM1019" s="34">
        <f>Q1019*K1019</f>
        <v/>
      </c>
      <c r="AN1019" s="34">
        <f>AH1019+AL1019+AM1019</f>
        <v/>
      </c>
      <c r="AO1019" s="34">
        <f>(AG1019-AA1019)*O1019</f>
        <v/>
      </c>
      <c r="AP1019" s="34">
        <f>W1019*N1019</f>
        <v/>
      </c>
      <c r="AQ1019" s="34">
        <f>T1019*N1019</f>
        <v/>
      </c>
      <c r="AR1019" s="34">
        <f>Z1019*J1020+0.5*Z1019*(O1019+P1019)</f>
        <v/>
      </c>
      <c r="AS1019" s="30">
        <f>(1+InflationRate)^(A1019/12)</f>
        <v/>
      </c>
      <c r="AT1019" s="29">
        <f>ExpenseAcq*M1019+N1019*ExpenseMaint/12*AS1019</f>
        <v/>
      </c>
      <c r="AU1019" s="29">
        <f>CommissionRate*AE1019</f>
        <v/>
      </c>
      <c r="AV1019" s="34">
        <f>AB1020-AB1019</f>
        <v/>
      </c>
      <c r="AW1019" s="34">
        <f>AE1019+AR1019-AN1019-AT1019-AU1019-AV1019</f>
        <v/>
      </c>
      <c r="AX1019" s="29">
        <f>LoadPremRate*E1019*N1019+AK1019+AQ1019-AU1019-AT1019</f>
        <v/>
      </c>
      <c r="AY1019" s="34">
        <f>AP1019-AO1019</f>
        <v/>
      </c>
      <c r="AZ1019" s="37">
        <f>(AW1019-AX1019-AY1019)/MAX(1,ABS(AW1019),ABS(AX1019),ABS(AY1019))</f>
        <v/>
      </c>
      <c r="BA1019" s="37">
        <f>IF(OR(K1019&gt;0,K1020&gt;0),0,(AC1020-(AC1019+AF1019-AQ1019-AP1019+AR1019-AI1019-AJ1019-AM1019))/MAX(1,ABS(AC1019),ABS(AC1020)))</f>
        <v/>
      </c>
      <c r="BB1019" s="35">
        <f>(1+INDEX(DiscRateAnn,INT(A1019/12)+1))^(1/12)-1</f>
        <v/>
      </c>
      <c r="BC1019" s="31">
        <f>(1+BB1019)^-A1019</f>
        <v/>
      </c>
      <c r="BD1019" s="34">
        <f>AW1019*BC1019</f>
        <v/>
      </c>
    </row>
    <row r="1020">
      <c r="A1020" s="27">
        <f>A1019+1</f>
        <v/>
      </c>
      <c r="B1020" s="28">
        <f>Duration0+A1020</f>
        <v/>
      </c>
      <c r="C1020" s="27">
        <f>INT(B1020/12)</f>
        <v/>
      </c>
      <c r="D1020" s="28">
        <f>AgeAtEntry+C1020</f>
        <v/>
      </c>
      <c r="E1020" s="29">
        <f>IF(PremiumType="SINGLE",IF(B1020=0,PremiumPPInput,0),IF(B1020&lt;12*PolicyTerm,PremiumPPInput,0))</f>
        <v/>
      </c>
      <c r="F1020" s="30">
        <f>INDEX(MortRates,MATCH(MIN(D1020,120),MortAges,0),MAX(MIN(C1020,5),0)+1)</f>
        <v/>
      </c>
      <c r="G1020" s="31">
        <f>1-(1-F1020)^(1/12)</f>
        <v/>
      </c>
      <c r="H1020" s="32">
        <f>MAX(LapseBase-LapseStep*C1020,LapseFloor)</f>
        <v/>
      </c>
      <c r="I1020" s="32">
        <f>IF(HasSurrCharge,INDEX(SurrRates,MIN(C1020,SurrDurMax)+1,MATCH(SurrChargeID,SurrTypes,0)),0)</f>
        <v/>
      </c>
      <c r="J1020" s="33">
        <f>N1019-P1019-O1019</f>
        <v/>
      </c>
      <c r="K1020" s="30">
        <f>IF(B1020=12*PolicyTerm,J1020,0)</f>
        <v/>
      </c>
      <c r="L1020" s="33">
        <f>J1020-K1020</f>
        <v/>
      </c>
      <c r="M1020" s="30">
        <f>IF(B1020=0,PolicyCount,0)</f>
        <v/>
      </c>
      <c r="N1020" s="33">
        <f>L1020+M1020</f>
        <v/>
      </c>
      <c r="O1020" s="31">
        <f>N1020*G1020</f>
        <v/>
      </c>
      <c r="P1020" s="33">
        <f>(N1020-O1020)*(1-(1-H1020)^(1/12))</f>
        <v/>
      </c>
      <c r="Q1020" s="34">
        <f>X1019+Z1019</f>
        <v/>
      </c>
      <c r="R1020" s="29">
        <f>(1-LoadPremRate)*E1020</f>
        <v/>
      </c>
      <c r="S1020" s="34">
        <f>Q1020+R1020</f>
        <v/>
      </c>
      <c r="T1020" s="29">
        <f>MaintFeeRateAnn/12*S1020</f>
        <v/>
      </c>
      <c r="U1020" s="29">
        <f>MAX(SumAssured-S1020,0)</f>
        <v/>
      </c>
      <c r="V1020" s="35">
        <f>CoiMultiple*G1020</f>
        <v/>
      </c>
      <c r="W1020" s="34">
        <f>V1020*U1020</f>
        <v/>
      </c>
      <c r="X1020" s="34">
        <f>S1020-T1020-W1020</f>
        <v/>
      </c>
      <c r="Y1020" s="36">
        <f>EXP((Mu-0.5*Sigma^2)/12+Sigma*SQRT(1/12)*INDEX(NormRand,ScenID,A1020+1))-1</f>
        <v/>
      </c>
      <c r="Z1020" s="34">
        <f>Y1020*X1020</f>
        <v/>
      </c>
      <c r="AA1020" s="34">
        <f>X1020+0.5*Z1020</f>
        <v/>
      </c>
      <c r="AB1020" s="34">
        <f>Q1020*J1020</f>
        <v/>
      </c>
      <c r="AC1020" s="34">
        <f>Q1020*L1020</f>
        <v/>
      </c>
      <c r="AD1020" s="34">
        <f>S1020*N1020</f>
        <v/>
      </c>
      <c r="AE1020" s="34">
        <f>E1020*N1020</f>
        <v/>
      </c>
      <c r="AF1020" s="34">
        <f>R1020*N1020</f>
        <v/>
      </c>
      <c r="AG1020" s="29">
        <f>MAX(SumAssured,AA1020)</f>
        <v/>
      </c>
      <c r="AH1020" s="34">
        <f>AG1020*O1020</f>
        <v/>
      </c>
      <c r="AI1020" s="34">
        <f>AA1020*O1020</f>
        <v/>
      </c>
      <c r="AJ1020" s="34">
        <f>AA1020*P1020</f>
        <v/>
      </c>
      <c r="AK1020" s="34">
        <f>I1020*AA1020*P1020</f>
        <v/>
      </c>
      <c r="AL1020" s="34">
        <f>AJ1020-AK1020</f>
        <v/>
      </c>
      <c r="AM1020" s="34">
        <f>Q1020*K1020</f>
        <v/>
      </c>
      <c r="AN1020" s="34">
        <f>AH1020+AL1020+AM1020</f>
        <v/>
      </c>
      <c r="AO1020" s="34">
        <f>(AG1020-AA1020)*O1020</f>
        <v/>
      </c>
      <c r="AP1020" s="34">
        <f>W1020*N1020</f>
        <v/>
      </c>
      <c r="AQ1020" s="34">
        <f>T1020*N1020</f>
        <v/>
      </c>
      <c r="AR1020" s="34">
        <f>Z1020*J1021+0.5*Z1020*(O1020+P1020)</f>
        <v/>
      </c>
      <c r="AS1020" s="30">
        <f>(1+InflationRate)^(A1020/12)</f>
        <v/>
      </c>
      <c r="AT1020" s="29">
        <f>ExpenseAcq*M1020+N1020*ExpenseMaint/12*AS1020</f>
        <v/>
      </c>
      <c r="AU1020" s="29">
        <f>CommissionRate*AE1020</f>
        <v/>
      </c>
      <c r="AV1020" s="34">
        <f>AB1021-AB1020</f>
        <v/>
      </c>
      <c r="AW1020" s="34">
        <f>AE1020+AR1020-AN1020-AT1020-AU1020-AV1020</f>
        <v/>
      </c>
      <c r="AX1020" s="29">
        <f>LoadPremRate*E1020*N1020+AK1020+AQ1020-AU1020-AT1020</f>
        <v/>
      </c>
      <c r="AY1020" s="34">
        <f>AP1020-AO1020</f>
        <v/>
      </c>
      <c r="AZ1020" s="37">
        <f>(AW1020-AX1020-AY1020)/MAX(1,ABS(AW1020),ABS(AX1020),ABS(AY1020))</f>
        <v/>
      </c>
      <c r="BA1020" s="37">
        <f>IF(OR(K1020&gt;0,K1021&gt;0),0,(AC1021-(AC1020+AF1020-AQ1020-AP1020+AR1020-AI1020-AJ1020-AM1020))/MAX(1,ABS(AC1020),ABS(AC1021)))</f>
        <v/>
      </c>
      <c r="BB1020" s="35">
        <f>(1+INDEX(DiscRateAnn,INT(A1020/12)+1))^(1/12)-1</f>
        <v/>
      </c>
      <c r="BC1020" s="31">
        <f>(1+BB1020)^-A1020</f>
        <v/>
      </c>
      <c r="BD1020" s="34">
        <f>AW1020*BC1020</f>
        <v/>
      </c>
    </row>
    <row r="1021">
      <c r="A1021" s="27">
        <f>A1020+1</f>
        <v/>
      </c>
      <c r="B1021" s="28">
        <f>Duration0+A1021</f>
        <v/>
      </c>
      <c r="C1021" s="27">
        <f>INT(B1021/12)</f>
        <v/>
      </c>
      <c r="D1021" s="28">
        <f>AgeAtEntry+C1021</f>
        <v/>
      </c>
      <c r="E1021" s="29">
        <f>IF(PremiumType="SINGLE",IF(B1021=0,PremiumPPInput,0),IF(B1021&lt;12*PolicyTerm,PremiumPPInput,0))</f>
        <v/>
      </c>
      <c r="F1021" s="30">
        <f>INDEX(MortRates,MATCH(MIN(D1021,120),MortAges,0),MAX(MIN(C1021,5),0)+1)</f>
        <v/>
      </c>
      <c r="G1021" s="31">
        <f>1-(1-F1021)^(1/12)</f>
        <v/>
      </c>
      <c r="H1021" s="32">
        <f>MAX(LapseBase-LapseStep*C1021,LapseFloor)</f>
        <v/>
      </c>
      <c r="I1021" s="32">
        <f>IF(HasSurrCharge,INDEX(SurrRates,MIN(C1021,SurrDurMax)+1,MATCH(SurrChargeID,SurrTypes,0)),0)</f>
        <v/>
      </c>
      <c r="J1021" s="33">
        <f>N1020-P1020-O1020</f>
        <v/>
      </c>
      <c r="K1021" s="30">
        <f>IF(B1021=12*PolicyTerm,J1021,0)</f>
        <v/>
      </c>
      <c r="L1021" s="33">
        <f>J1021-K1021</f>
        <v/>
      </c>
      <c r="M1021" s="30">
        <f>IF(B1021=0,PolicyCount,0)</f>
        <v/>
      </c>
      <c r="N1021" s="33">
        <f>L1021+M1021</f>
        <v/>
      </c>
      <c r="O1021" s="31">
        <f>N1021*G1021</f>
        <v/>
      </c>
      <c r="P1021" s="33">
        <f>(N1021-O1021)*(1-(1-H1021)^(1/12))</f>
        <v/>
      </c>
      <c r="Q1021" s="34">
        <f>X1020+Z1020</f>
        <v/>
      </c>
      <c r="R1021" s="29">
        <f>(1-LoadPremRate)*E1021</f>
        <v/>
      </c>
      <c r="S1021" s="34">
        <f>Q1021+R1021</f>
        <v/>
      </c>
      <c r="T1021" s="29">
        <f>MaintFeeRateAnn/12*S1021</f>
        <v/>
      </c>
      <c r="U1021" s="29">
        <f>MAX(SumAssured-S1021,0)</f>
        <v/>
      </c>
      <c r="V1021" s="35">
        <f>CoiMultiple*G1021</f>
        <v/>
      </c>
      <c r="W1021" s="34">
        <f>V1021*U1021</f>
        <v/>
      </c>
      <c r="X1021" s="34">
        <f>S1021-T1021-W1021</f>
        <v/>
      </c>
      <c r="Y1021" s="36">
        <f>EXP((Mu-0.5*Sigma^2)/12+Sigma*SQRT(1/12)*INDEX(NormRand,ScenID,A1021+1))-1</f>
        <v/>
      </c>
      <c r="Z1021" s="34">
        <f>Y1021*X1021</f>
        <v/>
      </c>
      <c r="AA1021" s="34">
        <f>X1021+0.5*Z1021</f>
        <v/>
      </c>
      <c r="AB1021" s="34">
        <f>Q1021*J1021</f>
        <v/>
      </c>
      <c r="AC1021" s="34">
        <f>Q1021*L1021</f>
        <v/>
      </c>
      <c r="AD1021" s="34">
        <f>S1021*N1021</f>
        <v/>
      </c>
      <c r="AE1021" s="34">
        <f>E1021*N1021</f>
        <v/>
      </c>
      <c r="AF1021" s="34">
        <f>R1021*N1021</f>
        <v/>
      </c>
      <c r="AG1021" s="29">
        <f>MAX(SumAssured,AA1021)</f>
        <v/>
      </c>
      <c r="AH1021" s="34">
        <f>AG1021*O1021</f>
        <v/>
      </c>
      <c r="AI1021" s="34">
        <f>AA1021*O1021</f>
        <v/>
      </c>
      <c r="AJ1021" s="34">
        <f>AA1021*P1021</f>
        <v/>
      </c>
      <c r="AK1021" s="34">
        <f>I1021*AA1021*P1021</f>
        <v/>
      </c>
      <c r="AL1021" s="34">
        <f>AJ1021-AK1021</f>
        <v/>
      </c>
      <c r="AM1021" s="34">
        <f>Q1021*K1021</f>
        <v/>
      </c>
      <c r="AN1021" s="34">
        <f>AH1021+AL1021+AM1021</f>
        <v/>
      </c>
      <c r="AO1021" s="34">
        <f>(AG1021-AA1021)*O1021</f>
        <v/>
      </c>
      <c r="AP1021" s="34">
        <f>W1021*N1021</f>
        <v/>
      </c>
      <c r="AQ1021" s="34">
        <f>T1021*N1021</f>
        <v/>
      </c>
      <c r="AR1021" s="34">
        <f>Z1021*J1022+0.5*Z1021*(O1021+P1021)</f>
        <v/>
      </c>
      <c r="AS1021" s="30">
        <f>(1+InflationRate)^(A1021/12)</f>
        <v/>
      </c>
      <c r="AT1021" s="29">
        <f>ExpenseAcq*M1021+N1021*ExpenseMaint/12*AS1021</f>
        <v/>
      </c>
      <c r="AU1021" s="29">
        <f>CommissionRate*AE1021</f>
        <v/>
      </c>
      <c r="AV1021" s="34">
        <f>AB1022-AB1021</f>
        <v/>
      </c>
      <c r="AW1021" s="34">
        <f>AE1021+AR1021-AN1021-AT1021-AU1021-AV1021</f>
        <v/>
      </c>
      <c r="AX1021" s="29">
        <f>LoadPremRate*E1021*N1021+AK1021+AQ1021-AU1021-AT1021</f>
        <v/>
      </c>
      <c r="AY1021" s="34">
        <f>AP1021-AO1021</f>
        <v/>
      </c>
      <c r="AZ1021" s="37">
        <f>(AW1021-AX1021-AY1021)/MAX(1,ABS(AW1021),ABS(AX1021),ABS(AY1021))</f>
        <v/>
      </c>
      <c r="BA1021" s="37">
        <f>IF(OR(K1021&gt;0,K1022&gt;0),0,(AC1022-(AC1021+AF1021-AQ1021-AP1021+AR1021-AI1021-AJ1021-AM1021))/MAX(1,ABS(AC1021),ABS(AC1022)))</f>
        <v/>
      </c>
      <c r="BB1021" s="35">
        <f>(1+INDEX(DiscRateAnn,INT(A1021/12)+1))^(1/12)-1</f>
        <v/>
      </c>
      <c r="BC1021" s="31">
        <f>(1+BB1021)^-A1021</f>
        <v/>
      </c>
      <c r="BD1021" s="34">
        <f>AW1021*BC1021</f>
        <v/>
      </c>
    </row>
    <row r="1022">
      <c r="A1022" s="27">
        <f>A1021+1</f>
        <v/>
      </c>
      <c r="B1022" s="28">
        <f>Duration0+A1022</f>
        <v/>
      </c>
      <c r="C1022" s="27">
        <f>INT(B1022/12)</f>
        <v/>
      </c>
      <c r="D1022" s="28">
        <f>AgeAtEntry+C1022</f>
        <v/>
      </c>
      <c r="E1022" s="29">
        <f>IF(PremiumType="SINGLE",IF(B1022=0,PremiumPPInput,0),IF(B1022&lt;12*PolicyTerm,PremiumPPInput,0))</f>
        <v/>
      </c>
      <c r="F1022" s="30">
        <f>INDEX(MortRates,MATCH(MIN(D1022,120),MortAges,0),MAX(MIN(C1022,5),0)+1)</f>
        <v/>
      </c>
      <c r="G1022" s="31">
        <f>1-(1-F1022)^(1/12)</f>
        <v/>
      </c>
      <c r="H1022" s="32">
        <f>MAX(LapseBase-LapseStep*C1022,LapseFloor)</f>
        <v/>
      </c>
      <c r="I1022" s="32">
        <f>IF(HasSurrCharge,INDEX(SurrRates,MIN(C1022,SurrDurMax)+1,MATCH(SurrChargeID,SurrTypes,0)),0)</f>
        <v/>
      </c>
      <c r="J1022" s="33">
        <f>N1021-P1021-O1021</f>
        <v/>
      </c>
      <c r="K1022" s="30">
        <f>IF(B1022=12*PolicyTerm,J1022,0)</f>
        <v/>
      </c>
      <c r="L1022" s="33">
        <f>J1022-K1022</f>
        <v/>
      </c>
      <c r="M1022" s="30">
        <f>IF(B1022=0,PolicyCount,0)</f>
        <v/>
      </c>
      <c r="N1022" s="33">
        <f>L1022+M1022</f>
        <v/>
      </c>
      <c r="O1022" s="31">
        <f>N1022*G1022</f>
        <v/>
      </c>
      <c r="P1022" s="33">
        <f>(N1022-O1022)*(1-(1-H1022)^(1/12))</f>
        <v/>
      </c>
      <c r="Q1022" s="34">
        <f>X1021+Z1021</f>
        <v/>
      </c>
      <c r="R1022" s="29">
        <f>(1-LoadPremRate)*E1022</f>
        <v/>
      </c>
      <c r="S1022" s="34">
        <f>Q1022+R1022</f>
        <v/>
      </c>
      <c r="T1022" s="29">
        <f>MaintFeeRateAnn/12*S1022</f>
        <v/>
      </c>
      <c r="U1022" s="29">
        <f>MAX(SumAssured-S1022,0)</f>
        <v/>
      </c>
      <c r="V1022" s="35">
        <f>CoiMultiple*G1022</f>
        <v/>
      </c>
      <c r="W1022" s="34">
        <f>V1022*U1022</f>
        <v/>
      </c>
      <c r="X1022" s="34">
        <f>S1022-T1022-W1022</f>
        <v/>
      </c>
      <c r="Y1022" s="36">
        <f>EXP((Mu-0.5*Sigma^2)/12+Sigma*SQRT(1/12)*INDEX(NormRand,ScenID,A1022+1))-1</f>
        <v/>
      </c>
      <c r="Z1022" s="34">
        <f>Y1022*X1022</f>
        <v/>
      </c>
      <c r="AA1022" s="34">
        <f>X1022+0.5*Z1022</f>
        <v/>
      </c>
      <c r="AB1022" s="34">
        <f>Q1022*J1022</f>
        <v/>
      </c>
      <c r="AC1022" s="34">
        <f>Q1022*L1022</f>
        <v/>
      </c>
      <c r="AD1022" s="34">
        <f>S1022*N1022</f>
        <v/>
      </c>
      <c r="AE1022" s="34">
        <f>E1022*N1022</f>
        <v/>
      </c>
      <c r="AF1022" s="34">
        <f>R1022*N1022</f>
        <v/>
      </c>
      <c r="AG1022" s="29">
        <f>MAX(SumAssured,AA1022)</f>
        <v/>
      </c>
      <c r="AH1022" s="34">
        <f>AG1022*O1022</f>
        <v/>
      </c>
      <c r="AI1022" s="34">
        <f>AA1022*O1022</f>
        <v/>
      </c>
      <c r="AJ1022" s="34">
        <f>AA1022*P1022</f>
        <v/>
      </c>
      <c r="AK1022" s="34">
        <f>I1022*AA1022*P1022</f>
        <v/>
      </c>
      <c r="AL1022" s="34">
        <f>AJ1022-AK1022</f>
        <v/>
      </c>
      <c r="AM1022" s="34">
        <f>Q1022*K1022</f>
        <v/>
      </c>
      <c r="AN1022" s="34">
        <f>AH1022+AL1022+AM1022</f>
        <v/>
      </c>
      <c r="AO1022" s="34">
        <f>(AG1022-AA1022)*O1022</f>
        <v/>
      </c>
      <c r="AP1022" s="34">
        <f>W1022*N1022</f>
        <v/>
      </c>
      <c r="AQ1022" s="34">
        <f>T1022*N1022</f>
        <v/>
      </c>
      <c r="AR1022" s="34">
        <f>Z1022*J1023+0.5*Z1022*(O1022+P1022)</f>
        <v/>
      </c>
      <c r="AS1022" s="30">
        <f>(1+InflationRate)^(A1022/12)</f>
        <v/>
      </c>
      <c r="AT1022" s="29">
        <f>ExpenseAcq*M1022+N1022*ExpenseMaint/12*AS1022</f>
        <v/>
      </c>
      <c r="AU1022" s="29">
        <f>CommissionRate*AE1022</f>
        <v/>
      </c>
      <c r="AV1022" s="34">
        <f>AB1023-AB1022</f>
        <v/>
      </c>
      <c r="AW1022" s="34">
        <f>AE1022+AR1022-AN1022-AT1022-AU1022-AV1022</f>
        <v/>
      </c>
      <c r="AX1022" s="29">
        <f>LoadPremRate*E1022*N1022+AK1022+AQ1022-AU1022-AT1022</f>
        <v/>
      </c>
      <c r="AY1022" s="34">
        <f>AP1022-AO1022</f>
        <v/>
      </c>
      <c r="AZ1022" s="37">
        <f>(AW1022-AX1022-AY1022)/MAX(1,ABS(AW1022),ABS(AX1022),ABS(AY1022))</f>
        <v/>
      </c>
      <c r="BA1022" s="37">
        <f>IF(OR(K1022&gt;0,K1023&gt;0),0,(AC1023-(AC1022+AF1022-AQ1022-AP1022+AR1022-AI1022-AJ1022-AM1022))/MAX(1,ABS(AC1022),ABS(AC1023)))</f>
        <v/>
      </c>
      <c r="BB1022" s="35">
        <f>(1+INDEX(DiscRateAnn,INT(A1022/12)+1))^(1/12)-1</f>
        <v/>
      </c>
      <c r="BC1022" s="31">
        <f>(1+BB1022)^-A1022</f>
        <v/>
      </c>
      <c r="BD1022" s="34">
        <f>AW1022*BC1022</f>
        <v/>
      </c>
    </row>
    <row r="1023">
      <c r="A1023" s="27">
        <f>A1022+1</f>
        <v/>
      </c>
      <c r="B1023" s="28">
        <f>Duration0+A1023</f>
        <v/>
      </c>
      <c r="C1023" s="27">
        <f>INT(B1023/12)</f>
        <v/>
      </c>
      <c r="D1023" s="28">
        <f>AgeAtEntry+C1023</f>
        <v/>
      </c>
      <c r="E1023" s="29">
        <f>IF(PremiumType="SINGLE",IF(B1023=0,PremiumPPInput,0),IF(B1023&lt;12*PolicyTerm,PremiumPPInput,0))</f>
        <v/>
      </c>
      <c r="F1023" s="30">
        <f>INDEX(MortRates,MATCH(MIN(D1023,120),MortAges,0),MAX(MIN(C1023,5),0)+1)</f>
        <v/>
      </c>
      <c r="G1023" s="31">
        <f>1-(1-F1023)^(1/12)</f>
        <v/>
      </c>
      <c r="H1023" s="32">
        <f>MAX(LapseBase-LapseStep*C1023,LapseFloor)</f>
        <v/>
      </c>
      <c r="I1023" s="32">
        <f>IF(HasSurrCharge,INDEX(SurrRates,MIN(C1023,SurrDurMax)+1,MATCH(SurrChargeID,SurrTypes,0)),0)</f>
        <v/>
      </c>
      <c r="J1023" s="33">
        <f>N1022-P1022-O1022</f>
        <v/>
      </c>
      <c r="K1023" s="30">
        <f>IF(B1023=12*PolicyTerm,J1023,0)</f>
        <v/>
      </c>
      <c r="L1023" s="33">
        <f>J1023-K1023</f>
        <v/>
      </c>
      <c r="M1023" s="30">
        <f>IF(B1023=0,PolicyCount,0)</f>
        <v/>
      </c>
      <c r="N1023" s="33">
        <f>L1023+M1023</f>
        <v/>
      </c>
      <c r="O1023" s="31">
        <f>N1023*G1023</f>
        <v/>
      </c>
      <c r="P1023" s="33">
        <f>(N1023-O1023)*(1-(1-H1023)^(1/12))</f>
        <v/>
      </c>
      <c r="Q1023" s="34">
        <f>X1022+Z1022</f>
        <v/>
      </c>
      <c r="R1023" s="29">
        <f>(1-LoadPremRate)*E1023</f>
        <v/>
      </c>
      <c r="S1023" s="34">
        <f>Q1023+R1023</f>
        <v/>
      </c>
      <c r="T1023" s="29">
        <f>MaintFeeRateAnn/12*S1023</f>
        <v/>
      </c>
      <c r="U1023" s="29">
        <f>MAX(SumAssured-S1023,0)</f>
        <v/>
      </c>
      <c r="V1023" s="35">
        <f>CoiMultiple*G1023</f>
        <v/>
      </c>
      <c r="W1023" s="34">
        <f>V1023*U1023</f>
        <v/>
      </c>
      <c r="X1023" s="34">
        <f>S1023-T1023-W1023</f>
        <v/>
      </c>
      <c r="Y1023" s="36">
        <f>EXP((Mu-0.5*Sigma^2)/12+Sigma*SQRT(1/12)*INDEX(NormRand,ScenID,A1023+1))-1</f>
        <v/>
      </c>
      <c r="Z1023" s="34">
        <f>Y1023*X1023</f>
        <v/>
      </c>
      <c r="AA1023" s="34">
        <f>X1023+0.5*Z1023</f>
        <v/>
      </c>
      <c r="AB1023" s="34">
        <f>Q1023*J1023</f>
        <v/>
      </c>
      <c r="AC1023" s="34">
        <f>Q1023*L1023</f>
        <v/>
      </c>
      <c r="AD1023" s="34">
        <f>S1023*N1023</f>
        <v/>
      </c>
      <c r="AE1023" s="34">
        <f>E1023*N1023</f>
        <v/>
      </c>
      <c r="AF1023" s="34">
        <f>R1023*N1023</f>
        <v/>
      </c>
      <c r="AG1023" s="29">
        <f>MAX(SumAssured,AA1023)</f>
        <v/>
      </c>
      <c r="AH1023" s="34">
        <f>AG1023*O1023</f>
        <v/>
      </c>
      <c r="AI1023" s="34">
        <f>AA1023*O1023</f>
        <v/>
      </c>
      <c r="AJ1023" s="34">
        <f>AA1023*P1023</f>
        <v/>
      </c>
      <c r="AK1023" s="34">
        <f>I1023*AA1023*P1023</f>
        <v/>
      </c>
      <c r="AL1023" s="34">
        <f>AJ1023-AK1023</f>
        <v/>
      </c>
      <c r="AM1023" s="34">
        <f>Q1023*K1023</f>
        <v/>
      </c>
      <c r="AN1023" s="34">
        <f>AH1023+AL1023+AM1023</f>
        <v/>
      </c>
      <c r="AO1023" s="34">
        <f>(AG1023-AA1023)*O1023</f>
        <v/>
      </c>
      <c r="AP1023" s="34">
        <f>W1023*N1023</f>
        <v/>
      </c>
      <c r="AQ1023" s="34">
        <f>T1023*N1023</f>
        <v/>
      </c>
      <c r="AR1023" s="34">
        <f>Z1023*J1024+0.5*Z1023*(O1023+P1023)</f>
        <v/>
      </c>
      <c r="AS1023" s="30">
        <f>(1+InflationRate)^(A1023/12)</f>
        <v/>
      </c>
      <c r="AT1023" s="29">
        <f>ExpenseAcq*M1023+N1023*ExpenseMaint/12*AS1023</f>
        <v/>
      </c>
      <c r="AU1023" s="29">
        <f>CommissionRate*AE1023</f>
        <v/>
      </c>
      <c r="AV1023" s="34">
        <f>AB1024-AB1023</f>
        <v/>
      </c>
      <c r="AW1023" s="34">
        <f>AE1023+AR1023-AN1023-AT1023-AU1023-AV1023</f>
        <v/>
      </c>
      <c r="AX1023" s="29">
        <f>LoadPremRate*E1023*N1023+AK1023+AQ1023-AU1023-AT1023</f>
        <v/>
      </c>
      <c r="AY1023" s="34">
        <f>AP1023-AO1023</f>
        <v/>
      </c>
      <c r="AZ1023" s="37">
        <f>(AW1023-AX1023-AY1023)/MAX(1,ABS(AW1023),ABS(AX1023),ABS(AY1023))</f>
        <v/>
      </c>
      <c r="BA1023" s="37">
        <f>IF(OR(K1023&gt;0,K1024&gt;0),0,(AC1024-(AC1023+AF1023-AQ1023-AP1023+AR1023-AI1023-AJ1023-AM1023))/MAX(1,ABS(AC1023),ABS(AC1024)))</f>
        <v/>
      </c>
      <c r="BB1023" s="35">
        <f>(1+INDEX(DiscRateAnn,INT(A1023/12)+1))^(1/12)-1</f>
        <v/>
      </c>
      <c r="BC1023" s="31">
        <f>(1+BB1023)^-A1023</f>
        <v/>
      </c>
      <c r="BD1023" s="34">
        <f>AW1023*BC1023</f>
        <v/>
      </c>
    </row>
    <row r="1024">
      <c r="A1024" s="27">
        <f>A1023+1</f>
        <v/>
      </c>
      <c r="B1024" s="28">
        <f>Duration0+A1024</f>
        <v/>
      </c>
      <c r="C1024" s="27">
        <f>INT(B1024/12)</f>
        <v/>
      </c>
      <c r="D1024" s="28">
        <f>AgeAtEntry+C1024</f>
        <v/>
      </c>
      <c r="E1024" s="29">
        <f>IF(PremiumType="SINGLE",IF(B1024=0,PremiumPPInput,0),IF(B1024&lt;12*PolicyTerm,PremiumPPInput,0))</f>
        <v/>
      </c>
      <c r="F1024" s="30">
        <f>INDEX(MortRates,MATCH(MIN(D1024,120),MortAges,0),MAX(MIN(C1024,5),0)+1)</f>
        <v/>
      </c>
      <c r="G1024" s="31">
        <f>1-(1-F1024)^(1/12)</f>
        <v/>
      </c>
      <c r="H1024" s="32">
        <f>MAX(LapseBase-LapseStep*C1024,LapseFloor)</f>
        <v/>
      </c>
      <c r="I1024" s="32">
        <f>IF(HasSurrCharge,INDEX(SurrRates,MIN(C1024,SurrDurMax)+1,MATCH(SurrChargeID,SurrTypes,0)),0)</f>
        <v/>
      </c>
      <c r="J1024" s="33">
        <f>N1023-P1023-O1023</f>
        <v/>
      </c>
      <c r="K1024" s="30">
        <f>IF(B1024=12*PolicyTerm,J1024,0)</f>
        <v/>
      </c>
      <c r="L1024" s="33">
        <f>J1024-K1024</f>
        <v/>
      </c>
      <c r="M1024" s="30">
        <f>IF(B1024=0,PolicyCount,0)</f>
        <v/>
      </c>
      <c r="N1024" s="33">
        <f>L1024+M1024</f>
        <v/>
      </c>
      <c r="O1024" s="31">
        <f>N1024*G1024</f>
        <v/>
      </c>
      <c r="P1024" s="33">
        <f>(N1024-O1024)*(1-(1-H1024)^(1/12))</f>
        <v/>
      </c>
      <c r="Q1024" s="34">
        <f>X1023+Z1023</f>
        <v/>
      </c>
      <c r="R1024" s="29">
        <f>(1-LoadPremRate)*E1024</f>
        <v/>
      </c>
      <c r="S1024" s="34">
        <f>Q1024+R1024</f>
        <v/>
      </c>
      <c r="T1024" s="29">
        <f>MaintFeeRateAnn/12*S1024</f>
        <v/>
      </c>
      <c r="U1024" s="29">
        <f>MAX(SumAssured-S1024,0)</f>
        <v/>
      </c>
      <c r="V1024" s="35">
        <f>CoiMultiple*G1024</f>
        <v/>
      </c>
      <c r="W1024" s="34">
        <f>V1024*U1024</f>
        <v/>
      </c>
      <c r="X1024" s="34">
        <f>S1024-T1024-W1024</f>
        <v/>
      </c>
      <c r="Y1024" s="36">
        <f>EXP((Mu-0.5*Sigma^2)/12+Sigma*SQRT(1/12)*INDEX(NormRand,ScenID,A1024+1))-1</f>
        <v/>
      </c>
      <c r="Z1024" s="34">
        <f>Y1024*X1024</f>
        <v/>
      </c>
      <c r="AA1024" s="34">
        <f>X1024+0.5*Z1024</f>
        <v/>
      </c>
      <c r="AB1024" s="34">
        <f>Q1024*J1024</f>
        <v/>
      </c>
      <c r="AC1024" s="34">
        <f>Q1024*L1024</f>
        <v/>
      </c>
      <c r="AD1024" s="34">
        <f>S1024*N1024</f>
        <v/>
      </c>
      <c r="AE1024" s="34">
        <f>E1024*N1024</f>
        <v/>
      </c>
      <c r="AF1024" s="34">
        <f>R1024*N1024</f>
        <v/>
      </c>
      <c r="AG1024" s="29">
        <f>MAX(SumAssured,AA1024)</f>
        <v/>
      </c>
      <c r="AH1024" s="34">
        <f>AG1024*O1024</f>
        <v/>
      </c>
      <c r="AI1024" s="34">
        <f>AA1024*O1024</f>
        <v/>
      </c>
      <c r="AJ1024" s="34">
        <f>AA1024*P1024</f>
        <v/>
      </c>
      <c r="AK1024" s="34">
        <f>I1024*AA1024*P1024</f>
        <v/>
      </c>
      <c r="AL1024" s="34">
        <f>AJ1024-AK1024</f>
        <v/>
      </c>
      <c r="AM1024" s="34">
        <f>Q1024*K1024</f>
        <v/>
      </c>
      <c r="AN1024" s="34">
        <f>AH1024+AL1024+AM1024</f>
        <v/>
      </c>
      <c r="AO1024" s="34">
        <f>(AG1024-AA1024)*O1024</f>
        <v/>
      </c>
      <c r="AP1024" s="34">
        <f>W1024*N1024</f>
        <v/>
      </c>
      <c r="AQ1024" s="34">
        <f>T1024*N1024</f>
        <v/>
      </c>
      <c r="AR1024" s="34">
        <f>Z1024*J1025+0.5*Z1024*(O1024+P1024)</f>
        <v/>
      </c>
      <c r="AS1024" s="30">
        <f>(1+InflationRate)^(A1024/12)</f>
        <v/>
      </c>
      <c r="AT1024" s="29">
        <f>ExpenseAcq*M1024+N1024*ExpenseMaint/12*AS1024</f>
        <v/>
      </c>
      <c r="AU1024" s="29">
        <f>CommissionRate*AE1024</f>
        <v/>
      </c>
      <c r="AV1024" s="34">
        <f>AB1025-AB1024</f>
        <v/>
      </c>
      <c r="AW1024" s="34">
        <f>AE1024+AR1024-AN1024-AT1024-AU1024-AV1024</f>
        <v/>
      </c>
      <c r="AX1024" s="29">
        <f>LoadPremRate*E1024*N1024+AK1024+AQ1024-AU1024-AT1024</f>
        <v/>
      </c>
      <c r="AY1024" s="34">
        <f>AP1024-AO1024</f>
        <v/>
      </c>
      <c r="AZ1024" s="37">
        <f>(AW1024-AX1024-AY1024)/MAX(1,ABS(AW1024),ABS(AX1024),ABS(AY1024))</f>
        <v/>
      </c>
      <c r="BA1024" s="37">
        <f>IF(OR(K1024&gt;0,K1025&gt;0),0,(AC1025-(AC1024+AF1024-AQ1024-AP1024+AR1024-AI1024-AJ1024-AM1024))/MAX(1,ABS(AC1024),ABS(AC1025)))</f>
        <v/>
      </c>
      <c r="BB1024" s="35">
        <f>(1+INDEX(DiscRateAnn,INT(A1024/12)+1))^(1/12)-1</f>
        <v/>
      </c>
      <c r="BC1024" s="31">
        <f>(1+BB1024)^-A1024</f>
        <v/>
      </c>
      <c r="BD1024" s="34">
        <f>AW1024*BC1024</f>
        <v/>
      </c>
    </row>
    <row r="1025">
      <c r="A1025" s="27">
        <f>A1024+1</f>
        <v/>
      </c>
      <c r="B1025" s="28">
        <f>Duration0+A1025</f>
        <v/>
      </c>
      <c r="C1025" s="27">
        <f>INT(B1025/12)</f>
        <v/>
      </c>
      <c r="D1025" s="28">
        <f>AgeAtEntry+C1025</f>
        <v/>
      </c>
      <c r="E1025" s="29">
        <f>IF(PremiumType="SINGLE",IF(B1025=0,PremiumPPInput,0),IF(B1025&lt;12*PolicyTerm,PremiumPPInput,0))</f>
        <v/>
      </c>
      <c r="F1025" s="30">
        <f>INDEX(MortRates,MATCH(MIN(D1025,120),MortAges,0),MAX(MIN(C1025,5),0)+1)</f>
        <v/>
      </c>
      <c r="G1025" s="31">
        <f>1-(1-F1025)^(1/12)</f>
        <v/>
      </c>
      <c r="H1025" s="32">
        <f>MAX(LapseBase-LapseStep*C1025,LapseFloor)</f>
        <v/>
      </c>
      <c r="I1025" s="32">
        <f>IF(HasSurrCharge,INDEX(SurrRates,MIN(C1025,SurrDurMax)+1,MATCH(SurrChargeID,SurrTypes,0)),0)</f>
        <v/>
      </c>
      <c r="J1025" s="33">
        <f>N1024-P1024-O1024</f>
        <v/>
      </c>
      <c r="K1025" s="30">
        <f>IF(B1025=12*PolicyTerm,J1025,0)</f>
        <v/>
      </c>
      <c r="L1025" s="33">
        <f>J1025-K1025</f>
        <v/>
      </c>
      <c r="M1025" s="30">
        <f>IF(B1025=0,PolicyCount,0)</f>
        <v/>
      </c>
      <c r="N1025" s="33">
        <f>L1025+M1025</f>
        <v/>
      </c>
      <c r="O1025" s="31">
        <f>N1025*G1025</f>
        <v/>
      </c>
      <c r="P1025" s="33">
        <f>(N1025-O1025)*(1-(1-H1025)^(1/12))</f>
        <v/>
      </c>
      <c r="Q1025" s="34">
        <f>X1024+Z1024</f>
        <v/>
      </c>
      <c r="R1025" s="29">
        <f>(1-LoadPremRate)*E1025</f>
        <v/>
      </c>
      <c r="S1025" s="34">
        <f>Q1025+R1025</f>
        <v/>
      </c>
      <c r="T1025" s="29">
        <f>MaintFeeRateAnn/12*S1025</f>
        <v/>
      </c>
      <c r="U1025" s="29">
        <f>MAX(SumAssured-S1025,0)</f>
        <v/>
      </c>
      <c r="V1025" s="35">
        <f>CoiMultiple*G1025</f>
        <v/>
      </c>
      <c r="W1025" s="34">
        <f>V1025*U1025</f>
        <v/>
      </c>
      <c r="X1025" s="34">
        <f>S1025-T1025-W1025</f>
        <v/>
      </c>
      <c r="Y1025" s="36">
        <f>EXP((Mu-0.5*Sigma^2)/12+Sigma*SQRT(1/12)*INDEX(NormRand,ScenID,A1025+1))-1</f>
        <v/>
      </c>
      <c r="Z1025" s="34">
        <f>Y1025*X1025</f>
        <v/>
      </c>
      <c r="AA1025" s="34">
        <f>X1025+0.5*Z1025</f>
        <v/>
      </c>
      <c r="AB1025" s="34">
        <f>Q1025*J1025</f>
        <v/>
      </c>
      <c r="AC1025" s="34">
        <f>Q1025*L1025</f>
        <v/>
      </c>
      <c r="AD1025" s="34">
        <f>S1025*N1025</f>
        <v/>
      </c>
      <c r="AE1025" s="34">
        <f>E1025*N1025</f>
        <v/>
      </c>
      <c r="AF1025" s="34">
        <f>R1025*N1025</f>
        <v/>
      </c>
      <c r="AG1025" s="29">
        <f>MAX(SumAssured,AA1025)</f>
        <v/>
      </c>
      <c r="AH1025" s="34">
        <f>AG1025*O1025</f>
        <v/>
      </c>
      <c r="AI1025" s="34">
        <f>AA1025*O1025</f>
        <v/>
      </c>
      <c r="AJ1025" s="34">
        <f>AA1025*P1025</f>
        <v/>
      </c>
      <c r="AK1025" s="34">
        <f>I1025*AA1025*P1025</f>
        <v/>
      </c>
      <c r="AL1025" s="34">
        <f>AJ1025-AK1025</f>
        <v/>
      </c>
      <c r="AM1025" s="34">
        <f>Q1025*K1025</f>
        <v/>
      </c>
      <c r="AN1025" s="34">
        <f>AH1025+AL1025+AM1025</f>
        <v/>
      </c>
      <c r="AO1025" s="34">
        <f>(AG1025-AA1025)*O1025</f>
        <v/>
      </c>
      <c r="AP1025" s="34">
        <f>W1025*N1025</f>
        <v/>
      </c>
      <c r="AQ1025" s="34">
        <f>T1025*N1025</f>
        <v/>
      </c>
      <c r="AR1025" s="34">
        <f>Z1025*J1026+0.5*Z1025*(O1025+P1025)</f>
        <v/>
      </c>
      <c r="AS1025" s="30">
        <f>(1+InflationRate)^(A1025/12)</f>
        <v/>
      </c>
      <c r="AT1025" s="29">
        <f>ExpenseAcq*M1025+N1025*ExpenseMaint/12*AS1025</f>
        <v/>
      </c>
      <c r="AU1025" s="29">
        <f>CommissionRate*AE1025</f>
        <v/>
      </c>
      <c r="AV1025" s="34">
        <f>AB1026-AB1025</f>
        <v/>
      </c>
      <c r="AW1025" s="34">
        <f>AE1025+AR1025-AN1025-AT1025-AU1025-AV1025</f>
        <v/>
      </c>
      <c r="AX1025" s="29">
        <f>LoadPremRate*E1025*N1025+AK1025+AQ1025-AU1025-AT1025</f>
        <v/>
      </c>
      <c r="AY1025" s="34">
        <f>AP1025-AO1025</f>
        <v/>
      </c>
      <c r="AZ1025" s="37">
        <f>(AW1025-AX1025-AY1025)/MAX(1,ABS(AW1025),ABS(AX1025),ABS(AY1025))</f>
        <v/>
      </c>
      <c r="BA1025" s="37">
        <f>IF(OR(K1025&gt;0,K1026&gt;0),0,(AC1026-(AC1025+AF1025-AQ1025-AP1025+AR1025-AI1025-AJ1025-AM1025))/MAX(1,ABS(AC1025),ABS(AC1026)))</f>
        <v/>
      </c>
      <c r="BB1025" s="35">
        <f>(1+INDEX(DiscRateAnn,INT(A1025/12)+1))^(1/12)-1</f>
        <v/>
      </c>
      <c r="BC1025" s="31">
        <f>(1+BB1025)^-A1025</f>
        <v/>
      </c>
      <c r="BD1025" s="34">
        <f>AW1025*BC1025</f>
        <v/>
      </c>
    </row>
    <row r="1026">
      <c r="A1026" s="27">
        <f>A1025+1</f>
        <v/>
      </c>
      <c r="B1026" s="28">
        <f>Duration0+A1026</f>
        <v/>
      </c>
      <c r="C1026" s="27">
        <f>INT(B1026/12)</f>
        <v/>
      </c>
      <c r="D1026" s="28">
        <f>AgeAtEntry+C1026</f>
        <v/>
      </c>
      <c r="E1026" s="29">
        <f>IF(PremiumType="SINGLE",IF(B1026=0,PremiumPPInput,0),IF(B1026&lt;12*PolicyTerm,PremiumPPInput,0))</f>
        <v/>
      </c>
      <c r="F1026" s="30">
        <f>INDEX(MortRates,MATCH(MIN(D1026,120),MortAges,0),MAX(MIN(C1026,5),0)+1)</f>
        <v/>
      </c>
      <c r="G1026" s="31">
        <f>1-(1-F1026)^(1/12)</f>
        <v/>
      </c>
      <c r="H1026" s="32">
        <f>MAX(LapseBase-LapseStep*C1026,LapseFloor)</f>
        <v/>
      </c>
      <c r="I1026" s="32">
        <f>IF(HasSurrCharge,INDEX(SurrRates,MIN(C1026,SurrDurMax)+1,MATCH(SurrChargeID,SurrTypes,0)),0)</f>
        <v/>
      </c>
      <c r="J1026" s="33">
        <f>N1025-P1025-O1025</f>
        <v/>
      </c>
      <c r="K1026" s="30">
        <f>IF(B1026=12*PolicyTerm,J1026,0)</f>
        <v/>
      </c>
      <c r="L1026" s="33">
        <f>J1026-K1026</f>
        <v/>
      </c>
      <c r="M1026" s="30">
        <f>IF(B1026=0,PolicyCount,0)</f>
        <v/>
      </c>
      <c r="N1026" s="33">
        <f>L1026+M1026</f>
        <v/>
      </c>
      <c r="O1026" s="31">
        <f>N1026*G1026</f>
        <v/>
      </c>
      <c r="P1026" s="33">
        <f>(N1026-O1026)*(1-(1-H1026)^(1/12))</f>
        <v/>
      </c>
      <c r="Q1026" s="34">
        <f>X1025+Z1025</f>
        <v/>
      </c>
      <c r="R1026" s="29">
        <f>(1-LoadPremRate)*E1026</f>
        <v/>
      </c>
      <c r="S1026" s="34">
        <f>Q1026+R1026</f>
        <v/>
      </c>
      <c r="T1026" s="29">
        <f>MaintFeeRateAnn/12*S1026</f>
        <v/>
      </c>
      <c r="U1026" s="29">
        <f>MAX(SumAssured-S1026,0)</f>
        <v/>
      </c>
      <c r="V1026" s="35">
        <f>CoiMultiple*G1026</f>
        <v/>
      </c>
      <c r="W1026" s="34">
        <f>V1026*U1026</f>
        <v/>
      </c>
      <c r="X1026" s="34">
        <f>S1026-T1026-W1026</f>
        <v/>
      </c>
      <c r="Y1026" s="36">
        <f>EXP((Mu-0.5*Sigma^2)/12+Sigma*SQRT(1/12)*INDEX(NormRand,ScenID,A1026+1))-1</f>
        <v/>
      </c>
      <c r="Z1026" s="34">
        <f>Y1026*X1026</f>
        <v/>
      </c>
      <c r="AA1026" s="34">
        <f>X1026+0.5*Z1026</f>
        <v/>
      </c>
      <c r="AB1026" s="34">
        <f>Q1026*J1026</f>
        <v/>
      </c>
      <c r="AC1026" s="34">
        <f>Q1026*L1026</f>
        <v/>
      </c>
      <c r="AD1026" s="34">
        <f>S1026*N1026</f>
        <v/>
      </c>
      <c r="AE1026" s="34">
        <f>E1026*N1026</f>
        <v/>
      </c>
      <c r="AF1026" s="34">
        <f>R1026*N1026</f>
        <v/>
      </c>
      <c r="AG1026" s="29">
        <f>MAX(SumAssured,AA1026)</f>
        <v/>
      </c>
      <c r="AH1026" s="34">
        <f>AG1026*O1026</f>
        <v/>
      </c>
      <c r="AI1026" s="34">
        <f>AA1026*O1026</f>
        <v/>
      </c>
      <c r="AJ1026" s="34">
        <f>AA1026*P1026</f>
        <v/>
      </c>
      <c r="AK1026" s="34">
        <f>I1026*AA1026*P1026</f>
        <v/>
      </c>
      <c r="AL1026" s="34">
        <f>AJ1026-AK1026</f>
        <v/>
      </c>
      <c r="AM1026" s="34">
        <f>Q1026*K1026</f>
        <v/>
      </c>
      <c r="AN1026" s="34">
        <f>AH1026+AL1026+AM1026</f>
        <v/>
      </c>
      <c r="AO1026" s="34">
        <f>(AG1026-AA1026)*O1026</f>
        <v/>
      </c>
      <c r="AP1026" s="34">
        <f>W1026*N1026</f>
        <v/>
      </c>
      <c r="AQ1026" s="34">
        <f>T1026*N1026</f>
        <v/>
      </c>
      <c r="AR1026" s="34">
        <f>Z1026*J1027+0.5*Z1026*(O1026+P1026)</f>
        <v/>
      </c>
      <c r="AS1026" s="30">
        <f>(1+InflationRate)^(A1026/12)</f>
        <v/>
      </c>
      <c r="AT1026" s="29">
        <f>ExpenseAcq*M1026+N1026*ExpenseMaint/12*AS1026</f>
        <v/>
      </c>
      <c r="AU1026" s="29">
        <f>CommissionRate*AE1026</f>
        <v/>
      </c>
      <c r="AV1026" s="34">
        <f>AB1027-AB1026</f>
        <v/>
      </c>
      <c r="AW1026" s="34">
        <f>AE1026+AR1026-AN1026-AT1026-AU1026-AV1026</f>
        <v/>
      </c>
      <c r="AX1026" s="29">
        <f>LoadPremRate*E1026*N1026+AK1026+AQ1026-AU1026-AT1026</f>
        <v/>
      </c>
      <c r="AY1026" s="34">
        <f>AP1026-AO1026</f>
        <v/>
      </c>
      <c r="AZ1026" s="37">
        <f>(AW1026-AX1026-AY1026)/MAX(1,ABS(AW1026),ABS(AX1026),ABS(AY1026))</f>
        <v/>
      </c>
      <c r="BA1026" s="37">
        <f>IF(OR(K1026&gt;0,K1027&gt;0),0,(AC1027-(AC1026+AF1026-AQ1026-AP1026+AR1026-AI1026-AJ1026-AM1026))/MAX(1,ABS(AC1026),ABS(AC1027)))</f>
        <v/>
      </c>
      <c r="BB1026" s="35">
        <f>(1+INDEX(DiscRateAnn,INT(A1026/12)+1))^(1/12)-1</f>
        <v/>
      </c>
      <c r="BC1026" s="31">
        <f>(1+BB1026)^-A1026</f>
        <v/>
      </c>
      <c r="BD1026" s="34">
        <f>AW1026*BC1026</f>
        <v/>
      </c>
    </row>
    <row r="1027">
      <c r="A1027" s="27">
        <f>A1026+1</f>
        <v/>
      </c>
      <c r="B1027" s="28">
        <f>Duration0+A1027</f>
        <v/>
      </c>
      <c r="C1027" s="27">
        <f>INT(B1027/12)</f>
        <v/>
      </c>
      <c r="D1027" s="28">
        <f>AgeAtEntry+C1027</f>
        <v/>
      </c>
      <c r="E1027" s="29">
        <f>IF(PremiumType="SINGLE",IF(B1027=0,PremiumPPInput,0),IF(B1027&lt;12*PolicyTerm,PremiumPPInput,0))</f>
        <v/>
      </c>
      <c r="F1027" s="30">
        <f>INDEX(MortRates,MATCH(MIN(D1027,120),MortAges,0),MAX(MIN(C1027,5),0)+1)</f>
        <v/>
      </c>
      <c r="G1027" s="31">
        <f>1-(1-F1027)^(1/12)</f>
        <v/>
      </c>
      <c r="H1027" s="32">
        <f>MAX(LapseBase-LapseStep*C1027,LapseFloor)</f>
        <v/>
      </c>
      <c r="I1027" s="32">
        <f>IF(HasSurrCharge,INDEX(SurrRates,MIN(C1027,SurrDurMax)+1,MATCH(SurrChargeID,SurrTypes,0)),0)</f>
        <v/>
      </c>
      <c r="J1027" s="33">
        <f>N1026-P1026-O1026</f>
        <v/>
      </c>
      <c r="K1027" s="30">
        <f>IF(B1027=12*PolicyTerm,J1027,0)</f>
        <v/>
      </c>
      <c r="L1027" s="33">
        <f>J1027-K1027</f>
        <v/>
      </c>
      <c r="M1027" s="30">
        <f>IF(B1027=0,PolicyCount,0)</f>
        <v/>
      </c>
      <c r="N1027" s="33">
        <f>L1027+M1027</f>
        <v/>
      </c>
      <c r="O1027" s="31">
        <f>N1027*G1027</f>
        <v/>
      </c>
      <c r="P1027" s="33">
        <f>(N1027-O1027)*(1-(1-H1027)^(1/12))</f>
        <v/>
      </c>
      <c r="Q1027" s="34">
        <f>X1026+Z1026</f>
        <v/>
      </c>
      <c r="R1027" s="29">
        <f>(1-LoadPremRate)*E1027</f>
        <v/>
      </c>
      <c r="S1027" s="34">
        <f>Q1027+R1027</f>
        <v/>
      </c>
      <c r="T1027" s="29">
        <f>MaintFeeRateAnn/12*S1027</f>
        <v/>
      </c>
      <c r="U1027" s="29">
        <f>MAX(SumAssured-S1027,0)</f>
        <v/>
      </c>
      <c r="V1027" s="35">
        <f>CoiMultiple*G1027</f>
        <v/>
      </c>
      <c r="W1027" s="34">
        <f>V1027*U1027</f>
        <v/>
      </c>
      <c r="X1027" s="34">
        <f>S1027-T1027-W1027</f>
        <v/>
      </c>
      <c r="Y1027" s="36">
        <f>EXP((Mu-0.5*Sigma^2)/12+Sigma*SQRT(1/12)*INDEX(NormRand,ScenID,A1027+1))-1</f>
        <v/>
      </c>
      <c r="Z1027" s="34">
        <f>Y1027*X1027</f>
        <v/>
      </c>
      <c r="AA1027" s="34">
        <f>X1027+0.5*Z1027</f>
        <v/>
      </c>
      <c r="AB1027" s="34">
        <f>Q1027*J1027</f>
        <v/>
      </c>
      <c r="AC1027" s="34">
        <f>Q1027*L1027</f>
        <v/>
      </c>
      <c r="AD1027" s="34">
        <f>S1027*N1027</f>
        <v/>
      </c>
      <c r="AE1027" s="34">
        <f>E1027*N1027</f>
        <v/>
      </c>
      <c r="AF1027" s="34">
        <f>R1027*N1027</f>
        <v/>
      </c>
      <c r="AG1027" s="29">
        <f>MAX(SumAssured,AA1027)</f>
        <v/>
      </c>
      <c r="AH1027" s="34">
        <f>AG1027*O1027</f>
        <v/>
      </c>
      <c r="AI1027" s="34">
        <f>AA1027*O1027</f>
        <v/>
      </c>
      <c r="AJ1027" s="34">
        <f>AA1027*P1027</f>
        <v/>
      </c>
      <c r="AK1027" s="34">
        <f>I1027*AA1027*P1027</f>
        <v/>
      </c>
      <c r="AL1027" s="34">
        <f>AJ1027-AK1027</f>
        <v/>
      </c>
      <c r="AM1027" s="34">
        <f>Q1027*K1027</f>
        <v/>
      </c>
      <c r="AN1027" s="34">
        <f>AH1027+AL1027+AM1027</f>
        <v/>
      </c>
      <c r="AO1027" s="34">
        <f>(AG1027-AA1027)*O1027</f>
        <v/>
      </c>
      <c r="AP1027" s="34">
        <f>W1027*N1027</f>
        <v/>
      </c>
      <c r="AQ1027" s="34">
        <f>T1027*N1027</f>
        <v/>
      </c>
      <c r="AR1027" s="34">
        <f>Z1027*J1028+0.5*Z1027*(O1027+P1027)</f>
        <v/>
      </c>
      <c r="AS1027" s="30">
        <f>(1+InflationRate)^(A1027/12)</f>
        <v/>
      </c>
      <c r="AT1027" s="29">
        <f>ExpenseAcq*M1027+N1027*ExpenseMaint/12*AS1027</f>
        <v/>
      </c>
      <c r="AU1027" s="29">
        <f>CommissionRate*AE1027</f>
        <v/>
      </c>
      <c r="AV1027" s="34">
        <f>AB1028-AB1027</f>
        <v/>
      </c>
      <c r="AW1027" s="34">
        <f>AE1027+AR1027-AN1027-AT1027-AU1027-AV1027</f>
        <v/>
      </c>
      <c r="AX1027" s="29">
        <f>LoadPremRate*E1027*N1027+AK1027+AQ1027-AU1027-AT1027</f>
        <v/>
      </c>
      <c r="AY1027" s="34">
        <f>AP1027-AO1027</f>
        <v/>
      </c>
      <c r="AZ1027" s="37">
        <f>(AW1027-AX1027-AY1027)/MAX(1,ABS(AW1027),ABS(AX1027),ABS(AY1027))</f>
        <v/>
      </c>
      <c r="BA1027" s="37">
        <f>IF(OR(K1027&gt;0,K1028&gt;0),0,(AC1028-(AC1027+AF1027-AQ1027-AP1027+AR1027-AI1027-AJ1027-AM1027))/MAX(1,ABS(AC1027),ABS(AC1028)))</f>
        <v/>
      </c>
      <c r="BB1027" s="35">
        <f>(1+INDEX(DiscRateAnn,INT(A1027/12)+1))^(1/12)-1</f>
        <v/>
      </c>
      <c r="BC1027" s="31">
        <f>(1+BB1027)^-A1027</f>
        <v/>
      </c>
      <c r="BD1027" s="34">
        <f>AW1027*BC1027</f>
        <v/>
      </c>
    </row>
    <row r="1028">
      <c r="A1028" s="27">
        <f>A1027+1</f>
        <v/>
      </c>
      <c r="B1028" s="28">
        <f>Duration0+A1028</f>
        <v/>
      </c>
      <c r="C1028" s="27">
        <f>INT(B1028/12)</f>
        <v/>
      </c>
      <c r="D1028" s="28">
        <f>AgeAtEntry+C1028</f>
        <v/>
      </c>
      <c r="E1028" s="29">
        <f>IF(PremiumType="SINGLE",IF(B1028=0,PremiumPPInput,0),IF(B1028&lt;12*PolicyTerm,PremiumPPInput,0))</f>
        <v/>
      </c>
      <c r="F1028" s="30">
        <f>INDEX(MortRates,MATCH(MIN(D1028,120),MortAges,0),MAX(MIN(C1028,5),0)+1)</f>
        <v/>
      </c>
      <c r="G1028" s="31">
        <f>1-(1-F1028)^(1/12)</f>
        <v/>
      </c>
      <c r="H1028" s="32">
        <f>MAX(LapseBase-LapseStep*C1028,LapseFloor)</f>
        <v/>
      </c>
      <c r="I1028" s="32">
        <f>IF(HasSurrCharge,INDEX(SurrRates,MIN(C1028,SurrDurMax)+1,MATCH(SurrChargeID,SurrTypes,0)),0)</f>
        <v/>
      </c>
      <c r="J1028" s="33">
        <f>N1027-P1027-O1027</f>
        <v/>
      </c>
      <c r="K1028" s="30">
        <f>IF(B1028=12*PolicyTerm,J1028,0)</f>
        <v/>
      </c>
      <c r="L1028" s="33">
        <f>J1028-K1028</f>
        <v/>
      </c>
      <c r="M1028" s="30">
        <f>IF(B1028=0,PolicyCount,0)</f>
        <v/>
      </c>
      <c r="N1028" s="33">
        <f>L1028+M1028</f>
        <v/>
      </c>
      <c r="O1028" s="31">
        <f>N1028*G1028</f>
        <v/>
      </c>
      <c r="P1028" s="33">
        <f>(N1028-O1028)*(1-(1-H1028)^(1/12))</f>
        <v/>
      </c>
      <c r="Q1028" s="34">
        <f>X1027+Z1027</f>
        <v/>
      </c>
      <c r="R1028" s="29">
        <f>(1-LoadPremRate)*E1028</f>
        <v/>
      </c>
      <c r="S1028" s="34">
        <f>Q1028+R1028</f>
        <v/>
      </c>
      <c r="T1028" s="29">
        <f>MaintFeeRateAnn/12*S1028</f>
        <v/>
      </c>
      <c r="U1028" s="29">
        <f>MAX(SumAssured-S1028,0)</f>
        <v/>
      </c>
      <c r="V1028" s="35">
        <f>CoiMultiple*G1028</f>
        <v/>
      </c>
      <c r="W1028" s="34">
        <f>V1028*U1028</f>
        <v/>
      </c>
      <c r="X1028" s="34">
        <f>S1028-T1028-W1028</f>
        <v/>
      </c>
      <c r="Y1028" s="36">
        <f>EXP((Mu-0.5*Sigma^2)/12+Sigma*SQRT(1/12)*INDEX(NormRand,ScenID,A1028+1))-1</f>
        <v/>
      </c>
      <c r="Z1028" s="34">
        <f>Y1028*X1028</f>
        <v/>
      </c>
      <c r="AA1028" s="34">
        <f>X1028+0.5*Z1028</f>
        <v/>
      </c>
      <c r="AB1028" s="34">
        <f>Q1028*J1028</f>
        <v/>
      </c>
      <c r="AC1028" s="34">
        <f>Q1028*L1028</f>
        <v/>
      </c>
      <c r="AD1028" s="34">
        <f>S1028*N1028</f>
        <v/>
      </c>
      <c r="AE1028" s="34">
        <f>E1028*N1028</f>
        <v/>
      </c>
      <c r="AF1028" s="34">
        <f>R1028*N1028</f>
        <v/>
      </c>
      <c r="AG1028" s="29">
        <f>MAX(SumAssured,AA1028)</f>
        <v/>
      </c>
      <c r="AH1028" s="34">
        <f>AG1028*O1028</f>
        <v/>
      </c>
      <c r="AI1028" s="34">
        <f>AA1028*O1028</f>
        <v/>
      </c>
      <c r="AJ1028" s="34">
        <f>AA1028*P1028</f>
        <v/>
      </c>
      <c r="AK1028" s="34">
        <f>I1028*AA1028*P1028</f>
        <v/>
      </c>
      <c r="AL1028" s="34">
        <f>AJ1028-AK1028</f>
        <v/>
      </c>
      <c r="AM1028" s="34">
        <f>Q1028*K1028</f>
        <v/>
      </c>
      <c r="AN1028" s="34">
        <f>AH1028+AL1028+AM1028</f>
        <v/>
      </c>
      <c r="AO1028" s="34">
        <f>(AG1028-AA1028)*O1028</f>
        <v/>
      </c>
      <c r="AP1028" s="34">
        <f>W1028*N1028</f>
        <v/>
      </c>
      <c r="AQ1028" s="34">
        <f>T1028*N1028</f>
        <v/>
      </c>
      <c r="AR1028" s="34">
        <f>Z1028*J1029+0.5*Z1028*(O1028+P1028)</f>
        <v/>
      </c>
      <c r="AS1028" s="30">
        <f>(1+InflationRate)^(A1028/12)</f>
        <v/>
      </c>
      <c r="AT1028" s="29">
        <f>ExpenseAcq*M1028+N1028*ExpenseMaint/12*AS1028</f>
        <v/>
      </c>
      <c r="AU1028" s="29">
        <f>CommissionRate*AE1028</f>
        <v/>
      </c>
      <c r="AV1028" s="34">
        <f>AB1029-AB1028</f>
        <v/>
      </c>
      <c r="AW1028" s="34">
        <f>AE1028+AR1028-AN1028-AT1028-AU1028-AV1028</f>
        <v/>
      </c>
      <c r="AX1028" s="29">
        <f>LoadPremRate*E1028*N1028+AK1028+AQ1028-AU1028-AT1028</f>
        <v/>
      </c>
      <c r="AY1028" s="34">
        <f>AP1028-AO1028</f>
        <v/>
      </c>
      <c r="AZ1028" s="37">
        <f>(AW1028-AX1028-AY1028)/MAX(1,ABS(AW1028),ABS(AX1028),ABS(AY1028))</f>
        <v/>
      </c>
      <c r="BA1028" s="37">
        <f>IF(OR(K1028&gt;0,K1029&gt;0),0,(AC1029-(AC1028+AF1028-AQ1028-AP1028+AR1028-AI1028-AJ1028-AM1028))/MAX(1,ABS(AC1028),ABS(AC1029)))</f>
        <v/>
      </c>
      <c r="BB1028" s="35">
        <f>(1+INDEX(DiscRateAnn,INT(A1028/12)+1))^(1/12)-1</f>
        <v/>
      </c>
      <c r="BC1028" s="31">
        <f>(1+BB1028)^-A1028</f>
        <v/>
      </c>
      <c r="BD1028" s="34">
        <f>AW1028*BC1028</f>
        <v/>
      </c>
    </row>
    <row r="1029">
      <c r="A1029" s="27">
        <f>A1028+1</f>
        <v/>
      </c>
      <c r="B1029" s="28">
        <f>Duration0+A1029</f>
        <v/>
      </c>
      <c r="C1029" s="27">
        <f>INT(B1029/12)</f>
        <v/>
      </c>
      <c r="D1029" s="28">
        <f>AgeAtEntry+C1029</f>
        <v/>
      </c>
      <c r="E1029" s="29">
        <f>IF(PremiumType="SINGLE",IF(B1029=0,PremiumPPInput,0),IF(B1029&lt;12*PolicyTerm,PremiumPPInput,0))</f>
        <v/>
      </c>
      <c r="F1029" s="30">
        <f>INDEX(MortRates,MATCH(MIN(D1029,120),MortAges,0),MAX(MIN(C1029,5),0)+1)</f>
        <v/>
      </c>
      <c r="G1029" s="31">
        <f>1-(1-F1029)^(1/12)</f>
        <v/>
      </c>
      <c r="H1029" s="32">
        <f>MAX(LapseBase-LapseStep*C1029,LapseFloor)</f>
        <v/>
      </c>
      <c r="I1029" s="32">
        <f>IF(HasSurrCharge,INDEX(SurrRates,MIN(C1029,SurrDurMax)+1,MATCH(SurrChargeID,SurrTypes,0)),0)</f>
        <v/>
      </c>
      <c r="J1029" s="33">
        <f>N1028-P1028-O1028</f>
        <v/>
      </c>
      <c r="K1029" s="30">
        <f>IF(B1029=12*PolicyTerm,J1029,0)</f>
        <v/>
      </c>
      <c r="L1029" s="33">
        <f>J1029-K1029</f>
        <v/>
      </c>
      <c r="M1029" s="30">
        <f>IF(B1029=0,PolicyCount,0)</f>
        <v/>
      </c>
      <c r="N1029" s="33">
        <f>L1029+M1029</f>
        <v/>
      </c>
      <c r="O1029" s="31">
        <f>N1029*G1029</f>
        <v/>
      </c>
      <c r="P1029" s="33">
        <f>(N1029-O1029)*(1-(1-H1029)^(1/12))</f>
        <v/>
      </c>
      <c r="Q1029" s="34">
        <f>X1028+Z1028</f>
        <v/>
      </c>
      <c r="R1029" s="29">
        <f>(1-LoadPremRate)*E1029</f>
        <v/>
      </c>
      <c r="S1029" s="34">
        <f>Q1029+R1029</f>
        <v/>
      </c>
      <c r="T1029" s="29">
        <f>MaintFeeRateAnn/12*S1029</f>
        <v/>
      </c>
      <c r="U1029" s="29">
        <f>MAX(SumAssured-S1029,0)</f>
        <v/>
      </c>
      <c r="V1029" s="35">
        <f>CoiMultiple*G1029</f>
        <v/>
      </c>
      <c r="W1029" s="34">
        <f>V1029*U1029</f>
        <v/>
      </c>
      <c r="X1029" s="34">
        <f>S1029-T1029-W1029</f>
        <v/>
      </c>
      <c r="Y1029" s="36">
        <f>EXP((Mu-0.5*Sigma^2)/12+Sigma*SQRT(1/12)*INDEX(NormRand,ScenID,A1029+1))-1</f>
        <v/>
      </c>
      <c r="Z1029" s="34">
        <f>Y1029*X1029</f>
        <v/>
      </c>
      <c r="AA1029" s="34">
        <f>X1029+0.5*Z1029</f>
        <v/>
      </c>
      <c r="AB1029" s="34">
        <f>Q1029*J1029</f>
        <v/>
      </c>
      <c r="AC1029" s="34">
        <f>Q1029*L1029</f>
        <v/>
      </c>
      <c r="AD1029" s="34">
        <f>S1029*N1029</f>
        <v/>
      </c>
      <c r="AE1029" s="34">
        <f>E1029*N1029</f>
        <v/>
      </c>
      <c r="AF1029" s="34">
        <f>R1029*N1029</f>
        <v/>
      </c>
      <c r="AG1029" s="29">
        <f>MAX(SumAssured,AA1029)</f>
        <v/>
      </c>
      <c r="AH1029" s="34">
        <f>AG1029*O1029</f>
        <v/>
      </c>
      <c r="AI1029" s="34">
        <f>AA1029*O1029</f>
        <v/>
      </c>
      <c r="AJ1029" s="34">
        <f>AA1029*P1029</f>
        <v/>
      </c>
      <c r="AK1029" s="34">
        <f>I1029*AA1029*P1029</f>
        <v/>
      </c>
      <c r="AL1029" s="34">
        <f>AJ1029-AK1029</f>
        <v/>
      </c>
      <c r="AM1029" s="34">
        <f>Q1029*K1029</f>
        <v/>
      </c>
      <c r="AN1029" s="34">
        <f>AH1029+AL1029+AM1029</f>
        <v/>
      </c>
      <c r="AO1029" s="34">
        <f>(AG1029-AA1029)*O1029</f>
        <v/>
      </c>
      <c r="AP1029" s="34">
        <f>W1029*N1029</f>
        <v/>
      </c>
      <c r="AQ1029" s="34">
        <f>T1029*N1029</f>
        <v/>
      </c>
      <c r="AR1029" s="34">
        <f>Z1029*J1030+0.5*Z1029*(O1029+P1029)</f>
        <v/>
      </c>
      <c r="AS1029" s="30">
        <f>(1+InflationRate)^(A1029/12)</f>
        <v/>
      </c>
      <c r="AT1029" s="29">
        <f>ExpenseAcq*M1029+N1029*ExpenseMaint/12*AS1029</f>
        <v/>
      </c>
      <c r="AU1029" s="29">
        <f>CommissionRate*AE1029</f>
        <v/>
      </c>
      <c r="AV1029" s="34">
        <f>AB1030-AB1029</f>
        <v/>
      </c>
      <c r="AW1029" s="34">
        <f>AE1029+AR1029-AN1029-AT1029-AU1029-AV1029</f>
        <v/>
      </c>
      <c r="AX1029" s="29">
        <f>LoadPremRate*E1029*N1029+AK1029+AQ1029-AU1029-AT1029</f>
        <v/>
      </c>
      <c r="AY1029" s="34">
        <f>AP1029-AO1029</f>
        <v/>
      </c>
      <c r="AZ1029" s="37">
        <f>(AW1029-AX1029-AY1029)/MAX(1,ABS(AW1029),ABS(AX1029),ABS(AY1029))</f>
        <v/>
      </c>
      <c r="BA1029" s="37">
        <f>IF(OR(K1029&gt;0,K1030&gt;0),0,(AC1030-(AC1029+AF1029-AQ1029-AP1029+AR1029-AI1029-AJ1029-AM1029))/MAX(1,ABS(AC1029),ABS(AC1030)))</f>
        <v/>
      </c>
      <c r="BB1029" s="35">
        <f>(1+INDEX(DiscRateAnn,INT(A1029/12)+1))^(1/12)-1</f>
        <v/>
      </c>
      <c r="BC1029" s="31">
        <f>(1+BB1029)^-A1029</f>
        <v/>
      </c>
      <c r="BD1029" s="34">
        <f>AW1029*BC1029</f>
        <v/>
      </c>
    </row>
    <row r="1030">
      <c r="A1030" s="27">
        <f>A1029+1</f>
        <v/>
      </c>
      <c r="B1030" s="28">
        <f>Duration0+A1030</f>
        <v/>
      </c>
      <c r="C1030" s="27">
        <f>INT(B1030/12)</f>
        <v/>
      </c>
      <c r="D1030" s="28">
        <f>AgeAtEntry+C1030</f>
        <v/>
      </c>
      <c r="E1030" s="29">
        <f>IF(PremiumType="SINGLE",IF(B1030=0,PremiumPPInput,0),IF(B1030&lt;12*PolicyTerm,PremiumPPInput,0))</f>
        <v/>
      </c>
      <c r="F1030" s="30">
        <f>INDEX(MortRates,MATCH(MIN(D1030,120),MortAges,0),MAX(MIN(C1030,5),0)+1)</f>
        <v/>
      </c>
      <c r="G1030" s="31">
        <f>1-(1-F1030)^(1/12)</f>
        <v/>
      </c>
      <c r="H1030" s="32">
        <f>MAX(LapseBase-LapseStep*C1030,LapseFloor)</f>
        <v/>
      </c>
      <c r="I1030" s="32">
        <f>IF(HasSurrCharge,INDEX(SurrRates,MIN(C1030,SurrDurMax)+1,MATCH(SurrChargeID,SurrTypes,0)),0)</f>
        <v/>
      </c>
      <c r="J1030" s="33">
        <f>N1029-P1029-O1029</f>
        <v/>
      </c>
      <c r="K1030" s="30">
        <f>IF(B1030=12*PolicyTerm,J1030,0)</f>
        <v/>
      </c>
      <c r="L1030" s="33">
        <f>J1030-K1030</f>
        <v/>
      </c>
      <c r="M1030" s="30">
        <f>IF(B1030=0,PolicyCount,0)</f>
        <v/>
      </c>
      <c r="N1030" s="33">
        <f>L1030+M1030</f>
        <v/>
      </c>
      <c r="O1030" s="31">
        <f>N1030*G1030</f>
        <v/>
      </c>
      <c r="P1030" s="33">
        <f>(N1030-O1030)*(1-(1-H1030)^(1/12))</f>
        <v/>
      </c>
      <c r="Q1030" s="34">
        <f>X1029+Z1029</f>
        <v/>
      </c>
      <c r="R1030" s="29">
        <f>(1-LoadPremRate)*E1030</f>
        <v/>
      </c>
      <c r="S1030" s="34">
        <f>Q1030+R1030</f>
        <v/>
      </c>
      <c r="T1030" s="29">
        <f>MaintFeeRateAnn/12*S1030</f>
        <v/>
      </c>
      <c r="U1030" s="29">
        <f>MAX(SumAssured-S1030,0)</f>
        <v/>
      </c>
      <c r="V1030" s="35">
        <f>CoiMultiple*G1030</f>
        <v/>
      </c>
      <c r="W1030" s="34">
        <f>V1030*U1030</f>
        <v/>
      </c>
      <c r="X1030" s="34">
        <f>S1030-T1030-W1030</f>
        <v/>
      </c>
      <c r="Y1030" s="36">
        <f>EXP((Mu-0.5*Sigma^2)/12+Sigma*SQRT(1/12)*INDEX(NormRand,ScenID,A1030+1))-1</f>
        <v/>
      </c>
      <c r="Z1030" s="34">
        <f>Y1030*X1030</f>
        <v/>
      </c>
      <c r="AA1030" s="34">
        <f>X1030+0.5*Z1030</f>
        <v/>
      </c>
      <c r="AB1030" s="34">
        <f>Q1030*J1030</f>
        <v/>
      </c>
      <c r="AC1030" s="34">
        <f>Q1030*L1030</f>
        <v/>
      </c>
      <c r="AD1030" s="34">
        <f>S1030*N1030</f>
        <v/>
      </c>
      <c r="AE1030" s="34">
        <f>E1030*N1030</f>
        <v/>
      </c>
      <c r="AF1030" s="34">
        <f>R1030*N1030</f>
        <v/>
      </c>
      <c r="AG1030" s="29">
        <f>MAX(SumAssured,AA1030)</f>
        <v/>
      </c>
      <c r="AH1030" s="34">
        <f>AG1030*O1030</f>
        <v/>
      </c>
      <c r="AI1030" s="34">
        <f>AA1030*O1030</f>
        <v/>
      </c>
      <c r="AJ1030" s="34">
        <f>AA1030*P1030</f>
        <v/>
      </c>
      <c r="AK1030" s="34">
        <f>I1030*AA1030*P1030</f>
        <v/>
      </c>
      <c r="AL1030" s="34">
        <f>AJ1030-AK1030</f>
        <v/>
      </c>
      <c r="AM1030" s="34">
        <f>Q1030*K1030</f>
        <v/>
      </c>
      <c r="AN1030" s="34">
        <f>AH1030+AL1030+AM1030</f>
        <v/>
      </c>
      <c r="AO1030" s="34">
        <f>(AG1030-AA1030)*O1030</f>
        <v/>
      </c>
      <c r="AP1030" s="34">
        <f>W1030*N1030</f>
        <v/>
      </c>
      <c r="AQ1030" s="34">
        <f>T1030*N1030</f>
        <v/>
      </c>
      <c r="AR1030" s="34">
        <f>Z1030*J1031+0.5*Z1030*(O1030+P1030)</f>
        <v/>
      </c>
      <c r="AS1030" s="30">
        <f>(1+InflationRate)^(A1030/12)</f>
        <v/>
      </c>
      <c r="AT1030" s="29">
        <f>ExpenseAcq*M1030+N1030*ExpenseMaint/12*AS1030</f>
        <v/>
      </c>
      <c r="AU1030" s="29">
        <f>CommissionRate*AE1030</f>
        <v/>
      </c>
      <c r="AV1030" s="34">
        <f>AB1031-AB1030</f>
        <v/>
      </c>
      <c r="AW1030" s="34">
        <f>AE1030+AR1030-AN1030-AT1030-AU1030-AV1030</f>
        <v/>
      </c>
      <c r="AX1030" s="29">
        <f>LoadPremRate*E1030*N1030+AK1030+AQ1030-AU1030-AT1030</f>
        <v/>
      </c>
      <c r="AY1030" s="34">
        <f>AP1030-AO1030</f>
        <v/>
      </c>
      <c r="AZ1030" s="37">
        <f>(AW1030-AX1030-AY1030)/MAX(1,ABS(AW1030),ABS(AX1030),ABS(AY1030))</f>
        <v/>
      </c>
      <c r="BA1030" s="37">
        <f>IF(OR(K1030&gt;0,K1031&gt;0),0,(AC1031-(AC1030+AF1030-AQ1030-AP1030+AR1030-AI1030-AJ1030-AM1030))/MAX(1,ABS(AC1030),ABS(AC1031)))</f>
        <v/>
      </c>
      <c r="BB1030" s="35">
        <f>(1+INDEX(DiscRateAnn,INT(A1030/12)+1))^(1/12)-1</f>
        <v/>
      </c>
      <c r="BC1030" s="31">
        <f>(1+BB1030)^-A1030</f>
        <v/>
      </c>
      <c r="BD1030" s="34">
        <f>AW1030*BC1030</f>
        <v/>
      </c>
    </row>
    <row r="1031">
      <c r="A1031" s="27">
        <f>A1030+1</f>
        <v/>
      </c>
      <c r="B1031" s="28">
        <f>Duration0+A1031</f>
        <v/>
      </c>
      <c r="C1031" s="27">
        <f>INT(B1031/12)</f>
        <v/>
      </c>
      <c r="D1031" s="28">
        <f>AgeAtEntry+C1031</f>
        <v/>
      </c>
      <c r="E1031" s="29">
        <f>IF(PremiumType="SINGLE",IF(B1031=0,PremiumPPInput,0),IF(B1031&lt;12*PolicyTerm,PremiumPPInput,0))</f>
        <v/>
      </c>
      <c r="F1031" s="30">
        <f>INDEX(MortRates,MATCH(MIN(D1031,120),MortAges,0),MAX(MIN(C1031,5),0)+1)</f>
        <v/>
      </c>
      <c r="G1031" s="31">
        <f>1-(1-F1031)^(1/12)</f>
        <v/>
      </c>
      <c r="H1031" s="32">
        <f>MAX(LapseBase-LapseStep*C1031,LapseFloor)</f>
        <v/>
      </c>
      <c r="I1031" s="32">
        <f>IF(HasSurrCharge,INDEX(SurrRates,MIN(C1031,SurrDurMax)+1,MATCH(SurrChargeID,SurrTypes,0)),0)</f>
        <v/>
      </c>
      <c r="J1031" s="33">
        <f>N1030-P1030-O1030</f>
        <v/>
      </c>
      <c r="K1031" s="30">
        <f>IF(B1031=12*PolicyTerm,J1031,0)</f>
        <v/>
      </c>
      <c r="L1031" s="33">
        <f>J1031-K1031</f>
        <v/>
      </c>
      <c r="M1031" s="30">
        <f>IF(B1031=0,PolicyCount,0)</f>
        <v/>
      </c>
      <c r="N1031" s="33">
        <f>L1031+M1031</f>
        <v/>
      </c>
      <c r="O1031" s="31">
        <f>N1031*G1031</f>
        <v/>
      </c>
      <c r="P1031" s="33">
        <f>(N1031-O1031)*(1-(1-H1031)^(1/12))</f>
        <v/>
      </c>
      <c r="Q1031" s="34">
        <f>X1030+Z1030</f>
        <v/>
      </c>
      <c r="R1031" s="29">
        <f>(1-LoadPremRate)*E1031</f>
        <v/>
      </c>
      <c r="S1031" s="34">
        <f>Q1031+R1031</f>
        <v/>
      </c>
      <c r="T1031" s="29">
        <f>MaintFeeRateAnn/12*S1031</f>
        <v/>
      </c>
      <c r="U1031" s="29">
        <f>MAX(SumAssured-S1031,0)</f>
        <v/>
      </c>
      <c r="V1031" s="35">
        <f>CoiMultiple*G1031</f>
        <v/>
      </c>
      <c r="W1031" s="34">
        <f>V1031*U1031</f>
        <v/>
      </c>
      <c r="X1031" s="34">
        <f>S1031-T1031-W1031</f>
        <v/>
      </c>
      <c r="Y1031" s="36">
        <f>EXP((Mu-0.5*Sigma^2)/12+Sigma*SQRT(1/12)*INDEX(NormRand,ScenID,A1031+1))-1</f>
        <v/>
      </c>
      <c r="Z1031" s="34">
        <f>Y1031*X1031</f>
        <v/>
      </c>
      <c r="AA1031" s="34">
        <f>X1031+0.5*Z1031</f>
        <v/>
      </c>
      <c r="AB1031" s="34">
        <f>Q1031*J1031</f>
        <v/>
      </c>
      <c r="AC1031" s="34">
        <f>Q1031*L1031</f>
        <v/>
      </c>
      <c r="AD1031" s="34">
        <f>S1031*N1031</f>
        <v/>
      </c>
      <c r="AE1031" s="34">
        <f>E1031*N1031</f>
        <v/>
      </c>
      <c r="AF1031" s="34">
        <f>R1031*N1031</f>
        <v/>
      </c>
      <c r="AG1031" s="29">
        <f>MAX(SumAssured,AA1031)</f>
        <v/>
      </c>
      <c r="AH1031" s="34">
        <f>AG1031*O1031</f>
        <v/>
      </c>
      <c r="AI1031" s="34">
        <f>AA1031*O1031</f>
        <v/>
      </c>
      <c r="AJ1031" s="34">
        <f>AA1031*P1031</f>
        <v/>
      </c>
      <c r="AK1031" s="34">
        <f>I1031*AA1031*P1031</f>
        <v/>
      </c>
      <c r="AL1031" s="34">
        <f>AJ1031-AK1031</f>
        <v/>
      </c>
      <c r="AM1031" s="34">
        <f>Q1031*K1031</f>
        <v/>
      </c>
      <c r="AN1031" s="34">
        <f>AH1031+AL1031+AM1031</f>
        <v/>
      </c>
      <c r="AO1031" s="34">
        <f>(AG1031-AA1031)*O1031</f>
        <v/>
      </c>
      <c r="AP1031" s="34">
        <f>W1031*N1031</f>
        <v/>
      </c>
      <c r="AQ1031" s="34">
        <f>T1031*N1031</f>
        <v/>
      </c>
      <c r="AR1031" s="34">
        <f>Z1031*J1032+0.5*Z1031*(O1031+P1031)</f>
        <v/>
      </c>
      <c r="AS1031" s="30">
        <f>(1+InflationRate)^(A1031/12)</f>
        <v/>
      </c>
      <c r="AT1031" s="29">
        <f>ExpenseAcq*M1031+N1031*ExpenseMaint/12*AS1031</f>
        <v/>
      </c>
      <c r="AU1031" s="29">
        <f>CommissionRate*AE1031</f>
        <v/>
      </c>
      <c r="AV1031" s="34">
        <f>AB1032-AB1031</f>
        <v/>
      </c>
      <c r="AW1031" s="34">
        <f>AE1031+AR1031-AN1031-AT1031-AU1031-AV1031</f>
        <v/>
      </c>
      <c r="AX1031" s="29">
        <f>LoadPremRate*E1031*N1031+AK1031+AQ1031-AU1031-AT1031</f>
        <v/>
      </c>
      <c r="AY1031" s="34">
        <f>AP1031-AO1031</f>
        <v/>
      </c>
      <c r="AZ1031" s="37">
        <f>(AW1031-AX1031-AY1031)/MAX(1,ABS(AW1031),ABS(AX1031),ABS(AY1031))</f>
        <v/>
      </c>
      <c r="BA1031" s="37">
        <f>IF(OR(K1031&gt;0,K1032&gt;0),0,(AC1032-(AC1031+AF1031-AQ1031-AP1031+AR1031-AI1031-AJ1031-AM1031))/MAX(1,ABS(AC1031),ABS(AC1032)))</f>
        <v/>
      </c>
      <c r="BB1031" s="35">
        <f>(1+INDEX(DiscRateAnn,INT(A1031/12)+1))^(1/12)-1</f>
        <v/>
      </c>
      <c r="BC1031" s="31">
        <f>(1+BB1031)^-A1031</f>
        <v/>
      </c>
      <c r="BD1031" s="34">
        <f>AW1031*BC1031</f>
        <v/>
      </c>
    </row>
    <row r="1032">
      <c r="A1032" s="27">
        <f>A1031+1</f>
        <v/>
      </c>
      <c r="B1032" s="28">
        <f>Duration0+A1032</f>
        <v/>
      </c>
      <c r="C1032" s="27">
        <f>INT(B1032/12)</f>
        <v/>
      </c>
      <c r="D1032" s="28">
        <f>AgeAtEntry+C1032</f>
        <v/>
      </c>
      <c r="E1032" s="29">
        <f>IF(PremiumType="SINGLE",IF(B1032=0,PremiumPPInput,0),IF(B1032&lt;12*PolicyTerm,PremiumPPInput,0))</f>
        <v/>
      </c>
      <c r="F1032" s="30">
        <f>INDEX(MortRates,MATCH(MIN(D1032,120),MortAges,0),MAX(MIN(C1032,5),0)+1)</f>
        <v/>
      </c>
      <c r="G1032" s="31">
        <f>1-(1-F1032)^(1/12)</f>
        <v/>
      </c>
      <c r="H1032" s="32">
        <f>MAX(LapseBase-LapseStep*C1032,LapseFloor)</f>
        <v/>
      </c>
      <c r="I1032" s="32">
        <f>IF(HasSurrCharge,INDEX(SurrRates,MIN(C1032,SurrDurMax)+1,MATCH(SurrChargeID,SurrTypes,0)),0)</f>
        <v/>
      </c>
      <c r="J1032" s="33">
        <f>N1031-P1031-O1031</f>
        <v/>
      </c>
      <c r="K1032" s="30">
        <f>IF(B1032=12*PolicyTerm,J1032,0)</f>
        <v/>
      </c>
      <c r="L1032" s="33">
        <f>J1032-K1032</f>
        <v/>
      </c>
      <c r="M1032" s="30">
        <f>IF(B1032=0,PolicyCount,0)</f>
        <v/>
      </c>
      <c r="N1032" s="33">
        <f>L1032+M1032</f>
        <v/>
      </c>
      <c r="O1032" s="31">
        <f>N1032*G1032</f>
        <v/>
      </c>
      <c r="P1032" s="33">
        <f>(N1032-O1032)*(1-(1-H1032)^(1/12))</f>
        <v/>
      </c>
      <c r="Q1032" s="34">
        <f>X1031+Z1031</f>
        <v/>
      </c>
      <c r="R1032" s="29">
        <f>(1-LoadPremRate)*E1032</f>
        <v/>
      </c>
      <c r="S1032" s="34">
        <f>Q1032+R1032</f>
        <v/>
      </c>
      <c r="T1032" s="29">
        <f>MaintFeeRateAnn/12*S1032</f>
        <v/>
      </c>
      <c r="U1032" s="29">
        <f>MAX(SumAssured-S1032,0)</f>
        <v/>
      </c>
      <c r="V1032" s="35">
        <f>CoiMultiple*G1032</f>
        <v/>
      </c>
      <c r="W1032" s="34">
        <f>V1032*U1032</f>
        <v/>
      </c>
      <c r="X1032" s="34">
        <f>S1032-T1032-W1032</f>
        <v/>
      </c>
      <c r="Y1032" s="36">
        <f>EXP((Mu-0.5*Sigma^2)/12+Sigma*SQRT(1/12)*INDEX(NormRand,ScenID,A1032+1))-1</f>
        <v/>
      </c>
      <c r="Z1032" s="34">
        <f>Y1032*X1032</f>
        <v/>
      </c>
      <c r="AA1032" s="34">
        <f>X1032+0.5*Z1032</f>
        <v/>
      </c>
      <c r="AB1032" s="34">
        <f>Q1032*J1032</f>
        <v/>
      </c>
      <c r="AC1032" s="34">
        <f>Q1032*L1032</f>
        <v/>
      </c>
      <c r="AD1032" s="34">
        <f>S1032*N1032</f>
        <v/>
      </c>
      <c r="AE1032" s="34">
        <f>E1032*N1032</f>
        <v/>
      </c>
      <c r="AF1032" s="34">
        <f>R1032*N1032</f>
        <v/>
      </c>
      <c r="AG1032" s="29">
        <f>MAX(SumAssured,AA1032)</f>
        <v/>
      </c>
      <c r="AH1032" s="34">
        <f>AG1032*O1032</f>
        <v/>
      </c>
      <c r="AI1032" s="34">
        <f>AA1032*O1032</f>
        <v/>
      </c>
      <c r="AJ1032" s="34">
        <f>AA1032*P1032</f>
        <v/>
      </c>
      <c r="AK1032" s="34">
        <f>I1032*AA1032*P1032</f>
        <v/>
      </c>
      <c r="AL1032" s="34">
        <f>AJ1032-AK1032</f>
        <v/>
      </c>
      <c r="AM1032" s="34">
        <f>Q1032*K1032</f>
        <v/>
      </c>
      <c r="AN1032" s="34">
        <f>AH1032+AL1032+AM1032</f>
        <v/>
      </c>
      <c r="AO1032" s="34">
        <f>(AG1032-AA1032)*O1032</f>
        <v/>
      </c>
      <c r="AP1032" s="34">
        <f>W1032*N1032</f>
        <v/>
      </c>
      <c r="AQ1032" s="34">
        <f>T1032*N1032</f>
        <v/>
      </c>
      <c r="AR1032" s="34">
        <f>Z1032*J1033+0.5*Z1032*(O1032+P1032)</f>
        <v/>
      </c>
      <c r="AS1032" s="30">
        <f>(1+InflationRate)^(A1032/12)</f>
        <v/>
      </c>
      <c r="AT1032" s="29">
        <f>ExpenseAcq*M1032+N1032*ExpenseMaint/12*AS1032</f>
        <v/>
      </c>
      <c r="AU1032" s="29">
        <f>CommissionRate*AE1032</f>
        <v/>
      </c>
      <c r="AV1032" s="34">
        <f>AB1033-AB1032</f>
        <v/>
      </c>
      <c r="AW1032" s="34">
        <f>AE1032+AR1032-AN1032-AT1032-AU1032-AV1032</f>
        <v/>
      </c>
      <c r="AX1032" s="29">
        <f>LoadPremRate*E1032*N1032+AK1032+AQ1032-AU1032-AT1032</f>
        <v/>
      </c>
      <c r="AY1032" s="34">
        <f>AP1032-AO1032</f>
        <v/>
      </c>
      <c r="AZ1032" s="37">
        <f>(AW1032-AX1032-AY1032)/MAX(1,ABS(AW1032),ABS(AX1032),ABS(AY1032))</f>
        <v/>
      </c>
      <c r="BA1032" s="37">
        <f>IF(OR(K1032&gt;0,K1033&gt;0),0,(AC1033-(AC1032+AF1032-AQ1032-AP1032+AR1032-AI1032-AJ1032-AM1032))/MAX(1,ABS(AC1032),ABS(AC1033)))</f>
        <v/>
      </c>
      <c r="BB1032" s="35">
        <f>(1+INDEX(DiscRateAnn,INT(A1032/12)+1))^(1/12)-1</f>
        <v/>
      </c>
      <c r="BC1032" s="31">
        <f>(1+BB1032)^-A1032</f>
        <v/>
      </c>
      <c r="BD1032" s="34">
        <f>AW1032*BC1032</f>
        <v/>
      </c>
    </row>
    <row r="1033">
      <c r="A1033" s="27">
        <f>A1032+1</f>
        <v/>
      </c>
      <c r="B1033" s="28">
        <f>Duration0+A1033</f>
        <v/>
      </c>
      <c r="C1033" s="27">
        <f>INT(B1033/12)</f>
        <v/>
      </c>
      <c r="D1033" s="28">
        <f>AgeAtEntry+C1033</f>
        <v/>
      </c>
      <c r="E1033" s="29">
        <f>IF(PremiumType="SINGLE",IF(B1033=0,PremiumPPInput,0),IF(B1033&lt;12*PolicyTerm,PremiumPPInput,0))</f>
        <v/>
      </c>
      <c r="F1033" s="30">
        <f>INDEX(MortRates,MATCH(MIN(D1033,120),MortAges,0),MAX(MIN(C1033,5),0)+1)</f>
        <v/>
      </c>
      <c r="G1033" s="31">
        <f>1-(1-F1033)^(1/12)</f>
        <v/>
      </c>
      <c r="H1033" s="32">
        <f>MAX(LapseBase-LapseStep*C1033,LapseFloor)</f>
        <v/>
      </c>
      <c r="I1033" s="32">
        <f>IF(HasSurrCharge,INDEX(SurrRates,MIN(C1033,SurrDurMax)+1,MATCH(SurrChargeID,SurrTypes,0)),0)</f>
        <v/>
      </c>
      <c r="J1033" s="33">
        <f>N1032-P1032-O1032</f>
        <v/>
      </c>
      <c r="K1033" s="30">
        <f>IF(B1033=12*PolicyTerm,J1033,0)</f>
        <v/>
      </c>
      <c r="L1033" s="33">
        <f>J1033-K1033</f>
        <v/>
      </c>
      <c r="M1033" s="30">
        <f>IF(B1033=0,PolicyCount,0)</f>
        <v/>
      </c>
      <c r="N1033" s="33">
        <f>L1033+M1033</f>
        <v/>
      </c>
      <c r="O1033" s="31">
        <f>N1033*G1033</f>
        <v/>
      </c>
      <c r="P1033" s="33">
        <f>(N1033-O1033)*(1-(1-H1033)^(1/12))</f>
        <v/>
      </c>
      <c r="Q1033" s="34">
        <f>X1032+Z1032</f>
        <v/>
      </c>
      <c r="R1033" s="29">
        <f>(1-LoadPremRate)*E1033</f>
        <v/>
      </c>
      <c r="S1033" s="34">
        <f>Q1033+R1033</f>
        <v/>
      </c>
      <c r="T1033" s="29">
        <f>MaintFeeRateAnn/12*S1033</f>
        <v/>
      </c>
      <c r="U1033" s="29">
        <f>MAX(SumAssured-S1033,0)</f>
        <v/>
      </c>
      <c r="V1033" s="35">
        <f>CoiMultiple*G1033</f>
        <v/>
      </c>
      <c r="W1033" s="34">
        <f>V1033*U1033</f>
        <v/>
      </c>
      <c r="X1033" s="34">
        <f>S1033-T1033-W1033</f>
        <v/>
      </c>
      <c r="Y1033" s="36">
        <f>EXP((Mu-0.5*Sigma^2)/12+Sigma*SQRT(1/12)*INDEX(NormRand,ScenID,A1033+1))-1</f>
        <v/>
      </c>
      <c r="Z1033" s="34">
        <f>Y1033*X1033</f>
        <v/>
      </c>
      <c r="AA1033" s="34">
        <f>X1033+0.5*Z1033</f>
        <v/>
      </c>
      <c r="AB1033" s="34">
        <f>Q1033*J1033</f>
        <v/>
      </c>
      <c r="AC1033" s="34">
        <f>Q1033*L1033</f>
        <v/>
      </c>
      <c r="AD1033" s="34">
        <f>S1033*N1033</f>
        <v/>
      </c>
      <c r="AE1033" s="34">
        <f>E1033*N1033</f>
        <v/>
      </c>
      <c r="AF1033" s="34">
        <f>R1033*N1033</f>
        <v/>
      </c>
      <c r="AG1033" s="29">
        <f>MAX(SumAssured,AA1033)</f>
        <v/>
      </c>
      <c r="AH1033" s="34">
        <f>AG1033*O1033</f>
        <v/>
      </c>
      <c r="AI1033" s="34">
        <f>AA1033*O1033</f>
        <v/>
      </c>
      <c r="AJ1033" s="34">
        <f>AA1033*P1033</f>
        <v/>
      </c>
      <c r="AK1033" s="34">
        <f>I1033*AA1033*P1033</f>
        <v/>
      </c>
      <c r="AL1033" s="34">
        <f>AJ1033-AK1033</f>
        <v/>
      </c>
      <c r="AM1033" s="34">
        <f>Q1033*K1033</f>
        <v/>
      </c>
      <c r="AN1033" s="34">
        <f>AH1033+AL1033+AM1033</f>
        <v/>
      </c>
      <c r="AO1033" s="34">
        <f>(AG1033-AA1033)*O1033</f>
        <v/>
      </c>
      <c r="AP1033" s="34">
        <f>W1033*N1033</f>
        <v/>
      </c>
      <c r="AQ1033" s="34">
        <f>T1033*N1033</f>
        <v/>
      </c>
      <c r="AR1033" s="34">
        <f>Z1033*J1034+0.5*Z1033*(O1033+P1033)</f>
        <v/>
      </c>
      <c r="AS1033" s="30">
        <f>(1+InflationRate)^(A1033/12)</f>
        <v/>
      </c>
      <c r="AT1033" s="29">
        <f>ExpenseAcq*M1033+N1033*ExpenseMaint/12*AS1033</f>
        <v/>
      </c>
      <c r="AU1033" s="29">
        <f>CommissionRate*AE1033</f>
        <v/>
      </c>
      <c r="AV1033" s="34">
        <f>AB1034-AB1033</f>
        <v/>
      </c>
      <c r="AW1033" s="34">
        <f>AE1033+AR1033-AN1033-AT1033-AU1033-AV1033</f>
        <v/>
      </c>
      <c r="AX1033" s="29">
        <f>LoadPremRate*E1033*N1033+AK1033+AQ1033-AU1033-AT1033</f>
        <v/>
      </c>
      <c r="AY1033" s="34">
        <f>AP1033-AO1033</f>
        <v/>
      </c>
      <c r="AZ1033" s="37">
        <f>(AW1033-AX1033-AY1033)/MAX(1,ABS(AW1033),ABS(AX1033),ABS(AY1033))</f>
        <v/>
      </c>
      <c r="BA1033" s="37">
        <f>IF(OR(K1033&gt;0,K1034&gt;0),0,(AC1034-(AC1033+AF1033-AQ1033-AP1033+AR1033-AI1033-AJ1033-AM1033))/MAX(1,ABS(AC1033),ABS(AC1034)))</f>
        <v/>
      </c>
      <c r="BB1033" s="35">
        <f>(1+INDEX(DiscRateAnn,INT(A1033/12)+1))^(1/12)-1</f>
        <v/>
      </c>
      <c r="BC1033" s="31">
        <f>(1+BB1033)^-A1033</f>
        <v/>
      </c>
      <c r="BD1033" s="34">
        <f>AW1033*BC1033</f>
        <v/>
      </c>
    </row>
    <row r="1034">
      <c r="A1034" s="27">
        <f>A1033+1</f>
        <v/>
      </c>
      <c r="B1034" s="28">
        <f>Duration0+A1034</f>
        <v/>
      </c>
      <c r="C1034" s="27">
        <f>INT(B1034/12)</f>
        <v/>
      </c>
      <c r="D1034" s="28">
        <f>AgeAtEntry+C1034</f>
        <v/>
      </c>
      <c r="E1034" s="29">
        <f>IF(PremiumType="SINGLE",IF(B1034=0,PremiumPPInput,0),IF(B1034&lt;12*PolicyTerm,PremiumPPInput,0))</f>
        <v/>
      </c>
      <c r="F1034" s="30">
        <f>INDEX(MortRates,MATCH(MIN(D1034,120),MortAges,0),MAX(MIN(C1034,5),0)+1)</f>
        <v/>
      </c>
      <c r="G1034" s="31">
        <f>1-(1-F1034)^(1/12)</f>
        <v/>
      </c>
      <c r="H1034" s="32">
        <f>MAX(LapseBase-LapseStep*C1034,LapseFloor)</f>
        <v/>
      </c>
      <c r="I1034" s="32">
        <f>IF(HasSurrCharge,INDEX(SurrRates,MIN(C1034,SurrDurMax)+1,MATCH(SurrChargeID,SurrTypes,0)),0)</f>
        <v/>
      </c>
      <c r="J1034" s="33">
        <f>N1033-P1033-O1033</f>
        <v/>
      </c>
      <c r="K1034" s="30">
        <f>IF(B1034=12*PolicyTerm,J1034,0)</f>
        <v/>
      </c>
      <c r="L1034" s="33">
        <f>J1034-K1034</f>
        <v/>
      </c>
      <c r="M1034" s="30">
        <f>IF(B1034=0,PolicyCount,0)</f>
        <v/>
      </c>
      <c r="N1034" s="33">
        <f>L1034+M1034</f>
        <v/>
      </c>
      <c r="O1034" s="31">
        <f>N1034*G1034</f>
        <v/>
      </c>
      <c r="P1034" s="33">
        <f>(N1034-O1034)*(1-(1-H1034)^(1/12))</f>
        <v/>
      </c>
      <c r="Q1034" s="34">
        <f>X1033+Z1033</f>
        <v/>
      </c>
      <c r="R1034" s="29">
        <f>(1-LoadPremRate)*E1034</f>
        <v/>
      </c>
      <c r="S1034" s="34">
        <f>Q1034+R1034</f>
        <v/>
      </c>
      <c r="T1034" s="29">
        <f>MaintFeeRateAnn/12*S1034</f>
        <v/>
      </c>
      <c r="U1034" s="29">
        <f>MAX(SumAssured-S1034,0)</f>
        <v/>
      </c>
      <c r="V1034" s="35">
        <f>CoiMultiple*G1034</f>
        <v/>
      </c>
      <c r="W1034" s="34">
        <f>V1034*U1034</f>
        <v/>
      </c>
      <c r="X1034" s="34">
        <f>S1034-T1034-W1034</f>
        <v/>
      </c>
      <c r="Y1034" s="36">
        <f>EXP((Mu-0.5*Sigma^2)/12+Sigma*SQRT(1/12)*INDEX(NormRand,ScenID,A1034+1))-1</f>
        <v/>
      </c>
      <c r="Z1034" s="34">
        <f>Y1034*X1034</f>
        <v/>
      </c>
      <c r="AA1034" s="34">
        <f>X1034+0.5*Z1034</f>
        <v/>
      </c>
      <c r="AB1034" s="34">
        <f>Q1034*J1034</f>
        <v/>
      </c>
      <c r="AC1034" s="34">
        <f>Q1034*L1034</f>
        <v/>
      </c>
      <c r="AD1034" s="34">
        <f>S1034*N1034</f>
        <v/>
      </c>
      <c r="AE1034" s="34">
        <f>E1034*N1034</f>
        <v/>
      </c>
      <c r="AF1034" s="34">
        <f>R1034*N1034</f>
        <v/>
      </c>
      <c r="AG1034" s="29">
        <f>MAX(SumAssured,AA1034)</f>
        <v/>
      </c>
      <c r="AH1034" s="34">
        <f>AG1034*O1034</f>
        <v/>
      </c>
      <c r="AI1034" s="34">
        <f>AA1034*O1034</f>
        <v/>
      </c>
      <c r="AJ1034" s="34">
        <f>AA1034*P1034</f>
        <v/>
      </c>
      <c r="AK1034" s="34">
        <f>I1034*AA1034*P1034</f>
        <v/>
      </c>
      <c r="AL1034" s="34">
        <f>AJ1034-AK1034</f>
        <v/>
      </c>
      <c r="AM1034" s="34">
        <f>Q1034*K1034</f>
        <v/>
      </c>
      <c r="AN1034" s="34">
        <f>AH1034+AL1034+AM1034</f>
        <v/>
      </c>
      <c r="AO1034" s="34">
        <f>(AG1034-AA1034)*O1034</f>
        <v/>
      </c>
      <c r="AP1034" s="34">
        <f>W1034*N1034</f>
        <v/>
      </c>
      <c r="AQ1034" s="34">
        <f>T1034*N1034</f>
        <v/>
      </c>
      <c r="AR1034" s="34">
        <f>Z1034*J1035+0.5*Z1034*(O1034+P1034)</f>
        <v/>
      </c>
      <c r="AS1034" s="30">
        <f>(1+InflationRate)^(A1034/12)</f>
        <v/>
      </c>
      <c r="AT1034" s="29">
        <f>ExpenseAcq*M1034+N1034*ExpenseMaint/12*AS1034</f>
        <v/>
      </c>
      <c r="AU1034" s="29">
        <f>CommissionRate*AE1034</f>
        <v/>
      </c>
      <c r="AV1034" s="34">
        <f>AB1035-AB1034</f>
        <v/>
      </c>
      <c r="AW1034" s="34">
        <f>AE1034+AR1034-AN1034-AT1034-AU1034-AV1034</f>
        <v/>
      </c>
      <c r="AX1034" s="29">
        <f>LoadPremRate*E1034*N1034+AK1034+AQ1034-AU1034-AT1034</f>
        <v/>
      </c>
      <c r="AY1034" s="34">
        <f>AP1034-AO1034</f>
        <v/>
      </c>
      <c r="AZ1034" s="37">
        <f>(AW1034-AX1034-AY1034)/MAX(1,ABS(AW1034),ABS(AX1034),ABS(AY1034))</f>
        <v/>
      </c>
      <c r="BA1034" s="37">
        <f>IF(OR(K1034&gt;0,K1035&gt;0),0,(AC1035-(AC1034+AF1034-AQ1034-AP1034+AR1034-AI1034-AJ1034-AM1034))/MAX(1,ABS(AC1034),ABS(AC1035)))</f>
        <v/>
      </c>
      <c r="BB1034" s="35">
        <f>(1+INDEX(DiscRateAnn,INT(A1034/12)+1))^(1/12)-1</f>
        <v/>
      </c>
      <c r="BC1034" s="31">
        <f>(1+BB1034)^-A1034</f>
        <v/>
      </c>
      <c r="BD1034" s="34">
        <f>AW1034*BC1034</f>
        <v/>
      </c>
    </row>
    <row r="1035">
      <c r="A1035" s="27">
        <f>A1034+1</f>
        <v/>
      </c>
      <c r="B1035" s="28">
        <f>Duration0+A1035</f>
        <v/>
      </c>
      <c r="C1035" s="27">
        <f>INT(B1035/12)</f>
        <v/>
      </c>
      <c r="D1035" s="28">
        <f>AgeAtEntry+C1035</f>
        <v/>
      </c>
      <c r="E1035" s="29">
        <f>IF(PremiumType="SINGLE",IF(B1035=0,PremiumPPInput,0),IF(B1035&lt;12*PolicyTerm,PremiumPPInput,0))</f>
        <v/>
      </c>
      <c r="F1035" s="30">
        <f>INDEX(MortRates,MATCH(MIN(D1035,120),MortAges,0),MAX(MIN(C1035,5),0)+1)</f>
        <v/>
      </c>
      <c r="G1035" s="31">
        <f>1-(1-F1035)^(1/12)</f>
        <v/>
      </c>
      <c r="H1035" s="32">
        <f>MAX(LapseBase-LapseStep*C1035,LapseFloor)</f>
        <v/>
      </c>
      <c r="I1035" s="32">
        <f>IF(HasSurrCharge,INDEX(SurrRates,MIN(C1035,SurrDurMax)+1,MATCH(SurrChargeID,SurrTypes,0)),0)</f>
        <v/>
      </c>
      <c r="J1035" s="33">
        <f>N1034-P1034-O1034</f>
        <v/>
      </c>
      <c r="K1035" s="30">
        <f>IF(B1035=12*PolicyTerm,J1035,0)</f>
        <v/>
      </c>
      <c r="L1035" s="33">
        <f>J1035-K1035</f>
        <v/>
      </c>
      <c r="M1035" s="30">
        <f>IF(B1035=0,PolicyCount,0)</f>
        <v/>
      </c>
      <c r="N1035" s="33">
        <f>L1035+M1035</f>
        <v/>
      </c>
      <c r="O1035" s="31">
        <f>N1035*G1035</f>
        <v/>
      </c>
      <c r="P1035" s="33">
        <f>(N1035-O1035)*(1-(1-H1035)^(1/12))</f>
        <v/>
      </c>
      <c r="Q1035" s="34">
        <f>X1034+Z1034</f>
        <v/>
      </c>
      <c r="R1035" s="29">
        <f>(1-LoadPremRate)*E1035</f>
        <v/>
      </c>
      <c r="S1035" s="34">
        <f>Q1035+R1035</f>
        <v/>
      </c>
      <c r="T1035" s="29">
        <f>MaintFeeRateAnn/12*S1035</f>
        <v/>
      </c>
      <c r="U1035" s="29">
        <f>MAX(SumAssured-S1035,0)</f>
        <v/>
      </c>
      <c r="V1035" s="35">
        <f>CoiMultiple*G1035</f>
        <v/>
      </c>
      <c r="W1035" s="34">
        <f>V1035*U1035</f>
        <v/>
      </c>
      <c r="X1035" s="34">
        <f>S1035-T1035-W1035</f>
        <v/>
      </c>
      <c r="Y1035" s="36">
        <f>EXP((Mu-0.5*Sigma^2)/12+Sigma*SQRT(1/12)*INDEX(NormRand,ScenID,A1035+1))-1</f>
        <v/>
      </c>
      <c r="Z1035" s="34">
        <f>Y1035*X1035</f>
        <v/>
      </c>
      <c r="AA1035" s="34">
        <f>X1035+0.5*Z1035</f>
        <v/>
      </c>
      <c r="AB1035" s="34">
        <f>Q1035*J1035</f>
        <v/>
      </c>
      <c r="AC1035" s="34">
        <f>Q1035*L1035</f>
        <v/>
      </c>
      <c r="AD1035" s="34">
        <f>S1035*N1035</f>
        <v/>
      </c>
      <c r="AE1035" s="34">
        <f>E1035*N1035</f>
        <v/>
      </c>
      <c r="AF1035" s="34">
        <f>R1035*N1035</f>
        <v/>
      </c>
      <c r="AG1035" s="29">
        <f>MAX(SumAssured,AA1035)</f>
        <v/>
      </c>
      <c r="AH1035" s="34">
        <f>AG1035*O1035</f>
        <v/>
      </c>
      <c r="AI1035" s="34">
        <f>AA1035*O1035</f>
        <v/>
      </c>
      <c r="AJ1035" s="34">
        <f>AA1035*P1035</f>
        <v/>
      </c>
      <c r="AK1035" s="34">
        <f>I1035*AA1035*P1035</f>
        <v/>
      </c>
      <c r="AL1035" s="34">
        <f>AJ1035-AK1035</f>
        <v/>
      </c>
      <c r="AM1035" s="34">
        <f>Q1035*K1035</f>
        <v/>
      </c>
      <c r="AN1035" s="34">
        <f>AH1035+AL1035+AM1035</f>
        <v/>
      </c>
      <c r="AO1035" s="34">
        <f>(AG1035-AA1035)*O1035</f>
        <v/>
      </c>
      <c r="AP1035" s="34">
        <f>W1035*N1035</f>
        <v/>
      </c>
      <c r="AQ1035" s="34">
        <f>T1035*N1035</f>
        <v/>
      </c>
      <c r="AR1035" s="34">
        <f>Z1035*J1036+0.5*Z1035*(O1035+P1035)</f>
        <v/>
      </c>
      <c r="AS1035" s="30">
        <f>(1+InflationRate)^(A1035/12)</f>
        <v/>
      </c>
      <c r="AT1035" s="29">
        <f>ExpenseAcq*M1035+N1035*ExpenseMaint/12*AS1035</f>
        <v/>
      </c>
      <c r="AU1035" s="29">
        <f>CommissionRate*AE1035</f>
        <v/>
      </c>
      <c r="AV1035" s="34">
        <f>AB1036-AB1035</f>
        <v/>
      </c>
      <c r="AW1035" s="34">
        <f>AE1035+AR1035-AN1035-AT1035-AU1035-AV1035</f>
        <v/>
      </c>
      <c r="AX1035" s="29">
        <f>LoadPremRate*E1035*N1035+AK1035+AQ1035-AU1035-AT1035</f>
        <v/>
      </c>
      <c r="AY1035" s="34">
        <f>AP1035-AO1035</f>
        <v/>
      </c>
      <c r="AZ1035" s="37">
        <f>(AW1035-AX1035-AY1035)/MAX(1,ABS(AW1035),ABS(AX1035),ABS(AY1035))</f>
        <v/>
      </c>
      <c r="BA1035" s="37">
        <f>IF(OR(K1035&gt;0,K1036&gt;0),0,(AC1036-(AC1035+AF1035-AQ1035-AP1035+AR1035-AI1035-AJ1035-AM1035))/MAX(1,ABS(AC1035),ABS(AC1036)))</f>
        <v/>
      </c>
      <c r="BB1035" s="35">
        <f>(1+INDEX(DiscRateAnn,INT(A1035/12)+1))^(1/12)-1</f>
        <v/>
      </c>
      <c r="BC1035" s="31">
        <f>(1+BB1035)^-A1035</f>
        <v/>
      </c>
      <c r="BD1035" s="34">
        <f>AW1035*BC1035</f>
        <v/>
      </c>
    </row>
    <row r="1036">
      <c r="A1036" s="27">
        <f>A1035+1</f>
        <v/>
      </c>
      <c r="B1036" s="28">
        <f>Duration0+A1036</f>
        <v/>
      </c>
      <c r="C1036" s="27">
        <f>INT(B1036/12)</f>
        <v/>
      </c>
      <c r="D1036" s="28">
        <f>AgeAtEntry+C1036</f>
        <v/>
      </c>
      <c r="E1036" s="29">
        <f>IF(PremiumType="SINGLE",IF(B1036=0,PremiumPPInput,0),IF(B1036&lt;12*PolicyTerm,PremiumPPInput,0))</f>
        <v/>
      </c>
      <c r="F1036" s="30">
        <f>INDEX(MortRates,MATCH(MIN(D1036,120),MortAges,0),MAX(MIN(C1036,5),0)+1)</f>
        <v/>
      </c>
      <c r="G1036" s="31">
        <f>1-(1-F1036)^(1/12)</f>
        <v/>
      </c>
      <c r="H1036" s="32">
        <f>MAX(LapseBase-LapseStep*C1036,LapseFloor)</f>
        <v/>
      </c>
      <c r="I1036" s="32">
        <f>IF(HasSurrCharge,INDEX(SurrRates,MIN(C1036,SurrDurMax)+1,MATCH(SurrChargeID,SurrTypes,0)),0)</f>
        <v/>
      </c>
      <c r="J1036" s="33">
        <f>N1035-P1035-O1035</f>
        <v/>
      </c>
      <c r="K1036" s="30">
        <f>IF(B1036=12*PolicyTerm,J1036,0)</f>
        <v/>
      </c>
      <c r="L1036" s="33">
        <f>J1036-K1036</f>
        <v/>
      </c>
      <c r="M1036" s="30">
        <f>IF(B1036=0,PolicyCount,0)</f>
        <v/>
      </c>
      <c r="N1036" s="33">
        <f>L1036+M1036</f>
        <v/>
      </c>
      <c r="O1036" s="31">
        <f>N1036*G1036</f>
        <v/>
      </c>
      <c r="P1036" s="33">
        <f>(N1036-O1036)*(1-(1-H1036)^(1/12))</f>
        <v/>
      </c>
      <c r="Q1036" s="34">
        <f>X1035+Z1035</f>
        <v/>
      </c>
      <c r="R1036" s="29">
        <f>(1-LoadPremRate)*E1036</f>
        <v/>
      </c>
      <c r="S1036" s="34">
        <f>Q1036+R1036</f>
        <v/>
      </c>
      <c r="T1036" s="29">
        <f>MaintFeeRateAnn/12*S1036</f>
        <v/>
      </c>
      <c r="U1036" s="29">
        <f>MAX(SumAssured-S1036,0)</f>
        <v/>
      </c>
      <c r="V1036" s="35">
        <f>CoiMultiple*G1036</f>
        <v/>
      </c>
      <c r="W1036" s="34">
        <f>V1036*U1036</f>
        <v/>
      </c>
      <c r="X1036" s="34">
        <f>S1036-T1036-W1036</f>
        <v/>
      </c>
      <c r="Y1036" s="36">
        <f>EXP((Mu-0.5*Sigma^2)/12+Sigma*SQRT(1/12)*INDEX(NormRand,ScenID,A1036+1))-1</f>
        <v/>
      </c>
      <c r="Z1036" s="34">
        <f>Y1036*X1036</f>
        <v/>
      </c>
      <c r="AA1036" s="34">
        <f>X1036+0.5*Z1036</f>
        <v/>
      </c>
      <c r="AB1036" s="34">
        <f>Q1036*J1036</f>
        <v/>
      </c>
      <c r="AC1036" s="34">
        <f>Q1036*L1036</f>
        <v/>
      </c>
      <c r="AD1036" s="34">
        <f>S1036*N1036</f>
        <v/>
      </c>
      <c r="AE1036" s="34">
        <f>E1036*N1036</f>
        <v/>
      </c>
      <c r="AF1036" s="34">
        <f>R1036*N1036</f>
        <v/>
      </c>
      <c r="AG1036" s="29">
        <f>MAX(SumAssured,AA1036)</f>
        <v/>
      </c>
      <c r="AH1036" s="34">
        <f>AG1036*O1036</f>
        <v/>
      </c>
      <c r="AI1036" s="34">
        <f>AA1036*O1036</f>
        <v/>
      </c>
      <c r="AJ1036" s="34">
        <f>AA1036*P1036</f>
        <v/>
      </c>
      <c r="AK1036" s="34">
        <f>I1036*AA1036*P1036</f>
        <v/>
      </c>
      <c r="AL1036" s="34">
        <f>AJ1036-AK1036</f>
        <v/>
      </c>
      <c r="AM1036" s="34">
        <f>Q1036*K1036</f>
        <v/>
      </c>
      <c r="AN1036" s="34">
        <f>AH1036+AL1036+AM1036</f>
        <v/>
      </c>
      <c r="AO1036" s="34">
        <f>(AG1036-AA1036)*O1036</f>
        <v/>
      </c>
      <c r="AP1036" s="34">
        <f>W1036*N1036</f>
        <v/>
      </c>
      <c r="AQ1036" s="34">
        <f>T1036*N1036</f>
        <v/>
      </c>
      <c r="AR1036" s="34">
        <f>Z1036*J1037+0.5*Z1036*(O1036+P1036)</f>
        <v/>
      </c>
      <c r="AS1036" s="30">
        <f>(1+InflationRate)^(A1036/12)</f>
        <v/>
      </c>
      <c r="AT1036" s="29">
        <f>ExpenseAcq*M1036+N1036*ExpenseMaint/12*AS1036</f>
        <v/>
      </c>
      <c r="AU1036" s="29">
        <f>CommissionRate*AE1036</f>
        <v/>
      </c>
      <c r="AV1036" s="34">
        <f>AB1037-AB1036</f>
        <v/>
      </c>
      <c r="AW1036" s="34">
        <f>AE1036+AR1036-AN1036-AT1036-AU1036-AV1036</f>
        <v/>
      </c>
      <c r="AX1036" s="29">
        <f>LoadPremRate*E1036*N1036+AK1036+AQ1036-AU1036-AT1036</f>
        <v/>
      </c>
      <c r="AY1036" s="34">
        <f>AP1036-AO1036</f>
        <v/>
      </c>
      <c r="AZ1036" s="37">
        <f>(AW1036-AX1036-AY1036)/MAX(1,ABS(AW1036),ABS(AX1036),ABS(AY1036))</f>
        <v/>
      </c>
      <c r="BA1036" s="37">
        <f>IF(OR(K1036&gt;0,K1037&gt;0),0,(AC1037-(AC1036+AF1036-AQ1036-AP1036+AR1036-AI1036-AJ1036-AM1036))/MAX(1,ABS(AC1036),ABS(AC1037)))</f>
        <v/>
      </c>
      <c r="BB1036" s="35">
        <f>(1+INDEX(DiscRateAnn,INT(A1036/12)+1))^(1/12)-1</f>
        <v/>
      </c>
      <c r="BC1036" s="31">
        <f>(1+BB1036)^-A1036</f>
        <v/>
      </c>
      <c r="BD1036" s="34">
        <f>AW1036*BC1036</f>
        <v/>
      </c>
    </row>
    <row r="1037">
      <c r="A1037" s="27">
        <f>A1036+1</f>
        <v/>
      </c>
      <c r="B1037" s="28">
        <f>Duration0+A1037</f>
        <v/>
      </c>
      <c r="C1037" s="27">
        <f>INT(B1037/12)</f>
        <v/>
      </c>
      <c r="D1037" s="28">
        <f>AgeAtEntry+C1037</f>
        <v/>
      </c>
      <c r="E1037" s="29">
        <f>IF(PremiumType="SINGLE",IF(B1037=0,PremiumPPInput,0),IF(B1037&lt;12*PolicyTerm,PremiumPPInput,0))</f>
        <v/>
      </c>
      <c r="F1037" s="30">
        <f>INDEX(MortRates,MATCH(MIN(D1037,120),MortAges,0),MAX(MIN(C1037,5),0)+1)</f>
        <v/>
      </c>
      <c r="G1037" s="31">
        <f>1-(1-F1037)^(1/12)</f>
        <v/>
      </c>
      <c r="H1037" s="32">
        <f>MAX(LapseBase-LapseStep*C1037,LapseFloor)</f>
        <v/>
      </c>
      <c r="I1037" s="32">
        <f>IF(HasSurrCharge,INDEX(SurrRates,MIN(C1037,SurrDurMax)+1,MATCH(SurrChargeID,SurrTypes,0)),0)</f>
        <v/>
      </c>
      <c r="J1037" s="33">
        <f>N1036-P1036-O1036</f>
        <v/>
      </c>
      <c r="K1037" s="30">
        <f>IF(B1037=12*PolicyTerm,J1037,0)</f>
        <v/>
      </c>
      <c r="L1037" s="33">
        <f>J1037-K1037</f>
        <v/>
      </c>
      <c r="M1037" s="30">
        <f>IF(B1037=0,PolicyCount,0)</f>
        <v/>
      </c>
      <c r="N1037" s="33">
        <f>L1037+M1037</f>
        <v/>
      </c>
      <c r="O1037" s="31">
        <f>N1037*G1037</f>
        <v/>
      </c>
      <c r="P1037" s="33">
        <f>(N1037-O1037)*(1-(1-H1037)^(1/12))</f>
        <v/>
      </c>
      <c r="Q1037" s="34">
        <f>X1036+Z1036</f>
        <v/>
      </c>
      <c r="R1037" s="29">
        <f>(1-LoadPremRate)*E1037</f>
        <v/>
      </c>
      <c r="S1037" s="34">
        <f>Q1037+R1037</f>
        <v/>
      </c>
      <c r="T1037" s="29">
        <f>MaintFeeRateAnn/12*S1037</f>
        <v/>
      </c>
      <c r="U1037" s="29">
        <f>MAX(SumAssured-S1037,0)</f>
        <v/>
      </c>
      <c r="V1037" s="35">
        <f>CoiMultiple*G1037</f>
        <v/>
      </c>
      <c r="W1037" s="34">
        <f>V1037*U1037</f>
        <v/>
      </c>
      <c r="X1037" s="34">
        <f>S1037-T1037-W1037</f>
        <v/>
      </c>
      <c r="Y1037" s="36">
        <f>EXP((Mu-0.5*Sigma^2)/12+Sigma*SQRT(1/12)*INDEX(NormRand,ScenID,A1037+1))-1</f>
        <v/>
      </c>
      <c r="Z1037" s="34">
        <f>Y1037*X1037</f>
        <v/>
      </c>
      <c r="AA1037" s="34">
        <f>X1037+0.5*Z1037</f>
        <v/>
      </c>
      <c r="AB1037" s="34">
        <f>Q1037*J1037</f>
        <v/>
      </c>
      <c r="AC1037" s="34">
        <f>Q1037*L1037</f>
        <v/>
      </c>
      <c r="AD1037" s="34">
        <f>S1037*N1037</f>
        <v/>
      </c>
      <c r="AE1037" s="34">
        <f>E1037*N1037</f>
        <v/>
      </c>
      <c r="AF1037" s="34">
        <f>R1037*N1037</f>
        <v/>
      </c>
      <c r="AG1037" s="29">
        <f>MAX(SumAssured,AA1037)</f>
        <v/>
      </c>
      <c r="AH1037" s="34">
        <f>AG1037*O1037</f>
        <v/>
      </c>
      <c r="AI1037" s="34">
        <f>AA1037*O1037</f>
        <v/>
      </c>
      <c r="AJ1037" s="34">
        <f>AA1037*P1037</f>
        <v/>
      </c>
      <c r="AK1037" s="34">
        <f>I1037*AA1037*P1037</f>
        <v/>
      </c>
      <c r="AL1037" s="34">
        <f>AJ1037-AK1037</f>
        <v/>
      </c>
      <c r="AM1037" s="34">
        <f>Q1037*K1037</f>
        <v/>
      </c>
      <c r="AN1037" s="34">
        <f>AH1037+AL1037+AM1037</f>
        <v/>
      </c>
      <c r="AO1037" s="34">
        <f>(AG1037-AA1037)*O1037</f>
        <v/>
      </c>
      <c r="AP1037" s="34">
        <f>W1037*N1037</f>
        <v/>
      </c>
      <c r="AQ1037" s="34">
        <f>T1037*N1037</f>
        <v/>
      </c>
      <c r="AR1037" s="34">
        <f>Z1037*J1038+0.5*Z1037*(O1037+P1037)</f>
        <v/>
      </c>
      <c r="AS1037" s="30">
        <f>(1+InflationRate)^(A1037/12)</f>
        <v/>
      </c>
      <c r="AT1037" s="29">
        <f>ExpenseAcq*M1037+N1037*ExpenseMaint/12*AS1037</f>
        <v/>
      </c>
      <c r="AU1037" s="29">
        <f>CommissionRate*AE1037</f>
        <v/>
      </c>
      <c r="AV1037" s="34">
        <f>AB1038-AB1037</f>
        <v/>
      </c>
      <c r="AW1037" s="34">
        <f>AE1037+AR1037-AN1037-AT1037-AU1037-AV1037</f>
        <v/>
      </c>
      <c r="AX1037" s="29">
        <f>LoadPremRate*E1037*N1037+AK1037+AQ1037-AU1037-AT1037</f>
        <v/>
      </c>
      <c r="AY1037" s="34">
        <f>AP1037-AO1037</f>
        <v/>
      </c>
      <c r="AZ1037" s="37">
        <f>(AW1037-AX1037-AY1037)/MAX(1,ABS(AW1037),ABS(AX1037),ABS(AY1037))</f>
        <v/>
      </c>
      <c r="BA1037" s="37">
        <f>IF(OR(K1037&gt;0,K1038&gt;0),0,(AC1038-(AC1037+AF1037-AQ1037-AP1037+AR1037-AI1037-AJ1037-AM1037))/MAX(1,ABS(AC1037),ABS(AC1038)))</f>
        <v/>
      </c>
      <c r="BB1037" s="35">
        <f>(1+INDEX(DiscRateAnn,INT(A1037/12)+1))^(1/12)-1</f>
        <v/>
      </c>
      <c r="BC1037" s="31">
        <f>(1+BB1037)^-A1037</f>
        <v/>
      </c>
      <c r="BD1037" s="34">
        <f>AW1037*BC1037</f>
        <v/>
      </c>
    </row>
    <row r="1038">
      <c r="A1038" s="27">
        <f>A1037+1</f>
        <v/>
      </c>
      <c r="B1038" s="28">
        <f>Duration0+A1038</f>
        <v/>
      </c>
      <c r="C1038" s="27">
        <f>INT(B1038/12)</f>
        <v/>
      </c>
      <c r="D1038" s="28">
        <f>AgeAtEntry+C1038</f>
        <v/>
      </c>
      <c r="E1038" s="29">
        <f>IF(PremiumType="SINGLE",IF(B1038=0,PremiumPPInput,0),IF(B1038&lt;12*PolicyTerm,PremiumPPInput,0))</f>
        <v/>
      </c>
      <c r="F1038" s="30">
        <f>INDEX(MortRates,MATCH(MIN(D1038,120),MortAges,0),MAX(MIN(C1038,5),0)+1)</f>
        <v/>
      </c>
      <c r="G1038" s="31">
        <f>1-(1-F1038)^(1/12)</f>
        <v/>
      </c>
      <c r="H1038" s="32">
        <f>MAX(LapseBase-LapseStep*C1038,LapseFloor)</f>
        <v/>
      </c>
      <c r="I1038" s="32">
        <f>IF(HasSurrCharge,INDEX(SurrRates,MIN(C1038,SurrDurMax)+1,MATCH(SurrChargeID,SurrTypes,0)),0)</f>
        <v/>
      </c>
      <c r="J1038" s="33">
        <f>N1037-P1037-O1037</f>
        <v/>
      </c>
      <c r="K1038" s="30">
        <f>IF(B1038=12*PolicyTerm,J1038,0)</f>
        <v/>
      </c>
      <c r="L1038" s="33">
        <f>J1038-K1038</f>
        <v/>
      </c>
      <c r="M1038" s="30">
        <f>IF(B1038=0,PolicyCount,0)</f>
        <v/>
      </c>
      <c r="N1038" s="33">
        <f>L1038+M1038</f>
        <v/>
      </c>
      <c r="O1038" s="31">
        <f>N1038*G1038</f>
        <v/>
      </c>
      <c r="P1038" s="33">
        <f>(N1038-O1038)*(1-(1-H1038)^(1/12))</f>
        <v/>
      </c>
      <c r="Q1038" s="34">
        <f>X1037+Z1037</f>
        <v/>
      </c>
      <c r="R1038" s="29">
        <f>(1-LoadPremRate)*E1038</f>
        <v/>
      </c>
      <c r="S1038" s="34">
        <f>Q1038+R1038</f>
        <v/>
      </c>
      <c r="T1038" s="29">
        <f>MaintFeeRateAnn/12*S1038</f>
        <v/>
      </c>
      <c r="U1038" s="29">
        <f>MAX(SumAssured-S1038,0)</f>
        <v/>
      </c>
      <c r="V1038" s="35">
        <f>CoiMultiple*G1038</f>
        <v/>
      </c>
      <c r="W1038" s="34">
        <f>V1038*U1038</f>
        <v/>
      </c>
      <c r="X1038" s="34">
        <f>S1038-T1038-W1038</f>
        <v/>
      </c>
      <c r="Y1038" s="36">
        <f>EXP((Mu-0.5*Sigma^2)/12+Sigma*SQRT(1/12)*INDEX(NormRand,ScenID,A1038+1))-1</f>
        <v/>
      </c>
      <c r="Z1038" s="34">
        <f>Y1038*X1038</f>
        <v/>
      </c>
      <c r="AA1038" s="34">
        <f>X1038+0.5*Z1038</f>
        <v/>
      </c>
      <c r="AB1038" s="34">
        <f>Q1038*J1038</f>
        <v/>
      </c>
      <c r="AC1038" s="34">
        <f>Q1038*L1038</f>
        <v/>
      </c>
      <c r="AD1038" s="34">
        <f>S1038*N1038</f>
        <v/>
      </c>
      <c r="AE1038" s="34">
        <f>E1038*N1038</f>
        <v/>
      </c>
      <c r="AF1038" s="34">
        <f>R1038*N1038</f>
        <v/>
      </c>
      <c r="AG1038" s="29">
        <f>MAX(SumAssured,AA1038)</f>
        <v/>
      </c>
      <c r="AH1038" s="34">
        <f>AG1038*O1038</f>
        <v/>
      </c>
      <c r="AI1038" s="34">
        <f>AA1038*O1038</f>
        <v/>
      </c>
      <c r="AJ1038" s="34">
        <f>AA1038*P1038</f>
        <v/>
      </c>
      <c r="AK1038" s="34">
        <f>I1038*AA1038*P1038</f>
        <v/>
      </c>
      <c r="AL1038" s="34">
        <f>AJ1038-AK1038</f>
        <v/>
      </c>
      <c r="AM1038" s="34">
        <f>Q1038*K1038</f>
        <v/>
      </c>
      <c r="AN1038" s="34">
        <f>AH1038+AL1038+AM1038</f>
        <v/>
      </c>
      <c r="AO1038" s="34">
        <f>(AG1038-AA1038)*O1038</f>
        <v/>
      </c>
      <c r="AP1038" s="34">
        <f>W1038*N1038</f>
        <v/>
      </c>
      <c r="AQ1038" s="34">
        <f>T1038*N1038</f>
        <v/>
      </c>
      <c r="AR1038" s="34">
        <f>Z1038*J1039+0.5*Z1038*(O1038+P1038)</f>
        <v/>
      </c>
      <c r="AS1038" s="30">
        <f>(1+InflationRate)^(A1038/12)</f>
        <v/>
      </c>
      <c r="AT1038" s="29">
        <f>ExpenseAcq*M1038+N1038*ExpenseMaint/12*AS1038</f>
        <v/>
      </c>
      <c r="AU1038" s="29">
        <f>CommissionRate*AE1038</f>
        <v/>
      </c>
      <c r="AV1038" s="34">
        <f>AB1039-AB1038</f>
        <v/>
      </c>
      <c r="AW1038" s="34">
        <f>AE1038+AR1038-AN1038-AT1038-AU1038-AV1038</f>
        <v/>
      </c>
      <c r="AX1038" s="29">
        <f>LoadPremRate*E1038*N1038+AK1038+AQ1038-AU1038-AT1038</f>
        <v/>
      </c>
      <c r="AY1038" s="34">
        <f>AP1038-AO1038</f>
        <v/>
      </c>
      <c r="AZ1038" s="37">
        <f>(AW1038-AX1038-AY1038)/MAX(1,ABS(AW1038),ABS(AX1038),ABS(AY1038))</f>
        <v/>
      </c>
      <c r="BA1038" s="37">
        <f>IF(OR(K1038&gt;0,K1039&gt;0),0,(AC1039-(AC1038+AF1038-AQ1038-AP1038+AR1038-AI1038-AJ1038-AM1038))/MAX(1,ABS(AC1038),ABS(AC1039)))</f>
        <v/>
      </c>
      <c r="BB1038" s="35">
        <f>(1+INDEX(DiscRateAnn,INT(A1038/12)+1))^(1/12)-1</f>
        <v/>
      </c>
      <c r="BC1038" s="31">
        <f>(1+BB1038)^-A1038</f>
        <v/>
      </c>
      <c r="BD1038" s="34">
        <f>AW1038*BC1038</f>
        <v/>
      </c>
    </row>
    <row r="1039">
      <c r="A1039" s="27">
        <f>A1038+1</f>
        <v/>
      </c>
      <c r="B1039" s="28">
        <f>Duration0+A1039</f>
        <v/>
      </c>
      <c r="C1039" s="27">
        <f>INT(B1039/12)</f>
        <v/>
      </c>
      <c r="D1039" s="28">
        <f>AgeAtEntry+C1039</f>
        <v/>
      </c>
      <c r="E1039" s="29">
        <f>IF(PremiumType="SINGLE",IF(B1039=0,PremiumPPInput,0),IF(B1039&lt;12*PolicyTerm,PremiumPPInput,0))</f>
        <v/>
      </c>
      <c r="F1039" s="30">
        <f>INDEX(MortRates,MATCH(MIN(D1039,120),MortAges,0),MAX(MIN(C1039,5),0)+1)</f>
        <v/>
      </c>
      <c r="G1039" s="31">
        <f>1-(1-F1039)^(1/12)</f>
        <v/>
      </c>
      <c r="H1039" s="32">
        <f>MAX(LapseBase-LapseStep*C1039,LapseFloor)</f>
        <v/>
      </c>
      <c r="I1039" s="32">
        <f>IF(HasSurrCharge,INDEX(SurrRates,MIN(C1039,SurrDurMax)+1,MATCH(SurrChargeID,SurrTypes,0)),0)</f>
        <v/>
      </c>
      <c r="J1039" s="33">
        <f>N1038-P1038-O1038</f>
        <v/>
      </c>
      <c r="K1039" s="30">
        <f>IF(B1039=12*PolicyTerm,J1039,0)</f>
        <v/>
      </c>
      <c r="L1039" s="33">
        <f>J1039-K1039</f>
        <v/>
      </c>
      <c r="M1039" s="30">
        <f>IF(B1039=0,PolicyCount,0)</f>
        <v/>
      </c>
      <c r="N1039" s="33">
        <f>L1039+M1039</f>
        <v/>
      </c>
      <c r="O1039" s="31">
        <f>N1039*G1039</f>
        <v/>
      </c>
      <c r="P1039" s="33">
        <f>(N1039-O1039)*(1-(1-H1039)^(1/12))</f>
        <v/>
      </c>
      <c r="Q1039" s="34">
        <f>X1038+Z1038</f>
        <v/>
      </c>
      <c r="R1039" s="29">
        <f>(1-LoadPremRate)*E1039</f>
        <v/>
      </c>
      <c r="S1039" s="34">
        <f>Q1039+R1039</f>
        <v/>
      </c>
      <c r="T1039" s="29">
        <f>MaintFeeRateAnn/12*S1039</f>
        <v/>
      </c>
      <c r="U1039" s="29">
        <f>MAX(SumAssured-S1039,0)</f>
        <v/>
      </c>
      <c r="V1039" s="35">
        <f>CoiMultiple*G1039</f>
        <v/>
      </c>
      <c r="W1039" s="34">
        <f>V1039*U1039</f>
        <v/>
      </c>
      <c r="X1039" s="34">
        <f>S1039-T1039-W1039</f>
        <v/>
      </c>
      <c r="Y1039" s="36">
        <f>EXP((Mu-0.5*Sigma^2)/12+Sigma*SQRT(1/12)*INDEX(NormRand,ScenID,A1039+1))-1</f>
        <v/>
      </c>
      <c r="Z1039" s="34">
        <f>Y1039*X1039</f>
        <v/>
      </c>
      <c r="AA1039" s="34">
        <f>X1039+0.5*Z1039</f>
        <v/>
      </c>
      <c r="AB1039" s="34">
        <f>Q1039*J1039</f>
        <v/>
      </c>
      <c r="AC1039" s="34">
        <f>Q1039*L1039</f>
        <v/>
      </c>
      <c r="AD1039" s="34">
        <f>S1039*N1039</f>
        <v/>
      </c>
      <c r="AE1039" s="34">
        <f>E1039*N1039</f>
        <v/>
      </c>
      <c r="AF1039" s="34">
        <f>R1039*N1039</f>
        <v/>
      </c>
      <c r="AG1039" s="29">
        <f>MAX(SumAssured,AA1039)</f>
        <v/>
      </c>
      <c r="AH1039" s="34">
        <f>AG1039*O1039</f>
        <v/>
      </c>
      <c r="AI1039" s="34">
        <f>AA1039*O1039</f>
        <v/>
      </c>
      <c r="AJ1039" s="34">
        <f>AA1039*P1039</f>
        <v/>
      </c>
      <c r="AK1039" s="34">
        <f>I1039*AA1039*P1039</f>
        <v/>
      </c>
      <c r="AL1039" s="34">
        <f>AJ1039-AK1039</f>
        <v/>
      </c>
      <c r="AM1039" s="34">
        <f>Q1039*K1039</f>
        <v/>
      </c>
      <c r="AN1039" s="34">
        <f>AH1039+AL1039+AM1039</f>
        <v/>
      </c>
      <c r="AO1039" s="34">
        <f>(AG1039-AA1039)*O1039</f>
        <v/>
      </c>
      <c r="AP1039" s="34">
        <f>W1039*N1039</f>
        <v/>
      </c>
      <c r="AQ1039" s="34">
        <f>T1039*N1039</f>
        <v/>
      </c>
      <c r="AR1039" s="34">
        <f>Z1039*J1040+0.5*Z1039*(O1039+P1039)</f>
        <v/>
      </c>
      <c r="AS1039" s="30">
        <f>(1+InflationRate)^(A1039/12)</f>
        <v/>
      </c>
      <c r="AT1039" s="29">
        <f>ExpenseAcq*M1039+N1039*ExpenseMaint/12*AS1039</f>
        <v/>
      </c>
      <c r="AU1039" s="29">
        <f>CommissionRate*AE1039</f>
        <v/>
      </c>
      <c r="AV1039" s="34">
        <f>AB1040-AB1039</f>
        <v/>
      </c>
      <c r="AW1039" s="34">
        <f>AE1039+AR1039-AN1039-AT1039-AU1039-AV1039</f>
        <v/>
      </c>
      <c r="AX1039" s="29">
        <f>LoadPremRate*E1039*N1039+AK1039+AQ1039-AU1039-AT1039</f>
        <v/>
      </c>
      <c r="AY1039" s="34">
        <f>AP1039-AO1039</f>
        <v/>
      </c>
      <c r="AZ1039" s="37">
        <f>(AW1039-AX1039-AY1039)/MAX(1,ABS(AW1039),ABS(AX1039),ABS(AY1039))</f>
        <v/>
      </c>
      <c r="BA1039" s="37">
        <f>IF(OR(K1039&gt;0,K1040&gt;0),0,(AC1040-(AC1039+AF1039-AQ1039-AP1039+AR1039-AI1039-AJ1039-AM1039))/MAX(1,ABS(AC1039),ABS(AC1040)))</f>
        <v/>
      </c>
      <c r="BB1039" s="35">
        <f>(1+INDEX(DiscRateAnn,INT(A1039/12)+1))^(1/12)-1</f>
        <v/>
      </c>
      <c r="BC1039" s="31">
        <f>(1+BB1039)^-A1039</f>
        <v/>
      </c>
      <c r="BD1039" s="34">
        <f>AW1039*BC1039</f>
        <v/>
      </c>
    </row>
    <row r="1040">
      <c r="A1040" s="27">
        <f>A1039+1</f>
        <v/>
      </c>
      <c r="B1040" s="28">
        <f>Duration0+A1040</f>
        <v/>
      </c>
      <c r="C1040" s="27">
        <f>INT(B1040/12)</f>
        <v/>
      </c>
      <c r="D1040" s="28">
        <f>AgeAtEntry+C1040</f>
        <v/>
      </c>
      <c r="E1040" s="29">
        <f>IF(PremiumType="SINGLE",IF(B1040=0,PremiumPPInput,0),IF(B1040&lt;12*PolicyTerm,PremiumPPInput,0))</f>
        <v/>
      </c>
      <c r="F1040" s="30">
        <f>INDEX(MortRates,MATCH(MIN(D1040,120),MortAges,0),MAX(MIN(C1040,5),0)+1)</f>
        <v/>
      </c>
      <c r="G1040" s="31">
        <f>1-(1-F1040)^(1/12)</f>
        <v/>
      </c>
      <c r="H1040" s="32">
        <f>MAX(LapseBase-LapseStep*C1040,LapseFloor)</f>
        <v/>
      </c>
      <c r="I1040" s="32">
        <f>IF(HasSurrCharge,INDEX(SurrRates,MIN(C1040,SurrDurMax)+1,MATCH(SurrChargeID,SurrTypes,0)),0)</f>
        <v/>
      </c>
      <c r="J1040" s="33">
        <f>N1039-P1039-O1039</f>
        <v/>
      </c>
      <c r="K1040" s="30">
        <f>IF(B1040=12*PolicyTerm,J1040,0)</f>
        <v/>
      </c>
      <c r="L1040" s="33">
        <f>J1040-K1040</f>
        <v/>
      </c>
      <c r="M1040" s="30">
        <f>IF(B1040=0,PolicyCount,0)</f>
        <v/>
      </c>
      <c r="N1040" s="33">
        <f>L1040+M1040</f>
        <v/>
      </c>
      <c r="O1040" s="31">
        <f>N1040*G1040</f>
        <v/>
      </c>
      <c r="P1040" s="33">
        <f>(N1040-O1040)*(1-(1-H1040)^(1/12))</f>
        <v/>
      </c>
      <c r="Q1040" s="34">
        <f>X1039+Z1039</f>
        <v/>
      </c>
      <c r="R1040" s="29">
        <f>(1-LoadPremRate)*E1040</f>
        <v/>
      </c>
      <c r="S1040" s="34">
        <f>Q1040+R1040</f>
        <v/>
      </c>
      <c r="T1040" s="29">
        <f>MaintFeeRateAnn/12*S1040</f>
        <v/>
      </c>
      <c r="U1040" s="29">
        <f>MAX(SumAssured-S1040,0)</f>
        <v/>
      </c>
      <c r="V1040" s="35">
        <f>CoiMultiple*G1040</f>
        <v/>
      </c>
      <c r="W1040" s="34">
        <f>V1040*U1040</f>
        <v/>
      </c>
      <c r="X1040" s="34">
        <f>S1040-T1040-W1040</f>
        <v/>
      </c>
      <c r="Y1040" s="36">
        <f>EXP((Mu-0.5*Sigma^2)/12+Sigma*SQRT(1/12)*INDEX(NormRand,ScenID,A1040+1))-1</f>
        <v/>
      </c>
      <c r="Z1040" s="34">
        <f>Y1040*X1040</f>
        <v/>
      </c>
      <c r="AA1040" s="34">
        <f>X1040+0.5*Z1040</f>
        <v/>
      </c>
      <c r="AB1040" s="34">
        <f>Q1040*J1040</f>
        <v/>
      </c>
      <c r="AC1040" s="34">
        <f>Q1040*L1040</f>
        <v/>
      </c>
      <c r="AD1040" s="34">
        <f>S1040*N1040</f>
        <v/>
      </c>
      <c r="AE1040" s="34">
        <f>E1040*N1040</f>
        <v/>
      </c>
      <c r="AF1040" s="34">
        <f>R1040*N1040</f>
        <v/>
      </c>
      <c r="AG1040" s="29">
        <f>MAX(SumAssured,AA1040)</f>
        <v/>
      </c>
      <c r="AH1040" s="34">
        <f>AG1040*O1040</f>
        <v/>
      </c>
      <c r="AI1040" s="34">
        <f>AA1040*O1040</f>
        <v/>
      </c>
      <c r="AJ1040" s="34">
        <f>AA1040*P1040</f>
        <v/>
      </c>
      <c r="AK1040" s="34">
        <f>I1040*AA1040*P1040</f>
        <v/>
      </c>
      <c r="AL1040" s="34">
        <f>AJ1040-AK1040</f>
        <v/>
      </c>
      <c r="AM1040" s="34">
        <f>Q1040*K1040</f>
        <v/>
      </c>
      <c r="AN1040" s="34">
        <f>AH1040+AL1040+AM1040</f>
        <v/>
      </c>
      <c r="AO1040" s="34">
        <f>(AG1040-AA1040)*O1040</f>
        <v/>
      </c>
      <c r="AP1040" s="34">
        <f>W1040*N1040</f>
        <v/>
      </c>
      <c r="AQ1040" s="34">
        <f>T1040*N1040</f>
        <v/>
      </c>
      <c r="AR1040" s="34">
        <f>Z1040*J1041+0.5*Z1040*(O1040+P1040)</f>
        <v/>
      </c>
      <c r="AS1040" s="30">
        <f>(1+InflationRate)^(A1040/12)</f>
        <v/>
      </c>
      <c r="AT1040" s="29">
        <f>ExpenseAcq*M1040+N1040*ExpenseMaint/12*AS1040</f>
        <v/>
      </c>
      <c r="AU1040" s="29">
        <f>CommissionRate*AE1040</f>
        <v/>
      </c>
      <c r="AV1040" s="34">
        <f>AB1041-AB1040</f>
        <v/>
      </c>
      <c r="AW1040" s="34">
        <f>AE1040+AR1040-AN1040-AT1040-AU1040-AV1040</f>
        <v/>
      </c>
      <c r="AX1040" s="29">
        <f>LoadPremRate*E1040*N1040+AK1040+AQ1040-AU1040-AT1040</f>
        <v/>
      </c>
      <c r="AY1040" s="34">
        <f>AP1040-AO1040</f>
        <v/>
      </c>
      <c r="AZ1040" s="37">
        <f>(AW1040-AX1040-AY1040)/MAX(1,ABS(AW1040),ABS(AX1040),ABS(AY1040))</f>
        <v/>
      </c>
      <c r="BA1040" s="37">
        <f>IF(OR(K1040&gt;0,K1041&gt;0),0,(AC1041-(AC1040+AF1040-AQ1040-AP1040+AR1040-AI1040-AJ1040-AM1040))/MAX(1,ABS(AC1040),ABS(AC1041)))</f>
        <v/>
      </c>
      <c r="BB1040" s="35">
        <f>(1+INDEX(DiscRateAnn,INT(A1040/12)+1))^(1/12)-1</f>
        <v/>
      </c>
      <c r="BC1040" s="31">
        <f>(1+BB1040)^-A1040</f>
        <v/>
      </c>
      <c r="BD1040" s="34">
        <f>AW1040*BC1040</f>
        <v/>
      </c>
    </row>
    <row r="1041">
      <c r="A1041" s="27">
        <f>A1040+1</f>
        <v/>
      </c>
      <c r="B1041" s="28">
        <f>Duration0+A1041</f>
        <v/>
      </c>
      <c r="C1041" s="27">
        <f>INT(B1041/12)</f>
        <v/>
      </c>
      <c r="D1041" s="28">
        <f>AgeAtEntry+C1041</f>
        <v/>
      </c>
      <c r="E1041" s="29">
        <f>IF(PremiumType="SINGLE",IF(B1041=0,PremiumPPInput,0),IF(B1041&lt;12*PolicyTerm,PremiumPPInput,0))</f>
        <v/>
      </c>
      <c r="F1041" s="30">
        <f>INDEX(MortRates,MATCH(MIN(D1041,120),MortAges,0),MAX(MIN(C1041,5),0)+1)</f>
        <v/>
      </c>
      <c r="G1041" s="31">
        <f>1-(1-F1041)^(1/12)</f>
        <v/>
      </c>
      <c r="H1041" s="32">
        <f>MAX(LapseBase-LapseStep*C1041,LapseFloor)</f>
        <v/>
      </c>
      <c r="I1041" s="32">
        <f>IF(HasSurrCharge,INDEX(SurrRates,MIN(C1041,SurrDurMax)+1,MATCH(SurrChargeID,SurrTypes,0)),0)</f>
        <v/>
      </c>
      <c r="J1041" s="33">
        <f>N1040-P1040-O1040</f>
        <v/>
      </c>
      <c r="K1041" s="30">
        <f>IF(B1041=12*PolicyTerm,J1041,0)</f>
        <v/>
      </c>
      <c r="L1041" s="33">
        <f>J1041-K1041</f>
        <v/>
      </c>
      <c r="M1041" s="30">
        <f>IF(B1041=0,PolicyCount,0)</f>
        <v/>
      </c>
      <c r="N1041" s="33">
        <f>L1041+M1041</f>
        <v/>
      </c>
      <c r="O1041" s="31">
        <f>N1041*G1041</f>
        <v/>
      </c>
      <c r="P1041" s="33">
        <f>(N1041-O1041)*(1-(1-H1041)^(1/12))</f>
        <v/>
      </c>
      <c r="Q1041" s="34">
        <f>X1040+Z1040</f>
        <v/>
      </c>
      <c r="R1041" s="29">
        <f>(1-LoadPremRate)*E1041</f>
        <v/>
      </c>
      <c r="S1041" s="34">
        <f>Q1041+R1041</f>
        <v/>
      </c>
      <c r="T1041" s="29">
        <f>MaintFeeRateAnn/12*S1041</f>
        <v/>
      </c>
      <c r="U1041" s="29">
        <f>MAX(SumAssured-S1041,0)</f>
        <v/>
      </c>
      <c r="V1041" s="35">
        <f>CoiMultiple*G1041</f>
        <v/>
      </c>
      <c r="W1041" s="34">
        <f>V1041*U1041</f>
        <v/>
      </c>
      <c r="X1041" s="34">
        <f>S1041-T1041-W1041</f>
        <v/>
      </c>
      <c r="Y1041" s="36">
        <f>EXP((Mu-0.5*Sigma^2)/12+Sigma*SQRT(1/12)*INDEX(NormRand,ScenID,A1041+1))-1</f>
        <v/>
      </c>
      <c r="Z1041" s="34">
        <f>Y1041*X1041</f>
        <v/>
      </c>
      <c r="AA1041" s="34">
        <f>X1041+0.5*Z1041</f>
        <v/>
      </c>
      <c r="AB1041" s="34">
        <f>Q1041*J1041</f>
        <v/>
      </c>
      <c r="AC1041" s="34">
        <f>Q1041*L1041</f>
        <v/>
      </c>
      <c r="AD1041" s="34">
        <f>S1041*N1041</f>
        <v/>
      </c>
      <c r="AE1041" s="34">
        <f>E1041*N1041</f>
        <v/>
      </c>
      <c r="AF1041" s="34">
        <f>R1041*N1041</f>
        <v/>
      </c>
      <c r="AG1041" s="29">
        <f>MAX(SumAssured,AA1041)</f>
        <v/>
      </c>
      <c r="AH1041" s="34">
        <f>AG1041*O1041</f>
        <v/>
      </c>
      <c r="AI1041" s="34">
        <f>AA1041*O1041</f>
        <v/>
      </c>
      <c r="AJ1041" s="34">
        <f>AA1041*P1041</f>
        <v/>
      </c>
      <c r="AK1041" s="34">
        <f>I1041*AA1041*P1041</f>
        <v/>
      </c>
      <c r="AL1041" s="34">
        <f>AJ1041-AK1041</f>
        <v/>
      </c>
      <c r="AM1041" s="34">
        <f>Q1041*K1041</f>
        <v/>
      </c>
      <c r="AN1041" s="34">
        <f>AH1041+AL1041+AM1041</f>
        <v/>
      </c>
      <c r="AO1041" s="34">
        <f>(AG1041-AA1041)*O1041</f>
        <v/>
      </c>
      <c r="AP1041" s="34">
        <f>W1041*N1041</f>
        <v/>
      </c>
      <c r="AQ1041" s="34">
        <f>T1041*N1041</f>
        <v/>
      </c>
      <c r="AR1041" s="34">
        <f>Z1041*J1042+0.5*Z1041*(O1041+P1041)</f>
        <v/>
      </c>
      <c r="AS1041" s="30">
        <f>(1+InflationRate)^(A1041/12)</f>
        <v/>
      </c>
      <c r="AT1041" s="29">
        <f>ExpenseAcq*M1041+N1041*ExpenseMaint/12*AS1041</f>
        <v/>
      </c>
      <c r="AU1041" s="29">
        <f>CommissionRate*AE1041</f>
        <v/>
      </c>
      <c r="AV1041" s="34">
        <f>AB1042-AB1041</f>
        <v/>
      </c>
      <c r="AW1041" s="34">
        <f>AE1041+AR1041-AN1041-AT1041-AU1041-AV1041</f>
        <v/>
      </c>
      <c r="AX1041" s="29">
        <f>LoadPremRate*E1041*N1041+AK1041+AQ1041-AU1041-AT1041</f>
        <v/>
      </c>
      <c r="AY1041" s="34">
        <f>AP1041-AO1041</f>
        <v/>
      </c>
      <c r="AZ1041" s="37">
        <f>(AW1041-AX1041-AY1041)/MAX(1,ABS(AW1041),ABS(AX1041),ABS(AY1041))</f>
        <v/>
      </c>
      <c r="BA1041" s="37">
        <f>IF(OR(K1041&gt;0,K1042&gt;0),0,(AC1042-(AC1041+AF1041-AQ1041-AP1041+AR1041-AI1041-AJ1041-AM1041))/MAX(1,ABS(AC1041),ABS(AC1042)))</f>
        <v/>
      </c>
      <c r="BB1041" s="35">
        <f>(1+INDEX(DiscRateAnn,INT(A1041/12)+1))^(1/12)-1</f>
        <v/>
      </c>
      <c r="BC1041" s="31">
        <f>(1+BB1041)^-A1041</f>
        <v/>
      </c>
      <c r="BD1041" s="34">
        <f>AW1041*BC1041</f>
        <v/>
      </c>
    </row>
    <row r="1042">
      <c r="A1042" s="27">
        <f>A1041+1</f>
        <v/>
      </c>
      <c r="B1042" s="28">
        <f>Duration0+A1042</f>
        <v/>
      </c>
      <c r="C1042" s="27">
        <f>INT(B1042/12)</f>
        <v/>
      </c>
      <c r="D1042" s="28">
        <f>AgeAtEntry+C1042</f>
        <v/>
      </c>
      <c r="E1042" s="29">
        <f>IF(PremiumType="SINGLE",IF(B1042=0,PremiumPPInput,0),IF(B1042&lt;12*PolicyTerm,PremiumPPInput,0))</f>
        <v/>
      </c>
      <c r="F1042" s="30">
        <f>INDEX(MortRates,MATCH(MIN(D1042,120),MortAges,0),MAX(MIN(C1042,5),0)+1)</f>
        <v/>
      </c>
      <c r="G1042" s="31">
        <f>1-(1-F1042)^(1/12)</f>
        <v/>
      </c>
      <c r="H1042" s="32">
        <f>MAX(LapseBase-LapseStep*C1042,LapseFloor)</f>
        <v/>
      </c>
      <c r="I1042" s="32">
        <f>IF(HasSurrCharge,INDEX(SurrRates,MIN(C1042,SurrDurMax)+1,MATCH(SurrChargeID,SurrTypes,0)),0)</f>
        <v/>
      </c>
      <c r="J1042" s="33">
        <f>N1041-P1041-O1041</f>
        <v/>
      </c>
      <c r="K1042" s="30">
        <f>IF(B1042=12*PolicyTerm,J1042,0)</f>
        <v/>
      </c>
      <c r="L1042" s="33">
        <f>J1042-K1042</f>
        <v/>
      </c>
      <c r="M1042" s="30">
        <f>IF(B1042=0,PolicyCount,0)</f>
        <v/>
      </c>
      <c r="N1042" s="33">
        <f>L1042+M1042</f>
        <v/>
      </c>
      <c r="O1042" s="31">
        <f>N1042*G1042</f>
        <v/>
      </c>
      <c r="P1042" s="33">
        <f>(N1042-O1042)*(1-(1-H1042)^(1/12))</f>
        <v/>
      </c>
      <c r="Q1042" s="34">
        <f>X1041+Z1041</f>
        <v/>
      </c>
      <c r="R1042" s="29">
        <f>(1-LoadPremRate)*E1042</f>
        <v/>
      </c>
      <c r="S1042" s="34">
        <f>Q1042+R1042</f>
        <v/>
      </c>
      <c r="T1042" s="29">
        <f>MaintFeeRateAnn/12*S1042</f>
        <v/>
      </c>
      <c r="U1042" s="29">
        <f>MAX(SumAssured-S1042,0)</f>
        <v/>
      </c>
      <c r="V1042" s="35">
        <f>CoiMultiple*G1042</f>
        <v/>
      </c>
      <c r="W1042" s="34">
        <f>V1042*U1042</f>
        <v/>
      </c>
      <c r="X1042" s="34">
        <f>S1042-T1042-W1042</f>
        <v/>
      </c>
      <c r="Y1042" s="36">
        <f>EXP((Mu-0.5*Sigma^2)/12+Sigma*SQRT(1/12)*INDEX(NormRand,ScenID,A1042+1))-1</f>
        <v/>
      </c>
      <c r="Z1042" s="34">
        <f>Y1042*X1042</f>
        <v/>
      </c>
      <c r="AA1042" s="34">
        <f>X1042+0.5*Z1042</f>
        <v/>
      </c>
      <c r="AB1042" s="34">
        <f>Q1042*J1042</f>
        <v/>
      </c>
      <c r="AC1042" s="34">
        <f>Q1042*L1042</f>
        <v/>
      </c>
      <c r="AD1042" s="34">
        <f>S1042*N1042</f>
        <v/>
      </c>
      <c r="AE1042" s="34">
        <f>E1042*N1042</f>
        <v/>
      </c>
      <c r="AF1042" s="34">
        <f>R1042*N1042</f>
        <v/>
      </c>
      <c r="AG1042" s="29">
        <f>MAX(SumAssured,AA1042)</f>
        <v/>
      </c>
      <c r="AH1042" s="34">
        <f>AG1042*O1042</f>
        <v/>
      </c>
      <c r="AI1042" s="34">
        <f>AA1042*O1042</f>
        <v/>
      </c>
      <c r="AJ1042" s="34">
        <f>AA1042*P1042</f>
        <v/>
      </c>
      <c r="AK1042" s="34">
        <f>I1042*AA1042*P1042</f>
        <v/>
      </c>
      <c r="AL1042" s="34">
        <f>AJ1042-AK1042</f>
        <v/>
      </c>
      <c r="AM1042" s="34">
        <f>Q1042*K1042</f>
        <v/>
      </c>
      <c r="AN1042" s="34">
        <f>AH1042+AL1042+AM1042</f>
        <v/>
      </c>
      <c r="AO1042" s="34">
        <f>(AG1042-AA1042)*O1042</f>
        <v/>
      </c>
      <c r="AP1042" s="34">
        <f>W1042*N1042</f>
        <v/>
      </c>
      <c r="AQ1042" s="34">
        <f>T1042*N1042</f>
        <v/>
      </c>
      <c r="AR1042" s="34">
        <f>Z1042*J1043+0.5*Z1042*(O1042+P1042)</f>
        <v/>
      </c>
      <c r="AS1042" s="30">
        <f>(1+InflationRate)^(A1042/12)</f>
        <v/>
      </c>
      <c r="AT1042" s="29">
        <f>ExpenseAcq*M1042+N1042*ExpenseMaint/12*AS1042</f>
        <v/>
      </c>
      <c r="AU1042" s="29">
        <f>CommissionRate*AE1042</f>
        <v/>
      </c>
      <c r="AV1042" s="34">
        <f>AB1043-AB1042</f>
        <v/>
      </c>
      <c r="AW1042" s="34">
        <f>AE1042+AR1042-AN1042-AT1042-AU1042-AV1042</f>
        <v/>
      </c>
      <c r="AX1042" s="29">
        <f>LoadPremRate*E1042*N1042+AK1042+AQ1042-AU1042-AT1042</f>
        <v/>
      </c>
      <c r="AY1042" s="34">
        <f>AP1042-AO1042</f>
        <v/>
      </c>
      <c r="AZ1042" s="37">
        <f>(AW1042-AX1042-AY1042)/MAX(1,ABS(AW1042),ABS(AX1042),ABS(AY1042))</f>
        <v/>
      </c>
      <c r="BA1042" s="37">
        <f>IF(OR(K1042&gt;0,K1043&gt;0),0,(AC1043-(AC1042+AF1042-AQ1042-AP1042+AR1042-AI1042-AJ1042-AM1042))/MAX(1,ABS(AC1042),ABS(AC1043)))</f>
        <v/>
      </c>
      <c r="BB1042" s="35">
        <f>(1+INDEX(DiscRateAnn,INT(A1042/12)+1))^(1/12)-1</f>
        <v/>
      </c>
      <c r="BC1042" s="31">
        <f>(1+BB1042)^-A1042</f>
        <v/>
      </c>
      <c r="BD1042" s="34">
        <f>AW1042*BC1042</f>
        <v/>
      </c>
    </row>
    <row r="1043">
      <c r="A1043" s="27">
        <f>A1042+1</f>
        <v/>
      </c>
      <c r="B1043" s="28">
        <f>Duration0+A1043</f>
        <v/>
      </c>
      <c r="C1043" s="27">
        <f>INT(B1043/12)</f>
        <v/>
      </c>
      <c r="D1043" s="28">
        <f>AgeAtEntry+C1043</f>
        <v/>
      </c>
      <c r="E1043" s="29">
        <f>IF(PremiumType="SINGLE",IF(B1043=0,PremiumPPInput,0),IF(B1043&lt;12*PolicyTerm,PremiumPPInput,0))</f>
        <v/>
      </c>
      <c r="F1043" s="30">
        <f>INDEX(MortRates,MATCH(MIN(D1043,120),MortAges,0),MAX(MIN(C1043,5),0)+1)</f>
        <v/>
      </c>
      <c r="G1043" s="31">
        <f>1-(1-F1043)^(1/12)</f>
        <v/>
      </c>
      <c r="H1043" s="32">
        <f>MAX(LapseBase-LapseStep*C1043,LapseFloor)</f>
        <v/>
      </c>
      <c r="I1043" s="32">
        <f>IF(HasSurrCharge,INDEX(SurrRates,MIN(C1043,SurrDurMax)+1,MATCH(SurrChargeID,SurrTypes,0)),0)</f>
        <v/>
      </c>
      <c r="J1043" s="33">
        <f>N1042-P1042-O1042</f>
        <v/>
      </c>
      <c r="K1043" s="30">
        <f>IF(B1043=12*PolicyTerm,J1043,0)</f>
        <v/>
      </c>
      <c r="L1043" s="33">
        <f>J1043-K1043</f>
        <v/>
      </c>
      <c r="M1043" s="30">
        <f>IF(B1043=0,PolicyCount,0)</f>
        <v/>
      </c>
      <c r="N1043" s="33">
        <f>L1043+M1043</f>
        <v/>
      </c>
      <c r="O1043" s="31">
        <f>N1043*G1043</f>
        <v/>
      </c>
      <c r="P1043" s="33">
        <f>(N1043-O1043)*(1-(1-H1043)^(1/12))</f>
        <v/>
      </c>
      <c r="Q1043" s="34">
        <f>X1042+Z1042</f>
        <v/>
      </c>
      <c r="R1043" s="29">
        <f>(1-LoadPremRate)*E1043</f>
        <v/>
      </c>
      <c r="S1043" s="34">
        <f>Q1043+R1043</f>
        <v/>
      </c>
      <c r="T1043" s="29">
        <f>MaintFeeRateAnn/12*S1043</f>
        <v/>
      </c>
      <c r="U1043" s="29">
        <f>MAX(SumAssured-S1043,0)</f>
        <v/>
      </c>
      <c r="V1043" s="35">
        <f>CoiMultiple*G1043</f>
        <v/>
      </c>
      <c r="W1043" s="34">
        <f>V1043*U1043</f>
        <v/>
      </c>
      <c r="X1043" s="34">
        <f>S1043-T1043-W1043</f>
        <v/>
      </c>
      <c r="Y1043" s="36">
        <f>EXP((Mu-0.5*Sigma^2)/12+Sigma*SQRT(1/12)*INDEX(NormRand,ScenID,A1043+1))-1</f>
        <v/>
      </c>
      <c r="Z1043" s="34">
        <f>Y1043*X1043</f>
        <v/>
      </c>
      <c r="AA1043" s="34">
        <f>X1043+0.5*Z1043</f>
        <v/>
      </c>
      <c r="AB1043" s="34">
        <f>Q1043*J1043</f>
        <v/>
      </c>
      <c r="AC1043" s="34">
        <f>Q1043*L1043</f>
        <v/>
      </c>
      <c r="AD1043" s="34">
        <f>S1043*N1043</f>
        <v/>
      </c>
      <c r="AE1043" s="34">
        <f>E1043*N1043</f>
        <v/>
      </c>
      <c r="AF1043" s="34">
        <f>R1043*N1043</f>
        <v/>
      </c>
      <c r="AG1043" s="29">
        <f>MAX(SumAssured,AA1043)</f>
        <v/>
      </c>
      <c r="AH1043" s="34">
        <f>AG1043*O1043</f>
        <v/>
      </c>
      <c r="AI1043" s="34">
        <f>AA1043*O1043</f>
        <v/>
      </c>
      <c r="AJ1043" s="34">
        <f>AA1043*P1043</f>
        <v/>
      </c>
      <c r="AK1043" s="34">
        <f>I1043*AA1043*P1043</f>
        <v/>
      </c>
      <c r="AL1043" s="34">
        <f>AJ1043-AK1043</f>
        <v/>
      </c>
      <c r="AM1043" s="34">
        <f>Q1043*K1043</f>
        <v/>
      </c>
      <c r="AN1043" s="34">
        <f>AH1043+AL1043+AM1043</f>
        <v/>
      </c>
      <c r="AO1043" s="34">
        <f>(AG1043-AA1043)*O1043</f>
        <v/>
      </c>
      <c r="AP1043" s="34">
        <f>W1043*N1043</f>
        <v/>
      </c>
      <c r="AQ1043" s="34">
        <f>T1043*N1043</f>
        <v/>
      </c>
      <c r="AR1043" s="34">
        <f>Z1043*J1044+0.5*Z1043*(O1043+P1043)</f>
        <v/>
      </c>
      <c r="AS1043" s="30">
        <f>(1+InflationRate)^(A1043/12)</f>
        <v/>
      </c>
      <c r="AT1043" s="29">
        <f>ExpenseAcq*M1043+N1043*ExpenseMaint/12*AS1043</f>
        <v/>
      </c>
      <c r="AU1043" s="29">
        <f>CommissionRate*AE1043</f>
        <v/>
      </c>
      <c r="AV1043" s="34">
        <f>AB1044-AB1043</f>
        <v/>
      </c>
      <c r="AW1043" s="34">
        <f>AE1043+AR1043-AN1043-AT1043-AU1043-AV1043</f>
        <v/>
      </c>
      <c r="AX1043" s="29">
        <f>LoadPremRate*E1043*N1043+AK1043+AQ1043-AU1043-AT1043</f>
        <v/>
      </c>
      <c r="AY1043" s="34">
        <f>AP1043-AO1043</f>
        <v/>
      </c>
      <c r="AZ1043" s="37">
        <f>(AW1043-AX1043-AY1043)/MAX(1,ABS(AW1043),ABS(AX1043),ABS(AY1043))</f>
        <v/>
      </c>
      <c r="BA1043" s="37">
        <f>IF(OR(K1043&gt;0,K1044&gt;0),0,(AC1044-(AC1043+AF1043-AQ1043-AP1043+AR1043-AI1043-AJ1043-AM1043))/MAX(1,ABS(AC1043),ABS(AC1044)))</f>
        <v/>
      </c>
      <c r="BB1043" s="35">
        <f>(1+INDEX(DiscRateAnn,INT(A1043/12)+1))^(1/12)-1</f>
        <v/>
      </c>
      <c r="BC1043" s="31">
        <f>(1+BB1043)^-A1043</f>
        <v/>
      </c>
      <c r="BD1043" s="34">
        <f>AW1043*BC1043</f>
        <v/>
      </c>
    </row>
    <row r="1044">
      <c r="A1044" s="27">
        <f>A1043+1</f>
        <v/>
      </c>
      <c r="B1044" s="28">
        <f>Duration0+A1044</f>
        <v/>
      </c>
      <c r="C1044" s="27">
        <f>INT(B1044/12)</f>
        <v/>
      </c>
      <c r="D1044" s="28">
        <f>AgeAtEntry+C1044</f>
        <v/>
      </c>
      <c r="E1044" s="29">
        <f>IF(PremiumType="SINGLE",IF(B1044=0,PremiumPPInput,0),IF(B1044&lt;12*PolicyTerm,PremiumPPInput,0))</f>
        <v/>
      </c>
      <c r="F1044" s="30">
        <f>INDEX(MortRates,MATCH(MIN(D1044,120),MortAges,0),MAX(MIN(C1044,5),0)+1)</f>
        <v/>
      </c>
      <c r="G1044" s="31">
        <f>1-(1-F1044)^(1/12)</f>
        <v/>
      </c>
      <c r="H1044" s="32">
        <f>MAX(LapseBase-LapseStep*C1044,LapseFloor)</f>
        <v/>
      </c>
      <c r="I1044" s="32">
        <f>IF(HasSurrCharge,INDEX(SurrRates,MIN(C1044,SurrDurMax)+1,MATCH(SurrChargeID,SurrTypes,0)),0)</f>
        <v/>
      </c>
      <c r="J1044" s="33">
        <f>N1043-P1043-O1043</f>
        <v/>
      </c>
      <c r="K1044" s="30">
        <f>IF(B1044=12*PolicyTerm,J1044,0)</f>
        <v/>
      </c>
      <c r="L1044" s="33">
        <f>J1044-K1044</f>
        <v/>
      </c>
      <c r="M1044" s="30">
        <f>IF(B1044=0,PolicyCount,0)</f>
        <v/>
      </c>
      <c r="N1044" s="33">
        <f>L1044+M1044</f>
        <v/>
      </c>
      <c r="O1044" s="31">
        <f>N1044*G1044</f>
        <v/>
      </c>
      <c r="P1044" s="33">
        <f>(N1044-O1044)*(1-(1-H1044)^(1/12))</f>
        <v/>
      </c>
      <c r="Q1044" s="34">
        <f>X1043+Z1043</f>
        <v/>
      </c>
      <c r="R1044" s="29">
        <f>(1-LoadPremRate)*E1044</f>
        <v/>
      </c>
      <c r="S1044" s="34">
        <f>Q1044+R1044</f>
        <v/>
      </c>
      <c r="T1044" s="29">
        <f>MaintFeeRateAnn/12*S1044</f>
        <v/>
      </c>
      <c r="U1044" s="29">
        <f>MAX(SumAssured-S1044,0)</f>
        <v/>
      </c>
      <c r="V1044" s="35">
        <f>CoiMultiple*G1044</f>
        <v/>
      </c>
      <c r="W1044" s="34">
        <f>V1044*U1044</f>
        <v/>
      </c>
      <c r="X1044" s="34">
        <f>S1044-T1044-W1044</f>
        <v/>
      </c>
      <c r="Y1044" s="36">
        <f>EXP((Mu-0.5*Sigma^2)/12+Sigma*SQRT(1/12)*INDEX(NormRand,ScenID,A1044+1))-1</f>
        <v/>
      </c>
      <c r="Z1044" s="34">
        <f>Y1044*X1044</f>
        <v/>
      </c>
      <c r="AA1044" s="34">
        <f>X1044+0.5*Z1044</f>
        <v/>
      </c>
      <c r="AB1044" s="34">
        <f>Q1044*J1044</f>
        <v/>
      </c>
      <c r="AC1044" s="34">
        <f>Q1044*L1044</f>
        <v/>
      </c>
      <c r="AD1044" s="34">
        <f>S1044*N1044</f>
        <v/>
      </c>
      <c r="AE1044" s="34">
        <f>E1044*N1044</f>
        <v/>
      </c>
      <c r="AF1044" s="34">
        <f>R1044*N1044</f>
        <v/>
      </c>
      <c r="AG1044" s="29">
        <f>MAX(SumAssured,AA1044)</f>
        <v/>
      </c>
      <c r="AH1044" s="34">
        <f>AG1044*O1044</f>
        <v/>
      </c>
      <c r="AI1044" s="34">
        <f>AA1044*O1044</f>
        <v/>
      </c>
      <c r="AJ1044" s="34">
        <f>AA1044*P1044</f>
        <v/>
      </c>
      <c r="AK1044" s="34">
        <f>I1044*AA1044*P1044</f>
        <v/>
      </c>
      <c r="AL1044" s="34">
        <f>AJ1044-AK1044</f>
        <v/>
      </c>
      <c r="AM1044" s="34">
        <f>Q1044*K1044</f>
        <v/>
      </c>
      <c r="AN1044" s="34">
        <f>AH1044+AL1044+AM1044</f>
        <v/>
      </c>
      <c r="AO1044" s="34">
        <f>(AG1044-AA1044)*O1044</f>
        <v/>
      </c>
      <c r="AP1044" s="34">
        <f>W1044*N1044</f>
        <v/>
      </c>
      <c r="AQ1044" s="34">
        <f>T1044*N1044</f>
        <v/>
      </c>
      <c r="AR1044" s="34">
        <f>Z1044*J1045+0.5*Z1044*(O1044+P1044)</f>
        <v/>
      </c>
      <c r="AS1044" s="30">
        <f>(1+InflationRate)^(A1044/12)</f>
        <v/>
      </c>
      <c r="AT1044" s="29">
        <f>ExpenseAcq*M1044+N1044*ExpenseMaint/12*AS1044</f>
        <v/>
      </c>
      <c r="AU1044" s="29">
        <f>CommissionRate*AE1044</f>
        <v/>
      </c>
      <c r="AV1044" s="34">
        <f>AB1045-AB1044</f>
        <v/>
      </c>
      <c r="AW1044" s="34">
        <f>AE1044+AR1044-AN1044-AT1044-AU1044-AV1044</f>
        <v/>
      </c>
      <c r="AX1044" s="29">
        <f>LoadPremRate*E1044*N1044+AK1044+AQ1044-AU1044-AT1044</f>
        <v/>
      </c>
      <c r="AY1044" s="34">
        <f>AP1044-AO1044</f>
        <v/>
      </c>
      <c r="AZ1044" s="37">
        <f>(AW1044-AX1044-AY1044)/MAX(1,ABS(AW1044),ABS(AX1044),ABS(AY1044))</f>
        <v/>
      </c>
      <c r="BA1044" s="37">
        <f>IF(OR(K1044&gt;0,K1045&gt;0),0,(AC1045-(AC1044+AF1044-AQ1044-AP1044+AR1044-AI1044-AJ1044-AM1044))/MAX(1,ABS(AC1044),ABS(AC1045)))</f>
        <v/>
      </c>
      <c r="BB1044" s="35">
        <f>(1+INDEX(DiscRateAnn,INT(A1044/12)+1))^(1/12)-1</f>
        <v/>
      </c>
      <c r="BC1044" s="31">
        <f>(1+BB1044)^-A1044</f>
        <v/>
      </c>
      <c r="BD1044" s="34">
        <f>AW1044*BC1044</f>
        <v/>
      </c>
    </row>
    <row r="1045">
      <c r="A1045" s="27">
        <f>A1044+1</f>
        <v/>
      </c>
      <c r="B1045" s="28">
        <f>Duration0+A1045</f>
        <v/>
      </c>
      <c r="C1045" s="27">
        <f>INT(B1045/12)</f>
        <v/>
      </c>
      <c r="D1045" s="28">
        <f>AgeAtEntry+C1045</f>
        <v/>
      </c>
      <c r="E1045" s="29">
        <f>IF(PremiumType="SINGLE",IF(B1045=0,PremiumPPInput,0),IF(B1045&lt;12*PolicyTerm,PremiumPPInput,0))</f>
        <v/>
      </c>
      <c r="F1045" s="30">
        <f>INDEX(MortRates,MATCH(MIN(D1045,120),MortAges,0),MAX(MIN(C1045,5),0)+1)</f>
        <v/>
      </c>
      <c r="G1045" s="31">
        <f>1-(1-F1045)^(1/12)</f>
        <v/>
      </c>
      <c r="H1045" s="32">
        <f>MAX(LapseBase-LapseStep*C1045,LapseFloor)</f>
        <v/>
      </c>
      <c r="I1045" s="32">
        <f>IF(HasSurrCharge,INDEX(SurrRates,MIN(C1045,SurrDurMax)+1,MATCH(SurrChargeID,SurrTypes,0)),0)</f>
        <v/>
      </c>
      <c r="J1045" s="33">
        <f>N1044-P1044-O1044</f>
        <v/>
      </c>
      <c r="K1045" s="30">
        <f>IF(B1045=12*PolicyTerm,J1045,0)</f>
        <v/>
      </c>
      <c r="L1045" s="33">
        <f>J1045-K1045</f>
        <v/>
      </c>
      <c r="M1045" s="30">
        <f>IF(B1045=0,PolicyCount,0)</f>
        <v/>
      </c>
      <c r="N1045" s="33">
        <f>L1045+M1045</f>
        <v/>
      </c>
      <c r="O1045" s="31">
        <f>N1045*G1045</f>
        <v/>
      </c>
      <c r="P1045" s="33">
        <f>(N1045-O1045)*(1-(1-H1045)^(1/12))</f>
        <v/>
      </c>
      <c r="Q1045" s="34">
        <f>X1044+Z1044</f>
        <v/>
      </c>
      <c r="R1045" s="29">
        <f>(1-LoadPremRate)*E1045</f>
        <v/>
      </c>
      <c r="S1045" s="34">
        <f>Q1045+R1045</f>
        <v/>
      </c>
      <c r="T1045" s="29">
        <f>MaintFeeRateAnn/12*S1045</f>
        <v/>
      </c>
      <c r="U1045" s="29">
        <f>MAX(SumAssured-S1045,0)</f>
        <v/>
      </c>
      <c r="V1045" s="35">
        <f>CoiMultiple*G1045</f>
        <v/>
      </c>
      <c r="W1045" s="34">
        <f>V1045*U1045</f>
        <v/>
      </c>
      <c r="X1045" s="34">
        <f>S1045-T1045-W1045</f>
        <v/>
      </c>
      <c r="Y1045" s="36">
        <f>EXP((Mu-0.5*Sigma^2)/12+Sigma*SQRT(1/12)*INDEX(NormRand,ScenID,A1045+1))-1</f>
        <v/>
      </c>
      <c r="Z1045" s="34">
        <f>Y1045*X1045</f>
        <v/>
      </c>
      <c r="AA1045" s="34">
        <f>X1045+0.5*Z1045</f>
        <v/>
      </c>
      <c r="AB1045" s="34">
        <f>Q1045*J1045</f>
        <v/>
      </c>
      <c r="AC1045" s="34">
        <f>Q1045*L1045</f>
        <v/>
      </c>
      <c r="AD1045" s="34">
        <f>S1045*N1045</f>
        <v/>
      </c>
      <c r="AE1045" s="34">
        <f>E1045*N1045</f>
        <v/>
      </c>
      <c r="AF1045" s="34">
        <f>R1045*N1045</f>
        <v/>
      </c>
      <c r="AG1045" s="29">
        <f>MAX(SumAssured,AA1045)</f>
        <v/>
      </c>
      <c r="AH1045" s="34">
        <f>AG1045*O1045</f>
        <v/>
      </c>
      <c r="AI1045" s="34">
        <f>AA1045*O1045</f>
        <v/>
      </c>
      <c r="AJ1045" s="34">
        <f>AA1045*P1045</f>
        <v/>
      </c>
      <c r="AK1045" s="34">
        <f>I1045*AA1045*P1045</f>
        <v/>
      </c>
      <c r="AL1045" s="34">
        <f>AJ1045-AK1045</f>
        <v/>
      </c>
      <c r="AM1045" s="34">
        <f>Q1045*K1045</f>
        <v/>
      </c>
      <c r="AN1045" s="34">
        <f>AH1045+AL1045+AM1045</f>
        <v/>
      </c>
      <c r="AO1045" s="34">
        <f>(AG1045-AA1045)*O1045</f>
        <v/>
      </c>
      <c r="AP1045" s="34">
        <f>W1045*N1045</f>
        <v/>
      </c>
      <c r="AQ1045" s="34">
        <f>T1045*N1045</f>
        <v/>
      </c>
      <c r="AR1045" s="34">
        <f>Z1045*J1046+0.5*Z1045*(O1045+P1045)</f>
        <v/>
      </c>
      <c r="AS1045" s="30">
        <f>(1+InflationRate)^(A1045/12)</f>
        <v/>
      </c>
      <c r="AT1045" s="29">
        <f>ExpenseAcq*M1045+N1045*ExpenseMaint/12*AS1045</f>
        <v/>
      </c>
      <c r="AU1045" s="29">
        <f>CommissionRate*AE1045</f>
        <v/>
      </c>
      <c r="AV1045" s="34">
        <f>AB1046-AB1045</f>
        <v/>
      </c>
      <c r="AW1045" s="34">
        <f>AE1045+AR1045-AN1045-AT1045-AU1045-AV1045</f>
        <v/>
      </c>
      <c r="AX1045" s="29">
        <f>LoadPremRate*E1045*N1045+AK1045+AQ1045-AU1045-AT1045</f>
        <v/>
      </c>
      <c r="AY1045" s="34">
        <f>AP1045-AO1045</f>
        <v/>
      </c>
      <c r="AZ1045" s="37">
        <f>(AW1045-AX1045-AY1045)/MAX(1,ABS(AW1045),ABS(AX1045),ABS(AY1045))</f>
        <v/>
      </c>
      <c r="BA1045" s="37">
        <f>IF(OR(K1045&gt;0,K1046&gt;0),0,(AC1046-(AC1045+AF1045-AQ1045-AP1045+AR1045-AI1045-AJ1045-AM1045))/MAX(1,ABS(AC1045),ABS(AC1046)))</f>
        <v/>
      </c>
      <c r="BB1045" s="35">
        <f>(1+INDEX(DiscRateAnn,INT(A1045/12)+1))^(1/12)-1</f>
        <v/>
      </c>
      <c r="BC1045" s="31">
        <f>(1+BB1045)^-A1045</f>
        <v/>
      </c>
      <c r="BD1045" s="34">
        <f>AW1045*BC1045</f>
        <v/>
      </c>
    </row>
    <row r="1046">
      <c r="A1046" s="27">
        <f>A1045+1</f>
        <v/>
      </c>
      <c r="B1046" s="28">
        <f>Duration0+A1046</f>
        <v/>
      </c>
      <c r="C1046" s="27">
        <f>INT(B1046/12)</f>
        <v/>
      </c>
      <c r="D1046" s="28">
        <f>AgeAtEntry+C1046</f>
        <v/>
      </c>
      <c r="E1046" s="29">
        <f>IF(PremiumType="SINGLE",IF(B1046=0,PremiumPPInput,0),IF(B1046&lt;12*PolicyTerm,PremiumPPInput,0))</f>
        <v/>
      </c>
      <c r="F1046" s="30">
        <f>INDEX(MortRates,MATCH(MIN(D1046,120),MortAges,0),MAX(MIN(C1046,5),0)+1)</f>
        <v/>
      </c>
      <c r="G1046" s="31">
        <f>1-(1-F1046)^(1/12)</f>
        <v/>
      </c>
      <c r="H1046" s="32">
        <f>MAX(LapseBase-LapseStep*C1046,LapseFloor)</f>
        <v/>
      </c>
      <c r="I1046" s="32">
        <f>IF(HasSurrCharge,INDEX(SurrRates,MIN(C1046,SurrDurMax)+1,MATCH(SurrChargeID,SurrTypes,0)),0)</f>
        <v/>
      </c>
      <c r="J1046" s="33">
        <f>N1045-P1045-O1045</f>
        <v/>
      </c>
      <c r="K1046" s="30">
        <f>IF(B1046=12*PolicyTerm,J1046,0)</f>
        <v/>
      </c>
      <c r="L1046" s="33">
        <f>J1046-K1046</f>
        <v/>
      </c>
      <c r="M1046" s="30">
        <f>IF(B1046=0,PolicyCount,0)</f>
        <v/>
      </c>
      <c r="N1046" s="33">
        <f>L1046+M1046</f>
        <v/>
      </c>
      <c r="O1046" s="31">
        <f>N1046*G1046</f>
        <v/>
      </c>
      <c r="P1046" s="33">
        <f>(N1046-O1046)*(1-(1-H1046)^(1/12))</f>
        <v/>
      </c>
      <c r="Q1046" s="34">
        <f>X1045+Z1045</f>
        <v/>
      </c>
      <c r="R1046" s="29">
        <f>(1-LoadPremRate)*E1046</f>
        <v/>
      </c>
      <c r="S1046" s="34">
        <f>Q1046+R1046</f>
        <v/>
      </c>
      <c r="T1046" s="29">
        <f>MaintFeeRateAnn/12*S1046</f>
        <v/>
      </c>
      <c r="U1046" s="29">
        <f>MAX(SumAssured-S1046,0)</f>
        <v/>
      </c>
      <c r="V1046" s="35">
        <f>CoiMultiple*G1046</f>
        <v/>
      </c>
      <c r="W1046" s="34">
        <f>V1046*U1046</f>
        <v/>
      </c>
      <c r="X1046" s="34">
        <f>S1046-T1046-W1046</f>
        <v/>
      </c>
      <c r="Y1046" s="36">
        <f>EXP((Mu-0.5*Sigma^2)/12+Sigma*SQRT(1/12)*INDEX(NormRand,ScenID,A1046+1))-1</f>
        <v/>
      </c>
      <c r="Z1046" s="34">
        <f>Y1046*X1046</f>
        <v/>
      </c>
      <c r="AA1046" s="34">
        <f>X1046+0.5*Z1046</f>
        <v/>
      </c>
      <c r="AB1046" s="34">
        <f>Q1046*J1046</f>
        <v/>
      </c>
      <c r="AC1046" s="34">
        <f>Q1046*L1046</f>
        <v/>
      </c>
      <c r="AD1046" s="34">
        <f>S1046*N1046</f>
        <v/>
      </c>
      <c r="AE1046" s="34">
        <f>E1046*N1046</f>
        <v/>
      </c>
      <c r="AF1046" s="34">
        <f>R1046*N1046</f>
        <v/>
      </c>
      <c r="AG1046" s="29">
        <f>MAX(SumAssured,AA1046)</f>
        <v/>
      </c>
      <c r="AH1046" s="34">
        <f>AG1046*O1046</f>
        <v/>
      </c>
      <c r="AI1046" s="34">
        <f>AA1046*O1046</f>
        <v/>
      </c>
      <c r="AJ1046" s="34">
        <f>AA1046*P1046</f>
        <v/>
      </c>
      <c r="AK1046" s="34">
        <f>I1046*AA1046*P1046</f>
        <v/>
      </c>
      <c r="AL1046" s="34">
        <f>AJ1046-AK1046</f>
        <v/>
      </c>
      <c r="AM1046" s="34">
        <f>Q1046*K1046</f>
        <v/>
      </c>
      <c r="AN1046" s="34">
        <f>AH1046+AL1046+AM1046</f>
        <v/>
      </c>
      <c r="AO1046" s="34">
        <f>(AG1046-AA1046)*O1046</f>
        <v/>
      </c>
      <c r="AP1046" s="34">
        <f>W1046*N1046</f>
        <v/>
      </c>
      <c r="AQ1046" s="34">
        <f>T1046*N1046</f>
        <v/>
      </c>
      <c r="AR1046" s="34">
        <f>Z1046*J1047+0.5*Z1046*(O1046+P1046)</f>
        <v/>
      </c>
      <c r="AS1046" s="30">
        <f>(1+InflationRate)^(A1046/12)</f>
        <v/>
      </c>
      <c r="AT1046" s="29">
        <f>ExpenseAcq*M1046+N1046*ExpenseMaint/12*AS1046</f>
        <v/>
      </c>
      <c r="AU1046" s="29">
        <f>CommissionRate*AE1046</f>
        <v/>
      </c>
      <c r="AV1046" s="34">
        <f>AB1047-AB1046</f>
        <v/>
      </c>
      <c r="AW1046" s="34">
        <f>AE1046+AR1046-AN1046-AT1046-AU1046-AV1046</f>
        <v/>
      </c>
      <c r="AX1046" s="29">
        <f>LoadPremRate*E1046*N1046+AK1046+AQ1046-AU1046-AT1046</f>
        <v/>
      </c>
      <c r="AY1046" s="34">
        <f>AP1046-AO1046</f>
        <v/>
      </c>
      <c r="AZ1046" s="37">
        <f>(AW1046-AX1046-AY1046)/MAX(1,ABS(AW1046),ABS(AX1046),ABS(AY1046))</f>
        <v/>
      </c>
      <c r="BA1046" s="37">
        <f>IF(OR(K1046&gt;0,K1047&gt;0),0,(AC1047-(AC1046+AF1046-AQ1046-AP1046+AR1046-AI1046-AJ1046-AM1046))/MAX(1,ABS(AC1046),ABS(AC1047)))</f>
        <v/>
      </c>
      <c r="BB1046" s="35">
        <f>(1+INDEX(DiscRateAnn,INT(A1046/12)+1))^(1/12)-1</f>
        <v/>
      </c>
      <c r="BC1046" s="31">
        <f>(1+BB1046)^-A1046</f>
        <v/>
      </c>
      <c r="BD1046" s="34">
        <f>AW1046*BC1046</f>
        <v/>
      </c>
    </row>
    <row r="1047">
      <c r="A1047" s="27">
        <f>A1046+1</f>
        <v/>
      </c>
      <c r="B1047" s="28">
        <f>Duration0+A1047</f>
        <v/>
      </c>
      <c r="C1047" s="27">
        <f>INT(B1047/12)</f>
        <v/>
      </c>
      <c r="D1047" s="28">
        <f>AgeAtEntry+C1047</f>
        <v/>
      </c>
      <c r="E1047" s="29">
        <f>IF(PremiumType="SINGLE",IF(B1047=0,PremiumPPInput,0),IF(B1047&lt;12*PolicyTerm,PremiumPPInput,0))</f>
        <v/>
      </c>
      <c r="F1047" s="30">
        <f>INDEX(MortRates,MATCH(MIN(D1047,120),MortAges,0),MAX(MIN(C1047,5),0)+1)</f>
        <v/>
      </c>
      <c r="G1047" s="31">
        <f>1-(1-F1047)^(1/12)</f>
        <v/>
      </c>
      <c r="H1047" s="32">
        <f>MAX(LapseBase-LapseStep*C1047,LapseFloor)</f>
        <v/>
      </c>
      <c r="I1047" s="32">
        <f>IF(HasSurrCharge,INDEX(SurrRates,MIN(C1047,SurrDurMax)+1,MATCH(SurrChargeID,SurrTypes,0)),0)</f>
        <v/>
      </c>
      <c r="J1047" s="33">
        <f>N1046-P1046-O1046</f>
        <v/>
      </c>
      <c r="K1047" s="30">
        <f>IF(B1047=12*PolicyTerm,J1047,0)</f>
        <v/>
      </c>
      <c r="L1047" s="33">
        <f>J1047-K1047</f>
        <v/>
      </c>
      <c r="M1047" s="30">
        <f>IF(B1047=0,PolicyCount,0)</f>
        <v/>
      </c>
      <c r="N1047" s="33">
        <f>L1047+M1047</f>
        <v/>
      </c>
      <c r="O1047" s="31">
        <f>N1047*G1047</f>
        <v/>
      </c>
      <c r="P1047" s="33">
        <f>(N1047-O1047)*(1-(1-H1047)^(1/12))</f>
        <v/>
      </c>
      <c r="Q1047" s="34">
        <f>X1046+Z1046</f>
        <v/>
      </c>
      <c r="R1047" s="29">
        <f>(1-LoadPremRate)*E1047</f>
        <v/>
      </c>
      <c r="S1047" s="34">
        <f>Q1047+R1047</f>
        <v/>
      </c>
      <c r="T1047" s="29">
        <f>MaintFeeRateAnn/12*S1047</f>
        <v/>
      </c>
      <c r="U1047" s="29">
        <f>MAX(SumAssured-S1047,0)</f>
        <v/>
      </c>
      <c r="V1047" s="35">
        <f>CoiMultiple*G1047</f>
        <v/>
      </c>
      <c r="W1047" s="34">
        <f>V1047*U1047</f>
        <v/>
      </c>
      <c r="X1047" s="34">
        <f>S1047-T1047-W1047</f>
        <v/>
      </c>
      <c r="Y1047" s="36">
        <f>EXP((Mu-0.5*Sigma^2)/12+Sigma*SQRT(1/12)*INDEX(NormRand,ScenID,A1047+1))-1</f>
        <v/>
      </c>
      <c r="Z1047" s="34">
        <f>Y1047*X1047</f>
        <v/>
      </c>
      <c r="AA1047" s="34">
        <f>X1047+0.5*Z1047</f>
        <v/>
      </c>
      <c r="AB1047" s="34">
        <f>Q1047*J1047</f>
        <v/>
      </c>
      <c r="AC1047" s="34">
        <f>Q1047*L1047</f>
        <v/>
      </c>
      <c r="AD1047" s="34">
        <f>S1047*N1047</f>
        <v/>
      </c>
      <c r="AE1047" s="34">
        <f>E1047*N1047</f>
        <v/>
      </c>
      <c r="AF1047" s="34">
        <f>R1047*N1047</f>
        <v/>
      </c>
      <c r="AG1047" s="29">
        <f>MAX(SumAssured,AA1047)</f>
        <v/>
      </c>
      <c r="AH1047" s="34">
        <f>AG1047*O1047</f>
        <v/>
      </c>
      <c r="AI1047" s="34">
        <f>AA1047*O1047</f>
        <v/>
      </c>
      <c r="AJ1047" s="34">
        <f>AA1047*P1047</f>
        <v/>
      </c>
      <c r="AK1047" s="34">
        <f>I1047*AA1047*P1047</f>
        <v/>
      </c>
      <c r="AL1047" s="34">
        <f>AJ1047-AK1047</f>
        <v/>
      </c>
      <c r="AM1047" s="34">
        <f>Q1047*K1047</f>
        <v/>
      </c>
      <c r="AN1047" s="34">
        <f>AH1047+AL1047+AM1047</f>
        <v/>
      </c>
      <c r="AO1047" s="34">
        <f>(AG1047-AA1047)*O1047</f>
        <v/>
      </c>
      <c r="AP1047" s="34">
        <f>W1047*N1047</f>
        <v/>
      </c>
      <c r="AQ1047" s="34">
        <f>T1047*N1047</f>
        <v/>
      </c>
      <c r="AR1047" s="34">
        <f>Z1047*J1048+0.5*Z1047*(O1047+P1047)</f>
        <v/>
      </c>
      <c r="AS1047" s="30">
        <f>(1+InflationRate)^(A1047/12)</f>
        <v/>
      </c>
      <c r="AT1047" s="29">
        <f>ExpenseAcq*M1047+N1047*ExpenseMaint/12*AS1047</f>
        <v/>
      </c>
      <c r="AU1047" s="29">
        <f>CommissionRate*AE1047</f>
        <v/>
      </c>
      <c r="AV1047" s="34">
        <f>AB1048-AB1047</f>
        <v/>
      </c>
      <c r="AW1047" s="34">
        <f>AE1047+AR1047-AN1047-AT1047-AU1047-AV1047</f>
        <v/>
      </c>
      <c r="AX1047" s="29">
        <f>LoadPremRate*E1047*N1047+AK1047+AQ1047-AU1047-AT1047</f>
        <v/>
      </c>
      <c r="AY1047" s="34">
        <f>AP1047-AO1047</f>
        <v/>
      </c>
      <c r="AZ1047" s="37">
        <f>(AW1047-AX1047-AY1047)/MAX(1,ABS(AW1047),ABS(AX1047),ABS(AY1047))</f>
        <v/>
      </c>
      <c r="BA1047" s="37">
        <f>IF(OR(K1047&gt;0,K1048&gt;0),0,(AC1048-(AC1047+AF1047-AQ1047-AP1047+AR1047-AI1047-AJ1047-AM1047))/MAX(1,ABS(AC1047),ABS(AC1048)))</f>
        <v/>
      </c>
      <c r="BB1047" s="35">
        <f>(1+INDEX(DiscRateAnn,INT(A1047/12)+1))^(1/12)-1</f>
        <v/>
      </c>
      <c r="BC1047" s="31">
        <f>(1+BB1047)^-A1047</f>
        <v/>
      </c>
      <c r="BD1047" s="34">
        <f>AW1047*BC1047</f>
        <v/>
      </c>
    </row>
    <row r="1048">
      <c r="A1048" s="27">
        <f>A1047+1</f>
        <v/>
      </c>
      <c r="B1048" s="28">
        <f>Duration0+A1048</f>
        <v/>
      </c>
      <c r="C1048" s="27">
        <f>INT(B1048/12)</f>
        <v/>
      </c>
      <c r="D1048" s="28">
        <f>AgeAtEntry+C1048</f>
        <v/>
      </c>
      <c r="E1048" s="29">
        <f>IF(PremiumType="SINGLE",IF(B1048=0,PremiumPPInput,0),IF(B1048&lt;12*PolicyTerm,PremiumPPInput,0))</f>
        <v/>
      </c>
      <c r="F1048" s="30">
        <f>INDEX(MortRates,MATCH(MIN(D1048,120),MortAges,0),MAX(MIN(C1048,5),0)+1)</f>
        <v/>
      </c>
      <c r="G1048" s="31">
        <f>1-(1-F1048)^(1/12)</f>
        <v/>
      </c>
      <c r="H1048" s="32">
        <f>MAX(LapseBase-LapseStep*C1048,LapseFloor)</f>
        <v/>
      </c>
      <c r="I1048" s="32">
        <f>IF(HasSurrCharge,INDEX(SurrRates,MIN(C1048,SurrDurMax)+1,MATCH(SurrChargeID,SurrTypes,0)),0)</f>
        <v/>
      </c>
      <c r="J1048" s="33">
        <f>N1047-P1047-O1047</f>
        <v/>
      </c>
      <c r="K1048" s="30">
        <f>IF(B1048=12*PolicyTerm,J1048,0)</f>
        <v/>
      </c>
      <c r="L1048" s="33">
        <f>J1048-K1048</f>
        <v/>
      </c>
      <c r="M1048" s="30">
        <f>IF(B1048=0,PolicyCount,0)</f>
        <v/>
      </c>
      <c r="N1048" s="33">
        <f>L1048+M1048</f>
        <v/>
      </c>
      <c r="O1048" s="31">
        <f>N1048*G1048</f>
        <v/>
      </c>
      <c r="P1048" s="33">
        <f>(N1048-O1048)*(1-(1-H1048)^(1/12))</f>
        <v/>
      </c>
      <c r="Q1048" s="34">
        <f>X1047+Z1047</f>
        <v/>
      </c>
      <c r="R1048" s="29">
        <f>(1-LoadPremRate)*E1048</f>
        <v/>
      </c>
      <c r="S1048" s="34">
        <f>Q1048+R1048</f>
        <v/>
      </c>
      <c r="T1048" s="29">
        <f>MaintFeeRateAnn/12*S1048</f>
        <v/>
      </c>
      <c r="U1048" s="29">
        <f>MAX(SumAssured-S1048,0)</f>
        <v/>
      </c>
      <c r="V1048" s="35">
        <f>CoiMultiple*G1048</f>
        <v/>
      </c>
      <c r="W1048" s="34">
        <f>V1048*U1048</f>
        <v/>
      </c>
      <c r="X1048" s="34">
        <f>S1048-T1048-W1048</f>
        <v/>
      </c>
      <c r="Y1048" s="36">
        <f>EXP((Mu-0.5*Sigma^2)/12+Sigma*SQRT(1/12)*INDEX(NormRand,ScenID,A1048+1))-1</f>
        <v/>
      </c>
      <c r="Z1048" s="34">
        <f>Y1048*X1048</f>
        <v/>
      </c>
      <c r="AA1048" s="34">
        <f>X1048+0.5*Z1048</f>
        <v/>
      </c>
      <c r="AB1048" s="34">
        <f>Q1048*J1048</f>
        <v/>
      </c>
      <c r="AC1048" s="34">
        <f>Q1048*L1048</f>
        <v/>
      </c>
      <c r="AD1048" s="34">
        <f>S1048*N1048</f>
        <v/>
      </c>
      <c r="AE1048" s="34">
        <f>E1048*N1048</f>
        <v/>
      </c>
      <c r="AF1048" s="34">
        <f>R1048*N1048</f>
        <v/>
      </c>
      <c r="AG1048" s="29">
        <f>MAX(SumAssured,AA1048)</f>
        <v/>
      </c>
      <c r="AH1048" s="34">
        <f>AG1048*O1048</f>
        <v/>
      </c>
      <c r="AI1048" s="34">
        <f>AA1048*O1048</f>
        <v/>
      </c>
      <c r="AJ1048" s="34">
        <f>AA1048*P1048</f>
        <v/>
      </c>
      <c r="AK1048" s="34">
        <f>I1048*AA1048*P1048</f>
        <v/>
      </c>
      <c r="AL1048" s="34">
        <f>AJ1048-AK1048</f>
        <v/>
      </c>
      <c r="AM1048" s="34">
        <f>Q1048*K1048</f>
        <v/>
      </c>
      <c r="AN1048" s="34">
        <f>AH1048+AL1048+AM1048</f>
        <v/>
      </c>
      <c r="AO1048" s="34">
        <f>(AG1048-AA1048)*O1048</f>
        <v/>
      </c>
      <c r="AP1048" s="34">
        <f>W1048*N1048</f>
        <v/>
      </c>
      <c r="AQ1048" s="34">
        <f>T1048*N1048</f>
        <v/>
      </c>
      <c r="AR1048" s="34">
        <f>Z1048*J1049+0.5*Z1048*(O1048+P1048)</f>
        <v/>
      </c>
      <c r="AS1048" s="30">
        <f>(1+InflationRate)^(A1048/12)</f>
        <v/>
      </c>
      <c r="AT1048" s="29">
        <f>ExpenseAcq*M1048+N1048*ExpenseMaint/12*AS1048</f>
        <v/>
      </c>
      <c r="AU1048" s="29">
        <f>CommissionRate*AE1048</f>
        <v/>
      </c>
      <c r="AV1048" s="34">
        <f>AB1049-AB1048</f>
        <v/>
      </c>
      <c r="AW1048" s="34">
        <f>AE1048+AR1048-AN1048-AT1048-AU1048-AV1048</f>
        <v/>
      </c>
      <c r="AX1048" s="29">
        <f>LoadPremRate*E1048*N1048+AK1048+AQ1048-AU1048-AT1048</f>
        <v/>
      </c>
      <c r="AY1048" s="34">
        <f>AP1048-AO1048</f>
        <v/>
      </c>
      <c r="AZ1048" s="37">
        <f>(AW1048-AX1048-AY1048)/MAX(1,ABS(AW1048),ABS(AX1048),ABS(AY1048))</f>
        <v/>
      </c>
      <c r="BA1048" s="37">
        <f>IF(OR(K1048&gt;0,K1049&gt;0),0,(AC1049-(AC1048+AF1048-AQ1048-AP1048+AR1048-AI1048-AJ1048-AM1048))/MAX(1,ABS(AC1048),ABS(AC1049)))</f>
        <v/>
      </c>
      <c r="BB1048" s="35">
        <f>(1+INDEX(DiscRateAnn,INT(A1048/12)+1))^(1/12)-1</f>
        <v/>
      </c>
      <c r="BC1048" s="31">
        <f>(1+BB1048)^-A1048</f>
        <v/>
      </c>
      <c r="BD1048" s="34">
        <f>AW1048*BC1048</f>
        <v/>
      </c>
    </row>
    <row r="1049">
      <c r="A1049" s="27">
        <f>A1048+1</f>
        <v/>
      </c>
      <c r="B1049" s="28">
        <f>Duration0+A1049</f>
        <v/>
      </c>
      <c r="C1049" s="27">
        <f>INT(B1049/12)</f>
        <v/>
      </c>
      <c r="D1049" s="28">
        <f>AgeAtEntry+C1049</f>
        <v/>
      </c>
      <c r="E1049" s="29">
        <f>IF(PremiumType="SINGLE",IF(B1049=0,PremiumPPInput,0),IF(B1049&lt;12*PolicyTerm,PremiumPPInput,0))</f>
        <v/>
      </c>
      <c r="F1049" s="30">
        <f>INDEX(MortRates,MATCH(MIN(D1049,120),MortAges,0),MAX(MIN(C1049,5),0)+1)</f>
        <v/>
      </c>
      <c r="G1049" s="31">
        <f>1-(1-F1049)^(1/12)</f>
        <v/>
      </c>
      <c r="H1049" s="32">
        <f>MAX(LapseBase-LapseStep*C1049,LapseFloor)</f>
        <v/>
      </c>
      <c r="I1049" s="32">
        <f>IF(HasSurrCharge,INDEX(SurrRates,MIN(C1049,SurrDurMax)+1,MATCH(SurrChargeID,SurrTypes,0)),0)</f>
        <v/>
      </c>
      <c r="J1049" s="33">
        <f>N1048-P1048-O1048</f>
        <v/>
      </c>
      <c r="K1049" s="30">
        <f>IF(B1049=12*PolicyTerm,J1049,0)</f>
        <v/>
      </c>
      <c r="L1049" s="33">
        <f>J1049-K1049</f>
        <v/>
      </c>
      <c r="M1049" s="30">
        <f>IF(B1049=0,PolicyCount,0)</f>
        <v/>
      </c>
      <c r="N1049" s="33">
        <f>L1049+M1049</f>
        <v/>
      </c>
      <c r="O1049" s="31">
        <f>N1049*G1049</f>
        <v/>
      </c>
      <c r="P1049" s="33">
        <f>(N1049-O1049)*(1-(1-H1049)^(1/12))</f>
        <v/>
      </c>
      <c r="Q1049" s="34">
        <f>X1048+Z1048</f>
        <v/>
      </c>
      <c r="R1049" s="29">
        <f>(1-LoadPremRate)*E1049</f>
        <v/>
      </c>
      <c r="S1049" s="34">
        <f>Q1049+R1049</f>
        <v/>
      </c>
      <c r="T1049" s="29">
        <f>MaintFeeRateAnn/12*S1049</f>
        <v/>
      </c>
      <c r="U1049" s="29">
        <f>MAX(SumAssured-S1049,0)</f>
        <v/>
      </c>
      <c r="V1049" s="35">
        <f>CoiMultiple*G1049</f>
        <v/>
      </c>
      <c r="W1049" s="34">
        <f>V1049*U1049</f>
        <v/>
      </c>
      <c r="X1049" s="34">
        <f>S1049-T1049-W1049</f>
        <v/>
      </c>
      <c r="Y1049" s="36">
        <f>EXP((Mu-0.5*Sigma^2)/12+Sigma*SQRT(1/12)*INDEX(NormRand,ScenID,A1049+1))-1</f>
        <v/>
      </c>
      <c r="Z1049" s="34">
        <f>Y1049*X1049</f>
        <v/>
      </c>
      <c r="AA1049" s="34">
        <f>X1049+0.5*Z1049</f>
        <v/>
      </c>
      <c r="AB1049" s="34">
        <f>Q1049*J1049</f>
        <v/>
      </c>
      <c r="AC1049" s="34">
        <f>Q1049*L1049</f>
        <v/>
      </c>
      <c r="AD1049" s="34">
        <f>S1049*N1049</f>
        <v/>
      </c>
      <c r="AE1049" s="34">
        <f>E1049*N1049</f>
        <v/>
      </c>
      <c r="AF1049" s="34">
        <f>R1049*N1049</f>
        <v/>
      </c>
      <c r="AG1049" s="29">
        <f>MAX(SumAssured,AA1049)</f>
        <v/>
      </c>
      <c r="AH1049" s="34">
        <f>AG1049*O1049</f>
        <v/>
      </c>
      <c r="AI1049" s="34">
        <f>AA1049*O1049</f>
        <v/>
      </c>
      <c r="AJ1049" s="34">
        <f>AA1049*P1049</f>
        <v/>
      </c>
      <c r="AK1049" s="34">
        <f>I1049*AA1049*P1049</f>
        <v/>
      </c>
      <c r="AL1049" s="34">
        <f>AJ1049-AK1049</f>
        <v/>
      </c>
      <c r="AM1049" s="34">
        <f>Q1049*K1049</f>
        <v/>
      </c>
      <c r="AN1049" s="34">
        <f>AH1049+AL1049+AM1049</f>
        <v/>
      </c>
      <c r="AO1049" s="34">
        <f>(AG1049-AA1049)*O1049</f>
        <v/>
      </c>
      <c r="AP1049" s="34">
        <f>W1049*N1049</f>
        <v/>
      </c>
      <c r="AQ1049" s="34">
        <f>T1049*N1049</f>
        <v/>
      </c>
      <c r="AR1049" s="34">
        <f>Z1049*J1050+0.5*Z1049*(O1049+P1049)</f>
        <v/>
      </c>
      <c r="AS1049" s="30">
        <f>(1+InflationRate)^(A1049/12)</f>
        <v/>
      </c>
      <c r="AT1049" s="29">
        <f>ExpenseAcq*M1049+N1049*ExpenseMaint/12*AS1049</f>
        <v/>
      </c>
      <c r="AU1049" s="29">
        <f>CommissionRate*AE1049</f>
        <v/>
      </c>
      <c r="AV1049" s="34">
        <f>AB1050-AB1049</f>
        <v/>
      </c>
      <c r="AW1049" s="34">
        <f>AE1049+AR1049-AN1049-AT1049-AU1049-AV1049</f>
        <v/>
      </c>
      <c r="AX1049" s="29">
        <f>LoadPremRate*E1049*N1049+AK1049+AQ1049-AU1049-AT1049</f>
        <v/>
      </c>
      <c r="AY1049" s="34">
        <f>AP1049-AO1049</f>
        <v/>
      </c>
      <c r="AZ1049" s="37">
        <f>(AW1049-AX1049-AY1049)/MAX(1,ABS(AW1049),ABS(AX1049),ABS(AY1049))</f>
        <v/>
      </c>
      <c r="BA1049" s="37">
        <f>IF(OR(K1049&gt;0,K1050&gt;0),0,(AC1050-(AC1049+AF1049-AQ1049-AP1049+AR1049-AI1049-AJ1049-AM1049))/MAX(1,ABS(AC1049),ABS(AC1050)))</f>
        <v/>
      </c>
      <c r="BB1049" s="35">
        <f>(1+INDEX(DiscRateAnn,INT(A1049/12)+1))^(1/12)-1</f>
        <v/>
      </c>
      <c r="BC1049" s="31">
        <f>(1+BB1049)^-A1049</f>
        <v/>
      </c>
      <c r="BD1049" s="34">
        <f>AW1049*BC1049</f>
        <v/>
      </c>
    </row>
    <row r="1050">
      <c r="A1050" s="27">
        <f>A1049+1</f>
        <v/>
      </c>
      <c r="B1050" s="28">
        <f>Duration0+A1050</f>
        <v/>
      </c>
      <c r="C1050" s="27">
        <f>INT(B1050/12)</f>
        <v/>
      </c>
      <c r="D1050" s="28">
        <f>AgeAtEntry+C1050</f>
        <v/>
      </c>
      <c r="E1050" s="29">
        <f>IF(PremiumType="SINGLE",IF(B1050=0,PremiumPPInput,0),IF(B1050&lt;12*PolicyTerm,PremiumPPInput,0))</f>
        <v/>
      </c>
      <c r="F1050" s="30">
        <f>INDEX(MortRates,MATCH(MIN(D1050,120),MortAges,0),MAX(MIN(C1050,5),0)+1)</f>
        <v/>
      </c>
      <c r="G1050" s="31">
        <f>1-(1-F1050)^(1/12)</f>
        <v/>
      </c>
      <c r="H1050" s="32">
        <f>MAX(LapseBase-LapseStep*C1050,LapseFloor)</f>
        <v/>
      </c>
      <c r="I1050" s="32">
        <f>IF(HasSurrCharge,INDEX(SurrRates,MIN(C1050,SurrDurMax)+1,MATCH(SurrChargeID,SurrTypes,0)),0)</f>
        <v/>
      </c>
      <c r="J1050" s="33">
        <f>N1049-P1049-O1049</f>
        <v/>
      </c>
      <c r="K1050" s="30">
        <f>IF(B1050=12*PolicyTerm,J1050,0)</f>
        <v/>
      </c>
      <c r="L1050" s="33">
        <f>J1050-K1050</f>
        <v/>
      </c>
      <c r="M1050" s="30">
        <f>IF(B1050=0,PolicyCount,0)</f>
        <v/>
      </c>
      <c r="N1050" s="33">
        <f>L1050+M1050</f>
        <v/>
      </c>
      <c r="O1050" s="31">
        <f>N1050*G1050</f>
        <v/>
      </c>
      <c r="P1050" s="33">
        <f>(N1050-O1050)*(1-(1-H1050)^(1/12))</f>
        <v/>
      </c>
      <c r="Q1050" s="34">
        <f>X1049+Z1049</f>
        <v/>
      </c>
      <c r="R1050" s="29">
        <f>(1-LoadPremRate)*E1050</f>
        <v/>
      </c>
      <c r="S1050" s="34">
        <f>Q1050+R1050</f>
        <v/>
      </c>
      <c r="T1050" s="29">
        <f>MaintFeeRateAnn/12*S1050</f>
        <v/>
      </c>
      <c r="U1050" s="29">
        <f>MAX(SumAssured-S1050,0)</f>
        <v/>
      </c>
      <c r="V1050" s="35">
        <f>CoiMultiple*G1050</f>
        <v/>
      </c>
      <c r="W1050" s="34">
        <f>V1050*U1050</f>
        <v/>
      </c>
      <c r="X1050" s="34">
        <f>S1050-T1050-W1050</f>
        <v/>
      </c>
      <c r="Y1050" s="36">
        <f>EXP((Mu-0.5*Sigma^2)/12+Sigma*SQRT(1/12)*INDEX(NormRand,ScenID,A1050+1))-1</f>
        <v/>
      </c>
      <c r="Z1050" s="34">
        <f>Y1050*X1050</f>
        <v/>
      </c>
      <c r="AA1050" s="34">
        <f>X1050+0.5*Z1050</f>
        <v/>
      </c>
      <c r="AB1050" s="34">
        <f>Q1050*J1050</f>
        <v/>
      </c>
      <c r="AC1050" s="34">
        <f>Q1050*L1050</f>
        <v/>
      </c>
      <c r="AD1050" s="34">
        <f>S1050*N1050</f>
        <v/>
      </c>
      <c r="AE1050" s="34">
        <f>E1050*N1050</f>
        <v/>
      </c>
      <c r="AF1050" s="34">
        <f>R1050*N1050</f>
        <v/>
      </c>
      <c r="AG1050" s="29">
        <f>MAX(SumAssured,AA1050)</f>
        <v/>
      </c>
      <c r="AH1050" s="34">
        <f>AG1050*O1050</f>
        <v/>
      </c>
      <c r="AI1050" s="34">
        <f>AA1050*O1050</f>
        <v/>
      </c>
      <c r="AJ1050" s="34">
        <f>AA1050*P1050</f>
        <v/>
      </c>
      <c r="AK1050" s="34">
        <f>I1050*AA1050*P1050</f>
        <v/>
      </c>
      <c r="AL1050" s="34">
        <f>AJ1050-AK1050</f>
        <v/>
      </c>
      <c r="AM1050" s="34">
        <f>Q1050*K1050</f>
        <v/>
      </c>
      <c r="AN1050" s="34">
        <f>AH1050+AL1050+AM1050</f>
        <v/>
      </c>
      <c r="AO1050" s="34">
        <f>(AG1050-AA1050)*O1050</f>
        <v/>
      </c>
      <c r="AP1050" s="34">
        <f>W1050*N1050</f>
        <v/>
      </c>
      <c r="AQ1050" s="34">
        <f>T1050*N1050</f>
        <v/>
      </c>
      <c r="AR1050" s="34">
        <f>Z1050*J1051+0.5*Z1050*(O1050+P1050)</f>
        <v/>
      </c>
      <c r="AS1050" s="30">
        <f>(1+InflationRate)^(A1050/12)</f>
        <v/>
      </c>
      <c r="AT1050" s="29">
        <f>ExpenseAcq*M1050+N1050*ExpenseMaint/12*AS1050</f>
        <v/>
      </c>
      <c r="AU1050" s="29">
        <f>CommissionRate*AE1050</f>
        <v/>
      </c>
      <c r="AV1050" s="34">
        <f>AB1051-AB1050</f>
        <v/>
      </c>
      <c r="AW1050" s="34">
        <f>AE1050+AR1050-AN1050-AT1050-AU1050-AV1050</f>
        <v/>
      </c>
      <c r="AX1050" s="29">
        <f>LoadPremRate*E1050*N1050+AK1050+AQ1050-AU1050-AT1050</f>
        <v/>
      </c>
      <c r="AY1050" s="34">
        <f>AP1050-AO1050</f>
        <v/>
      </c>
      <c r="AZ1050" s="37">
        <f>(AW1050-AX1050-AY1050)/MAX(1,ABS(AW1050),ABS(AX1050),ABS(AY1050))</f>
        <v/>
      </c>
      <c r="BA1050" s="37">
        <f>IF(OR(K1050&gt;0,K1051&gt;0),0,(AC1051-(AC1050+AF1050-AQ1050-AP1050+AR1050-AI1050-AJ1050-AM1050))/MAX(1,ABS(AC1050),ABS(AC1051)))</f>
        <v/>
      </c>
      <c r="BB1050" s="35">
        <f>(1+INDEX(DiscRateAnn,INT(A1050/12)+1))^(1/12)-1</f>
        <v/>
      </c>
      <c r="BC1050" s="31">
        <f>(1+BB1050)^-A1050</f>
        <v/>
      </c>
      <c r="BD1050" s="34">
        <f>AW1050*BC1050</f>
        <v/>
      </c>
    </row>
    <row r="1051">
      <c r="A1051" s="27">
        <f>A1050+1</f>
        <v/>
      </c>
      <c r="B1051" s="28">
        <f>Duration0+A1051</f>
        <v/>
      </c>
      <c r="C1051" s="27">
        <f>INT(B1051/12)</f>
        <v/>
      </c>
      <c r="D1051" s="28">
        <f>AgeAtEntry+C1051</f>
        <v/>
      </c>
      <c r="E1051" s="29">
        <f>IF(PremiumType="SINGLE",IF(B1051=0,PremiumPPInput,0),IF(B1051&lt;12*PolicyTerm,PremiumPPInput,0))</f>
        <v/>
      </c>
      <c r="F1051" s="30">
        <f>INDEX(MortRates,MATCH(MIN(D1051,120),MortAges,0),MAX(MIN(C1051,5),0)+1)</f>
        <v/>
      </c>
      <c r="G1051" s="31">
        <f>1-(1-F1051)^(1/12)</f>
        <v/>
      </c>
      <c r="H1051" s="32">
        <f>MAX(LapseBase-LapseStep*C1051,LapseFloor)</f>
        <v/>
      </c>
      <c r="I1051" s="32">
        <f>IF(HasSurrCharge,INDEX(SurrRates,MIN(C1051,SurrDurMax)+1,MATCH(SurrChargeID,SurrTypes,0)),0)</f>
        <v/>
      </c>
      <c r="J1051" s="33">
        <f>N1050-P1050-O1050</f>
        <v/>
      </c>
      <c r="K1051" s="30">
        <f>IF(B1051=12*PolicyTerm,J1051,0)</f>
        <v/>
      </c>
      <c r="L1051" s="33">
        <f>J1051-K1051</f>
        <v/>
      </c>
      <c r="M1051" s="30">
        <f>IF(B1051=0,PolicyCount,0)</f>
        <v/>
      </c>
      <c r="N1051" s="33">
        <f>L1051+M1051</f>
        <v/>
      </c>
      <c r="O1051" s="31">
        <f>N1051*G1051</f>
        <v/>
      </c>
      <c r="P1051" s="33">
        <f>(N1051-O1051)*(1-(1-H1051)^(1/12))</f>
        <v/>
      </c>
      <c r="Q1051" s="34">
        <f>X1050+Z1050</f>
        <v/>
      </c>
      <c r="R1051" s="29">
        <f>(1-LoadPremRate)*E1051</f>
        <v/>
      </c>
      <c r="S1051" s="34">
        <f>Q1051+R1051</f>
        <v/>
      </c>
      <c r="T1051" s="29">
        <f>MaintFeeRateAnn/12*S1051</f>
        <v/>
      </c>
      <c r="U1051" s="29">
        <f>MAX(SumAssured-S1051,0)</f>
        <v/>
      </c>
      <c r="V1051" s="35">
        <f>CoiMultiple*G1051</f>
        <v/>
      </c>
      <c r="W1051" s="34">
        <f>V1051*U1051</f>
        <v/>
      </c>
      <c r="X1051" s="34">
        <f>S1051-T1051-W1051</f>
        <v/>
      </c>
      <c r="Y1051" s="36">
        <f>EXP((Mu-0.5*Sigma^2)/12+Sigma*SQRT(1/12)*INDEX(NormRand,ScenID,A1051+1))-1</f>
        <v/>
      </c>
      <c r="Z1051" s="34">
        <f>Y1051*X1051</f>
        <v/>
      </c>
      <c r="AA1051" s="34">
        <f>X1051+0.5*Z1051</f>
        <v/>
      </c>
      <c r="AB1051" s="34">
        <f>Q1051*J1051</f>
        <v/>
      </c>
      <c r="AC1051" s="34">
        <f>Q1051*L1051</f>
        <v/>
      </c>
      <c r="AD1051" s="34">
        <f>S1051*N1051</f>
        <v/>
      </c>
      <c r="AE1051" s="34">
        <f>E1051*N1051</f>
        <v/>
      </c>
      <c r="AF1051" s="34">
        <f>R1051*N1051</f>
        <v/>
      </c>
      <c r="AG1051" s="29">
        <f>MAX(SumAssured,AA1051)</f>
        <v/>
      </c>
      <c r="AH1051" s="34">
        <f>AG1051*O1051</f>
        <v/>
      </c>
      <c r="AI1051" s="34">
        <f>AA1051*O1051</f>
        <v/>
      </c>
      <c r="AJ1051" s="34">
        <f>AA1051*P1051</f>
        <v/>
      </c>
      <c r="AK1051" s="34">
        <f>I1051*AA1051*P1051</f>
        <v/>
      </c>
      <c r="AL1051" s="34">
        <f>AJ1051-AK1051</f>
        <v/>
      </c>
      <c r="AM1051" s="34">
        <f>Q1051*K1051</f>
        <v/>
      </c>
      <c r="AN1051" s="34">
        <f>AH1051+AL1051+AM1051</f>
        <v/>
      </c>
      <c r="AO1051" s="34">
        <f>(AG1051-AA1051)*O1051</f>
        <v/>
      </c>
      <c r="AP1051" s="34">
        <f>W1051*N1051</f>
        <v/>
      </c>
      <c r="AQ1051" s="34">
        <f>T1051*N1051</f>
        <v/>
      </c>
      <c r="AR1051" s="34">
        <f>Z1051*J1052+0.5*Z1051*(O1051+P1051)</f>
        <v/>
      </c>
      <c r="AS1051" s="30">
        <f>(1+InflationRate)^(A1051/12)</f>
        <v/>
      </c>
      <c r="AT1051" s="29">
        <f>ExpenseAcq*M1051+N1051*ExpenseMaint/12*AS1051</f>
        <v/>
      </c>
      <c r="AU1051" s="29">
        <f>CommissionRate*AE1051</f>
        <v/>
      </c>
      <c r="AV1051" s="34">
        <f>AB1052-AB1051</f>
        <v/>
      </c>
      <c r="AW1051" s="34">
        <f>AE1051+AR1051-AN1051-AT1051-AU1051-AV1051</f>
        <v/>
      </c>
      <c r="AX1051" s="29">
        <f>LoadPremRate*E1051*N1051+AK1051+AQ1051-AU1051-AT1051</f>
        <v/>
      </c>
      <c r="AY1051" s="34">
        <f>AP1051-AO1051</f>
        <v/>
      </c>
      <c r="AZ1051" s="37">
        <f>(AW1051-AX1051-AY1051)/MAX(1,ABS(AW1051),ABS(AX1051),ABS(AY1051))</f>
        <v/>
      </c>
      <c r="BA1051" s="37">
        <f>IF(OR(K1051&gt;0,K1052&gt;0),0,(AC1052-(AC1051+AF1051-AQ1051-AP1051+AR1051-AI1051-AJ1051-AM1051))/MAX(1,ABS(AC1051),ABS(AC1052)))</f>
        <v/>
      </c>
      <c r="BB1051" s="35">
        <f>(1+INDEX(DiscRateAnn,INT(A1051/12)+1))^(1/12)-1</f>
        <v/>
      </c>
      <c r="BC1051" s="31">
        <f>(1+BB1051)^-A1051</f>
        <v/>
      </c>
      <c r="BD1051" s="34">
        <f>AW1051*BC1051</f>
        <v/>
      </c>
    </row>
    <row r="1052">
      <c r="A1052" s="27">
        <f>A1051+1</f>
        <v/>
      </c>
      <c r="B1052" s="28">
        <f>Duration0+A1052</f>
        <v/>
      </c>
      <c r="C1052" s="27">
        <f>INT(B1052/12)</f>
        <v/>
      </c>
      <c r="D1052" s="28">
        <f>AgeAtEntry+C1052</f>
        <v/>
      </c>
      <c r="E1052" s="29">
        <f>IF(PremiumType="SINGLE",IF(B1052=0,PremiumPPInput,0),IF(B1052&lt;12*PolicyTerm,PremiumPPInput,0))</f>
        <v/>
      </c>
      <c r="F1052" s="30">
        <f>INDEX(MortRates,MATCH(MIN(D1052,120),MortAges,0),MAX(MIN(C1052,5),0)+1)</f>
        <v/>
      </c>
      <c r="G1052" s="31">
        <f>1-(1-F1052)^(1/12)</f>
        <v/>
      </c>
      <c r="H1052" s="32">
        <f>MAX(LapseBase-LapseStep*C1052,LapseFloor)</f>
        <v/>
      </c>
      <c r="I1052" s="32">
        <f>IF(HasSurrCharge,INDEX(SurrRates,MIN(C1052,SurrDurMax)+1,MATCH(SurrChargeID,SurrTypes,0)),0)</f>
        <v/>
      </c>
      <c r="J1052" s="33">
        <f>N1051-P1051-O1051</f>
        <v/>
      </c>
      <c r="K1052" s="30">
        <f>IF(B1052=12*PolicyTerm,J1052,0)</f>
        <v/>
      </c>
      <c r="L1052" s="33">
        <f>J1052-K1052</f>
        <v/>
      </c>
      <c r="M1052" s="30">
        <f>IF(B1052=0,PolicyCount,0)</f>
        <v/>
      </c>
      <c r="N1052" s="33">
        <f>L1052+M1052</f>
        <v/>
      </c>
      <c r="O1052" s="31">
        <f>N1052*G1052</f>
        <v/>
      </c>
      <c r="P1052" s="33">
        <f>(N1052-O1052)*(1-(1-H1052)^(1/12))</f>
        <v/>
      </c>
      <c r="Q1052" s="34">
        <f>X1051+Z1051</f>
        <v/>
      </c>
      <c r="R1052" s="29">
        <f>(1-LoadPremRate)*E1052</f>
        <v/>
      </c>
      <c r="S1052" s="34">
        <f>Q1052+R1052</f>
        <v/>
      </c>
      <c r="T1052" s="29">
        <f>MaintFeeRateAnn/12*S1052</f>
        <v/>
      </c>
      <c r="U1052" s="29">
        <f>MAX(SumAssured-S1052,0)</f>
        <v/>
      </c>
      <c r="V1052" s="35">
        <f>CoiMultiple*G1052</f>
        <v/>
      </c>
      <c r="W1052" s="34">
        <f>V1052*U1052</f>
        <v/>
      </c>
      <c r="X1052" s="34">
        <f>S1052-T1052-W1052</f>
        <v/>
      </c>
      <c r="Y1052" s="36">
        <f>EXP((Mu-0.5*Sigma^2)/12+Sigma*SQRT(1/12)*INDEX(NormRand,ScenID,A1052+1))-1</f>
        <v/>
      </c>
      <c r="Z1052" s="34">
        <f>Y1052*X1052</f>
        <v/>
      </c>
      <c r="AA1052" s="34">
        <f>X1052+0.5*Z1052</f>
        <v/>
      </c>
      <c r="AB1052" s="34">
        <f>Q1052*J1052</f>
        <v/>
      </c>
      <c r="AC1052" s="34">
        <f>Q1052*L1052</f>
        <v/>
      </c>
      <c r="AD1052" s="34">
        <f>S1052*N1052</f>
        <v/>
      </c>
      <c r="AE1052" s="34">
        <f>E1052*N1052</f>
        <v/>
      </c>
      <c r="AF1052" s="34">
        <f>R1052*N1052</f>
        <v/>
      </c>
      <c r="AG1052" s="29">
        <f>MAX(SumAssured,AA1052)</f>
        <v/>
      </c>
      <c r="AH1052" s="34">
        <f>AG1052*O1052</f>
        <v/>
      </c>
      <c r="AI1052" s="34">
        <f>AA1052*O1052</f>
        <v/>
      </c>
      <c r="AJ1052" s="34">
        <f>AA1052*P1052</f>
        <v/>
      </c>
      <c r="AK1052" s="34">
        <f>I1052*AA1052*P1052</f>
        <v/>
      </c>
      <c r="AL1052" s="34">
        <f>AJ1052-AK1052</f>
        <v/>
      </c>
      <c r="AM1052" s="34">
        <f>Q1052*K1052</f>
        <v/>
      </c>
      <c r="AN1052" s="34">
        <f>AH1052+AL1052+AM1052</f>
        <v/>
      </c>
      <c r="AO1052" s="34">
        <f>(AG1052-AA1052)*O1052</f>
        <v/>
      </c>
      <c r="AP1052" s="34">
        <f>W1052*N1052</f>
        <v/>
      </c>
      <c r="AQ1052" s="34">
        <f>T1052*N1052</f>
        <v/>
      </c>
      <c r="AR1052" s="34">
        <f>Z1052*J1053+0.5*Z1052*(O1052+P1052)</f>
        <v/>
      </c>
      <c r="AS1052" s="30">
        <f>(1+InflationRate)^(A1052/12)</f>
        <v/>
      </c>
      <c r="AT1052" s="29">
        <f>ExpenseAcq*M1052+N1052*ExpenseMaint/12*AS1052</f>
        <v/>
      </c>
      <c r="AU1052" s="29">
        <f>CommissionRate*AE1052</f>
        <v/>
      </c>
      <c r="AV1052" s="34">
        <f>AB1053-AB1052</f>
        <v/>
      </c>
      <c r="AW1052" s="34">
        <f>AE1052+AR1052-AN1052-AT1052-AU1052-AV1052</f>
        <v/>
      </c>
      <c r="AX1052" s="29">
        <f>LoadPremRate*E1052*N1052+AK1052+AQ1052-AU1052-AT1052</f>
        <v/>
      </c>
      <c r="AY1052" s="34">
        <f>AP1052-AO1052</f>
        <v/>
      </c>
      <c r="AZ1052" s="37">
        <f>(AW1052-AX1052-AY1052)/MAX(1,ABS(AW1052),ABS(AX1052),ABS(AY1052))</f>
        <v/>
      </c>
      <c r="BA1052" s="37">
        <f>IF(OR(K1052&gt;0,K1053&gt;0),0,(AC1053-(AC1052+AF1052-AQ1052-AP1052+AR1052-AI1052-AJ1052-AM1052))/MAX(1,ABS(AC1052),ABS(AC1053)))</f>
        <v/>
      </c>
      <c r="BB1052" s="35">
        <f>(1+INDEX(DiscRateAnn,INT(A1052/12)+1))^(1/12)-1</f>
        <v/>
      </c>
      <c r="BC1052" s="31">
        <f>(1+BB1052)^-A1052</f>
        <v/>
      </c>
      <c r="BD1052" s="34">
        <f>AW1052*BC1052</f>
        <v/>
      </c>
    </row>
    <row r="1053">
      <c r="A1053" s="27">
        <f>A1052+1</f>
        <v/>
      </c>
      <c r="B1053" s="28">
        <f>Duration0+A1053</f>
        <v/>
      </c>
      <c r="C1053" s="27">
        <f>INT(B1053/12)</f>
        <v/>
      </c>
      <c r="D1053" s="28">
        <f>AgeAtEntry+C1053</f>
        <v/>
      </c>
      <c r="E1053" s="29">
        <f>IF(PremiumType="SINGLE",IF(B1053=0,PremiumPPInput,0),IF(B1053&lt;12*PolicyTerm,PremiumPPInput,0))</f>
        <v/>
      </c>
      <c r="F1053" s="30">
        <f>INDEX(MortRates,MATCH(MIN(D1053,120),MortAges,0),MAX(MIN(C1053,5),0)+1)</f>
        <v/>
      </c>
      <c r="G1053" s="31">
        <f>1-(1-F1053)^(1/12)</f>
        <v/>
      </c>
      <c r="H1053" s="32">
        <f>MAX(LapseBase-LapseStep*C1053,LapseFloor)</f>
        <v/>
      </c>
      <c r="I1053" s="32">
        <f>IF(HasSurrCharge,INDEX(SurrRates,MIN(C1053,SurrDurMax)+1,MATCH(SurrChargeID,SurrTypes,0)),0)</f>
        <v/>
      </c>
      <c r="J1053" s="33">
        <f>N1052-P1052-O1052</f>
        <v/>
      </c>
      <c r="K1053" s="30">
        <f>IF(B1053=12*PolicyTerm,J1053,0)</f>
        <v/>
      </c>
      <c r="L1053" s="33">
        <f>J1053-K1053</f>
        <v/>
      </c>
      <c r="M1053" s="30">
        <f>IF(B1053=0,PolicyCount,0)</f>
        <v/>
      </c>
      <c r="N1053" s="33">
        <f>L1053+M1053</f>
        <v/>
      </c>
      <c r="O1053" s="31">
        <f>N1053*G1053</f>
        <v/>
      </c>
      <c r="P1053" s="33">
        <f>(N1053-O1053)*(1-(1-H1053)^(1/12))</f>
        <v/>
      </c>
      <c r="Q1053" s="34">
        <f>X1052+Z1052</f>
        <v/>
      </c>
      <c r="R1053" s="29">
        <f>(1-LoadPremRate)*E1053</f>
        <v/>
      </c>
      <c r="S1053" s="34">
        <f>Q1053+R1053</f>
        <v/>
      </c>
      <c r="T1053" s="29">
        <f>MaintFeeRateAnn/12*S1053</f>
        <v/>
      </c>
      <c r="U1053" s="29">
        <f>MAX(SumAssured-S1053,0)</f>
        <v/>
      </c>
      <c r="V1053" s="35">
        <f>CoiMultiple*G1053</f>
        <v/>
      </c>
      <c r="W1053" s="34">
        <f>V1053*U1053</f>
        <v/>
      </c>
      <c r="X1053" s="34">
        <f>S1053-T1053-W1053</f>
        <v/>
      </c>
      <c r="Y1053" s="36">
        <f>EXP((Mu-0.5*Sigma^2)/12+Sigma*SQRT(1/12)*INDEX(NormRand,ScenID,A1053+1))-1</f>
        <v/>
      </c>
      <c r="Z1053" s="34">
        <f>Y1053*X1053</f>
        <v/>
      </c>
      <c r="AA1053" s="34">
        <f>X1053+0.5*Z1053</f>
        <v/>
      </c>
      <c r="AB1053" s="34">
        <f>Q1053*J1053</f>
        <v/>
      </c>
      <c r="AC1053" s="34">
        <f>Q1053*L1053</f>
        <v/>
      </c>
      <c r="AD1053" s="34">
        <f>S1053*N1053</f>
        <v/>
      </c>
      <c r="AE1053" s="34">
        <f>E1053*N1053</f>
        <v/>
      </c>
      <c r="AF1053" s="34">
        <f>R1053*N1053</f>
        <v/>
      </c>
      <c r="AG1053" s="29">
        <f>MAX(SumAssured,AA1053)</f>
        <v/>
      </c>
      <c r="AH1053" s="34">
        <f>AG1053*O1053</f>
        <v/>
      </c>
      <c r="AI1053" s="34">
        <f>AA1053*O1053</f>
        <v/>
      </c>
      <c r="AJ1053" s="34">
        <f>AA1053*P1053</f>
        <v/>
      </c>
      <c r="AK1053" s="34">
        <f>I1053*AA1053*P1053</f>
        <v/>
      </c>
      <c r="AL1053" s="34">
        <f>AJ1053-AK1053</f>
        <v/>
      </c>
      <c r="AM1053" s="34">
        <f>Q1053*K1053</f>
        <v/>
      </c>
      <c r="AN1053" s="34">
        <f>AH1053+AL1053+AM1053</f>
        <v/>
      </c>
      <c r="AO1053" s="34">
        <f>(AG1053-AA1053)*O1053</f>
        <v/>
      </c>
      <c r="AP1053" s="34">
        <f>W1053*N1053</f>
        <v/>
      </c>
      <c r="AQ1053" s="34">
        <f>T1053*N1053</f>
        <v/>
      </c>
      <c r="AR1053" s="34">
        <f>Z1053*J1054+0.5*Z1053*(O1053+P1053)</f>
        <v/>
      </c>
      <c r="AS1053" s="30">
        <f>(1+InflationRate)^(A1053/12)</f>
        <v/>
      </c>
      <c r="AT1053" s="29">
        <f>ExpenseAcq*M1053+N1053*ExpenseMaint/12*AS1053</f>
        <v/>
      </c>
      <c r="AU1053" s="29">
        <f>CommissionRate*AE1053</f>
        <v/>
      </c>
      <c r="AV1053" s="34">
        <f>AB1054-AB1053</f>
        <v/>
      </c>
      <c r="AW1053" s="34">
        <f>AE1053+AR1053-AN1053-AT1053-AU1053-AV1053</f>
        <v/>
      </c>
      <c r="AX1053" s="29">
        <f>LoadPremRate*E1053*N1053+AK1053+AQ1053-AU1053-AT1053</f>
        <v/>
      </c>
      <c r="AY1053" s="34">
        <f>AP1053-AO1053</f>
        <v/>
      </c>
      <c r="AZ1053" s="37">
        <f>(AW1053-AX1053-AY1053)/MAX(1,ABS(AW1053),ABS(AX1053),ABS(AY1053))</f>
        <v/>
      </c>
      <c r="BA1053" s="37">
        <f>IF(OR(K1053&gt;0,K1054&gt;0),0,(AC1054-(AC1053+AF1053-AQ1053-AP1053+AR1053-AI1053-AJ1053-AM1053))/MAX(1,ABS(AC1053),ABS(AC1054)))</f>
        <v/>
      </c>
      <c r="BB1053" s="35">
        <f>(1+INDEX(DiscRateAnn,INT(A1053/12)+1))^(1/12)-1</f>
        <v/>
      </c>
      <c r="BC1053" s="31">
        <f>(1+BB1053)^-A1053</f>
        <v/>
      </c>
      <c r="BD1053" s="34">
        <f>AW1053*BC1053</f>
        <v/>
      </c>
    </row>
    <row r="1054">
      <c r="A1054" s="27">
        <f>A1053+1</f>
        <v/>
      </c>
      <c r="B1054" s="28">
        <f>Duration0+A1054</f>
        <v/>
      </c>
      <c r="C1054" s="27">
        <f>INT(B1054/12)</f>
        <v/>
      </c>
      <c r="D1054" s="28">
        <f>AgeAtEntry+C1054</f>
        <v/>
      </c>
      <c r="E1054" s="29">
        <f>IF(PremiumType="SINGLE",IF(B1054=0,PremiumPPInput,0),IF(B1054&lt;12*PolicyTerm,PremiumPPInput,0))</f>
        <v/>
      </c>
      <c r="F1054" s="30">
        <f>INDEX(MortRates,MATCH(MIN(D1054,120),MortAges,0),MAX(MIN(C1054,5),0)+1)</f>
        <v/>
      </c>
      <c r="G1054" s="31">
        <f>1-(1-F1054)^(1/12)</f>
        <v/>
      </c>
      <c r="H1054" s="32">
        <f>MAX(LapseBase-LapseStep*C1054,LapseFloor)</f>
        <v/>
      </c>
      <c r="I1054" s="32">
        <f>IF(HasSurrCharge,INDEX(SurrRates,MIN(C1054,SurrDurMax)+1,MATCH(SurrChargeID,SurrTypes,0)),0)</f>
        <v/>
      </c>
      <c r="J1054" s="33">
        <f>N1053-P1053-O1053</f>
        <v/>
      </c>
      <c r="K1054" s="30">
        <f>IF(B1054=12*PolicyTerm,J1054,0)</f>
        <v/>
      </c>
      <c r="L1054" s="33">
        <f>J1054-K1054</f>
        <v/>
      </c>
      <c r="M1054" s="30">
        <f>IF(B1054=0,PolicyCount,0)</f>
        <v/>
      </c>
      <c r="N1054" s="33">
        <f>L1054+M1054</f>
        <v/>
      </c>
      <c r="O1054" s="31">
        <f>N1054*G1054</f>
        <v/>
      </c>
      <c r="P1054" s="33">
        <f>(N1054-O1054)*(1-(1-H1054)^(1/12))</f>
        <v/>
      </c>
      <c r="Q1054" s="34">
        <f>X1053+Z1053</f>
        <v/>
      </c>
      <c r="R1054" s="29">
        <f>(1-LoadPremRate)*E1054</f>
        <v/>
      </c>
      <c r="S1054" s="34">
        <f>Q1054+R1054</f>
        <v/>
      </c>
      <c r="T1054" s="29">
        <f>MaintFeeRateAnn/12*S1054</f>
        <v/>
      </c>
      <c r="U1054" s="29">
        <f>MAX(SumAssured-S1054,0)</f>
        <v/>
      </c>
      <c r="V1054" s="35">
        <f>CoiMultiple*G1054</f>
        <v/>
      </c>
      <c r="W1054" s="34">
        <f>V1054*U1054</f>
        <v/>
      </c>
      <c r="X1054" s="34">
        <f>S1054-T1054-W1054</f>
        <v/>
      </c>
      <c r="Y1054" s="36">
        <f>EXP((Mu-0.5*Sigma^2)/12+Sigma*SQRT(1/12)*INDEX(NormRand,ScenID,A1054+1))-1</f>
        <v/>
      </c>
      <c r="Z1054" s="34">
        <f>Y1054*X1054</f>
        <v/>
      </c>
      <c r="AA1054" s="34">
        <f>X1054+0.5*Z1054</f>
        <v/>
      </c>
      <c r="AB1054" s="34">
        <f>Q1054*J1054</f>
        <v/>
      </c>
      <c r="AC1054" s="34">
        <f>Q1054*L1054</f>
        <v/>
      </c>
      <c r="AD1054" s="34">
        <f>S1054*N1054</f>
        <v/>
      </c>
      <c r="AE1054" s="34">
        <f>E1054*N1054</f>
        <v/>
      </c>
      <c r="AF1054" s="34">
        <f>R1054*N1054</f>
        <v/>
      </c>
      <c r="AG1054" s="29">
        <f>MAX(SumAssured,AA1054)</f>
        <v/>
      </c>
      <c r="AH1054" s="34">
        <f>AG1054*O1054</f>
        <v/>
      </c>
      <c r="AI1054" s="34">
        <f>AA1054*O1054</f>
        <v/>
      </c>
      <c r="AJ1054" s="34">
        <f>AA1054*P1054</f>
        <v/>
      </c>
      <c r="AK1054" s="34">
        <f>I1054*AA1054*P1054</f>
        <v/>
      </c>
      <c r="AL1054" s="34">
        <f>AJ1054-AK1054</f>
        <v/>
      </c>
      <c r="AM1054" s="34">
        <f>Q1054*K1054</f>
        <v/>
      </c>
      <c r="AN1054" s="34">
        <f>AH1054+AL1054+AM1054</f>
        <v/>
      </c>
      <c r="AO1054" s="34">
        <f>(AG1054-AA1054)*O1054</f>
        <v/>
      </c>
      <c r="AP1054" s="34">
        <f>W1054*N1054</f>
        <v/>
      </c>
      <c r="AQ1054" s="34">
        <f>T1054*N1054</f>
        <v/>
      </c>
      <c r="AR1054" s="34">
        <f>Z1054*J1055+0.5*Z1054*(O1054+P1054)</f>
        <v/>
      </c>
      <c r="AS1054" s="30">
        <f>(1+InflationRate)^(A1054/12)</f>
        <v/>
      </c>
      <c r="AT1054" s="29">
        <f>ExpenseAcq*M1054+N1054*ExpenseMaint/12*AS1054</f>
        <v/>
      </c>
      <c r="AU1054" s="29">
        <f>CommissionRate*AE1054</f>
        <v/>
      </c>
      <c r="AV1054" s="34">
        <f>AB1055-AB1054</f>
        <v/>
      </c>
      <c r="AW1054" s="34">
        <f>AE1054+AR1054-AN1054-AT1054-AU1054-AV1054</f>
        <v/>
      </c>
      <c r="AX1054" s="29">
        <f>LoadPremRate*E1054*N1054+AK1054+AQ1054-AU1054-AT1054</f>
        <v/>
      </c>
      <c r="AY1054" s="34">
        <f>AP1054-AO1054</f>
        <v/>
      </c>
      <c r="AZ1054" s="37">
        <f>(AW1054-AX1054-AY1054)/MAX(1,ABS(AW1054),ABS(AX1054),ABS(AY1054))</f>
        <v/>
      </c>
      <c r="BA1054" s="37">
        <f>IF(OR(K1054&gt;0,K1055&gt;0),0,(AC1055-(AC1054+AF1054-AQ1054-AP1054+AR1054-AI1054-AJ1054-AM1054))/MAX(1,ABS(AC1054),ABS(AC1055)))</f>
        <v/>
      </c>
      <c r="BB1054" s="35">
        <f>(1+INDEX(DiscRateAnn,INT(A1054/12)+1))^(1/12)-1</f>
        <v/>
      </c>
      <c r="BC1054" s="31">
        <f>(1+BB1054)^-A1054</f>
        <v/>
      </c>
      <c r="BD1054" s="34">
        <f>AW1054*BC1054</f>
        <v/>
      </c>
    </row>
    <row r="1055">
      <c r="A1055" s="27">
        <f>A1054+1</f>
        <v/>
      </c>
      <c r="B1055" s="28">
        <f>Duration0+A1055</f>
        <v/>
      </c>
      <c r="C1055" s="27">
        <f>INT(B1055/12)</f>
        <v/>
      </c>
      <c r="D1055" s="28">
        <f>AgeAtEntry+C1055</f>
        <v/>
      </c>
      <c r="E1055" s="29">
        <f>IF(PremiumType="SINGLE",IF(B1055=0,PremiumPPInput,0),IF(B1055&lt;12*PolicyTerm,PremiumPPInput,0))</f>
        <v/>
      </c>
      <c r="F1055" s="30">
        <f>INDEX(MortRates,MATCH(MIN(D1055,120),MortAges,0),MAX(MIN(C1055,5),0)+1)</f>
        <v/>
      </c>
      <c r="G1055" s="31">
        <f>1-(1-F1055)^(1/12)</f>
        <v/>
      </c>
      <c r="H1055" s="32">
        <f>MAX(LapseBase-LapseStep*C1055,LapseFloor)</f>
        <v/>
      </c>
      <c r="I1055" s="32">
        <f>IF(HasSurrCharge,INDEX(SurrRates,MIN(C1055,SurrDurMax)+1,MATCH(SurrChargeID,SurrTypes,0)),0)</f>
        <v/>
      </c>
      <c r="J1055" s="33">
        <f>N1054-P1054-O1054</f>
        <v/>
      </c>
      <c r="K1055" s="30">
        <f>IF(B1055=12*PolicyTerm,J1055,0)</f>
        <v/>
      </c>
      <c r="L1055" s="33">
        <f>J1055-K1055</f>
        <v/>
      </c>
      <c r="M1055" s="30">
        <f>IF(B1055=0,PolicyCount,0)</f>
        <v/>
      </c>
      <c r="N1055" s="33">
        <f>L1055+M1055</f>
        <v/>
      </c>
      <c r="O1055" s="31">
        <f>N1055*G1055</f>
        <v/>
      </c>
      <c r="P1055" s="33">
        <f>(N1055-O1055)*(1-(1-H1055)^(1/12))</f>
        <v/>
      </c>
      <c r="Q1055" s="34">
        <f>X1054+Z1054</f>
        <v/>
      </c>
      <c r="R1055" s="29">
        <f>(1-LoadPremRate)*E1055</f>
        <v/>
      </c>
      <c r="S1055" s="34">
        <f>Q1055+R1055</f>
        <v/>
      </c>
      <c r="T1055" s="29">
        <f>MaintFeeRateAnn/12*S1055</f>
        <v/>
      </c>
      <c r="U1055" s="29">
        <f>MAX(SumAssured-S1055,0)</f>
        <v/>
      </c>
      <c r="V1055" s="35">
        <f>CoiMultiple*G1055</f>
        <v/>
      </c>
      <c r="W1055" s="34">
        <f>V1055*U1055</f>
        <v/>
      </c>
      <c r="X1055" s="34">
        <f>S1055-T1055-W1055</f>
        <v/>
      </c>
      <c r="Y1055" s="36">
        <f>EXP((Mu-0.5*Sigma^2)/12+Sigma*SQRT(1/12)*INDEX(NormRand,ScenID,A1055+1))-1</f>
        <v/>
      </c>
      <c r="Z1055" s="34">
        <f>Y1055*X1055</f>
        <v/>
      </c>
      <c r="AA1055" s="34">
        <f>X1055+0.5*Z1055</f>
        <v/>
      </c>
      <c r="AB1055" s="34">
        <f>Q1055*J1055</f>
        <v/>
      </c>
      <c r="AC1055" s="34">
        <f>Q1055*L1055</f>
        <v/>
      </c>
      <c r="AD1055" s="34">
        <f>S1055*N1055</f>
        <v/>
      </c>
      <c r="AE1055" s="34">
        <f>E1055*N1055</f>
        <v/>
      </c>
      <c r="AF1055" s="34">
        <f>R1055*N1055</f>
        <v/>
      </c>
      <c r="AG1055" s="29">
        <f>MAX(SumAssured,AA1055)</f>
        <v/>
      </c>
      <c r="AH1055" s="34">
        <f>AG1055*O1055</f>
        <v/>
      </c>
      <c r="AI1055" s="34">
        <f>AA1055*O1055</f>
        <v/>
      </c>
      <c r="AJ1055" s="34">
        <f>AA1055*P1055</f>
        <v/>
      </c>
      <c r="AK1055" s="34">
        <f>I1055*AA1055*P1055</f>
        <v/>
      </c>
      <c r="AL1055" s="34">
        <f>AJ1055-AK1055</f>
        <v/>
      </c>
      <c r="AM1055" s="34">
        <f>Q1055*K1055</f>
        <v/>
      </c>
      <c r="AN1055" s="34">
        <f>AH1055+AL1055+AM1055</f>
        <v/>
      </c>
      <c r="AO1055" s="34">
        <f>(AG1055-AA1055)*O1055</f>
        <v/>
      </c>
      <c r="AP1055" s="34">
        <f>W1055*N1055</f>
        <v/>
      </c>
      <c r="AQ1055" s="34">
        <f>T1055*N1055</f>
        <v/>
      </c>
      <c r="AR1055" s="34">
        <f>Z1055*J1056+0.5*Z1055*(O1055+P1055)</f>
        <v/>
      </c>
      <c r="AS1055" s="30">
        <f>(1+InflationRate)^(A1055/12)</f>
        <v/>
      </c>
      <c r="AT1055" s="29">
        <f>ExpenseAcq*M1055+N1055*ExpenseMaint/12*AS1055</f>
        <v/>
      </c>
      <c r="AU1055" s="29">
        <f>CommissionRate*AE1055</f>
        <v/>
      </c>
      <c r="AV1055" s="34">
        <f>AB1056-AB1055</f>
        <v/>
      </c>
      <c r="AW1055" s="34">
        <f>AE1055+AR1055-AN1055-AT1055-AU1055-AV1055</f>
        <v/>
      </c>
      <c r="AX1055" s="29">
        <f>LoadPremRate*E1055*N1055+AK1055+AQ1055-AU1055-AT1055</f>
        <v/>
      </c>
      <c r="AY1055" s="34">
        <f>AP1055-AO1055</f>
        <v/>
      </c>
      <c r="AZ1055" s="37">
        <f>(AW1055-AX1055-AY1055)/MAX(1,ABS(AW1055),ABS(AX1055),ABS(AY1055))</f>
        <v/>
      </c>
      <c r="BA1055" s="37">
        <f>IF(OR(K1055&gt;0,K1056&gt;0),0,(AC1056-(AC1055+AF1055-AQ1055-AP1055+AR1055-AI1055-AJ1055-AM1055))/MAX(1,ABS(AC1055),ABS(AC1056)))</f>
        <v/>
      </c>
      <c r="BB1055" s="35">
        <f>(1+INDEX(DiscRateAnn,INT(A1055/12)+1))^(1/12)-1</f>
        <v/>
      </c>
      <c r="BC1055" s="31">
        <f>(1+BB1055)^-A1055</f>
        <v/>
      </c>
      <c r="BD1055" s="34">
        <f>AW1055*BC1055</f>
        <v/>
      </c>
    </row>
    <row r="1056">
      <c r="A1056" s="27">
        <f>A1055+1</f>
        <v/>
      </c>
      <c r="B1056" s="28">
        <f>Duration0+A1056</f>
        <v/>
      </c>
      <c r="C1056" s="27">
        <f>INT(B1056/12)</f>
        <v/>
      </c>
      <c r="D1056" s="28">
        <f>AgeAtEntry+C1056</f>
        <v/>
      </c>
      <c r="E1056" s="29">
        <f>IF(PremiumType="SINGLE",IF(B1056=0,PremiumPPInput,0),IF(B1056&lt;12*PolicyTerm,PremiumPPInput,0))</f>
        <v/>
      </c>
      <c r="F1056" s="30">
        <f>INDEX(MortRates,MATCH(MIN(D1056,120),MortAges,0),MAX(MIN(C1056,5),0)+1)</f>
        <v/>
      </c>
      <c r="G1056" s="31">
        <f>1-(1-F1056)^(1/12)</f>
        <v/>
      </c>
      <c r="H1056" s="32">
        <f>MAX(LapseBase-LapseStep*C1056,LapseFloor)</f>
        <v/>
      </c>
      <c r="I1056" s="32">
        <f>IF(HasSurrCharge,INDEX(SurrRates,MIN(C1056,SurrDurMax)+1,MATCH(SurrChargeID,SurrTypes,0)),0)</f>
        <v/>
      </c>
      <c r="J1056" s="33">
        <f>N1055-P1055-O1055</f>
        <v/>
      </c>
      <c r="K1056" s="30">
        <f>IF(B1056=12*PolicyTerm,J1056,0)</f>
        <v/>
      </c>
      <c r="L1056" s="33">
        <f>J1056-K1056</f>
        <v/>
      </c>
      <c r="M1056" s="30">
        <f>IF(B1056=0,PolicyCount,0)</f>
        <v/>
      </c>
      <c r="N1056" s="33">
        <f>L1056+M1056</f>
        <v/>
      </c>
      <c r="O1056" s="31">
        <f>N1056*G1056</f>
        <v/>
      </c>
      <c r="P1056" s="33">
        <f>(N1056-O1056)*(1-(1-H1056)^(1/12))</f>
        <v/>
      </c>
      <c r="Q1056" s="34">
        <f>X1055+Z1055</f>
        <v/>
      </c>
      <c r="R1056" s="29">
        <f>(1-LoadPremRate)*E1056</f>
        <v/>
      </c>
      <c r="S1056" s="34">
        <f>Q1056+R1056</f>
        <v/>
      </c>
      <c r="T1056" s="29">
        <f>MaintFeeRateAnn/12*S1056</f>
        <v/>
      </c>
      <c r="U1056" s="29">
        <f>MAX(SumAssured-S1056,0)</f>
        <v/>
      </c>
      <c r="V1056" s="35">
        <f>CoiMultiple*G1056</f>
        <v/>
      </c>
      <c r="W1056" s="34">
        <f>V1056*U1056</f>
        <v/>
      </c>
      <c r="X1056" s="34">
        <f>S1056-T1056-W1056</f>
        <v/>
      </c>
      <c r="Y1056" s="36">
        <f>EXP((Mu-0.5*Sigma^2)/12+Sigma*SQRT(1/12)*INDEX(NormRand,ScenID,A1056+1))-1</f>
        <v/>
      </c>
      <c r="Z1056" s="34">
        <f>Y1056*X1056</f>
        <v/>
      </c>
      <c r="AA1056" s="34">
        <f>X1056+0.5*Z1056</f>
        <v/>
      </c>
      <c r="AB1056" s="34">
        <f>Q1056*J1056</f>
        <v/>
      </c>
      <c r="AC1056" s="34">
        <f>Q1056*L1056</f>
        <v/>
      </c>
      <c r="AD1056" s="34">
        <f>S1056*N1056</f>
        <v/>
      </c>
      <c r="AE1056" s="34">
        <f>E1056*N1056</f>
        <v/>
      </c>
      <c r="AF1056" s="34">
        <f>R1056*N1056</f>
        <v/>
      </c>
      <c r="AG1056" s="29">
        <f>MAX(SumAssured,AA1056)</f>
        <v/>
      </c>
      <c r="AH1056" s="34">
        <f>AG1056*O1056</f>
        <v/>
      </c>
      <c r="AI1056" s="34">
        <f>AA1056*O1056</f>
        <v/>
      </c>
      <c r="AJ1056" s="34">
        <f>AA1056*P1056</f>
        <v/>
      </c>
      <c r="AK1056" s="34">
        <f>I1056*AA1056*P1056</f>
        <v/>
      </c>
      <c r="AL1056" s="34">
        <f>AJ1056-AK1056</f>
        <v/>
      </c>
      <c r="AM1056" s="34">
        <f>Q1056*K1056</f>
        <v/>
      </c>
      <c r="AN1056" s="34">
        <f>AH1056+AL1056+AM1056</f>
        <v/>
      </c>
      <c r="AO1056" s="34">
        <f>(AG1056-AA1056)*O1056</f>
        <v/>
      </c>
      <c r="AP1056" s="34">
        <f>W1056*N1056</f>
        <v/>
      </c>
      <c r="AQ1056" s="34">
        <f>T1056*N1056</f>
        <v/>
      </c>
      <c r="AR1056" s="34">
        <f>Z1056*J1057+0.5*Z1056*(O1056+P1056)</f>
        <v/>
      </c>
      <c r="AS1056" s="30">
        <f>(1+InflationRate)^(A1056/12)</f>
        <v/>
      </c>
      <c r="AT1056" s="29">
        <f>ExpenseAcq*M1056+N1056*ExpenseMaint/12*AS1056</f>
        <v/>
      </c>
      <c r="AU1056" s="29">
        <f>CommissionRate*AE1056</f>
        <v/>
      </c>
      <c r="AV1056" s="34">
        <f>AB1057-AB1056</f>
        <v/>
      </c>
      <c r="AW1056" s="34">
        <f>AE1056+AR1056-AN1056-AT1056-AU1056-AV1056</f>
        <v/>
      </c>
      <c r="AX1056" s="29">
        <f>LoadPremRate*E1056*N1056+AK1056+AQ1056-AU1056-AT1056</f>
        <v/>
      </c>
      <c r="AY1056" s="34">
        <f>AP1056-AO1056</f>
        <v/>
      </c>
      <c r="AZ1056" s="37">
        <f>(AW1056-AX1056-AY1056)/MAX(1,ABS(AW1056),ABS(AX1056),ABS(AY1056))</f>
        <v/>
      </c>
      <c r="BA1056" s="37">
        <f>IF(OR(K1056&gt;0,K1057&gt;0),0,(AC1057-(AC1056+AF1056-AQ1056-AP1056+AR1056-AI1056-AJ1056-AM1056))/MAX(1,ABS(AC1056),ABS(AC1057)))</f>
        <v/>
      </c>
      <c r="BB1056" s="35">
        <f>(1+INDEX(DiscRateAnn,INT(A1056/12)+1))^(1/12)-1</f>
        <v/>
      </c>
      <c r="BC1056" s="31">
        <f>(1+BB1056)^-A1056</f>
        <v/>
      </c>
      <c r="BD1056" s="34">
        <f>AW1056*BC1056</f>
        <v/>
      </c>
    </row>
    <row r="1057">
      <c r="A1057" s="27">
        <f>A1056+1</f>
        <v/>
      </c>
      <c r="B1057" s="28">
        <f>Duration0+A1057</f>
        <v/>
      </c>
      <c r="C1057" s="27">
        <f>INT(B1057/12)</f>
        <v/>
      </c>
      <c r="D1057" s="28">
        <f>AgeAtEntry+C1057</f>
        <v/>
      </c>
      <c r="E1057" s="29">
        <f>IF(PremiumType="SINGLE",IF(B1057=0,PremiumPPInput,0),IF(B1057&lt;12*PolicyTerm,PremiumPPInput,0))</f>
        <v/>
      </c>
      <c r="F1057" s="30">
        <f>INDEX(MortRates,MATCH(MIN(D1057,120),MortAges,0),MAX(MIN(C1057,5),0)+1)</f>
        <v/>
      </c>
      <c r="G1057" s="31">
        <f>1-(1-F1057)^(1/12)</f>
        <v/>
      </c>
      <c r="H1057" s="32">
        <f>MAX(LapseBase-LapseStep*C1057,LapseFloor)</f>
        <v/>
      </c>
      <c r="I1057" s="32">
        <f>IF(HasSurrCharge,INDEX(SurrRates,MIN(C1057,SurrDurMax)+1,MATCH(SurrChargeID,SurrTypes,0)),0)</f>
        <v/>
      </c>
      <c r="J1057" s="33">
        <f>N1056-P1056-O1056</f>
        <v/>
      </c>
      <c r="K1057" s="30">
        <f>IF(B1057=12*PolicyTerm,J1057,0)</f>
        <v/>
      </c>
      <c r="L1057" s="33">
        <f>J1057-K1057</f>
        <v/>
      </c>
      <c r="M1057" s="30">
        <f>IF(B1057=0,PolicyCount,0)</f>
        <v/>
      </c>
      <c r="N1057" s="33">
        <f>L1057+M1057</f>
        <v/>
      </c>
      <c r="O1057" s="31">
        <f>N1057*G1057</f>
        <v/>
      </c>
      <c r="P1057" s="33">
        <f>(N1057-O1057)*(1-(1-H1057)^(1/12))</f>
        <v/>
      </c>
      <c r="Q1057" s="34">
        <f>X1056+Z1056</f>
        <v/>
      </c>
      <c r="R1057" s="29">
        <f>(1-LoadPremRate)*E1057</f>
        <v/>
      </c>
      <c r="S1057" s="34">
        <f>Q1057+R1057</f>
        <v/>
      </c>
      <c r="T1057" s="29">
        <f>MaintFeeRateAnn/12*S1057</f>
        <v/>
      </c>
      <c r="U1057" s="29">
        <f>MAX(SumAssured-S1057,0)</f>
        <v/>
      </c>
      <c r="V1057" s="35">
        <f>CoiMultiple*G1057</f>
        <v/>
      </c>
      <c r="W1057" s="34">
        <f>V1057*U1057</f>
        <v/>
      </c>
      <c r="X1057" s="34">
        <f>S1057-T1057-W1057</f>
        <v/>
      </c>
      <c r="Y1057" s="36">
        <f>EXP((Mu-0.5*Sigma^2)/12+Sigma*SQRT(1/12)*INDEX(NormRand,ScenID,A1057+1))-1</f>
        <v/>
      </c>
      <c r="Z1057" s="34">
        <f>Y1057*X1057</f>
        <v/>
      </c>
      <c r="AA1057" s="34">
        <f>X1057+0.5*Z1057</f>
        <v/>
      </c>
      <c r="AB1057" s="34">
        <f>Q1057*J1057</f>
        <v/>
      </c>
      <c r="AC1057" s="34">
        <f>Q1057*L1057</f>
        <v/>
      </c>
      <c r="AD1057" s="34">
        <f>S1057*N1057</f>
        <v/>
      </c>
      <c r="AE1057" s="34">
        <f>E1057*N1057</f>
        <v/>
      </c>
      <c r="AF1057" s="34">
        <f>R1057*N1057</f>
        <v/>
      </c>
      <c r="AG1057" s="29">
        <f>MAX(SumAssured,AA1057)</f>
        <v/>
      </c>
      <c r="AH1057" s="34">
        <f>AG1057*O1057</f>
        <v/>
      </c>
      <c r="AI1057" s="34">
        <f>AA1057*O1057</f>
        <v/>
      </c>
      <c r="AJ1057" s="34">
        <f>AA1057*P1057</f>
        <v/>
      </c>
      <c r="AK1057" s="34">
        <f>I1057*AA1057*P1057</f>
        <v/>
      </c>
      <c r="AL1057" s="34">
        <f>AJ1057-AK1057</f>
        <v/>
      </c>
      <c r="AM1057" s="34">
        <f>Q1057*K1057</f>
        <v/>
      </c>
      <c r="AN1057" s="34">
        <f>AH1057+AL1057+AM1057</f>
        <v/>
      </c>
      <c r="AO1057" s="34">
        <f>(AG1057-AA1057)*O1057</f>
        <v/>
      </c>
      <c r="AP1057" s="34">
        <f>W1057*N1057</f>
        <v/>
      </c>
      <c r="AQ1057" s="34">
        <f>T1057*N1057</f>
        <v/>
      </c>
      <c r="AR1057" s="34">
        <f>Z1057*J1058+0.5*Z1057*(O1057+P1057)</f>
        <v/>
      </c>
      <c r="AS1057" s="30">
        <f>(1+InflationRate)^(A1057/12)</f>
        <v/>
      </c>
      <c r="AT1057" s="29">
        <f>ExpenseAcq*M1057+N1057*ExpenseMaint/12*AS1057</f>
        <v/>
      </c>
      <c r="AU1057" s="29">
        <f>CommissionRate*AE1057</f>
        <v/>
      </c>
      <c r="AV1057" s="34">
        <f>AB1058-AB1057</f>
        <v/>
      </c>
      <c r="AW1057" s="34">
        <f>AE1057+AR1057-AN1057-AT1057-AU1057-AV1057</f>
        <v/>
      </c>
      <c r="AX1057" s="29">
        <f>LoadPremRate*E1057*N1057+AK1057+AQ1057-AU1057-AT1057</f>
        <v/>
      </c>
      <c r="AY1057" s="34">
        <f>AP1057-AO1057</f>
        <v/>
      </c>
      <c r="AZ1057" s="37">
        <f>(AW1057-AX1057-AY1057)/MAX(1,ABS(AW1057),ABS(AX1057),ABS(AY1057))</f>
        <v/>
      </c>
      <c r="BA1057" s="37">
        <f>IF(OR(K1057&gt;0,K1058&gt;0),0,(AC1058-(AC1057+AF1057-AQ1057-AP1057+AR1057-AI1057-AJ1057-AM1057))/MAX(1,ABS(AC1057),ABS(AC1058)))</f>
        <v/>
      </c>
      <c r="BB1057" s="35">
        <f>(1+INDEX(DiscRateAnn,INT(A1057/12)+1))^(1/12)-1</f>
        <v/>
      </c>
      <c r="BC1057" s="31">
        <f>(1+BB1057)^-A1057</f>
        <v/>
      </c>
      <c r="BD1057" s="34">
        <f>AW1057*BC1057</f>
        <v/>
      </c>
    </row>
    <row r="1058">
      <c r="A1058" s="27">
        <f>A1057+1</f>
        <v/>
      </c>
      <c r="B1058" s="28">
        <f>Duration0+A1058</f>
        <v/>
      </c>
      <c r="C1058" s="27">
        <f>INT(B1058/12)</f>
        <v/>
      </c>
      <c r="D1058" s="28">
        <f>AgeAtEntry+C1058</f>
        <v/>
      </c>
      <c r="E1058" s="29">
        <f>IF(PremiumType="SINGLE",IF(B1058=0,PremiumPPInput,0),IF(B1058&lt;12*PolicyTerm,PremiumPPInput,0))</f>
        <v/>
      </c>
      <c r="F1058" s="30">
        <f>INDEX(MortRates,MATCH(MIN(D1058,120),MortAges,0),MAX(MIN(C1058,5),0)+1)</f>
        <v/>
      </c>
      <c r="G1058" s="31">
        <f>1-(1-F1058)^(1/12)</f>
        <v/>
      </c>
      <c r="H1058" s="32">
        <f>MAX(LapseBase-LapseStep*C1058,LapseFloor)</f>
        <v/>
      </c>
      <c r="I1058" s="32">
        <f>IF(HasSurrCharge,INDEX(SurrRates,MIN(C1058,SurrDurMax)+1,MATCH(SurrChargeID,SurrTypes,0)),0)</f>
        <v/>
      </c>
      <c r="J1058" s="33">
        <f>N1057-P1057-O1057</f>
        <v/>
      </c>
      <c r="K1058" s="30">
        <f>IF(B1058=12*PolicyTerm,J1058,0)</f>
        <v/>
      </c>
      <c r="L1058" s="33">
        <f>J1058-K1058</f>
        <v/>
      </c>
      <c r="M1058" s="30">
        <f>IF(B1058=0,PolicyCount,0)</f>
        <v/>
      </c>
      <c r="N1058" s="33">
        <f>L1058+M1058</f>
        <v/>
      </c>
      <c r="O1058" s="31">
        <f>N1058*G1058</f>
        <v/>
      </c>
      <c r="P1058" s="33">
        <f>(N1058-O1058)*(1-(1-H1058)^(1/12))</f>
        <v/>
      </c>
      <c r="Q1058" s="34">
        <f>X1057+Z1057</f>
        <v/>
      </c>
      <c r="R1058" s="29">
        <f>(1-LoadPremRate)*E1058</f>
        <v/>
      </c>
      <c r="S1058" s="34">
        <f>Q1058+R1058</f>
        <v/>
      </c>
      <c r="T1058" s="29">
        <f>MaintFeeRateAnn/12*S1058</f>
        <v/>
      </c>
      <c r="U1058" s="29">
        <f>MAX(SumAssured-S1058,0)</f>
        <v/>
      </c>
      <c r="V1058" s="35">
        <f>CoiMultiple*G1058</f>
        <v/>
      </c>
      <c r="W1058" s="34">
        <f>V1058*U1058</f>
        <v/>
      </c>
      <c r="X1058" s="34">
        <f>S1058-T1058-W1058</f>
        <v/>
      </c>
      <c r="Y1058" s="36">
        <f>EXP((Mu-0.5*Sigma^2)/12+Sigma*SQRT(1/12)*INDEX(NormRand,ScenID,A1058+1))-1</f>
        <v/>
      </c>
      <c r="Z1058" s="34">
        <f>Y1058*X1058</f>
        <v/>
      </c>
      <c r="AA1058" s="34">
        <f>X1058+0.5*Z1058</f>
        <v/>
      </c>
      <c r="AB1058" s="34">
        <f>Q1058*J1058</f>
        <v/>
      </c>
      <c r="AC1058" s="34">
        <f>Q1058*L1058</f>
        <v/>
      </c>
      <c r="AD1058" s="34">
        <f>S1058*N1058</f>
        <v/>
      </c>
      <c r="AE1058" s="34">
        <f>E1058*N1058</f>
        <v/>
      </c>
      <c r="AF1058" s="34">
        <f>R1058*N1058</f>
        <v/>
      </c>
      <c r="AG1058" s="29">
        <f>MAX(SumAssured,AA1058)</f>
        <v/>
      </c>
      <c r="AH1058" s="34">
        <f>AG1058*O1058</f>
        <v/>
      </c>
      <c r="AI1058" s="34">
        <f>AA1058*O1058</f>
        <v/>
      </c>
      <c r="AJ1058" s="34">
        <f>AA1058*P1058</f>
        <v/>
      </c>
      <c r="AK1058" s="34">
        <f>I1058*AA1058*P1058</f>
        <v/>
      </c>
      <c r="AL1058" s="34">
        <f>AJ1058-AK1058</f>
        <v/>
      </c>
      <c r="AM1058" s="34">
        <f>Q1058*K1058</f>
        <v/>
      </c>
      <c r="AN1058" s="34">
        <f>AH1058+AL1058+AM1058</f>
        <v/>
      </c>
      <c r="AO1058" s="34">
        <f>(AG1058-AA1058)*O1058</f>
        <v/>
      </c>
      <c r="AP1058" s="34">
        <f>W1058*N1058</f>
        <v/>
      </c>
      <c r="AQ1058" s="34">
        <f>T1058*N1058</f>
        <v/>
      </c>
      <c r="AR1058" s="34">
        <f>Z1058*J1059+0.5*Z1058*(O1058+P1058)</f>
        <v/>
      </c>
      <c r="AS1058" s="30">
        <f>(1+InflationRate)^(A1058/12)</f>
        <v/>
      </c>
      <c r="AT1058" s="29">
        <f>ExpenseAcq*M1058+N1058*ExpenseMaint/12*AS1058</f>
        <v/>
      </c>
      <c r="AU1058" s="29">
        <f>CommissionRate*AE1058</f>
        <v/>
      </c>
      <c r="AV1058" s="34">
        <f>AB1059-AB1058</f>
        <v/>
      </c>
      <c r="AW1058" s="34">
        <f>AE1058+AR1058-AN1058-AT1058-AU1058-AV1058</f>
        <v/>
      </c>
      <c r="AX1058" s="29">
        <f>LoadPremRate*E1058*N1058+AK1058+AQ1058-AU1058-AT1058</f>
        <v/>
      </c>
      <c r="AY1058" s="34">
        <f>AP1058-AO1058</f>
        <v/>
      </c>
      <c r="AZ1058" s="37">
        <f>(AW1058-AX1058-AY1058)/MAX(1,ABS(AW1058),ABS(AX1058),ABS(AY1058))</f>
        <v/>
      </c>
      <c r="BA1058" s="37">
        <f>IF(OR(K1058&gt;0,K1059&gt;0),0,(AC1059-(AC1058+AF1058-AQ1058-AP1058+AR1058-AI1058-AJ1058-AM1058))/MAX(1,ABS(AC1058),ABS(AC1059)))</f>
        <v/>
      </c>
      <c r="BB1058" s="35">
        <f>(1+INDEX(DiscRateAnn,INT(A1058/12)+1))^(1/12)-1</f>
        <v/>
      </c>
      <c r="BC1058" s="31">
        <f>(1+BB1058)^-A1058</f>
        <v/>
      </c>
      <c r="BD1058" s="34">
        <f>AW1058*BC1058</f>
        <v/>
      </c>
    </row>
    <row r="1059">
      <c r="A1059" s="27">
        <f>A1058+1</f>
        <v/>
      </c>
      <c r="B1059" s="28">
        <f>Duration0+A1059</f>
        <v/>
      </c>
      <c r="C1059" s="27">
        <f>INT(B1059/12)</f>
        <v/>
      </c>
      <c r="D1059" s="28">
        <f>AgeAtEntry+C1059</f>
        <v/>
      </c>
      <c r="E1059" s="29">
        <f>IF(PremiumType="SINGLE",IF(B1059=0,PremiumPPInput,0),IF(B1059&lt;12*PolicyTerm,PremiumPPInput,0))</f>
        <v/>
      </c>
      <c r="F1059" s="30">
        <f>INDEX(MortRates,MATCH(MIN(D1059,120),MortAges,0),MAX(MIN(C1059,5),0)+1)</f>
        <v/>
      </c>
      <c r="G1059" s="31">
        <f>1-(1-F1059)^(1/12)</f>
        <v/>
      </c>
      <c r="H1059" s="32">
        <f>MAX(LapseBase-LapseStep*C1059,LapseFloor)</f>
        <v/>
      </c>
      <c r="I1059" s="32">
        <f>IF(HasSurrCharge,INDEX(SurrRates,MIN(C1059,SurrDurMax)+1,MATCH(SurrChargeID,SurrTypes,0)),0)</f>
        <v/>
      </c>
      <c r="J1059" s="33">
        <f>N1058-P1058-O1058</f>
        <v/>
      </c>
      <c r="K1059" s="30">
        <f>IF(B1059=12*PolicyTerm,J1059,0)</f>
        <v/>
      </c>
      <c r="L1059" s="33">
        <f>J1059-K1059</f>
        <v/>
      </c>
      <c r="M1059" s="30">
        <f>IF(B1059=0,PolicyCount,0)</f>
        <v/>
      </c>
      <c r="N1059" s="33">
        <f>L1059+M1059</f>
        <v/>
      </c>
      <c r="O1059" s="31">
        <f>N1059*G1059</f>
        <v/>
      </c>
      <c r="P1059" s="33">
        <f>(N1059-O1059)*(1-(1-H1059)^(1/12))</f>
        <v/>
      </c>
      <c r="Q1059" s="34">
        <f>X1058+Z1058</f>
        <v/>
      </c>
      <c r="R1059" s="29">
        <f>(1-LoadPremRate)*E1059</f>
        <v/>
      </c>
      <c r="S1059" s="34">
        <f>Q1059+R1059</f>
        <v/>
      </c>
      <c r="T1059" s="29">
        <f>MaintFeeRateAnn/12*S1059</f>
        <v/>
      </c>
      <c r="U1059" s="29">
        <f>MAX(SumAssured-S1059,0)</f>
        <v/>
      </c>
      <c r="V1059" s="35">
        <f>CoiMultiple*G1059</f>
        <v/>
      </c>
      <c r="W1059" s="34">
        <f>V1059*U1059</f>
        <v/>
      </c>
      <c r="X1059" s="34">
        <f>S1059-T1059-W1059</f>
        <v/>
      </c>
      <c r="Y1059" s="36">
        <f>EXP((Mu-0.5*Sigma^2)/12+Sigma*SQRT(1/12)*INDEX(NormRand,ScenID,A1059+1))-1</f>
        <v/>
      </c>
      <c r="Z1059" s="34">
        <f>Y1059*X1059</f>
        <v/>
      </c>
      <c r="AA1059" s="34">
        <f>X1059+0.5*Z1059</f>
        <v/>
      </c>
      <c r="AB1059" s="34">
        <f>Q1059*J1059</f>
        <v/>
      </c>
      <c r="AC1059" s="34">
        <f>Q1059*L1059</f>
        <v/>
      </c>
      <c r="AD1059" s="34">
        <f>S1059*N1059</f>
        <v/>
      </c>
      <c r="AE1059" s="34">
        <f>E1059*N1059</f>
        <v/>
      </c>
      <c r="AF1059" s="34">
        <f>R1059*N1059</f>
        <v/>
      </c>
      <c r="AG1059" s="29">
        <f>MAX(SumAssured,AA1059)</f>
        <v/>
      </c>
      <c r="AH1059" s="34">
        <f>AG1059*O1059</f>
        <v/>
      </c>
      <c r="AI1059" s="34">
        <f>AA1059*O1059</f>
        <v/>
      </c>
      <c r="AJ1059" s="34">
        <f>AA1059*P1059</f>
        <v/>
      </c>
      <c r="AK1059" s="34">
        <f>I1059*AA1059*P1059</f>
        <v/>
      </c>
      <c r="AL1059" s="34">
        <f>AJ1059-AK1059</f>
        <v/>
      </c>
      <c r="AM1059" s="34">
        <f>Q1059*K1059</f>
        <v/>
      </c>
      <c r="AN1059" s="34">
        <f>AH1059+AL1059+AM1059</f>
        <v/>
      </c>
      <c r="AO1059" s="34">
        <f>(AG1059-AA1059)*O1059</f>
        <v/>
      </c>
      <c r="AP1059" s="34">
        <f>W1059*N1059</f>
        <v/>
      </c>
      <c r="AQ1059" s="34">
        <f>T1059*N1059</f>
        <v/>
      </c>
      <c r="AR1059" s="34">
        <f>Z1059*J1060+0.5*Z1059*(O1059+P1059)</f>
        <v/>
      </c>
      <c r="AS1059" s="30">
        <f>(1+InflationRate)^(A1059/12)</f>
        <v/>
      </c>
      <c r="AT1059" s="29">
        <f>ExpenseAcq*M1059+N1059*ExpenseMaint/12*AS1059</f>
        <v/>
      </c>
      <c r="AU1059" s="29">
        <f>CommissionRate*AE1059</f>
        <v/>
      </c>
      <c r="AV1059" s="34">
        <f>AB1060-AB1059</f>
        <v/>
      </c>
      <c r="AW1059" s="34">
        <f>AE1059+AR1059-AN1059-AT1059-AU1059-AV1059</f>
        <v/>
      </c>
      <c r="AX1059" s="29">
        <f>LoadPremRate*E1059*N1059+AK1059+AQ1059-AU1059-AT1059</f>
        <v/>
      </c>
      <c r="AY1059" s="34">
        <f>AP1059-AO1059</f>
        <v/>
      </c>
      <c r="AZ1059" s="37">
        <f>(AW1059-AX1059-AY1059)/MAX(1,ABS(AW1059),ABS(AX1059),ABS(AY1059))</f>
        <v/>
      </c>
      <c r="BA1059" s="37">
        <f>IF(OR(K1059&gt;0,K1060&gt;0),0,(AC1060-(AC1059+AF1059-AQ1059-AP1059+AR1059-AI1059-AJ1059-AM1059))/MAX(1,ABS(AC1059),ABS(AC1060)))</f>
        <v/>
      </c>
      <c r="BB1059" s="35">
        <f>(1+INDEX(DiscRateAnn,INT(A1059/12)+1))^(1/12)-1</f>
        <v/>
      </c>
      <c r="BC1059" s="31">
        <f>(1+BB1059)^-A1059</f>
        <v/>
      </c>
      <c r="BD1059" s="34">
        <f>AW1059*BC1059</f>
        <v/>
      </c>
    </row>
    <row r="1060">
      <c r="A1060" s="27">
        <f>A1059+1</f>
        <v/>
      </c>
      <c r="B1060" s="28">
        <f>Duration0+A1060</f>
        <v/>
      </c>
      <c r="C1060" s="27">
        <f>INT(B1060/12)</f>
        <v/>
      </c>
      <c r="D1060" s="28">
        <f>AgeAtEntry+C1060</f>
        <v/>
      </c>
      <c r="E1060" s="29">
        <f>IF(PremiumType="SINGLE",IF(B1060=0,PremiumPPInput,0),IF(B1060&lt;12*PolicyTerm,PremiumPPInput,0))</f>
        <v/>
      </c>
      <c r="F1060" s="30">
        <f>INDEX(MortRates,MATCH(MIN(D1060,120),MortAges,0),MAX(MIN(C1060,5),0)+1)</f>
        <v/>
      </c>
      <c r="G1060" s="31">
        <f>1-(1-F1060)^(1/12)</f>
        <v/>
      </c>
      <c r="H1060" s="32">
        <f>MAX(LapseBase-LapseStep*C1060,LapseFloor)</f>
        <v/>
      </c>
      <c r="I1060" s="32">
        <f>IF(HasSurrCharge,INDEX(SurrRates,MIN(C1060,SurrDurMax)+1,MATCH(SurrChargeID,SurrTypes,0)),0)</f>
        <v/>
      </c>
      <c r="J1060" s="33">
        <f>N1059-P1059-O1059</f>
        <v/>
      </c>
      <c r="K1060" s="30">
        <f>IF(B1060=12*PolicyTerm,J1060,0)</f>
        <v/>
      </c>
      <c r="L1060" s="33">
        <f>J1060-K1060</f>
        <v/>
      </c>
      <c r="M1060" s="30">
        <f>IF(B1060=0,PolicyCount,0)</f>
        <v/>
      </c>
      <c r="N1060" s="33">
        <f>L1060+M1060</f>
        <v/>
      </c>
      <c r="O1060" s="31">
        <f>N1060*G1060</f>
        <v/>
      </c>
      <c r="P1060" s="33">
        <f>(N1060-O1060)*(1-(1-H1060)^(1/12))</f>
        <v/>
      </c>
      <c r="Q1060" s="34">
        <f>X1059+Z1059</f>
        <v/>
      </c>
      <c r="R1060" s="29">
        <f>(1-LoadPremRate)*E1060</f>
        <v/>
      </c>
      <c r="S1060" s="34">
        <f>Q1060+R1060</f>
        <v/>
      </c>
      <c r="T1060" s="29">
        <f>MaintFeeRateAnn/12*S1060</f>
        <v/>
      </c>
      <c r="U1060" s="29">
        <f>MAX(SumAssured-S1060,0)</f>
        <v/>
      </c>
      <c r="V1060" s="35">
        <f>CoiMultiple*G1060</f>
        <v/>
      </c>
      <c r="W1060" s="34">
        <f>V1060*U1060</f>
        <v/>
      </c>
      <c r="X1060" s="34">
        <f>S1060-T1060-W1060</f>
        <v/>
      </c>
      <c r="Y1060" s="36">
        <f>EXP((Mu-0.5*Sigma^2)/12+Sigma*SQRT(1/12)*INDEX(NormRand,ScenID,A1060+1))-1</f>
        <v/>
      </c>
      <c r="Z1060" s="34">
        <f>Y1060*X1060</f>
        <v/>
      </c>
      <c r="AA1060" s="34">
        <f>X1060+0.5*Z1060</f>
        <v/>
      </c>
      <c r="AB1060" s="34">
        <f>Q1060*J1060</f>
        <v/>
      </c>
      <c r="AC1060" s="34">
        <f>Q1060*L1060</f>
        <v/>
      </c>
      <c r="AD1060" s="34">
        <f>S1060*N1060</f>
        <v/>
      </c>
      <c r="AE1060" s="34">
        <f>E1060*N1060</f>
        <v/>
      </c>
      <c r="AF1060" s="34">
        <f>R1060*N1060</f>
        <v/>
      </c>
      <c r="AG1060" s="29">
        <f>MAX(SumAssured,AA1060)</f>
        <v/>
      </c>
      <c r="AH1060" s="34">
        <f>AG1060*O1060</f>
        <v/>
      </c>
      <c r="AI1060" s="34">
        <f>AA1060*O1060</f>
        <v/>
      </c>
      <c r="AJ1060" s="34">
        <f>AA1060*P1060</f>
        <v/>
      </c>
      <c r="AK1060" s="34">
        <f>I1060*AA1060*P1060</f>
        <v/>
      </c>
      <c r="AL1060" s="34">
        <f>AJ1060-AK1060</f>
        <v/>
      </c>
      <c r="AM1060" s="34">
        <f>Q1060*K1060</f>
        <v/>
      </c>
      <c r="AN1060" s="34">
        <f>AH1060+AL1060+AM1060</f>
        <v/>
      </c>
      <c r="AO1060" s="34">
        <f>(AG1060-AA1060)*O1060</f>
        <v/>
      </c>
      <c r="AP1060" s="34">
        <f>W1060*N1060</f>
        <v/>
      </c>
      <c r="AQ1060" s="34">
        <f>T1060*N1060</f>
        <v/>
      </c>
      <c r="AR1060" s="34">
        <f>Z1060*J1061+0.5*Z1060*(O1060+P1060)</f>
        <v/>
      </c>
      <c r="AS1060" s="30">
        <f>(1+InflationRate)^(A1060/12)</f>
        <v/>
      </c>
      <c r="AT1060" s="29">
        <f>ExpenseAcq*M1060+N1060*ExpenseMaint/12*AS1060</f>
        <v/>
      </c>
      <c r="AU1060" s="29">
        <f>CommissionRate*AE1060</f>
        <v/>
      </c>
      <c r="AV1060" s="34">
        <f>AB1061-AB1060</f>
        <v/>
      </c>
      <c r="AW1060" s="34">
        <f>AE1060+AR1060-AN1060-AT1060-AU1060-AV1060</f>
        <v/>
      </c>
      <c r="AX1060" s="29">
        <f>LoadPremRate*E1060*N1060+AK1060+AQ1060-AU1060-AT1060</f>
        <v/>
      </c>
      <c r="AY1060" s="34">
        <f>AP1060-AO1060</f>
        <v/>
      </c>
      <c r="AZ1060" s="37">
        <f>(AW1060-AX1060-AY1060)/MAX(1,ABS(AW1060),ABS(AX1060),ABS(AY1060))</f>
        <v/>
      </c>
      <c r="BA1060" s="37">
        <f>IF(OR(K1060&gt;0,K1061&gt;0),0,(AC1061-(AC1060+AF1060-AQ1060-AP1060+AR1060-AI1060-AJ1060-AM1060))/MAX(1,ABS(AC1060),ABS(AC1061)))</f>
        <v/>
      </c>
      <c r="BB1060" s="35">
        <f>(1+INDEX(DiscRateAnn,INT(A1060/12)+1))^(1/12)-1</f>
        <v/>
      </c>
      <c r="BC1060" s="31">
        <f>(1+BB1060)^-A1060</f>
        <v/>
      </c>
      <c r="BD1060" s="34">
        <f>AW1060*BC1060</f>
        <v/>
      </c>
    </row>
    <row r="1061">
      <c r="A1061" s="27">
        <f>A1060+1</f>
        <v/>
      </c>
      <c r="B1061" s="28">
        <f>Duration0+A1061</f>
        <v/>
      </c>
      <c r="C1061" s="27">
        <f>INT(B1061/12)</f>
        <v/>
      </c>
      <c r="D1061" s="28">
        <f>AgeAtEntry+C1061</f>
        <v/>
      </c>
      <c r="E1061" s="29">
        <f>IF(PremiumType="SINGLE",IF(B1061=0,PremiumPPInput,0),IF(B1061&lt;12*PolicyTerm,PremiumPPInput,0))</f>
        <v/>
      </c>
      <c r="F1061" s="30">
        <f>INDEX(MortRates,MATCH(MIN(D1061,120),MortAges,0),MAX(MIN(C1061,5),0)+1)</f>
        <v/>
      </c>
      <c r="G1061" s="31">
        <f>1-(1-F1061)^(1/12)</f>
        <v/>
      </c>
      <c r="H1061" s="32">
        <f>MAX(LapseBase-LapseStep*C1061,LapseFloor)</f>
        <v/>
      </c>
      <c r="I1061" s="32">
        <f>IF(HasSurrCharge,INDEX(SurrRates,MIN(C1061,SurrDurMax)+1,MATCH(SurrChargeID,SurrTypes,0)),0)</f>
        <v/>
      </c>
      <c r="J1061" s="33">
        <f>N1060-P1060-O1060</f>
        <v/>
      </c>
      <c r="K1061" s="30">
        <f>IF(B1061=12*PolicyTerm,J1061,0)</f>
        <v/>
      </c>
      <c r="L1061" s="33">
        <f>J1061-K1061</f>
        <v/>
      </c>
      <c r="M1061" s="30">
        <f>IF(B1061=0,PolicyCount,0)</f>
        <v/>
      </c>
      <c r="N1061" s="33">
        <f>L1061+M1061</f>
        <v/>
      </c>
      <c r="O1061" s="31">
        <f>N1061*G1061</f>
        <v/>
      </c>
      <c r="P1061" s="33">
        <f>(N1061-O1061)*(1-(1-H1061)^(1/12))</f>
        <v/>
      </c>
      <c r="Q1061" s="34">
        <f>X1060+Z1060</f>
        <v/>
      </c>
      <c r="R1061" s="29">
        <f>(1-LoadPremRate)*E1061</f>
        <v/>
      </c>
      <c r="S1061" s="34">
        <f>Q1061+R1061</f>
        <v/>
      </c>
      <c r="T1061" s="29">
        <f>MaintFeeRateAnn/12*S1061</f>
        <v/>
      </c>
      <c r="U1061" s="29">
        <f>MAX(SumAssured-S1061,0)</f>
        <v/>
      </c>
      <c r="V1061" s="35">
        <f>CoiMultiple*G1061</f>
        <v/>
      </c>
      <c r="W1061" s="34">
        <f>V1061*U1061</f>
        <v/>
      </c>
      <c r="X1061" s="34">
        <f>S1061-T1061-W1061</f>
        <v/>
      </c>
      <c r="Y1061" s="36">
        <f>EXP((Mu-0.5*Sigma^2)/12+Sigma*SQRT(1/12)*INDEX(NormRand,ScenID,A1061+1))-1</f>
        <v/>
      </c>
      <c r="Z1061" s="34">
        <f>Y1061*X1061</f>
        <v/>
      </c>
      <c r="AA1061" s="34">
        <f>X1061+0.5*Z1061</f>
        <v/>
      </c>
      <c r="AB1061" s="34">
        <f>Q1061*J1061</f>
        <v/>
      </c>
      <c r="AC1061" s="34">
        <f>Q1061*L1061</f>
        <v/>
      </c>
      <c r="AD1061" s="34">
        <f>S1061*N1061</f>
        <v/>
      </c>
      <c r="AE1061" s="34">
        <f>E1061*N1061</f>
        <v/>
      </c>
      <c r="AF1061" s="34">
        <f>R1061*N1061</f>
        <v/>
      </c>
      <c r="AG1061" s="29">
        <f>MAX(SumAssured,AA1061)</f>
        <v/>
      </c>
      <c r="AH1061" s="34">
        <f>AG1061*O1061</f>
        <v/>
      </c>
      <c r="AI1061" s="34">
        <f>AA1061*O1061</f>
        <v/>
      </c>
      <c r="AJ1061" s="34">
        <f>AA1061*P1061</f>
        <v/>
      </c>
      <c r="AK1061" s="34">
        <f>I1061*AA1061*P1061</f>
        <v/>
      </c>
      <c r="AL1061" s="34">
        <f>AJ1061-AK1061</f>
        <v/>
      </c>
      <c r="AM1061" s="34">
        <f>Q1061*K1061</f>
        <v/>
      </c>
      <c r="AN1061" s="34">
        <f>AH1061+AL1061+AM1061</f>
        <v/>
      </c>
      <c r="AO1061" s="34">
        <f>(AG1061-AA1061)*O1061</f>
        <v/>
      </c>
      <c r="AP1061" s="34">
        <f>W1061*N1061</f>
        <v/>
      </c>
      <c r="AQ1061" s="34">
        <f>T1061*N1061</f>
        <v/>
      </c>
      <c r="AR1061" s="34">
        <f>Z1061*J1062+0.5*Z1061*(O1061+P1061)</f>
        <v/>
      </c>
      <c r="AS1061" s="30">
        <f>(1+InflationRate)^(A1061/12)</f>
        <v/>
      </c>
      <c r="AT1061" s="29">
        <f>ExpenseAcq*M1061+N1061*ExpenseMaint/12*AS1061</f>
        <v/>
      </c>
      <c r="AU1061" s="29">
        <f>CommissionRate*AE1061</f>
        <v/>
      </c>
      <c r="AV1061" s="34">
        <f>AB1062-AB1061</f>
        <v/>
      </c>
      <c r="AW1061" s="34">
        <f>AE1061+AR1061-AN1061-AT1061-AU1061-AV1061</f>
        <v/>
      </c>
      <c r="AX1061" s="29">
        <f>LoadPremRate*E1061*N1061+AK1061+AQ1061-AU1061-AT1061</f>
        <v/>
      </c>
      <c r="AY1061" s="34">
        <f>AP1061-AO1061</f>
        <v/>
      </c>
      <c r="AZ1061" s="37">
        <f>(AW1061-AX1061-AY1061)/MAX(1,ABS(AW1061),ABS(AX1061),ABS(AY1061))</f>
        <v/>
      </c>
      <c r="BA1061" s="37">
        <f>IF(OR(K1061&gt;0,K1062&gt;0),0,(AC1062-(AC1061+AF1061-AQ1061-AP1061+AR1061-AI1061-AJ1061-AM1061))/MAX(1,ABS(AC1061),ABS(AC1062)))</f>
        <v/>
      </c>
      <c r="BB1061" s="35">
        <f>(1+INDEX(DiscRateAnn,INT(A1061/12)+1))^(1/12)-1</f>
        <v/>
      </c>
      <c r="BC1061" s="31">
        <f>(1+BB1061)^-A1061</f>
        <v/>
      </c>
      <c r="BD1061" s="34">
        <f>AW1061*BC1061</f>
        <v/>
      </c>
    </row>
    <row r="1062">
      <c r="A1062" s="27">
        <f>A1061+1</f>
        <v/>
      </c>
      <c r="B1062" s="28">
        <f>Duration0+A1062</f>
        <v/>
      </c>
      <c r="C1062" s="27">
        <f>INT(B1062/12)</f>
        <v/>
      </c>
      <c r="D1062" s="28">
        <f>AgeAtEntry+C1062</f>
        <v/>
      </c>
      <c r="E1062" s="29">
        <f>IF(PremiumType="SINGLE",IF(B1062=0,PremiumPPInput,0),IF(B1062&lt;12*PolicyTerm,PremiumPPInput,0))</f>
        <v/>
      </c>
      <c r="F1062" s="30">
        <f>INDEX(MortRates,MATCH(MIN(D1062,120),MortAges,0),MAX(MIN(C1062,5),0)+1)</f>
        <v/>
      </c>
      <c r="G1062" s="31">
        <f>1-(1-F1062)^(1/12)</f>
        <v/>
      </c>
      <c r="H1062" s="32">
        <f>MAX(LapseBase-LapseStep*C1062,LapseFloor)</f>
        <v/>
      </c>
      <c r="I1062" s="32">
        <f>IF(HasSurrCharge,INDEX(SurrRates,MIN(C1062,SurrDurMax)+1,MATCH(SurrChargeID,SurrTypes,0)),0)</f>
        <v/>
      </c>
      <c r="J1062" s="33">
        <f>N1061-P1061-O1061</f>
        <v/>
      </c>
      <c r="K1062" s="30">
        <f>IF(B1062=12*PolicyTerm,J1062,0)</f>
        <v/>
      </c>
      <c r="L1062" s="33">
        <f>J1062-K1062</f>
        <v/>
      </c>
      <c r="M1062" s="30">
        <f>IF(B1062=0,PolicyCount,0)</f>
        <v/>
      </c>
      <c r="N1062" s="33">
        <f>L1062+M1062</f>
        <v/>
      </c>
      <c r="O1062" s="31">
        <f>N1062*G1062</f>
        <v/>
      </c>
      <c r="P1062" s="33">
        <f>(N1062-O1062)*(1-(1-H1062)^(1/12))</f>
        <v/>
      </c>
      <c r="Q1062" s="34">
        <f>X1061+Z1061</f>
        <v/>
      </c>
      <c r="R1062" s="29">
        <f>(1-LoadPremRate)*E1062</f>
        <v/>
      </c>
      <c r="S1062" s="34">
        <f>Q1062+R1062</f>
        <v/>
      </c>
      <c r="T1062" s="29">
        <f>MaintFeeRateAnn/12*S1062</f>
        <v/>
      </c>
      <c r="U1062" s="29">
        <f>MAX(SumAssured-S1062,0)</f>
        <v/>
      </c>
      <c r="V1062" s="35">
        <f>CoiMultiple*G1062</f>
        <v/>
      </c>
      <c r="W1062" s="34">
        <f>V1062*U1062</f>
        <v/>
      </c>
      <c r="X1062" s="34">
        <f>S1062-T1062-W1062</f>
        <v/>
      </c>
      <c r="Y1062" s="36">
        <f>EXP((Mu-0.5*Sigma^2)/12+Sigma*SQRT(1/12)*INDEX(NormRand,ScenID,A1062+1))-1</f>
        <v/>
      </c>
      <c r="Z1062" s="34">
        <f>Y1062*X1062</f>
        <v/>
      </c>
      <c r="AA1062" s="34">
        <f>X1062+0.5*Z1062</f>
        <v/>
      </c>
      <c r="AB1062" s="34">
        <f>Q1062*J1062</f>
        <v/>
      </c>
      <c r="AC1062" s="34">
        <f>Q1062*L1062</f>
        <v/>
      </c>
      <c r="AD1062" s="34">
        <f>S1062*N1062</f>
        <v/>
      </c>
      <c r="AE1062" s="34">
        <f>E1062*N1062</f>
        <v/>
      </c>
      <c r="AF1062" s="34">
        <f>R1062*N1062</f>
        <v/>
      </c>
      <c r="AG1062" s="29">
        <f>MAX(SumAssured,AA1062)</f>
        <v/>
      </c>
      <c r="AH1062" s="34">
        <f>AG1062*O1062</f>
        <v/>
      </c>
      <c r="AI1062" s="34">
        <f>AA1062*O1062</f>
        <v/>
      </c>
      <c r="AJ1062" s="34">
        <f>AA1062*P1062</f>
        <v/>
      </c>
      <c r="AK1062" s="34">
        <f>I1062*AA1062*P1062</f>
        <v/>
      </c>
      <c r="AL1062" s="34">
        <f>AJ1062-AK1062</f>
        <v/>
      </c>
      <c r="AM1062" s="34">
        <f>Q1062*K1062</f>
        <v/>
      </c>
      <c r="AN1062" s="34">
        <f>AH1062+AL1062+AM1062</f>
        <v/>
      </c>
      <c r="AO1062" s="34">
        <f>(AG1062-AA1062)*O1062</f>
        <v/>
      </c>
      <c r="AP1062" s="34">
        <f>W1062*N1062</f>
        <v/>
      </c>
      <c r="AQ1062" s="34">
        <f>T1062*N1062</f>
        <v/>
      </c>
      <c r="AR1062" s="34">
        <f>Z1062*J1063+0.5*Z1062*(O1062+P1062)</f>
        <v/>
      </c>
      <c r="AS1062" s="30">
        <f>(1+InflationRate)^(A1062/12)</f>
        <v/>
      </c>
      <c r="AT1062" s="29">
        <f>ExpenseAcq*M1062+N1062*ExpenseMaint/12*AS1062</f>
        <v/>
      </c>
      <c r="AU1062" s="29">
        <f>CommissionRate*AE1062</f>
        <v/>
      </c>
      <c r="AV1062" s="34">
        <f>AB1063-AB1062</f>
        <v/>
      </c>
      <c r="AW1062" s="34">
        <f>AE1062+AR1062-AN1062-AT1062-AU1062-AV1062</f>
        <v/>
      </c>
      <c r="AX1062" s="29">
        <f>LoadPremRate*E1062*N1062+AK1062+AQ1062-AU1062-AT1062</f>
        <v/>
      </c>
      <c r="AY1062" s="34">
        <f>AP1062-AO1062</f>
        <v/>
      </c>
      <c r="AZ1062" s="37">
        <f>(AW1062-AX1062-AY1062)/MAX(1,ABS(AW1062),ABS(AX1062),ABS(AY1062))</f>
        <v/>
      </c>
      <c r="BA1062" s="37">
        <f>IF(OR(K1062&gt;0,K1063&gt;0),0,(AC1063-(AC1062+AF1062-AQ1062-AP1062+AR1062-AI1062-AJ1062-AM1062))/MAX(1,ABS(AC1062),ABS(AC1063)))</f>
        <v/>
      </c>
      <c r="BB1062" s="35">
        <f>(1+INDEX(DiscRateAnn,INT(A1062/12)+1))^(1/12)-1</f>
        <v/>
      </c>
      <c r="BC1062" s="31">
        <f>(1+BB1062)^-A1062</f>
        <v/>
      </c>
      <c r="BD1062" s="34">
        <f>AW1062*BC1062</f>
        <v/>
      </c>
    </row>
    <row r="1063">
      <c r="A1063" s="27">
        <f>A1062+1</f>
        <v/>
      </c>
      <c r="B1063" s="28">
        <f>Duration0+A1063</f>
        <v/>
      </c>
      <c r="C1063" s="27">
        <f>INT(B1063/12)</f>
        <v/>
      </c>
      <c r="D1063" s="28">
        <f>AgeAtEntry+C1063</f>
        <v/>
      </c>
      <c r="E1063" s="29">
        <f>IF(PremiumType="SINGLE",IF(B1063=0,PremiumPPInput,0),IF(B1063&lt;12*PolicyTerm,PremiumPPInput,0))</f>
        <v/>
      </c>
      <c r="F1063" s="30">
        <f>INDEX(MortRates,MATCH(MIN(D1063,120),MortAges,0),MAX(MIN(C1063,5),0)+1)</f>
        <v/>
      </c>
      <c r="G1063" s="31">
        <f>1-(1-F1063)^(1/12)</f>
        <v/>
      </c>
      <c r="H1063" s="32">
        <f>MAX(LapseBase-LapseStep*C1063,LapseFloor)</f>
        <v/>
      </c>
      <c r="I1063" s="32">
        <f>IF(HasSurrCharge,INDEX(SurrRates,MIN(C1063,SurrDurMax)+1,MATCH(SurrChargeID,SurrTypes,0)),0)</f>
        <v/>
      </c>
      <c r="J1063" s="33">
        <f>N1062-P1062-O1062</f>
        <v/>
      </c>
      <c r="K1063" s="30">
        <f>IF(B1063=12*PolicyTerm,J1063,0)</f>
        <v/>
      </c>
      <c r="L1063" s="33">
        <f>J1063-K1063</f>
        <v/>
      </c>
      <c r="M1063" s="30">
        <f>IF(B1063=0,PolicyCount,0)</f>
        <v/>
      </c>
      <c r="N1063" s="33">
        <f>L1063+M1063</f>
        <v/>
      </c>
      <c r="O1063" s="31">
        <f>N1063*G1063</f>
        <v/>
      </c>
      <c r="P1063" s="33">
        <f>(N1063-O1063)*(1-(1-H1063)^(1/12))</f>
        <v/>
      </c>
      <c r="Q1063" s="34">
        <f>X1062+Z1062</f>
        <v/>
      </c>
      <c r="R1063" s="29">
        <f>(1-LoadPremRate)*E1063</f>
        <v/>
      </c>
      <c r="S1063" s="34">
        <f>Q1063+R1063</f>
        <v/>
      </c>
      <c r="T1063" s="29">
        <f>MaintFeeRateAnn/12*S1063</f>
        <v/>
      </c>
      <c r="U1063" s="29">
        <f>MAX(SumAssured-S1063,0)</f>
        <v/>
      </c>
      <c r="V1063" s="35">
        <f>CoiMultiple*G1063</f>
        <v/>
      </c>
      <c r="W1063" s="34">
        <f>V1063*U1063</f>
        <v/>
      </c>
      <c r="X1063" s="34">
        <f>S1063-T1063-W1063</f>
        <v/>
      </c>
      <c r="Y1063" s="36">
        <f>EXP((Mu-0.5*Sigma^2)/12+Sigma*SQRT(1/12)*INDEX(NormRand,ScenID,A1063+1))-1</f>
        <v/>
      </c>
      <c r="Z1063" s="34">
        <f>Y1063*X1063</f>
        <v/>
      </c>
      <c r="AA1063" s="34">
        <f>X1063+0.5*Z1063</f>
        <v/>
      </c>
      <c r="AB1063" s="34">
        <f>Q1063*J1063</f>
        <v/>
      </c>
      <c r="AC1063" s="34">
        <f>Q1063*L1063</f>
        <v/>
      </c>
      <c r="AD1063" s="34">
        <f>S1063*N1063</f>
        <v/>
      </c>
      <c r="AE1063" s="34">
        <f>E1063*N1063</f>
        <v/>
      </c>
      <c r="AF1063" s="34">
        <f>R1063*N1063</f>
        <v/>
      </c>
      <c r="AG1063" s="29">
        <f>MAX(SumAssured,AA1063)</f>
        <v/>
      </c>
      <c r="AH1063" s="34">
        <f>AG1063*O1063</f>
        <v/>
      </c>
      <c r="AI1063" s="34">
        <f>AA1063*O1063</f>
        <v/>
      </c>
      <c r="AJ1063" s="34">
        <f>AA1063*P1063</f>
        <v/>
      </c>
      <c r="AK1063" s="34">
        <f>I1063*AA1063*P1063</f>
        <v/>
      </c>
      <c r="AL1063" s="34">
        <f>AJ1063-AK1063</f>
        <v/>
      </c>
      <c r="AM1063" s="34">
        <f>Q1063*K1063</f>
        <v/>
      </c>
      <c r="AN1063" s="34">
        <f>AH1063+AL1063+AM1063</f>
        <v/>
      </c>
      <c r="AO1063" s="34">
        <f>(AG1063-AA1063)*O1063</f>
        <v/>
      </c>
      <c r="AP1063" s="34">
        <f>W1063*N1063</f>
        <v/>
      </c>
      <c r="AQ1063" s="34">
        <f>T1063*N1063</f>
        <v/>
      </c>
      <c r="AR1063" s="34">
        <f>Z1063*J1064+0.5*Z1063*(O1063+P1063)</f>
        <v/>
      </c>
      <c r="AS1063" s="30">
        <f>(1+InflationRate)^(A1063/12)</f>
        <v/>
      </c>
      <c r="AT1063" s="29">
        <f>ExpenseAcq*M1063+N1063*ExpenseMaint/12*AS1063</f>
        <v/>
      </c>
      <c r="AU1063" s="29">
        <f>CommissionRate*AE1063</f>
        <v/>
      </c>
      <c r="AV1063" s="34">
        <f>AB1064-AB1063</f>
        <v/>
      </c>
      <c r="AW1063" s="34">
        <f>AE1063+AR1063-AN1063-AT1063-AU1063-AV1063</f>
        <v/>
      </c>
      <c r="AX1063" s="29">
        <f>LoadPremRate*E1063*N1063+AK1063+AQ1063-AU1063-AT1063</f>
        <v/>
      </c>
      <c r="AY1063" s="34">
        <f>AP1063-AO1063</f>
        <v/>
      </c>
      <c r="AZ1063" s="37">
        <f>(AW1063-AX1063-AY1063)/MAX(1,ABS(AW1063),ABS(AX1063),ABS(AY1063))</f>
        <v/>
      </c>
      <c r="BA1063" s="37">
        <f>IF(OR(K1063&gt;0,K1064&gt;0),0,(AC1064-(AC1063+AF1063-AQ1063-AP1063+AR1063-AI1063-AJ1063-AM1063))/MAX(1,ABS(AC1063),ABS(AC1064)))</f>
        <v/>
      </c>
      <c r="BB1063" s="35">
        <f>(1+INDEX(DiscRateAnn,INT(A1063/12)+1))^(1/12)-1</f>
        <v/>
      </c>
      <c r="BC1063" s="31">
        <f>(1+BB1063)^-A1063</f>
        <v/>
      </c>
      <c r="BD1063" s="34">
        <f>AW1063*BC1063</f>
        <v/>
      </c>
    </row>
    <row r="1064">
      <c r="A1064" s="27">
        <f>A1063+1</f>
        <v/>
      </c>
      <c r="B1064" s="28">
        <f>Duration0+A1064</f>
        <v/>
      </c>
      <c r="C1064" s="27">
        <f>INT(B1064/12)</f>
        <v/>
      </c>
      <c r="D1064" s="28">
        <f>AgeAtEntry+C1064</f>
        <v/>
      </c>
      <c r="E1064" s="29">
        <f>IF(PremiumType="SINGLE",IF(B1064=0,PremiumPPInput,0),IF(B1064&lt;12*PolicyTerm,PremiumPPInput,0))</f>
        <v/>
      </c>
      <c r="F1064" s="30">
        <f>INDEX(MortRates,MATCH(MIN(D1064,120),MortAges,0),MAX(MIN(C1064,5),0)+1)</f>
        <v/>
      </c>
      <c r="G1064" s="31">
        <f>1-(1-F1064)^(1/12)</f>
        <v/>
      </c>
      <c r="H1064" s="32">
        <f>MAX(LapseBase-LapseStep*C1064,LapseFloor)</f>
        <v/>
      </c>
      <c r="I1064" s="32">
        <f>IF(HasSurrCharge,INDEX(SurrRates,MIN(C1064,SurrDurMax)+1,MATCH(SurrChargeID,SurrTypes,0)),0)</f>
        <v/>
      </c>
      <c r="J1064" s="33">
        <f>N1063-P1063-O1063</f>
        <v/>
      </c>
      <c r="K1064" s="30">
        <f>IF(B1064=12*PolicyTerm,J1064,0)</f>
        <v/>
      </c>
      <c r="L1064" s="33">
        <f>J1064-K1064</f>
        <v/>
      </c>
      <c r="M1064" s="30">
        <f>IF(B1064=0,PolicyCount,0)</f>
        <v/>
      </c>
      <c r="N1064" s="33">
        <f>L1064+M1064</f>
        <v/>
      </c>
      <c r="O1064" s="31">
        <f>N1064*G1064</f>
        <v/>
      </c>
      <c r="P1064" s="33">
        <f>(N1064-O1064)*(1-(1-H1064)^(1/12))</f>
        <v/>
      </c>
      <c r="Q1064" s="34">
        <f>X1063+Z1063</f>
        <v/>
      </c>
      <c r="R1064" s="29">
        <f>(1-LoadPremRate)*E1064</f>
        <v/>
      </c>
      <c r="S1064" s="34">
        <f>Q1064+R1064</f>
        <v/>
      </c>
      <c r="T1064" s="29">
        <f>MaintFeeRateAnn/12*S1064</f>
        <v/>
      </c>
      <c r="U1064" s="29">
        <f>MAX(SumAssured-S1064,0)</f>
        <v/>
      </c>
      <c r="V1064" s="35">
        <f>CoiMultiple*G1064</f>
        <v/>
      </c>
      <c r="W1064" s="34">
        <f>V1064*U1064</f>
        <v/>
      </c>
      <c r="X1064" s="34">
        <f>S1064-T1064-W1064</f>
        <v/>
      </c>
      <c r="Y1064" s="36">
        <f>EXP((Mu-0.5*Sigma^2)/12+Sigma*SQRT(1/12)*INDEX(NormRand,ScenID,A1064+1))-1</f>
        <v/>
      </c>
      <c r="Z1064" s="34">
        <f>Y1064*X1064</f>
        <v/>
      </c>
      <c r="AA1064" s="34">
        <f>X1064+0.5*Z1064</f>
        <v/>
      </c>
      <c r="AB1064" s="34">
        <f>Q1064*J1064</f>
        <v/>
      </c>
      <c r="AC1064" s="34">
        <f>Q1064*L1064</f>
        <v/>
      </c>
      <c r="AD1064" s="34">
        <f>S1064*N1064</f>
        <v/>
      </c>
      <c r="AE1064" s="34">
        <f>E1064*N1064</f>
        <v/>
      </c>
      <c r="AF1064" s="34">
        <f>R1064*N1064</f>
        <v/>
      </c>
      <c r="AG1064" s="29">
        <f>MAX(SumAssured,AA1064)</f>
        <v/>
      </c>
      <c r="AH1064" s="34">
        <f>AG1064*O1064</f>
        <v/>
      </c>
      <c r="AI1064" s="34">
        <f>AA1064*O1064</f>
        <v/>
      </c>
      <c r="AJ1064" s="34">
        <f>AA1064*P1064</f>
        <v/>
      </c>
      <c r="AK1064" s="34">
        <f>I1064*AA1064*P1064</f>
        <v/>
      </c>
      <c r="AL1064" s="34">
        <f>AJ1064-AK1064</f>
        <v/>
      </c>
      <c r="AM1064" s="34">
        <f>Q1064*K1064</f>
        <v/>
      </c>
      <c r="AN1064" s="34">
        <f>AH1064+AL1064+AM1064</f>
        <v/>
      </c>
      <c r="AO1064" s="34">
        <f>(AG1064-AA1064)*O1064</f>
        <v/>
      </c>
      <c r="AP1064" s="34">
        <f>W1064*N1064</f>
        <v/>
      </c>
      <c r="AQ1064" s="34">
        <f>T1064*N1064</f>
        <v/>
      </c>
      <c r="AR1064" s="34">
        <f>Z1064*J1065+0.5*Z1064*(O1064+P1064)</f>
        <v/>
      </c>
      <c r="AS1064" s="30">
        <f>(1+InflationRate)^(A1064/12)</f>
        <v/>
      </c>
      <c r="AT1064" s="29">
        <f>ExpenseAcq*M1064+N1064*ExpenseMaint/12*AS1064</f>
        <v/>
      </c>
      <c r="AU1064" s="29">
        <f>CommissionRate*AE1064</f>
        <v/>
      </c>
      <c r="AV1064" s="34">
        <f>AB1065-AB1064</f>
        <v/>
      </c>
      <c r="AW1064" s="34">
        <f>AE1064+AR1064-AN1064-AT1064-AU1064-AV1064</f>
        <v/>
      </c>
      <c r="AX1064" s="29">
        <f>LoadPremRate*E1064*N1064+AK1064+AQ1064-AU1064-AT1064</f>
        <v/>
      </c>
      <c r="AY1064" s="34">
        <f>AP1064-AO1064</f>
        <v/>
      </c>
      <c r="AZ1064" s="37">
        <f>(AW1064-AX1064-AY1064)/MAX(1,ABS(AW1064),ABS(AX1064),ABS(AY1064))</f>
        <v/>
      </c>
      <c r="BA1064" s="37">
        <f>IF(OR(K1064&gt;0,K1065&gt;0),0,(AC1065-(AC1064+AF1064-AQ1064-AP1064+AR1064-AI1064-AJ1064-AM1064))/MAX(1,ABS(AC1064),ABS(AC1065)))</f>
        <v/>
      </c>
      <c r="BB1064" s="35">
        <f>(1+INDEX(DiscRateAnn,INT(A1064/12)+1))^(1/12)-1</f>
        <v/>
      </c>
      <c r="BC1064" s="31">
        <f>(1+BB1064)^-A1064</f>
        <v/>
      </c>
      <c r="BD1064" s="34">
        <f>AW1064*BC1064</f>
        <v/>
      </c>
    </row>
    <row r="1065">
      <c r="A1065" s="27">
        <f>A1064+1</f>
        <v/>
      </c>
      <c r="B1065" s="28">
        <f>Duration0+A1065</f>
        <v/>
      </c>
      <c r="C1065" s="27">
        <f>INT(B1065/12)</f>
        <v/>
      </c>
      <c r="D1065" s="28">
        <f>AgeAtEntry+C1065</f>
        <v/>
      </c>
      <c r="E1065" s="29">
        <f>IF(PremiumType="SINGLE",IF(B1065=0,PremiumPPInput,0),IF(B1065&lt;12*PolicyTerm,PremiumPPInput,0))</f>
        <v/>
      </c>
      <c r="F1065" s="30">
        <f>INDEX(MortRates,MATCH(MIN(D1065,120),MortAges,0),MAX(MIN(C1065,5),0)+1)</f>
        <v/>
      </c>
      <c r="G1065" s="31">
        <f>1-(1-F1065)^(1/12)</f>
        <v/>
      </c>
      <c r="H1065" s="32">
        <f>MAX(LapseBase-LapseStep*C1065,LapseFloor)</f>
        <v/>
      </c>
      <c r="I1065" s="32">
        <f>IF(HasSurrCharge,INDEX(SurrRates,MIN(C1065,SurrDurMax)+1,MATCH(SurrChargeID,SurrTypes,0)),0)</f>
        <v/>
      </c>
      <c r="J1065" s="33">
        <f>N1064-P1064-O1064</f>
        <v/>
      </c>
      <c r="K1065" s="30">
        <f>IF(B1065=12*PolicyTerm,J1065,0)</f>
        <v/>
      </c>
      <c r="L1065" s="33">
        <f>J1065-K1065</f>
        <v/>
      </c>
      <c r="M1065" s="30">
        <f>IF(B1065=0,PolicyCount,0)</f>
        <v/>
      </c>
      <c r="N1065" s="33">
        <f>L1065+M1065</f>
        <v/>
      </c>
      <c r="O1065" s="31">
        <f>N1065*G1065</f>
        <v/>
      </c>
      <c r="P1065" s="33">
        <f>(N1065-O1065)*(1-(1-H1065)^(1/12))</f>
        <v/>
      </c>
      <c r="Q1065" s="34">
        <f>X1064+Z1064</f>
        <v/>
      </c>
      <c r="R1065" s="29">
        <f>(1-LoadPremRate)*E1065</f>
        <v/>
      </c>
      <c r="S1065" s="34">
        <f>Q1065+R1065</f>
        <v/>
      </c>
      <c r="T1065" s="29">
        <f>MaintFeeRateAnn/12*S1065</f>
        <v/>
      </c>
      <c r="U1065" s="29">
        <f>MAX(SumAssured-S1065,0)</f>
        <v/>
      </c>
      <c r="V1065" s="35">
        <f>CoiMultiple*G1065</f>
        <v/>
      </c>
      <c r="W1065" s="34">
        <f>V1065*U1065</f>
        <v/>
      </c>
      <c r="X1065" s="34">
        <f>S1065-T1065-W1065</f>
        <v/>
      </c>
      <c r="Y1065" s="36">
        <f>EXP((Mu-0.5*Sigma^2)/12+Sigma*SQRT(1/12)*INDEX(NormRand,ScenID,A1065+1))-1</f>
        <v/>
      </c>
      <c r="Z1065" s="34">
        <f>Y1065*X1065</f>
        <v/>
      </c>
      <c r="AA1065" s="34">
        <f>X1065+0.5*Z1065</f>
        <v/>
      </c>
      <c r="AB1065" s="34">
        <f>Q1065*J1065</f>
        <v/>
      </c>
      <c r="AC1065" s="34">
        <f>Q1065*L1065</f>
        <v/>
      </c>
      <c r="AD1065" s="34">
        <f>S1065*N1065</f>
        <v/>
      </c>
      <c r="AE1065" s="34">
        <f>E1065*N1065</f>
        <v/>
      </c>
      <c r="AF1065" s="34">
        <f>R1065*N1065</f>
        <v/>
      </c>
      <c r="AG1065" s="29">
        <f>MAX(SumAssured,AA1065)</f>
        <v/>
      </c>
      <c r="AH1065" s="34">
        <f>AG1065*O1065</f>
        <v/>
      </c>
      <c r="AI1065" s="34">
        <f>AA1065*O1065</f>
        <v/>
      </c>
      <c r="AJ1065" s="34">
        <f>AA1065*P1065</f>
        <v/>
      </c>
      <c r="AK1065" s="34">
        <f>I1065*AA1065*P1065</f>
        <v/>
      </c>
      <c r="AL1065" s="34">
        <f>AJ1065-AK1065</f>
        <v/>
      </c>
      <c r="AM1065" s="34">
        <f>Q1065*K1065</f>
        <v/>
      </c>
      <c r="AN1065" s="34">
        <f>AH1065+AL1065+AM1065</f>
        <v/>
      </c>
      <c r="AO1065" s="34">
        <f>(AG1065-AA1065)*O1065</f>
        <v/>
      </c>
      <c r="AP1065" s="34">
        <f>W1065*N1065</f>
        <v/>
      </c>
      <c r="AQ1065" s="34">
        <f>T1065*N1065</f>
        <v/>
      </c>
      <c r="AR1065" s="34">
        <f>Z1065*J1066+0.5*Z1065*(O1065+P1065)</f>
        <v/>
      </c>
      <c r="AS1065" s="30">
        <f>(1+InflationRate)^(A1065/12)</f>
        <v/>
      </c>
      <c r="AT1065" s="29">
        <f>ExpenseAcq*M1065+N1065*ExpenseMaint/12*AS1065</f>
        <v/>
      </c>
      <c r="AU1065" s="29">
        <f>CommissionRate*AE1065</f>
        <v/>
      </c>
      <c r="AV1065" s="34">
        <f>AB1066-AB1065</f>
        <v/>
      </c>
      <c r="AW1065" s="34">
        <f>AE1065+AR1065-AN1065-AT1065-AU1065-AV1065</f>
        <v/>
      </c>
      <c r="AX1065" s="29">
        <f>LoadPremRate*E1065*N1065+AK1065+AQ1065-AU1065-AT1065</f>
        <v/>
      </c>
      <c r="AY1065" s="34">
        <f>AP1065-AO1065</f>
        <v/>
      </c>
      <c r="AZ1065" s="37">
        <f>(AW1065-AX1065-AY1065)/MAX(1,ABS(AW1065),ABS(AX1065),ABS(AY1065))</f>
        <v/>
      </c>
      <c r="BA1065" s="37">
        <f>IF(OR(K1065&gt;0,K1066&gt;0),0,(AC1066-(AC1065+AF1065-AQ1065-AP1065+AR1065-AI1065-AJ1065-AM1065))/MAX(1,ABS(AC1065),ABS(AC1066)))</f>
        <v/>
      </c>
      <c r="BB1065" s="35">
        <f>(1+INDEX(DiscRateAnn,INT(A1065/12)+1))^(1/12)-1</f>
        <v/>
      </c>
      <c r="BC1065" s="31">
        <f>(1+BB1065)^-A1065</f>
        <v/>
      </c>
      <c r="BD1065" s="34">
        <f>AW1065*BC1065</f>
        <v/>
      </c>
    </row>
    <row r="1066">
      <c r="A1066" s="27">
        <f>A1065+1</f>
        <v/>
      </c>
      <c r="B1066" s="28">
        <f>Duration0+A1066</f>
        <v/>
      </c>
      <c r="C1066" s="27">
        <f>INT(B1066/12)</f>
        <v/>
      </c>
      <c r="D1066" s="28">
        <f>AgeAtEntry+C1066</f>
        <v/>
      </c>
      <c r="E1066" s="29">
        <f>IF(PremiumType="SINGLE",IF(B1066=0,PremiumPPInput,0),IF(B1066&lt;12*PolicyTerm,PremiumPPInput,0))</f>
        <v/>
      </c>
      <c r="F1066" s="30">
        <f>INDEX(MortRates,MATCH(MIN(D1066,120),MortAges,0),MAX(MIN(C1066,5),0)+1)</f>
        <v/>
      </c>
      <c r="G1066" s="31">
        <f>1-(1-F1066)^(1/12)</f>
        <v/>
      </c>
      <c r="H1066" s="32">
        <f>MAX(LapseBase-LapseStep*C1066,LapseFloor)</f>
        <v/>
      </c>
      <c r="I1066" s="32">
        <f>IF(HasSurrCharge,INDEX(SurrRates,MIN(C1066,SurrDurMax)+1,MATCH(SurrChargeID,SurrTypes,0)),0)</f>
        <v/>
      </c>
      <c r="J1066" s="33">
        <f>N1065-P1065-O1065</f>
        <v/>
      </c>
      <c r="K1066" s="30">
        <f>IF(B1066=12*PolicyTerm,J1066,0)</f>
        <v/>
      </c>
      <c r="L1066" s="33">
        <f>J1066-K1066</f>
        <v/>
      </c>
      <c r="M1066" s="30">
        <f>IF(B1066=0,PolicyCount,0)</f>
        <v/>
      </c>
      <c r="N1066" s="33">
        <f>L1066+M1066</f>
        <v/>
      </c>
      <c r="O1066" s="31">
        <f>N1066*G1066</f>
        <v/>
      </c>
      <c r="P1066" s="33">
        <f>(N1066-O1066)*(1-(1-H1066)^(1/12))</f>
        <v/>
      </c>
      <c r="Q1066" s="34">
        <f>X1065+Z1065</f>
        <v/>
      </c>
      <c r="R1066" s="29">
        <f>(1-LoadPremRate)*E1066</f>
        <v/>
      </c>
      <c r="S1066" s="34">
        <f>Q1066+R1066</f>
        <v/>
      </c>
      <c r="T1066" s="29">
        <f>MaintFeeRateAnn/12*S1066</f>
        <v/>
      </c>
      <c r="U1066" s="29">
        <f>MAX(SumAssured-S1066,0)</f>
        <v/>
      </c>
      <c r="V1066" s="35">
        <f>CoiMultiple*G1066</f>
        <v/>
      </c>
      <c r="W1066" s="34">
        <f>V1066*U1066</f>
        <v/>
      </c>
      <c r="X1066" s="34">
        <f>S1066-T1066-W1066</f>
        <v/>
      </c>
      <c r="Y1066" s="36">
        <f>EXP((Mu-0.5*Sigma^2)/12+Sigma*SQRT(1/12)*INDEX(NormRand,ScenID,A1066+1))-1</f>
        <v/>
      </c>
      <c r="Z1066" s="34">
        <f>Y1066*X1066</f>
        <v/>
      </c>
      <c r="AA1066" s="34">
        <f>X1066+0.5*Z1066</f>
        <v/>
      </c>
      <c r="AB1066" s="34">
        <f>Q1066*J1066</f>
        <v/>
      </c>
      <c r="AC1066" s="34">
        <f>Q1066*L1066</f>
        <v/>
      </c>
      <c r="AD1066" s="34">
        <f>S1066*N1066</f>
        <v/>
      </c>
      <c r="AE1066" s="34">
        <f>E1066*N1066</f>
        <v/>
      </c>
      <c r="AF1066" s="34">
        <f>R1066*N1066</f>
        <v/>
      </c>
      <c r="AG1066" s="29">
        <f>MAX(SumAssured,AA1066)</f>
        <v/>
      </c>
      <c r="AH1066" s="34">
        <f>AG1066*O1066</f>
        <v/>
      </c>
      <c r="AI1066" s="34">
        <f>AA1066*O1066</f>
        <v/>
      </c>
      <c r="AJ1066" s="34">
        <f>AA1066*P1066</f>
        <v/>
      </c>
      <c r="AK1066" s="34">
        <f>I1066*AA1066*P1066</f>
        <v/>
      </c>
      <c r="AL1066" s="34">
        <f>AJ1066-AK1066</f>
        <v/>
      </c>
      <c r="AM1066" s="34">
        <f>Q1066*K1066</f>
        <v/>
      </c>
      <c r="AN1066" s="34">
        <f>AH1066+AL1066+AM1066</f>
        <v/>
      </c>
      <c r="AO1066" s="34">
        <f>(AG1066-AA1066)*O1066</f>
        <v/>
      </c>
      <c r="AP1066" s="34">
        <f>W1066*N1066</f>
        <v/>
      </c>
      <c r="AQ1066" s="34">
        <f>T1066*N1066</f>
        <v/>
      </c>
      <c r="AR1066" s="34">
        <f>Z1066*J1067+0.5*Z1066*(O1066+P1066)</f>
        <v/>
      </c>
      <c r="AS1066" s="30">
        <f>(1+InflationRate)^(A1066/12)</f>
        <v/>
      </c>
      <c r="AT1066" s="29">
        <f>ExpenseAcq*M1066+N1066*ExpenseMaint/12*AS1066</f>
        <v/>
      </c>
      <c r="AU1066" s="29">
        <f>CommissionRate*AE1066</f>
        <v/>
      </c>
      <c r="AV1066" s="34">
        <f>AB1067-AB1066</f>
        <v/>
      </c>
      <c r="AW1066" s="34">
        <f>AE1066+AR1066-AN1066-AT1066-AU1066-AV1066</f>
        <v/>
      </c>
      <c r="AX1066" s="29">
        <f>LoadPremRate*E1066*N1066+AK1066+AQ1066-AU1066-AT1066</f>
        <v/>
      </c>
      <c r="AY1066" s="34">
        <f>AP1066-AO1066</f>
        <v/>
      </c>
      <c r="AZ1066" s="37">
        <f>(AW1066-AX1066-AY1066)/MAX(1,ABS(AW1066),ABS(AX1066),ABS(AY1066))</f>
        <v/>
      </c>
      <c r="BA1066" s="37">
        <f>IF(OR(K1066&gt;0,K1067&gt;0),0,(AC1067-(AC1066+AF1066-AQ1066-AP1066+AR1066-AI1066-AJ1066-AM1066))/MAX(1,ABS(AC1066),ABS(AC1067)))</f>
        <v/>
      </c>
      <c r="BB1066" s="35">
        <f>(1+INDEX(DiscRateAnn,INT(A1066/12)+1))^(1/12)-1</f>
        <v/>
      </c>
      <c r="BC1066" s="31">
        <f>(1+BB1066)^-A1066</f>
        <v/>
      </c>
      <c r="BD1066" s="34">
        <f>AW1066*BC1066</f>
        <v/>
      </c>
    </row>
    <row r="1067">
      <c r="A1067" s="27">
        <f>A1066+1</f>
        <v/>
      </c>
      <c r="B1067" s="28">
        <f>Duration0+A1067</f>
        <v/>
      </c>
      <c r="C1067" s="27">
        <f>INT(B1067/12)</f>
        <v/>
      </c>
      <c r="D1067" s="28">
        <f>AgeAtEntry+C1067</f>
        <v/>
      </c>
      <c r="E1067" s="29">
        <f>IF(PremiumType="SINGLE",IF(B1067=0,PremiumPPInput,0),IF(B1067&lt;12*PolicyTerm,PremiumPPInput,0))</f>
        <v/>
      </c>
      <c r="F1067" s="30">
        <f>INDEX(MortRates,MATCH(MIN(D1067,120),MortAges,0),MAX(MIN(C1067,5),0)+1)</f>
        <v/>
      </c>
      <c r="G1067" s="31">
        <f>1-(1-F1067)^(1/12)</f>
        <v/>
      </c>
      <c r="H1067" s="32">
        <f>MAX(LapseBase-LapseStep*C1067,LapseFloor)</f>
        <v/>
      </c>
      <c r="I1067" s="32">
        <f>IF(HasSurrCharge,INDEX(SurrRates,MIN(C1067,SurrDurMax)+1,MATCH(SurrChargeID,SurrTypes,0)),0)</f>
        <v/>
      </c>
      <c r="J1067" s="33">
        <f>N1066-P1066-O1066</f>
        <v/>
      </c>
      <c r="K1067" s="30">
        <f>IF(B1067=12*PolicyTerm,J1067,0)</f>
        <v/>
      </c>
      <c r="L1067" s="33">
        <f>J1067-K1067</f>
        <v/>
      </c>
      <c r="M1067" s="30">
        <f>IF(B1067=0,PolicyCount,0)</f>
        <v/>
      </c>
      <c r="N1067" s="33">
        <f>L1067+M1067</f>
        <v/>
      </c>
      <c r="O1067" s="31">
        <f>N1067*G1067</f>
        <v/>
      </c>
      <c r="P1067" s="33">
        <f>(N1067-O1067)*(1-(1-H1067)^(1/12))</f>
        <v/>
      </c>
      <c r="Q1067" s="34">
        <f>X1066+Z1066</f>
        <v/>
      </c>
      <c r="R1067" s="29">
        <f>(1-LoadPremRate)*E1067</f>
        <v/>
      </c>
      <c r="S1067" s="34">
        <f>Q1067+R1067</f>
        <v/>
      </c>
      <c r="T1067" s="29">
        <f>MaintFeeRateAnn/12*S1067</f>
        <v/>
      </c>
      <c r="U1067" s="29">
        <f>MAX(SumAssured-S1067,0)</f>
        <v/>
      </c>
      <c r="V1067" s="35">
        <f>CoiMultiple*G1067</f>
        <v/>
      </c>
      <c r="W1067" s="34">
        <f>V1067*U1067</f>
        <v/>
      </c>
      <c r="X1067" s="34">
        <f>S1067-T1067-W1067</f>
        <v/>
      </c>
      <c r="Y1067" s="36">
        <f>EXP((Mu-0.5*Sigma^2)/12+Sigma*SQRT(1/12)*INDEX(NormRand,ScenID,A1067+1))-1</f>
        <v/>
      </c>
      <c r="Z1067" s="34">
        <f>Y1067*X1067</f>
        <v/>
      </c>
      <c r="AA1067" s="34">
        <f>X1067+0.5*Z1067</f>
        <v/>
      </c>
      <c r="AB1067" s="34">
        <f>Q1067*J1067</f>
        <v/>
      </c>
      <c r="AC1067" s="34">
        <f>Q1067*L1067</f>
        <v/>
      </c>
      <c r="AD1067" s="34">
        <f>S1067*N1067</f>
        <v/>
      </c>
      <c r="AE1067" s="34">
        <f>E1067*N1067</f>
        <v/>
      </c>
      <c r="AF1067" s="34">
        <f>R1067*N1067</f>
        <v/>
      </c>
      <c r="AG1067" s="29">
        <f>MAX(SumAssured,AA1067)</f>
        <v/>
      </c>
      <c r="AH1067" s="34">
        <f>AG1067*O1067</f>
        <v/>
      </c>
      <c r="AI1067" s="34">
        <f>AA1067*O1067</f>
        <v/>
      </c>
      <c r="AJ1067" s="34">
        <f>AA1067*P1067</f>
        <v/>
      </c>
      <c r="AK1067" s="34">
        <f>I1067*AA1067*P1067</f>
        <v/>
      </c>
      <c r="AL1067" s="34">
        <f>AJ1067-AK1067</f>
        <v/>
      </c>
      <c r="AM1067" s="34">
        <f>Q1067*K1067</f>
        <v/>
      </c>
      <c r="AN1067" s="34">
        <f>AH1067+AL1067+AM1067</f>
        <v/>
      </c>
      <c r="AO1067" s="34">
        <f>(AG1067-AA1067)*O1067</f>
        <v/>
      </c>
      <c r="AP1067" s="34">
        <f>W1067*N1067</f>
        <v/>
      </c>
      <c r="AQ1067" s="34">
        <f>T1067*N1067</f>
        <v/>
      </c>
      <c r="AR1067" s="34">
        <f>Z1067*J1068+0.5*Z1067*(O1067+P1067)</f>
        <v/>
      </c>
      <c r="AS1067" s="30">
        <f>(1+InflationRate)^(A1067/12)</f>
        <v/>
      </c>
      <c r="AT1067" s="29">
        <f>ExpenseAcq*M1067+N1067*ExpenseMaint/12*AS1067</f>
        <v/>
      </c>
      <c r="AU1067" s="29">
        <f>CommissionRate*AE1067</f>
        <v/>
      </c>
      <c r="AV1067" s="34">
        <f>AB1068-AB1067</f>
        <v/>
      </c>
      <c r="AW1067" s="34">
        <f>AE1067+AR1067-AN1067-AT1067-AU1067-AV1067</f>
        <v/>
      </c>
      <c r="AX1067" s="29">
        <f>LoadPremRate*E1067*N1067+AK1067+AQ1067-AU1067-AT1067</f>
        <v/>
      </c>
      <c r="AY1067" s="34">
        <f>AP1067-AO1067</f>
        <v/>
      </c>
      <c r="AZ1067" s="37">
        <f>(AW1067-AX1067-AY1067)/MAX(1,ABS(AW1067),ABS(AX1067),ABS(AY1067))</f>
        <v/>
      </c>
      <c r="BA1067" s="37">
        <f>IF(OR(K1067&gt;0,K1068&gt;0),0,(AC1068-(AC1067+AF1067-AQ1067-AP1067+AR1067-AI1067-AJ1067-AM1067))/MAX(1,ABS(AC1067),ABS(AC1068)))</f>
        <v/>
      </c>
      <c r="BB1067" s="35">
        <f>(1+INDEX(DiscRateAnn,INT(A1067/12)+1))^(1/12)-1</f>
        <v/>
      </c>
      <c r="BC1067" s="31">
        <f>(1+BB1067)^-A1067</f>
        <v/>
      </c>
      <c r="BD1067" s="34">
        <f>AW1067*BC1067</f>
        <v/>
      </c>
    </row>
    <row r="1068">
      <c r="A1068" s="27">
        <f>A1067+1</f>
        <v/>
      </c>
      <c r="B1068" s="28">
        <f>Duration0+A1068</f>
        <v/>
      </c>
      <c r="C1068" s="27">
        <f>INT(B1068/12)</f>
        <v/>
      </c>
      <c r="D1068" s="28">
        <f>AgeAtEntry+C1068</f>
        <v/>
      </c>
      <c r="E1068" s="29">
        <f>IF(PremiumType="SINGLE",IF(B1068=0,PremiumPPInput,0),IF(B1068&lt;12*PolicyTerm,PremiumPPInput,0))</f>
        <v/>
      </c>
      <c r="F1068" s="30">
        <f>INDEX(MortRates,MATCH(MIN(D1068,120),MortAges,0),MAX(MIN(C1068,5),0)+1)</f>
        <v/>
      </c>
      <c r="G1068" s="31">
        <f>1-(1-F1068)^(1/12)</f>
        <v/>
      </c>
      <c r="H1068" s="32">
        <f>MAX(LapseBase-LapseStep*C1068,LapseFloor)</f>
        <v/>
      </c>
      <c r="I1068" s="32">
        <f>IF(HasSurrCharge,INDEX(SurrRates,MIN(C1068,SurrDurMax)+1,MATCH(SurrChargeID,SurrTypes,0)),0)</f>
        <v/>
      </c>
      <c r="J1068" s="33">
        <f>N1067-P1067-O1067</f>
        <v/>
      </c>
      <c r="K1068" s="30">
        <f>IF(B1068=12*PolicyTerm,J1068,0)</f>
        <v/>
      </c>
      <c r="L1068" s="33">
        <f>J1068-K1068</f>
        <v/>
      </c>
      <c r="M1068" s="30">
        <f>IF(B1068=0,PolicyCount,0)</f>
        <v/>
      </c>
      <c r="N1068" s="33">
        <f>L1068+M1068</f>
        <v/>
      </c>
      <c r="O1068" s="31">
        <f>N1068*G1068</f>
        <v/>
      </c>
      <c r="P1068" s="33">
        <f>(N1068-O1068)*(1-(1-H1068)^(1/12))</f>
        <v/>
      </c>
      <c r="Q1068" s="34">
        <f>X1067+Z1067</f>
        <v/>
      </c>
      <c r="R1068" s="29">
        <f>(1-LoadPremRate)*E1068</f>
        <v/>
      </c>
      <c r="S1068" s="34">
        <f>Q1068+R1068</f>
        <v/>
      </c>
      <c r="T1068" s="29">
        <f>MaintFeeRateAnn/12*S1068</f>
        <v/>
      </c>
      <c r="U1068" s="29">
        <f>MAX(SumAssured-S1068,0)</f>
        <v/>
      </c>
      <c r="V1068" s="35">
        <f>CoiMultiple*G1068</f>
        <v/>
      </c>
      <c r="W1068" s="34">
        <f>V1068*U1068</f>
        <v/>
      </c>
      <c r="X1068" s="34">
        <f>S1068-T1068-W1068</f>
        <v/>
      </c>
      <c r="Y1068" s="36">
        <f>EXP((Mu-0.5*Sigma^2)/12+Sigma*SQRT(1/12)*INDEX(NormRand,ScenID,A1068+1))-1</f>
        <v/>
      </c>
      <c r="Z1068" s="34">
        <f>Y1068*X1068</f>
        <v/>
      </c>
      <c r="AA1068" s="34">
        <f>X1068+0.5*Z1068</f>
        <v/>
      </c>
      <c r="AB1068" s="34">
        <f>Q1068*J1068</f>
        <v/>
      </c>
      <c r="AC1068" s="34">
        <f>Q1068*L1068</f>
        <v/>
      </c>
      <c r="AD1068" s="34">
        <f>S1068*N1068</f>
        <v/>
      </c>
      <c r="AE1068" s="34">
        <f>E1068*N1068</f>
        <v/>
      </c>
      <c r="AF1068" s="34">
        <f>R1068*N1068</f>
        <v/>
      </c>
      <c r="AG1068" s="29">
        <f>MAX(SumAssured,AA1068)</f>
        <v/>
      </c>
      <c r="AH1068" s="34">
        <f>AG1068*O1068</f>
        <v/>
      </c>
      <c r="AI1068" s="34">
        <f>AA1068*O1068</f>
        <v/>
      </c>
      <c r="AJ1068" s="34">
        <f>AA1068*P1068</f>
        <v/>
      </c>
      <c r="AK1068" s="34">
        <f>I1068*AA1068*P1068</f>
        <v/>
      </c>
      <c r="AL1068" s="34">
        <f>AJ1068-AK1068</f>
        <v/>
      </c>
      <c r="AM1068" s="34">
        <f>Q1068*K1068</f>
        <v/>
      </c>
      <c r="AN1068" s="34">
        <f>AH1068+AL1068+AM1068</f>
        <v/>
      </c>
      <c r="AO1068" s="34">
        <f>(AG1068-AA1068)*O1068</f>
        <v/>
      </c>
      <c r="AP1068" s="34">
        <f>W1068*N1068</f>
        <v/>
      </c>
      <c r="AQ1068" s="34">
        <f>T1068*N1068</f>
        <v/>
      </c>
      <c r="AR1068" s="34">
        <f>Z1068*J1069+0.5*Z1068*(O1068+P1068)</f>
        <v/>
      </c>
      <c r="AS1068" s="30">
        <f>(1+InflationRate)^(A1068/12)</f>
        <v/>
      </c>
      <c r="AT1068" s="29">
        <f>ExpenseAcq*M1068+N1068*ExpenseMaint/12*AS1068</f>
        <v/>
      </c>
      <c r="AU1068" s="29">
        <f>CommissionRate*AE1068</f>
        <v/>
      </c>
      <c r="AV1068" s="34">
        <f>AB1069-AB1068</f>
        <v/>
      </c>
      <c r="AW1068" s="34">
        <f>AE1068+AR1068-AN1068-AT1068-AU1068-AV1068</f>
        <v/>
      </c>
      <c r="AX1068" s="29">
        <f>LoadPremRate*E1068*N1068+AK1068+AQ1068-AU1068-AT1068</f>
        <v/>
      </c>
      <c r="AY1068" s="34">
        <f>AP1068-AO1068</f>
        <v/>
      </c>
      <c r="AZ1068" s="37">
        <f>(AW1068-AX1068-AY1068)/MAX(1,ABS(AW1068),ABS(AX1068),ABS(AY1068))</f>
        <v/>
      </c>
      <c r="BA1068" s="37">
        <f>IF(OR(K1068&gt;0,K1069&gt;0),0,(AC1069-(AC1068+AF1068-AQ1068-AP1068+AR1068-AI1068-AJ1068-AM1068))/MAX(1,ABS(AC1068),ABS(AC1069)))</f>
        <v/>
      </c>
      <c r="BB1068" s="35">
        <f>(1+INDEX(DiscRateAnn,INT(A1068/12)+1))^(1/12)-1</f>
        <v/>
      </c>
      <c r="BC1068" s="31">
        <f>(1+BB1068)^-A1068</f>
        <v/>
      </c>
      <c r="BD1068" s="34">
        <f>AW1068*BC1068</f>
        <v/>
      </c>
    </row>
    <row r="1069">
      <c r="A1069" s="27">
        <f>A1068+1</f>
        <v/>
      </c>
      <c r="B1069" s="28">
        <f>Duration0+A1069</f>
        <v/>
      </c>
      <c r="C1069" s="27">
        <f>INT(B1069/12)</f>
        <v/>
      </c>
      <c r="D1069" s="28">
        <f>AgeAtEntry+C1069</f>
        <v/>
      </c>
      <c r="E1069" s="29">
        <f>IF(PremiumType="SINGLE",IF(B1069=0,PremiumPPInput,0),IF(B1069&lt;12*PolicyTerm,PremiumPPInput,0))</f>
        <v/>
      </c>
      <c r="F1069" s="30">
        <f>INDEX(MortRates,MATCH(MIN(D1069,120),MortAges,0),MAX(MIN(C1069,5),0)+1)</f>
        <v/>
      </c>
      <c r="G1069" s="31">
        <f>1-(1-F1069)^(1/12)</f>
        <v/>
      </c>
      <c r="H1069" s="32">
        <f>MAX(LapseBase-LapseStep*C1069,LapseFloor)</f>
        <v/>
      </c>
      <c r="I1069" s="32">
        <f>IF(HasSurrCharge,INDEX(SurrRates,MIN(C1069,SurrDurMax)+1,MATCH(SurrChargeID,SurrTypes,0)),0)</f>
        <v/>
      </c>
      <c r="J1069" s="33">
        <f>N1068-P1068-O1068</f>
        <v/>
      </c>
      <c r="K1069" s="30">
        <f>IF(B1069=12*PolicyTerm,J1069,0)</f>
        <v/>
      </c>
      <c r="L1069" s="33">
        <f>J1069-K1069</f>
        <v/>
      </c>
      <c r="M1069" s="30">
        <f>IF(B1069=0,PolicyCount,0)</f>
        <v/>
      </c>
      <c r="N1069" s="33">
        <f>L1069+M1069</f>
        <v/>
      </c>
      <c r="O1069" s="31">
        <f>N1069*G1069</f>
        <v/>
      </c>
      <c r="P1069" s="33">
        <f>(N1069-O1069)*(1-(1-H1069)^(1/12))</f>
        <v/>
      </c>
      <c r="Q1069" s="34">
        <f>X1068+Z1068</f>
        <v/>
      </c>
      <c r="R1069" s="29">
        <f>(1-LoadPremRate)*E1069</f>
        <v/>
      </c>
      <c r="S1069" s="34">
        <f>Q1069+R1069</f>
        <v/>
      </c>
      <c r="T1069" s="29">
        <f>MaintFeeRateAnn/12*S1069</f>
        <v/>
      </c>
      <c r="U1069" s="29">
        <f>MAX(SumAssured-S1069,0)</f>
        <v/>
      </c>
      <c r="V1069" s="35">
        <f>CoiMultiple*G1069</f>
        <v/>
      </c>
      <c r="W1069" s="34">
        <f>V1069*U1069</f>
        <v/>
      </c>
      <c r="X1069" s="34">
        <f>S1069-T1069-W1069</f>
        <v/>
      </c>
      <c r="Y1069" s="36">
        <f>EXP((Mu-0.5*Sigma^2)/12+Sigma*SQRT(1/12)*INDEX(NormRand,ScenID,A1069+1))-1</f>
        <v/>
      </c>
      <c r="Z1069" s="34">
        <f>Y1069*X1069</f>
        <v/>
      </c>
      <c r="AA1069" s="34">
        <f>X1069+0.5*Z1069</f>
        <v/>
      </c>
      <c r="AB1069" s="34">
        <f>Q1069*J1069</f>
        <v/>
      </c>
      <c r="AC1069" s="34">
        <f>Q1069*L1069</f>
        <v/>
      </c>
      <c r="AD1069" s="34">
        <f>S1069*N1069</f>
        <v/>
      </c>
      <c r="AE1069" s="34">
        <f>E1069*N1069</f>
        <v/>
      </c>
      <c r="AF1069" s="34">
        <f>R1069*N1069</f>
        <v/>
      </c>
      <c r="AG1069" s="29">
        <f>MAX(SumAssured,AA1069)</f>
        <v/>
      </c>
      <c r="AH1069" s="34">
        <f>AG1069*O1069</f>
        <v/>
      </c>
      <c r="AI1069" s="34">
        <f>AA1069*O1069</f>
        <v/>
      </c>
      <c r="AJ1069" s="34">
        <f>AA1069*P1069</f>
        <v/>
      </c>
      <c r="AK1069" s="34">
        <f>I1069*AA1069*P1069</f>
        <v/>
      </c>
      <c r="AL1069" s="34">
        <f>AJ1069-AK1069</f>
        <v/>
      </c>
      <c r="AM1069" s="34">
        <f>Q1069*K1069</f>
        <v/>
      </c>
      <c r="AN1069" s="34">
        <f>AH1069+AL1069+AM1069</f>
        <v/>
      </c>
      <c r="AO1069" s="34">
        <f>(AG1069-AA1069)*O1069</f>
        <v/>
      </c>
      <c r="AP1069" s="34">
        <f>W1069*N1069</f>
        <v/>
      </c>
      <c r="AQ1069" s="34">
        <f>T1069*N1069</f>
        <v/>
      </c>
      <c r="AR1069" s="34">
        <f>Z1069*J1070+0.5*Z1069*(O1069+P1069)</f>
        <v/>
      </c>
      <c r="AS1069" s="30">
        <f>(1+InflationRate)^(A1069/12)</f>
        <v/>
      </c>
      <c r="AT1069" s="29">
        <f>ExpenseAcq*M1069+N1069*ExpenseMaint/12*AS1069</f>
        <v/>
      </c>
      <c r="AU1069" s="29">
        <f>CommissionRate*AE1069</f>
        <v/>
      </c>
      <c r="AV1069" s="34">
        <f>AB1070-AB1069</f>
        <v/>
      </c>
      <c r="AW1069" s="34">
        <f>AE1069+AR1069-AN1069-AT1069-AU1069-AV1069</f>
        <v/>
      </c>
      <c r="AX1069" s="29">
        <f>LoadPremRate*E1069*N1069+AK1069+AQ1069-AU1069-AT1069</f>
        <v/>
      </c>
      <c r="AY1069" s="34">
        <f>AP1069-AO1069</f>
        <v/>
      </c>
      <c r="AZ1069" s="37">
        <f>(AW1069-AX1069-AY1069)/MAX(1,ABS(AW1069),ABS(AX1069),ABS(AY1069))</f>
        <v/>
      </c>
      <c r="BA1069" s="37">
        <f>IF(OR(K1069&gt;0,K1070&gt;0),0,(AC1070-(AC1069+AF1069-AQ1069-AP1069+AR1069-AI1069-AJ1069-AM1069))/MAX(1,ABS(AC1069),ABS(AC1070)))</f>
        <v/>
      </c>
      <c r="BB1069" s="35">
        <f>(1+INDEX(DiscRateAnn,INT(A1069/12)+1))^(1/12)-1</f>
        <v/>
      </c>
      <c r="BC1069" s="31">
        <f>(1+BB1069)^-A1069</f>
        <v/>
      </c>
      <c r="BD1069" s="34">
        <f>AW1069*BC1069</f>
        <v/>
      </c>
    </row>
    <row r="1070">
      <c r="A1070" s="27">
        <f>A1069+1</f>
        <v/>
      </c>
      <c r="B1070" s="28">
        <f>Duration0+A1070</f>
        <v/>
      </c>
      <c r="C1070" s="27">
        <f>INT(B1070/12)</f>
        <v/>
      </c>
      <c r="D1070" s="28">
        <f>AgeAtEntry+C1070</f>
        <v/>
      </c>
      <c r="E1070" s="29">
        <f>IF(PremiumType="SINGLE",IF(B1070=0,PremiumPPInput,0),IF(B1070&lt;12*PolicyTerm,PremiumPPInput,0))</f>
        <v/>
      </c>
      <c r="F1070" s="30">
        <f>INDEX(MortRates,MATCH(MIN(D1070,120),MortAges,0),MAX(MIN(C1070,5),0)+1)</f>
        <v/>
      </c>
      <c r="G1070" s="31">
        <f>1-(1-F1070)^(1/12)</f>
        <v/>
      </c>
      <c r="H1070" s="32">
        <f>MAX(LapseBase-LapseStep*C1070,LapseFloor)</f>
        <v/>
      </c>
      <c r="I1070" s="32">
        <f>IF(HasSurrCharge,INDEX(SurrRates,MIN(C1070,SurrDurMax)+1,MATCH(SurrChargeID,SurrTypes,0)),0)</f>
        <v/>
      </c>
      <c r="J1070" s="33">
        <f>N1069-P1069-O1069</f>
        <v/>
      </c>
      <c r="K1070" s="30">
        <f>IF(B1070=12*PolicyTerm,J1070,0)</f>
        <v/>
      </c>
      <c r="L1070" s="33">
        <f>J1070-K1070</f>
        <v/>
      </c>
      <c r="M1070" s="30">
        <f>IF(B1070=0,PolicyCount,0)</f>
        <v/>
      </c>
      <c r="N1070" s="33">
        <f>L1070+M1070</f>
        <v/>
      </c>
      <c r="O1070" s="31">
        <f>N1070*G1070</f>
        <v/>
      </c>
      <c r="P1070" s="33">
        <f>(N1070-O1070)*(1-(1-H1070)^(1/12))</f>
        <v/>
      </c>
      <c r="Q1070" s="34">
        <f>X1069+Z1069</f>
        <v/>
      </c>
      <c r="R1070" s="29">
        <f>(1-LoadPremRate)*E1070</f>
        <v/>
      </c>
      <c r="S1070" s="34">
        <f>Q1070+R1070</f>
        <v/>
      </c>
      <c r="T1070" s="29">
        <f>MaintFeeRateAnn/12*S1070</f>
        <v/>
      </c>
      <c r="U1070" s="29">
        <f>MAX(SumAssured-S1070,0)</f>
        <v/>
      </c>
      <c r="V1070" s="35">
        <f>CoiMultiple*G1070</f>
        <v/>
      </c>
      <c r="W1070" s="34">
        <f>V1070*U1070</f>
        <v/>
      </c>
      <c r="X1070" s="34">
        <f>S1070-T1070-W1070</f>
        <v/>
      </c>
      <c r="Y1070" s="36">
        <f>EXP((Mu-0.5*Sigma^2)/12+Sigma*SQRT(1/12)*INDEX(NormRand,ScenID,A1070+1))-1</f>
        <v/>
      </c>
      <c r="Z1070" s="34">
        <f>Y1070*X1070</f>
        <v/>
      </c>
      <c r="AA1070" s="34">
        <f>X1070+0.5*Z1070</f>
        <v/>
      </c>
      <c r="AB1070" s="34">
        <f>Q1070*J1070</f>
        <v/>
      </c>
      <c r="AC1070" s="34">
        <f>Q1070*L1070</f>
        <v/>
      </c>
      <c r="AD1070" s="34">
        <f>S1070*N1070</f>
        <v/>
      </c>
      <c r="AE1070" s="34">
        <f>E1070*N1070</f>
        <v/>
      </c>
      <c r="AF1070" s="34">
        <f>R1070*N1070</f>
        <v/>
      </c>
      <c r="AG1070" s="29">
        <f>MAX(SumAssured,AA1070)</f>
        <v/>
      </c>
      <c r="AH1070" s="34">
        <f>AG1070*O1070</f>
        <v/>
      </c>
      <c r="AI1070" s="34">
        <f>AA1070*O1070</f>
        <v/>
      </c>
      <c r="AJ1070" s="34">
        <f>AA1070*P1070</f>
        <v/>
      </c>
      <c r="AK1070" s="34">
        <f>I1070*AA1070*P1070</f>
        <v/>
      </c>
      <c r="AL1070" s="34">
        <f>AJ1070-AK1070</f>
        <v/>
      </c>
      <c r="AM1070" s="34">
        <f>Q1070*K1070</f>
        <v/>
      </c>
      <c r="AN1070" s="34">
        <f>AH1070+AL1070+AM1070</f>
        <v/>
      </c>
      <c r="AO1070" s="34">
        <f>(AG1070-AA1070)*O1070</f>
        <v/>
      </c>
      <c r="AP1070" s="34">
        <f>W1070*N1070</f>
        <v/>
      </c>
      <c r="AQ1070" s="34">
        <f>T1070*N1070</f>
        <v/>
      </c>
      <c r="AR1070" s="34">
        <f>Z1070*J1071+0.5*Z1070*(O1070+P1070)</f>
        <v/>
      </c>
      <c r="AS1070" s="30">
        <f>(1+InflationRate)^(A1070/12)</f>
        <v/>
      </c>
      <c r="AT1070" s="29">
        <f>ExpenseAcq*M1070+N1070*ExpenseMaint/12*AS1070</f>
        <v/>
      </c>
      <c r="AU1070" s="29">
        <f>CommissionRate*AE1070</f>
        <v/>
      </c>
      <c r="AV1070" s="34">
        <f>AB1071-AB1070</f>
        <v/>
      </c>
      <c r="AW1070" s="34">
        <f>AE1070+AR1070-AN1070-AT1070-AU1070-AV1070</f>
        <v/>
      </c>
      <c r="AX1070" s="29">
        <f>LoadPremRate*E1070*N1070+AK1070+AQ1070-AU1070-AT1070</f>
        <v/>
      </c>
      <c r="AY1070" s="34">
        <f>AP1070-AO1070</f>
        <v/>
      </c>
      <c r="AZ1070" s="37">
        <f>(AW1070-AX1070-AY1070)/MAX(1,ABS(AW1070),ABS(AX1070),ABS(AY1070))</f>
        <v/>
      </c>
      <c r="BA1070" s="37">
        <f>IF(OR(K1070&gt;0,K1071&gt;0),0,(AC1071-(AC1070+AF1070-AQ1070-AP1070+AR1070-AI1070-AJ1070-AM1070))/MAX(1,ABS(AC1070),ABS(AC1071)))</f>
        <v/>
      </c>
      <c r="BB1070" s="35">
        <f>(1+INDEX(DiscRateAnn,INT(A1070/12)+1))^(1/12)-1</f>
        <v/>
      </c>
      <c r="BC1070" s="31">
        <f>(1+BB1070)^-A1070</f>
        <v/>
      </c>
      <c r="BD1070" s="34">
        <f>AW1070*BC1070</f>
        <v/>
      </c>
    </row>
    <row r="1071">
      <c r="A1071" s="27">
        <f>A1070+1</f>
        <v/>
      </c>
      <c r="B1071" s="28">
        <f>Duration0+A1071</f>
        <v/>
      </c>
      <c r="C1071" s="27">
        <f>INT(B1071/12)</f>
        <v/>
      </c>
      <c r="D1071" s="28">
        <f>AgeAtEntry+C1071</f>
        <v/>
      </c>
      <c r="E1071" s="29">
        <f>IF(PremiumType="SINGLE",IF(B1071=0,PremiumPPInput,0),IF(B1071&lt;12*PolicyTerm,PremiumPPInput,0))</f>
        <v/>
      </c>
      <c r="F1071" s="30">
        <f>INDEX(MortRates,MATCH(MIN(D1071,120),MortAges,0),MAX(MIN(C1071,5),0)+1)</f>
        <v/>
      </c>
      <c r="G1071" s="31">
        <f>1-(1-F1071)^(1/12)</f>
        <v/>
      </c>
      <c r="H1071" s="32">
        <f>MAX(LapseBase-LapseStep*C1071,LapseFloor)</f>
        <v/>
      </c>
      <c r="I1071" s="32">
        <f>IF(HasSurrCharge,INDEX(SurrRates,MIN(C1071,SurrDurMax)+1,MATCH(SurrChargeID,SurrTypes,0)),0)</f>
        <v/>
      </c>
      <c r="J1071" s="33">
        <f>N1070-P1070-O1070</f>
        <v/>
      </c>
      <c r="K1071" s="30">
        <f>IF(B1071=12*PolicyTerm,J1071,0)</f>
        <v/>
      </c>
      <c r="L1071" s="33">
        <f>J1071-K1071</f>
        <v/>
      </c>
      <c r="M1071" s="30">
        <f>IF(B1071=0,PolicyCount,0)</f>
        <v/>
      </c>
      <c r="N1071" s="33">
        <f>L1071+M1071</f>
        <v/>
      </c>
      <c r="O1071" s="31">
        <f>N1071*G1071</f>
        <v/>
      </c>
      <c r="P1071" s="33">
        <f>(N1071-O1071)*(1-(1-H1071)^(1/12))</f>
        <v/>
      </c>
      <c r="Q1071" s="34">
        <f>X1070+Z1070</f>
        <v/>
      </c>
      <c r="R1071" s="29">
        <f>(1-LoadPremRate)*E1071</f>
        <v/>
      </c>
      <c r="S1071" s="34">
        <f>Q1071+R1071</f>
        <v/>
      </c>
      <c r="T1071" s="29">
        <f>MaintFeeRateAnn/12*S1071</f>
        <v/>
      </c>
      <c r="U1071" s="29">
        <f>MAX(SumAssured-S1071,0)</f>
        <v/>
      </c>
      <c r="V1071" s="35">
        <f>CoiMultiple*G1071</f>
        <v/>
      </c>
      <c r="W1071" s="34">
        <f>V1071*U1071</f>
        <v/>
      </c>
      <c r="X1071" s="34">
        <f>S1071-T1071-W1071</f>
        <v/>
      </c>
      <c r="Y1071" s="36">
        <f>EXP((Mu-0.5*Sigma^2)/12+Sigma*SQRT(1/12)*INDEX(NormRand,ScenID,A1071+1))-1</f>
        <v/>
      </c>
      <c r="Z1071" s="34">
        <f>Y1071*X1071</f>
        <v/>
      </c>
      <c r="AA1071" s="34">
        <f>X1071+0.5*Z1071</f>
        <v/>
      </c>
      <c r="AB1071" s="34">
        <f>Q1071*J1071</f>
        <v/>
      </c>
      <c r="AC1071" s="34">
        <f>Q1071*L1071</f>
        <v/>
      </c>
      <c r="AD1071" s="34">
        <f>S1071*N1071</f>
        <v/>
      </c>
      <c r="AE1071" s="34">
        <f>E1071*N1071</f>
        <v/>
      </c>
      <c r="AF1071" s="34">
        <f>R1071*N1071</f>
        <v/>
      </c>
      <c r="AG1071" s="29">
        <f>MAX(SumAssured,AA1071)</f>
        <v/>
      </c>
      <c r="AH1071" s="34">
        <f>AG1071*O1071</f>
        <v/>
      </c>
      <c r="AI1071" s="34">
        <f>AA1071*O1071</f>
        <v/>
      </c>
      <c r="AJ1071" s="34">
        <f>AA1071*P1071</f>
        <v/>
      </c>
      <c r="AK1071" s="34">
        <f>I1071*AA1071*P1071</f>
        <v/>
      </c>
      <c r="AL1071" s="34">
        <f>AJ1071-AK1071</f>
        <v/>
      </c>
      <c r="AM1071" s="34">
        <f>Q1071*K1071</f>
        <v/>
      </c>
      <c r="AN1071" s="34">
        <f>AH1071+AL1071+AM1071</f>
        <v/>
      </c>
      <c r="AO1071" s="34">
        <f>(AG1071-AA1071)*O1071</f>
        <v/>
      </c>
      <c r="AP1071" s="34">
        <f>W1071*N1071</f>
        <v/>
      </c>
      <c r="AQ1071" s="34">
        <f>T1071*N1071</f>
        <v/>
      </c>
      <c r="AR1071" s="34">
        <f>Z1071*J1072+0.5*Z1071*(O1071+P1071)</f>
        <v/>
      </c>
      <c r="AS1071" s="30">
        <f>(1+InflationRate)^(A1071/12)</f>
        <v/>
      </c>
      <c r="AT1071" s="29">
        <f>ExpenseAcq*M1071+N1071*ExpenseMaint/12*AS1071</f>
        <v/>
      </c>
      <c r="AU1071" s="29">
        <f>CommissionRate*AE1071</f>
        <v/>
      </c>
      <c r="AV1071" s="34">
        <f>AB1072-AB1071</f>
        <v/>
      </c>
      <c r="AW1071" s="34">
        <f>AE1071+AR1071-AN1071-AT1071-AU1071-AV1071</f>
        <v/>
      </c>
      <c r="AX1071" s="29">
        <f>LoadPremRate*E1071*N1071+AK1071+AQ1071-AU1071-AT1071</f>
        <v/>
      </c>
      <c r="AY1071" s="34">
        <f>AP1071-AO1071</f>
        <v/>
      </c>
      <c r="AZ1071" s="37">
        <f>(AW1071-AX1071-AY1071)/MAX(1,ABS(AW1071),ABS(AX1071),ABS(AY1071))</f>
        <v/>
      </c>
      <c r="BA1071" s="37">
        <f>IF(OR(K1071&gt;0,K1072&gt;0),0,(AC1072-(AC1071+AF1071-AQ1071-AP1071+AR1071-AI1071-AJ1071-AM1071))/MAX(1,ABS(AC1071),ABS(AC1072)))</f>
        <v/>
      </c>
      <c r="BB1071" s="35">
        <f>(1+INDEX(DiscRateAnn,INT(A1071/12)+1))^(1/12)-1</f>
        <v/>
      </c>
      <c r="BC1071" s="31">
        <f>(1+BB1071)^-A1071</f>
        <v/>
      </c>
      <c r="BD1071" s="34">
        <f>AW1071*BC1071</f>
        <v/>
      </c>
    </row>
    <row r="1072">
      <c r="A1072" s="27">
        <f>A1071+1</f>
        <v/>
      </c>
      <c r="B1072" s="28">
        <f>Duration0+A1072</f>
        <v/>
      </c>
      <c r="C1072" s="27">
        <f>INT(B1072/12)</f>
        <v/>
      </c>
      <c r="D1072" s="28">
        <f>AgeAtEntry+C1072</f>
        <v/>
      </c>
      <c r="E1072" s="29">
        <f>IF(PremiumType="SINGLE",IF(B1072=0,PremiumPPInput,0),IF(B1072&lt;12*PolicyTerm,PremiumPPInput,0))</f>
        <v/>
      </c>
      <c r="F1072" s="30">
        <f>INDEX(MortRates,MATCH(MIN(D1072,120),MortAges,0),MAX(MIN(C1072,5),0)+1)</f>
        <v/>
      </c>
      <c r="G1072" s="31">
        <f>1-(1-F1072)^(1/12)</f>
        <v/>
      </c>
      <c r="H1072" s="32">
        <f>MAX(LapseBase-LapseStep*C1072,LapseFloor)</f>
        <v/>
      </c>
      <c r="I1072" s="32">
        <f>IF(HasSurrCharge,INDEX(SurrRates,MIN(C1072,SurrDurMax)+1,MATCH(SurrChargeID,SurrTypes,0)),0)</f>
        <v/>
      </c>
      <c r="J1072" s="33">
        <f>N1071-P1071-O1071</f>
        <v/>
      </c>
      <c r="K1072" s="30">
        <f>IF(B1072=12*PolicyTerm,J1072,0)</f>
        <v/>
      </c>
      <c r="L1072" s="33">
        <f>J1072-K1072</f>
        <v/>
      </c>
      <c r="M1072" s="30">
        <f>IF(B1072=0,PolicyCount,0)</f>
        <v/>
      </c>
      <c r="N1072" s="33">
        <f>L1072+M1072</f>
        <v/>
      </c>
      <c r="O1072" s="31">
        <f>N1072*G1072</f>
        <v/>
      </c>
      <c r="P1072" s="33">
        <f>(N1072-O1072)*(1-(1-H1072)^(1/12))</f>
        <v/>
      </c>
      <c r="Q1072" s="34">
        <f>X1071+Z1071</f>
        <v/>
      </c>
      <c r="R1072" s="29">
        <f>(1-LoadPremRate)*E1072</f>
        <v/>
      </c>
      <c r="S1072" s="34">
        <f>Q1072+R1072</f>
        <v/>
      </c>
      <c r="T1072" s="29">
        <f>MaintFeeRateAnn/12*S1072</f>
        <v/>
      </c>
      <c r="U1072" s="29">
        <f>MAX(SumAssured-S1072,0)</f>
        <v/>
      </c>
      <c r="V1072" s="35">
        <f>CoiMultiple*G1072</f>
        <v/>
      </c>
      <c r="W1072" s="34">
        <f>V1072*U1072</f>
        <v/>
      </c>
      <c r="X1072" s="34">
        <f>S1072-T1072-W1072</f>
        <v/>
      </c>
      <c r="Y1072" s="36">
        <f>EXP((Mu-0.5*Sigma^2)/12+Sigma*SQRT(1/12)*INDEX(NormRand,ScenID,A1072+1))-1</f>
        <v/>
      </c>
      <c r="Z1072" s="34">
        <f>Y1072*X1072</f>
        <v/>
      </c>
      <c r="AA1072" s="34">
        <f>X1072+0.5*Z1072</f>
        <v/>
      </c>
      <c r="AB1072" s="34">
        <f>Q1072*J1072</f>
        <v/>
      </c>
      <c r="AC1072" s="34">
        <f>Q1072*L1072</f>
        <v/>
      </c>
      <c r="AD1072" s="34">
        <f>S1072*N1072</f>
        <v/>
      </c>
      <c r="AE1072" s="34">
        <f>E1072*N1072</f>
        <v/>
      </c>
      <c r="AF1072" s="34">
        <f>R1072*N1072</f>
        <v/>
      </c>
      <c r="AG1072" s="29">
        <f>MAX(SumAssured,AA1072)</f>
        <v/>
      </c>
      <c r="AH1072" s="34">
        <f>AG1072*O1072</f>
        <v/>
      </c>
      <c r="AI1072" s="34">
        <f>AA1072*O1072</f>
        <v/>
      </c>
      <c r="AJ1072" s="34">
        <f>AA1072*P1072</f>
        <v/>
      </c>
      <c r="AK1072" s="34">
        <f>I1072*AA1072*P1072</f>
        <v/>
      </c>
      <c r="AL1072" s="34">
        <f>AJ1072-AK1072</f>
        <v/>
      </c>
      <c r="AM1072" s="34">
        <f>Q1072*K1072</f>
        <v/>
      </c>
      <c r="AN1072" s="34">
        <f>AH1072+AL1072+AM1072</f>
        <v/>
      </c>
      <c r="AO1072" s="34">
        <f>(AG1072-AA1072)*O1072</f>
        <v/>
      </c>
      <c r="AP1072" s="34">
        <f>W1072*N1072</f>
        <v/>
      </c>
      <c r="AQ1072" s="34">
        <f>T1072*N1072</f>
        <v/>
      </c>
      <c r="AR1072" s="34">
        <f>Z1072*J1073+0.5*Z1072*(O1072+P1072)</f>
        <v/>
      </c>
      <c r="AS1072" s="30">
        <f>(1+InflationRate)^(A1072/12)</f>
        <v/>
      </c>
      <c r="AT1072" s="29">
        <f>ExpenseAcq*M1072+N1072*ExpenseMaint/12*AS1072</f>
        <v/>
      </c>
      <c r="AU1072" s="29">
        <f>CommissionRate*AE1072</f>
        <v/>
      </c>
      <c r="AV1072" s="34">
        <f>AB1073-AB1072</f>
        <v/>
      </c>
      <c r="AW1072" s="34">
        <f>AE1072+AR1072-AN1072-AT1072-AU1072-AV1072</f>
        <v/>
      </c>
      <c r="AX1072" s="29">
        <f>LoadPremRate*E1072*N1072+AK1072+AQ1072-AU1072-AT1072</f>
        <v/>
      </c>
      <c r="AY1072" s="34">
        <f>AP1072-AO1072</f>
        <v/>
      </c>
      <c r="AZ1072" s="37">
        <f>(AW1072-AX1072-AY1072)/MAX(1,ABS(AW1072),ABS(AX1072),ABS(AY1072))</f>
        <v/>
      </c>
      <c r="BA1072" s="37">
        <f>IF(OR(K1072&gt;0,K1073&gt;0),0,(AC1073-(AC1072+AF1072-AQ1072-AP1072+AR1072-AI1072-AJ1072-AM1072))/MAX(1,ABS(AC1072),ABS(AC1073)))</f>
        <v/>
      </c>
      <c r="BB1072" s="35">
        <f>(1+INDEX(DiscRateAnn,INT(A1072/12)+1))^(1/12)-1</f>
        <v/>
      </c>
      <c r="BC1072" s="31">
        <f>(1+BB1072)^-A1072</f>
        <v/>
      </c>
      <c r="BD1072" s="34">
        <f>AW1072*BC1072</f>
        <v/>
      </c>
    </row>
    <row r="1073">
      <c r="A1073" s="27">
        <f>A1072+1</f>
        <v/>
      </c>
      <c r="B1073" s="28">
        <f>Duration0+A1073</f>
        <v/>
      </c>
      <c r="C1073" s="27">
        <f>INT(B1073/12)</f>
        <v/>
      </c>
      <c r="D1073" s="28">
        <f>AgeAtEntry+C1073</f>
        <v/>
      </c>
      <c r="E1073" s="29">
        <f>IF(PremiumType="SINGLE",IF(B1073=0,PremiumPPInput,0),IF(B1073&lt;12*PolicyTerm,PremiumPPInput,0))</f>
        <v/>
      </c>
      <c r="F1073" s="30">
        <f>INDEX(MortRates,MATCH(MIN(D1073,120),MortAges,0),MAX(MIN(C1073,5),0)+1)</f>
        <v/>
      </c>
      <c r="G1073" s="31">
        <f>1-(1-F1073)^(1/12)</f>
        <v/>
      </c>
      <c r="H1073" s="32">
        <f>MAX(LapseBase-LapseStep*C1073,LapseFloor)</f>
        <v/>
      </c>
      <c r="I1073" s="32">
        <f>IF(HasSurrCharge,INDEX(SurrRates,MIN(C1073,SurrDurMax)+1,MATCH(SurrChargeID,SurrTypes,0)),0)</f>
        <v/>
      </c>
      <c r="J1073" s="33">
        <f>N1072-P1072-O1072</f>
        <v/>
      </c>
      <c r="K1073" s="30">
        <f>IF(B1073=12*PolicyTerm,J1073,0)</f>
        <v/>
      </c>
      <c r="L1073" s="33">
        <f>J1073-K1073</f>
        <v/>
      </c>
      <c r="M1073" s="30">
        <f>IF(B1073=0,PolicyCount,0)</f>
        <v/>
      </c>
      <c r="N1073" s="33">
        <f>L1073+M1073</f>
        <v/>
      </c>
      <c r="O1073" s="31">
        <f>N1073*G1073</f>
        <v/>
      </c>
      <c r="P1073" s="33">
        <f>(N1073-O1073)*(1-(1-H1073)^(1/12))</f>
        <v/>
      </c>
      <c r="Q1073" s="34">
        <f>X1072+Z1072</f>
        <v/>
      </c>
      <c r="R1073" s="29">
        <f>(1-LoadPremRate)*E1073</f>
        <v/>
      </c>
      <c r="S1073" s="34">
        <f>Q1073+R1073</f>
        <v/>
      </c>
      <c r="T1073" s="29">
        <f>MaintFeeRateAnn/12*S1073</f>
        <v/>
      </c>
      <c r="U1073" s="29">
        <f>MAX(SumAssured-S1073,0)</f>
        <v/>
      </c>
      <c r="V1073" s="35">
        <f>CoiMultiple*G1073</f>
        <v/>
      </c>
      <c r="W1073" s="34">
        <f>V1073*U1073</f>
        <v/>
      </c>
      <c r="X1073" s="34">
        <f>S1073-T1073-W1073</f>
        <v/>
      </c>
      <c r="Y1073" s="36">
        <f>EXP((Mu-0.5*Sigma^2)/12+Sigma*SQRT(1/12)*INDEX(NormRand,ScenID,A1073+1))-1</f>
        <v/>
      </c>
      <c r="Z1073" s="34">
        <f>Y1073*X1073</f>
        <v/>
      </c>
      <c r="AA1073" s="34">
        <f>X1073+0.5*Z1073</f>
        <v/>
      </c>
      <c r="AB1073" s="34">
        <f>Q1073*J1073</f>
        <v/>
      </c>
      <c r="AC1073" s="34">
        <f>Q1073*L1073</f>
        <v/>
      </c>
      <c r="AD1073" s="34">
        <f>S1073*N1073</f>
        <v/>
      </c>
      <c r="AE1073" s="34">
        <f>E1073*N1073</f>
        <v/>
      </c>
      <c r="AF1073" s="34">
        <f>R1073*N1073</f>
        <v/>
      </c>
      <c r="AG1073" s="29">
        <f>MAX(SumAssured,AA1073)</f>
        <v/>
      </c>
      <c r="AH1073" s="34">
        <f>AG1073*O1073</f>
        <v/>
      </c>
      <c r="AI1073" s="34">
        <f>AA1073*O1073</f>
        <v/>
      </c>
      <c r="AJ1073" s="34">
        <f>AA1073*P1073</f>
        <v/>
      </c>
      <c r="AK1073" s="34">
        <f>I1073*AA1073*P1073</f>
        <v/>
      </c>
      <c r="AL1073" s="34">
        <f>AJ1073-AK1073</f>
        <v/>
      </c>
      <c r="AM1073" s="34">
        <f>Q1073*K1073</f>
        <v/>
      </c>
      <c r="AN1073" s="34">
        <f>AH1073+AL1073+AM1073</f>
        <v/>
      </c>
      <c r="AO1073" s="34">
        <f>(AG1073-AA1073)*O1073</f>
        <v/>
      </c>
      <c r="AP1073" s="34">
        <f>W1073*N1073</f>
        <v/>
      </c>
      <c r="AQ1073" s="34">
        <f>T1073*N1073</f>
        <v/>
      </c>
      <c r="AR1073" s="34">
        <f>Z1073*J1074+0.5*Z1073*(O1073+P1073)</f>
        <v/>
      </c>
      <c r="AS1073" s="30">
        <f>(1+InflationRate)^(A1073/12)</f>
        <v/>
      </c>
      <c r="AT1073" s="29">
        <f>ExpenseAcq*M1073+N1073*ExpenseMaint/12*AS1073</f>
        <v/>
      </c>
      <c r="AU1073" s="29">
        <f>CommissionRate*AE1073</f>
        <v/>
      </c>
      <c r="AV1073" s="34">
        <f>AB1074-AB1073</f>
        <v/>
      </c>
      <c r="AW1073" s="34">
        <f>AE1073+AR1073-AN1073-AT1073-AU1073-AV1073</f>
        <v/>
      </c>
      <c r="AX1073" s="29">
        <f>LoadPremRate*E1073*N1073+AK1073+AQ1073-AU1073-AT1073</f>
        <v/>
      </c>
      <c r="AY1073" s="34">
        <f>AP1073-AO1073</f>
        <v/>
      </c>
      <c r="AZ1073" s="37">
        <f>(AW1073-AX1073-AY1073)/MAX(1,ABS(AW1073),ABS(AX1073),ABS(AY1073))</f>
        <v/>
      </c>
      <c r="BA1073" s="37">
        <f>IF(OR(K1073&gt;0,K1074&gt;0),0,(AC1074-(AC1073+AF1073-AQ1073-AP1073+AR1073-AI1073-AJ1073-AM1073))/MAX(1,ABS(AC1073),ABS(AC1074)))</f>
        <v/>
      </c>
      <c r="BB1073" s="35">
        <f>(1+INDEX(DiscRateAnn,INT(A1073/12)+1))^(1/12)-1</f>
        <v/>
      </c>
      <c r="BC1073" s="31">
        <f>(1+BB1073)^-A1073</f>
        <v/>
      </c>
      <c r="BD1073" s="34">
        <f>AW1073*BC1073</f>
        <v/>
      </c>
    </row>
    <row r="1074">
      <c r="A1074" s="27">
        <f>A1073+1</f>
        <v/>
      </c>
      <c r="B1074" s="28">
        <f>Duration0+A1074</f>
        <v/>
      </c>
      <c r="C1074" s="27">
        <f>INT(B1074/12)</f>
        <v/>
      </c>
      <c r="D1074" s="28">
        <f>AgeAtEntry+C1074</f>
        <v/>
      </c>
      <c r="E1074" s="29">
        <f>IF(PremiumType="SINGLE",IF(B1074=0,PremiumPPInput,0),IF(B1074&lt;12*PolicyTerm,PremiumPPInput,0))</f>
        <v/>
      </c>
      <c r="F1074" s="30">
        <f>INDEX(MortRates,MATCH(MIN(D1074,120),MortAges,0),MAX(MIN(C1074,5),0)+1)</f>
        <v/>
      </c>
      <c r="G1074" s="31">
        <f>1-(1-F1074)^(1/12)</f>
        <v/>
      </c>
      <c r="H1074" s="32">
        <f>MAX(LapseBase-LapseStep*C1074,LapseFloor)</f>
        <v/>
      </c>
      <c r="I1074" s="32">
        <f>IF(HasSurrCharge,INDEX(SurrRates,MIN(C1074,SurrDurMax)+1,MATCH(SurrChargeID,SurrTypes,0)),0)</f>
        <v/>
      </c>
      <c r="J1074" s="33">
        <f>N1073-P1073-O1073</f>
        <v/>
      </c>
      <c r="K1074" s="30">
        <f>IF(B1074=12*PolicyTerm,J1074,0)</f>
        <v/>
      </c>
      <c r="L1074" s="33">
        <f>J1074-K1074</f>
        <v/>
      </c>
      <c r="M1074" s="30">
        <f>IF(B1074=0,PolicyCount,0)</f>
        <v/>
      </c>
      <c r="N1074" s="33">
        <f>L1074+M1074</f>
        <v/>
      </c>
      <c r="O1074" s="31">
        <f>N1074*G1074</f>
        <v/>
      </c>
      <c r="P1074" s="33">
        <f>(N1074-O1074)*(1-(1-H1074)^(1/12))</f>
        <v/>
      </c>
      <c r="Q1074" s="34">
        <f>X1073+Z1073</f>
        <v/>
      </c>
      <c r="R1074" s="29">
        <f>(1-LoadPremRate)*E1074</f>
        <v/>
      </c>
      <c r="S1074" s="34">
        <f>Q1074+R1074</f>
        <v/>
      </c>
      <c r="T1074" s="29">
        <f>MaintFeeRateAnn/12*S1074</f>
        <v/>
      </c>
      <c r="U1074" s="29">
        <f>MAX(SumAssured-S1074,0)</f>
        <v/>
      </c>
      <c r="V1074" s="35">
        <f>CoiMultiple*G1074</f>
        <v/>
      </c>
      <c r="W1074" s="34">
        <f>V1074*U1074</f>
        <v/>
      </c>
      <c r="X1074" s="34">
        <f>S1074-T1074-W1074</f>
        <v/>
      </c>
      <c r="Y1074" s="36">
        <f>EXP((Mu-0.5*Sigma^2)/12+Sigma*SQRT(1/12)*INDEX(NormRand,ScenID,A1074+1))-1</f>
        <v/>
      </c>
      <c r="Z1074" s="34">
        <f>Y1074*X1074</f>
        <v/>
      </c>
      <c r="AA1074" s="34">
        <f>X1074+0.5*Z1074</f>
        <v/>
      </c>
      <c r="AB1074" s="34">
        <f>Q1074*J1074</f>
        <v/>
      </c>
      <c r="AC1074" s="34">
        <f>Q1074*L1074</f>
        <v/>
      </c>
      <c r="AD1074" s="34">
        <f>S1074*N1074</f>
        <v/>
      </c>
      <c r="AE1074" s="34">
        <f>E1074*N1074</f>
        <v/>
      </c>
      <c r="AF1074" s="34">
        <f>R1074*N1074</f>
        <v/>
      </c>
      <c r="AG1074" s="29">
        <f>MAX(SumAssured,AA1074)</f>
        <v/>
      </c>
      <c r="AH1074" s="34">
        <f>AG1074*O1074</f>
        <v/>
      </c>
      <c r="AI1074" s="34">
        <f>AA1074*O1074</f>
        <v/>
      </c>
      <c r="AJ1074" s="34">
        <f>AA1074*P1074</f>
        <v/>
      </c>
      <c r="AK1074" s="34">
        <f>I1074*AA1074*P1074</f>
        <v/>
      </c>
      <c r="AL1074" s="34">
        <f>AJ1074-AK1074</f>
        <v/>
      </c>
      <c r="AM1074" s="34">
        <f>Q1074*K1074</f>
        <v/>
      </c>
      <c r="AN1074" s="34">
        <f>AH1074+AL1074+AM1074</f>
        <v/>
      </c>
      <c r="AO1074" s="34">
        <f>(AG1074-AA1074)*O1074</f>
        <v/>
      </c>
      <c r="AP1074" s="34">
        <f>W1074*N1074</f>
        <v/>
      </c>
      <c r="AQ1074" s="34">
        <f>T1074*N1074</f>
        <v/>
      </c>
      <c r="AR1074" s="34">
        <f>Z1074*J1075+0.5*Z1074*(O1074+P1074)</f>
        <v/>
      </c>
      <c r="AS1074" s="30">
        <f>(1+InflationRate)^(A1074/12)</f>
        <v/>
      </c>
      <c r="AT1074" s="29">
        <f>ExpenseAcq*M1074+N1074*ExpenseMaint/12*AS1074</f>
        <v/>
      </c>
      <c r="AU1074" s="29">
        <f>CommissionRate*AE1074</f>
        <v/>
      </c>
      <c r="AV1074" s="34">
        <f>AB1075-AB1074</f>
        <v/>
      </c>
      <c r="AW1074" s="34">
        <f>AE1074+AR1074-AN1074-AT1074-AU1074-AV1074</f>
        <v/>
      </c>
      <c r="AX1074" s="29">
        <f>LoadPremRate*E1074*N1074+AK1074+AQ1074-AU1074-AT1074</f>
        <v/>
      </c>
      <c r="AY1074" s="34">
        <f>AP1074-AO1074</f>
        <v/>
      </c>
      <c r="AZ1074" s="37">
        <f>(AW1074-AX1074-AY1074)/MAX(1,ABS(AW1074),ABS(AX1074),ABS(AY1074))</f>
        <v/>
      </c>
      <c r="BA1074" s="37">
        <f>IF(OR(K1074&gt;0,K1075&gt;0),0,(AC1075-(AC1074+AF1074-AQ1074-AP1074+AR1074-AI1074-AJ1074-AM1074))/MAX(1,ABS(AC1074),ABS(AC1075)))</f>
        <v/>
      </c>
      <c r="BB1074" s="35">
        <f>(1+INDEX(DiscRateAnn,INT(A1074/12)+1))^(1/12)-1</f>
        <v/>
      </c>
      <c r="BC1074" s="31">
        <f>(1+BB1074)^-A1074</f>
        <v/>
      </c>
      <c r="BD1074" s="34">
        <f>AW1074*BC1074</f>
        <v/>
      </c>
    </row>
    <row r="1075">
      <c r="A1075" s="27">
        <f>A1074+1</f>
        <v/>
      </c>
      <c r="B1075" s="28">
        <f>Duration0+A1075</f>
        <v/>
      </c>
      <c r="C1075" s="27">
        <f>INT(B1075/12)</f>
        <v/>
      </c>
      <c r="D1075" s="28">
        <f>AgeAtEntry+C1075</f>
        <v/>
      </c>
      <c r="E1075" s="29">
        <f>IF(PremiumType="SINGLE",IF(B1075=0,PremiumPPInput,0),IF(B1075&lt;12*PolicyTerm,PremiumPPInput,0))</f>
        <v/>
      </c>
      <c r="F1075" s="30">
        <f>INDEX(MortRates,MATCH(MIN(D1075,120),MortAges,0),MAX(MIN(C1075,5),0)+1)</f>
        <v/>
      </c>
      <c r="G1075" s="31">
        <f>1-(1-F1075)^(1/12)</f>
        <v/>
      </c>
      <c r="H1075" s="32">
        <f>MAX(LapseBase-LapseStep*C1075,LapseFloor)</f>
        <v/>
      </c>
      <c r="I1075" s="32">
        <f>IF(HasSurrCharge,INDEX(SurrRates,MIN(C1075,SurrDurMax)+1,MATCH(SurrChargeID,SurrTypes,0)),0)</f>
        <v/>
      </c>
      <c r="J1075" s="33">
        <f>N1074-P1074-O1074</f>
        <v/>
      </c>
      <c r="K1075" s="30">
        <f>IF(B1075=12*PolicyTerm,J1075,0)</f>
        <v/>
      </c>
      <c r="L1075" s="33">
        <f>J1075-K1075</f>
        <v/>
      </c>
      <c r="M1075" s="30">
        <f>IF(B1075=0,PolicyCount,0)</f>
        <v/>
      </c>
      <c r="N1075" s="33">
        <f>L1075+M1075</f>
        <v/>
      </c>
      <c r="O1075" s="31">
        <f>N1075*G1075</f>
        <v/>
      </c>
      <c r="P1075" s="33">
        <f>(N1075-O1075)*(1-(1-H1075)^(1/12))</f>
        <v/>
      </c>
      <c r="Q1075" s="34">
        <f>X1074+Z1074</f>
        <v/>
      </c>
      <c r="R1075" s="29">
        <f>(1-LoadPremRate)*E1075</f>
        <v/>
      </c>
      <c r="S1075" s="34">
        <f>Q1075+R1075</f>
        <v/>
      </c>
      <c r="T1075" s="29">
        <f>MaintFeeRateAnn/12*S1075</f>
        <v/>
      </c>
      <c r="U1075" s="29">
        <f>MAX(SumAssured-S1075,0)</f>
        <v/>
      </c>
      <c r="V1075" s="35">
        <f>CoiMultiple*G1075</f>
        <v/>
      </c>
      <c r="W1075" s="34">
        <f>V1075*U1075</f>
        <v/>
      </c>
      <c r="X1075" s="34">
        <f>S1075-T1075-W1075</f>
        <v/>
      </c>
      <c r="Y1075" s="36">
        <f>EXP((Mu-0.5*Sigma^2)/12+Sigma*SQRT(1/12)*INDEX(NormRand,ScenID,A1075+1))-1</f>
        <v/>
      </c>
      <c r="Z1075" s="34">
        <f>Y1075*X1075</f>
        <v/>
      </c>
      <c r="AA1075" s="34">
        <f>X1075+0.5*Z1075</f>
        <v/>
      </c>
      <c r="AB1075" s="34">
        <f>Q1075*J1075</f>
        <v/>
      </c>
      <c r="AC1075" s="34">
        <f>Q1075*L1075</f>
        <v/>
      </c>
      <c r="AD1075" s="34">
        <f>S1075*N1075</f>
        <v/>
      </c>
      <c r="AE1075" s="34">
        <f>E1075*N1075</f>
        <v/>
      </c>
      <c r="AF1075" s="34">
        <f>R1075*N1075</f>
        <v/>
      </c>
      <c r="AG1075" s="29">
        <f>MAX(SumAssured,AA1075)</f>
        <v/>
      </c>
      <c r="AH1075" s="34">
        <f>AG1075*O1075</f>
        <v/>
      </c>
      <c r="AI1075" s="34">
        <f>AA1075*O1075</f>
        <v/>
      </c>
      <c r="AJ1075" s="34">
        <f>AA1075*P1075</f>
        <v/>
      </c>
      <c r="AK1075" s="34">
        <f>I1075*AA1075*P1075</f>
        <v/>
      </c>
      <c r="AL1075" s="34">
        <f>AJ1075-AK1075</f>
        <v/>
      </c>
      <c r="AM1075" s="34">
        <f>Q1075*K1075</f>
        <v/>
      </c>
      <c r="AN1075" s="34">
        <f>AH1075+AL1075+AM1075</f>
        <v/>
      </c>
      <c r="AO1075" s="34">
        <f>(AG1075-AA1075)*O1075</f>
        <v/>
      </c>
      <c r="AP1075" s="34">
        <f>W1075*N1075</f>
        <v/>
      </c>
      <c r="AQ1075" s="34">
        <f>T1075*N1075</f>
        <v/>
      </c>
      <c r="AR1075" s="34">
        <f>Z1075*J1076+0.5*Z1075*(O1075+P1075)</f>
        <v/>
      </c>
      <c r="AS1075" s="30">
        <f>(1+InflationRate)^(A1075/12)</f>
        <v/>
      </c>
      <c r="AT1075" s="29">
        <f>ExpenseAcq*M1075+N1075*ExpenseMaint/12*AS1075</f>
        <v/>
      </c>
      <c r="AU1075" s="29">
        <f>CommissionRate*AE1075</f>
        <v/>
      </c>
      <c r="AV1075" s="34">
        <f>AB1076-AB1075</f>
        <v/>
      </c>
      <c r="AW1075" s="34">
        <f>AE1075+AR1075-AN1075-AT1075-AU1075-AV1075</f>
        <v/>
      </c>
      <c r="AX1075" s="29">
        <f>LoadPremRate*E1075*N1075+AK1075+AQ1075-AU1075-AT1075</f>
        <v/>
      </c>
      <c r="AY1075" s="34">
        <f>AP1075-AO1075</f>
        <v/>
      </c>
      <c r="AZ1075" s="37">
        <f>(AW1075-AX1075-AY1075)/MAX(1,ABS(AW1075),ABS(AX1075),ABS(AY1075))</f>
        <v/>
      </c>
      <c r="BA1075" s="37">
        <f>IF(OR(K1075&gt;0,K1076&gt;0),0,(AC1076-(AC1075+AF1075-AQ1075-AP1075+AR1075-AI1075-AJ1075-AM1075))/MAX(1,ABS(AC1075),ABS(AC1076)))</f>
        <v/>
      </c>
      <c r="BB1075" s="35">
        <f>(1+INDEX(DiscRateAnn,INT(A1075/12)+1))^(1/12)-1</f>
        <v/>
      </c>
      <c r="BC1075" s="31">
        <f>(1+BB1075)^-A1075</f>
        <v/>
      </c>
      <c r="BD1075" s="34">
        <f>AW1075*BC1075</f>
        <v/>
      </c>
    </row>
    <row r="1076">
      <c r="A1076" s="27">
        <f>A1075+1</f>
        <v/>
      </c>
      <c r="B1076" s="28">
        <f>Duration0+A1076</f>
        <v/>
      </c>
      <c r="C1076" s="27">
        <f>INT(B1076/12)</f>
        <v/>
      </c>
      <c r="D1076" s="28">
        <f>AgeAtEntry+C1076</f>
        <v/>
      </c>
      <c r="E1076" s="29">
        <f>IF(PremiumType="SINGLE",IF(B1076=0,PremiumPPInput,0),IF(B1076&lt;12*PolicyTerm,PremiumPPInput,0))</f>
        <v/>
      </c>
      <c r="F1076" s="30">
        <f>INDEX(MortRates,MATCH(MIN(D1076,120),MortAges,0),MAX(MIN(C1076,5),0)+1)</f>
        <v/>
      </c>
      <c r="G1076" s="31">
        <f>1-(1-F1076)^(1/12)</f>
        <v/>
      </c>
      <c r="H1076" s="32">
        <f>MAX(LapseBase-LapseStep*C1076,LapseFloor)</f>
        <v/>
      </c>
      <c r="I1076" s="32">
        <f>IF(HasSurrCharge,INDEX(SurrRates,MIN(C1076,SurrDurMax)+1,MATCH(SurrChargeID,SurrTypes,0)),0)</f>
        <v/>
      </c>
      <c r="J1076" s="33">
        <f>N1075-P1075-O1075</f>
        <v/>
      </c>
      <c r="K1076" s="30">
        <f>IF(B1076=12*PolicyTerm,J1076,0)</f>
        <v/>
      </c>
      <c r="L1076" s="33">
        <f>J1076-K1076</f>
        <v/>
      </c>
      <c r="M1076" s="30">
        <f>IF(B1076=0,PolicyCount,0)</f>
        <v/>
      </c>
      <c r="N1076" s="33">
        <f>L1076+M1076</f>
        <v/>
      </c>
      <c r="O1076" s="31">
        <f>N1076*G1076</f>
        <v/>
      </c>
      <c r="P1076" s="33">
        <f>(N1076-O1076)*(1-(1-H1076)^(1/12))</f>
        <v/>
      </c>
      <c r="Q1076" s="34">
        <f>X1075+Z1075</f>
        <v/>
      </c>
      <c r="R1076" s="29">
        <f>(1-LoadPremRate)*E1076</f>
        <v/>
      </c>
      <c r="S1076" s="34">
        <f>Q1076+R1076</f>
        <v/>
      </c>
      <c r="T1076" s="29">
        <f>MaintFeeRateAnn/12*S1076</f>
        <v/>
      </c>
      <c r="U1076" s="29">
        <f>MAX(SumAssured-S1076,0)</f>
        <v/>
      </c>
      <c r="V1076" s="35">
        <f>CoiMultiple*G1076</f>
        <v/>
      </c>
      <c r="W1076" s="34">
        <f>V1076*U1076</f>
        <v/>
      </c>
      <c r="X1076" s="34">
        <f>S1076-T1076-W1076</f>
        <v/>
      </c>
      <c r="Y1076" s="36">
        <f>EXP((Mu-0.5*Sigma^2)/12+Sigma*SQRT(1/12)*INDEX(NormRand,ScenID,A1076+1))-1</f>
        <v/>
      </c>
      <c r="Z1076" s="34">
        <f>Y1076*X1076</f>
        <v/>
      </c>
      <c r="AA1076" s="34">
        <f>X1076+0.5*Z1076</f>
        <v/>
      </c>
      <c r="AB1076" s="34">
        <f>Q1076*J1076</f>
        <v/>
      </c>
      <c r="AC1076" s="34">
        <f>Q1076*L1076</f>
        <v/>
      </c>
      <c r="AD1076" s="34">
        <f>S1076*N1076</f>
        <v/>
      </c>
      <c r="AE1076" s="34">
        <f>E1076*N1076</f>
        <v/>
      </c>
      <c r="AF1076" s="34">
        <f>R1076*N1076</f>
        <v/>
      </c>
      <c r="AG1076" s="29">
        <f>MAX(SumAssured,AA1076)</f>
        <v/>
      </c>
      <c r="AH1076" s="34">
        <f>AG1076*O1076</f>
        <v/>
      </c>
      <c r="AI1076" s="34">
        <f>AA1076*O1076</f>
        <v/>
      </c>
      <c r="AJ1076" s="34">
        <f>AA1076*P1076</f>
        <v/>
      </c>
      <c r="AK1076" s="34">
        <f>I1076*AA1076*P1076</f>
        <v/>
      </c>
      <c r="AL1076" s="34">
        <f>AJ1076-AK1076</f>
        <v/>
      </c>
      <c r="AM1076" s="34">
        <f>Q1076*K1076</f>
        <v/>
      </c>
      <c r="AN1076" s="34">
        <f>AH1076+AL1076+AM1076</f>
        <v/>
      </c>
      <c r="AO1076" s="34">
        <f>(AG1076-AA1076)*O1076</f>
        <v/>
      </c>
      <c r="AP1076" s="34">
        <f>W1076*N1076</f>
        <v/>
      </c>
      <c r="AQ1076" s="34">
        <f>T1076*N1076</f>
        <v/>
      </c>
      <c r="AR1076" s="34">
        <f>Z1076*J1077+0.5*Z1076*(O1076+P1076)</f>
        <v/>
      </c>
      <c r="AS1076" s="30">
        <f>(1+InflationRate)^(A1076/12)</f>
        <v/>
      </c>
      <c r="AT1076" s="29">
        <f>ExpenseAcq*M1076+N1076*ExpenseMaint/12*AS1076</f>
        <v/>
      </c>
      <c r="AU1076" s="29">
        <f>CommissionRate*AE1076</f>
        <v/>
      </c>
      <c r="AV1076" s="34">
        <f>AB1077-AB1076</f>
        <v/>
      </c>
      <c r="AW1076" s="34">
        <f>AE1076+AR1076-AN1076-AT1076-AU1076-AV1076</f>
        <v/>
      </c>
      <c r="AX1076" s="29">
        <f>LoadPremRate*E1076*N1076+AK1076+AQ1076-AU1076-AT1076</f>
        <v/>
      </c>
      <c r="AY1076" s="34">
        <f>AP1076-AO1076</f>
        <v/>
      </c>
      <c r="AZ1076" s="37">
        <f>(AW1076-AX1076-AY1076)/MAX(1,ABS(AW1076),ABS(AX1076),ABS(AY1076))</f>
        <v/>
      </c>
      <c r="BA1076" s="37">
        <f>IF(OR(K1076&gt;0,K1077&gt;0),0,(AC1077-(AC1076+AF1076-AQ1076-AP1076+AR1076-AI1076-AJ1076-AM1076))/MAX(1,ABS(AC1076),ABS(AC1077)))</f>
        <v/>
      </c>
      <c r="BB1076" s="35">
        <f>(1+INDEX(DiscRateAnn,INT(A1076/12)+1))^(1/12)-1</f>
        <v/>
      </c>
      <c r="BC1076" s="31">
        <f>(1+BB1076)^-A1076</f>
        <v/>
      </c>
      <c r="BD1076" s="34">
        <f>AW1076*BC1076</f>
        <v/>
      </c>
    </row>
    <row r="1077">
      <c r="A1077" s="27">
        <f>A1076+1</f>
        <v/>
      </c>
      <c r="B1077" s="28">
        <f>Duration0+A1077</f>
        <v/>
      </c>
      <c r="C1077" s="27">
        <f>INT(B1077/12)</f>
        <v/>
      </c>
      <c r="D1077" s="28">
        <f>AgeAtEntry+C1077</f>
        <v/>
      </c>
      <c r="E1077" s="29">
        <f>IF(PremiumType="SINGLE",IF(B1077=0,PremiumPPInput,0),IF(B1077&lt;12*PolicyTerm,PremiumPPInput,0))</f>
        <v/>
      </c>
      <c r="F1077" s="30">
        <f>INDEX(MortRates,MATCH(MIN(D1077,120),MortAges,0),MAX(MIN(C1077,5),0)+1)</f>
        <v/>
      </c>
      <c r="G1077" s="31">
        <f>1-(1-F1077)^(1/12)</f>
        <v/>
      </c>
      <c r="H1077" s="32">
        <f>MAX(LapseBase-LapseStep*C1077,LapseFloor)</f>
        <v/>
      </c>
      <c r="I1077" s="32">
        <f>IF(HasSurrCharge,INDEX(SurrRates,MIN(C1077,SurrDurMax)+1,MATCH(SurrChargeID,SurrTypes,0)),0)</f>
        <v/>
      </c>
      <c r="J1077" s="33">
        <f>N1076-P1076-O1076</f>
        <v/>
      </c>
      <c r="K1077" s="30">
        <f>IF(B1077=12*PolicyTerm,J1077,0)</f>
        <v/>
      </c>
      <c r="L1077" s="33">
        <f>J1077-K1077</f>
        <v/>
      </c>
      <c r="M1077" s="30">
        <f>IF(B1077=0,PolicyCount,0)</f>
        <v/>
      </c>
      <c r="N1077" s="33">
        <f>L1077+M1077</f>
        <v/>
      </c>
      <c r="O1077" s="31">
        <f>N1077*G1077</f>
        <v/>
      </c>
      <c r="P1077" s="33">
        <f>(N1077-O1077)*(1-(1-H1077)^(1/12))</f>
        <v/>
      </c>
      <c r="Q1077" s="34">
        <f>X1076+Z1076</f>
        <v/>
      </c>
      <c r="R1077" s="29">
        <f>(1-LoadPremRate)*E1077</f>
        <v/>
      </c>
      <c r="S1077" s="34">
        <f>Q1077+R1077</f>
        <v/>
      </c>
      <c r="T1077" s="29">
        <f>MaintFeeRateAnn/12*S1077</f>
        <v/>
      </c>
      <c r="U1077" s="29">
        <f>MAX(SumAssured-S1077,0)</f>
        <v/>
      </c>
      <c r="V1077" s="35">
        <f>CoiMultiple*G1077</f>
        <v/>
      </c>
      <c r="W1077" s="34">
        <f>V1077*U1077</f>
        <v/>
      </c>
      <c r="X1077" s="34">
        <f>S1077-T1077-W1077</f>
        <v/>
      </c>
      <c r="Y1077" s="36">
        <f>EXP((Mu-0.5*Sigma^2)/12+Sigma*SQRT(1/12)*INDEX(NormRand,ScenID,A1077+1))-1</f>
        <v/>
      </c>
      <c r="Z1077" s="34">
        <f>Y1077*X1077</f>
        <v/>
      </c>
      <c r="AA1077" s="34">
        <f>X1077+0.5*Z1077</f>
        <v/>
      </c>
      <c r="AB1077" s="34">
        <f>Q1077*J1077</f>
        <v/>
      </c>
      <c r="AC1077" s="34">
        <f>Q1077*L1077</f>
        <v/>
      </c>
      <c r="AD1077" s="34">
        <f>S1077*N1077</f>
        <v/>
      </c>
      <c r="AE1077" s="34">
        <f>E1077*N1077</f>
        <v/>
      </c>
      <c r="AF1077" s="34">
        <f>R1077*N1077</f>
        <v/>
      </c>
      <c r="AG1077" s="29">
        <f>MAX(SumAssured,AA1077)</f>
        <v/>
      </c>
      <c r="AH1077" s="34">
        <f>AG1077*O1077</f>
        <v/>
      </c>
      <c r="AI1077" s="34">
        <f>AA1077*O1077</f>
        <v/>
      </c>
      <c r="AJ1077" s="34">
        <f>AA1077*P1077</f>
        <v/>
      </c>
      <c r="AK1077" s="34">
        <f>I1077*AA1077*P1077</f>
        <v/>
      </c>
      <c r="AL1077" s="34">
        <f>AJ1077-AK1077</f>
        <v/>
      </c>
      <c r="AM1077" s="34">
        <f>Q1077*K1077</f>
        <v/>
      </c>
      <c r="AN1077" s="34">
        <f>AH1077+AL1077+AM1077</f>
        <v/>
      </c>
      <c r="AO1077" s="34">
        <f>(AG1077-AA1077)*O1077</f>
        <v/>
      </c>
      <c r="AP1077" s="34">
        <f>W1077*N1077</f>
        <v/>
      </c>
      <c r="AQ1077" s="34">
        <f>T1077*N1077</f>
        <v/>
      </c>
      <c r="AR1077" s="34">
        <f>Z1077*J1078+0.5*Z1077*(O1077+P1077)</f>
        <v/>
      </c>
      <c r="AS1077" s="30">
        <f>(1+InflationRate)^(A1077/12)</f>
        <v/>
      </c>
      <c r="AT1077" s="29">
        <f>ExpenseAcq*M1077+N1077*ExpenseMaint/12*AS1077</f>
        <v/>
      </c>
      <c r="AU1077" s="29">
        <f>CommissionRate*AE1077</f>
        <v/>
      </c>
      <c r="AV1077" s="34">
        <f>AB1078-AB1077</f>
        <v/>
      </c>
      <c r="AW1077" s="34">
        <f>AE1077+AR1077-AN1077-AT1077-AU1077-AV1077</f>
        <v/>
      </c>
      <c r="AX1077" s="29">
        <f>LoadPremRate*E1077*N1077+AK1077+AQ1077-AU1077-AT1077</f>
        <v/>
      </c>
      <c r="AY1077" s="34">
        <f>AP1077-AO1077</f>
        <v/>
      </c>
      <c r="AZ1077" s="37">
        <f>(AW1077-AX1077-AY1077)/MAX(1,ABS(AW1077),ABS(AX1077),ABS(AY1077))</f>
        <v/>
      </c>
      <c r="BA1077" s="37">
        <f>IF(OR(K1077&gt;0,K1078&gt;0),0,(AC1078-(AC1077+AF1077-AQ1077-AP1077+AR1077-AI1077-AJ1077-AM1077))/MAX(1,ABS(AC1077),ABS(AC1078)))</f>
        <v/>
      </c>
      <c r="BB1077" s="35">
        <f>(1+INDEX(DiscRateAnn,INT(A1077/12)+1))^(1/12)-1</f>
        <v/>
      </c>
      <c r="BC1077" s="31">
        <f>(1+BB1077)^-A1077</f>
        <v/>
      </c>
      <c r="BD1077" s="34">
        <f>AW1077*BC1077</f>
        <v/>
      </c>
    </row>
    <row r="1078">
      <c r="A1078" s="27">
        <f>A1077+1</f>
        <v/>
      </c>
      <c r="B1078" s="28">
        <f>Duration0+A1078</f>
        <v/>
      </c>
      <c r="C1078" s="27">
        <f>INT(B1078/12)</f>
        <v/>
      </c>
      <c r="D1078" s="28">
        <f>AgeAtEntry+C1078</f>
        <v/>
      </c>
      <c r="E1078" s="29">
        <f>IF(PremiumType="SINGLE",IF(B1078=0,PremiumPPInput,0),IF(B1078&lt;12*PolicyTerm,PremiumPPInput,0))</f>
        <v/>
      </c>
      <c r="F1078" s="30">
        <f>INDEX(MortRates,MATCH(MIN(D1078,120),MortAges,0),MAX(MIN(C1078,5),0)+1)</f>
        <v/>
      </c>
      <c r="G1078" s="31">
        <f>1-(1-F1078)^(1/12)</f>
        <v/>
      </c>
      <c r="H1078" s="32">
        <f>MAX(LapseBase-LapseStep*C1078,LapseFloor)</f>
        <v/>
      </c>
      <c r="I1078" s="32">
        <f>IF(HasSurrCharge,INDEX(SurrRates,MIN(C1078,SurrDurMax)+1,MATCH(SurrChargeID,SurrTypes,0)),0)</f>
        <v/>
      </c>
      <c r="J1078" s="33">
        <f>N1077-P1077-O1077</f>
        <v/>
      </c>
      <c r="K1078" s="30">
        <f>IF(B1078=12*PolicyTerm,J1078,0)</f>
        <v/>
      </c>
      <c r="L1078" s="33">
        <f>J1078-K1078</f>
        <v/>
      </c>
      <c r="M1078" s="30">
        <f>IF(B1078=0,PolicyCount,0)</f>
        <v/>
      </c>
      <c r="N1078" s="33">
        <f>L1078+M1078</f>
        <v/>
      </c>
      <c r="O1078" s="31">
        <f>N1078*G1078</f>
        <v/>
      </c>
      <c r="P1078" s="33">
        <f>(N1078-O1078)*(1-(1-H1078)^(1/12))</f>
        <v/>
      </c>
      <c r="Q1078" s="34">
        <f>X1077+Z1077</f>
        <v/>
      </c>
      <c r="R1078" s="29">
        <f>(1-LoadPremRate)*E1078</f>
        <v/>
      </c>
      <c r="S1078" s="34">
        <f>Q1078+R1078</f>
        <v/>
      </c>
      <c r="T1078" s="29">
        <f>MaintFeeRateAnn/12*S1078</f>
        <v/>
      </c>
      <c r="U1078" s="29">
        <f>MAX(SumAssured-S1078,0)</f>
        <v/>
      </c>
      <c r="V1078" s="35">
        <f>CoiMultiple*G1078</f>
        <v/>
      </c>
      <c r="W1078" s="34">
        <f>V1078*U1078</f>
        <v/>
      </c>
      <c r="X1078" s="34">
        <f>S1078-T1078-W1078</f>
        <v/>
      </c>
      <c r="Y1078" s="36">
        <f>EXP((Mu-0.5*Sigma^2)/12+Sigma*SQRT(1/12)*INDEX(NormRand,ScenID,A1078+1))-1</f>
        <v/>
      </c>
      <c r="Z1078" s="34">
        <f>Y1078*X1078</f>
        <v/>
      </c>
      <c r="AA1078" s="34">
        <f>X1078+0.5*Z1078</f>
        <v/>
      </c>
      <c r="AB1078" s="34">
        <f>Q1078*J1078</f>
        <v/>
      </c>
      <c r="AC1078" s="34">
        <f>Q1078*L1078</f>
        <v/>
      </c>
      <c r="AD1078" s="34">
        <f>S1078*N1078</f>
        <v/>
      </c>
      <c r="AE1078" s="34">
        <f>E1078*N1078</f>
        <v/>
      </c>
      <c r="AF1078" s="34">
        <f>R1078*N1078</f>
        <v/>
      </c>
      <c r="AG1078" s="29">
        <f>MAX(SumAssured,AA1078)</f>
        <v/>
      </c>
      <c r="AH1078" s="34">
        <f>AG1078*O1078</f>
        <v/>
      </c>
      <c r="AI1078" s="34">
        <f>AA1078*O1078</f>
        <v/>
      </c>
      <c r="AJ1078" s="34">
        <f>AA1078*P1078</f>
        <v/>
      </c>
      <c r="AK1078" s="34">
        <f>I1078*AA1078*P1078</f>
        <v/>
      </c>
      <c r="AL1078" s="34">
        <f>AJ1078-AK1078</f>
        <v/>
      </c>
      <c r="AM1078" s="34">
        <f>Q1078*K1078</f>
        <v/>
      </c>
      <c r="AN1078" s="34">
        <f>AH1078+AL1078+AM1078</f>
        <v/>
      </c>
      <c r="AO1078" s="34">
        <f>(AG1078-AA1078)*O1078</f>
        <v/>
      </c>
      <c r="AP1078" s="34">
        <f>W1078*N1078</f>
        <v/>
      </c>
      <c r="AQ1078" s="34">
        <f>T1078*N1078</f>
        <v/>
      </c>
      <c r="AR1078" s="34">
        <f>Z1078*J1079+0.5*Z1078*(O1078+P1078)</f>
        <v/>
      </c>
      <c r="AS1078" s="30">
        <f>(1+InflationRate)^(A1078/12)</f>
        <v/>
      </c>
      <c r="AT1078" s="29">
        <f>ExpenseAcq*M1078+N1078*ExpenseMaint/12*AS1078</f>
        <v/>
      </c>
      <c r="AU1078" s="29">
        <f>CommissionRate*AE1078</f>
        <v/>
      </c>
      <c r="AV1078" s="34">
        <f>AB1079-AB1078</f>
        <v/>
      </c>
      <c r="AW1078" s="34">
        <f>AE1078+AR1078-AN1078-AT1078-AU1078-AV1078</f>
        <v/>
      </c>
      <c r="AX1078" s="29">
        <f>LoadPremRate*E1078*N1078+AK1078+AQ1078-AU1078-AT1078</f>
        <v/>
      </c>
      <c r="AY1078" s="34">
        <f>AP1078-AO1078</f>
        <v/>
      </c>
      <c r="AZ1078" s="37">
        <f>(AW1078-AX1078-AY1078)/MAX(1,ABS(AW1078),ABS(AX1078),ABS(AY1078))</f>
        <v/>
      </c>
      <c r="BA1078" s="37">
        <f>IF(OR(K1078&gt;0,K1079&gt;0),0,(AC1079-(AC1078+AF1078-AQ1078-AP1078+AR1078-AI1078-AJ1078-AM1078))/MAX(1,ABS(AC1078),ABS(AC1079)))</f>
        <v/>
      </c>
      <c r="BB1078" s="35">
        <f>(1+INDEX(DiscRateAnn,INT(A1078/12)+1))^(1/12)-1</f>
        <v/>
      </c>
      <c r="BC1078" s="31">
        <f>(1+BB1078)^-A1078</f>
        <v/>
      </c>
      <c r="BD1078" s="34">
        <f>AW1078*BC1078</f>
        <v/>
      </c>
    </row>
    <row r="1079">
      <c r="A1079" s="27">
        <f>A1078+1</f>
        <v/>
      </c>
      <c r="B1079" s="28">
        <f>Duration0+A1079</f>
        <v/>
      </c>
      <c r="C1079" s="27">
        <f>INT(B1079/12)</f>
        <v/>
      </c>
      <c r="D1079" s="28">
        <f>AgeAtEntry+C1079</f>
        <v/>
      </c>
      <c r="E1079" s="29">
        <f>IF(PremiumType="SINGLE",IF(B1079=0,PremiumPPInput,0),IF(B1079&lt;12*PolicyTerm,PremiumPPInput,0))</f>
        <v/>
      </c>
      <c r="F1079" s="30">
        <f>INDEX(MortRates,MATCH(MIN(D1079,120),MortAges,0),MAX(MIN(C1079,5),0)+1)</f>
        <v/>
      </c>
      <c r="G1079" s="31">
        <f>1-(1-F1079)^(1/12)</f>
        <v/>
      </c>
      <c r="H1079" s="32">
        <f>MAX(LapseBase-LapseStep*C1079,LapseFloor)</f>
        <v/>
      </c>
      <c r="I1079" s="32">
        <f>IF(HasSurrCharge,INDEX(SurrRates,MIN(C1079,SurrDurMax)+1,MATCH(SurrChargeID,SurrTypes,0)),0)</f>
        <v/>
      </c>
      <c r="J1079" s="33">
        <f>N1078-P1078-O1078</f>
        <v/>
      </c>
      <c r="K1079" s="30">
        <f>IF(B1079=12*PolicyTerm,J1079,0)</f>
        <v/>
      </c>
      <c r="L1079" s="33">
        <f>J1079-K1079</f>
        <v/>
      </c>
      <c r="M1079" s="30">
        <f>IF(B1079=0,PolicyCount,0)</f>
        <v/>
      </c>
      <c r="N1079" s="33">
        <f>L1079+M1079</f>
        <v/>
      </c>
      <c r="O1079" s="31">
        <f>N1079*G1079</f>
        <v/>
      </c>
      <c r="P1079" s="33">
        <f>(N1079-O1079)*(1-(1-H1079)^(1/12))</f>
        <v/>
      </c>
      <c r="Q1079" s="34">
        <f>X1078+Z1078</f>
        <v/>
      </c>
      <c r="R1079" s="29">
        <f>(1-LoadPremRate)*E1079</f>
        <v/>
      </c>
      <c r="S1079" s="34">
        <f>Q1079+R1079</f>
        <v/>
      </c>
      <c r="T1079" s="29">
        <f>MaintFeeRateAnn/12*S1079</f>
        <v/>
      </c>
      <c r="U1079" s="29">
        <f>MAX(SumAssured-S1079,0)</f>
        <v/>
      </c>
      <c r="V1079" s="35">
        <f>CoiMultiple*G1079</f>
        <v/>
      </c>
      <c r="W1079" s="34">
        <f>V1079*U1079</f>
        <v/>
      </c>
      <c r="X1079" s="34">
        <f>S1079-T1079-W1079</f>
        <v/>
      </c>
      <c r="Y1079" s="36">
        <f>EXP((Mu-0.5*Sigma^2)/12+Sigma*SQRT(1/12)*INDEX(NormRand,ScenID,A1079+1))-1</f>
        <v/>
      </c>
      <c r="Z1079" s="34">
        <f>Y1079*X1079</f>
        <v/>
      </c>
      <c r="AA1079" s="34">
        <f>X1079+0.5*Z1079</f>
        <v/>
      </c>
      <c r="AB1079" s="34">
        <f>Q1079*J1079</f>
        <v/>
      </c>
      <c r="AC1079" s="34">
        <f>Q1079*L1079</f>
        <v/>
      </c>
      <c r="AD1079" s="34">
        <f>S1079*N1079</f>
        <v/>
      </c>
      <c r="AE1079" s="34">
        <f>E1079*N1079</f>
        <v/>
      </c>
      <c r="AF1079" s="34">
        <f>R1079*N1079</f>
        <v/>
      </c>
      <c r="AG1079" s="29">
        <f>MAX(SumAssured,AA1079)</f>
        <v/>
      </c>
      <c r="AH1079" s="34">
        <f>AG1079*O1079</f>
        <v/>
      </c>
      <c r="AI1079" s="34">
        <f>AA1079*O1079</f>
        <v/>
      </c>
      <c r="AJ1079" s="34">
        <f>AA1079*P1079</f>
        <v/>
      </c>
      <c r="AK1079" s="34">
        <f>I1079*AA1079*P1079</f>
        <v/>
      </c>
      <c r="AL1079" s="34">
        <f>AJ1079-AK1079</f>
        <v/>
      </c>
      <c r="AM1079" s="34">
        <f>Q1079*K1079</f>
        <v/>
      </c>
      <c r="AN1079" s="34">
        <f>AH1079+AL1079+AM1079</f>
        <v/>
      </c>
      <c r="AO1079" s="34">
        <f>(AG1079-AA1079)*O1079</f>
        <v/>
      </c>
      <c r="AP1079" s="34">
        <f>W1079*N1079</f>
        <v/>
      </c>
      <c r="AQ1079" s="34">
        <f>T1079*N1079</f>
        <v/>
      </c>
      <c r="AR1079" s="34">
        <f>Z1079*J1080+0.5*Z1079*(O1079+P1079)</f>
        <v/>
      </c>
      <c r="AS1079" s="30">
        <f>(1+InflationRate)^(A1079/12)</f>
        <v/>
      </c>
      <c r="AT1079" s="29">
        <f>ExpenseAcq*M1079+N1079*ExpenseMaint/12*AS1079</f>
        <v/>
      </c>
      <c r="AU1079" s="29">
        <f>CommissionRate*AE1079</f>
        <v/>
      </c>
      <c r="AV1079" s="34">
        <f>AB1080-AB1079</f>
        <v/>
      </c>
      <c r="AW1079" s="34">
        <f>AE1079+AR1079-AN1079-AT1079-AU1079-AV1079</f>
        <v/>
      </c>
      <c r="AX1079" s="29">
        <f>LoadPremRate*E1079*N1079+AK1079+AQ1079-AU1079-AT1079</f>
        <v/>
      </c>
      <c r="AY1079" s="34">
        <f>AP1079-AO1079</f>
        <v/>
      </c>
      <c r="AZ1079" s="37">
        <f>(AW1079-AX1079-AY1079)/MAX(1,ABS(AW1079),ABS(AX1079),ABS(AY1079))</f>
        <v/>
      </c>
      <c r="BA1079" s="37">
        <f>IF(OR(K1079&gt;0,K1080&gt;0),0,(AC1080-(AC1079+AF1079-AQ1079-AP1079+AR1079-AI1079-AJ1079-AM1079))/MAX(1,ABS(AC1079),ABS(AC1080)))</f>
        <v/>
      </c>
      <c r="BB1079" s="35">
        <f>(1+INDEX(DiscRateAnn,INT(A1079/12)+1))^(1/12)-1</f>
        <v/>
      </c>
      <c r="BC1079" s="31">
        <f>(1+BB1079)^-A1079</f>
        <v/>
      </c>
      <c r="BD1079" s="34">
        <f>AW1079*BC1079</f>
        <v/>
      </c>
    </row>
    <row r="1080">
      <c r="A1080" s="27">
        <f>A1079+1</f>
        <v/>
      </c>
      <c r="B1080" s="28">
        <f>Duration0+A1080</f>
        <v/>
      </c>
      <c r="C1080" s="27">
        <f>INT(B1080/12)</f>
        <v/>
      </c>
      <c r="D1080" s="28">
        <f>AgeAtEntry+C1080</f>
        <v/>
      </c>
      <c r="E1080" s="29">
        <f>IF(PremiumType="SINGLE",IF(B1080=0,PremiumPPInput,0),IF(B1080&lt;12*PolicyTerm,PremiumPPInput,0))</f>
        <v/>
      </c>
      <c r="F1080" s="30">
        <f>INDEX(MortRates,MATCH(MIN(D1080,120),MortAges,0),MAX(MIN(C1080,5),0)+1)</f>
        <v/>
      </c>
      <c r="G1080" s="31">
        <f>1-(1-F1080)^(1/12)</f>
        <v/>
      </c>
      <c r="H1080" s="32">
        <f>MAX(LapseBase-LapseStep*C1080,LapseFloor)</f>
        <v/>
      </c>
      <c r="I1080" s="32">
        <f>IF(HasSurrCharge,INDEX(SurrRates,MIN(C1080,SurrDurMax)+1,MATCH(SurrChargeID,SurrTypes,0)),0)</f>
        <v/>
      </c>
      <c r="J1080" s="33">
        <f>N1079-P1079-O1079</f>
        <v/>
      </c>
      <c r="K1080" s="30">
        <f>IF(B1080=12*PolicyTerm,J1080,0)</f>
        <v/>
      </c>
      <c r="L1080" s="33">
        <f>J1080-K1080</f>
        <v/>
      </c>
      <c r="M1080" s="30">
        <f>IF(B1080=0,PolicyCount,0)</f>
        <v/>
      </c>
      <c r="N1080" s="33">
        <f>L1080+M1080</f>
        <v/>
      </c>
      <c r="O1080" s="31">
        <f>N1080*G1080</f>
        <v/>
      </c>
      <c r="P1080" s="33">
        <f>(N1080-O1080)*(1-(1-H1080)^(1/12))</f>
        <v/>
      </c>
      <c r="Q1080" s="34">
        <f>X1079+Z1079</f>
        <v/>
      </c>
      <c r="R1080" s="29">
        <f>(1-LoadPremRate)*E1080</f>
        <v/>
      </c>
      <c r="S1080" s="34">
        <f>Q1080+R1080</f>
        <v/>
      </c>
      <c r="T1080" s="29">
        <f>MaintFeeRateAnn/12*S1080</f>
        <v/>
      </c>
      <c r="U1080" s="29">
        <f>MAX(SumAssured-S1080,0)</f>
        <v/>
      </c>
      <c r="V1080" s="35">
        <f>CoiMultiple*G1080</f>
        <v/>
      </c>
      <c r="W1080" s="34">
        <f>V1080*U1080</f>
        <v/>
      </c>
      <c r="X1080" s="34">
        <f>S1080-T1080-W1080</f>
        <v/>
      </c>
      <c r="Y1080" s="36">
        <f>EXP((Mu-0.5*Sigma^2)/12+Sigma*SQRT(1/12)*INDEX(NormRand,ScenID,A1080+1))-1</f>
        <v/>
      </c>
      <c r="Z1080" s="34">
        <f>Y1080*X1080</f>
        <v/>
      </c>
      <c r="AA1080" s="34">
        <f>X1080+0.5*Z1080</f>
        <v/>
      </c>
      <c r="AB1080" s="34">
        <f>Q1080*J1080</f>
        <v/>
      </c>
      <c r="AC1080" s="34">
        <f>Q1080*L1080</f>
        <v/>
      </c>
      <c r="AD1080" s="34">
        <f>S1080*N1080</f>
        <v/>
      </c>
      <c r="AE1080" s="34">
        <f>E1080*N1080</f>
        <v/>
      </c>
      <c r="AF1080" s="34">
        <f>R1080*N1080</f>
        <v/>
      </c>
      <c r="AG1080" s="29">
        <f>MAX(SumAssured,AA1080)</f>
        <v/>
      </c>
      <c r="AH1080" s="34">
        <f>AG1080*O1080</f>
        <v/>
      </c>
      <c r="AI1080" s="34">
        <f>AA1080*O1080</f>
        <v/>
      </c>
      <c r="AJ1080" s="34">
        <f>AA1080*P1080</f>
        <v/>
      </c>
      <c r="AK1080" s="34">
        <f>I1080*AA1080*P1080</f>
        <v/>
      </c>
      <c r="AL1080" s="34">
        <f>AJ1080-AK1080</f>
        <v/>
      </c>
      <c r="AM1080" s="34">
        <f>Q1080*K1080</f>
        <v/>
      </c>
      <c r="AN1080" s="34">
        <f>AH1080+AL1080+AM1080</f>
        <v/>
      </c>
      <c r="AO1080" s="34">
        <f>(AG1080-AA1080)*O1080</f>
        <v/>
      </c>
      <c r="AP1080" s="34">
        <f>W1080*N1080</f>
        <v/>
      </c>
      <c r="AQ1080" s="34">
        <f>T1080*N1080</f>
        <v/>
      </c>
      <c r="AR1080" s="34">
        <f>Z1080*J1081+0.5*Z1080*(O1080+P1080)</f>
        <v/>
      </c>
      <c r="AS1080" s="30">
        <f>(1+InflationRate)^(A1080/12)</f>
        <v/>
      </c>
      <c r="AT1080" s="29">
        <f>ExpenseAcq*M1080+N1080*ExpenseMaint/12*AS1080</f>
        <v/>
      </c>
      <c r="AU1080" s="29">
        <f>CommissionRate*AE1080</f>
        <v/>
      </c>
      <c r="AV1080" s="34">
        <f>AB1081-AB1080</f>
        <v/>
      </c>
      <c r="AW1080" s="34">
        <f>AE1080+AR1080-AN1080-AT1080-AU1080-AV1080</f>
        <v/>
      </c>
      <c r="AX1080" s="29">
        <f>LoadPremRate*E1080*N1080+AK1080+AQ1080-AU1080-AT1080</f>
        <v/>
      </c>
      <c r="AY1080" s="34">
        <f>AP1080-AO1080</f>
        <v/>
      </c>
      <c r="AZ1080" s="37">
        <f>(AW1080-AX1080-AY1080)/MAX(1,ABS(AW1080),ABS(AX1080),ABS(AY1080))</f>
        <v/>
      </c>
      <c r="BA1080" s="37">
        <f>IF(OR(K1080&gt;0,K1081&gt;0),0,(AC1081-(AC1080+AF1080-AQ1080-AP1080+AR1080-AI1080-AJ1080-AM1080))/MAX(1,ABS(AC1080),ABS(AC1081)))</f>
        <v/>
      </c>
      <c r="BB1080" s="35">
        <f>(1+INDEX(DiscRateAnn,INT(A1080/12)+1))^(1/12)-1</f>
        <v/>
      </c>
      <c r="BC1080" s="31">
        <f>(1+BB1080)^-A1080</f>
        <v/>
      </c>
      <c r="BD1080" s="34">
        <f>AW1080*BC1080</f>
        <v/>
      </c>
    </row>
    <row r="1081">
      <c r="A1081" s="27">
        <f>A1080+1</f>
        <v/>
      </c>
      <c r="B1081" s="28">
        <f>Duration0+A1081</f>
        <v/>
      </c>
      <c r="C1081" s="27">
        <f>INT(B1081/12)</f>
        <v/>
      </c>
      <c r="D1081" s="28">
        <f>AgeAtEntry+C1081</f>
        <v/>
      </c>
      <c r="E1081" s="29">
        <f>IF(PremiumType="SINGLE",IF(B1081=0,PremiumPPInput,0),IF(B1081&lt;12*PolicyTerm,PremiumPPInput,0))</f>
        <v/>
      </c>
      <c r="F1081" s="30">
        <f>INDEX(MortRates,MATCH(MIN(D1081,120),MortAges,0),MAX(MIN(C1081,5),0)+1)</f>
        <v/>
      </c>
      <c r="G1081" s="31">
        <f>1-(1-F1081)^(1/12)</f>
        <v/>
      </c>
      <c r="H1081" s="32">
        <f>MAX(LapseBase-LapseStep*C1081,LapseFloor)</f>
        <v/>
      </c>
      <c r="I1081" s="32">
        <f>IF(HasSurrCharge,INDEX(SurrRates,MIN(C1081,SurrDurMax)+1,MATCH(SurrChargeID,SurrTypes,0)),0)</f>
        <v/>
      </c>
      <c r="J1081" s="33">
        <f>N1080-P1080-O1080</f>
        <v/>
      </c>
      <c r="K1081" s="30">
        <f>IF(B1081=12*PolicyTerm,J1081,0)</f>
        <v/>
      </c>
      <c r="L1081" s="33">
        <f>J1081-K1081</f>
        <v/>
      </c>
      <c r="M1081" s="30">
        <f>IF(B1081=0,PolicyCount,0)</f>
        <v/>
      </c>
      <c r="N1081" s="33">
        <f>L1081+M1081</f>
        <v/>
      </c>
      <c r="O1081" s="31">
        <f>N1081*G1081</f>
        <v/>
      </c>
      <c r="P1081" s="33">
        <f>(N1081-O1081)*(1-(1-H1081)^(1/12))</f>
        <v/>
      </c>
      <c r="Q1081" s="34">
        <f>X1080+Z1080</f>
        <v/>
      </c>
      <c r="R1081" s="29">
        <f>(1-LoadPremRate)*E1081</f>
        <v/>
      </c>
      <c r="S1081" s="34">
        <f>Q1081+R1081</f>
        <v/>
      </c>
      <c r="T1081" s="29">
        <f>MaintFeeRateAnn/12*S1081</f>
        <v/>
      </c>
      <c r="U1081" s="29">
        <f>MAX(SumAssured-S1081,0)</f>
        <v/>
      </c>
      <c r="V1081" s="35">
        <f>CoiMultiple*G1081</f>
        <v/>
      </c>
      <c r="W1081" s="34">
        <f>V1081*U1081</f>
        <v/>
      </c>
      <c r="X1081" s="34">
        <f>S1081-T1081-W1081</f>
        <v/>
      </c>
      <c r="Y1081" s="36">
        <f>EXP((Mu-0.5*Sigma^2)/12+Sigma*SQRT(1/12)*INDEX(NormRand,ScenID,A1081+1))-1</f>
        <v/>
      </c>
      <c r="Z1081" s="34">
        <f>Y1081*X1081</f>
        <v/>
      </c>
      <c r="AA1081" s="34">
        <f>X1081+0.5*Z1081</f>
        <v/>
      </c>
      <c r="AB1081" s="34">
        <f>Q1081*J1081</f>
        <v/>
      </c>
      <c r="AC1081" s="34">
        <f>Q1081*L1081</f>
        <v/>
      </c>
      <c r="AD1081" s="34">
        <f>S1081*N1081</f>
        <v/>
      </c>
      <c r="AE1081" s="34">
        <f>E1081*N1081</f>
        <v/>
      </c>
      <c r="AF1081" s="34">
        <f>R1081*N1081</f>
        <v/>
      </c>
      <c r="AG1081" s="29">
        <f>MAX(SumAssured,AA1081)</f>
        <v/>
      </c>
      <c r="AH1081" s="34">
        <f>AG1081*O1081</f>
        <v/>
      </c>
      <c r="AI1081" s="34">
        <f>AA1081*O1081</f>
        <v/>
      </c>
      <c r="AJ1081" s="34">
        <f>AA1081*P1081</f>
        <v/>
      </c>
      <c r="AK1081" s="34">
        <f>I1081*AA1081*P1081</f>
        <v/>
      </c>
      <c r="AL1081" s="34">
        <f>AJ1081-AK1081</f>
        <v/>
      </c>
      <c r="AM1081" s="34">
        <f>Q1081*K1081</f>
        <v/>
      </c>
      <c r="AN1081" s="34">
        <f>AH1081+AL1081+AM1081</f>
        <v/>
      </c>
      <c r="AO1081" s="34">
        <f>(AG1081-AA1081)*O1081</f>
        <v/>
      </c>
      <c r="AP1081" s="34">
        <f>W1081*N1081</f>
        <v/>
      </c>
      <c r="AQ1081" s="34">
        <f>T1081*N1081</f>
        <v/>
      </c>
      <c r="AR1081" s="34">
        <f>Z1081*J1082+0.5*Z1081*(O1081+P1081)</f>
        <v/>
      </c>
      <c r="AS1081" s="30">
        <f>(1+InflationRate)^(A1081/12)</f>
        <v/>
      </c>
      <c r="AT1081" s="29">
        <f>ExpenseAcq*M1081+N1081*ExpenseMaint/12*AS1081</f>
        <v/>
      </c>
      <c r="AU1081" s="29">
        <f>CommissionRate*AE1081</f>
        <v/>
      </c>
      <c r="AV1081" s="34">
        <f>AB1082-AB1081</f>
        <v/>
      </c>
      <c r="AW1081" s="34">
        <f>AE1081+AR1081-AN1081-AT1081-AU1081-AV1081</f>
        <v/>
      </c>
      <c r="AX1081" s="29">
        <f>LoadPremRate*E1081*N1081+AK1081+AQ1081-AU1081-AT1081</f>
        <v/>
      </c>
      <c r="AY1081" s="34">
        <f>AP1081-AO1081</f>
        <v/>
      </c>
      <c r="AZ1081" s="37">
        <f>(AW1081-AX1081-AY1081)/MAX(1,ABS(AW1081),ABS(AX1081),ABS(AY1081))</f>
        <v/>
      </c>
      <c r="BA1081" s="37">
        <f>IF(OR(K1081&gt;0,K1082&gt;0),0,(AC1082-(AC1081+AF1081-AQ1081-AP1081+AR1081-AI1081-AJ1081-AM1081))/MAX(1,ABS(AC1081),ABS(AC1082)))</f>
        <v/>
      </c>
      <c r="BB1081" s="35">
        <f>(1+INDEX(DiscRateAnn,INT(A1081/12)+1))^(1/12)-1</f>
        <v/>
      </c>
      <c r="BC1081" s="31">
        <f>(1+BB1081)^-A1081</f>
        <v/>
      </c>
      <c r="BD1081" s="34">
        <f>AW1081*BC1081</f>
        <v/>
      </c>
    </row>
    <row r="1082">
      <c r="A1082" s="27">
        <f>A1081+1</f>
        <v/>
      </c>
      <c r="B1082" s="28">
        <f>Duration0+A1082</f>
        <v/>
      </c>
      <c r="C1082" s="27">
        <f>INT(B1082/12)</f>
        <v/>
      </c>
      <c r="D1082" s="28">
        <f>AgeAtEntry+C1082</f>
        <v/>
      </c>
      <c r="E1082" s="29">
        <f>IF(PremiumType="SINGLE",IF(B1082=0,PremiumPPInput,0),IF(B1082&lt;12*PolicyTerm,PremiumPPInput,0))</f>
        <v/>
      </c>
      <c r="F1082" s="30">
        <f>INDEX(MortRates,MATCH(MIN(D1082,120),MortAges,0),MAX(MIN(C1082,5),0)+1)</f>
        <v/>
      </c>
      <c r="G1082" s="31">
        <f>1-(1-F1082)^(1/12)</f>
        <v/>
      </c>
      <c r="H1082" s="32">
        <f>MAX(LapseBase-LapseStep*C1082,LapseFloor)</f>
        <v/>
      </c>
      <c r="I1082" s="32">
        <f>IF(HasSurrCharge,INDEX(SurrRates,MIN(C1082,SurrDurMax)+1,MATCH(SurrChargeID,SurrTypes,0)),0)</f>
        <v/>
      </c>
      <c r="J1082" s="33">
        <f>N1081-P1081-O1081</f>
        <v/>
      </c>
      <c r="K1082" s="30">
        <f>IF(B1082=12*PolicyTerm,J1082,0)</f>
        <v/>
      </c>
      <c r="L1082" s="33">
        <f>J1082-K1082</f>
        <v/>
      </c>
      <c r="M1082" s="30">
        <f>IF(B1082=0,PolicyCount,0)</f>
        <v/>
      </c>
      <c r="N1082" s="33">
        <f>L1082+M1082</f>
        <v/>
      </c>
      <c r="O1082" s="31">
        <f>N1082*G1082</f>
        <v/>
      </c>
      <c r="P1082" s="33">
        <f>(N1082-O1082)*(1-(1-H1082)^(1/12))</f>
        <v/>
      </c>
      <c r="Q1082" s="34">
        <f>X1081+Z1081</f>
        <v/>
      </c>
      <c r="R1082" s="29">
        <f>(1-LoadPremRate)*E1082</f>
        <v/>
      </c>
      <c r="S1082" s="34">
        <f>Q1082+R1082</f>
        <v/>
      </c>
      <c r="T1082" s="29">
        <f>MaintFeeRateAnn/12*S1082</f>
        <v/>
      </c>
      <c r="U1082" s="29">
        <f>MAX(SumAssured-S1082,0)</f>
        <v/>
      </c>
      <c r="V1082" s="35">
        <f>CoiMultiple*G1082</f>
        <v/>
      </c>
      <c r="W1082" s="34">
        <f>V1082*U1082</f>
        <v/>
      </c>
      <c r="X1082" s="34">
        <f>S1082-T1082-W1082</f>
        <v/>
      </c>
      <c r="Y1082" s="36">
        <f>EXP((Mu-0.5*Sigma^2)/12+Sigma*SQRT(1/12)*INDEX(NormRand,ScenID,A1082+1))-1</f>
        <v/>
      </c>
      <c r="Z1082" s="34">
        <f>Y1082*X1082</f>
        <v/>
      </c>
      <c r="AA1082" s="34">
        <f>X1082+0.5*Z1082</f>
        <v/>
      </c>
      <c r="AB1082" s="34">
        <f>Q1082*J1082</f>
        <v/>
      </c>
      <c r="AC1082" s="34">
        <f>Q1082*L1082</f>
        <v/>
      </c>
      <c r="AD1082" s="34">
        <f>S1082*N1082</f>
        <v/>
      </c>
      <c r="AE1082" s="34">
        <f>E1082*N1082</f>
        <v/>
      </c>
      <c r="AF1082" s="34">
        <f>R1082*N1082</f>
        <v/>
      </c>
      <c r="AG1082" s="29">
        <f>MAX(SumAssured,AA1082)</f>
        <v/>
      </c>
      <c r="AH1082" s="34">
        <f>AG1082*O1082</f>
        <v/>
      </c>
      <c r="AI1082" s="34">
        <f>AA1082*O1082</f>
        <v/>
      </c>
      <c r="AJ1082" s="34">
        <f>AA1082*P1082</f>
        <v/>
      </c>
      <c r="AK1082" s="34">
        <f>I1082*AA1082*P1082</f>
        <v/>
      </c>
      <c r="AL1082" s="34">
        <f>AJ1082-AK1082</f>
        <v/>
      </c>
      <c r="AM1082" s="34">
        <f>Q1082*K1082</f>
        <v/>
      </c>
      <c r="AN1082" s="34">
        <f>AH1082+AL1082+AM1082</f>
        <v/>
      </c>
      <c r="AO1082" s="34">
        <f>(AG1082-AA1082)*O1082</f>
        <v/>
      </c>
      <c r="AP1082" s="34">
        <f>W1082*N1082</f>
        <v/>
      </c>
      <c r="AQ1082" s="34">
        <f>T1082*N1082</f>
        <v/>
      </c>
      <c r="AR1082" s="34">
        <f>Z1082*J1083+0.5*Z1082*(O1082+P1082)</f>
        <v/>
      </c>
      <c r="AS1082" s="30">
        <f>(1+InflationRate)^(A1082/12)</f>
        <v/>
      </c>
      <c r="AT1082" s="29">
        <f>ExpenseAcq*M1082+N1082*ExpenseMaint/12*AS1082</f>
        <v/>
      </c>
      <c r="AU1082" s="29">
        <f>CommissionRate*AE1082</f>
        <v/>
      </c>
      <c r="AV1082" s="34">
        <f>AB1083-AB1082</f>
        <v/>
      </c>
      <c r="AW1082" s="34">
        <f>AE1082+AR1082-AN1082-AT1082-AU1082-AV1082</f>
        <v/>
      </c>
      <c r="AX1082" s="29">
        <f>LoadPremRate*E1082*N1082+AK1082+AQ1082-AU1082-AT1082</f>
        <v/>
      </c>
      <c r="AY1082" s="34">
        <f>AP1082-AO1082</f>
        <v/>
      </c>
      <c r="AZ1082" s="37">
        <f>(AW1082-AX1082-AY1082)/MAX(1,ABS(AW1082),ABS(AX1082),ABS(AY1082))</f>
        <v/>
      </c>
      <c r="BA1082" s="37">
        <f>IF(OR(K1082&gt;0,K1083&gt;0),0,(AC1083-(AC1082+AF1082-AQ1082-AP1082+AR1082-AI1082-AJ1082-AM1082))/MAX(1,ABS(AC1082),ABS(AC1083)))</f>
        <v/>
      </c>
      <c r="BB1082" s="35">
        <f>(1+INDEX(DiscRateAnn,INT(A1082/12)+1))^(1/12)-1</f>
        <v/>
      </c>
      <c r="BC1082" s="31">
        <f>(1+BB1082)^-A1082</f>
        <v/>
      </c>
      <c r="BD1082" s="34">
        <f>AW1082*BC1082</f>
        <v/>
      </c>
    </row>
    <row r="1083">
      <c r="A1083" s="27">
        <f>A1082+1</f>
        <v/>
      </c>
      <c r="B1083" s="28">
        <f>Duration0+A1083</f>
        <v/>
      </c>
      <c r="C1083" s="27">
        <f>INT(B1083/12)</f>
        <v/>
      </c>
      <c r="D1083" s="28">
        <f>AgeAtEntry+C1083</f>
        <v/>
      </c>
      <c r="E1083" s="29">
        <f>IF(PremiumType="SINGLE",IF(B1083=0,PremiumPPInput,0),IF(B1083&lt;12*PolicyTerm,PremiumPPInput,0))</f>
        <v/>
      </c>
      <c r="F1083" s="30">
        <f>INDEX(MortRates,MATCH(MIN(D1083,120),MortAges,0),MAX(MIN(C1083,5),0)+1)</f>
        <v/>
      </c>
      <c r="G1083" s="31">
        <f>1-(1-F1083)^(1/12)</f>
        <v/>
      </c>
      <c r="H1083" s="32">
        <f>MAX(LapseBase-LapseStep*C1083,LapseFloor)</f>
        <v/>
      </c>
      <c r="I1083" s="32">
        <f>IF(HasSurrCharge,INDEX(SurrRates,MIN(C1083,SurrDurMax)+1,MATCH(SurrChargeID,SurrTypes,0)),0)</f>
        <v/>
      </c>
      <c r="J1083" s="33">
        <f>N1082-P1082-O1082</f>
        <v/>
      </c>
      <c r="K1083" s="30">
        <f>IF(B1083=12*PolicyTerm,J1083,0)</f>
        <v/>
      </c>
      <c r="L1083" s="33">
        <f>J1083-K1083</f>
        <v/>
      </c>
      <c r="M1083" s="30">
        <f>IF(B1083=0,PolicyCount,0)</f>
        <v/>
      </c>
      <c r="N1083" s="33">
        <f>L1083+M1083</f>
        <v/>
      </c>
      <c r="O1083" s="31">
        <f>N1083*G1083</f>
        <v/>
      </c>
      <c r="P1083" s="33">
        <f>(N1083-O1083)*(1-(1-H1083)^(1/12))</f>
        <v/>
      </c>
      <c r="Q1083" s="34">
        <f>X1082+Z1082</f>
        <v/>
      </c>
      <c r="R1083" s="29">
        <f>(1-LoadPremRate)*E1083</f>
        <v/>
      </c>
      <c r="S1083" s="34">
        <f>Q1083+R1083</f>
        <v/>
      </c>
      <c r="T1083" s="29">
        <f>MaintFeeRateAnn/12*S1083</f>
        <v/>
      </c>
      <c r="U1083" s="29">
        <f>MAX(SumAssured-S1083,0)</f>
        <v/>
      </c>
      <c r="V1083" s="35">
        <f>CoiMultiple*G1083</f>
        <v/>
      </c>
      <c r="W1083" s="34">
        <f>V1083*U1083</f>
        <v/>
      </c>
      <c r="X1083" s="34">
        <f>S1083-T1083-W1083</f>
        <v/>
      </c>
      <c r="Y1083" s="36">
        <f>EXP((Mu-0.5*Sigma^2)/12+Sigma*SQRT(1/12)*INDEX(NormRand,ScenID,A1083+1))-1</f>
        <v/>
      </c>
      <c r="Z1083" s="34">
        <f>Y1083*X1083</f>
        <v/>
      </c>
      <c r="AA1083" s="34">
        <f>X1083+0.5*Z1083</f>
        <v/>
      </c>
      <c r="AB1083" s="34">
        <f>Q1083*J1083</f>
        <v/>
      </c>
      <c r="AC1083" s="34">
        <f>Q1083*L1083</f>
        <v/>
      </c>
      <c r="AD1083" s="34">
        <f>S1083*N1083</f>
        <v/>
      </c>
      <c r="AE1083" s="34">
        <f>E1083*N1083</f>
        <v/>
      </c>
      <c r="AF1083" s="34">
        <f>R1083*N1083</f>
        <v/>
      </c>
      <c r="AG1083" s="29">
        <f>MAX(SumAssured,AA1083)</f>
        <v/>
      </c>
      <c r="AH1083" s="34">
        <f>AG1083*O1083</f>
        <v/>
      </c>
      <c r="AI1083" s="34">
        <f>AA1083*O1083</f>
        <v/>
      </c>
      <c r="AJ1083" s="34">
        <f>AA1083*P1083</f>
        <v/>
      </c>
      <c r="AK1083" s="34">
        <f>I1083*AA1083*P1083</f>
        <v/>
      </c>
      <c r="AL1083" s="34">
        <f>AJ1083-AK1083</f>
        <v/>
      </c>
      <c r="AM1083" s="34">
        <f>Q1083*K1083</f>
        <v/>
      </c>
      <c r="AN1083" s="34">
        <f>AH1083+AL1083+AM1083</f>
        <v/>
      </c>
      <c r="AO1083" s="34">
        <f>(AG1083-AA1083)*O1083</f>
        <v/>
      </c>
      <c r="AP1083" s="34">
        <f>W1083*N1083</f>
        <v/>
      </c>
      <c r="AQ1083" s="34">
        <f>T1083*N1083</f>
        <v/>
      </c>
      <c r="AR1083" s="34">
        <f>Z1083*J1084+0.5*Z1083*(O1083+P1083)</f>
        <v/>
      </c>
      <c r="AS1083" s="30">
        <f>(1+InflationRate)^(A1083/12)</f>
        <v/>
      </c>
      <c r="AT1083" s="29">
        <f>ExpenseAcq*M1083+N1083*ExpenseMaint/12*AS1083</f>
        <v/>
      </c>
      <c r="AU1083" s="29">
        <f>CommissionRate*AE1083</f>
        <v/>
      </c>
      <c r="AV1083" s="34">
        <f>AB1084-AB1083</f>
        <v/>
      </c>
      <c r="AW1083" s="34">
        <f>AE1083+AR1083-AN1083-AT1083-AU1083-AV1083</f>
        <v/>
      </c>
      <c r="AX1083" s="29">
        <f>LoadPremRate*E1083*N1083+AK1083+AQ1083-AU1083-AT1083</f>
        <v/>
      </c>
      <c r="AY1083" s="34">
        <f>AP1083-AO1083</f>
        <v/>
      </c>
      <c r="AZ1083" s="37">
        <f>(AW1083-AX1083-AY1083)/MAX(1,ABS(AW1083),ABS(AX1083),ABS(AY1083))</f>
        <v/>
      </c>
      <c r="BA1083" s="37">
        <f>IF(OR(K1083&gt;0,K1084&gt;0),0,(AC1084-(AC1083+AF1083-AQ1083-AP1083+AR1083-AI1083-AJ1083-AM1083))/MAX(1,ABS(AC1083),ABS(AC1084)))</f>
        <v/>
      </c>
      <c r="BB1083" s="35">
        <f>(1+INDEX(DiscRateAnn,INT(A1083/12)+1))^(1/12)-1</f>
        <v/>
      </c>
      <c r="BC1083" s="31">
        <f>(1+BB1083)^-A1083</f>
        <v/>
      </c>
      <c r="BD1083" s="34">
        <f>AW1083*BC1083</f>
        <v/>
      </c>
    </row>
    <row r="1084">
      <c r="A1084" s="27">
        <f>A1083+1</f>
        <v/>
      </c>
      <c r="B1084" s="28">
        <f>Duration0+A1084</f>
        <v/>
      </c>
      <c r="C1084" s="27">
        <f>INT(B1084/12)</f>
        <v/>
      </c>
      <c r="D1084" s="28">
        <f>AgeAtEntry+C1084</f>
        <v/>
      </c>
      <c r="E1084" s="29">
        <f>IF(PremiumType="SINGLE",IF(B1084=0,PremiumPPInput,0),IF(B1084&lt;12*PolicyTerm,PremiumPPInput,0))</f>
        <v/>
      </c>
      <c r="F1084" s="30">
        <f>INDEX(MortRates,MATCH(MIN(D1084,120),MortAges,0),MAX(MIN(C1084,5),0)+1)</f>
        <v/>
      </c>
      <c r="G1084" s="31">
        <f>1-(1-F1084)^(1/12)</f>
        <v/>
      </c>
      <c r="H1084" s="32">
        <f>MAX(LapseBase-LapseStep*C1084,LapseFloor)</f>
        <v/>
      </c>
      <c r="I1084" s="32">
        <f>IF(HasSurrCharge,INDEX(SurrRates,MIN(C1084,SurrDurMax)+1,MATCH(SurrChargeID,SurrTypes,0)),0)</f>
        <v/>
      </c>
      <c r="J1084" s="33">
        <f>N1083-P1083-O1083</f>
        <v/>
      </c>
      <c r="K1084" s="30">
        <f>IF(B1084=12*PolicyTerm,J1084,0)</f>
        <v/>
      </c>
      <c r="L1084" s="33">
        <f>J1084-K1084</f>
        <v/>
      </c>
      <c r="M1084" s="30">
        <f>IF(B1084=0,PolicyCount,0)</f>
        <v/>
      </c>
      <c r="N1084" s="33">
        <f>L1084+M1084</f>
        <v/>
      </c>
      <c r="O1084" s="31">
        <f>N1084*G1084</f>
        <v/>
      </c>
      <c r="P1084" s="33">
        <f>(N1084-O1084)*(1-(1-H1084)^(1/12))</f>
        <v/>
      </c>
      <c r="Q1084" s="34">
        <f>X1083+Z1083</f>
        <v/>
      </c>
      <c r="R1084" s="29">
        <f>(1-LoadPremRate)*E1084</f>
        <v/>
      </c>
      <c r="S1084" s="34">
        <f>Q1084+R1084</f>
        <v/>
      </c>
      <c r="T1084" s="29">
        <f>MaintFeeRateAnn/12*S1084</f>
        <v/>
      </c>
      <c r="U1084" s="29">
        <f>MAX(SumAssured-S1084,0)</f>
        <v/>
      </c>
      <c r="V1084" s="35">
        <f>CoiMultiple*G1084</f>
        <v/>
      </c>
      <c r="W1084" s="34">
        <f>V1084*U1084</f>
        <v/>
      </c>
      <c r="X1084" s="34">
        <f>S1084-T1084-W1084</f>
        <v/>
      </c>
      <c r="Y1084" s="36">
        <f>EXP((Mu-0.5*Sigma^2)/12+Sigma*SQRT(1/12)*INDEX(NormRand,ScenID,A1084+1))-1</f>
        <v/>
      </c>
      <c r="Z1084" s="34">
        <f>Y1084*X1084</f>
        <v/>
      </c>
      <c r="AA1084" s="34">
        <f>X1084+0.5*Z1084</f>
        <v/>
      </c>
      <c r="AB1084" s="34">
        <f>Q1084*J1084</f>
        <v/>
      </c>
      <c r="AC1084" s="34">
        <f>Q1084*L1084</f>
        <v/>
      </c>
      <c r="AD1084" s="34">
        <f>S1084*N1084</f>
        <v/>
      </c>
      <c r="AE1084" s="34">
        <f>E1084*N1084</f>
        <v/>
      </c>
      <c r="AF1084" s="34">
        <f>R1084*N1084</f>
        <v/>
      </c>
      <c r="AG1084" s="29">
        <f>MAX(SumAssured,AA1084)</f>
        <v/>
      </c>
      <c r="AH1084" s="34">
        <f>AG1084*O1084</f>
        <v/>
      </c>
      <c r="AI1084" s="34">
        <f>AA1084*O1084</f>
        <v/>
      </c>
      <c r="AJ1084" s="34">
        <f>AA1084*P1084</f>
        <v/>
      </c>
      <c r="AK1084" s="34">
        <f>I1084*AA1084*P1084</f>
        <v/>
      </c>
      <c r="AL1084" s="34">
        <f>AJ1084-AK1084</f>
        <v/>
      </c>
      <c r="AM1084" s="34">
        <f>Q1084*K1084</f>
        <v/>
      </c>
      <c r="AN1084" s="34">
        <f>AH1084+AL1084+AM1084</f>
        <v/>
      </c>
      <c r="AO1084" s="34">
        <f>(AG1084-AA1084)*O1084</f>
        <v/>
      </c>
      <c r="AP1084" s="34">
        <f>W1084*N1084</f>
        <v/>
      </c>
      <c r="AQ1084" s="34">
        <f>T1084*N1084</f>
        <v/>
      </c>
      <c r="AR1084" s="34">
        <f>Z1084*J1085+0.5*Z1084*(O1084+P1084)</f>
        <v/>
      </c>
      <c r="AS1084" s="30">
        <f>(1+InflationRate)^(A1084/12)</f>
        <v/>
      </c>
      <c r="AT1084" s="29">
        <f>ExpenseAcq*M1084+N1084*ExpenseMaint/12*AS1084</f>
        <v/>
      </c>
      <c r="AU1084" s="29">
        <f>CommissionRate*AE1084</f>
        <v/>
      </c>
      <c r="AV1084" s="34">
        <f>AB1085-AB1084</f>
        <v/>
      </c>
      <c r="AW1084" s="34">
        <f>AE1084+AR1084-AN1084-AT1084-AU1084-AV1084</f>
        <v/>
      </c>
      <c r="AX1084" s="29">
        <f>LoadPremRate*E1084*N1084+AK1084+AQ1084-AU1084-AT1084</f>
        <v/>
      </c>
      <c r="AY1084" s="34">
        <f>AP1084-AO1084</f>
        <v/>
      </c>
      <c r="AZ1084" s="37">
        <f>(AW1084-AX1084-AY1084)/MAX(1,ABS(AW1084),ABS(AX1084),ABS(AY1084))</f>
        <v/>
      </c>
      <c r="BA1084" s="37">
        <f>IF(OR(K1084&gt;0,K1085&gt;0),0,(AC1085-(AC1084+AF1084-AQ1084-AP1084+AR1084-AI1084-AJ1084-AM1084))/MAX(1,ABS(AC1084),ABS(AC1085)))</f>
        <v/>
      </c>
      <c r="BB1084" s="35">
        <f>(1+INDEX(DiscRateAnn,INT(A1084/12)+1))^(1/12)-1</f>
        <v/>
      </c>
      <c r="BC1084" s="31">
        <f>(1+BB1084)^-A1084</f>
        <v/>
      </c>
      <c r="BD1084" s="34">
        <f>AW1084*BC1084</f>
        <v/>
      </c>
    </row>
    <row r="1085">
      <c r="A1085" s="27">
        <f>A1084+1</f>
        <v/>
      </c>
      <c r="B1085" s="28">
        <f>Duration0+A1085</f>
        <v/>
      </c>
      <c r="C1085" s="27">
        <f>INT(B1085/12)</f>
        <v/>
      </c>
      <c r="D1085" s="28">
        <f>AgeAtEntry+C1085</f>
        <v/>
      </c>
      <c r="E1085" s="29">
        <f>IF(PremiumType="SINGLE",IF(B1085=0,PremiumPPInput,0),IF(B1085&lt;12*PolicyTerm,PremiumPPInput,0))</f>
        <v/>
      </c>
      <c r="F1085" s="30">
        <f>INDEX(MortRates,MATCH(MIN(D1085,120),MortAges,0),MAX(MIN(C1085,5),0)+1)</f>
        <v/>
      </c>
      <c r="G1085" s="31">
        <f>1-(1-F1085)^(1/12)</f>
        <v/>
      </c>
      <c r="H1085" s="32">
        <f>MAX(LapseBase-LapseStep*C1085,LapseFloor)</f>
        <v/>
      </c>
      <c r="I1085" s="32">
        <f>IF(HasSurrCharge,INDEX(SurrRates,MIN(C1085,SurrDurMax)+1,MATCH(SurrChargeID,SurrTypes,0)),0)</f>
        <v/>
      </c>
      <c r="J1085" s="33">
        <f>N1084-P1084-O1084</f>
        <v/>
      </c>
      <c r="K1085" s="30">
        <f>IF(B1085=12*PolicyTerm,J1085,0)</f>
        <v/>
      </c>
      <c r="L1085" s="33">
        <f>J1085-K1085</f>
        <v/>
      </c>
      <c r="M1085" s="30">
        <f>IF(B1085=0,PolicyCount,0)</f>
        <v/>
      </c>
      <c r="N1085" s="33">
        <f>L1085+M1085</f>
        <v/>
      </c>
      <c r="O1085" s="31">
        <f>N1085*G1085</f>
        <v/>
      </c>
      <c r="P1085" s="33">
        <f>(N1085-O1085)*(1-(1-H1085)^(1/12))</f>
        <v/>
      </c>
      <c r="Q1085" s="34">
        <f>X1084+Z1084</f>
        <v/>
      </c>
      <c r="R1085" s="29">
        <f>(1-LoadPremRate)*E1085</f>
        <v/>
      </c>
      <c r="S1085" s="34">
        <f>Q1085+R1085</f>
        <v/>
      </c>
      <c r="T1085" s="29">
        <f>MaintFeeRateAnn/12*S1085</f>
        <v/>
      </c>
      <c r="U1085" s="29">
        <f>MAX(SumAssured-S1085,0)</f>
        <v/>
      </c>
      <c r="V1085" s="35">
        <f>CoiMultiple*G1085</f>
        <v/>
      </c>
      <c r="W1085" s="34">
        <f>V1085*U1085</f>
        <v/>
      </c>
      <c r="X1085" s="34">
        <f>S1085-T1085-W1085</f>
        <v/>
      </c>
      <c r="Y1085" s="36">
        <f>EXP((Mu-0.5*Sigma^2)/12+Sigma*SQRT(1/12)*INDEX(NormRand,ScenID,A1085+1))-1</f>
        <v/>
      </c>
      <c r="Z1085" s="34">
        <f>Y1085*X1085</f>
        <v/>
      </c>
      <c r="AA1085" s="34">
        <f>X1085+0.5*Z1085</f>
        <v/>
      </c>
      <c r="AB1085" s="34">
        <f>Q1085*J1085</f>
        <v/>
      </c>
      <c r="AC1085" s="34">
        <f>Q1085*L1085</f>
        <v/>
      </c>
      <c r="AD1085" s="34">
        <f>S1085*N1085</f>
        <v/>
      </c>
      <c r="AE1085" s="34">
        <f>E1085*N1085</f>
        <v/>
      </c>
      <c r="AF1085" s="34">
        <f>R1085*N1085</f>
        <v/>
      </c>
      <c r="AG1085" s="29">
        <f>MAX(SumAssured,AA1085)</f>
        <v/>
      </c>
      <c r="AH1085" s="34">
        <f>AG1085*O1085</f>
        <v/>
      </c>
      <c r="AI1085" s="34">
        <f>AA1085*O1085</f>
        <v/>
      </c>
      <c r="AJ1085" s="34">
        <f>AA1085*P1085</f>
        <v/>
      </c>
      <c r="AK1085" s="34">
        <f>I1085*AA1085*P1085</f>
        <v/>
      </c>
      <c r="AL1085" s="34">
        <f>AJ1085-AK1085</f>
        <v/>
      </c>
      <c r="AM1085" s="34">
        <f>Q1085*K1085</f>
        <v/>
      </c>
      <c r="AN1085" s="34">
        <f>AH1085+AL1085+AM1085</f>
        <v/>
      </c>
      <c r="AO1085" s="34">
        <f>(AG1085-AA1085)*O1085</f>
        <v/>
      </c>
      <c r="AP1085" s="34">
        <f>W1085*N1085</f>
        <v/>
      </c>
      <c r="AQ1085" s="34">
        <f>T1085*N1085</f>
        <v/>
      </c>
      <c r="AR1085" s="34">
        <f>Z1085*J1086+0.5*Z1085*(O1085+P1085)</f>
        <v/>
      </c>
      <c r="AS1085" s="30">
        <f>(1+InflationRate)^(A1085/12)</f>
        <v/>
      </c>
      <c r="AT1085" s="29">
        <f>ExpenseAcq*M1085+N1085*ExpenseMaint/12*AS1085</f>
        <v/>
      </c>
      <c r="AU1085" s="29">
        <f>CommissionRate*AE1085</f>
        <v/>
      </c>
      <c r="AV1085" s="34">
        <f>AB1086-AB1085</f>
        <v/>
      </c>
      <c r="AW1085" s="34">
        <f>AE1085+AR1085-AN1085-AT1085-AU1085-AV1085</f>
        <v/>
      </c>
      <c r="AX1085" s="29">
        <f>LoadPremRate*E1085*N1085+AK1085+AQ1085-AU1085-AT1085</f>
        <v/>
      </c>
      <c r="AY1085" s="34">
        <f>AP1085-AO1085</f>
        <v/>
      </c>
      <c r="AZ1085" s="37">
        <f>(AW1085-AX1085-AY1085)/MAX(1,ABS(AW1085),ABS(AX1085),ABS(AY1085))</f>
        <v/>
      </c>
      <c r="BA1085" s="37">
        <f>IF(OR(K1085&gt;0,K1086&gt;0),0,(AC1086-(AC1085+AF1085-AQ1085-AP1085+AR1085-AI1085-AJ1085-AM1085))/MAX(1,ABS(AC1085),ABS(AC1086)))</f>
        <v/>
      </c>
      <c r="BB1085" s="35">
        <f>(1+INDEX(DiscRateAnn,INT(A1085/12)+1))^(1/12)-1</f>
        <v/>
      </c>
      <c r="BC1085" s="31">
        <f>(1+BB1085)^-A1085</f>
        <v/>
      </c>
      <c r="BD1085" s="34">
        <f>AW1085*BC1085</f>
        <v/>
      </c>
    </row>
    <row r="1086">
      <c r="A1086" s="27">
        <f>A1085+1</f>
        <v/>
      </c>
      <c r="B1086" s="28">
        <f>Duration0+A1086</f>
        <v/>
      </c>
      <c r="C1086" s="27">
        <f>INT(B1086/12)</f>
        <v/>
      </c>
      <c r="D1086" s="28">
        <f>AgeAtEntry+C1086</f>
        <v/>
      </c>
      <c r="E1086" s="29">
        <f>IF(PremiumType="SINGLE",IF(B1086=0,PremiumPPInput,0),IF(B1086&lt;12*PolicyTerm,PremiumPPInput,0))</f>
        <v/>
      </c>
      <c r="F1086" s="30">
        <f>INDEX(MortRates,MATCH(MIN(D1086,120),MortAges,0),MAX(MIN(C1086,5),0)+1)</f>
        <v/>
      </c>
      <c r="G1086" s="31">
        <f>1-(1-F1086)^(1/12)</f>
        <v/>
      </c>
      <c r="H1086" s="32">
        <f>MAX(LapseBase-LapseStep*C1086,LapseFloor)</f>
        <v/>
      </c>
      <c r="I1086" s="32">
        <f>IF(HasSurrCharge,INDEX(SurrRates,MIN(C1086,SurrDurMax)+1,MATCH(SurrChargeID,SurrTypes,0)),0)</f>
        <v/>
      </c>
      <c r="J1086" s="33">
        <f>N1085-P1085-O1085</f>
        <v/>
      </c>
      <c r="K1086" s="30">
        <f>IF(B1086=12*PolicyTerm,J1086,0)</f>
        <v/>
      </c>
      <c r="L1086" s="33">
        <f>J1086-K1086</f>
        <v/>
      </c>
      <c r="M1086" s="30">
        <f>IF(B1086=0,PolicyCount,0)</f>
        <v/>
      </c>
      <c r="N1086" s="33">
        <f>L1086+M1086</f>
        <v/>
      </c>
      <c r="O1086" s="31">
        <f>N1086*G1086</f>
        <v/>
      </c>
      <c r="P1086" s="33">
        <f>(N1086-O1086)*(1-(1-H1086)^(1/12))</f>
        <v/>
      </c>
      <c r="Q1086" s="34">
        <f>X1085+Z1085</f>
        <v/>
      </c>
      <c r="R1086" s="29">
        <f>(1-LoadPremRate)*E1086</f>
        <v/>
      </c>
      <c r="S1086" s="34">
        <f>Q1086+R1086</f>
        <v/>
      </c>
      <c r="T1086" s="29">
        <f>MaintFeeRateAnn/12*S1086</f>
        <v/>
      </c>
      <c r="U1086" s="29">
        <f>MAX(SumAssured-S1086,0)</f>
        <v/>
      </c>
      <c r="V1086" s="35">
        <f>CoiMultiple*G1086</f>
        <v/>
      </c>
      <c r="W1086" s="34">
        <f>V1086*U1086</f>
        <v/>
      </c>
      <c r="X1086" s="34">
        <f>S1086-T1086-W1086</f>
        <v/>
      </c>
      <c r="Y1086" s="36">
        <f>EXP((Mu-0.5*Sigma^2)/12+Sigma*SQRT(1/12)*INDEX(NormRand,ScenID,A1086+1))-1</f>
        <v/>
      </c>
      <c r="Z1086" s="34">
        <f>Y1086*X1086</f>
        <v/>
      </c>
      <c r="AA1086" s="34">
        <f>X1086+0.5*Z1086</f>
        <v/>
      </c>
      <c r="AB1086" s="34">
        <f>Q1086*J1086</f>
        <v/>
      </c>
      <c r="AC1086" s="34">
        <f>Q1086*L1086</f>
        <v/>
      </c>
      <c r="AD1086" s="34">
        <f>S1086*N1086</f>
        <v/>
      </c>
      <c r="AE1086" s="34">
        <f>E1086*N1086</f>
        <v/>
      </c>
      <c r="AF1086" s="34">
        <f>R1086*N1086</f>
        <v/>
      </c>
      <c r="AG1086" s="29">
        <f>MAX(SumAssured,AA1086)</f>
        <v/>
      </c>
      <c r="AH1086" s="34">
        <f>AG1086*O1086</f>
        <v/>
      </c>
      <c r="AI1086" s="34">
        <f>AA1086*O1086</f>
        <v/>
      </c>
      <c r="AJ1086" s="34">
        <f>AA1086*P1086</f>
        <v/>
      </c>
      <c r="AK1086" s="34">
        <f>I1086*AA1086*P1086</f>
        <v/>
      </c>
      <c r="AL1086" s="34">
        <f>AJ1086-AK1086</f>
        <v/>
      </c>
      <c r="AM1086" s="34">
        <f>Q1086*K1086</f>
        <v/>
      </c>
      <c r="AN1086" s="34">
        <f>AH1086+AL1086+AM1086</f>
        <v/>
      </c>
      <c r="AO1086" s="34">
        <f>(AG1086-AA1086)*O1086</f>
        <v/>
      </c>
      <c r="AP1086" s="34">
        <f>W1086*N1086</f>
        <v/>
      </c>
      <c r="AQ1086" s="34">
        <f>T1086*N1086</f>
        <v/>
      </c>
      <c r="AR1086" s="34">
        <f>Z1086*J1087+0.5*Z1086*(O1086+P1086)</f>
        <v/>
      </c>
      <c r="AS1086" s="30">
        <f>(1+InflationRate)^(A1086/12)</f>
        <v/>
      </c>
      <c r="AT1086" s="29">
        <f>ExpenseAcq*M1086+N1086*ExpenseMaint/12*AS1086</f>
        <v/>
      </c>
      <c r="AU1086" s="29">
        <f>CommissionRate*AE1086</f>
        <v/>
      </c>
      <c r="AV1086" s="34">
        <f>AB1087-AB1086</f>
        <v/>
      </c>
      <c r="AW1086" s="34">
        <f>AE1086+AR1086-AN1086-AT1086-AU1086-AV1086</f>
        <v/>
      </c>
      <c r="AX1086" s="29">
        <f>LoadPremRate*E1086*N1086+AK1086+AQ1086-AU1086-AT1086</f>
        <v/>
      </c>
      <c r="AY1086" s="34">
        <f>AP1086-AO1086</f>
        <v/>
      </c>
      <c r="AZ1086" s="37">
        <f>(AW1086-AX1086-AY1086)/MAX(1,ABS(AW1086),ABS(AX1086),ABS(AY1086))</f>
        <v/>
      </c>
      <c r="BA1086" s="37">
        <f>IF(OR(K1086&gt;0,K1087&gt;0),0,(AC1087-(AC1086+AF1086-AQ1086-AP1086+AR1086-AI1086-AJ1086-AM1086))/MAX(1,ABS(AC1086),ABS(AC1087)))</f>
        <v/>
      </c>
      <c r="BB1086" s="35">
        <f>(1+INDEX(DiscRateAnn,INT(A1086/12)+1))^(1/12)-1</f>
        <v/>
      </c>
      <c r="BC1086" s="31">
        <f>(1+BB1086)^-A1086</f>
        <v/>
      </c>
      <c r="BD1086" s="34">
        <f>AW1086*BC1086</f>
        <v/>
      </c>
    </row>
    <row r="1087">
      <c r="A1087" s="27">
        <f>A1086+1</f>
        <v/>
      </c>
      <c r="B1087" s="28">
        <f>Duration0+A1087</f>
        <v/>
      </c>
      <c r="C1087" s="27">
        <f>INT(B1087/12)</f>
        <v/>
      </c>
      <c r="D1087" s="28">
        <f>AgeAtEntry+C1087</f>
        <v/>
      </c>
      <c r="E1087" s="29">
        <f>IF(PremiumType="SINGLE",IF(B1087=0,PremiumPPInput,0),IF(B1087&lt;12*PolicyTerm,PremiumPPInput,0))</f>
        <v/>
      </c>
      <c r="F1087" s="30">
        <f>INDEX(MortRates,MATCH(MIN(D1087,120),MortAges,0),MAX(MIN(C1087,5),0)+1)</f>
        <v/>
      </c>
      <c r="G1087" s="31">
        <f>1-(1-F1087)^(1/12)</f>
        <v/>
      </c>
      <c r="H1087" s="32">
        <f>MAX(LapseBase-LapseStep*C1087,LapseFloor)</f>
        <v/>
      </c>
      <c r="I1087" s="32">
        <f>IF(HasSurrCharge,INDEX(SurrRates,MIN(C1087,SurrDurMax)+1,MATCH(SurrChargeID,SurrTypes,0)),0)</f>
        <v/>
      </c>
      <c r="J1087" s="33">
        <f>N1086-P1086-O1086</f>
        <v/>
      </c>
      <c r="K1087" s="30">
        <f>IF(B1087=12*PolicyTerm,J1087,0)</f>
        <v/>
      </c>
      <c r="L1087" s="33">
        <f>J1087-K1087</f>
        <v/>
      </c>
      <c r="M1087" s="30">
        <f>IF(B1087=0,PolicyCount,0)</f>
        <v/>
      </c>
      <c r="N1087" s="33">
        <f>L1087+M1087</f>
        <v/>
      </c>
      <c r="O1087" s="31">
        <f>N1087*G1087</f>
        <v/>
      </c>
      <c r="P1087" s="33">
        <f>(N1087-O1087)*(1-(1-H1087)^(1/12))</f>
        <v/>
      </c>
      <c r="Q1087" s="34">
        <f>X1086+Z1086</f>
        <v/>
      </c>
      <c r="R1087" s="29">
        <f>(1-LoadPremRate)*E1087</f>
        <v/>
      </c>
      <c r="S1087" s="34">
        <f>Q1087+R1087</f>
        <v/>
      </c>
      <c r="T1087" s="29">
        <f>MaintFeeRateAnn/12*S1087</f>
        <v/>
      </c>
      <c r="U1087" s="29">
        <f>MAX(SumAssured-S1087,0)</f>
        <v/>
      </c>
      <c r="V1087" s="35">
        <f>CoiMultiple*G1087</f>
        <v/>
      </c>
      <c r="W1087" s="34">
        <f>V1087*U1087</f>
        <v/>
      </c>
      <c r="X1087" s="34">
        <f>S1087-T1087-W1087</f>
        <v/>
      </c>
      <c r="Y1087" s="36">
        <f>EXP((Mu-0.5*Sigma^2)/12+Sigma*SQRT(1/12)*INDEX(NormRand,ScenID,A1087+1))-1</f>
        <v/>
      </c>
      <c r="Z1087" s="34">
        <f>Y1087*X1087</f>
        <v/>
      </c>
      <c r="AA1087" s="34">
        <f>X1087+0.5*Z1087</f>
        <v/>
      </c>
      <c r="AB1087" s="34">
        <f>Q1087*J1087</f>
        <v/>
      </c>
      <c r="AC1087" s="34">
        <f>Q1087*L1087</f>
        <v/>
      </c>
      <c r="AD1087" s="34">
        <f>S1087*N1087</f>
        <v/>
      </c>
      <c r="AE1087" s="34">
        <f>E1087*N1087</f>
        <v/>
      </c>
      <c r="AF1087" s="34">
        <f>R1087*N1087</f>
        <v/>
      </c>
      <c r="AG1087" s="29">
        <f>MAX(SumAssured,AA1087)</f>
        <v/>
      </c>
      <c r="AH1087" s="34">
        <f>AG1087*O1087</f>
        <v/>
      </c>
      <c r="AI1087" s="34">
        <f>AA1087*O1087</f>
        <v/>
      </c>
      <c r="AJ1087" s="34">
        <f>AA1087*P1087</f>
        <v/>
      </c>
      <c r="AK1087" s="34">
        <f>I1087*AA1087*P1087</f>
        <v/>
      </c>
      <c r="AL1087" s="34">
        <f>AJ1087-AK1087</f>
        <v/>
      </c>
      <c r="AM1087" s="34">
        <f>Q1087*K1087</f>
        <v/>
      </c>
      <c r="AN1087" s="34">
        <f>AH1087+AL1087+AM1087</f>
        <v/>
      </c>
      <c r="AO1087" s="34">
        <f>(AG1087-AA1087)*O1087</f>
        <v/>
      </c>
      <c r="AP1087" s="34">
        <f>W1087*N1087</f>
        <v/>
      </c>
      <c r="AQ1087" s="34">
        <f>T1087*N1087</f>
        <v/>
      </c>
      <c r="AR1087" s="34">
        <f>Z1087*J1088+0.5*Z1087*(O1087+P1087)</f>
        <v/>
      </c>
      <c r="AS1087" s="30">
        <f>(1+InflationRate)^(A1087/12)</f>
        <v/>
      </c>
      <c r="AT1087" s="29">
        <f>ExpenseAcq*M1087+N1087*ExpenseMaint/12*AS1087</f>
        <v/>
      </c>
      <c r="AU1087" s="29">
        <f>CommissionRate*AE1087</f>
        <v/>
      </c>
      <c r="AV1087" s="34">
        <f>AB1088-AB1087</f>
        <v/>
      </c>
      <c r="AW1087" s="34">
        <f>AE1087+AR1087-AN1087-AT1087-AU1087-AV1087</f>
        <v/>
      </c>
      <c r="AX1087" s="29">
        <f>LoadPremRate*E1087*N1087+AK1087+AQ1087-AU1087-AT1087</f>
        <v/>
      </c>
      <c r="AY1087" s="34">
        <f>AP1087-AO1087</f>
        <v/>
      </c>
      <c r="AZ1087" s="37">
        <f>(AW1087-AX1087-AY1087)/MAX(1,ABS(AW1087),ABS(AX1087),ABS(AY1087))</f>
        <v/>
      </c>
      <c r="BA1087" s="37">
        <f>IF(OR(K1087&gt;0,K1088&gt;0),0,(AC1088-(AC1087+AF1087-AQ1087-AP1087+AR1087-AI1087-AJ1087-AM1087))/MAX(1,ABS(AC1087),ABS(AC1088)))</f>
        <v/>
      </c>
      <c r="BB1087" s="35">
        <f>(1+INDEX(DiscRateAnn,INT(A1087/12)+1))^(1/12)-1</f>
        <v/>
      </c>
      <c r="BC1087" s="31">
        <f>(1+BB1087)^-A1087</f>
        <v/>
      </c>
      <c r="BD1087" s="34">
        <f>AW1087*BC1087</f>
        <v/>
      </c>
    </row>
    <row r="1088">
      <c r="A1088" s="27">
        <f>A1087+1</f>
        <v/>
      </c>
      <c r="B1088" s="28">
        <f>Duration0+A1088</f>
        <v/>
      </c>
      <c r="C1088" s="27">
        <f>INT(B1088/12)</f>
        <v/>
      </c>
      <c r="D1088" s="28">
        <f>AgeAtEntry+C1088</f>
        <v/>
      </c>
      <c r="E1088" s="29">
        <f>IF(PremiumType="SINGLE",IF(B1088=0,PremiumPPInput,0),IF(B1088&lt;12*PolicyTerm,PremiumPPInput,0))</f>
        <v/>
      </c>
      <c r="F1088" s="30">
        <f>INDEX(MortRates,MATCH(MIN(D1088,120),MortAges,0),MAX(MIN(C1088,5),0)+1)</f>
        <v/>
      </c>
      <c r="G1088" s="31">
        <f>1-(1-F1088)^(1/12)</f>
        <v/>
      </c>
      <c r="H1088" s="32">
        <f>MAX(LapseBase-LapseStep*C1088,LapseFloor)</f>
        <v/>
      </c>
      <c r="I1088" s="32">
        <f>IF(HasSurrCharge,INDEX(SurrRates,MIN(C1088,SurrDurMax)+1,MATCH(SurrChargeID,SurrTypes,0)),0)</f>
        <v/>
      </c>
      <c r="J1088" s="33">
        <f>N1087-P1087-O1087</f>
        <v/>
      </c>
      <c r="K1088" s="30">
        <f>IF(B1088=12*PolicyTerm,J1088,0)</f>
        <v/>
      </c>
      <c r="L1088" s="33">
        <f>J1088-K1088</f>
        <v/>
      </c>
      <c r="M1088" s="30">
        <f>IF(B1088=0,PolicyCount,0)</f>
        <v/>
      </c>
      <c r="N1088" s="33">
        <f>L1088+M1088</f>
        <v/>
      </c>
      <c r="O1088" s="31">
        <f>N1088*G1088</f>
        <v/>
      </c>
      <c r="P1088" s="33">
        <f>(N1088-O1088)*(1-(1-H1088)^(1/12))</f>
        <v/>
      </c>
      <c r="Q1088" s="34">
        <f>X1087+Z1087</f>
        <v/>
      </c>
      <c r="R1088" s="29">
        <f>(1-LoadPremRate)*E1088</f>
        <v/>
      </c>
      <c r="S1088" s="34">
        <f>Q1088+R1088</f>
        <v/>
      </c>
      <c r="T1088" s="29">
        <f>MaintFeeRateAnn/12*S1088</f>
        <v/>
      </c>
      <c r="U1088" s="29">
        <f>MAX(SumAssured-S1088,0)</f>
        <v/>
      </c>
      <c r="V1088" s="35">
        <f>CoiMultiple*G1088</f>
        <v/>
      </c>
      <c r="W1088" s="34">
        <f>V1088*U1088</f>
        <v/>
      </c>
      <c r="X1088" s="34">
        <f>S1088-T1088-W1088</f>
        <v/>
      </c>
      <c r="Y1088" s="36">
        <f>EXP((Mu-0.5*Sigma^2)/12+Sigma*SQRT(1/12)*INDEX(NormRand,ScenID,A1088+1))-1</f>
        <v/>
      </c>
      <c r="Z1088" s="34">
        <f>Y1088*X1088</f>
        <v/>
      </c>
      <c r="AA1088" s="34">
        <f>X1088+0.5*Z1088</f>
        <v/>
      </c>
      <c r="AB1088" s="34">
        <f>Q1088*J1088</f>
        <v/>
      </c>
      <c r="AC1088" s="34">
        <f>Q1088*L1088</f>
        <v/>
      </c>
      <c r="AD1088" s="34">
        <f>S1088*N1088</f>
        <v/>
      </c>
      <c r="AE1088" s="34">
        <f>E1088*N1088</f>
        <v/>
      </c>
      <c r="AF1088" s="34">
        <f>R1088*N1088</f>
        <v/>
      </c>
      <c r="AG1088" s="29">
        <f>MAX(SumAssured,AA1088)</f>
        <v/>
      </c>
      <c r="AH1088" s="34">
        <f>AG1088*O1088</f>
        <v/>
      </c>
      <c r="AI1088" s="34">
        <f>AA1088*O1088</f>
        <v/>
      </c>
      <c r="AJ1088" s="34">
        <f>AA1088*P1088</f>
        <v/>
      </c>
      <c r="AK1088" s="34">
        <f>I1088*AA1088*P1088</f>
        <v/>
      </c>
      <c r="AL1088" s="34">
        <f>AJ1088-AK1088</f>
        <v/>
      </c>
      <c r="AM1088" s="34">
        <f>Q1088*K1088</f>
        <v/>
      </c>
      <c r="AN1088" s="34">
        <f>AH1088+AL1088+AM1088</f>
        <v/>
      </c>
      <c r="AO1088" s="34">
        <f>(AG1088-AA1088)*O1088</f>
        <v/>
      </c>
      <c r="AP1088" s="34">
        <f>W1088*N1088</f>
        <v/>
      </c>
      <c r="AQ1088" s="34">
        <f>T1088*N1088</f>
        <v/>
      </c>
      <c r="AR1088" s="34">
        <f>Z1088*J1089+0.5*Z1088*(O1088+P1088)</f>
        <v/>
      </c>
      <c r="AS1088" s="30">
        <f>(1+InflationRate)^(A1088/12)</f>
        <v/>
      </c>
      <c r="AT1088" s="29">
        <f>ExpenseAcq*M1088+N1088*ExpenseMaint/12*AS1088</f>
        <v/>
      </c>
      <c r="AU1088" s="29">
        <f>CommissionRate*AE1088</f>
        <v/>
      </c>
      <c r="AV1088" s="34">
        <f>AB1089-AB1088</f>
        <v/>
      </c>
      <c r="AW1088" s="34">
        <f>AE1088+AR1088-AN1088-AT1088-AU1088-AV1088</f>
        <v/>
      </c>
      <c r="AX1088" s="29">
        <f>LoadPremRate*E1088*N1088+AK1088+AQ1088-AU1088-AT1088</f>
        <v/>
      </c>
      <c r="AY1088" s="34">
        <f>AP1088-AO1088</f>
        <v/>
      </c>
      <c r="AZ1088" s="37">
        <f>(AW1088-AX1088-AY1088)/MAX(1,ABS(AW1088),ABS(AX1088),ABS(AY1088))</f>
        <v/>
      </c>
      <c r="BA1088" s="37">
        <f>IF(OR(K1088&gt;0,K1089&gt;0),0,(AC1089-(AC1088+AF1088-AQ1088-AP1088+AR1088-AI1088-AJ1088-AM1088))/MAX(1,ABS(AC1088),ABS(AC1089)))</f>
        <v/>
      </c>
      <c r="BB1088" s="35">
        <f>(1+INDEX(DiscRateAnn,INT(A1088/12)+1))^(1/12)-1</f>
        <v/>
      </c>
      <c r="BC1088" s="31">
        <f>(1+BB1088)^-A1088</f>
        <v/>
      </c>
      <c r="BD1088" s="34">
        <f>AW1088*BC1088</f>
        <v/>
      </c>
    </row>
    <row r="1089">
      <c r="A1089" s="27">
        <f>A1088+1</f>
        <v/>
      </c>
      <c r="B1089" s="28">
        <f>Duration0+A1089</f>
        <v/>
      </c>
      <c r="C1089" s="27">
        <f>INT(B1089/12)</f>
        <v/>
      </c>
      <c r="D1089" s="28">
        <f>AgeAtEntry+C1089</f>
        <v/>
      </c>
      <c r="E1089" s="29">
        <f>IF(PremiumType="SINGLE",IF(B1089=0,PremiumPPInput,0),IF(B1089&lt;12*PolicyTerm,PremiumPPInput,0))</f>
        <v/>
      </c>
      <c r="F1089" s="30">
        <f>INDEX(MortRates,MATCH(MIN(D1089,120),MortAges,0),MAX(MIN(C1089,5),0)+1)</f>
        <v/>
      </c>
      <c r="G1089" s="31">
        <f>1-(1-F1089)^(1/12)</f>
        <v/>
      </c>
      <c r="H1089" s="32">
        <f>MAX(LapseBase-LapseStep*C1089,LapseFloor)</f>
        <v/>
      </c>
      <c r="I1089" s="32">
        <f>IF(HasSurrCharge,INDEX(SurrRates,MIN(C1089,SurrDurMax)+1,MATCH(SurrChargeID,SurrTypes,0)),0)</f>
        <v/>
      </c>
      <c r="J1089" s="33">
        <f>N1088-P1088-O1088</f>
        <v/>
      </c>
      <c r="K1089" s="30">
        <f>IF(B1089=12*PolicyTerm,J1089,0)</f>
        <v/>
      </c>
      <c r="L1089" s="33">
        <f>J1089-K1089</f>
        <v/>
      </c>
      <c r="M1089" s="30">
        <f>IF(B1089=0,PolicyCount,0)</f>
        <v/>
      </c>
      <c r="N1089" s="33">
        <f>L1089+M1089</f>
        <v/>
      </c>
      <c r="O1089" s="31">
        <f>N1089*G1089</f>
        <v/>
      </c>
      <c r="P1089" s="33">
        <f>(N1089-O1089)*(1-(1-H1089)^(1/12))</f>
        <v/>
      </c>
      <c r="Q1089" s="34">
        <f>X1088+Z1088</f>
        <v/>
      </c>
      <c r="R1089" s="29">
        <f>(1-LoadPremRate)*E1089</f>
        <v/>
      </c>
      <c r="S1089" s="34">
        <f>Q1089+R1089</f>
        <v/>
      </c>
      <c r="T1089" s="29">
        <f>MaintFeeRateAnn/12*S1089</f>
        <v/>
      </c>
      <c r="U1089" s="29">
        <f>MAX(SumAssured-S1089,0)</f>
        <v/>
      </c>
      <c r="V1089" s="35">
        <f>CoiMultiple*G1089</f>
        <v/>
      </c>
      <c r="W1089" s="34">
        <f>V1089*U1089</f>
        <v/>
      </c>
      <c r="X1089" s="34">
        <f>S1089-T1089-W1089</f>
        <v/>
      </c>
      <c r="Y1089" s="36">
        <f>EXP((Mu-0.5*Sigma^2)/12+Sigma*SQRT(1/12)*INDEX(NormRand,ScenID,A1089+1))-1</f>
        <v/>
      </c>
      <c r="Z1089" s="34">
        <f>Y1089*X1089</f>
        <v/>
      </c>
      <c r="AA1089" s="34">
        <f>X1089+0.5*Z1089</f>
        <v/>
      </c>
      <c r="AB1089" s="34">
        <f>Q1089*J1089</f>
        <v/>
      </c>
      <c r="AC1089" s="34">
        <f>Q1089*L1089</f>
        <v/>
      </c>
      <c r="AD1089" s="34">
        <f>S1089*N1089</f>
        <v/>
      </c>
      <c r="AE1089" s="34">
        <f>E1089*N1089</f>
        <v/>
      </c>
      <c r="AF1089" s="34">
        <f>R1089*N1089</f>
        <v/>
      </c>
      <c r="AG1089" s="29">
        <f>MAX(SumAssured,AA1089)</f>
        <v/>
      </c>
      <c r="AH1089" s="34">
        <f>AG1089*O1089</f>
        <v/>
      </c>
      <c r="AI1089" s="34">
        <f>AA1089*O1089</f>
        <v/>
      </c>
      <c r="AJ1089" s="34">
        <f>AA1089*P1089</f>
        <v/>
      </c>
      <c r="AK1089" s="34">
        <f>I1089*AA1089*P1089</f>
        <v/>
      </c>
      <c r="AL1089" s="34">
        <f>AJ1089-AK1089</f>
        <v/>
      </c>
      <c r="AM1089" s="34">
        <f>Q1089*K1089</f>
        <v/>
      </c>
      <c r="AN1089" s="34">
        <f>AH1089+AL1089+AM1089</f>
        <v/>
      </c>
      <c r="AO1089" s="34">
        <f>(AG1089-AA1089)*O1089</f>
        <v/>
      </c>
      <c r="AP1089" s="34">
        <f>W1089*N1089</f>
        <v/>
      </c>
      <c r="AQ1089" s="34">
        <f>T1089*N1089</f>
        <v/>
      </c>
      <c r="AR1089" s="34">
        <f>Z1089*J1090+0.5*Z1089*(O1089+P1089)</f>
        <v/>
      </c>
      <c r="AS1089" s="30">
        <f>(1+InflationRate)^(A1089/12)</f>
        <v/>
      </c>
      <c r="AT1089" s="29">
        <f>ExpenseAcq*M1089+N1089*ExpenseMaint/12*AS1089</f>
        <v/>
      </c>
      <c r="AU1089" s="29">
        <f>CommissionRate*AE1089</f>
        <v/>
      </c>
      <c r="AV1089" s="34">
        <f>AB1090-AB1089</f>
        <v/>
      </c>
      <c r="AW1089" s="34">
        <f>AE1089+AR1089-AN1089-AT1089-AU1089-AV1089</f>
        <v/>
      </c>
      <c r="AX1089" s="29">
        <f>LoadPremRate*E1089*N1089+AK1089+AQ1089-AU1089-AT1089</f>
        <v/>
      </c>
      <c r="AY1089" s="34">
        <f>AP1089-AO1089</f>
        <v/>
      </c>
      <c r="AZ1089" s="37">
        <f>(AW1089-AX1089-AY1089)/MAX(1,ABS(AW1089),ABS(AX1089),ABS(AY1089))</f>
        <v/>
      </c>
      <c r="BA1089" s="37">
        <f>IF(OR(K1089&gt;0,K1090&gt;0),0,(AC1090-(AC1089+AF1089-AQ1089-AP1089+AR1089-AI1089-AJ1089-AM1089))/MAX(1,ABS(AC1089),ABS(AC1090)))</f>
        <v/>
      </c>
      <c r="BB1089" s="35">
        <f>(1+INDEX(DiscRateAnn,INT(A1089/12)+1))^(1/12)-1</f>
        <v/>
      </c>
      <c r="BC1089" s="31">
        <f>(1+BB1089)^-A1089</f>
        <v/>
      </c>
      <c r="BD1089" s="34">
        <f>AW1089*BC1089</f>
        <v/>
      </c>
    </row>
    <row r="1090">
      <c r="A1090" s="27">
        <f>A1089+1</f>
        <v/>
      </c>
      <c r="B1090" s="28">
        <f>Duration0+A1090</f>
        <v/>
      </c>
      <c r="C1090" s="27">
        <f>INT(B1090/12)</f>
        <v/>
      </c>
      <c r="D1090" s="28">
        <f>AgeAtEntry+C1090</f>
        <v/>
      </c>
      <c r="E1090" s="29">
        <f>IF(PremiumType="SINGLE",IF(B1090=0,PremiumPPInput,0),IF(B1090&lt;12*PolicyTerm,PremiumPPInput,0))</f>
        <v/>
      </c>
      <c r="F1090" s="30">
        <f>INDEX(MortRates,MATCH(MIN(D1090,120),MortAges,0),MAX(MIN(C1090,5),0)+1)</f>
        <v/>
      </c>
      <c r="G1090" s="31">
        <f>1-(1-F1090)^(1/12)</f>
        <v/>
      </c>
      <c r="H1090" s="32">
        <f>MAX(LapseBase-LapseStep*C1090,LapseFloor)</f>
        <v/>
      </c>
      <c r="I1090" s="32">
        <f>IF(HasSurrCharge,INDEX(SurrRates,MIN(C1090,SurrDurMax)+1,MATCH(SurrChargeID,SurrTypes,0)),0)</f>
        <v/>
      </c>
      <c r="J1090" s="33">
        <f>N1089-P1089-O1089</f>
        <v/>
      </c>
      <c r="K1090" s="30">
        <f>IF(B1090=12*PolicyTerm,J1090,0)</f>
        <v/>
      </c>
      <c r="L1090" s="33">
        <f>J1090-K1090</f>
        <v/>
      </c>
      <c r="M1090" s="30">
        <f>IF(B1090=0,PolicyCount,0)</f>
        <v/>
      </c>
      <c r="N1090" s="33">
        <f>L1090+M1090</f>
        <v/>
      </c>
      <c r="O1090" s="31">
        <f>N1090*G1090</f>
        <v/>
      </c>
      <c r="P1090" s="33">
        <f>(N1090-O1090)*(1-(1-H1090)^(1/12))</f>
        <v/>
      </c>
      <c r="Q1090" s="34">
        <f>X1089+Z1089</f>
        <v/>
      </c>
      <c r="R1090" s="29">
        <f>(1-LoadPremRate)*E1090</f>
        <v/>
      </c>
      <c r="S1090" s="34">
        <f>Q1090+R1090</f>
        <v/>
      </c>
      <c r="T1090" s="29">
        <f>MaintFeeRateAnn/12*S1090</f>
        <v/>
      </c>
      <c r="U1090" s="29">
        <f>MAX(SumAssured-S1090,0)</f>
        <v/>
      </c>
      <c r="V1090" s="35">
        <f>CoiMultiple*G1090</f>
        <v/>
      </c>
      <c r="W1090" s="34">
        <f>V1090*U1090</f>
        <v/>
      </c>
      <c r="X1090" s="34">
        <f>S1090-T1090-W1090</f>
        <v/>
      </c>
      <c r="Y1090" s="36">
        <f>EXP((Mu-0.5*Sigma^2)/12+Sigma*SQRT(1/12)*INDEX(NormRand,ScenID,A1090+1))-1</f>
        <v/>
      </c>
      <c r="Z1090" s="34">
        <f>Y1090*X1090</f>
        <v/>
      </c>
      <c r="AA1090" s="34">
        <f>X1090+0.5*Z1090</f>
        <v/>
      </c>
      <c r="AB1090" s="34">
        <f>Q1090*J1090</f>
        <v/>
      </c>
      <c r="AC1090" s="34">
        <f>Q1090*L1090</f>
        <v/>
      </c>
      <c r="AD1090" s="34">
        <f>S1090*N1090</f>
        <v/>
      </c>
      <c r="AE1090" s="34">
        <f>E1090*N1090</f>
        <v/>
      </c>
      <c r="AF1090" s="34">
        <f>R1090*N1090</f>
        <v/>
      </c>
      <c r="AG1090" s="29">
        <f>MAX(SumAssured,AA1090)</f>
        <v/>
      </c>
      <c r="AH1090" s="34">
        <f>AG1090*O1090</f>
        <v/>
      </c>
      <c r="AI1090" s="34">
        <f>AA1090*O1090</f>
        <v/>
      </c>
      <c r="AJ1090" s="34">
        <f>AA1090*P1090</f>
        <v/>
      </c>
      <c r="AK1090" s="34">
        <f>I1090*AA1090*P1090</f>
        <v/>
      </c>
      <c r="AL1090" s="34">
        <f>AJ1090-AK1090</f>
        <v/>
      </c>
      <c r="AM1090" s="34">
        <f>Q1090*K1090</f>
        <v/>
      </c>
      <c r="AN1090" s="34">
        <f>AH1090+AL1090+AM1090</f>
        <v/>
      </c>
      <c r="AO1090" s="34">
        <f>(AG1090-AA1090)*O1090</f>
        <v/>
      </c>
      <c r="AP1090" s="34">
        <f>W1090*N1090</f>
        <v/>
      </c>
      <c r="AQ1090" s="34">
        <f>T1090*N1090</f>
        <v/>
      </c>
      <c r="AR1090" s="34">
        <f>Z1090*J1091+0.5*Z1090*(O1090+P1090)</f>
        <v/>
      </c>
      <c r="AS1090" s="30">
        <f>(1+InflationRate)^(A1090/12)</f>
        <v/>
      </c>
      <c r="AT1090" s="29">
        <f>ExpenseAcq*M1090+N1090*ExpenseMaint/12*AS1090</f>
        <v/>
      </c>
      <c r="AU1090" s="29">
        <f>CommissionRate*AE1090</f>
        <v/>
      </c>
      <c r="AV1090" s="34">
        <f>AB1091-AB1090</f>
        <v/>
      </c>
      <c r="AW1090" s="34">
        <f>AE1090+AR1090-AN1090-AT1090-AU1090-AV1090</f>
        <v/>
      </c>
      <c r="AX1090" s="29">
        <f>LoadPremRate*E1090*N1090+AK1090+AQ1090-AU1090-AT1090</f>
        <v/>
      </c>
      <c r="AY1090" s="34">
        <f>AP1090-AO1090</f>
        <v/>
      </c>
      <c r="AZ1090" s="37">
        <f>(AW1090-AX1090-AY1090)/MAX(1,ABS(AW1090),ABS(AX1090),ABS(AY1090))</f>
        <v/>
      </c>
      <c r="BA1090" s="37">
        <f>IF(OR(K1090&gt;0,K1091&gt;0),0,(AC1091-(AC1090+AF1090-AQ1090-AP1090+AR1090-AI1090-AJ1090-AM1090))/MAX(1,ABS(AC1090),ABS(AC1091)))</f>
        <v/>
      </c>
      <c r="BB1090" s="35">
        <f>(1+INDEX(DiscRateAnn,INT(A1090/12)+1))^(1/12)-1</f>
        <v/>
      </c>
      <c r="BC1090" s="31">
        <f>(1+BB1090)^-A1090</f>
        <v/>
      </c>
      <c r="BD1090" s="34">
        <f>AW1090*BC1090</f>
        <v/>
      </c>
    </row>
    <row r="1091">
      <c r="A1091" s="27">
        <f>A1090+1</f>
        <v/>
      </c>
      <c r="B1091" s="28">
        <f>Duration0+A1091</f>
        <v/>
      </c>
      <c r="C1091" s="27">
        <f>INT(B1091/12)</f>
        <v/>
      </c>
      <c r="D1091" s="28">
        <f>AgeAtEntry+C1091</f>
        <v/>
      </c>
      <c r="E1091" s="29">
        <f>IF(PremiumType="SINGLE",IF(B1091=0,PremiumPPInput,0),IF(B1091&lt;12*PolicyTerm,PremiumPPInput,0))</f>
        <v/>
      </c>
      <c r="F1091" s="30">
        <f>INDEX(MortRates,MATCH(MIN(D1091,120),MortAges,0),MAX(MIN(C1091,5),0)+1)</f>
        <v/>
      </c>
      <c r="G1091" s="31">
        <f>1-(1-F1091)^(1/12)</f>
        <v/>
      </c>
      <c r="H1091" s="32">
        <f>MAX(LapseBase-LapseStep*C1091,LapseFloor)</f>
        <v/>
      </c>
      <c r="I1091" s="32">
        <f>IF(HasSurrCharge,INDEX(SurrRates,MIN(C1091,SurrDurMax)+1,MATCH(SurrChargeID,SurrTypes,0)),0)</f>
        <v/>
      </c>
      <c r="J1091" s="33">
        <f>N1090-P1090-O1090</f>
        <v/>
      </c>
      <c r="K1091" s="30">
        <f>IF(B1091=12*PolicyTerm,J1091,0)</f>
        <v/>
      </c>
      <c r="L1091" s="33">
        <f>J1091-K1091</f>
        <v/>
      </c>
      <c r="M1091" s="30">
        <f>IF(B1091=0,PolicyCount,0)</f>
        <v/>
      </c>
      <c r="N1091" s="33">
        <f>L1091+M1091</f>
        <v/>
      </c>
      <c r="O1091" s="31">
        <f>N1091*G1091</f>
        <v/>
      </c>
      <c r="P1091" s="33">
        <f>(N1091-O1091)*(1-(1-H1091)^(1/12))</f>
        <v/>
      </c>
      <c r="Q1091" s="34">
        <f>X1090+Z1090</f>
        <v/>
      </c>
      <c r="R1091" s="29">
        <f>(1-LoadPremRate)*E1091</f>
        <v/>
      </c>
      <c r="S1091" s="34">
        <f>Q1091+R1091</f>
        <v/>
      </c>
      <c r="T1091" s="29">
        <f>MaintFeeRateAnn/12*S1091</f>
        <v/>
      </c>
      <c r="U1091" s="29">
        <f>MAX(SumAssured-S1091,0)</f>
        <v/>
      </c>
      <c r="V1091" s="35">
        <f>CoiMultiple*G1091</f>
        <v/>
      </c>
      <c r="W1091" s="34">
        <f>V1091*U1091</f>
        <v/>
      </c>
      <c r="X1091" s="34">
        <f>S1091-T1091-W1091</f>
        <v/>
      </c>
      <c r="Y1091" s="36">
        <f>EXP((Mu-0.5*Sigma^2)/12+Sigma*SQRT(1/12)*INDEX(NormRand,ScenID,A1091+1))-1</f>
        <v/>
      </c>
      <c r="Z1091" s="34">
        <f>Y1091*X1091</f>
        <v/>
      </c>
      <c r="AA1091" s="34">
        <f>X1091+0.5*Z1091</f>
        <v/>
      </c>
      <c r="AB1091" s="34">
        <f>Q1091*J1091</f>
        <v/>
      </c>
      <c r="AC1091" s="34">
        <f>Q1091*L1091</f>
        <v/>
      </c>
      <c r="AD1091" s="34">
        <f>S1091*N1091</f>
        <v/>
      </c>
      <c r="AE1091" s="34">
        <f>E1091*N1091</f>
        <v/>
      </c>
      <c r="AF1091" s="34">
        <f>R1091*N1091</f>
        <v/>
      </c>
      <c r="AG1091" s="29">
        <f>MAX(SumAssured,AA1091)</f>
        <v/>
      </c>
      <c r="AH1091" s="34">
        <f>AG1091*O1091</f>
        <v/>
      </c>
      <c r="AI1091" s="34">
        <f>AA1091*O1091</f>
        <v/>
      </c>
      <c r="AJ1091" s="34">
        <f>AA1091*P1091</f>
        <v/>
      </c>
      <c r="AK1091" s="34">
        <f>I1091*AA1091*P1091</f>
        <v/>
      </c>
      <c r="AL1091" s="34">
        <f>AJ1091-AK1091</f>
        <v/>
      </c>
      <c r="AM1091" s="34">
        <f>Q1091*K1091</f>
        <v/>
      </c>
      <c r="AN1091" s="34">
        <f>AH1091+AL1091+AM1091</f>
        <v/>
      </c>
      <c r="AO1091" s="34">
        <f>(AG1091-AA1091)*O1091</f>
        <v/>
      </c>
      <c r="AP1091" s="34">
        <f>W1091*N1091</f>
        <v/>
      </c>
      <c r="AQ1091" s="34">
        <f>T1091*N1091</f>
        <v/>
      </c>
      <c r="AR1091" s="34">
        <f>Z1091*J1092+0.5*Z1091*(O1091+P1091)</f>
        <v/>
      </c>
      <c r="AS1091" s="30">
        <f>(1+InflationRate)^(A1091/12)</f>
        <v/>
      </c>
      <c r="AT1091" s="29">
        <f>ExpenseAcq*M1091+N1091*ExpenseMaint/12*AS1091</f>
        <v/>
      </c>
      <c r="AU1091" s="29">
        <f>CommissionRate*AE1091</f>
        <v/>
      </c>
      <c r="AV1091" s="34">
        <f>AB1092-AB1091</f>
        <v/>
      </c>
      <c r="AW1091" s="34">
        <f>AE1091+AR1091-AN1091-AT1091-AU1091-AV1091</f>
        <v/>
      </c>
      <c r="AX1091" s="29">
        <f>LoadPremRate*E1091*N1091+AK1091+AQ1091-AU1091-AT1091</f>
        <v/>
      </c>
      <c r="AY1091" s="34">
        <f>AP1091-AO1091</f>
        <v/>
      </c>
      <c r="AZ1091" s="37">
        <f>(AW1091-AX1091-AY1091)/MAX(1,ABS(AW1091),ABS(AX1091),ABS(AY1091))</f>
        <v/>
      </c>
      <c r="BA1091" s="37">
        <f>IF(OR(K1091&gt;0,K1092&gt;0),0,(AC1092-(AC1091+AF1091-AQ1091-AP1091+AR1091-AI1091-AJ1091-AM1091))/MAX(1,ABS(AC1091),ABS(AC1092)))</f>
        <v/>
      </c>
      <c r="BB1091" s="35">
        <f>(1+INDEX(DiscRateAnn,INT(A1091/12)+1))^(1/12)-1</f>
        <v/>
      </c>
      <c r="BC1091" s="31">
        <f>(1+BB1091)^-A1091</f>
        <v/>
      </c>
      <c r="BD1091" s="34">
        <f>AW1091*BC1091</f>
        <v/>
      </c>
    </row>
    <row r="1092">
      <c r="A1092" s="27">
        <f>A1091+1</f>
        <v/>
      </c>
      <c r="B1092" s="28">
        <f>Duration0+A1092</f>
        <v/>
      </c>
      <c r="C1092" s="27">
        <f>INT(B1092/12)</f>
        <v/>
      </c>
      <c r="D1092" s="28">
        <f>AgeAtEntry+C1092</f>
        <v/>
      </c>
      <c r="E1092" s="29">
        <f>IF(PremiumType="SINGLE",IF(B1092=0,PremiumPPInput,0),IF(B1092&lt;12*PolicyTerm,PremiumPPInput,0))</f>
        <v/>
      </c>
      <c r="F1092" s="30">
        <f>INDEX(MortRates,MATCH(MIN(D1092,120),MortAges,0),MAX(MIN(C1092,5),0)+1)</f>
        <v/>
      </c>
      <c r="G1092" s="31">
        <f>1-(1-F1092)^(1/12)</f>
        <v/>
      </c>
      <c r="H1092" s="32">
        <f>MAX(LapseBase-LapseStep*C1092,LapseFloor)</f>
        <v/>
      </c>
      <c r="I1092" s="32">
        <f>IF(HasSurrCharge,INDEX(SurrRates,MIN(C1092,SurrDurMax)+1,MATCH(SurrChargeID,SurrTypes,0)),0)</f>
        <v/>
      </c>
      <c r="J1092" s="33">
        <f>N1091-P1091-O1091</f>
        <v/>
      </c>
      <c r="K1092" s="30">
        <f>IF(B1092=12*PolicyTerm,J1092,0)</f>
        <v/>
      </c>
      <c r="L1092" s="33">
        <f>J1092-K1092</f>
        <v/>
      </c>
      <c r="M1092" s="30">
        <f>IF(B1092=0,PolicyCount,0)</f>
        <v/>
      </c>
      <c r="N1092" s="33">
        <f>L1092+M1092</f>
        <v/>
      </c>
      <c r="O1092" s="31">
        <f>N1092*G1092</f>
        <v/>
      </c>
      <c r="P1092" s="33">
        <f>(N1092-O1092)*(1-(1-H1092)^(1/12))</f>
        <v/>
      </c>
      <c r="Q1092" s="34">
        <f>X1091+Z1091</f>
        <v/>
      </c>
      <c r="R1092" s="29">
        <f>(1-LoadPremRate)*E1092</f>
        <v/>
      </c>
      <c r="S1092" s="34">
        <f>Q1092+R1092</f>
        <v/>
      </c>
      <c r="T1092" s="29">
        <f>MaintFeeRateAnn/12*S1092</f>
        <v/>
      </c>
      <c r="U1092" s="29">
        <f>MAX(SumAssured-S1092,0)</f>
        <v/>
      </c>
      <c r="V1092" s="35">
        <f>CoiMultiple*G1092</f>
        <v/>
      </c>
      <c r="W1092" s="34">
        <f>V1092*U1092</f>
        <v/>
      </c>
      <c r="X1092" s="34">
        <f>S1092-T1092-W1092</f>
        <v/>
      </c>
      <c r="Y1092" s="36">
        <f>EXP((Mu-0.5*Sigma^2)/12+Sigma*SQRT(1/12)*INDEX(NormRand,ScenID,A1092+1))-1</f>
        <v/>
      </c>
      <c r="Z1092" s="34">
        <f>Y1092*X1092</f>
        <v/>
      </c>
      <c r="AA1092" s="34">
        <f>X1092+0.5*Z1092</f>
        <v/>
      </c>
      <c r="AB1092" s="34">
        <f>Q1092*J1092</f>
        <v/>
      </c>
      <c r="AC1092" s="34">
        <f>Q1092*L1092</f>
        <v/>
      </c>
      <c r="AD1092" s="34">
        <f>S1092*N1092</f>
        <v/>
      </c>
      <c r="AE1092" s="34">
        <f>E1092*N1092</f>
        <v/>
      </c>
      <c r="AF1092" s="34">
        <f>R1092*N1092</f>
        <v/>
      </c>
      <c r="AG1092" s="29">
        <f>MAX(SumAssured,AA1092)</f>
        <v/>
      </c>
      <c r="AH1092" s="34">
        <f>AG1092*O1092</f>
        <v/>
      </c>
      <c r="AI1092" s="34">
        <f>AA1092*O1092</f>
        <v/>
      </c>
      <c r="AJ1092" s="34">
        <f>AA1092*P1092</f>
        <v/>
      </c>
      <c r="AK1092" s="34">
        <f>I1092*AA1092*P1092</f>
        <v/>
      </c>
      <c r="AL1092" s="34">
        <f>AJ1092-AK1092</f>
        <v/>
      </c>
      <c r="AM1092" s="34">
        <f>Q1092*K1092</f>
        <v/>
      </c>
      <c r="AN1092" s="34">
        <f>AH1092+AL1092+AM1092</f>
        <v/>
      </c>
      <c r="AO1092" s="34">
        <f>(AG1092-AA1092)*O1092</f>
        <v/>
      </c>
      <c r="AP1092" s="34">
        <f>W1092*N1092</f>
        <v/>
      </c>
      <c r="AQ1092" s="34">
        <f>T1092*N1092</f>
        <v/>
      </c>
      <c r="AR1092" s="34">
        <f>Z1092*J1093+0.5*Z1092*(O1092+P1092)</f>
        <v/>
      </c>
      <c r="AS1092" s="30">
        <f>(1+InflationRate)^(A1092/12)</f>
        <v/>
      </c>
      <c r="AT1092" s="29">
        <f>ExpenseAcq*M1092+N1092*ExpenseMaint/12*AS1092</f>
        <v/>
      </c>
      <c r="AU1092" s="29">
        <f>CommissionRate*AE1092</f>
        <v/>
      </c>
      <c r="AV1092" s="34">
        <f>AB1093-AB1092</f>
        <v/>
      </c>
      <c r="AW1092" s="34">
        <f>AE1092+AR1092-AN1092-AT1092-AU1092-AV1092</f>
        <v/>
      </c>
      <c r="AX1092" s="29">
        <f>LoadPremRate*E1092*N1092+AK1092+AQ1092-AU1092-AT1092</f>
        <v/>
      </c>
      <c r="AY1092" s="34">
        <f>AP1092-AO1092</f>
        <v/>
      </c>
      <c r="AZ1092" s="37">
        <f>(AW1092-AX1092-AY1092)/MAX(1,ABS(AW1092),ABS(AX1092),ABS(AY1092))</f>
        <v/>
      </c>
      <c r="BA1092" s="37">
        <f>IF(OR(K1092&gt;0,K1093&gt;0),0,(AC1093-(AC1092+AF1092-AQ1092-AP1092+AR1092-AI1092-AJ1092-AM1092))/MAX(1,ABS(AC1092),ABS(AC1093)))</f>
        <v/>
      </c>
      <c r="BB1092" s="35">
        <f>(1+INDEX(DiscRateAnn,INT(A1092/12)+1))^(1/12)-1</f>
        <v/>
      </c>
      <c r="BC1092" s="31">
        <f>(1+BB1092)^-A1092</f>
        <v/>
      </c>
      <c r="BD1092" s="34">
        <f>AW1092*BC1092</f>
        <v/>
      </c>
    </row>
    <row r="1093">
      <c r="A1093" s="27">
        <f>A1092+1</f>
        <v/>
      </c>
      <c r="B1093" s="28">
        <f>Duration0+A1093</f>
        <v/>
      </c>
      <c r="C1093" s="27">
        <f>INT(B1093/12)</f>
        <v/>
      </c>
      <c r="D1093" s="28">
        <f>AgeAtEntry+C1093</f>
        <v/>
      </c>
      <c r="E1093" s="29">
        <f>IF(PremiumType="SINGLE",IF(B1093=0,PremiumPPInput,0),IF(B1093&lt;12*PolicyTerm,PremiumPPInput,0))</f>
        <v/>
      </c>
      <c r="F1093" s="30">
        <f>INDEX(MortRates,MATCH(MIN(D1093,120),MortAges,0),MAX(MIN(C1093,5),0)+1)</f>
        <v/>
      </c>
      <c r="G1093" s="31">
        <f>1-(1-F1093)^(1/12)</f>
        <v/>
      </c>
      <c r="H1093" s="32">
        <f>MAX(LapseBase-LapseStep*C1093,LapseFloor)</f>
        <v/>
      </c>
      <c r="I1093" s="32">
        <f>IF(HasSurrCharge,INDEX(SurrRates,MIN(C1093,SurrDurMax)+1,MATCH(SurrChargeID,SurrTypes,0)),0)</f>
        <v/>
      </c>
      <c r="J1093" s="33">
        <f>N1092-P1092-O1092</f>
        <v/>
      </c>
      <c r="K1093" s="30">
        <f>IF(B1093=12*PolicyTerm,J1093,0)</f>
        <v/>
      </c>
      <c r="L1093" s="33">
        <f>J1093-K1093</f>
        <v/>
      </c>
      <c r="M1093" s="30">
        <f>IF(B1093=0,PolicyCount,0)</f>
        <v/>
      </c>
      <c r="N1093" s="33">
        <f>L1093+M1093</f>
        <v/>
      </c>
      <c r="O1093" s="31">
        <f>N1093*G1093</f>
        <v/>
      </c>
      <c r="P1093" s="33">
        <f>(N1093-O1093)*(1-(1-H1093)^(1/12))</f>
        <v/>
      </c>
      <c r="Q1093" s="34">
        <f>X1092+Z1092</f>
        <v/>
      </c>
      <c r="R1093" s="29">
        <f>(1-LoadPremRate)*E1093</f>
        <v/>
      </c>
      <c r="S1093" s="34">
        <f>Q1093+R1093</f>
        <v/>
      </c>
      <c r="T1093" s="29">
        <f>MaintFeeRateAnn/12*S1093</f>
        <v/>
      </c>
      <c r="U1093" s="29">
        <f>MAX(SumAssured-S1093,0)</f>
        <v/>
      </c>
      <c r="V1093" s="35">
        <f>CoiMultiple*G1093</f>
        <v/>
      </c>
      <c r="W1093" s="34">
        <f>V1093*U1093</f>
        <v/>
      </c>
      <c r="X1093" s="34">
        <f>S1093-T1093-W1093</f>
        <v/>
      </c>
      <c r="Y1093" s="36">
        <f>EXP((Mu-0.5*Sigma^2)/12+Sigma*SQRT(1/12)*INDEX(NormRand,ScenID,A1093+1))-1</f>
        <v/>
      </c>
      <c r="Z1093" s="34">
        <f>Y1093*X1093</f>
        <v/>
      </c>
      <c r="AA1093" s="34">
        <f>X1093+0.5*Z1093</f>
        <v/>
      </c>
      <c r="AB1093" s="34">
        <f>Q1093*J1093</f>
        <v/>
      </c>
      <c r="AC1093" s="34">
        <f>Q1093*L1093</f>
        <v/>
      </c>
      <c r="AD1093" s="34">
        <f>S1093*N1093</f>
        <v/>
      </c>
      <c r="AE1093" s="34">
        <f>E1093*N1093</f>
        <v/>
      </c>
      <c r="AF1093" s="34">
        <f>R1093*N1093</f>
        <v/>
      </c>
      <c r="AG1093" s="29">
        <f>MAX(SumAssured,AA1093)</f>
        <v/>
      </c>
      <c r="AH1093" s="34">
        <f>AG1093*O1093</f>
        <v/>
      </c>
      <c r="AI1093" s="34">
        <f>AA1093*O1093</f>
        <v/>
      </c>
      <c r="AJ1093" s="34">
        <f>AA1093*P1093</f>
        <v/>
      </c>
      <c r="AK1093" s="34">
        <f>I1093*AA1093*P1093</f>
        <v/>
      </c>
      <c r="AL1093" s="34">
        <f>AJ1093-AK1093</f>
        <v/>
      </c>
      <c r="AM1093" s="34">
        <f>Q1093*K1093</f>
        <v/>
      </c>
      <c r="AN1093" s="34">
        <f>AH1093+AL1093+AM1093</f>
        <v/>
      </c>
      <c r="AO1093" s="34">
        <f>(AG1093-AA1093)*O1093</f>
        <v/>
      </c>
      <c r="AP1093" s="34">
        <f>W1093*N1093</f>
        <v/>
      </c>
      <c r="AQ1093" s="34">
        <f>T1093*N1093</f>
        <v/>
      </c>
      <c r="AR1093" s="34">
        <f>Z1093*J1094+0.5*Z1093*(O1093+P1093)</f>
        <v/>
      </c>
      <c r="AS1093" s="30">
        <f>(1+InflationRate)^(A1093/12)</f>
        <v/>
      </c>
      <c r="AT1093" s="29">
        <f>ExpenseAcq*M1093+N1093*ExpenseMaint/12*AS1093</f>
        <v/>
      </c>
      <c r="AU1093" s="29">
        <f>CommissionRate*AE1093</f>
        <v/>
      </c>
      <c r="AV1093" s="34">
        <f>AB1094-AB1093</f>
        <v/>
      </c>
      <c r="AW1093" s="34">
        <f>AE1093+AR1093-AN1093-AT1093-AU1093-AV1093</f>
        <v/>
      </c>
      <c r="AX1093" s="29">
        <f>LoadPremRate*E1093*N1093+AK1093+AQ1093-AU1093-AT1093</f>
        <v/>
      </c>
      <c r="AY1093" s="34">
        <f>AP1093-AO1093</f>
        <v/>
      </c>
      <c r="AZ1093" s="37">
        <f>(AW1093-AX1093-AY1093)/MAX(1,ABS(AW1093),ABS(AX1093),ABS(AY1093))</f>
        <v/>
      </c>
      <c r="BA1093" s="37">
        <f>IF(OR(K1093&gt;0,K1094&gt;0),0,(AC1094-(AC1093+AF1093-AQ1093-AP1093+AR1093-AI1093-AJ1093-AM1093))/MAX(1,ABS(AC1093),ABS(AC1094)))</f>
        <v/>
      </c>
      <c r="BB1093" s="35">
        <f>(1+INDEX(DiscRateAnn,INT(A1093/12)+1))^(1/12)-1</f>
        <v/>
      </c>
      <c r="BC1093" s="31">
        <f>(1+BB1093)^-A1093</f>
        <v/>
      </c>
      <c r="BD1093" s="34">
        <f>AW1093*BC1093</f>
        <v/>
      </c>
    </row>
    <row r="1094">
      <c r="A1094" s="27">
        <f>A1093+1</f>
        <v/>
      </c>
      <c r="B1094" s="28">
        <f>Duration0+A1094</f>
        <v/>
      </c>
      <c r="C1094" s="27">
        <f>INT(B1094/12)</f>
        <v/>
      </c>
      <c r="D1094" s="28">
        <f>AgeAtEntry+C1094</f>
        <v/>
      </c>
      <c r="E1094" s="29">
        <f>IF(PremiumType="SINGLE",IF(B1094=0,PremiumPPInput,0),IF(B1094&lt;12*PolicyTerm,PremiumPPInput,0))</f>
        <v/>
      </c>
      <c r="F1094" s="30">
        <f>INDEX(MortRates,MATCH(MIN(D1094,120),MortAges,0),MAX(MIN(C1094,5),0)+1)</f>
        <v/>
      </c>
      <c r="G1094" s="31">
        <f>1-(1-F1094)^(1/12)</f>
        <v/>
      </c>
      <c r="H1094" s="32">
        <f>MAX(LapseBase-LapseStep*C1094,LapseFloor)</f>
        <v/>
      </c>
      <c r="I1094" s="32">
        <f>IF(HasSurrCharge,INDEX(SurrRates,MIN(C1094,SurrDurMax)+1,MATCH(SurrChargeID,SurrTypes,0)),0)</f>
        <v/>
      </c>
      <c r="J1094" s="33">
        <f>N1093-P1093-O1093</f>
        <v/>
      </c>
      <c r="K1094" s="30">
        <f>IF(B1094=12*PolicyTerm,J1094,0)</f>
        <v/>
      </c>
      <c r="L1094" s="33">
        <f>J1094-K1094</f>
        <v/>
      </c>
      <c r="M1094" s="30">
        <f>IF(B1094=0,PolicyCount,0)</f>
        <v/>
      </c>
      <c r="N1094" s="33">
        <f>L1094+M1094</f>
        <v/>
      </c>
      <c r="O1094" s="31">
        <f>N1094*G1094</f>
        <v/>
      </c>
      <c r="P1094" s="33">
        <f>(N1094-O1094)*(1-(1-H1094)^(1/12))</f>
        <v/>
      </c>
      <c r="Q1094" s="34">
        <f>X1093+Z1093</f>
        <v/>
      </c>
      <c r="R1094" s="29">
        <f>(1-LoadPremRate)*E1094</f>
        <v/>
      </c>
      <c r="S1094" s="34">
        <f>Q1094+R1094</f>
        <v/>
      </c>
      <c r="T1094" s="29">
        <f>MaintFeeRateAnn/12*S1094</f>
        <v/>
      </c>
      <c r="U1094" s="29">
        <f>MAX(SumAssured-S1094,0)</f>
        <v/>
      </c>
      <c r="V1094" s="35">
        <f>CoiMultiple*G1094</f>
        <v/>
      </c>
      <c r="W1094" s="34">
        <f>V1094*U1094</f>
        <v/>
      </c>
      <c r="X1094" s="34">
        <f>S1094-T1094-W1094</f>
        <v/>
      </c>
      <c r="Y1094" s="36">
        <f>EXP((Mu-0.5*Sigma^2)/12+Sigma*SQRT(1/12)*INDEX(NormRand,ScenID,A1094+1))-1</f>
        <v/>
      </c>
      <c r="Z1094" s="34">
        <f>Y1094*X1094</f>
        <v/>
      </c>
      <c r="AA1094" s="34">
        <f>X1094+0.5*Z1094</f>
        <v/>
      </c>
      <c r="AB1094" s="34">
        <f>Q1094*J1094</f>
        <v/>
      </c>
      <c r="AC1094" s="34">
        <f>Q1094*L1094</f>
        <v/>
      </c>
      <c r="AD1094" s="34">
        <f>S1094*N1094</f>
        <v/>
      </c>
      <c r="AE1094" s="34">
        <f>E1094*N1094</f>
        <v/>
      </c>
      <c r="AF1094" s="34">
        <f>R1094*N1094</f>
        <v/>
      </c>
      <c r="AG1094" s="29">
        <f>MAX(SumAssured,AA1094)</f>
        <v/>
      </c>
      <c r="AH1094" s="34">
        <f>AG1094*O1094</f>
        <v/>
      </c>
      <c r="AI1094" s="34">
        <f>AA1094*O1094</f>
        <v/>
      </c>
      <c r="AJ1094" s="34">
        <f>AA1094*P1094</f>
        <v/>
      </c>
      <c r="AK1094" s="34">
        <f>I1094*AA1094*P1094</f>
        <v/>
      </c>
      <c r="AL1094" s="34">
        <f>AJ1094-AK1094</f>
        <v/>
      </c>
      <c r="AM1094" s="34">
        <f>Q1094*K1094</f>
        <v/>
      </c>
      <c r="AN1094" s="34">
        <f>AH1094+AL1094+AM1094</f>
        <v/>
      </c>
      <c r="AO1094" s="34">
        <f>(AG1094-AA1094)*O1094</f>
        <v/>
      </c>
      <c r="AP1094" s="34">
        <f>W1094*N1094</f>
        <v/>
      </c>
      <c r="AQ1094" s="34">
        <f>T1094*N1094</f>
        <v/>
      </c>
      <c r="AR1094" s="34">
        <f>Z1094*J1095+0.5*Z1094*(O1094+P1094)</f>
        <v/>
      </c>
      <c r="AS1094" s="30">
        <f>(1+InflationRate)^(A1094/12)</f>
        <v/>
      </c>
      <c r="AT1094" s="29">
        <f>ExpenseAcq*M1094+N1094*ExpenseMaint/12*AS1094</f>
        <v/>
      </c>
      <c r="AU1094" s="29">
        <f>CommissionRate*AE1094</f>
        <v/>
      </c>
      <c r="AV1094" s="34">
        <f>AB1095-AB1094</f>
        <v/>
      </c>
      <c r="AW1094" s="34">
        <f>AE1094+AR1094-AN1094-AT1094-AU1094-AV1094</f>
        <v/>
      </c>
      <c r="AX1094" s="29">
        <f>LoadPremRate*E1094*N1094+AK1094+AQ1094-AU1094-AT1094</f>
        <v/>
      </c>
      <c r="AY1094" s="34">
        <f>AP1094-AO1094</f>
        <v/>
      </c>
      <c r="AZ1094" s="37">
        <f>(AW1094-AX1094-AY1094)/MAX(1,ABS(AW1094),ABS(AX1094),ABS(AY1094))</f>
        <v/>
      </c>
      <c r="BA1094" s="37">
        <f>IF(OR(K1094&gt;0,K1095&gt;0),0,(AC1095-(AC1094+AF1094-AQ1094-AP1094+AR1094-AI1094-AJ1094-AM1094))/MAX(1,ABS(AC1094),ABS(AC1095)))</f>
        <v/>
      </c>
      <c r="BB1094" s="35">
        <f>(1+INDEX(DiscRateAnn,INT(A1094/12)+1))^(1/12)-1</f>
        <v/>
      </c>
      <c r="BC1094" s="31">
        <f>(1+BB1094)^-A1094</f>
        <v/>
      </c>
      <c r="BD1094" s="34">
        <f>AW1094*BC1094</f>
        <v/>
      </c>
    </row>
    <row r="1095">
      <c r="A1095" s="27">
        <f>A1094+1</f>
        <v/>
      </c>
      <c r="B1095" s="28">
        <f>Duration0+A1095</f>
        <v/>
      </c>
      <c r="C1095" s="27">
        <f>INT(B1095/12)</f>
        <v/>
      </c>
      <c r="D1095" s="28">
        <f>AgeAtEntry+C1095</f>
        <v/>
      </c>
      <c r="E1095" s="29">
        <f>IF(PremiumType="SINGLE",IF(B1095=0,PremiumPPInput,0),IF(B1095&lt;12*PolicyTerm,PremiumPPInput,0))</f>
        <v/>
      </c>
      <c r="F1095" s="30">
        <f>INDEX(MortRates,MATCH(MIN(D1095,120),MortAges,0),MAX(MIN(C1095,5),0)+1)</f>
        <v/>
      </c>
      <c r="G1095" s="31">
        <f>1-(1-F1095)^(1/12)</f>
        <v/>
      </c>
      <c r="H1095" s="32">
        <f>MAX(LapseBase-LapseStep*C1095,LapseFloor)</f>
        <v/>
      </c>
      <c r="I1095" s="32">
        <f>IF(HasSurrCharge,INDEX(SurrRates,MIN(C1095,SurrDurMax)+1,MATCH(SurrChargeID,SurrTypes,0)),0)</f>
        <v/>
      </c>
      <c r="J1095" s="33">
        <f>N1094-P1094-O1094</f>
        <v/>
      </c>
      <c r="K1095" s="30">
        <f>IF(B1095=12*PolicyTerm,J1095,0)</f>
        <v/>
      </c>
      <c r="L1095" s="33">
        <f>J1095-K1095</f>
        <v/>
      </c>
      <c r="M1095" s="30">
        <f>IF(B1095=0,PolicyCount,0)</f>
        <v/>
      </c>
      <c r="N1095" s="33">
        <f>L1095+M1095</f>
        <v/>
      </c>
      <c r="O1095" s="31">
        <f>N1095*G1095</f>
        <v/>
      </c>
      <c r="P1095" s="33">
        <f>(N1095-O1095)*(1-(1-H1095)^(1/12))</f>
        <v/>
      </c>
      <c r="Q1095" s="34">
        <f>X1094+Z1094</f>
        <v/>
      </c>
      <c r="R1095" s="29">
        <f>(1-LoadPremRate)*E1095</f>
        <v/>
      </c>
      <c r="S1095" s="34">
        <f>Q1095+R1095</f>
        <v/>
      </c>
      <c r="T1095" s="29">
        <f>MaintFeeRateAnn/12*S1095</f>
        <v/>
      </c>
      <c r="U1095" s="29">
        <f>MAX(SumAssured-S1095,0)</f>
        <v/>
      </c>
      <c r="V1095" s="35">
        <f>CoiMultiple*G1095</f>
        <v/>
      </c>
      <c r="W1095" s="34">
        <f>V1095*U1095</f>
        <v/>
      </c>
      <c r="X1095" s="34">
        <f>S1095-T1095-W1095</f>
        <v/>
      </c>
      <c r="Y1095" s="36">
        <f>EXP((Mu-0.5*Sigma^2)/12+Sigma*SQRT(1/12)*INDEX(NormRand,ScenID,A1095+1))-1</f>
        <v/>
      </c>
      <c r="Z1095" s="34">
        <f>Y1095*X1095</f>
        <v/>
      </c>
      <c r="AA1095" s="34">
        <f>X1095+0.5*Z1095</f>
        <v/>
      </c>
      <c r="AB1095" s="34">
        <f>Q1095*J1095</f>
        <v/>
      </c>
      <c r="AC1095" s="34">
        <f>Q1095*L1095</f>
        <v/>
      </c>
      <c r="AD1095" s="34">
        <f>S1095*N1095</f>
        <v/>
      </c>
      <c r="AE1095" s="34">
        <f>E1095*N1095</f>
        <v/>
      </c>
      <c r="AF1095" s="34">
        <f>R1095*N1095</f>
        <v/>
      </c>
      <c r="AG1095" s="29">
        <f>MAX(SumAssured,AA1095)</f>
        <v/>
      </c>
      <c r="AH1095" s="34">
        <f>AG1095*O1095</f>
        <v/>
      </c>
      <c r="AI1095" s="34">
        <f>AA1095*O1095</f>
        <v/>
      </c>
      <c r="AJ1095" s="34">
        <f>AA1095*P1095</f>
        <v/>
      </c>
      <c r="AK1095" s="34">
        <f>I1095*AA1095*P1095</f>
        <v/>
      </c>
      <c r="AL1095" s="34">
        <f>AJ1095-AK1095</f>
        <v/>
      </c>
      <c r="AM1095" s="34">
        <f>Q1095*K1095</f>
        <v/>
      </c>
      <c r="AN1095" s="34">
        <f>AH1095+AL1095+AM1095</f>
        <v/>
      </c>
      <c r="AO1095" s="34">
        <f>(AG1095-AA1095)*O1095</f>
        <v/>
      </c>
      <c r="AP1095" s="34">
        <f>W1095*N1095</f>
        <v/>
      </c>
      <c r="AQ1095" s="34">
        <f>T1095*N1095</f>
        <v/>
      </c>
      <c r="AR1095" s="34">
        <f>Z1095*J1096+0.5*Z1095*(O1095+P1095)</f>
        <v/>
      </c>
      <c r="AS1095" s="30">
        <f>(1+InflationRate)^(A1095/12)</f>
        <v/>
      </c>
      <c r="AT1095" s="29">
        <f>ExpenseAcq*M1095+N1095*ExpenseMaint/12*AS1095</f>
        <v/>
      </c>
      <c r="AU1095" s="29">
        <f>CommissionRate*AE1095</f>
        <v/>
      </c>
      <c r="AV1095" s="34">
        <f>AB1096-AB1095</f>
        <v/>
      </c>
      <c r="AW1095" s="34">
        <f>AE1095+AR1095-AN1095-AT1095-AU1095-AV1095</f>
        <v/>
      </c>
      <c r="AX1095" s="29">
        <f>LoadPremRate*E1095*N1095+AK1095+AQ1095-AU1095-AT1095</f>
        <v/>
      </c>
      <c r="AY1095" s="34">
        <f>AP1095-AO1095</f>
        <v/>
      </c>
      <c r="AZ1095" s="37">
        <f>(AW1095-AX1095-AY1095)/MAX(1,ABS(AW1095),ABS(AX1095),ABS(AY1095))</f>
        <v/>
      </c>
      <c r="BA1095" s="37">
        <f>IF(OR(K1095&gt;0,K1096&gt;0),0,(AC1096-(AC1095+AF1095-AQ1095-AP1095+AR1095-AI1095-AJ1095-AM1095))/MAX(1,ABS(AC1095),ABS(AC1096)))</f>
        <v/>
      </c>
      <c r="BB1095" s="35">
        <f>(1+INDEX(DiscRateAnn,INT(A1095/12)+1))^(1/12)-1</f>
        <v/>
      </c>
      <c r="BC1095" s="31">
        <f>(1+BB1095)^-A1095</f>
        <v/>
      </c>
      <c r="BD1095" s="34">
        <f>AW1095*BC1095</f>
        <v/>
      </c>
    </row>
    <row r="1096">
      <c r="A1096" s="27">
        <f>A1095+1</f>
        <v/>
      </c>
      <c r="B1096" s="28">
        <f>Duration0+A1096</f>
        <v/>
      </c>
      <c r="C1096" s="27">
        <f>INT(B1096/12)</f>
        <v/>
      </c>
      <c r="D1096" s="28">
        <f>AgeAtEntry+C1096</f>
        <v/>
      </c>
      <c r="E1096" s="29">
        <f>IF(PremiumType="SINGLE",IF(B1096=0,PremiumPPInput,0),IF(B1096&lt;12*PolicyTerm,PremiumPPInput,0))</f>
        <v/>
      </c>
      <c r="F1096" s="30">
        <f>INDEX(MortRates,MATCH(MIN(D1096,120),MortAges,0),MAX(MIN(C1096,5),0)+1)</f>
        <v/>
      </c>
      <c r="G1096" s="31">
        <f>1-(1-F1096)^(1/12)</f>
        <v/>
      </c>
      <c r="H1096" s="32">
        <f>MAX(LapseBase-LapseStep*C1096,LapseFloor)</f>
        <v/>
      </c>
      <c r="I1096" s="32">
        <f>IF(HasSurrCharge,INDEX(SurrRates,MIN(C1096,SurrDurMax)+1,MATCH(SurrChargeID,SurrTypes,0)),0)</f>
        <v/>
      </c>
      <c r="J1096" s="33">
        <f>N1095-P1095-O1095</f>
        <v/>
      </c>
      <c r="K1096" s="30">
        <f>IF(B1096=12*PolicyTerm,J1096,0)</f>
        <v/>
      </c>
      <c r="L1096" s="33">
        <f>J1096-K1096</f>
        <v/>
      </c>
      <c r="M1096" s="30">
        <f>IF(B1096=0,PolicyCount,0)</f>
        <v/>
      </c>
      <c r="N1096" s="33">
        <f>L1096+M1096</f>
        <v/>
      </c>
      <c r="O1096" s="31">
        <f>N1096*G1096</f>
        <v/>
      </c>
      <c r="P1096" s="33">
        <f>(N1096-O1096)*(1-(1-H1096)^(1/12))</f>
        <v/>
      </c>
      <c r="Q1096" s="34">
        <f>X1095+Z1095</f>
        <v/>
      </c>
      <c r="R1096" s="29">
        <f>(1-LoadPremRate)*E1096</f>
        <v/>
      </c>
      <c r="S1096" s="34">
        <f>Q1096+R1096</f>
        <v/>
      </c>
      <c r="T1096" s="29">
        <f>MaintFeeRateAnn/12*S1096</f>
        <v/>
      </c>
      <c r="U1096" s="29">
        <f>MAX(SumAssured-S1096,0)</f>
        <v/>
      </c>
      <c r="V1096" s="35">
        <f>CoiMultiple*G1096</f>
        <v/>
      </c>
      <c r="W1096" s="34">
        <f>V1096*U1096</f>
        <v/>
      </c>
      <c r="X1096" s="34">
        <f>S1096-T1096-W1096</f>
        <v/>
      </c>
      <c r="Y1096" s="36">
        <f>EXP((Mu-0.5*Sigma^2)/12+Sigma*SQRT(1/12)*INDEX(NormRand,ScenID,A1096+1))-1</f>
        <v/>
      </c>
      <c r="Z1096" s="34">
        <f>Y1096*X1096</f>
        <v/>
      </c>
      <c r="AA1096" s="34">
        <f>X1096+0.5*Z1096</f>
        <v/>
      </c>
      <c r="AB1096" s="34">
        <f>Q1096*J1096</f>
        <v/>
      </c>
      <c r="AC1096" s="34">
        <f>Q1096*L1096</f>
        <v/>
      </c>
      <c r="AD1096" s="34">
        <f>S1096*N1096</f>
        <v/>
      </c>
      <c r="AE1096" s="34">
        <f>E1096*N1096</f>
        <v/>
      </c>
      <c r="AF1096" s="34">
        <f>R1096*N1096</f>
        <v/>
      </c>
      <c r="AG1096" s="29">
        <f>MAX(SumAssured,AA1096)</f>
        <v/>
      </c>
      <c r="AH1096" s="34">
        <f>AG1096*O1096</f>
        <v/>
      </c>
      <c r="AI1096" s="34">
        <f>AA1096*O1096</f>
        <v/>
      </c>
      <c r="AJ1096" s="34">
        <f>AA1096*P1096</f>
        <v/>
      </c>
      <c r="AK1096" s="34">
        <f>I1096*AA1096*P1096</f>
        <v/>
      </c>
      <c r="AL1096" s="34">
        <f>AJ1096-AK1096</f>
        <v/>
      </c>
      <c r="AM1096" s="34">
        <f>Q1096*K1096</f>
        <v/>
      </c>
      <c r="AN1096" s="34">
        <f>AH1096+AL1096+AM1096</f>
        <v/>
      </c>
      <c r="AO1096" s="34">
        <f>(AG1096-AA1096)*O1096</f>
        <v/>
      </c>
      <c r="AP1096" s="34">
        <f>W1096*N1096</f>
        <v/>
      </c>
      <c r="AQ1096" s="34">
        <f>T1096*N1096</f>
        <v/>
      </c>
      <c r="AR1096" s="34">
        <f>Z1096*J1097+0.5*Z1096*(O1096+P1096)</f>
        <v/>
      </c>
      <c r="AS1096" s="30">
        <f>(1+InflationRate)^(A1096/12)</f>
        <v/>
      </c>
      <c r="AT1096" s="29">
        <f>ExpenseAcq*M1096+N1096*ExpenseMaint/12*AS1096</f>
        <v/>
      </c>
      <c r="AU1096" s="29">
        <f>CommissionRate*AE1096</f>
        <v/>
      </c>
      <c r="AV1096" s="34">
        <f>AB1097-AB1096</f>
        <v/>
      </c>
      <c r="AW1096" s="34">
        <f>AE1096+AR1096-AN1096-AT1096-AU1096-AV1096</f>
        <v/>
      </c>
      <c r="AX1096" s="29">
        <f>LoadPremRate*E1096*N1096+AK1096+AQ1096-AU1096-AT1096</f>
        <v/>
      </c>
      <c r="AY1096" s="34">
        <f>AP1096-AO1096</f>
        <v/>
      </c>
      <c r="AZ1096" s="37">
        <f>(AW1096-AX1096-AY1096)/MAX(1,ABS(AW1096),ABS(AX1096),ABS(AY1096))</f>
        <v/>
      </c>
      <c r="BA1096" s="37">
        <f>IF(OR(K1096&gt;0,K1097&gt;0),0,(AC1097-(AC1096+AF1096-AQ1096-AP1096+AR1096-AI1096-AJ1096-AM1096))/MAX(1,ABS(AC1096),ABS(AC1097)))</f>
        <v/>
      </c>
      <c r="BB1096" s="35">
        <f>(1+INDEX(DiscRateAnn,INT(A1096/12)+1))^(1/12)-1</f>
        <v/>
      </c>
      <c r="BC1096" s="31">
        <f>(1+BB1096)^-A1096</f>
        <v/>
      </c>
      <c r="BD1096" s="34">
        <f>AW1096*BC1096</f>
        <v/>
      </c>
    </row>
    <row r="1097">
      <c r="A1097" s="27">
        <f>A1096+1</f>
        <v/>
      </c>
      <c r="B1097" s="28">
        <f>Duration0+A1097</f>
        <v/>
      </c>
      <c r="C1097" s="27">
        <f>INT(B1097/12)</f>
        <v/>
      </c>
      <c r="D1097" s="28">
        <f>AgeAtEntry+C1097</f>
        <v/>
      </c>
      <c r="E1097" s="29">
        <f>IF(PremiumType="SINGLE",IF(B1097=0,PremiumPPInput,0),IF(B1097&lt;12*PolicyTerm,PremiumPPInput,0))</f>
        <v/>
      </c>
      <c r="F1097" s="30">
        <f>INDEX(MortRates,MATCH(MIN(D1097,120),MortAges,0),MAX(MIN(C1097,5),0)+1)</f>
        <v/>
      </c>
      <c r="G1097" s="31">
        <f>1-(1-F1097)^(1/12)</f>
        <v/>
      </c>
      <c r="H1097" s="32">
        <f>MAX(LapseBase-LapseStep*C1097,LapseFloor)</f>
        <v/>
      </c>
      <c r="I1097" s="32">
        <f>IF(HasSurrCharge,INDEX(SurrRates,MIN(C1097,SurrDurMax)+1,MATCH(SurrChargeID,SurrTypes,0)),0)</f>
        <v/>
      </c>
      <c r="J1097" s="33">
        <f>N1096-P1096-O1096</f>
        <v/>
      </c>
      <c r="K1097" s="30">
        <f>IF(B1097=12*PolicyTerm,J1097,0)</f>
        <v/>
      </c>
      <c r="L1097" s="33">
        <f>J1097-K1097</f>
        <v/>
      </c>
      <c r="M1097" s="30">
        <f>IF(B1097=0,PolicyCount,0)</f>
        <v/>
      </c>
      <c r="N1097" s="33">
        <f>L1097+M1097</f>
        <v/>
      </c>
      <c r="O1097" s="31">
        <f>N1097*G1097</f>
        <v/>
      </c>
      <c r="P1097" s="33">
        <f>(N1097-O1097)*(1-(1-H1097)^(1/12))</f>
        <v/>
      </c>
      <c r="Q1097" s="34">
        <f>X1096+Z1096</f>
        <v/>
      </c>
      <c r="R1097" s="29">
        <f>(1-LoadPremRate)*E1097</f>
        <v/>
      </c>
      <c r="S1097" s="34">
        <f>Q1097+R1097</f>
        <v/>
      </c>
      <c r="T1097" s="29">
        <f>MaintFeeRateAnn/12*S1097</f>
        <v/>
      </c>
      <c r="U1097" s="29">
        <f>MAX(SumAssured-S1097,0)</f>
        <v/>
      </c>
      <c r="V1097" s="35">
        <f>CoiMultiple*G1097</f>
        <v/>
      </c>
      <c r="W1097" s="34">
        <f>V1097*U1097</f>
        <v/>
      </c>
      <c r="X1097" s="34">
        <f>S1097-T1097-W1097</f>
        <v/>
      </c>
      <c r="Y1097" s="36">
        <f>EXP((Mu-0.5*Sigma^2)/12+Sigma*SQRT(1/12)*INDEX(NormRand,ScenID,A1097+1))-1</f>
        <v/>
      </c>
      <c r="Z1097" s="34">
        <f>Y1097*X1097</f>
        <v/>
      </c>
      <c r="AA1097" s="34">
        <f>X1097+0.5*Z1097</f>
        <v/>
      </c>
      <c r="AB1097" s="34">
        <f>Q1097*J1097</f>
        <v/>
      </c>
      <c r="AC1097" s="34">
        <f>Q1097*L1097</f>
        <v/>
      </c>
      <c r="AD1097" s="34">
        <f>S1097*N1097</f>
        <v/>
      </c>
      <c r="AE1097" s="34">
        <f>E1097*N1097</f>
        <v/>
      </c>
      <c r="AF1097" s="34">
        <f>R1097*N1097</f>
        <v/>
      </c>
      <c r="AG1097" s="29">
        <f>MAX(SumAssured,AA1097)</f>
        <v/>
      </c>
      <c r="AH1097" s="34">
        <f>AG1097*O1097</f>
        <v/>
      </c>
      <c r="AI1097" s="34">
        <f>AA1097*O1097</f>
        <v/>
      </c>
      <c r="AJ1097" s="34">
        <f>AA1097*P1097</f>
        <v/>
      </c>
      <c r="AK1097" s="34">
        <f>I1097*AA1097*P1097</f>
        <v/>
      </c>
      <c r="AL1097" s="34">
        <f>AJ1097-AK1097</f>
        <v/>
      </c>
      <c r="AM1097" s="34">
        <f>Q1097*K1097</f>
        <v/>
      </c>
      <c r="AN1097" s="34">
        <f>AH1097+AL1097+AM1097</f>
        <v/>
      </c>
      <c r="AO1097" s="34">
        <f>(AG1097-AA1097)*O1097</f>
        <v/>
      </c>
      <c r="AP1097" s="34">
        <f>W1097*N1097</f>
        <v/>
      </c>
      <c r="AQ1097" s="34">
        <f>T1097*N1097</f>
        <v/>
      </c>
      <c r="AR1097" s="34">
        <f>Z1097*J1098+0.5*Z1097*(O1097+P1097)</f>
        <v/>
      </c>
      <c r="AS1097" s="30">
        <f>(1+InflationRate)^(A1097/12)</f>
        <v/>
      </c>
      <c r="AT1097" s="29">
        <f>ExpenseAcq*M1097+N1097*ExpenseMaint/12*AS1097</f>
        <v/>
      </c>
      <c r="AU1097" s="29">
        <f>CommissionRate*AE1097</f>
        <v/>
      </c>
      <c r="AV1097" s="34">
        <f>AB1098-AB1097</f>
        <v/>
      </c>
      <c r="AW1097" s="34">
        <f>AE1097+AR1097-AN1097-AT1097-AU1097-AV1097</f>
        <v/>
      </c>
      <c r="AX1097" s="29">
        <f>LoadPremRate*E1097*N1097+AK1097+AQ1097-AU1097-AT1097</f>
        <v/>
      </c>
      <c r="AY1097" s="34">
        <f>AP1097-AO1097</f>
        <v/>
      </c>
      <c r="AZ1097" s="37">
        <f>(AW1097-AX1097-AY1097)/MAX(1,ABS(AW1097),ABS(AX1097),ABS(AY1097))</f>
        <v/>
      </c>
      <c r="BA1097" s="37">
        <f>IF(OR(K1097&gt;0,K1098&gt;0),0,(AC1098-(AC1097+AF1097-AQ1097-AP1097+AR1097-AI1097-AJ1097-AM1097))/MAX(1,ABS(AC1097),ABS(AC1098)))</f>
        <v/>
      </c>
      <c r="BB1097" s="35">
        <f>(1+INDEX(DiscRateAnn,INT(A1097/12)+1))^(1/12)-1</f>
        <v/>
      </c>
      <c r="BC1097" s="31">
        <f>(1+BB1097)^-A1097</f>
        <v/>
      </c>
      <c r="BD1097" s="34">
        <f>AW1097*BC1097</f>
        <v/>
      </c>
    </row>
    <row r="1098">
      <c r="A1098" s="27">
        <f>A1097+1</f>
        <v/>
      </c>
      <c r="B1098" s="28">
        <f>Duration0+A1098</f>
        <v/>
      </c>
      <c r="C1098" s="27">
        <f>INT(B1098/12)</f>
        <v/>
      </c>
      <c r="D1098" s="28">
        <f>AgeAtEntry+C1098</f>
        <v/>
      </c>
      <c r="E1098" s="29">
        <f>IF(PremiumType="SINGLE",IF(B1098=0,PremiumPPInput,0),IF(B1098&lt;12*PolicyTerm,PremiumPPInput,0))</f>
        <v/>
      </c>
      <c r="F1098" s="30">
        <f>INDEX(MortRates,MATCH(MIN(D1098,120),MortAges,0),MAX(MIN(C1098,5),0)+1)</f>
        <v/>
      </c>
      <c r="G1098" s="31">
        <f>1-(1-F1098)^(1/12)</f>
        <v/>
      </c>
      <c r="H1098" s="32">
        <f>MAX(LapseBase-LapseStep*C1098,LapseFloor)</f>
        <v/>
      </c>
      <c r="I1098" s="32">
        <f>IF(HasSurrCharge,INDEX(SurrRates,MIN(C1098,SurrDurMax)+1,MATCH(SurrChargeID,SurrTypes,0)),0)</f>
        <v/>
      </c>
      <c r="J1098" s="33">
        <f>N1097-P1097-O1097</f>
        <v/>
      </c>
      <c r="K1098" s="30">
        <f>IF(B1098=12*PolicyTerm,J1098,0)</f>
        <v/>
      </c>
      <c r="L1098" s="33">
        <f>J1098-K1098</f>
        <v/>
      </c>
      <c r="M1098" s="30">
        <f>IF(B1098=0,PolicyCount,0)</f>
        <v/>
      </c>
      <c r="N1098" s="33">
        <f>L1098+M1098</f>
        <v/>
      </c>
      <c r="O1098" s="31">
        <f>N1098*G1098</f>
        <v/>
      </c>
      <c r="P1098" s="33">
        <f>(N1098-O1098)*(1-(1-H1098)^(1/12))</f>
        <v/>
      </c>
      <c r="Q1098" s="34">
        <f>X1097+Z1097</f>
        <v/>
      </c>
      <c r="R1098" s="29">
        <f>(1-LoadPremRate)*E1098</f>
        <v/>
      </c>
      <c r="S1098" s="34">
        <f>Q1098+R1098</f>
        <v/>
      </c>
      <c r="T1098" s="29">
        <f>MaintFeeRateAnn/12*S1098</f>
        <v/>
      </c>
      <c r="U1098" s="29">
        <f>MAX(SumAssured-S1098,0)</f>
        <v/>
      </c>
      <c r="V1098" s="35">
        <f>CoiMultiple*G1098</f>
        <v/>
      </c>
      <c r="W1098" s="34">
        <f>V1098*U1098</f>
        <v/>
      </c>
      <c r="X1098" s="34">
        <f>S1098-T1098-W1098</f>
        <v/>
      </c>
      <c r="Y1098" s="36">
        <f>EXP((Mu-0.5*Sigma^2)/12+Sigma*SQRT(1/12)*INDEX(NormRand,ScenID,A1098+1))-1</f>
        <v/>
      </c>
      <c r="Z1098" s="34">
        <f>Y1098*X1098</f>
        <v/>
      </c>
      <c r="AA1098" s="34">
        <f>X1098+0.5*Z1098</f>
        <v/>
      </c>
      <c r="AB1098" s="34">
        <f>Q1098*J1098</f>
        <v/>
      </c>
      <c r="AC1098" s="34">
        <f>Q1098*L1098</f>
        <v/>
      </c>
      <c r="AD1098" s="34">
        <f>S1098*N1098</f>
        <v/>
      </c>
      <c r="AE1098" s="34">
        <f>E1098*N1098</f>
        <v/>
      </c>
      <c r="AF1098" s="34">
        <f>R1098*N1098</f>
        <v/>
      </c>
      <c r="AG1098" s="29">
        <f>MAX(SumAssured,AA1098)</f>
        <v/>
      </c>
      <c r="AH1098" s="34">
        <f>AG1098*O1098</f>
        <v/>
      </c>
      <c r="AI1098" s="34">
        <f>AA1098*O1098</f>
        <v/>
      </c>
      <c r="AJ1098" s="34">
        <f>AA1098*P1098</f>
        <v/>
      </c>
      <c r="AK1098" s="34">
        <f>I1098*AA1098*P1098</f>
        <v/>
      </c>
      <c r="AL1098" s="34">
        <f>AJ1098-AK1098</f>
        <v/>
      </c>
      <c r="AM1098" s="34">
        <f>Q1098*K1098</f>
        <v/>
      </c>
      <c r="AN1098" s="34">
        <f>AH1098+AL1098+AM1098</f>
        <v/>
      </c>
      <c r="AO1098" s="34">
        <f>(AG1098-AA1098)*O1098</f>
        <v/>
      </c>
      <c r="AP1098" s="34">
        <f>W1098*N1098</f>
        <v/>
      </c>
      <c r="AQ1098" s="34">
        <f>T1098*N1098</f>
        <v/>
      </c>
      <c r="AR1098" s="34">
        <f>Z1098*J1099+0.5*Z1098*(O1098+P1098)</f>
        <v/>
      </c>
      <c r="AS1098" s="30">
        <f>(1+InflationRate)^(A1098/12)</f>
        <v/>
      </c>
      <c r="AT1098" s="29">
        <f>ExpenseAcq*M1098+N1098*ExpenseMaint/12*AS1098</f>
        <v/>
      </c>
      <c r="AU1098" s="29">
        <f>CommissionRate*AE1098</f>
        <v/>
      </c>
      <c r="AV1098" s="34">
        <f>AB1099-AB1098</f>
        <v/>
      </c>
      <c r="AW1098" s="34">
        <f>AE1098+AR1098-AN1098-AT1098-AU1098-AV1098</f>
        <v/>
      </c>
      <c r="AX1098" s="29">
        <f>LoadPremRate*E1098*N1098+AK1098+AQ1098-AU1098-AT1098</f>
        <v/>
      </c>
      <c r="AY1098" s="34">
        <f>AP1098-AO1098</f>
        <v/>
      </c>
      <c r="AZ1098" s="37">
        <f>(AW1098-AX1098-AY1098)/MAX(1,ABS(AW1098),ABS(AX1098),ABS(AY1098))</f>
        <v/>
      </c>
      <c r="BA1098" s="37">
        <f>IF(OR(K1098&gt;0,K1099&gt;0),0,(AC1099-(AC1098+AF1098-AQ1098-AP1098+AR1098-AI1098-AJ1098-AM1098))/MAX(1,ABS(AC1098),ABS(AC1099)))</f>
        <v/>
      </c>
      <c r="BB1098" s="35">
        <f>(1+INDEX(DiscRateAnn,INT(A1098/12)+1))^(1/12)-1</f>
        <v/>
      </c>
      <c r="BC1098" s="31">
        <f>(1+BB1098)^-A1098</f>
        <v/>
      </c>
      <c r="BD1098" s="34">
        <f>AW1098*BC1098</f>
        <v/>
      </c>
    </row>
    <row r="1099">
      <c r="A1099" s="27">
        <f>A1098+1</f>
        <v/>
      </c>
      <c r="B1099" s="28">
        <f>Duration0+A1099</f>
        <v/>
      </c>
      <c r="C1099" s="27">
        <f>INT(B1099/12)</f>
        <v/>
      </c>
      <c r="D1099" s="28">
        <f>AgeAtEntry+C1099</f>
        <v/>
      </c>
      <c r="E1099" s="29">
        <f>IF(PremiumType="SINGLE",IF(B1099=0,PremiumPPInput,0),IF(B1099&lt;12*PolicyTerm,PremiumPPInput,0))</f>
        <v/>
      </c>
      <c r="F1099" s="30">
        <f>INDEX(MortRates,MATCH(MIN(D1099,120),MortAges,0),MAX(MIN(C1099,5),0)+1)</f>
        <v/>
      </c>
      <c r="G1099" s="31">
        <f>1-(1-F1099)^(1/12)</f>
        <v/>
      </c>
      <c r="H1099" s="32">
        <f>MAX(LapseBase-LapseStep*C1099,LapseFloor)</f>
        <v/>
      </c>
      <c r="I1099" s="32">
        <f>IF(HasSurrCharge,INDEX(SurrRates,MIN(C1099,SurrDurMax)+1,MATCH(SurrChargeID,SurrTypes,0)),0)</f>
        <v/>
      </c>
      <c r="J1099" s="33">
        <f>N1098-P1098-O1098</f>
        <v/>
      </c>
      <c r="K1099" s="30">
        <f>IF(B1099=12*PolicyTerm,J1099,0)</f>
        <v/>
      </c>
      <c r="L1099" s="33">
        <f>J1099-K1099</f>
        <v/>
      </c>
      <c r="M1099" s="30">
        <f>IF(B1099=0,PolicyCount,0)</f>
        <v/>
      </c>
      <c r="N1099" s="33">
        <f>L1099+M1099</f>
        <v/>
      </c>
      <c r="O1099" s="31">
        <f>N1099*G1099</f>
        <v/>
      </c>
      <c r="P1099" s="33">
        <f>(N1099-O1099)*(1-(1-H1099)^(1/12))</f>
        <v/>
      </c>
      <c r="Q1099" s="34">
        <f>X1098+Z1098</f>
        <v/>
      </c>
      <c r="R1099" s="29">
        <f>(1-LoadPremRate)*E1099</f>
        <v/>
      </c>
      <c r="S1099" s="34">
        <f>Q1099+R1099</f>
        <v/>
      </c>
      <c r="T1099" s="29">
        <f>MaintFeeRateAnn/12*S1099</f>
        <v/>
      </c>
      <c r="U1099" s="29">
        <f>MAX(SumAssured-S1099,0)</f>
        <v/>
      </c>
      <c r="V1099" s="35">
        <f>CoiMultiple*G1099</f>
        <v/>
      </c>
      <c r="W1099" s="34">
        <f>V1099*U1099</f>
        <v/>
      </c>
      <c r="X1099" s="34">
        <f>S1099-T1099-W1099</f>
        <v/>
      </c>
      <c r="Y1099" s="36">
        <f>EXP((Mu-0.5*Sigma^2)/12+Sigma*SQRT(1/12)*INDEX(NormRand,ScenID,A1099+1))-1</f>
        <v/>
      </c>
      <c r="Z1099" s="34">
        <f>Y1099*X1099</f>
        <v/>
      </c>
      <c r="AA1099" s="34">
        <f>X1099+0.5*Z1099</f>
        <v/>
      </c>
      <c r="AB1099" s="34">
        <f>Q1099*J1099</f>
        <v/>
      </c>
      <c r="AC1099" s="34">
        <f>Q1099*L1099</f>
        <v/>
      </c>
      <c r="AD1099" s="34">
        <f>S1099*N1099</f>
        <v/>
      </c>
      <c r="AE1099" s="34">
        <f>E1099*N1099</f>
        <v/>
      </c>
      <c r="AF1099" s="34">
        <f>R1099*N1099</f>
        <v/>
      </c>
      <c r="AG1099" s="29">
        <f>MAX(SumAssured,AA1099)</f>
        <v/>
      </c>
      <c r="AH1099" s="34">
        <f>AG1099*O1099</f>
        <v/>
      </c>
      <c r="AI1099" s="34">
        <f>AA1099*O1099</f>
        <v/>
      </c>
      <c r="AJ1099" s="34">
        <f>AA1099*P1099</f>
        <v/>
      </c>
      <c r="AK1099" s="34">
        <f>I1099*AA1099*P1099</f>
        <v/>
      </c>
      <c r="AL1099" s="34">
        <f>AJ1099-AK1099</f>
        <v/>
      </c>
      <c r="AM1099" s="34">
        <f>Q1099*K1099</f>
        <v/>
      </c>
      <c r="AN1099" s="34">
        <f>AH1099+AL1099+AM1099</f>
        <v/>
      </c>
      <c r="AO1099" s="34">
        <f>(AG1099-AA1099)*O1099</f>
        <v/>
      </c>
      <c r="AP1099" s="34">
        <f>W1099*N1099</f>
        <v/>
      </c>
      <c r="AQ1099" s="34">
        <f>T1099*N1099</f>
        <v/>
      </c>
      <c r="AR1099" s="34">
        <f>Z1099*J1100+0.5*Z1099*(O1099+P1099)</f>
        <v/>
      </c>
      <c r="AS1099" s="30">
        <f>(1+InflationRate)^(A1099/12)</f>
        <v/>
      </c>
      <c r="AT1099" s="29">
        <f>ExpenseAcq*M1099+N1099*ExpenseMaint/12*AS1099</f>
        <v/>
      </c>
      <c r="AU1099" s="29">
        <f>CommissionRate*AE1099</f>
        <v/>
      </c>
      <c r="AV1099" s="34">
        <f>AB1100-AB1099</f>
        <v/>
      </c>
      <c r="AW1099" s="34">
        <f>AE1099+AR1099-AN1099-AT1099-AU1099-AV1099</f>
        <v/>
      </c>
      <c r="AX1099" s="29">
        <f>LoadPremRate*E1099*N1099+AK1099+AQ1099-AU1099-AT1099</f>
        <v/>
      </c>
      <c r="AY1099" s="34">
        <f>AP1099-AO1099</f>
        <v/>
      </c>
      <c r="AZ1099" s="37">
        <f>(AW1099-AX1099-AY1099)/MAX(1,ABS(AW1099),ABS(AX1099),ABS(AY1099))</f>
        <v/>
      </c>
      <c r="BA1099" s="37">
        <f>IF(OR(K1099&gt;0,K1100&gt;0),0,(AC1100-(AC1099+AF1099-AQ1099-AP1099+AR1099-AI1099-AJ1099-AM1099))/MAX(1,ABS(AC1099),ABS(AC1100)))</f>
        <v/>
      </c>
      <c r="BB1099" s="35">
        <f>(1+INDEX(DiscRateAnn,INT(A1099/12)+1))^(1/12)-1</f>
        <v/>
      </c>
      <c r="BC1099" s="31">
        <f>(1+BB1099)^-A1099</f>
        <v/>
      </c>
      <c r="BD1099" s="34">
        <f>AW1099*BC1099</f>
        <v/>
      </c>
    </row>
    <row r="1100">
      <c r="A1100" s="27">
        <f>A1099+1</f>
        <v/>
      </c>
      <c r="B1100" s="28">
        <f>Duration0+A1100</f>
        <v/>
      </c>
      <c r="C1100" s="27">
        <f>INT(B1100/12)</f>
        <v/>
      </c>
      <c r="D1100" s="28">
        <f>AgeAtEntry+C1100</f>
        <v/>
      </c>
      <c r="E1100" s="29">
        <f>IF(PremiumType="SINGLE",IF(B1100=0,PremiumPPInput,0),IF(B1100&lt;12*PolicyTerm,PremiumPPInput,0))</f>
        <v/>
      </c>
      <c r="F1100" s="30">
        <f>INDEX(MortRates,MATCH(MIN(D1100,120),MortAges,0),MAX(MIN(C1100,5),0)+1)</f>
        <v/>
      </c>
      <c r="G1100" s="31">
        <f>1-(1-F1100)^(1/12)</f>
        <v/>
      </c>
      <c r="H1100" s="32">
        <f>MAX(LapseBase-LapseStep*C1100,LapseFloor)</f>
        <v/>
      </c>
      <c r="I1100" s="32">
        <f>IF(HasSurrCharge,INDEX(SurrRates,MIN(C1100,SurrDurMax)+1,MATCH(SurrChargeID,SurrTypes,0)),0)</f>
        <v/>
      </c>
      <c r="J1100" s="33">
        <f>N1099-P1099-O1099</f>
        <v/>
      </c>
      <c r="K1100" s="30">
        <f>IF(B1100=12*PolicyTerm,J1100,0)</f>
        <v/>
      </c>
      <c r="L1100" s="33">
        <f>J1100-K1100</f>
        <v/>
      </c>
      <c r="M1100" s="30">
        <f>IF(B1100=0,PolicyCount,0)</f>
        <v/>
      </c>
      <c r="N1100" s="33">
        <f>L1100+M1100</f>
        <v/>
      </c>
      <c r="O1100" s="31">
        <f>N1100*G1100</f>
        <v/>
      </c>
      <c r="P1100" s="33">
        <f>(N1100-O1100)*(1-(1-H1100)^(1/12))</f>
        <v/>
      </c>
      <c r="Q1100" s="34">
        <f>X1099+Z1099</f>
        <v/>
      </c>
      <c r="R1100" s="29">
        <f>(1-LoadPremRate)*E1100</f>
        <v/>
      </c>
      <c r="S1100" s="34">
        <f>Q1100+R1100</f>
        <v/>
      </c>
      <c r="T1100" s="29">
        <f>MaintFeeRateAnn/12*S1100</f>
        <v/>
      </c>
      <c r="U1100" s="29">
        <f>MAX(SumAssured-S1100,0)</f>
        <v/>
      </c>
      <c r="V1100" s="35">
        <f>CoiMultiple*G1100</f>
        <v/>
      </c>
      <c r="W1100" s="34">
        <f>V1100*U1100</f>
        <v/>
      </c>
      <c r="X1100" s="34">
        <f>S1100-T1100-W1100</f>
        <v/>
      </c>
      <c r="Y1100" s="36">
        <f>EXP((Mu-0.5*Sigma^2)/12+Sigma*SQRT(1/12)*INDEX(NormRand,ScenID,A1100+1))-1</f>
        <v/>
      </c>
      <c r="Z1100" s="34">
        <f>Y1100*X1100</f>
        <v/>
      </c>
      <c r="AA1100" s="34">
        <f>X1100+0.5*Z1100</f>
        <v/>
      </c>
      <c r="AB1100" s="34">
        <f>Q1100*J1100</f>
        <v/>
      </c>
      <c r="AC1100" s="34">
        <f>Q1100*L1100</f>
        <v/>
      </c>
      <c r="AD1100" s="34">
        <f>S1100*N1100</f>
        <v/>
      </c>
      <c r="AE1100" s="34">
        <f>E1100*N1100</f>
        <v/>
      </c>
      <c r="AF1100" s="34">
        <f>R1100*N1100</f>
        <v/>
      </c>
      <c r="AG1100" s="29">
        <f>MAX(SumAssured,AA1100)</f>
        <v/>
      </c>
      <c r="AH1100" s="34">
        <f>AG1100*O1100</f>
        <v/>
      </c>
      <c r="AI1100" s="34">
        <f>AA1100*O1100</f>
        <v/>
      </c>
      <c r="AJ1100" s="34">
        <f>AA1100*P1100</f>
        <v/>
      </c>
      <c r="AK1100" s="34">
        <f>I1100*AA1100*P1100</f>
        <v/>
      </c>
      <c r="AL1100" s="34">
        <f>AJ1100-AK1100</f>
        <v/>
      </c>
      <c r="AM1100" s="34">
        <f>Q1100*K1100</f>
        <v/>
      </c>
      <c r="AN1100" s="34">
        <f>AH1100+AL1100+AM1100</f>
        <v/>
      </c>
      <c r="AO1100" s="34">
        <f>(AG1100-AA1100)*O1100</f>
        <v/>
      </c>
      <c r="AP1100" s="34">
        <f>W1100*N1100</f>
        <v/>
      </c>
      <c r="AQ1100" s="34">
        <f>T1100*N1100</f>
        <v/>
      </c>
      <c r="AR1100" s="34">
        <f>Z1100*J1101+0.5*Z1100*(O1100+P1100)</f>
        <v/>
      </c>
      <c r="AS1100" s="30">
        <f>(1+InflationRate)^(A1100/12)</f>
        <v/>
      </c>
      <c r="AT1100" s="29">
        <f>ExpenseAcq*M1100+N1100*ExpenseMaint/12*AS1100</f>
        <v/>
      </c>
      <c r="AU1100" s="29">
        <f>CommissionRate*AE1100</f>
        <v/>
      </c>
      <c r="AV1100" s="34">
        <f>AB1101-AB1100</f>
        <v/>
      </c>
      <c r="AW1100" s="34">
        <f>AE1100+AR1100-AN1100-AT1100-AU1100-AV1100</f>
        <v/>
      </c>
      <c r="AX1100" s="29">
        <f>LoadPremRate*E1100*N1100+AK1100+AQ1100-AU1100-AT1100</f>
        <v/>
      </c>
      <c r="AY1100" s="34">
        <f>AP1100-AO1100</f>
        <v/>
      </c>
      <c r="AZ1100" s="37">
        <f>(AW1100-AX1100-AY1100)/MAX(1,ABS(AW1100),ABS(AX1100),ABS(AY1100))</f>
        <v/>
      </c>
      <c r="BA1100" s="37">
        <f>IF(OR(K1100&gt;0,K1101&gt;0),0,(AC1101-(AC1100+AF1100-AQ1100-AP1100+AR1100-AI1100-AJ1100-AM1100))/MAX(1,ABS(AC1100),ABS(AC1101)))</f>
        <v/>
      </c>
      <c r="BB1100" s="35">
        <f>(1+INDEX(DiscRateAnn,INT(A1100/12)+1))^(1/12)-1</f>
        <v/>
      </c>
      <c r="BC1100" s="31">
        <f>(1+BB1100)^-A1100</f>
        <v/>
      </c>
      <c r="BD1100" s="34">
        <f>AW1100*BC1100</f>
        <v/>
      </c>
    </row>
    <row r="1101">
      <c r="A1101" s="27">
        <f>A1100+1</f>
        <v/>
      </c>
      <c r="B1101" s="28">
        <f>Duration0+A1101</f>
        <v/>
      </c>
      <c r="C1101" s="27">
        <f>INT(B1101/12)</f>
        <v/>
      </c>
      <c r="D1101" s="28">
        <f>AgeAtEntry+C1101</f>
        <v/>
      </c>
      <c r="E1101" s="29">
        <f>IF(PremiumType="SINGLE",IF(B1101=0,PremiumPPInput,0),IF(B1101&lt;12*PolicyTerm,PremiumPPInput,0))</f>
        <v/>
      </c>
      <c r="F1101" s="30">
        <f>INDEX(MortRates,MATCH(MIN(D1101,120),MortAges,0),MAX(MIN(C1101,5),0)+1)</f>
        <v/>
      </c>
      <c r="G1101" s="31">
        <f>1-(1-F1101)^(1/12)</f>
        <v/>
      </c>
      <c r="H1101" s="32">
        <f>MAX(LapseBase-LapseStep*C1101,LapseFloor)</f>
        <v/>
      </c>
      <c r="I1101" s="32">
        <f>IF(HasSurrCharge,INDEX(SurrRates,MIN(C1101,SurrDurMax)+1,MATCH(SurrChargeID,SurrTypes,0)),0)</f>
        <v/>
      </c>
      <c r="J1101" s="33">
        <f>N1100-P1100-O1100</f>
        <v/>
      </c>
      <c r="K1101" s="30">
        <f>IF(B1101=12*PolicyTerm,J1101,0)</f>
        <v/>
      </c>
      <c r="L1101" s="33">
        <f>J1101-K1101</f>
        <v/>
      </c>
      <c r="M1101" s="30">
        <f>IF(B1101=0,PolicyCount,0)</f>
        <v/>
      </c>
      <c r="N1101" s="33">
        <f>L1101+M1101</f>
        <v/>
      </c>
      <c r="O1101" s="31">
        <f>N1101*G1101</f>
        <v/>
      </c>
      <c r="P1101" s="33">
        <f>(N1101-O1101)*(1-(1-H1101)^(1/12))</f>
        <v/>
      </c>
      <c r="Q1101" s="34">
        <f>X1100+Z1100</f>
        <v/>
      </c>
      <c r="R1101" s="29">
        <f>(1-LoadPremRate)*E1101</f>
        <v/>
      </c>
      <c r="S1101" s="34">
        <f>Q1101+R1101</f>
        <v/>
      </c>
      <c r="T1101" s="29">
        <f>MaintFeeRateAnn/12*S1101</f>
        <v/>
      </c>
      <c r="U1101" s="29">
        <f>MAX(SumAssured-S1101,0)</f>
        <v/>
      </c>
      <c r="V1101" s="35">
        <f>CoiMultiple*G1101</f>
        <v/>
      </c>
      <c r="W1101" s="34">
        <f>V1101*U1101</f>
        <v/>
      </c>
      <c r="X1101" s="34">
        <f>S1101-T1101-W1101</f>
        <v/>
      </c>
      <c r="Y1101" s="36">
        <f>EXP((Mu-0.5*Sigma^2)/12+Sigma*SQRT(1/12)*INDEX(NormRand,ScenID,A1101+1))-1</f>
        <v/>
      </c>
      <c r="Z1101" s="34">
        <f>Y1101*X1101</f>
        <v/>
      </c>
      <c r="AA1101" s="34">
        <f>X1101+0.5*Z1101</f>
        <v/>
      </c>
      <c r="AB1101" s="34">
        <f>Q1101*J1101</f>
        <v/>
      </c>
      <c r="AC1101" s="34">
        <f>Q1101*L1101</f>
        <v/>
      </c>
      <c r="AD1101" s="34">
        <f>S1101*N1101</f>
        <v/>
      </c>
      <c r="AE1101" s="34">
        <f>E1101*N1101</f>
        <v/>
      </c>
      <c r="AF1101" s="34">
        <f>R1101*N1101</f>
        <v/>
      </c>
      <c r="AG1101" s="29">
        <f>MAX(SumAssured,AA1101)</f>
        <v/>
      </c>
      <c r="AH1101" s="34">
        <f>AG1101*O1101</f>
        <v/>
      </c>
      <c r="AI1101" s="34">
        <f>AA1101*O1101</f>
        <v/>
      </c>
      <c r="AJ1101" s="34">
        <f>AA1101*P1101</f>
        <v/>
      </c>
      <c r="AK1101" s="34">
        <f>I1101*AA1101*P1101</f>
        <v/>
      </c>
      <c r="AL1101" s="34">
        <f>AJ1101-AK1101</f>
        <v/>
      </c>
      <c r="AM1101" s="34">
        <f>Q1101*K1101</f>
        <v/>
      </c>
      <c r="AN1101" s="34">
        <f>AH1101+AL1101+AM1101</f>
        <v/>
      </c>
      <c r="AO1101" s="34">
        <f>(AG1101-AA1101)*O1101</f>
        <v/>
      </c>
      <c r="AP1101" s="34">
        <f>W1101*N1101</f>
        <v/>
      </c>
      <c r="AQ1101" s="34">
        <f>T1101*N1101</f>
        <v/>
      </c>
      <c r="AR1101" s="34">
        <f>Z1101*J1102+0.5*Z1101*(O1101+P1101)</f>
        <v/>
      </c>
      <c r="AS1101" s="30">
        <f>(1+InflationRate)^(A1101/12)</f>
        <v/>
      </c>
      <c r="AT1101" s="29">
        <f>ExpenseAcq*M1101+N1101*ExpenseMaint/12*AS1101</f>
        <v/>
      </c>
      <c r="AU1101" s="29">
        <f>CommissionRate*AE1101</f>
        <v/>
      </c>
      <c r="AV1101" s="34">
        <f>AB1102-AB1101</f>
        <v/>
      </c>
      <c r="AW1101" s="34">
        <f>AE1101+AR1101-AN1101-AT1101-AU1101-AV1101</f>
        <v/>
      </c>
      <c r="AX1101" s="29">
        <f>LoadPremRate*E1101*N1101+AK1101+AQ1101-AU1101-AT1101</f>
        <v/>
      </c>
      <c r="AY1101" s="34">
        <f>AP1101-AO1101</f>
        <v/>
      </c>
      <c r="AZ1101" s="37">
        <f>(AW1101-AX1101-AY1101)/MAX(1,ABS(AW1101),ABS(AX1101),ABS(AY1101))</f>
        <v/>
      </c>
      <c r="BA1101" s="37">
        <f>IF(OR(K1101&gt;0,K1102&gt;0),0,(AC1102-(AC1101+AF1101-AQ1101-AP1101+AR1101-AI1101-AJ1101-AM1101))/MAX(1,ABS(AC1101),ABS(AC1102)))</f>
        <v/>
      </c>
      <c r="BB1101" s="35">
        <f>(1+INDEX(DiscRateAnn,INT(A1101/12)+1))^(1/12)-1</f>
        <v/>
      </c>
      <c r="BC1101" s="31">
        <f>(1+BB1101)^-A1101</f>
        <v/>
      </c>
      <c r="BD1101" s="34">
        <f>AW1101*BC1101</f>
        <v/>
      </c>
    </row>
    <row r="1102">
      <c r="A1102" s="27">
        <f>A1101+1</f>
        <v/>
      </c>
      <c r="B1102" s="28">
        <f>Duration0+A1102</f>
        <v/>
      </c>
      <c r="C1102" s="27">
        <f>INT(B1102/12)</f>
        <v/>
      </c>
      <c r="D1102" s="28">
        <f>AgeAtEntry+C1102</f>
        <v/>
      </c>
      <c r="E1102" s="29">
        <f>IF(PremiumType="SINGLE",IF(B1102=0,PremiumPPInput,0),IF(B1102&lt;12*PolicyTerm,PremiumPPInput,0))</f>
        <v/>
      </c>
      <c r="F1102" s="30">
        <f>INDEX(MortRates,MATCH(MIN(D1102,120),MortAges,0),MAX(MIN(C1102,5),0)+1)</f>
        <v/>
      </c>
      <c r="G1102" s="31">
        <f>1-(1-F1102)^(1/12)</f>
        <v/>
      </c>
      <c r="H1102" s="32">
        <f>MAX(LapseBase-LapseStep*C1102,LapseFloor)</f>
        <v/>
      </c>
      <c r="I1102" s="32">
        <f>IF(HasSurrCharge,INDEX(SurrRates,MIN(C1102,SurrDurMax)+1,MATCH(SurrChargeID,SurrTypes,0)),0)</f>
        <v/>
      </c>
      <c r="J1102" s="33">
        <f>N1101-P1101-O1101</f>
        <v/>
      </c>
      <c r="K1102" s="30">
        <f>IF(B1102=12*PolicyTerm,J1102,0)</f>
        <v/>
      </c>
      <c r="L1102" s="33">
        <f>J1102-K1102</f>
        <v/>
      </c>
      <c r="M1102" s="30">
        <f>IF(B1102=0,PolicyCount,0)</f>
        <v/>
      </c>
      <c r="N1102" s="33">
        <f>L1102+M1102</f>
        <v/>
      </c>
      <c r="O1102" s="31">
        <f>N1102*G1102</f>
        <v/>
      </c>
      <c r="P1102" s="33">
        <f>(N1102-O1102)*(1-(1-H1102)^(1/12))</f>
        <v/>
      </c>
      <c r="Q1102" s="34">
        <f>X1101+Z1101</f>
        <v/>
      </c>
      <c r="R1102" s="29">
        <f>(1-LoadPremRate)*E1102</f>
        <v/>
      </c>
      <c r="S1102" s="34">
        <f>Q1102+R1102</f>
        <v/>
      </c>
      <c r="T1102" s="29">
        <f>MaintFeeRateAnn/12*S1102</f>
        <v/>
      </c>
      <c r="U1102" s="29">
        <f>MAX(SumAssured-S1102,0)</f>
        <v/>
      </c>
      <c r="V1102" s="35">
        <f>CoiMultiple*G1102</f>
        <v/>
      </c>
      <c r="W1102" s="34">
        <f>V1102*U1102</f>
        <v/>
      </c>
      <c r="X1102" s="34">
        <f>S1102-T1102-W1102</f>
        <v/>
      </c>
      <c r="Y1102" s="36">
        <f>EXP((Mu-0.5*Sigma^2)/12+Sigma*SQRT(1/12)*INDEX(NormRand,ScenID,A1102+1))-1</f>
        <v/>
      </c>
      <c r="Z1102" s="34">
        <f>Y1102*X1102</f>
        <v/>
      </c>
      <c r="AA1102" s="34">
        <f>X1102+0.5*Z1102</f>
        <v/>
      </c>
      <c r="AB1102" s="34">
        <f>Q1102*J1102</f>
        <v/>
      </c>
      <c r="AC1102" s="34">
        <f>Q1102*L1102</f>
        <v/>
      </c>
      <c r="AD1102" s="34">
        <f>S1102*N1102</f>
        <v/>
      </c>
      <c r="AE1102" s="34">
        <f>E1102*N1102</f>
        <v/>
      </c>
      <c r="AF1102" s="34">
        <f>R1102*N1102</f>
        <v/>
      </c>
      <c r="AG1102" s="29">
        <f>MAX(SumAssured,AA1102)</f>
        <v/>
      </c>
      <c r="AH1102" s="34">
        <f>AG1102*O1102</f>
        <v/>
      </c>
      <c r="AI1102" s="34">
        <f>AA1102*O1102</f>
        <v/>
      </c>
      <c r="AJ1102" s="34">
        <f>AA1102*P1102</f>
        <v/>
      </c>
      <c r="AK1102" s="34">
        <f>I1102*AA1102*P1102</f>
        <v/>
      </c>
      <c r="AL1102" s="34">
        <f>AJ1102-AK1102</f>
        <v/>
      </c>
      <c r="AM1102" s="34">
        <f>Q1102*K1102</f>
        <v/>
      </c>
      <c r="AN1102" s="34">
        <f>AH1102+AL1102+AM1102</f>
        <v/>
      </c>
      <c r="AO1102" s="34">
        <f>(AG1102-AA1102)*O1102</f>
        <v/>
      </c>
      <c r="AP1102" s="34">
        <f>W1102*N1102</f>
        <v/>
      </c>
      <c r="AQ1102" s="34">
        <f>T1102*N1102</f>
        <v/>
      </c>
      <c r="AR1102" s="34">
        <f>Z1102*J1103+0.5*Z1102*(O1102+P1102)</f>
        <v/>
      </c>
      <c r="AS1102" s="30">
        <f>(1+InflationRate)^(A1102/12)</f>
        <v/>
      </c>
      <c r="AT1102" s="29">
        <f>ExpenseAcq*M1102+N1102*ExpenseMaint/12*AS1102</f>
        <v/>
      </c>
      <c r="AU1102" s="29">
        <f>CommissionRate*AE1102</f>
        <v/>
      </c>
      <c r="AV1102" s="34">
        <f>AB1103-AB1102</f>
        <v/>
      </c>
      <c r="AW1102" s="34">
        <f>AE1102+AR1102-AN1102-AT1102-AU1102-AV1102</f>
        <v/>
      </c>
      <c r="AX1102" s="29">
        <f>LoadPremRate*E1102*N1102+AK1102+AQ1102-AU1102-AT1102</f>
        <v/>
      </c>
      <c r="AY1102" s="34">
        <f>AP1102-AO1102</f>
        <v/>
      </c>
      <c r="AZ1102" s="37">
        <f>(AW1102-AX1102-AY1102)/MAX(1,ABS(AW1102),ABS(AX1102),ABS(AY1102))</f>
        <v/>
      </c>
      <c r="BA1102" s="37">
        <f>IF(OR(K1102&gt;0,K1103&gt;0),0,(AC1103-(AC1102+AF1102-AQ1102-AP1102+AR1102-AI1102-AJ1102-AM1102))/MAX(1,ABS(AC1102),ABS(AC1103)))</f>
        <v/>
      </c>
      <c r="BB1102" s="35">
        <f>(1+INDEX(DiscRateAnn,INT(A1102/12)+1))^(1/12)-1</f>
        <v/>
      </c>
      <c r="BC1102" s="31">
        <f>(1+BB1102)^-A1102</f>
        <v/>
      </c>
      <c r="BD1102" s="34">
        <f>AW1102*BC1102</f>
        <v/>
      </c>
    </row>
    <row r="1103">
      <c r="A1103" s="27">
        <f>A1102+1</f>
        <v/>
      </c>
      <c r="B1103" s="28">
        <f>Duration0+A1103</f>
        <v/>
      </c>
      <c r="C1103" s="27">
        <f>INT(B1103/12)</f>
        <v/>
      </c>
      <c r="D1103" s="28">
        <f>AgeAtEntry+C1103</f>
        <v/>
      </c>
      <c r="E1103" s="29">
        <f>IF(PremiumType="SINGLE",IF(B1103=0,PremiumPPInput,0),IF(B1103&lt;12*PolicyTerm,PremiumPPInput,0))</f>
        <v/>
      </c>
      <c r="F1103" s="30">
        <f>INDEX(MortRates,MATCH(MIN(D1103,120),MortAges,0),MAX(MIN(C1103,5),0)+1)</f>
        <v/>
      </c>
      <c r="G1103" s="31">
        <f>1-(1-F1103)^(1/12)</f>
        <v/>
      </c>
      <c r="H1103" s="32">
        <f>MAX(LapseBase-LapseStep*C1103,LapseFloor)</f>
        <v/>
      </c>
      <c r="I1103" s="32">
        <f>IF(HasSurrCharge,INDEX(SurrRates,MIN(C1103,SurrDurMax)+1,MATCH(SurrChargeID,SurrTypes,0)),0)</f>
        <v/>
      </c>
      <c r="J1103" s="33">
        <f>N1102-P1102-O1102</f>
        <v/>
      </c>
      <c r="K1103" s="30">
        <f>IF(B1103=12*PolicyTerm,J1103,0)</f>
        <v/>
      </c>
      <c r="L1103" s="33">
        <f>J1103-K1103</f>
        <v/>
      </c>
      <c r="M1103" s="30">
        <f>IF(B1103=0,PolicyCount,0)</f>
        <v/>
      </c>
      <c r="N1103" s="33">
        <f>L1103+M1103</f>
        <v/>
      </c>
      <c r="O1103" s="31">
        <f>N1103*G1103</f>
        <v/>
      </c>
      <c r="P1103" s="33">
        <f>(N1103-O1103)*(1-(1-H1103)^(1/12))</f>
        <v/>
      </c>
      <c r="Q1103" s="34">
        <f>X1102+Z1102</f>
        <v/>
      </c>
      <c r="R1103" s="29">
        <f>(1-LoadPremRate)*E1103</f>
        <v/>
      </c>
      <c r="S1103" s="34">
        <f>Q1103+R1103</f>
        <v/>
      </c>
      <c r="T1103" s="29">
        <f>MaintFeeRateAnn/12*S1103</f>
        <v/>
      </c>
      <c r="U1103" s="29">
        <f>MAX(SumAssured-S1103,0)</f>
        <v/>
      </c>
      <c r="V1103" s="35">
        <f>CoiMultiple*G1103</f>
        <v/>
      </c>
      <c r="W1103" s="34">
        <f>V1103*U1103</f>
        <v/>
      </c>
      <c r="X1103" s="34">
        <f>S1103-T1103-W1103</f>
        <v/>
      </c>
      <c r="Y1103" s="36">
        <f>EXP((Mu-0.5*Sigma^2)/12+Sigma*SQRT(1/12)*INDEX(NormRand,ScenID,A1103+1))-1</f>
        <v/>
      </c>
      <c r="Z1103" s="34">
        <f>Y1103*X1103</f>
        <v/>
      </c>
      <c r="AA1103" s="34">
        <f>X1103+0.5*Z1103</f>
        <v/>
      </c>
      <c r="AB1103" s="34">
        <f>Q1103*J1103</f>
        <v/>
      </c>
      <c r="AC1103" s="34">
        <f>Q1103*L1103</f>
        <v/>
      </c>
      <c r="AD1103" s="34">
        <f>S1103*N1103</f>
        <v/>
      </c>
      <c r="AE1103" s="34">
        <f>E1103*N1103</f>
        <v/>
      </c>
      <c r="AF1103" s="34">
        <f>R1103*N1103</f>
        <v/>
      </c>
      <c r="AG1103" s="29">
        <f>MAX(SumAssured,AA1103)</f>
        <v/>
      </c>
      <c r="AH1103" s="34">
        <f>AG1103*O1103</f>
        <v/>
      </c>
      <c r="AI1103" s="34">
        <f>AA1103*O1103</f>
        <v/>
      </c>
      <c r="AJ1103" s="34">
        <f>AA1103*P1103</f>
        <v/>
      </c>
      <c r="AK1103" s="34">
        <f>I1103*AA1103*P1103</f>
        <v/>
      </c>
      <c r="AL1103" s="34">
        <f>AJ1103-AK1103</f>
        <v/>
      </c>
      <c r="AM1103" s="34">
        <f>Q1103*K1103</f>
        <v/>
      </c>
      <c r="AN1103" s="34">
        <f>AH1103+AL1103+AM1103</f>
        <v/>
      </c>
      <c r="AO1103" s="34">
        <f>(AG1103-AA1103)*O1103</f>
        <v/>
      </c>
      <c r="AP1103" s="34">
        <f>W1103*N1103</f>
        <v/>
      </c>
      <c r="AQ1103" s="34">
        <f>T1103*N1103</f>
        <v/>
      </c>
      <c r="AR1103" s="34">
        <f>Z1103*J1104+0.5*Z1103*(O1103+P1103)</f>
        <v/>
      </c>
      <c r="AS1103" s="30">
        <f>(1+InflationRate)^(A1103/12)</f>
        <v/>
      </c>
      <c r="AT1103" s="29">
        <f>ExpenseAcq*M1103+N1103*ExpenseMaint/12*AS1103</f>
        <v/>
      </c>
      <c r="AU1103" s="29">
        <f>CommissionRate*AE1103</f>
        <v/>
      </c>
      <c r="AV1103" s="34">
        <f>AB1104-AB1103</f>
        <v/>
      </c>
      <c r="AW1103" s="34">
        <f>AE1103+AR1103-AN1103-AT1103-AU1103-AV1103</f>
        <v/>
      </c>
      <c r="AX1103" s="29">
        <f>LoadPremRate*E1103*N1103+AK1103+AQ1103-AU1103-AT1103</f>
        <v/>
      </c>
      <c r="AY1103" s="34">
        <f>AP1103-AO1103</f>
        <v/>
      </c>
      <c r="AZ1103" s="37">
        <f>(AW1103-AX1103-AY1103)/MAX(1,ABS(AW1103),ABS(AX1103),ABS(AY1103))</f>
        <v/>
      </c>
      <c r="BA1103" s="37">
        <f>IF(OR(K1103&gt;0,K1104&gt;0),0,(AC1104-(AC1103+AF1103-AQ1103-AP1103+AR1103-AI1103-AJ1103-AM1103))/MAX(1,ABS(AC1103),ABS(AC1104)))</f>
        <v/>
      </c>
      <c r="BB1103" s="35">
        <f>(1+INDEX(DiscRateAnn,INT(A1103/12)+1))^(1/12)-1</f>
        <v/>
      </c>
      <c r="BC1103" s="31">
        <f>(1+BB1103)^-A1103</f>
        <v/>
      </c>
      <c r="BD1103" s="34">
        <f>AW1103*BC1103</f>
        <v/>
      </c>
    </row>
    <row r="1104">
      <c r="A1104" s="27">
        <f>A1103+1</f>
        <v/>
      </c>
      <c r="B1104" s="28">
        <f>Duration0+A1104</f>
        <v/>
      </c>
      <c r="C1104" s="27">
        <f>INT(B1104/12)</f>
        <v/>
      </c>
      <c r="D1104" s="28">
        <f>AgeAtEntry+C1104</f>
        <v/>
      </c>
      <c r="E1104" s="29">
        <f>IF(PremiumType="SINGLE",IF(B1104=0,PremiumPPInput,0),IF(B1104&lt;12*PolicyTerm,PremiumPPInput,0))</f>
        <v/>
      </c>
      <c r="F1104" s="30">
        <f>INDEX(MortRates,MATCH(MIN(D1104,120),MortAges,0),MAX(MIN(C1104,5),0)+1)</f>
        <v/>
      </c>
      <c r="G1104" s="31">
        <f>1-(1-F1104)^(1/12)</f>
        <v/>
      </c>
      <c r="H1104" s="32">
        <f>MAX(LapseBase-LapseStep*C1104,LapseFloor)</f>
        <v/>
      </c>
      <c r="I1104" s="32">
        <f>IF(HasSurrCharge,INDEX(SurrRates,MIN(C1104,SurrDurMax)+1,MATCH(SurrChargeID,SurrTypes,0)),0)</f>
        <v/>
      </c>
      <c r="J1104" s="33">
        <f>N1103-P1103-O1103</f>
        <v/>
      </c>
      <c r="K1104" s="30">
        <f>IF(B1104=12*PolicyTerm,J1104,0)</f>
        <v/>
      </c>
      <c r="L1104" s="33">
        <f>J1104-K1104</f>
        <v/>
      </c>
      <c r="M1104" s="30">
        <f>IF(B1104=0,PolicyCount,0)</f>
        <v/>
      </c>
      <c r="N1104" s="33">
        <f>L1104+M1104</f>
        <v/>
      </c>
      <c r="O1104" s="31">
        <f>N1104*G1104</f>
        <v/>
      </c>
      <c r="P1104" s="33">
        <f>(N1104-O1104)*(1-(1-H1104)^(1/12))</f>
        <v/>
      </c>
      <c r="Q1104" s="34">
        <f>X1103+Z1103</f>
        <v/>
      </c>
      <c r="R1104" s="29">
        <f>(1-LoadPremRate)*E1104</f>
        <v/>
      </c>
      <c r="S1104" s="34">
        <f>Q1104+R1104</f>
        <v/>
      </c>
      <c r="T1104" s="29">
        <f>MaintFeeRateAnn/12*S1104</f>
        <v/>
      </c>
      <c r="U1104" s="29">
        <f>MAX(SumAssured-S1104,0)</f>
        <v/>
      </c>
      <c r="V1104" s="35">
        <f>CoiMultiple*G1104</f>
        <v/>
      </c>
      <c r="W1104" s="34">
        <f>V1104*U1104</f>
        <v/>
      </c>
      <c r="X1104" s="34">
        <f>S1104-T1104-W1104</f>
        <v/>
      </c>
      <c r="Y1104" s="36">
        <f>EXP((Mu-0.5*Sigma^2)/12+Sigma*SQRT(1/12)*INDEX(NormRand,ScenID,A1104+1))-1</f>
        <v/>
      </c>
      <c r="Z1104" s="34">
        <f>Y1104*X1104</f>
        <v/>
      </c>
      <c r="AA1104" s="34">
        <f>X1104+0.5*Z1104</f>
        <v/>
      </c>
      <c r="AB1104" s="34">
        <f>Q1104*J1104</f>
        <v/>
      </c>
      <c r="AC1104" s="34">
        <f>Q1104*L1104</f>
        <v/>
      </c>
      <c r="AD1104" s="34">
        <f>S1104*N1104</f>
        <v/>
      </c>
      <c r="AE1104" s="34">
        <f>E1104*N1104</f>
        <v/>
      </c>
      <c r="AF1104" s="34">
        <f>R1104*N1104</f>
        <v/>
      </c>
      <c r="AG1104" s="29">
        <f>MAX(SumAssured,AA1104)</f>
        <v/>
      </c>
      <c r="AH1104" s="34">
        <f>AG1104*O1104</f>
        <v/>
      </c>
      <c r="AI1104" s="34">
        <f>AA1104*O1104</f>
        <v/>
      </c>
      <c r="AJ1104" s="34">
        <f>AA1104*P1104</f>
        <v/>
      </c>
      <c r="AK1104" s="34">
        <f>I1104*AA1104*P1104</f>
        <v/>
      </c>
      <c r="AL1104" s="34">
        <f>AJ1104-AK1104</f>
        <v/>
      </c>
      <c r="AM1104" s="34">
        <f>Q1104*K1104</f>
        <v/>
      </c>
      <c r="AN1104" s="34">
        <f>AH1104+AL1104+AM1104</f>
        <v/>
      </c>
      <c r="AO1104" s="34">
        <f>(AG1104-AA1104)*O1104</f>
        <v/>
      </c>
      <c r="AP1104" s="34">
        <f>W1104*N1104</f>
        <v/>
      </c>
      <c r="AQ1104" s="34">
        <f>T1104*N1104</f>
        <v/>
      </c>
      <c r="AR1104" s="34">
        <f>Z1104*J1105+0.5*Z1104*(O1104+P1104)</f>
        <v/>
      </c>
      <c r="AS1104" s="30">
        <f>(1+InflationRate)^(A1104/12)</f>
        <v/>
      </c>
      <c r="AT1104" s="29">
        <f>ExpenseAcq*M1104+N1104*ExpenseMaint/12*AS1104</f>
        <v/>
      </c>
      <c r="AU1104" s="29">
        <f>CommissionRate*AE1104</f>
        <v/>
      </c>
      <c r="AV1104" s="34">
        <f>AB1105-AB1104</f>
        <v/>
      </c>
      <c r="AW1104" s="34">
        <f>AE1104+AR1104-AN1104-AT1104-AU1104-AV1104</f>
        <v/>
      </c>
      <c r="AX1104" s="29">
        <f>LoadPremRate*E1104*N1104+AK1104+AQ1104-AU1104-AT1104</f>
        <v/>
      </c>
      <c r="AY1104" s="34">
        <f>AP1104-AO1104</f>
        <v/>
      </c>
      <c r="AZ1104" s="37">
        <f>(AW1104-AX1104-AY1104)/MAX(1,ABS(AW1104),ABS(AX1104),ABS(AY1104))</f>
        <v/>
      </c>
      <c r="BA1104" s="37">
        <f>IF(OR(K1104&gt;0,K1105&gt;0),0,(AC1105-(AC1104+AF1104-AQ1104-AP1104+AR1104-AI1104-AJ1104-AM1104))/MAX(1,ABS(AC1104),ABS(AC1105)))</f>
        <v/>
      </c>
      <c r="BB1104" s="35">
        <f>(1+INDEX(DiscRateAnn,INT(A1104/12)+1))^(1/12)-1</f>
        <v/>
      </c>
      <c r="BC1104" s="31">
        <f>(1+BB1104)^-A1104</f>
        <v/>
      </c>
      <c r="BD1104" s="34">
        <f>AW1104*BC1104</f>
        <v/>
      </c>
    </row>
    <row r="1105">
      <c r="A1105" s="27">
        <f>A1104+1</f>
        <v/>
      </c>
      <c r="B1105" s="28">
        <f>Duration0+A1105</f>
        <v/>
      </c>
      <c r="C1105" s="27">
        <f>INT(B1105/12)</f>
        <v/>
      </c>
      <c r="D1105" s="28">
        <f>AgeAtEntry+C1105</f>
        <v/>
      </c>
      <c r="E1105" s="29">
        <f>IF(PremiumType="SINGLE",IF(B1105=0,PremiumPPInput,0),IF(B1105&lt;12*PolicyTerm,PremiumPPInput,0))</f>
        <v/>
      </c>
      <c r="F1105" s="30">
        <f>INDEX(MortRates,MATCH(MIN(D1105,120),MortAges,0),MAX(MIN(C1105,5),0)+1)</f>
        <v/>
      </c>
      <c r="G1105" s="31">
        <f>1-(1-F1105)^(1/12)</f>
        <v/>
      </c>
      <c r="H1105" s="32">
        <f>MAX(LapseBase-LapseStep*C1105,LapseFloor)</f>
        <v/>
      </c>
      <c r="I1105" s="32">
        <f>IF(HasSurrCharge,INDEX(SurrRates,MIN(C1105,SurrDurMax)+1,MATCH(SurrChargeID,SurrTypes,0)),0)</f>
        <v/>
      </c>
      <c r="J1105" s="33">
        <f>N1104-P1104-O1104</f>
        <v/>
      </c>
      <c r="K1105" s="30">
        <f>IF(B1105=12*PolicyTerm,J1105,0)</f>
        <v/>
      </c>
      <c r="L1105" s="33">
        <f>J1105-K1105</f>
        <v/>
      </c>
      <c r="M1105" s="30">
        <f>IF(B1105=0,PolicyCount,0)</f>
        <v/>
      </c>
      <c r="N1105" s="33">
        <f>L1105+M1105</f>
        <v/>
      </c>
      <c r="O1105" s="31">
        <f>N1105*G1105</f>
        <v/>
      </c>
      <c r="P1105" s="33">
        <f>(N1105-O1105)*(1-(1-H1105)^(1/12))</f>
        <v/>
      </c>
      <c r="Q1105" s="34">
        <f>X1104+Z1104</f>
        <v/>
      </c>
      <c r="R1105" s="29">
        <f>(1-LoadPremRate)*E1105</f>
        <v/>
      </c>
      <c r="S1105" s="34">
        <f>Q1105+R1105</f>
        <v/>
      </c>
      <c r="T1105" s="29">
        <f>MaintFeeRateAnn/12*S1105</f>
        <v/>
      </c>
      <c r="U1105" s="29">
        <f>MAX(SumAssured-S1105,0)</f>
        <v/>
      </c>
      <c r="V1105" s="35">
        <f>CoiMultiple*G1105</f>
        <v/>
      </c>
      <c r="W1105" s="34">
        <f>V1105*U1105</f>
        <v/>
      </c>
      <c r="X1105" s="34">
        <f>S1105-T1105-W1105</f>
        <v/>
      </c>
      <c r="Y1105" s="36">
        <f>EXP((Mu-0.5*Sigma^2)/12+Sigma*SQRT(1/12)*INDEX(NormRand,ScenID,A1105+1))-1</f>
        <v/>
      </c>
      <c r="Z1105" s="34">
        <f>Y1105*X1105</f>
        <v/>
      </c>
      <c r="AA1105" s="34">
        <f>X1105+0.5*Z1105</f>
        <v/>
      </c>
      <c r="AB1105" s="34">
        <f>Q1105*J1105</f>
        <v/>
      </c>
      <c r="AC1105" s="34">
        <f>Q1105*L1105</f>
        <v/>
      </c>
      <c r="AD1105" s="34">
        <f>S1105*N1105</f>
        <v/>
      </c>
      <c r="AE1105" s="34">
        <f>E1105*N1105</f>
        <v/>
      </c>
      <c r="AF1105" s="34">
        <f>R1105*N1105</f>
        <v/>
      </c>
      <c r="AG1105" s="29">
        <f>MAX(SumAssured,AA1105)</f>
        <v/>
      </c>
      <c r="AH1105" s="34">
        <f>AG1105*O1105</f>
        <v/>
      </c>
      <c r="AI1105" s="34">
        <f>AA1105*O1105</f>
        <v/>
      </c>
      <c r="AJ1105" s="34">
        <f>AA1105*P1105</f>
        <v/>
      </c>
      <c r="AK1105" s="34">
        <f>I1105*AA1105*P1105</f>
        <v/>
      </c>
      <c r="AL1105" s="34">
        <f>AJ1105-AK1105</f>
        <v/>
      </c>
      <c r="AM1105" s="34">
        <f>Q1105*K1105</f>
        <v/>
      </c>
      <c r="AN1105" s="34">
        <f>AH1105+AL1105+AM1105</f>
        <v/>
      </c>
      <c r="AO1105" s="34">
        <f>(AG1105-AA1105)*O1105</f>
        <v/>
      </c>
      <c r="AP1105" s="34">
        <f>W1105*N1105</f>
        <v/>
      </c>
      <c r="AQ1105" s="34">
        <f>T1105*N1105</f>
        <v/>
      </c>
      <c r="AR1105" s="34">
        <f>Z1105*J1106+0.5*Z1105*(O1105+P1105)</f>
        <v/>
      </c>
      <c r="AS1105" s="30">
        <f>(1+InflationRate)^(A1105/12)</f>
        <v/>
      </c>
      <c r="AT1105" s="29">
        <f>ExpenseAcq*M1105+N1105*ExpenseMaint/12*AS1105</f>
        <v/>
      </c>
      <c r="AU1105" s="29">
        <f>CommissionRate*AE1105</f>
        <v/>
      </c>
      <c r="AV1105" s="34">
        <f>AB1106-AB1105</f>
        <v/>
      </c>
      <c r="AW1105" s="34">
        <f>AE1105+AR1105-AN1105-AT1105-AU1105-AV1105</f>
        <v/>
      </c>
      <c r="AX1105" s="29">
        <f>LoadPremRate*E1105*N1105+AK1105+AQ1105-AU1105-AT1105</f>
        <v/>
      </c>
      <c r="AY1105" s="34">
        <f>AP1105-AO1105</f>
        <v/>
      </c>
      <c r="AZ1105" s="37">
        <f>(AW1105-AX1105-AY1105)/MAX(1,ABS(AW1105),ABS(AX1105),ABS(AY1105))</f>
        <v/>
      </c>
      <c r="BA1105" s="37">
        <f>IF(OR(K1105&gt;0,K1106&gt;0),0,(AC1106-(AC1105+AF1105-AQ1105-AP1105+AR1105-AI1105-AJ1105-AM1105))/MAX(1,ABS(AC1105),ABS(AC1106)))</f>
        <v/>
      </c>
      <c r="BB1105" s="35">
        <f>(1+INDEX(DiscRateAnn,INT(A1105/12)+1))^(1/12)-1</f>
        <v/>
      </c>
      <c r="BC1105" s="31">
        <f>(1+BB1105)^-A1105</f>
        <v/>
      </c>
      <c r="BD1105" s="34">
        <f>AW1105*BC1105</f>
        <v/>
      </c>
    </row>
    <row r="1106">
      <c r="A1106" s="27">
        <f>A1105+1</f>
        <v/>
      </c>
      <c r="B1106" s="28">
        <f>Duration0+A1106</f>
        <v/>
      </c>
      <c r="C1106" s="27">
        <f>INT(B1106/12)</f>
        <v/>
      </c>
      <c r="D1106" s="28">
        <f>AgeAtEntry+C1106</f>
        <v/>
      </c>
      <c r="E1106" s="29">
        <f>IF(PremiumType="SINGLE",IF(B1106=0,PremiumPPInput,0),IF(B1106&lt;12*PolicyTerm,PremiumPPInput,0))</f>
        <v/>
      </c>
      <c r="F1106" s="30">
        <f>INDEX(MortRates,MATCH(MIN(D1106,120),MortAges,0),MAX(MIN(C1106,5),0)+1)</f>
        <v/>
      </c>
      <c r="G1106" s="31">
        <f>1-(1-F1106)^(1/12)</f>
        <v/>
      </c>
      <c r="H1106" s="32">
        <f>MAX(LapseBase-LapseStep*C1106,LapseFloor)</f>
        <v/>
      </c>
      <c r="I1106" s="32">
        <f>IF(HasSurrCharge,INDEX(SurrRates,MIN(C1106,SurrDurMax)+1,MATCH(SurrChargeID,SurrTypes,0)),0)</f>
        <v/>
      </c>
      <c r="J1106" s="33">
        <f>N1105-P1105-O1105</f>
        <v/>
      </c>
      <c r="K1106" s="30">
        <f>IF(B1106=12*PolicyTerm,J1106,0)</f>
        <v/>
      </c>
      <c r="L1106" s="33">
        <f>J1106-K1106</f>
        <v/>
      </c>
      <c r="M1106" s="30">
        <f>IF(B1106=0,PolicyCount,0)</f>
        <v/>
      </c>
      <c r="N1106" s="33">
        <f>L1106+M1106</f>
        <v/>
      </c>
      <c r="O1106" s="31">
        <f>N1106*G1106</f>
        <v/>
      </c>
      <c r="P1106" s="33">
        <f>(N1106-O1106)*(1-(1-H1106)^(1/12))</f>
        <v/>
      </c>
      <c r="Q1106" s="34">
        <f>X1105+Z1105</f>
        <v/>
      </c>
      <c r="R1106" s="29">
        <f>(1-LoadPremRate)*E1106</f>
        <v/>
      </c>
      <c r="S1106" s="34">
        <f>Q1106+R1106</f>
        <v/>
      </c>
      <c r="T1106" s="29">
        <f>MaintFeeRateAnn/12*S1106</f>
        <v/>
      </c>
      <c r="U1106" s="29">
        <f>MAX(SumAssured-S1106,0)</f>
        <v/>
      </c>
      <c r="V1106" s="35">
        <f>CoiMultiple*G1106</f>
        <v/>
      </c>
      <c r="W1106" s="34">
        <f>V1106*U1106</f>
        <v/>
      </c>
      <c r="X1106" s="34">
        <f>S1106-T1106-W1106</f>
        <v/>
      </c>
      <c r="Y1106" s="36">
        <f>EXP((Mu-0.5*Sigma^2)/12+Sigma*SQRT(1/12)*INDEX(NormRand,ScenID,A1106+1))-1</f>
        <v/>
      </c>
      <c r="Z1106" s="34">
        <f>Y1106*X1106</f>
        <v/>
      </c>
      <c r="AA1106" s="34">
        <f>X1106+0.5*Z1106</f>
        <v/>
      </c>
      <c r="AB1106" s="34">
        <f>Q1106*J1106</f>
        <v/>
      </c>
      <c r="AC1106" s="34">
        <f>Q1106*L1106</f>
        <v/>
      </c>
      <c r="AD1106" s="34">
        <f>S1106*N1106</f>
        <v/>
      </c>
      <c r="AE1106" s="34">
        <f>E1106*N1106</f>
        <v/>
      </c>
      <c r="AF1106" s="34">
        <f>R1106*N1106</f>
        <v/>
      </c>
      <c r="AG1106" s="29">
        <f>MAX(SumAssured,AA1106)</f>
        <v/>
      </c>
      <c r="AH1106" s="34">
        <f>AG1106*O1106</f>
        <v/>
      </c>
      <c r="AI1106" s="34">
        <f>AA1106*O1106</f>
        <v/>
      </c>
      <c r="AJ1106" s="34">
        <f>AA1106*P1106</f>
        <v/>
      </c>
      <c r="AK1106" s="34">
        <f>I1106*AA1106*P1106</f>
        <v/>
      </c>
      <c r="AL1106" s="34">
        <f>AJ1106-AK1106</f>
        <v/>
      </c>
      <c r="AM1106" s="34">
        <f>Q1106*K1106</f>
        <v/>
      </c>
      <c r="AN1106" s="34">
        <f>AH1106+AL1106+AM1106</f>
        <v/>
      </c>
      <c r="AO1106" s="34">
        <f>(AG1106-AA1106)*O1106</f>
        <v/>
      </c>
      <c r="AP1106" s="34">
        <f>W1106*N1106</f>
        <v/>
      </c>
      <c r="AQ1106" s="34">
        <f>T1106*N1106</f>
        <v/>
      </c>
      <c r="AR1106" s="34">
        <f>Z1106*J1107+0.5*Z1106*(O1106+P1106)</f>
        <v/>
      </c>
      <c r="AS1106" s="30">
        <f>(1+InflationRate)^(A1106/12)</f>
        <v/>
      </c>
      <c r="AT1106" s="29">
        <f>ExpenseAcq*M1106+N1106*ExpenseMaint/12*AS1106</f>
        <v/>
      </c>
      <c r="AU1106" s="29">
        <f>CommissionRate*AE1106</f>
        <v/>
      </c>
      <c r="AV1106" s="34">
        <f>AB1107-AB1106</f>
        <v/>
      </c>
      <c r="AW1106" s="34">
        <f>AE1106+AR1106-AN1106-AT1106-AU1106-AV1106</f>
        <v/>
      </c>
      <c r="AX1106" s="29">
        <f>LoadPremRate*E1106*N1106+AK1106+AQ1106-AU1106-AT1106</f>
        <v/>
      </c>
      <c r="AY1106" s="34">
        <f>AP1106-AO1106</f>
        <v/>
      </c>
      <c r="AZ1106" s="37">
        <f>(AW1106-AX1106-AY1106)/MAX(1,ABS(AW1106),ABS(AX1106),ABS(AY1106))</f>
        <v/>
      </c>
      <c r="BA1106" s="37">
        <f>IF(OR(K1106&gt;0,K1107&gt;0),0,(AC1107-(AC1106+AF1106-AQ1106-AP1106+AR1106-AI1106-AJ1106-AM1106))/MAX(1,ABS(AC1106),ABS(AC1107)))</f>
        <v/>
      </c>
      <c r="BB1106" s="35">
        <f>(1+INDEX(DiscRateAnn,INT(A1106/12)+1))^(1/12)-1</f>
        <v/>
      </c>
      <c r="BC1106" s="31">
        <f>(1+BB1106)^-A1106</f>
        <v/>
      </c>
      <c r="BD1106" s="34">
        <f>AW1106*BC1106</f>
        <v/>
      </c>
    </row>
    <row r="1107">
      <c r="A1107" s="27">
        <f>A1106+1</f>
        <v/>
      </c>
      <c r="B1107" s="28">
        <f>Duration0+A1107</f>
        <v/>
      </c>
      <c r="C1107" s="27">
        <f>INT(B1107/12)</f>
        <v/>
      </c>
      <c r="D1107" s="28">
        <f>AgeAtEntry+C1107</f>
        <v/>
      </c>
      <c r="E1107" s="29">
        <f>IF(PremiumType="SINGLE",IF(B1107=0,PremiumPPInput,0),IF(B1107&lt;12*PolicyTerm,PremiumPPInput,0))</f>
        <v/>
      </c>
      <c r="F1107" s="30">
        <f>INDEX(MortRates,MATCH(MIN(D1107,120),MortAges,0),MAX(MIN(C1107,5),0)+1)</f>
        <v/>
      </c>
      <c r="G1107" s="31">
        <f>1-(1-F1107)^(1/12)</f>
        <v/>
      </c>
      <c r="H1107" s="32">
        <f>MAX(LapseBase-LapseStep*C1107,LapseFloor)</f>
        <v/>
      </c>
      <c r="I1107" s="32">
        <f>IF(HasSurrCharge,INDEX(SurrRates,MIN(C1107,SurrDurMax)+1,MATCH(SurrChargeID,SurrTypes,0)),0)</f>
        <v/>
      </c>
      <c r="J1107" s="33">
        <f>N1106-P1106-O1106</f>
        <v/>
      </c>
      <c r="K1107" s="30">
        <f>IF(B1107=12*PolicyTerm,J1107,0)</f>
        <v/>
      </c>
      <c r="L1107" s="33">
        <f>J1107-K1107</f>
        <v/>
      </c>
      <c r="M1107" s="30">
        <f>IF(B1107=0,PolicyCount,0)</f>
        <v/>
      </c>
      <c r="N1107" s="33">
        <f>L1107+M1107</f>
        <v/>
      </c>
      <c r="O1107" s="31">
        <f>N1107*G1107</f>
        <v/>
      </c>
      <c r="P1107" s="33">
        <f>(N1107-O1107)*(1-(1-H1107)^(1/12))</f>
        <v/>
      </c>
      <c r="Q1107" s="34">
        <f>X1106+Z1106</f>
        <v/>
      </c>
      <c r="R1107" s="29">
        <f>(1-LoadPremRate)*E1107</f>
        <v/>
      </c>
      <c r="S1107" s="34">
        <f>Q1107+R1107</f>
        <v/>
      </c>
      <c r="T1107" s="29">
        <f>MaintFeeRateAnn/12*S1107</f>
        <v/>
      </c>
      <c r="U1107" s="29">
        <f>MAX(SumAssured-S1107,0)</f>
        <v/>
      </c>
      <c r="V1107" s="35">
        <f>CoiMultiple*G1107</f>
        <v/>
      </c>
      <c r="W1107" s="34">
        <f>V1107*U1107</f>
        <v/>
      </c>
      <c r="X1107" s="34">
        <f>S1107-T1107-W1107</f>
        <v/>
      </c>
      <c r="Y1107" s="36">
        <f>EXP((Mu-0.5*Sigma^2)/12+Sigma*SQRT(1/12)*INDEX(NormRand,ScenID,A1107+1))-1</f>
        <v/>
      </c>
      <c r="Z1107" s="34">
        <f>Y1107*X1107</f>
        <v/>
      </c>
      <c r="AA1107" s="34">
        <f>X1107+0.5*Z1107</f>
        <v/>
      </c>
      <c r="AB1107" s="34">
        <f>Q1107*J1107</f>
        <v/>
      </c>
      <c r="AC1107" s="34">
        <f>Q1107*L1107</f>
        <v/>
      </c>
      <c r="AD1107" s="34">
        <f>S1107*N1107</f>
        <v/>
      </c>
      <c r="AE1107" s="34">
        <f>E1107*N1107</f>
        <v/>
      </c>
      <c r="AF1107" s="34">
        <f>R1107*N1107</f>
        <v/>
      </c>
      <c r="AG1107" s="29">
        <f>MAX(SumAssured,AA1107)</f>
        <v/>
      </c>
      <c r="AH1107" s="34">
        <f>AG1107*O1107</f>
        <v/>
      </c>
      <c r="AI1107" s="34">
        <f>AA1107*O1107</f>
        <v/>
      </c>
      <c r="AJ1107" s="34">
        <f>AA1107*P1107</f>
        <v/>
      </c>
      <c r="AK1107" s="34">
        <f>I1107*AA1107*P1107</f>
        <v/>
      </c>
      <c r="AL1107" s="34">
        <f>AJ1107-AK1107</f>
        <v/>
      </c>
      <c r="AM1107" s="34">
        <f>Q1107*K1107</f>
        <v/>
      </c>
      <c r="AN1107" s="34">
        <f>AH1107+AL1107+AM1107</f>
        <v/>
      </c>
      <c r="AO1107" s="34">
        <f>(AG1107-AA1107)*O1107</f>
        <v/>
      </c>
      <c r="AP1107" s="34">
        <f>W1107*N1107</f>
        <v/>
      </c>
      <c r="AQ1107" s="34">
        <f>T1107*N1107</f>
        <v/>
      </c>
      <c r="AR1107" s="34">
        <f>Z1107*J1108+0.5*Z1107*(O1107+P1107)</f>
        <v/>
      </c>
      <c r="AS1107" s="30">
        <f>(1+InflationRate)^(A1107/12)</f>
        <v/>
      </c>
      <c r="AT1107" s="29">
        <f>ExpenseAcq*M1107+N1107*ExpenseMaint/12*AS1107</f>
        <v/>
      </c>
      <c r="AU1107" s="29">
        <f>CommissionRate*AE1107</f>
        <v/>
      </c>
      <c r="AV1107" s="34">
        <f>AB1108-AB1107</f>
        <v/>
      </c>
      <c r="AW1107" s="34">
        <f>AE1107+AR1107-AN1107-AT1107-AU1107-AV1107</f>
        <v/>
      </c>
      <c r="AX1107" s="29">
        <f>LoadPremRate*E1107*N1107+AK1107+AQ1107-AU1107-AT1107</f>
        <v/>
      </c>
      <c r="AY1107" s="34">
        <f>AP1107-AO1107</f>
        <v/>
      </c>
      <c r="AZ1107" s="37">
        <f>(AW1107-AX1107-AY1107)/MAX(1,ABS(AW1107),ABS(AX1107),ABS(AY1107))</f>
        <v/>
      </c>
      <c r="BA1107" s="37">
        <f>IF(OR(K1107&gt;0,K1108&gt;0),0,(AC1108-(AC1107+AF1107-AQ1107-AP1107+AR1107-AI1107-AJ1107-AM1107))/MAX(1,ABS(AC1107),ABS(AC1108)))</f>
        <v/>
      </c>
      <c r="BB1107" s="35">
        <f>(1+INDEX(DiscRateAnn,INT(A1107/12)+1))^(1/12)-1</f>
        <v/>
      </c>
      <c r="BC1107" s="31">
        <f>(1+BB1107)^-A1107</f>
        <v/>
      </c>
      <c r="BD1107" s="34">
        <f>AW1107*BC1107</f>
        <v/>
      </c>
    </row>
    <row r="1108">
      <c r="A1108" s="27">
        <f>A1107+1</f>
        <v/>
      </c>
      <c r="B1108" s="28">
        <f>Duration0+A1108</f>
        <v/>
      </c>
      <c r="C1108" s="27">
        <f>INT(B1108/12)</f>
        <v/>
      </c>
      <c r="D1108" s="28">
        <f>AgeAtEntry+C1108</f>
        <v/>
      </c>
      <c r="E1108" s="29">
        <f>IF(PremiumType="SINGLE",IF(B1108=0,PremiumPPInput,0),IF(B1108&lt;12*PolicyTerm,PremiumPPInput,0))</f>
        <v/>
      </c>
      <c r="F1108" s="30">
        <f>INDEX(MortRates,MATCH(MIN(D1108,120),MortAges,0),MAX(MIN(C1108,5),0)+1)</f>
        <v/>
      </c>
      <c r="G1108" s="31">
        <f>1-(1-F1108)^(1/12)</f>
        <v/>
      </c>
      <c r="H1108" s="32">
        <f>MAX(LapseBase-LapseStep*C1108,LapseFloor)</f>
        <v/>
      </c>
      <c r="I1108" s="32">
        <f>IF(HasSurrCharge,INDEX(SurrRates,MIN(C1108,SurrDurMax)+1,MATCH(SurrChargeID,SurrTypes,0)),0)</f>
        <v/>
      </c>
      <c r="J1108" s="33">
        <f>N1107-P1107-O1107</f>
        <v/>
      </c>
      <c r="K1108" s="30">
        <f>IF(B1108=12*PolicyTerm,J1108,0)</f>
        <v/>
      </c>
      <c r="L1108" s="33">
        <f>J1108-K1108</f>
        <v/>
      </c>
      <c r="M1108" s="30">
        <f>IF(B1108=0,PolicyCount,0)</f>
        <v/>
      </c>
      <c r="N1108" s="33">
        <f>L1108+M1108</f>
        <v/>
      </c>
      <c r="O1108" s="31">
        <f>N1108*G1108</f>
        <v/>
      </c>
      <c r="P1108" s="33">
        <f>(N1108-O1108)*(1-(1-H1108)^(1/12))</f>
        <v/>
      </c>
      <c r="Q1108" s="34">
        <f>X1107+Z1107</f>
        <v/>
      </c>
      <c r="R1108" s="29">
        <f>(1-LoadPremRate)*E1108</f>
        <v/>
      </c>
      <c r="S1108" s="34">
        <f>Q1108+R1108</f>
        <v/>
      </c>
      <c r="T1108" s="29">
        <f>MaintFeeRateAnn/12*S1108</f>
        <v/>
      </c>
      <c r="U1108" s="29">
        <f>MAX(SumAssured-S1108,0)</f>
        <v/>
      </c>
      <c r="V1108" s="35">
        <f>CoiMultiple*G1108</f>
        <v/>
      </c>
      <c r="W1108" s="34">
        <f>V1108*U1108</f>
        <v/>
      </c>
      <c r="X1108" s="34">
        <f>S1108-T1108-W1108</f>
        <v/>
      </c>
      <c r="Y1108" s="36">
        <f>EXP((Mu-0.5*Sigma^2)/12+Sigma*SQRT(1/12)*INDEX(NormRand,ScenID,A1108+1))-1</f>
        <v/>
      </c>
      <c r="Z1108" s="34">
        <f>Y1108*X1108</f>
        <v/>
      </c>
      <c r="AA1108" s="34">
        <f>X1108+0.5*Z1108</f>
        <v/>
      </c>
      <c r="AB1108" s="34">
        <f>Q1108*J1108</f>
        <v/>
      </c>
      <c r="AC1108" s="34">
        <f>Q1108*L1108</f>
        <v/>
      </c>
      <c r="AD1108" s="34">
        <f>S1108*N1108</f>
        <v/>
      </c>
      <c r="AE1108" s="34">
        <f>E1108*N1108</f>
        <v/>
      </c>
      <c r="AF1108" s="34">
        <f>R1108*N1108</f>
        <v/>
      </c>
      <c r="AG1108" s="29">
        <f>MAX(SumAssured,AA1108)</f>
        <v/>
      </c>
      <c r="AH1108" s="34">
        <f>AG1108*O1108</f>
        <v/>
      </c>
      <c r="AI1108" s="34">
        <f>AA1108*O1108</f>
        <v/>
      </c>
      <c r="AJ1108" s="34">
        <f>AA1108*P1108</f>
        <v/>
      </c>
      <c r="AK1108" s="34">
        <f>I1108*AA1108*P1108</f>
        <v/>
      </c>
      <c r="AL1108" s="34">
        <f>AJ1108-AK1108</f>
        <v/>
      </c>
      <c r="AM1108" s="34">
        <f>Q1108*K1108</f>
        <v/>
      </c>
      <c r="AN1108" s="34">
        <f>AH1108+AL1108+AM1108</f>
        <v/>
      </c>
      <c r="AO1108" s="34">
        <f>(AG1108-AA1108)*O1108</f>
        <v/>
      </c>
      <c r="AP1108" s="34">
        <f>W1108*N1108</f>
        <v/>
      </c>
      <c r="AQ1108" s="34">
        <f>T1108*N1108</f>
        <v/>
      </c>
      <c r="AR1108" s="34">
        <f>Z1108*J1109+0.5*Z1108*(O1108+P1108)</f>
        <v/>
      </c>
      <c r="AS1108" s="30">
        <f>(1+InflationRate)^(A1108/12)</f>
        <v/>
      </c>
      <c r="AT1108" s="29">
        <f>ExpenseAcq*M1108+N1108*ExpenseMaint/12*AS1108</f>
        <v/>
      </c>
      <c r="AU1108" s="29">
        <f>CommissionRate*AE1108</f>
        <v/>
      </c>
      <c r="AV1108" s="34">
        <f>AB1109-AB1108</f>
        <v/>
      </c>
      <c r="AW1108" s="34">
        <f>AE1108+AR1108-AN1108-AT1108-AU1108-AV1108</f>
        <v/>
      </c>
      <c r="AX1108" s="29">
        <f>LoadPremRate*E1108*N1108+AK1108+AQ1108-AU1108-AT1108</f>
        <v/>
      </c>
      <c r="AY1108" s="34">
        <f>AP1108-AO1108</f>
        <v/>
      </c>
      <c r="AZ1108" s="37">
        <f>(AW1108-AX1108-AY1108)/MAX(1,ABS(AW1108),ABS(AX1108),ABS(AY1108))</f>
        <v/>
      </c>
      <c r="BA1108" s="37">
        <f>IF(OR(K1108&gt;0,K1109&gt;0),0,(AC1109-(AC1108+AF1108-AQ1108-AP1108+AR1108-AI1108-AJ1108-AM1108))/MAX(1,ABS(AC1108),ABS(AC1109)))</f>
        <v/>
      </c>
      <c r="BB1108" s="35">
        <f>(1+INDEX(DiscRateAnn,INT(A1108/12)+1))^(1/12)-1</f>
        <v/>
      </c>
      <c r="BC1108" s="31">
        <f>(1+BB1108)^-A1108</f>
        <v/>
      </c>
      <c r="BD1108" s="34">
        <f>AW1108*BC1108</f>
        <v/>
      </c>
    </row>
    <row r="1109">
      <c r="A1109" s="27">
        <f>A1108+1</f>
        <v/>
      </c>
      <c r="B1109" s="28">
        <f>Duration0+A1109</f>
        <v/>
      </c>
      <c r="C1109" s="27">
        <f>INT(B1109/12)</f>
        <v/>
      </c>
      <c r="D1109" s="28">
        <f>AgeAtEntry+C1109</f>
        <v/>
      </c>
      <c r="E1109" s="29">
        <f>IF(PremiumType="SINGLE",IF(B1109=0,PremiumPPInput,0),IF(B1109&lt;12*PolicyTerm,PremiumPPInput,0))</f>
        <v/>
      </c>
      <c r="F1109" s="30">
        <f>INDEX(MortRates,MATCH(MIN(D1109,120),MortAges,0),MAX(MIN(C1109,5),0)+1)</f>
        <v/>
      </c>
      <c r="G1109" s="31">
        <f>1-(1-F1109)^(1/12)</f>
        <v/>
      </c>
      <c r="H1109" s="32">
        <f>MAX(LapseBase-LapseStep*C1109,LapseFloor)</f>
        <v/>
      </c>
      <c r="I1109" s="32">
        <f>IF(HasSurrCharge,INDEX(SurrRates,MIN(C1109,SurrDurMax)+1,MATCH(SurrChargeID,SurrTypes,0)),0)</f>
        <v/>
      </c>
      <c r="J1109" s="33">
        <f>N1108-P1108-O1108</f>
        <v/>
      </c>
      <c r="K1109" s="30">
        <f>IF(B1109=12*PolicyTerm,J1109,0)</f>
        <v/>
      </c>
      <c r="L1109" s="33">
        <f>J1109-K1109</f>
        <v/>
      </c>
      <c r="M1109" s="30">
        <f>IF(B1109=0,PolicyCount,0)</f>
        <v/>
      </c>
      <c r="N1109" s="33">
        <f>L1109+M1109</f>
        <v/>
      </c>
      <c r="O1109" s="31">
        <f>N1109*G1109</f>
        <v/>
      </c>
      <c r="P1109" s="33">
        <f>(N1109-O1109)*(1-(1-H1109)^(1/12))</f>
        <v/>
      </c>
      <c r="Q1109" s="34">
        <f>X1108+Z1108</f>
        <v/>
      </c>
      <c r="R1109" s="29">
        <f>(1-LoadPremRate)*E1109</f>
        <v/>
      </c>
      <c r="S1109" s="34">
        <f>Q1109+R1109</f>
        <v/>
      </c>
      <c r="T1109" s="29">
        <f>MaintFeeRateAnn/12*S1109</f>
        <v/>
      </c>
      <c r="U1109" s="29">
        <f>MAX(SumAssured-S1109,0)</f>
        <v/>
      </c>
      <c r="V1109" s="35">
        <f>CoiMultiple*G1109</f>
        <v/>
      </c>
      <c r="W1109" s="34">
        <f>V1109*U1109</f>
        <v/>
      </c>
      <c r="X1109" s="34">
        <f>S1109-T1109-W1109</f>
        <v/>
      </c>
      <c r="Y1109" s="36">
        <f>EXP((Mu-0.5*Sigma^2)/12+Sigma*SQRT(1/12)*INDEX(NormRand,ScenID,A1109+1))-1</f>
        <v/>
      </c>
      <c r="Z1109" s="34">
        <f>Y1109*X1109</f>
        <v/>
      </c>
      <c r="AA1109" s="34">
        <f>X1109+0.5*Z1109</f>
        <v/>
      </c>
      <c r="AB1109" s="34">
        <f>Q1109*J1109</f>
        <v/>
      </c>
      <c r="AC1109" s="34">
        <f>Q1109*L1109</f>
        <v/>
      </c>
      <c r="AD1109" s="34">
        <f>S1109*N1109</f>
        <v/>
      </c>
      <c r="AE1109" s="34">
        <f>E1109*N1109</f>
        <v/>
      </c>
      <c r="AF1109" s="34">
        <f>R1109*N1109</f>
        <v/>
      </c>
      <c r="AG1109" s="29">
        <f>MAX(SumAssured,AA1109)</f>
        <v/>
      </c>
      <c r="AH1109" s="34">
        <f>AG1109*O1109</f>
        <v/>
      </c>
      <c r="AI1109" s="34">
        <f>AA1109*O1109</f>
        <v/>
      </c>
      <c r="AJ1109" s="34">
        <f>AA1109*P1109</f>
        <v/>
      </c>
      <c r="AK1109" s="34">
        <f>I1109*AA1109*P1109</f>
        <v/>
      </c>
      <c r="AL1109" s="34">
        <f>AJ1109-AK1109</f>
        <v/>
      </c>
      <c r="AM1109" s="34">
        <f>Q1109*K1109</f>
        <v/>
      </c>
      <c r="AN1109" s="34">
        <f>AH1109+AL1109+AM1109</f>
        <v/>
      </c>
      <c r="AO1109" s="34">
        <f>(AG1109-AA1109)*O1109</f>
        <v/>
      </c>
      <c r="AP1109" s="34">
        <f>W1109*N1109</f>
        <v/>
      </c>
      <c r="AQ1109" s="34">
        <f>T1109*N1109</f>
        <v/>
      </c>
      <c r="AR1109" s="34">
        <f>Z1109*J1110+0.5*Z1109*(O1109+P1109)</f>
        <v/>
      </c>
      <c r="AS1109" s="30">
        <f>(1+InflationRate)^(A1109/12)</f>
        <v/>
      </c>
      <c r="AT1109" s="29">
        <f>ExpenseAcq*M1109+N1109*ExpenseMaint/12*AS1109</f>
        <v/>
      </c>
      <c r="AU1109" s="29">
        <f>CommissionRate*AE1109</f>
        <v/>
      </c>
      <c r="AV1109" s="34">
        <f>AB1110-AB1109</f>
        <v/>
      </c>
      <c r="AW1109" s="34">
        <f>AE1109+AR1109-AN1109-AT1109-AU1109-AV1109</f>
        <v/>
      </c>
      <c r="AX1109" s="29">
        <f>LoadPremRate*E1109*N1109+AK1109+AQ1109-AU1109-AT1109</f>
        <v/>
      </c>
      <c r="AY1109" s="34">
        <f>AP1109-AO1109</f>
        <v/>
      </c>
      <c r="AZ1109" s="37">
        <f>(AW1109-AX1109-AY1109)/MAX(1,ABS(AW1109),ABS(AX1109),ABS(AY1109))</f>
        <v/>
      </c>
      <c r="BA1109" s="37">
        <f>IF(OR(K1109&gt;0,K1110&gt;0),0,(AC1110-(AC1109+AF1109-AQ1109-AP1109+AR1109-AI1109-AJ1109-AM1109))/MAX(1,ABS(AC1109),ABS(AC1110)))</f>
        <v/>
      </c>
      <c r="BB1109" s="35">
        <f>(1+INDEX(DiscRateAnn,INT(A1109/12)+1))^(1/12)-1</f>
        <v/>
      </c>
      <c r="BC1109" s="31">
        <f>(1+BB1109)^-A1109</f>
        <v/>
      </c>
      <c r="BD1109" s="34">
        <f>AW1109*BC1109</f>
        <v/>
      </c>
    </row>
    <row r="1110">
      <c r="A1110" s="27">
        <f>A1109+1</f>
        <v/>
      </c>
      <c r="B1110" s="28">
        <f>Duration0+A1110</f>
        <v/>
      </c>
      <c r="C1110" s="27">
        <f>INT(B1110/12)</f>
        <v/>
      </c>
      <c r="D1110" s="28">
        <f>AgeAtEntry+C1110</f>
        <v/>
      </c>
      <c r="E1110" s="29">
        <f>IF(PremiumType="SINGLE",IF(B1110=0,PremiumPPInput,0),IF(B1110&lt;12*PolicyTerm,PremiumPPInput,0))</f>
        <v/>
      </c>
      <c r="F1110" s="30">
        <f>INDEX(MortRates,MATCH(MIN(D1110,120),MortAges,0),MAX(MIN(C1110,5),0)+1)</f>
        <v/>
      </c>
      <c r="G1110" s="31">
        <f>1-(1-F1110)^(1/12)</f>
        <v/>
      </c>
      <c r="H1110" s="32">
        <f>MAX(LapseBase-LapseStep*C1110,LapseFloor)</f>
        <v/>
      </c>
      <c r="I1110" s="32">
        <f>IF(HasSurrCharge,INDEX(SurrRates,MIN(C1110,SurrDurMax)+1,MATCH(SurrChargeID,SurrTypes,0)),0)</f>
        <v/>
      </c>
      <c r="J1110" s="33">
        <f>N1109-P1109-O1109</f>
        <v/>
      </c>
      <c r="K1110" s="30">
        <f>IF(B1110=12*PolicyTerm,J1110,0)</f>
        <v/>
      </c>
      <c r="L1110" s="33">
        <f>J1110-K1110</f>
        <v/>
      </c>
      <c r="M1110" s="30">
        <f>IF(B1110=0,PolicyCount,0)</f>
        <v/>
      </c>
      <c r="N1110" s="33">
        <f>L1110+M1110</f>
        <v/>
      </c>
      <c r="O1110" s="31">
        <f>N1110*G1110</f>
        <v/>
      </c>
      <c r="P1110" s="33">
        <f>(N1110-O1110)*(1-(1-H1110)^(1/12))</f>
        <v/>
      </c>
      <c r="Q1110" s="34">
        <f>X1109+Z1109</f>
        <v/>
      </c>
      <c r="R1110" s="29">
        <f>(1-LoadPremRate)*E1110</f>
        <v/>
      </c>
      <c r="S1110" s="34">
        <f>Q1110+R1110</f>
        <v/>
      </c>
      <c r="T1110" s="29">
        <f>MaintFeeRateAnn/12*S1110</f>
        <v/>
      </c>
      <c r="U1110" s="29">
        <f>MAX(SumAssured-S1110,0)</f>
        <v/>
      </c>
      <c r="V1110" s="35">
        <f>CoiMultiple*G1110</f>
        <v/>
      </c>
      <c r="W1110" s="34">
        <f>V1110*U1110</f>
        <v/>
      </c>
      <c r="X1110" s="34">
        <f>S1110-T1110-W1110</f>
        <v/>
      </c>
      <c r="Y1110" s="36">
        <f>EXP((Mu-0.5*Sigma^2)/12+Sigma*SQRT(1/12)*INDEX(NormRand,ScenID,A1110+1))-1</f>
        <v/>
      </c>
      <c r="Z1110" s="34">
        <f>Y1110*X1110</f>
        <v/>
      </c>
      <c r="AA1110" s="34">
        <f>X1110+0.5*Z1110</f>
        <v/>
      </c>
      <c r="AB1110" s="34">
        <f>Q1110*J1110</f>
        <v/>
      </c>
      <c r="AC1110" s="34">
        <f>Q1110*L1110</f>
        <v/>
      </c>
      <c r="AD1110" s="34">
        <f>S1110*N1110</f>
        <v/>
      </c>
      <c r="AE1110" s="34">
        <f>E1110*N1110</f>
        <v/>
      </c>
      <c r="AF1110" s="34">
        <f>R1110*N1110</f>
        <v/>
      </c>
      <c r="AG1110" s="29">
        <f>MAX(SumAssured,AA1110)</f>
        <v/>
      </c>
      <c r="AH1110" s="34">
        <f>AG1110*O1110</f>
        <v/>
      </c>
      <c r="AI1110" s="34">
        <f>AA1110*O1110</f>
        <v/>
      </c>
      <c r="AJ1110" s="34">
        <f>AA1110*P1110</f>
        <v/>
      </c>
      <c r="AK1110" s="34">
        <f>I1110*AA1110*P1110</f>
        <v/>
      </c>
      <c r="AL1110" s="34">
        <f>AJ1110-AK1110</f>
        <v/>
      </c>
      <c r="AM1110" s="34">
        <f>Q1110*K1110</f>
        <v/>
      </c>
      <c r="AN1110" s="34">
        <f>AH1110+AL1110+AM1110</f>
        <v/>
      </c>
      <c r="AO1110" s="34">
        <f>(AG1110-AA1110)*O1110</f>
        <v/>
      </c>
      <c r="AP1110" s="34">
        <f>W1110*N1110</f>
        <v/>
      </c>
      <c r="AQ1110" s="34">
        <f>T1110*N1110</f>
        <v/>
      </c>
      <c r="AR1110" s="34">
        <f>Z1110*J1111+0.5*Z1110*(O1110+P1110)</f>
        <v/>
      </c>
      <c r="AS1110" s="30">
        <f>(1+InflationRate)^(A1110/12)</f>
        <v/>
      </c>
      <c r="AT1110" s="29">
        <f>ExpenseAcq*M1110+N1110*ExpenseMaint/12*AS1110</f>
        <v/>
      </c>
      <c r="AU1110" s="29">
        <f>CommissionRate*AE1110</f>
        <v/>
      </c>
      <c r="AV1110" s="34">
        <f>AB1111-AB1110</f>
        <v/>
      </c>
      <c r="AW1110" s="34">
        <f>AE1110+AR1110-AN1110-AT1110-AU1110-AV1110</f>
        <v/>
      </c>
      <c r="AX1110" s="29">
        <f>LoadPremRate*E1110*N1110+AK1110+AQ1110-AU1110-AT1110</f>
        <v/>
      </c>
      <c r="AY1110" s="34">
        <f>AP1110-AO1110</f>
        <v/>
      </c>
      <c r="AZ1110" s="37">
        <f>(AW1110-AX1110-AY1110)/MAX(1,ABS(AW1110),ABS(AX1110),ABS(AY1110))</f>
        <v/>
      </c>
      <c r="BA1110" s="37">
        <f>IF(OR(K1110&gt;0,K1111&gt;0),0,(AC1111-(AC1110+AF1110-AQ1110-AP1110+AR1110-AI1110-AJ1110-AM1110))/MAX(1,ABS(AC1110),ABS(AC1111)))</f>
        <v/>
      </c>
      <c r="BB1110" s="35">
        <f>(1+INDEX(DiscRateAnn,INT(A1110/12)+1))^(1/12)-1</f>
        <v/>
      </c>
      <c r="BC1110" s="31">
        <f>(1+BB1110)^-A1110</f>
        <v/>
      </c>
      <c r="BD1110" s="34">
        <f>AW1110*BC1110</f>
        <v/>
      </c>
    </row>
    <row r="1111">
      <c r="A1111" s="27">
        <f>A1110+1</f>
        <v/>
      </c>
      <c r="B1111" s="28">
        <f>Duration0+A1111</f>
        <v/>
      </c>
      <c r="C1111" s="27">
        <f>INT(B1111/12)</f>
        <v/>
      </c>
      <c r="D1111" s="28">
        <f>AgeAtEntry+C1111</f>
        <v/>
      </c>
      <c r="E1111" s="29">
        <f>IF(PremiumType="SINGLE",IF(B1111=0,PremiumPPInput,0),IF(B1111&lt;12*PolicyTerm,PremiumPPInput,0))</f>
        <v/>
      </c>
      <c r="F1111" s="30">
        <f>INDEX(MortRates,MATCH(MIN(D1111,120),MortAges,0),MAX(MIN(C1111,5),0)+1)</f>
        <v/>
      </c>
      <c r="G1111" s="31">
        <f>1-(1-F1111)^(1/12)</f>
        <v/>
      </c>
      <c r="H1111" s="32">
        <f>MAX(LapseBase-LapseStep*C1111,LapseFloor)</f>
        <v/>
      </c>
      <c r="I1111" s="32">
        <f>IF(HasSurrCharge,INDEX(SurrRates,MIN(C1111,SurrDurMax)+1,MATCH(SurrChargeID,SurrTypes,0)),0)</f>
        <v/>
      </c>
      <c r="J1111" s="33">
        <f>N1110-P1110-O1110</f>
        <v/>
      </c>
      <c r="K1111" s="30">
        <f>IF(B1111=12*PolicyTerm,J1111,0)</f>
        <v/>
      </c>
      <c r="L1111" s="33">
        <f>J1111-K1111</f>
        <v/>
      </c>
      <c r="M1111" s="30">
        <f>IF(B1111=0,PolicyCount,0)</f>
        <v/>
      </c>
      <c r="N1111" s="33">
        <f>L1111+M1111</f>
        <v/>
      </c>
      <c r="O1111" s="31">
        <f>N1111*G1111</f>
        <v/>
      </c>
      <c r="P1111" s="33">
        <f>(N1111-O1111)*(1-(1-H1111)^(1/12))</f>
        <v/>
      </c>
      <c r="Q1111" s="34">
        <f>X1110+Z1110</f>
        <v/>
      </c>
      <c r="R1111" s="29">
        <f>(1-LoadPremRate)*E1111</f>
        <v/>
      </c>
      <c r="S1111" s="34">
        <f>Q1111+R1111</f>
        <v/>
      </c>
      <c r="T1111" s="29">
        <f>MaintFeeRateAnn/12*S1111</f>
        <v/>
      </c>
      <c r="U1111" s="29">
        <f>MAX(SumAssured-S1111,0)</f>
        <v/>
      </c>
      <c r="V1111" s="35">
        <f>CoiMultiple*G1111</f>
        <v/>
      </c>
      <c r="W1111" s="34">
        <f>V1111*U1111</f>
        <v/>
      </c>
      <c r="X1111" s="34">
        <f>S1111-T1111-W1111</f>
        <v/>
      </c>
      <c r="Y1111" s="36">
        <f>EXP((Mu-0.5*Sigma^2)/12+Sigma*SQRT(1/12)*INDEX(NormRand,ScenID,A1111+1))-1</f>
        <v/>
      </c>
      <c r="Z1111" s="34">
        <f>Y1111*X1111</f>
        <v/>
      </c>
      <c r="AA1111" s="34">
        <f>X1111+0.5*Z1111</f>
        <v/>
      </c>
      <c r="AB1111" s="34">
        <f>Q1111*J1111</f>
        <v/>
      </c>
      <c r="AC1111" s="34">
        <f>Q1111*L1111</f>
        <v/>
      </c>
      <c r="AD1111" s="34">
        <f>S1111*N1111</f>
        <v/>
      </c>
      <c r="AE1111" s="34">
        <f>E1111*N1111</f>
        <v/>
      </c>
      <c r="AF1111" s="34">
        <f>R1111*N1111</f>
        <v/>
      </c>
      <c r="AG1111" s="29">
        <f>MAX(SumAssured,AA1111)</f>
        <v/>
      </c>
      <c r="AH1111" s="34">
        <f>AG1111*O1111</f>
        <v/>
      </c>
      <c r="AI1111" s="34">
        <f>AA1111*O1111</f>
        <v/>
      </c>
      <c r="AJ1111" s="34">
        <f>AA1111*P1111</f>
        <v/>
      </c>
      <c r="AK1111" s="34">
        <f>I1111*AA1111*P1111</f>
        <v/>
      </c>
      <c r="AL1111" s="34">
        <f>AJ1111-AK1111</f>
        <v/>
      </c>
      <c r="AM1111" s="34">
        <f>Q1111*K1111</f>
        <v/>
      </c>
      <c r="AN1111" s="34">
        <f>AH1111+AL1111+AM1111</f>
        <v/>
      </c>
      <c r="AO1111" s="34">
        <f>(AG1111-AA1111)*O1111</f>
        <v/>
      </c>
      <c r="AP1111" s="34">
        <f>W1111*N1111</f>
        <v/>
      </c>
      <c r="AQ1111" s="34">
        <f>T1111*N1111</f>
        <v/>
      </c>
      <c r="AR1111" s="34">
        <f>Z1111*J1112+0.5*Z1111*(O1111+P1111)</f>
        <v/>
      </c>
      <c r="AS1111" s="30">
        <f>(1+InflationRate)^(A1111/12)</f>
        <v/>
      </c>
      <c r="AT1111" s="29">
        <f>ExpenseAcq*M1111+N1111*ExpenseMaint/12*AS1111</f>
        <v/>
      </c>
      <c r="AU1111" s="29">
        <f>CommissionRate*AE1111</f>
        <v/>
      </c>
      <c r="AV1111" s="34">
        <f>AB1112-AB1111</f>
        <v/>
      </c>
      <c r="AW1111" s="34">
        <f>AE1111+AR1111-AN1111-AT1111-AU1111-AV1111</f>
        <v/>
      </c>
      <c r="AX1111" s="29">
        <f>LoadPremRate*E1111*N1111+AK1111+AQ1111-AU1111-AT1111</f>
        <v/>
      </c>
      <c r="AY1111" s="34">
        <f>AP1111-AO1111</f>
        <v/>
      </c>
      <c r="AZ1111" s="37">
        <f>(AW1111-AX1111-AY1111)/MAX(1,ABS(AW1111),ABS(AX1111),ABS(AY1111))</f>
        <v/>
      </c>
      <c r="BA1111" s="37">
        <f>IF(OR(K1111&gt;0,K1112&gt;0),0,(AC1112-(AC1111+AF1111-AQ1111-AP1111+AR1111-AI1111-AJ1111-AM1111))/MAX(1,ABS(AC1111),ABS(AC1112)))</f>
        <v/>
      </c>
      <c r="BB1111" s="35">
        <f>(1+INDEX(DiscRateAnn,INT(A1111/12)+1))^(1/12)-1</f>
        <v/>
      </c>
      <c r="BC1111" s="31">
        <f>(1+BB1111)^-A1111</f>
        <v/>
      </c>
      <c r="BD1111" s="34">
        <f>AW1111*BC1111</f>
        <v/>
      </c>
    </row>
    <row r="1112">
      <c r="A1112" s="27">
        <f>A1111+1</f>
        <v/>
      </c>
      <c r="B1112" s="28">
        <f>Duration0+A1112</f>
        <v/>
      </c>
      <c r="C1112" s="27">
        <f>INT(B1112/12)</f>
        <v/>
      </c>
      <c r="D1112" s="28">
        <f>AgeAtEntry+C1112</f>
        <v/>
      </c>
      <c r="E1112" s="29">
        <f>IF(PremiumType="SINGLE",IF(B1112=0,PremiumPPInput,0),IF(B1112&lt;12*PolicyTerm,PremiumPPInput,0))</f>
        <v/>
      </c>
      <c r="F1112" s="30">
        <f>INDEX(MortRates,MATCH(MIN(D1112,120),MortAges,0),MAX(MIN(C1112,5),0)+1)</f>
        <v/>
      </c>
      <c r="G1112" s="31">
        <f>1-(1-F1112)^(1/12)</f>
        <v/>
      </c>
      <c r="H1112" s="32">
        <f>MAX(LapseBase-LapseStep*C1112,LapseFloor)</f>
        <v/>
      </c>
      <c r="I1112" s="32">
        <f>IF(HasSurrCharge,INDEX(SurrRates,MIN(C1112,SurrDurMax)+1,MATCH(SurrChargeID,SurrTypes,0)),0)</f>
        <v/>
      </c>
      <c r="J1112" s="33">
        <f>N1111-P1111-O1111</f>
        <v/>
      </c>
      <c r="K1112" s="30">
        <f>IF(B1112=12*PolicyTerm,J1112,0)</f>
        <v/>
      </c>
      <c r="L1112" s="33">
        <f>J1112-K1112</f>
        <v/>
      </c>
      <c r="M1112" s="30">
        <f>IF(B1112=0,PolicyCount,0)</f>
        <v/>
      </c>
      <c r="N1112" s="33">
        <f>L1112+M1112</f>
        <v/>
      </c>
      <c r="O1112" s="31">
        <f>N1112*G1112</f>
        <v/>
      </c>
      <c r="P1112" s="33">
        <f>(N1112-O1112)*(1-(1-H1112)^(1/12))</f>
        <v/>
      </c>
      <c r="Q1112" s="34">
        <f>X1111+Z1111</f>
        <v/>
      </c>
      <c r="R1112" s="29">
        <f>(1-LoadPremRate)*E1112</f>
        <v/>
      </c>
      <c r="S1112" s="34">
        <f>Q1112+R1112</f>
        <v/>
      </c>
      <c r="T1112" s="29">
        <f>MaintFeeRateAnn/12*S1112</f>
        <v/>
      </c>
      <c r="U1112" s="29">
        <f>MAX(SumAssured-S1112,0)</f>
        <v/>
      </c>
      <c r="V1112" s="35">
        <f>CoiMultiple*G1112</f>
        <v/>
      </c>
      <c r="W1112" s="34">
        <f>V1112*U1112</f>
        <v/>
      </c>
      <c r="X1112" s="34">
        <f>S1112-T1112-W1112</f>
        <v/>
      </c>
      <c r="Y1112" s="36">
        <f>EXP((Mu-0.5*Sigma^2)/12+Sigma*SQRT(1/12)*INDEX(NormRand,ScenID,A1112+1))-1</f>
        <v/>
      </c>
      <c r="Z1112" s="34">
        <f>Y1112*X1112</f>
        <v/>
      </c>
      <c r="AA1112" s="34">
        <f>X1112+0.5*Z1112</f>
        <v/>
      </c>
      <c r="AB1112" s="34">
        <f>Q1112*J1112</f>
        <v/>
      </c>
      <c r="AC1112" s="34">
        <f>Q1112*L1112</f>
        <v/>
      </c>
      <c r="AD1112" s="34">
        <f>S1112*N1112</f>
        <v/>
      </c>
      <c r="AE1112" s="34">
        <f>E1112*N1112</f>
        <v/>
      </c>
      <c r="AF1112" s="34">
        <f>R1112*N1112</f>
        <v/>
      </c>
      <c r="AG1112" s="29">
        <f>MAX(SumAssured,AA1112)</f>
        <v/>
      </c>
      <c r="AH1112" s="34">
        <f>AG1112*O1112</f>
        <v/>
      </c>
      <c r="AI1112" s="34">
        <f>AA1112*O1112</f>
        <v/>
      </c>
      <c r="AJ1112" s="34">
        <f>AA1112*P1112</f>
        <v/>
      </c>
      <c r="AK1112" s="34">
        <f>I1112*AA1112*P1112</f>
        <v/>
      </c>
      <c r="AL1112" s="34">
        <f>AJ1112-AK1112</f>
        <v/>
      </c>
      <c r="AM1112" s="34">
        <f>Q1112*K1112</f>
        <v/>
      </c>
      <c r="AN1112" s="34">
        <f>AH1112+AL1112+AM1112</f>
        <v/>
      </c>
      <c r="AO1112" s="34">
        <f>(AG1112-AA1112)*O1112</f>
        <v/>
      </c>
      <c r="AP1112" s="34">
        <f>W1112*N1112</f>
        <v/>
      </c>
      <c r="AQ1112" s="34">
        <f>T1112*N1112</f>
        <v/>
      </c>
      <c r="AR1112" s="34">
        <f>Z1112*J1113+0.5*Z1112*(O1112+P1112)</f>
        <v/>
      </c>
      <c r="AS1112" s="30">
        <f>(1+InflationRate)^(A1112/12)</f>
        <v/>
      </c>
      <c r="AT1112" s="29">
        <f>ExpenseAcq*M1112+N1112*ExpenseMaint/12*AS1112</f>
        <v/>
      </c>
      <c r="AU1112" s="29">
        <f>CommissionRate*AE1112</f>
        <v/>
      </c>
      <c r="AV1112" s="34">
        <f>AB1113-AB1112</f>
        <v/>
      </c>
      <c r="AW1112" s="34">
        <f>AE1112+AR1112-AN1112-AT1112-AU1112-AV1112</f>
        <v/>
      </c>
      <c r="AX1112" s="29">
        <f>LoadPremRate*E1112*N1112+AK1112+AQ1112-AU1112-AT1112</f>
        <v/>
      </c>
      <c r="AY1112" s="34">
        <f>AP1112-AO1112</f>
        <v/>
      </c>
      <c r="AZ1112" s="37">
        <f>(AW1112-AX1112-AY1112)/MAX(1,ABS(AW1112),ABS(AX1112),ABS(AY1112))</f>
        <v/>
      </c>
      <c r="BA1112" s="37">
        <f>IF(OR(K1112&gt;0,K1113&gt;0),0,(AC1113-(AC1112+AF1112-AQ1112-AP1112+AR1112-AI1112-AJ1112-AM1112))/MAX(1,ABS(AC1112),ABS(AC1113)))</f>
        <v/>
      </c>
      <c r="BB1112" s="35">
        <f>(1+INDEX(DiscRateAnn,INT(A1112/12)+1))^(1/12)-1</f>
        <v/>
      </c>
      <c r="BC1112" s="31">
        <f>(1+BB1112)^-A1112</f>
        <v/>
      </c>
      <c r="BD1112" s="34">
        <f>AW1112*BC1112</f>
        <v/>
      </c>
    </row>
    <row r="1113">
      <c r="A1113" s="27">
        <f>A1112+1</f>
        <v/>
      </c>
      <c r="B1113" s="28">
        <f>Duration0+A1113</f>
        <v/>
      </c>
      <c r="C1113" s="27">
        <f>INT(B1113/12)</f>
        <v/>
      </c>
      <c r="D1113" s="28">
        <f>AgeAtEntry+C1113</f>
        <v/>
      </c>
      <c r="E1113" s="29">
        <f>IF(PremiumType="SINGLE",IF(B1113=0,PremiumPPInput,0),IF(B1113&lt;12*PolicyTerm,PremiumPPInput,0))</f>
        <v/>
      </c>
      <c r="F1113" s="30">
        <f>INDEX(MortRates,MATCH(MIN(D1113,120),MortAges,0),MAX(MIN(C1113,5),0)+1)</f>
        <v/>
      </c>
      <c r="G1113" s="31">
        <f>1-(1-F1113)^(1/12)</f>
        <v/>
      </c>
      <c r="H1113" s="32">
        <f>MAX(LapseBase-LapseStep*C1113,LapseFloor)</f>
        <v/>
      </c>
      <c r="I1113" s="32">
        <f>IF(HasSurrCharge,INDEX(SurrRates,MIN(C1113,SurrDurMax)+1,MATCH(SurrChargeID,SurrTypes,0)),0)</f>
        <v/>
      </c>
      <c r="J1113" s="33">
        <f>N1112-P1112-O1112</f>
        <v/>
      </c>
      <c r="K1113" s="30">
        <f>IF(B1113=12*PolicyTerm,J1113,0)</f>
        <v/>
      </c>
      <c r="L1113" s="33">
        <f>J1113-K1113</f>
        <v/>
      </c>
      <c r="M1113" s="30">
        <f>IF(B1113=0,PolicyCount,0)</f>
        <v/>
      </c>
      <c r="N1113" s="33">
        <f>L1113+M1113</f>
        <v/>
      </c>
      <c r="O1113" s="31">
        <f>N1113*G1113</f>
        <v/>
      </c>
      <c r="P1113" s="33">
        <f>(N1113-O1113)*(1-(1-H1113)^(1/12))</f>
        <v/>
      </c>
      <c r="Q1113" s="34">
        <f>X1112+Z1112</f>
        <v/>
      </c>
      <c r="R1113" s="29">
        <f>(1-LoadPremRate)*E1113</f>
        <v/>
      </c>
      <c r="S1113" s="34">
        <f>Q1113+R1113</f>
        <v/>
      </c>
      <c r="T1113" s="29">
        <f>MaintFeeRateAnn/12*S1113</f>
        <v/>
      </c>
      <c r="U1113" s="29">
        <f>MAX(SumAssured-S1113,0)</f>
        <v/>
      </c>
      <c r="V1113" s="35">
        <f>CoiMultiple*G1113</f>
        <v/>
      </c>
      <c r="W1113" s="34">
        <f>V1113*U1113</f>
        <v/>
      </c>
      <c r="X1113" s="34">
        <f>S1113-T1113-W1113</f>
        <v/>
      </c>
      <c r="Y1113" s="36">
        <f>EXP((Mu-0.5*Sigma^2)/12+Sigma*SQRT(1/12)*INDEX(NormRand,ScenID,A1113+1))-1</f>
        <v/>
      </c>
      <c r="Z1113" s="34">
        <f>Y1113*X1113</f>
        <v/>
      </c>
      <c r="AA1113" s="34">
        <f>X1113+0.5*Z1113</f>
        <v/>
      </c>
      <c r="AB1113" s="34">
        <f>Q1113*J1113</f>
        <v/>
      </c>
      <c r="AC1113" s="34">
        <f>Q1113*L1113</f>
        <v/>
      </c>
      <c r="AD1113" s="34">
        <f>S1113*N1113</f>
        <v/>
      </c>
      <c r="AE1113" s="34">
        <f>E1113*N1113</f>
        <v/>
      </c>
      <c r="AF1113" s="34">
        <f>R1113*N1113</f>
        <v/>
      </c>
      <c r="AG1113" s="29">
        <f>MAX(SumAssured,AA1113)</f>
        <v/>
      </c>
      <c r="AH1113" s="34">
        <f>AG1113*O1113</f>
        <v/>
      </c>
      <c r="AI1113" s="34">
        <f>AA1113*O1113</f>
        <v/>
      </c>
      <c r="AJ1113" s="34">
        <f>AA1113*P1113</f>
        <v/>
      </c>
      <c r="AK1113" s="34">
        <f>I1113*AA1113*P1113</f>
        <v/>
      </c>
      <c r="AL1113" s="34">
        <f>AJ1113-AK1113</f>
        <v/>
      </c>
      <c r="AM1113" s="34">
        <f>Q1113*K1113</f>
        <v/>
      </c>
      <c r="AN1113" s="34">
        <f>AH1113+AL1113+AM1113</f>
        <v/>
      </c>
      <c r="AO1113" s="34">
        <f>(AG1113-AA1113)*O1113</f>
        <v/>
      </c>
      <c r="AP1113" s="34">
        <f>W1113*N1113</f>
        <v/>
      </c>
      <c r="AQ1113" s="34">
        <f>T1113*N1113</f>
        <v/>
      </c>
      <c r="AR1113" s="34">
        <f>Z1113*J1114+0.5*Z1113*(O1113+P1113)</f>
        <v/>
      </c>
      <c r="AS1113" s="30">
        <f>(1+InflationRate)^(A1113/12)</f>
        <v/>
      </c>
      <c r="AT1113" s="29">
        <f>ExpenseAcq*M1113+N1113*ExpenseMaint/12*AS1113</f>
        <v/>
      </c>
      <c r="AU1113" s="29">
        <f>CommissionRate*AE1113</f>
        <v/>
      </c>
      <c r="AV1113" s="34">
        <f>AB1114-AB1113</f>
        <v/>
      </c>
      <c r="AW1113" s="34">
        <f>AE1113+AR1113-AN1113-AT1113-AU1113-AV1113</f>
        <v/>
      </c>
      <c r="AX1113" s="29">
        <f>LoadPremRate*E1113*N1113+AK1113+AQ1113-AU1113-AT1113</f>
        <v/>
      </c>
      <c r="AY1113" s="34">
        <f>AP1113-AO1113</f>
        <v/>
      </c>
      <c r="AZ1113" s="37">
        <f>(AW1113-AX1113-AY1113)/MAX(1,ABS(AW1113),ABS(AX1113),ABS(AY1113))</f>
        <v/>
      </c>
      <c r="BA1113" s="37">
        <f>IF(OR(K1113&gt;0,K1114&gt;0),0,(AC1114-(AC1113+AF1113-AQ1113-AP1113+AR1113-AI1113-AJ1113-AM1113))/MAX(1,ABS(AC1113),ABS(AC1114)))</f>
        <v/>
      </c>
      <c r="BB1113" s="35">
        <f>(1+INDEX(DiscRateAnn,INT(A1113/12)+1))^(1/12)-1</f>
        <v/>
      </c>
      <c r="BC1113" s="31">
        <f>(1+BB1113)^-A1113</f>
        <v/>
      </c>
      <c r="BD1113" s="34">
        <f>AW1113*BC1113</f>
        <v/>
      </c>
    </row>
    <row r="1114">
      <c r="A1114" s="27">
        <f>A1113+1</f>
        <v/>
      </c>
      <c r="B1114" s="28">
        <f>Duration0+A1114</f>
        <v/>
      </c>
      <c r="C1114" s="27">
        <f>INT(B1114/12)</f>
        <v/>
      </c>
      <c r="D1114" s="28">
        <f>AgeAtEntry+C1114</f>
        <v/>
      </c>
      <c r="E1114" s="29">
        <f>IF(PremiumType="SINGLE",IF(B1114=0,PremiumPPInput,0),IF(B1114&lt;12*PolicyTerm,PremiumPPInput,0))</f>
        <v/>
      </c>
      <c r="F1114" s="30">
        <f>INDEX(MortRates,MATCH(MIN(D1114,120),MortAges,0),MAX(MIN(C1114,5),0)+1)</f>
        <v/>
      </c>
      <c r="G1114" s="31">
        <f>1-(1-F1114)^(1/12)</f>
        <v/>
      </c>
      <c r="H1114" s="32">
        <f>MAX(LapseBase-LapseStep*C1114,LapseFloor)</f>
        <v/>
      </c>
      <c r="I1114" s="32">
        <f>IF(HasSurrCharge,INDEX(SurrRates,MIN(C1114,SurrDurMax)+1,MATCH(SurrChargeID,SurrTypes,0)),0)</f>
        <v/>
      </c>
      <c r="J1114" s="33">
        <f>N1113-P1113-O1113</f>
        <v/>
      </c>
      <c r="K1114" s="30">
        <f>IF(B1114=12*PolicyTerm,J1114,0)</f>
        <v/>
      </c>
      <c r="L1114" s="33">
        <f>J1114-K1114</f>
        <v/>
      </c>
      <c r="M1114" s="30">
        <f>IF(B1114=0,PolicyCount,0)</f>
        <v/>
      </c>
      <c r="N1114" s="33">
        <f>L1114+M1114</f>
        <v/>
      </c>
      <c r="O1114" s="31">
        <f>N1114*G1114</f>
        <v/>
      </c>
      <c r="P1114" s="33">
        <f>(N1114-O1114)*(1-(1-H1114)^(1/12))</f>
        <v/>
      </c>
      <c r="Q1114" s="34">
        <f>X1113+Z1113</f>
        <v/>
      </c>
      <c r="R1114" s="29">
        <f>(1-LoadPremRate)*E1114</f>
        <v/>
      </c>
      <c r="S1114" s="34">
        <f>Q1114+R1114</f>
        <v/>
      </c>
      <c r="T1114" s="29">
        <f>MaintFeeRateAnn/12*S1114</f>
        <v/>
      </c>
      <c r="U1114" s="29">
        <f>MAX(SumAssured-S1114,0)</f>
        <v/>
      </c>
      <c r="V1114" s="35">
        <f>CoiMultiple*G1114</f>
        <v/>
      </c>
      <c r="W1114" s="34">
        <f>V1114*U1114</f>
        <v/>
      </c>
      <c r="X1114" s="34">
        <f>S1114-T1114-W1114</f>
        <v/>
      </c>
      <c r="Y1114" s="36">
        <f>EXP((Mu-0.5*Sigma^2)/12+Sigma*SQRT(1/12)*INDEX(NormRand,ScenID,A1114+1))-1</f>
        <v/>
      </c>
      <c r="Z1114" s="34">
        <f>Y1114*X1114</f>
        <v/>
      </c>
      <c r="AA1114" s="34">
        <f>X1114+0.5*Z1114</f>
        <v/>
      </c>
      <c r="AB1114" s="34">
        <f>Q1114*J1114</f>
        <v/>
      </c>
      <c r="AC1114" s="34">
        <f>Q1114*L1114</f>
        <v/>
      </c>
      <c r="AD1114" s="34">
        <f>S1114*N1114</f>
        <v/>
      </c>
      <c r="AE1114" s="34">
        <f>E1114*N1114</f>
        <v/>
      </c>
      <c r="AF1114" s="34">
        <f>R1114*N1114</f>
        <v/>
      </c>
      <c r="AG1114" s="29">
        <f>MAX(SumAssured,AA1114)</f>
        <v/>
      </c>
      <c r="AH1114" s="34">
        <f>AG1114*O1114</f>
        <v/>
      </c>
      <c r="AI1114" s="34">
        <f>AA1114*O1114</f>
        <v/>
      </c>
      <c r="AJ1114" s="34">
        <f>AA1114*P1114</f>
        <v/>
      </c>
      <c r="AK1114" s="34">
        <f>I1114*AA1114*P1114</f>
        <v/>
      </c>
      <c r="AL1114" s="34">
        <f>AJ1114-AK1114</f>
        <v/>
      </c>
      <c r="AM1114" s="34">
        <f>Q1114*K1114</f>
        <v/>
      </c>
      <c r="AN1114" s="34">
        <f>AH1114+AL1114+AM1114</f>
        <v/>
      </c>
      <c r="AO1114" s="34">
        <f>(AG1114-AA1114)*O1114</f>
        <v/>
      </c>
      <c r="AP1114" s="34">
        <f>W1114*N1114</f>
        <v/>
      </c>
      <c r="AQ1114" s="34">
        <f>T1114*N1114</f>
        <v/>
      </c>
      <c r="AR1114" s="34">
        <f>Z1114*J1115+0.5*Z1114*(O1114+P1114)</f>
        <v/>
      </c>
      <c r="AS1114" s="30">
        <f>(1+InflationRate)^(A1114/12)</f>
        <v/>
      </c>
      <c r="AT1114" s="29">
        <f>ExpenseAcq*M1114+N1114*ExpenseMaint/12*AS1114</f>
        <v/>
      </c>
      <c r="AU1114" s="29">
        <f>CommissionRate*AE1114</f>
        <v/>
      </c>
      <c r="AV1114" s="34">
        <f>AB1115-AB1114</f>
        <v/>
      </c>
      <c r="AW1114" s="34">
        <f>AE1114+AR1114-AN1114-AT1114-AU1114-AV1114</f>
        <v/>
      </c>
      <c r="AX1114" s="29">
        <f>LoadPremRate*E1114*N1114+AK1114+AQ1114-AU1114-AT1114</f>
        <v/>
      </c>
      <c r="AY1114" s="34">
        <f>AP1114-AO1114</f>
        <v/>
      </c>
      <c r="AZ1114" s="37">
        <f>(AW1114-AX1114-AY1114)/MAX(1,ABS(AW1114),ABS(AX1114),ABS(AY1114))</f>
        <v/>
      </c>
      <c r="BA1114" s="37">
        <f>IF(OR(K1114&gt;0,K1115&gt;0),0,(AC1115-(AC1114+AF1114-AQ1114-AP1114+AR1114-AI1114-AJ1114-AM1114))/MAX(1,ABS(AC1114),ABS(AC1115)))</f>
        <v/>
      </c>
      <c r="BB1114" s="35">
        <f>(1+INDEX(DiscRateAnn,INT(A1114/12)+1))^(1/12)-1</f>
        <v/>
      </c>
      <c r="BC1114" s="31">
        <f>(1+BB1114)^-A1114</f>
        <v/>
      </c>
      <c r="BD1114" s="34">
        <f>AW1114*BC1114</f>
        <v/>
      </c>
    </row>
    <row r="1115">
      <c r="A1115" s="27">
        <f>A1114+1</f>
        <v/>
      </c>
      <c r="B1115" s="28">
        <f>Duration0+A1115</f>
        <v/>
      </c>
      <c r="C1115" s="27">
        <f>INT(B1115/12)</f>
        <v/>
      </c>
      <c r="D1115" s="28">
        <f>AgeAtEntry+C1115</f>
        <v/>
      </c>
      <c r="E1115" s="29">
        <f>IF(PremiumType="SINGLE",IF(B1115=0,PremiumPPInput,0),IF(B1115&lt;12*PolicyTerm,PremiumPPInput,0))</f>
        <v/>
      </c>
      <c r="F1115" s="30">
        <f>INDEX(MortRates,MATCH(MIN(D1115,120),MortAges,0),MAX(MIN(C1115,5),0)+1)</f>
        <v/>
      </c>
      <c r="G1115" s="31">
        <f>1-(1-F1115)^(1/12)</f>
        <v/>
      </c>
      <c r="H1115" s="32">
        <f>MAX(LapseBase-LapseStep*C1115,LapseFloor)</f>
        <v/>
      </c>
      <c r="I1115" s="32">
        <f>IF(HasSurrCharge,INDEX(SurrRates,MIN(C1115,SurrDurMax)+1,MATCH(SurrChargeID,SurrTypes,0)),0)</f>
        <v/>
      </c>
      <c r="J1115" s="33">
        <f>N1114-P1114-O1114</f>
        <v/>
      </c>
      <c r="K1115" s="30">
        <f>IF(B1115=12*PolicyTerm,J1115,0)</f>
        <v/>
      </c>
      <c r="L1115" s="33">
        <f>J1115-K1115</f>
        <v/>
      </c>
      <c r="M1115" s="30">
        <f>IF(B1115=0,PolicyCount,0)</f>
        <v/>
      </c>
      <c r="N1115" s="33">
        <f>L1115+M1115</f>
        <v/>
      </c>
      <c r="O1115" s="31">
        <f>N1115*G1115</f>
        <v/>
      </c>
      <c r="P1115" s="33">
        <f>(N1115-O1115)*(1-(1-H1115)^(1/12))</f>
        <v/>
      </c>
      <c r="Q1115" s="34">
        <f>X1114+Z1114</f>
        <v/>
      </c>
      <c r="R1115" s="29">
        <f>(1-LoadPremRate)*E1115</f>
        <v/>
      </c>
      <c r="S1115" s="34">
        <f>Q1115+R1115</f>
        <v/>
      </c>
      <c r="T1115" s="29">
        <f>MaintFeeRateAnn/12*S1115</f>
        <v/>
      </c>
      <c r="U1115" s="29">
        <f>MAX(SumAssured-S1115,0)</f>
        <v/>
      </c>
      <c r="V1115" s="35">
        <f>CoiMultiple*G1115</f>
        <v/>
      </c>
      <c r="W1115" s="34">
        <f>V1115*U1115</f>
        <v/>
      </c>
      <c r="X1115" s="34">
        <f>S1115-T1115-W1115</f>
        <v/>
      </c>
      <c r="Y1115" s="36">
        <f>EXP((Mu-0.5*Sigma^2)/12+Sigma*SQRT(1/12)*INDEX(NormRand,ScenID,A1115+1))-1</f>
        <v/>
      </c>
      <c r="Z1115" s="34">
        <f>Y1115*X1115</f>
        <v/>
      </c>
      <c r="AA1115" s="34">
        <f>X1115+0.5*Z1115</f>
        <v/>
      </c>
      <c r="AB1115" s="34">
        <f>Q1115*J1115</f>
        <v/>
      </c>
      <c r="AC1115" s="34">
        <f>Q1115*L1115</f>
        <v/>
      </c>
      <c r="AD1115" s="34">
        <f>S1115*N1115</f>
        <v/>
      </c>
      <c r="AE1115" s="34">
        <f>E1115*N1115</f>
        <v/>
      </c>
      <c r="AF1115" s="34">
        <f>R1115*N1115</f>
        <v/>
      </c>
      <c r="AG1115" s="29">
        <f>MAX(SumAssured,AA1115)</f>
        <v/>
      </c>
      <c r="AH1115" s="34">
        <f>AG1115*O1115</f>
        <v/>
      </c>
      <c r="AI1115" s="34">
        <f>AA1115*O1115</f>
        <v/>
      </c>
      <c r="AJ1115" s="34">
        <f>AA1115*P1115</f>
        <v/>
      </c>
      <c r="AK1115" s="34">
        <f>I1115*AA1115*P1115</f>
        <v/>
      </c>
      <c r="AL1115" s="34">
        <f>AJ1115-AK1115</f>
        <v/>
      </c>
      <c r="AM1115" s="34">
        <f>Q1115*K1115</f>
        <v/>
      </c>
      <c r="AN1115" s="34">
        <f>AH1115+AL1115+AM1115</f>
        <v/>
      </c>
      <c r="AO1115" s="34">
        <f>(AG1115-AA1115)*O1115</f>
        <v/>
      </c>
      <c r="AP1115" s="34">
        <f>W1115*N1115</f>
        <v/>
      </c>
      <c r="AQ1115" s="34">
        <f>T1115*N1115</f>
        <v/>
      </c>
      <c r="AR1115" s="34">
        <f>Z1115*J1116+0.5*Z1115*(O1115+P1115)</f>
        <v/>
      </c>
      <c r="AS1115" s="30">
        <f>(1+InflationRate)^(A1115/12)</f>
        <v/>
      </c>
      <c r="AT1115" s="29">
        <f>ExpenseAcq*M1115+N1115*ExpenseMaint/12*AS1115</f>
        <v/>
      </c>
      <c r="AU1115" s="29">
        <f>CommissionRate*AE1115</f>
        <v/>
      </c>
      <c r="AV1115" s="34">
        <f>AB1116-AB1115</f>
        <v/>
      </c>
      <c r="AW1115" s="34">
        <f>AE1115+AR1115-AN1115-AT1115-AU1115-AV1115</f>
        <v/>
      </c>
      <c r="AX1115" s="29">
        <f>LoadPremRate*E1115*N1115+AK1115+AQ1115-AU1115-AT1115</f>
        <v/>
      </c>
      <c r="AY1115" s="34">
        <f>AP1115-AO1115</f>
        <v/>
      </c>
      <c r="AZ1115" s="37">
        <f>(AW1115-AX1115-AY1115)/MAX(1,ABS(AW1115),ABS(AX1115),ABS(AY1115))</f>
        <v/>
      </c>
      <c r="BA1115" s="37">
        <f>IF(OR(K1115&gt;0,K1116&gt;0),0,(AC1116-(AC1115+AF1115-AQ1115-AP1115+AR1115-AI1115-AJ1115-AM1115))/MAX(1,ABS(AC1115),ABS(AC1116)))</f>
        <v/>
      </c>
      <c r="BB1115" s="35">
        <f>(1+INDEX(DiscRateAnn,INT(A1115/12)+1))^(1/12)-1</f>
        <v/>
      </c>
      <c r="BC1115" s="31">
        <f>(1+BB1115)^-A1115</f>
        <v/>
      </c>
      <c r="BD1115" s="34">
        <f>AW1115*BC1115</f>
        <v/>
      </c>
    </row>
    <row r="1116">
      <c r="A1116" s="27">
        <f>A1115+1</f>
        <v/>
      </c>
      <c r="B1116" s="28">
        <f>Duration0+A1116</f>
        <v/>
      </c>
      <c r="C1116" s="27">
        <f>INT(B1116/12)</f>
        <v/>
      </c>
      <c r="D1116" s="28">
        <f>AgeAtEntry+C1116</f>
        <v/>
      </c>
      <c r="E1116" s="29">
        <f>IF(PremiumType="SINGLE",IF(B1116=0,PremiumPPInput,0),IF(B1116&lt;12*PolicyTerm,PremiumPPInput,0))</f>
        <v/>
      </c>
      <c r="F1116" s="30">
        <f>INDEX(MortRates,MATCH(MIN(D1116,120),MortAges,0),MAX(MIN(C1116,5),0)+1)</f>
        <v/>
      </c>
      <c r="G1116" s="31">
        <f>1-(1-F1116)^(1/12)</f>
        <v/>
      </c>
      <c r="H1116" s="32">
        <f>MAX(LapseBase-LapseStep*C1116,LapseFloor)</f>
        <v/>
      </c>
      <c r="I1116" s="32">
        <f>IF(HasSurrCharge,INDEX(SurrRates,MIN(C1116,SurrDurMax)+1,MATCH(SurrChargeID,SurrTypes,0)),0)</f>
        <v/>
      </c>
      <c r="J1116" s="33">
        <f>N1115-P1115-O1115</f>
        <v/>
      </c>
      <c r="K1116" s="30">
        <f>IF(B1116=12*PolicyTerm,J1116,0)</f>
        <v/>
      </c>
      <c r="L1116" s="33">
        <f>J1116-K1116</f>
        <v/>
      </c>
      <c r="M1116" s="30">
        <f>IF(B1116=0,PolicyCount,0)</f>
        <v/>
      </c>
      <c r="N1116" s="33">
        <f>L1116+M1116</f>
        <v/>
      </c>
      <c r="O1116" s="31">
        <f>N1116*G1116</f>
        <v/>
      </c>
      <c r="P1116" s="33">
        <f>(N1116-O1116)*(1-(1-H1116)^(1/12))</f>
        <v/>
      </c>
      <c r="Q1116" s="34">
        <f>X1115+Z1115</f>
        <v/>
      </c>
      <c r="R1116" s="29">
        <f>(1-LoadPremRate)*E1116</f>
        <v/>
      </c>
      <c r="S1116" s="34">
        <f>Q1116+R1116</f>
        <v/>
      </c>
      <c r="T1116" s="29">
        <f>MaintFeeRateAnn/12*S1116</f>
        <v/>
      </c>
      <c r="U1116" s="29">
        <f>MAX(SumAssured-S1116,0)</f>
        <v/>
      </c>
      <c r="V1116" s="35">
        <f>CoiMultiple*G1116</f>
        <v/>
      </c>
      <c r="W1116" s="34">
        <f>V1116*U1116</f>
        <v/>
      </c>
      <c r="X1116" s="34">
        <f>S1116-T1116-W1116</f>
        <v/>
      </c>
      <c r="Y1116" s="36">
        <f>EXP((Mu-0.5*Sigma^2)/12+Sigma*SQRT(1/12)*INDEX(NormRand,ScenID,A1116+1))-1</f>
        <v/>
      </c>
      <c r="Z1116" s="34">
        <f>Y1116*X1116</f>
        <v/>
      </c>
      <c r="AA1116" s="34">
        <f>X1116+0.5*Z1116</f>
        <v/>
      </c>
      <c r="AB1116" s="34">
        <f>Q1116*J1116</f>
        <v/>
      </c>
      <c r="AC1116" s="34">
        <f>Q1116*L1116</f>
        <v/>
      </c>
      <c r="AD1116" s="34">
        <f>S1116*N1116</f>
        <v/>
      </c>
      <c r="AE1116" s="34">
        <f>E1116*N1116</f>
        <v/>
      </c>
      <c r="AF1116" s="34">
        <f>R1116*N1116</f>
        <v/>
      </c>
      <c r="AG1116" s="29">
        <f>MAX(SumAssured,AA1116)</f>
        <v/>
      </c>
      <c r="AH1116" s="34">
        <f>AG1116*O1116</f>
        <v/>
      </c>
      <c r="AI1116" s="34">
        <f>AA1116*O1116</f>
        <v/>
      </c>
      <c r="AJ1116" s="34">
        <f>AA1116*P1116</f>
        <v/>
      </c>
      <c r="AK1116" s="34">
        <f>I1116*AA1116*P1116</f>
        <v/>
      </c>
      <c r="AL1116" s="34">
        <f>AJ1116-AK1116</f>
        <v/>
      </c>
      <c r="AM1116" s="34">
        <f>Q1116*K1116</f>
        <v/>
      </c>
      <c r="AN1116" s="34">
        <f>AH1116+AL1116+AM1116</f>
        <v/>
      </c>
      <c r="AO1116" s="34">
        <f>(AG1116-AA1116)*O1116</f>
        <v/>
      </c>
      <c r="AP1116" s="34">
        <f>W1116*N1116</f>
        <v/>
      </c>
      <c r="AQ1116" s="34">
        <f>T1116*N1116</f>
        <v/>
      </c>
      <c r="AR1116" s="34">
        <f>Z1116*J1117+0.5*Z1116*(O1116+P1116)</f>
        <v/>
      </c>
      <c r="AS1116" s="30">
        <f>(1+InflationRate)^(A1116/12)</f>
        <v/>
      </c>
      <c r="AT1116" s="29">
        <f>ExpenseAcq*M1116+N1116*ExpenseMaint/12*AS1116</f>
        <v/>
      </c>
      <c r="AU1116" s="29">
        <f>CommissionRate*AE1116</f>
        <v/>
      </c>
      <c r="AV1116" s="34">
        <f>AB1117-AB1116</f>
        <v/>
      </c>
      <c r="AW1116" s="34">
        <f>AE1116+AR1116-AN1116-AT1116-AU1116-AV1116</f>
        <v/>
      </c>
      <c r="AX1116" s="29">
        <f>LoadPremRate*E1116*N1116+AK1116+AQ1116-AU1116-AT1116</f>
        <v/>
      </c>
      <c r="AY1116" s="34">
        <f>AP1116-AO1116</f>
        <v/>
      </c>
      <c r="AZ1116" s="37">
        <f>(AW1116-AX1116-AY1116)/MAX(1,ABS(AW1116),ABS(AX1116),ABS(AY1116))</f>
        <v/>
      </c>
      <c r="BA1116" s="37">
        <f>IF(OR(K1116&gt;0,K1117&gt;0),0,(AC1117-(AC1116+AF1116-AQ1116-AP1116+AR1116-AI1116-AJ1116-AM1116))/MAX(1,ABS(AC1116),ABS(AC1117)))</f>
        <v/>
      </c>
      <c r="BB1116" s="35">
        <f>(1+INDEX(DiscRateAnn,INT(A1116/12)+1))^(1/12)-1</f>
        <v/>
      </c>
      <c r="BC1116" s="31">
        <f>(1+BB1116)^-A1116</f>
        <v/>
      </c>
      <c r="BD1116" s="34">
        <f>AW1116*BC1116</f>
        <v/>
      </c>
    </row>
    <row r="1117">
      <c r="A1117" s="27">
        <f>A1116+1</f>
        <v/>
      </c>
      <c r="B1117" s="28">
        <f>Duration0+A1117</f>
        <v/>
      </c>
      <c r="C1117" s="27">
        <f>INT(B1117/12)</f>
        <v/>
      </c>
      <c r="D1117" s="28">
        <f>AgeAtEntry+C1117</f>
        <v/>
      </c>
      <c r="E1117" s="29">
        <f>IF(PremiumType="SINGLE",IF(B1117=0,PremiumPPInput,0),IF(B1117&lt;12*PolicyTerm,PremiumPPInput,0))</f>
        <v/>
      </c>
      <c r="F1117" s="30">
        <f>INDEX(MortRates,MATCH(MIN(D1117,120),MortAges,0),MAX(MIN(C1117,5),0)+1)</f>
        <v/>
      </c>
      <c r="G1117" s="31">
        <f>1-(1-F1117)^(1/12)</f>
        <v/>
      </c>
      <c r="H1117" s="32">
        <f>MAX(LapseBase-LapseStep*C1117,LapseFloor)</f>
        <v/>
      </c>
      <c r="I1117" s="32">
        <f>IF(HasSurrCharge,INDEX(SurrRates,MIN(C1117,SurrDurMax)+1,MATCH(SurrChargeID,SurrTypes,0)),0)</f>
        <v/>
      </c>
      <c r="J1117" s="33">
        <f>N1116-P1116-O1116</f>
        <v/>
      </c>
      <c r="K1117" s="30">
        <f>IF(B1117=12*PolicyTerm,J1117,0)</f>
        <v/>
      </c>
      <c r="L1117" s="33">
        <f>J1117-K1117</f>
        <v/>
      </c>
      <c r="M1117" s="30">
        <f>IF(B1117=0,PolicyCount,0)</f>
        <v/>
      </c>
      <c r="N1117" s="33">
        <f>L1117+M1117</f>
        <v/>
      </c>
      <c r="O1117" s="31">
        <f>N1117*G1117</f>
        <v/>
      </c>
      <c r="P1117" s="33">
        <f>(N1117-O1117)*(1-(1-H1117)^(1/12))</f>
        <v/>
      </c>
      <c r="Q1117" s="34">
        <f>X1116+Z1116</f>
        <v/>
      </c>
      <c r="R1117" s="29">
        <f>(1-LoadPremRate)*E1117</f>
        <v/>
      </c>
      <c r="S1117" s="34">
        <f>Q1117+R1117</f>
        <v/>
      </c>
      <c r="T1117" s="29">
        <f>MaintFeeRateAnn/12*S1117</f>
        <v/>
      </c>
      <c r="U1117" s="29">
        <f>MAX(SumAssured-S1117,0)</f>
        <v/>
      </c>
      <c r="V1117" s="35">
        <f>CoiMultiple*G1117</f>
        <v/>
      </c>
      <c r="W1117" s="34">
        <f>V1117*U1117</f>
        <v/>
      </c>
      <c r="X1117" s="34">
        <f>S1117-T1117-W1117</f>
        <v/>
      </c>
      <c r="Y1117" s="36">
        <f>EXP((Mu-0.5*Sigma^2)/12+Sigma*SQRT(1/12)*INDEX(NormRand,ScenID,A1117+1))-1</f>
        <v/>
      </c>
      <c r="Z1117" s="34">
        <f>Y1117*X1117</f>
        <v/>
      </c>
      <c r="AA1117" s="34">
        <f>X1117+0.5*Z1117</f>
        <v/>
      </c>
      <c r="AB1117" s="34">
        <f>Q1117*J1117</f>
        <v/>
      </c>
      <c r="AC1117" s="34">
        <f>Q1117*L1117</f>
        <v/>
      </c>
      <c r="AD1117" s="34">
        <f>S1117*N1117</f>
        <v/>
      </c>
      <c r="AE1117" s="34">
        <f>E1117*N1117</f>
        <v/>
      </c>
      <c r="AF1117" s="34">
        <f>R1117*N1117</f>
        <v/>
      </c>
      <c r="AG1117" s="29">
        <f>MAX(SumAssured,AA1117)</f>
        <v/>
      </c>
      <c r="AH1117" s="34">
        <f>AG1117*O1117</f>
        <v/>
      </c>
      <c r="AI1117" s="34">
        <f>AA1117*O1117</f>
        <v/>
      </c>
      <c r="AJ1117" s="34">
        <f>AA1117*P1117</f>
        <v/>
      </c>
      <c r="AK1117" s="34">
        <f>I1117*AA1117*P1117</f>
        <v/>
      </c>
      <c r="AL1117" s="34">
        <f>AJ1117-AK1117</f>
        <v/>
      </c>
      <c r="AM1117" s="34">
        <f>Q1117*K1117</f>
        <v/>
      </c>
      <c r="AN1117" s="34">
        <f>AH1117+AL1117+AM1117</f>
        <v/>
      </c>
      <c r="AO1117" s="34">
        <f>(AG1117-AA1117)*O1117</f>
        <v/>
      </c>
      <c r="AP1117" s="34">
        <f>W1117*N1117</f>
        <v/>
      </c>
      <c r="AQ1117" s="34">
        <f>T1117*N1117</f>
        <v/>
      </c>
      <c r="AR1117" s="34">
        <f>Z1117*J1118+0.5*Z1117*(O1117+P1117)</f>
        <v/>
      </c>
      <c r="AS1117" s="30">
        <f>(1+InflationRate)^(A1117/12)</f>
        <v/>
      </c>
      <c r="AT1117" s="29">
        <f>ExpenseAcq*M1117+N1117*ExpenseMaint/12*AS1117</f>
        <v/>
      </c>
      <c r="AU1117" s="29">
        <f>CommissionRate*AE1117</f>
        <v/>
      </c>
      <c r="AV1117" s="34">
        <f>AB1118-AB1117</f>
        <v/>
      </c>
      <c r="AW1117" s="34">
        <f>AE1117+AR1117-AN1117-AT1117-AU1117-AV1117</f>
        <v/>
      </c>
      <c r="AX1117" s="29">
        <f>LoadPremRate*E1117*N1117+AK1117+AQ1117-AU1117-AT1117</f>
        <v/>
      </c>
      <c r="AY1117" s="34">
        <f>AP1117-AO1117</f>
        <v/>
      </c>
      <c r="AZ1117" s="37">
        <f>(AW1117-AX1117-AY1117)/MAX(1,ABS(AW1117),ABS(AX1117),ABS(AY1117))</f>
        <v/>
      </c>
      <c r="BA1117" s="37">
        <f>IF(OR(K1117&gt;0,K1118&gt;0),0,(AC1118-(AC1117+AF1117-AQ1117-AP1117+AR1117-AI1117-AJ1117-AM1117))/MAX(1,ABS(AC1117),ABS(AC1118)))</f>
        <v/>
      </c>
      <c r="BB1117" s="35">
        <f>(1+INDEX(DiscRateAnn,INT(A1117/12)+1))^(1/12)-1</f>
        <v/>
      </c>
      <c r="BC1117" s="31">
        <f>(1+BB1117)^-A1117</f>
        <v/>
      </c>
      <c r="BD1117" s="34">
        <f>AW1117*BC1117</f>
        <v/>
      </c>
    </row>
    <row r="1118">
      <c r="A1118" s="27">
        <f>A1117+1</f>
        <v/>
      </c>
      <c r="B1118" s="28">
        <f>Duration0+A1118</f>
        <v/>
      </c>
      <c r="C1118" s="27">
        <f>INT(B1118/12)</f>
        <v/>
      </c>
      <c r="D1118" s="28">
        <f>AgeAtEntry+C1118</f>
        <v/>
      </c>
      <c r="E1118" s="29">
        <f>IF(PremiumType="SINGLE",IF(B1118=0,PremiumPPInput,0),IF(B1118&lt;12*PolicyTerm,PremiumPPInput,0))</f>
        <v/>
      </c>
      <c r="F1118" s="30">
        <f>INDEX(MortRates,MATCH(MIN(D1118,120),MortAges,0),MAX(MIN(C1118,5),0)+1)</f>
        <v/>
      </c>
      <c r="G1118" s="31">
        <f>1-(1-F1118)^(1/12)</f>
        <v/>
      </c>
      <c r="H1118" s="32">
        <f>MAX(LapseBase-LapseStep*C1118,LapseFloor)</f>
        <v/>
      </c>
      <c r="I1118" s="32">
        <f>IF(HasSurrCharge,INDEX(SurrRates,MIN(C1118,SurrDurMax)+1,MATCH(SurrChargeID,SurrTypes,0)),0)</f>
        <v/>
      </c>
      <c r="J1118" s="33">
        <f>N1117-P1117-O1117</f>
        <v/>
      </c>
      <c r="K1118" s="30">
        <f>IF(B1118=12*PolicyTerm,J1118,0)</f>
        <v/>
      </c>
      <c r="L1118" s="33">
        <f>J1118-K1118</f>
        <v/>
      </c>
      <c r="M1118" s="30">
        <f>IF(B1118=0,PolicyCount,0)</f>
        <v/>
      </c>
      <c r="N1118" s="33">
        <f>L1118+M1118</f>
        <v/>
      </c>
      <c r="O1118" s="31">
        <f>N1118*G1118</f>
        <v/>
      </c>
      <c r="P1118" s="33">
        <f>(N1118-O1118)*(1-(1-H1118)^(1/12))</f>
        <v/>
      </c>
      <c r="Q1118" s="34">
        <f>X1117+Z1117</f>
        <v/>
      </c>
      <c r="R1118" s="29">
        <f>(1-LoadPremRate)*E1118</f>
        <v/>
      </c>
      <c r="S1118" s="34">
        <f>Q1118+R1118</f>
        <v/>
      </c>
      <c r="T1118" s="29">
        <f>MaintFeeRateAnn/12*S1118</f>
        <v/>
      </c>
      <c r="U1118" s="29">
        <f>MAX(SumAssured-S1118,0)</f>
        <v/>
      </c>
      <c r="V1118" s="35">
        <f>CoiMultiple*G1118</f>
        <v/>
      </c>
      <c r="W1118" s="34">
        <f>V1118*U1118</f>
        <v/>
      </c>
      <c r="X1118" s="34">
        <f>S1118-T1118-W1118</f>
        <v/>
      </c>
      <c r="Y1118" s="36">
        <f>EXP((Mu-0.5*Sigma^2)/12+Sigma*SQRT(1/12)*INDEX(NormRand,ScenID,A1118+1))-1</f>
        <v/>
      </c>
      <c r="Z1118" s="34">
        <f>Y1118*X1118</f>
        <v/>
      </c>
      <c r="AA1118" s="34">
        <f>X1118+0.5*Z1118</f>
        <v/>
      </c>
      <c r="AB1118" s="34">
        <f>Q1118*J1118</f>
        <v/>
      </c>
      <c r="AC1118" s="34">
        <f>Q1118*L1118</f>
        <v/>
      </c>
      <c r="AD1118" s="34">
        <f>S1118*N1118</f>
        <v/>
      </c>
      <c r="AE1118" s="34">
        <f>E1118*N1118</f>
        <v/>
      </c>
      <c r="AF1118" s="34">
        <f>R1118*N1118</f>
        <v/>
      </c>
      <c r="AG1118" s="29">
        <f>MAX(SumAssured,AA1118)</f>
        <v/>
      </c>
      <c r="AH1118" s="34">
        <f>AG1118*O1118</f>
        <v/>
      </c>
      <c r="AI1118" s="34">
        <f>AA1118*O1118</f>
        <v/>
      </c>
      <c r="AJ1118" s="34">
        <f>AA1118*P1118</f>
        <v/>
      </c>
      <c r="AK1118" s="34">
        <f>I1118*AA1118*P1118</f>
        <v/>
      </c>
      <c r="AL1118" s="34">
        <f>AJ1118-AK1118</f>
        <v/>
      </c>
      <c r="AM1118" s="34">
        <f>Q1118*K1118</f>
        <v/>
      </c>
      <c r="AN1118" s="34">
        <f>AH1118+AL1118+AM1118</f>
        <v/>
      </c>
      <c r="AO1118" s="34">
        <f>(AG1118-AA1118)*O1118</f>
        <v/>
      </c>
      <c r="AP1118" s="34">
        <f>W1118*N1118</f>
        <v/>
      </c>
      <c r="AQ1118" s="34">
        <f>T1118*N1118</f>
        <v/>
      </c>
      <c r="AR1118" s="34">
        <f>Z1118*J1119+0.5*Z1118*(O1118+P1118)</f>
        <v/>
      </c>
      <c r="AS1118" s="30">
        <f>(1+InflationRate)^(A1118/12)</f>
        <v/>
      </c>
      <c r="AT1118" s="29">
        <f>ExpenseAcq*M1118+N1118*ExpenseMaint/12*AS1118</f>
        <v/>
      </c>
      <c r="AU1118" s="29">
        <f>CommissionRate*AE1118</f>
        <v/>
      </c>
      <c r="AV1118" s="34">
        <f>AB1119-AB1118</f>
        <v/>
      </c>
      <c r="AW1118" s="34">
        <f>AE1118+AR1118-AN1118-AT1118-AU1118-AV1118</f>
        <v/>
      </c>
      <c r="AX1118" s="29">
        <f>LoadPremRate*E1118*N1118+AK1118+AQ1118-AU1118-AT1118</f>
        <v/>
      </c>
      <c r="AY1118" s="34">
        <f>AP1118-AO1118</f>
        <v/>
      </c>
      <c r="AZ1118" s="37">
        <f>(AW1118-AX1118-AY1118)/MAX(1,ABS(AW1118),ABS(AX1118),ABS(AY1118))</f>
        <v/>
      </c>
      <c r="BA1118" s="37">
        <f>IF(OR(K1118&gt;0,K1119&gt;0),0,(AC1119-(AC1118+AF1118-AQ1118-AP1118+AR1118-AI1118-AJ1118-AM1118))/MAX(1,ABS(AC1118),ABS(AC1119)))</f>
        <v/>
      </c>
      <c r="BB1118" s="35">
        <f>(1+INDEX(DiscRateAnn,INT(A1118/12)+1))^(1/12)-1</f>
        <v/>
      </c>
      <c r="BC1118" s="31">
        <f>(1+BB1118)^-A1118</f>
        <v/>
      </c>
      <c r="BD1118" s="34">
        <f>AW1118*BC1118</f>
        <v/>
      </c>
    </row>
    <row r="1119">
      <c r="A1119" s="27">
        <f>A1118+1</f>
        <v/>
      </c>
      <c r="B1119" s="28">
        <f>Duration0+A1119</f>
        <v/>
      </c>
      <c r="C1119" s="27">
        <f>INT(B1119/12)</f>
        <v/>
      </c>
      <c r="D1119" s="28">
        <f>AgeAtEntry+C1119</f>
        <v/>
      </c>
      <c r="E1119" s="29">
        <f>IF(PremiumType="SINGLE",IF(B1119=0,PremiumPPInput,0),IF(B1119&lt;12*PolicyTerm,PremiumPPInput,0))</f>
        <v/>
      </c>
      <c r="F1119" s="30">
        <f>INDEX(MortRates,MATCH(MIN(D1119,120),MortAges,0),MAX(MIN(C1119,5),0)+1)</f>
        <v/>
      </c>
      <c r="G1119" s="31">
        <f>1-(1-F1119)^(1/12)</f>
        <v/>
      </c>
      <c r="H1119" s="32">
        <f>MAX(LapseBase-LapseStep*C1119,LapseFloor)</f>
        <v/>
      </c>
      <c r="I1119" s="32">
        <f>IF(HasSurrCharge,INDEX(SurrRates,MIN(C1119,SurrDurMax)+1,MATCH(SurrChargeID,SurrTypes,0)),0)</f>
        <v/>
      </c>
      <c r="J1119" s="33">
        <f>N1118-P1118-O1118</f>
        <v/>
      </c>
      <c r="K1119" s="30">
        <f>IF(B1119=12*PolicyTerm,J1119,0)</f>
        <v/>
      </c>
      <c r="L1119" s="33">
        <f>J1119-K1119</f>
        <v/>
      </c>
      <c r="M1119" s="30">
        <f>IF(B1119=0,PolicyCount,0)</f>
        <v/>
      </c>
      <c r="N1119" s="33">
        <f>L1119+M1119</f>
        <v/>
      </c>
      <c r="O1119" s="31">
        <f>N1119*G1119</f>
        <v/>
      </c>
      <c r="P1119" s="33">
        <f>(N1119-O1119)*(1-(1-H1119)^(1/12))</f>
        <v/>
      </c>
      <c r="Q1119" s="34">
        <f>X1118+Z1118</f>
        <v/>
      </c>
      <c r="R1119" s="29">
        <f>(1-LoadPremRate)*E1119</f>
        <v/>
      </c>
      <c r="S1119" s="34">
        <f>Q1119+R1119</f>
        <v/>
      </c>
      <c r="T1119" s="29">
        <f>MaintFeeRateAnn/12*S1119</f>
        <v/>
      </c>
      <c r="U1119" s="29">
        <f>MAX(SumAssured-S1119,0)</f>
        <v/>
      </c>
      <c r="V1119" s="35">
        <f>CoiMultiple*G1119</f>
        <v/>
      </c>
      <c r="W1119" s="34">
        <f>V1119*U1119</f>
        <v/>
      </c>
      <c r="X1119" s="34">
        <f>S1119-T1119-W1119</f>
        <v/>
      </c>
      <c r="Y1119" s="36">
        <f>EXP((Mu-0.5*Sigma^2)/12+Sigma*SQRT(1/12)*INDEX(NormRand,ScenID,A1119+1))-1</f>
        <v/>
      </c>
      <c r="Z1119" s="34">
        <f>Y1119*X1119</f>
        <v/>
      </c>
      <c r="AA1119" s="34">
        <f>X1119+0.5*Z1119</f>
        <v/>
      </c>
      <c r="AB1119" s="34">
        <f>Q1119*J1119</f>
        <v/>
      </c>
      <c r="AC1119" s="34">
        <f>Q1119*L1119</f>
        <v/>
      </c>
      <c r="AD1119" s="34">
        <f>S1119*N1119</f>
        <v/>
      </c>
      <c r="AE1119" s="34">
        <f>E1119*N1119</f>
        <v/>
      </c>
      <c r="AF1119" s="34">
        <f>R1119*N1119</f>
        <v/>
      </c>
      <c r="AG1119" s="29">
        <f>MAX(SumAssured,AA1119)</f>
        <v/>
      </c>
      <c r="AH1119" s="34">
        <f>AG1119*O1119</f>
        <v/>
      </c>
      <c r="AI1119" s="34">
        <f>AA1119*O1119</f>
        <v/>
      </c>
      <c r="AJ1119" s="34">
        <f>AA1119*P1119</f>
        <v/>
      </c>
      <c r="AK1119" s="34">
        <f>I1119*AA1119*P1119</f>
        <v/>
      </c>
      <c r="AL1119" s="34">
        <f>AJ1119-AK1119</f>
        <v/>
      </c>
      <c r="AM1119" s="34">
        <f>Q1119*K1119</f>
        <v/>
      </c>
      <c r="AN1119" s="34">
        <f>AH1119+AL1119+AM1119</f>
        <v/>
      </c>
      <c r="AO1119" s="34">
        <f>(AG1119-AA1119)*O1119</f>
        <v/>
      </c>
      <c r="AP1119" s="34">
        <f>W1119*N1119</f>
        <v/>
      </c>
      <c r="AQ1119" s="34">
        <f>T1119*N1119</f>
        <v/>
      </c>
      <c r="AR1119" s="34">
        <f>Z1119*J1120+0.5*Z1119*(O1119+P1119)</f>
        <v/>
      </c>
      <c r="AS1119" s="30">
        <f>(1+InflationRate)^(A1119/12)</f>
        <v/>
      </c>
      <c r="AT1119" s="29">
        <f>ExpenseAcq*M1119+N1119*ExpenseMaint/12*AS1119</f>
        <v/>
      </c>
      <c r="AU1119" s="29">
        <f>CommissionRate*AE1119</f>
        <v/>
      </c>
      <c r="AV1119" s="34">
        <f>AB1120-AB1119</f>
        <v/>
      </c>
      <c r="AW1119" s="34">
        <f>AE1119+AR1119-AN1119-AT1119-AU1119-AV1119</f>
        <v/>
      </c>
      <c r="AX1119" s="29">
        <f>LoadPremRate*E1119*N1119+AK1119+AQ1119-AU1119-AT1119</f>
        <v/>
      </c>
      <c r="AY1119" s="34">
        <f>AP1119-AO1119</f>
        <v/>
      </c>
      <c r="AZ1119" s="37">
        <f>(AW1119-AX1119-AY1119)/MAX(1,ABS(AW1119),ABS(AX1119),ABS(AY1119))</f>
        <v/>
      </c>
      <c r="BA1119" s="37">
        <f>IF(OR(K1119&gt;0,K1120&gt;0),0,(AC1120-(AC1119+AF1119-AQ1119-AP1119+AR1119-AI1119-AJ1119-AM1119))/MAX(1,ABS(AC1119),ABS(AC1120)))</f>
        <v/>
      </c>
      <c r="BB1119" s="35">
        <f>(1+INDEX(DiscRateAnn,INT(A1119/12)+1))^(1/12)-1</f>
        <v/>
      </c>
      <c r="BC1119" s="31">
        <f>(1+BB1119)^-A1119</f>
        <v/>
      </c>
      <c r="BD1119" s="34">
        <f>AW1119*BC1119</f>
        <v/>
      </c>
    </row>
    <row r="1120">
      <c r="A1120" s="27">
        <f>A1119+1</f>
        <v/>
      </c>
      <c r="B1120" s="28">
        <f>Duration0+A1120</f>
        <v/>
      </c>
      <c r="C1120" s="27">
        <f>INT(B1120/12)</f>
        <v/>
      </c>
      <c r="D1120" s="28">
        <f>AgeAtEntry+C1120</f>
        <v/>
      </c>
      <c r="E1120" s="29">
        <f>IF(PremiumType="SINGLE",IF(B1120=0,PremiumPPInput,0),IF(B1120&lt;12*PolicyTerm,PremiumPPInput,0))</f>
        <v/>
      </c>
      <c r="F1120" s="30">
        <f>INDEX(MortRates,MATCH(MIN(D1120,120),MortAges,0),MAX(MIN(C1120,5),0)+1)</f>
        <v/>
      </c>
      <c r="G1120" s="31">
        <f>1-(1-F1120)^(1/12)</f>
        <v/>
      </c>
      <c r="H1120" s="32">
        <f>MAX(LapseBase-LapseStep*C1120,LapseFloor)</f>
        <v/>
      </c>
      <c r="I1120" s="32">
        <f>IF(HasSurrCharge,INDEX(SurrRates,MIN(C1120,SurrDurMax)+1,MATCH(SurrChargeID,SurrTypes,0)),0)</f>
        <v/>
      </c>
      <c r="J1120" s="33">
        <f>N1119-P1119-O1119</f>
        <v/>
      </c>
      <c r="K1120" s="30">
        <f>IF(B1120=12*PolicyTerm,J1120,0)</f>
        <v/>
      </c>
      <c r="L1120" s="33">
        <f>J1120-K1120</f>
        <v/>
      </c>
      <c r="M1120" s="30">
        <f>IF(B1120=0,PolicyCount,0)</f>
        <v/>
      </c>
      <c r="N1120" s="33">
        <f>L1120+M1120</f>
        <v/>
      </c>
      <c r="O1120" s="31">
        <f>N1120*G1120</f>
        <v/>
      </c>
      <c r="P1120" s="33">
        <f>(N1120-O1120)*(1-(1-H1120)^(1/12))</f>
        <v/>
      </c>
      <c r="Q1120" s="34">
        <f>X1119+Z1119</f>
        <v/>
      </c>
      <c r="R1120" s="29">
        <f>(1-LoadPremRate)*E1120</f>
        <v/>
      </c>
      <c r="S1120" s="34">
        <f>Q1120+R1120</f>
        <v/>
      </c>
      <c r="T1120" s="29">
        <f>MaintFeeRateAnn/12*S1120</f>
        <v/>
      </c>
      <c r="U1120" s="29">
        <f>MAX(SumAssured-S1120,0)</f>
        <v/>
      </c>
      <c r="V1120" s="35">
        <f>CoiMultiple*G1120</f>
        <v/>
      </c>
      <c r="W1120" s="34">
        <f>V1120*U1120</f>
        <v/>
      </c>
      <c r="X1120" s="34">
        <f>S1120-T1120-W1120</f>
        <v/>
      </c>
      <c r="Y1120" s="36">
        <f>EXP((Mu-0.5*Sigma^2)/12+Sigma*SQRT(1/12)*INDEX(NormRand,ScenID,A1120+1))-1</f>
        <v/>
      </c>
      <c r="Z1120" s="34">
        <f>Y1120*X1120</f>
        <v/>
      </c>
      <c r="AA1120" s="34">
        <f>X1120+0.5*Z1120</f>
        <v/>
      </c>
      <c r="AB1120" s="34">
        <f>Q1120*J1120</f>
        <v/>
      </c>
      <c r="AC1120" s="34">
        <f>Q1120*L1120</f>
        <v/>
      </c>
      <c r="AD1120" s="34">
        <f>S1120*N1120</f>
        <v/>
      </c>
      <c r="AE1120" s="34">
        <f>E1120*N1120</f>
        <v/>
      </c>
      <c r="AF1120" s="34">
        <f>R1120*N1120</f>
        <v/>
      </c>
      <c r="AG1120" s="29">
        <f>MAX(SumAssured,AA1120)</f>
        <v/>
      </c>
      <c r="AH1120" s="34">
        <f>AG1120*O1120</f>
        <v/>
      </c>
      <c r="AI1120" s="34">
        <f>AA1120*O1120</f>
        <v/>
      </c>
      <c r="AJ1120" s="34">
        <f>AA1120*P1120</f>
        <v/>
      </c>
      <c r="AK1120" s="34">
        <f>I1120*AA1120*P1120</f>
        <v/>
      </c>
      <c r="AL1120" s="34">
        <f>AJ1120-AK1120</f>
        <v/>
      </c>
      <c r="AM1120" s="34">
        <f>Q1120*K1120</f>
        <v/>
      </c>
      <c r="AN1120" s="34">
        <f>AH1120+AL1120+AM1120</f>
        <v/>
      </c>
      <c r="AO1120" s="34">
        <f>(AG1120-AA1120)*O1120</f>
        <v/>
      </c>
      <c r="AP1120" s="34">
        <f>W1120*N1120</f>
        <v/>
      </c>
      <c r="AQ1120" s="34">
        <f>T1120*N1120</f>
        <v/>
      </c>
      <c r="AR1120" s="34">
        <f>Z1120*J1121+0.5*Z1120*(O1120+P1120)</f>
        <v/>
      </c>
      <c r="AS1120" s="30">
        <f>(1+InflationRate)^(A1120/12)</f>
        <v/>
      </c>
      <c r="AT1120" s="29">
        <f>ExpenseAcq*M1120+N1120*ExpenseMaint/12*AS1120</f>
        <v/>
      </c>
      <c r="AU1120" s="29">
        <f>CommissionRate*AE1120</f>
        <v/>
      </c>
      <c r="AV1120" s="34">
        <f>AB1121-AB1120</f>
        <v/>
      </c>
      <c r="AW1120" s="34">
        <f>AE1120+AR1120-AN1120-AT1120-AU1120-AV1120</f>
        <v/>
      </c>
      <c r="AX1120" s="29">
        <f>LoadPremRate*E1120*N1120+AK1120+AQ1120-AU1120-AT1120</f>
        <v/>
      </c>
      <c r="AY1120" s="34">
        <f>AP1120-AO1120</f>
        <v/>
      </c>
      <c r="AZ1120" s="37">
        <f>(AW1120-AX1120-AY1120)/MAX(1,ABS(AW1120),ABS(AX1120),ABS(AY1120))</f>
        <v/>
      </c>
      <c r="BA1120" s="37">
        <f>IF(OR(K1120&gt;0,K1121&gt;0),0,(AC1121-(AC1120+AF1120-AQ1120-AP1120+AR1120-AI1120-AJ1120-AM1120))/MAX(1,ABS(AC1120),ABS(AC1121)))</f>
        <v/>
      </c>
      <c r="BB1120" s="35">
        <f>(1+INDEX(DiscRateAnn,INT(A1120/12)+1))^(1/12)-1</f>
        <v/>
      </c>
      <c r="BC1120" s="31">
        <f>(1+BB1120)^-A1120</f>
        <v/>
      </c>
      <c r="BD1120" s="34">
        <f>AW1120*BC1120</f>
        <v/>
      </c>
    </row>
    <row r="1121">
      <c r="A1121" s="27">
        <f>A1120+1</f>
        <v/>
      </c>
      <c r="B1121" s="28">
        <f>Duration0+A1121</f>
        <v/>
      </c>
      <c r="C1121" s="27">
        <f>INT(B1121/12)</f>
        <v/>
      </c>
      <c r="D1121" s="28">
        <f>AgeAtEntry+C1121</f>
        <v/>
      </c>
      <c r="E1121" s="29">
        <f>IF(PremiumType="SINGLE",IF(B1121=0,PremiumPPInput,0),IF(B1121&lt;12*PolicyTerm,PremiumPPInput,0))</f>
        <v/>
      </c>
      <c r="F1121" s="30">
        <f>INDEX(MortRates,MATCH(MIN(D1121,120),MortAges,0),MAX(MIN(C1121,5),0)+1)</f>
        <v/>
      </c>
      <c r="G1121" s="31">
        <f>1-(1-F1121)^(1/12)</f>
        <v/>
      </c>
      <c r="H1121" s="32">
        <f>MAX(LapseBase-LapseStep*C1121,LapseFloor)</f>
        <v/>
      </c>
      <c r="I1121" s="32">
        <f>IF(HasSurrCharge,INDEX(SurrRates,MIN(C1121,SurrDurMax)+1,MATCH(SurrChargeID,SurrTypes,0)),0)</f>
        <v/>
      </c>
      <c r="J1121" s="33">
        <f>N1120-P1120-O1120</f>
        <v/>
      </c>
      <c r="K1121" s="30">
        <f>IF(B1121=12*PolicyTerm,J1121,0)</f>
        <v/>
      </c>
      <c r="L1121" s="33">
        <f>J1121-K1121</f>
        <v/>
      </c>
      <c r="M1121" s="30">
        <f>IF(B1121=0,PolicyCount,0)</f>
        <v/>
      </c>
      <c r="N1121" s="33">
        <f>L1121+M1121</f>
        <v/>
      </c>
      <c r="O1121" s="31">
        <f>N1121*G1121</f>
        <v/>
      </c>
      <c r="P1121" s="33">
        <f>(N1121-O1121)*(1-(1-H1121)^(1/12))</f>
        <v/>
      </c>
      <c r="Q1121" s="34">
        <f>X1120+Z1120</f>
        <v/>
      </c>
      <c r="R1121" s="29">
        <f>(1-LoadPremRate)*E1121</f>
        <v/>
      </c>
      <c r="S1121" s="34">
        <f>Q1121+R1121</f>
        <v/>
      </c>
      <c r="T1121" s="29">
        <f>MaintFeeRateAnn/12*S1121</f>
        <v/>
      </c>
      <c r="U1121" s="29">
        <f>MAX(SumAssured-S1121,0)</f>
        <v/>
      </c>
      <c r="V1121" s="35">
        <f>CoiMultiple*G1121</f>
        <v/>
      </c>
      <c r="W1121" s="34">
        <f>V1121*U1121</f>
        <v/>
      </c>
      <c r="X1121" s="34">
        <f>S1121-T1121-W1121</f>
        <v/>
      </c>
      <c r="Y1121" s="36">
        <f>EXP((Mu-0.5*Sigma^2)/12+Sigma*SQRT(1/12)*INDEX(NormRand,ScenID,A1121+1))-1</f>
        <v/>
      </c>
      <c r="Z1121" s="34">
        <f>Y1121*X1121</f>
        <v/>
      </c>
      <c r="AA1121" s="34">
        <f>X1121+0.5*Z1121</f>
        <v/>
      </c>
      <c r="AB1121" s="34">
        <f>Q1121*J1121</f>
        <v/>
      </c>
      <c r="AC1121" s="34">
        <f>Q1121*L1121</f>
        <v/>
      </c>
      <c r="AD1121" s="34">
        <f>S1121*N1121</f>
        <v/>
      </c>
      <c r="AE1121" s="34">
        <f>E1121*N1121</f>
        <v/>
      </c>
      <c r="AF1121" s="34">
        <f>R1121*N1121</f>
        <v/>
      </c>
      <c r="AG1121" s="29">
        <f>MAX(SumAssured,AA1121)</f>
        <v/>
      </c>
      <c r="AH1121" s="34">
        <f>AG1121*O1121</f>
        <v/>
      </c>
      <c r="AI1121" s="34">
        <f>AA1121*O1121</f>
        <v/>
      </c>
      <c r="AJ1121" s="34">
        <f>AA1121*P1121</f>
        <v/>
      </c>
      <c r="AK1121" s="34">
        <f>I1121*AA1121*P1121</f>
        <v/>
      </c>
      <c r="AL1121" s="34">
        <f>AJ1121-AK1121</f>
        <v/>
      </c>
      <c r="AM1121" s="34">
        <f>Q1121*K1121</f>
        <v/>
      </c>
      <c r="AN1121" s="34">
        <f>AH1121+AL1121+AM1121</f>
        <v/>
      </c>
      <c r="AO1121" s="34">
        <f>(AG1121-AA1121)*O1121</f>
        <v/>
      </c>
      <c r="AP1121" s="34">
        <f>W1121*N1121</f>
        <v/>
      </c>
      <c r="AQ1121" s="34">
        <f>T1121*N1121</f>
        <v/>
      </c>
      <c r="AR1121" s="34">
        <f>Z1121*J1122+0.5*Z1121*(O1121+P1121)</f>
        <v/>
      </c>
      <c r="AS1121" s="30">
        <f>(1+InflationRate)^(A1121/12)</f>
        <v/>
      </c>
      <c r="AT1121" s="29">
        <f>ExpenseAcq*M1121+N1121*ExpenseMaint/12*AS1121</f>
        <v/>
      </c>
      <c r="AU1121" s="29">
        <f>CommissionRate*AE1121</f>
        <v/>
      </c>
      <c r="AV1121" s="34">
        <f>AB1122-AB1121</f>
        <v/>
      </c>
      <c r="AW1121" s="34">
        <f>AE1121+AR1121-AN1121-AT1121-AU1121-AV1121</f>
        <v/>
      </c>
      <c r="AX1121" s="29">
        <f>LoadPremRate*E1121*N1121+AK1121+AQ1121-AU1121-AT1121</f>
        <v/>
      </c>
      <c r="AY1121" s="34">
        <f>AP1121-AO1121</f>
        <v/>
      </c>
      <c r="AZ1121" s="37">
        <f>(AW1121-AX1121-AY1121)/MAX(1,ABS(AW1121),ABS(AX1121),ABS(AY1121))</f>
        <v/>
      </c>
      <c r="BA1121" s="37">
        <f>IF(OR(K1121&gt;0,K1122&gt;0),0,(AC1122-(AC1121+AF1121-AQ1121-AP1121+AR1121-AI1121-AJ1121-AM1121))/MAX(1,ABS(AC1121),ABS(AC1122)))</f>
        <v/>
      </c>
      <c r="BB1121" s="35">
        <f>(1+INDEX(DiscRateAnn,INT(A1121/12)+1))^(1/12)-1</f>
        <v/>
      </c>
      <c r="BC1121" s="31">
        <f>(1+BB1121)^-A1121</f>
        <v/>
      </c>
      <c r="BD1121" s="34">
        <f>AW1121*BC1121</f>
        <v/>
      </c>
    </row>
    <row r="1122">
      <c r="A1122" s="27">
        <f>A1121+1</f>
        <v/>
      </c>
      <c r="B1122" s="28">
        <f>Duration0+A1122</f>
        <v/>
      </c>
      <c r="C1122" s="27">
        <f>INT(B1122/12)</f>
        <v/>
      </c>
      <c r="D1122" s="28">
        <f>AgeAtEntry+C1122</f>
        <v/>
      </c>
      <c r="E1122" s="29">
        <f>IF(PremiumType="SINGLE",IF(B1122=0,PremiumPPInput,0),IF(B1122&lt;12*PolicyTerm,PremiumPPInput,0))</f>
        <v/>
      </c>
      <c r="F1122" s="30">
        <f>INDEX(MortRates,MATCH(MIN(D1122,120),MortAges,0),MAX(MIN(C1122,5),0)+1)</f>
        <v/>
      </c>
      <c r="G1122" s="31">
        <f>1-(1-F1122)^(1/12)</f>
        <v/>
      </c>
      <c r="H1122" s="32">
        <f>MAX(LapseBase-LapseStep*C1122,LapseFloor)</f>
        <v/>
      </c>
      <c r="I1122" s="32">
        <f>IF(HasSurrCharge,INDEX(SurrRates,MIN(C1122,SurrDurMax)+1,MATCH(SurrChargeID,SurrTypes,0)),0)</f>
        <v/>
      </c>
      <c r="J1122" s="33">
        <f>N1121-P1121-O1121</f>
        <v/>
      </c>
      <c r="K1122" s="30">
        <f>IF(B1122=12*PolicyTerm,J1122,0)</f>
        <v/>
      </c>
      <c r="L1122" s="33">
        <f>J1122-K1122</f>
        <v/>
      </c>
      <c r="M1122" s="30">
        <f>IF(B1122=0,PolicyCount,0)</f>
        <v/>
      </c>
      <c r="N1122" s="33">
        <f>L1122+M1122</f>
        <v/>
      </c>
      <c r="O1122" s="31">
        <f>N1122*G1122</f>
        <v/>
      </c>
      <c r="P1122" s="33">
        <f>(N1122-O1122)*(1-(1-H1122)^(1/12))</f>
        <v/>
      </c>
      <c r="Q1122" s="34">
        <f>X1121+Z1121</f>
        <v/>
      </c>
      <c r="R1122" s="29">
        <f>(1-LoadPremRate)*E1122</f>
        <v/>
      </c>
      <c r="S1122" s="34">
        <f>Q1122+R1122</f>
        <v/>
      </c>
      <c r="T1122" s="29">
        <f>MaintFeeRateAnn/12*S1122</f>
        <v/>
      </c>
      <c r="U1122" s="29">
        <f>MAX(SumAssured-S1122,0)</f>
        <v/>
      </c>
      <c r="V1122" s="35">
        <f>CoiMultiple*G1122</f>
        <v/>
      </c>
      <c r="W1122" s="34">
        <f>V1122*U1122</f>
        <v/>
      </c>
      <c r="X1122" s="34">
        <f>S1122-T1122-W1122</f>
        <v/>
      </c>
      <c r="Y1122" s="36">
        <f>EXP((Mu-0.5*Sigma^2)/12+Sigma*SQRT(1/12)*INDEX(NormRand,ScenID,A1122+1))-1</f>
        <v/>
      </c>
      <c r="Z1122" s="34">
        <f>Y1122*X1122</f>
        <v/>
      </c>
      <c r="AA1122" s="34">
        <f>X1122+0.5*Z1122</f>
        <v/>
      </c>
      <c r="AB1122" s="34">
        <f>Q1122*J1122</f>
        <v/>
      </c>
      <c r="AC1122" s="34">
        <f>Q1122*L1122</f>
        <v/>
      </c>
      <c r="AD1122" s="34">
        <f>S1122*N1122</f>
        <v/>
      </c>
      <c r="AE1122" s="34">
        <f>E1122*N1122</f>
        <v/>
      </c>
      <c r="AF1122" s="34">
        <f>R1122*N1122</f>
        <v/>
      </c>
      <c r="AG1122" s="29">
        <f>MAX(SumAssured,AA1122)</f>
        <v/>
      </c>
      <c r="AH1122" s="34">
        <f>AG1122*O1122</f>
        <v/>
      </c>
      <c r="AI1122" s="34">
        <f>AA1122*O1122</f>
        <v/>
      </c>
      <c r="AJ1122" s="34">
        <f>AA1122*P1122</f>
        <v/>
      </c>
      <c r="AK1122" s="34">
        <f>I1122*AA1122*P1122</f>
        <v/>
      </c>
      <c r="AL1122" s="34">
        <f>AJ1122-AK1122</f>
        <v/>
      </c>
      <c r="AM1122" s="34">
        <f>Q1122*K1122</f>
        <v/>
      </c>
      <c r="AN1122" s="34">
        <f>AH1122+AL1122+AM1122</f>
        <v/>
      </c>
      <c r="AO1122" s="34">
        <f>(AG1122-AA1122)*O1122</f>
        <v/>
      </c>
      <c r="AP1122" s="34">
        <f>W1122*N1122</f>
        <v/>
      </c>
      <c r="AQ1122" s="34">
        <f>T1122*N1122</f>
        <v/>
      </c>
      <c r="AR1122" s="34">
        <f>Z1122*J1123+0.5*Z1122*(O1122+P1122)</f>
        <v/>
      </c>
      <c r="AS1122" s="30">
        <f>(1+InflationRate)^(A1122/12)</f>
        <v/>
      </c>
      <c r="AT1122" s="29">
        <f>ExpenseAcq*M1122+N1122*ExpenseMaint/12*AS1122</f>
        <v/>
      </c>
      <c r="AU1122" s="29">
        <f>CommissionRate*AE1122</f>
        <v/>
      </c>
      <c r="AV1122" s="34">
        <f>AB1123-AB1122</f>
        <v/>
      </c>
      <c r="AW1122" s="34">
        <f>AE1122+AR1122-AN1122-AT1122-AU1122-AV1122</f>
        <v/>
      </c>
      <c r="AX1122" s="29">
        <f>LoadPremRate*E1122*N1122+AK1122+AQ1122-AU1122-AT1122</f>
        <v/>
      </c>
      <c r="AY1122" s="34">
        <f>AP1122-AO1122</f>
        <v/>
      </c>
      <c r="AZ1122" s="37">
        <f>(AW1122-AX1122-AY1122)/MAX(1,ABS(AW1122),ABS(AX1122),ABS(AY1122))</f>
        <v/>
      </c>
      <c r="BA1122" s="37">
        <f>IF(OR(K1122&gt;0,K1123&gt;0),0,(AC1123-(AC1122+AF1122-AQ1122-AP1122+AR1122-AI1122-AJ1122-AM1122))/MAX(1,ABS(AC1122),ABS(AC1123)))</f>
        <v/>
      </c>
      <c r="BB1122" s="35">
        <f>(1+INDEX(DiscRateAnn,INT(A1122/12)+1))^(1/12)-1</f>
        <v/>
      </c>
      <c r="BC1122" s="31">
        <f>(1+BB1122)^-A1122</f>
        <v/>
      </c>
      <c r="BD1122" s="34">
        <f>AW1122*BC1122</f>
        <v/>
      </c>
    </row>
    <row r="1123">
      <c r="A1123" s="27">
        <f>A1122+1</f>
        <v/>
      </c>
      <c r="B1123" s="28">
        <f>Duration0+A1123</f>
        <v/>
      </c>
      <c r="C1123" s="27">
        <f>INT(B1123/12)</f>
        <v/>
      </c>
      <c r="D1123" s="28">
        <f>AgeAtEntry+C1123</f>
        <v/>
      </c>
      <c r="E1123" s="29">
        <f>IF(PremiumType="SINGLE",IF(B1123=0,PremiumPPInput,0),IF(B1123&lt;12*PolicyTerm,PremiumPPInput,0))</f>
        <v/>
      </c>
      <c r="F1123" s="30">
        <f>INDEX(MortRates,MATCH(MIN(D1123,120),MortAges,0),MAX(MIN(C1123,5),0)+1)</f>
        <v/>
      </c>
      <c r="G1123" s="31">
        <f>1-(1-F1123)^(1/12)</f>
        <v/>
      </c>
      <c r="H1123" s="32">
        <f>MAX(LapseBase-LapseStep*C1123,LapseFloor)</f>
        <v/>
      </c>
      <c r="I1123" s="32">
        <f>IF(HasSurrCharge,INDEX(SurrRates,MIN(C1123,SurrDurMax)+1,MATCH(SurrChargeID,SurrTypes,0)),0)</f>
        <v/>
      </c>
      <c r="J1123" s="33">
        <f>N1122-P1122-O1122</f>
        <v/>
      </c>
      <c r="K1123" s="30">
        <f>IF(B1123=12*PolicyTerm,J1123,0)</f>
        <v/>
      </c>
      <c r="L1123" s="33">
        <f>J1123-K1123</f>
        <v/>
      </c>
      <c r="M1123" s="30">
        <f>IF(B1123=0,PolicyCount,0)</f>
        <v/>
      </c>
      <c r="N1123" s="33">
        <f>L1123+M1123</f>
        <v/>
      </c>
      <c r="O1123" s="31">
        <f>N1123*G1123</f>
        <v/>
      </c>
      <c r="P1123" s="33">
        <f>(N1123-O1123)*(1-(1-H1123)^(1/12))</f>
        <v/>
      </c>
      <c r="Q1123" s="34">
        <f>X1122+Z1122</f>
        <v/>
      </c>
      <c r="R1123" s="29">
        <f>(1-LoadPremRate)*E1123</f>
        <v/>
      </c>
      <c r="S1123" s="34">
        <f>Q1123+R1123</f>
        <v/>
      </c>
      <c r="T1123" s="29">
        <f>MaintFeeRateAnn/12*S1123</f>
        <v/>
      </c>
      <c r="U1123" s="29">
        <f>MAX(SumAssured-S1123,0)</f>
        <v/>
      </c>
      <c r="V1123" s="35">
        <f>CoiMultiple*G1123</f>
        <v/>
      </c>
      <c r="W1123" s="34">
        <f>V1123*U1123</f>
        <v/>
      </c>
      <c r="X1123" s="34">
        <f>S1123-T1123-W1123</f>
        <v/>
      </c>
      <c r="Y1123" s="36">
        <f>EXP((Mu-0.5*Sigma^2)/12+Sigma*SQRT(1/12)*INDEX(NormRand,ScenID,A1123+1))-1</f>
        <v/>
      </c>
      <c r="Z1123" s="34">
        <f>Y1123*X1123</f>
        <v/>
      </c>
      <c r="AA1123" s="34">
        <f>X1123+0.5*Z1123</f>
        <v/>
      </c>
      <c r="AB1123" s="34">
        <f>Q1123*J1123</f>
        <v/>
      </c>
      <c r="AC1123" s="34">
        <f>Q1123*L1123</f>
        <v/>
      </c>
      <c r="AD1123" s="34">
        <f>S1123*N1123</f>
        <v/>
      </c>
      <c r="AE1123" s="34">
        <f>E1123*N1123</f>
        <v/>
      </c>
      <c r="AF1123" s="34">
        <f>R1123*N1123</f>
        <v/>
      </c>
      <c r="AG1123" s="29">
        <f>MAX(SumAssured,AA1123)</f>
        <v/>
      </c>
      <c r="AH1123" s="34">
        <f>AG1123*O1123</f>
        <v/>
      </c>
      <c r="AI1123" s="34">
        <f>AA1123*O1123</f>
        <v/>
      </c>
      <c r="AJ1123" s="34">
        <f>AA1123*P1123</f>
        <v/>
      </c>
      <c r="AK1123" s="34">
        <f>I1123*AA1123*P1123</f>
        <v/>
      </c>
      <c r="AL1123" s="34">
        <f>AJ1123-AK1123</f>
        <v/>
      </c>
      <c r="AM1123" s="34">
        <f>Q1123*K1123</f>
        <v/>
      </c>
      <c r="AN1123" s="34">
        <f>AH1123+AL1123+AM1123</f>
        <v/>
      </c>
      <c r="AO1123" s="34">
        <f>(AG1123-AA1123)*O1123</f>
        <v/>
      </c>
      <c r="AP1123" s="34">
        <f>W1123*N1123</f>
        <v/>
      </c>
      <c r="AQ1123" s="34">
        <f>T1123*N1123</f>
        <v/>
      </c>
      <c r="AR1123" s="34">
        <f>Z1123*J1124+0.5*Z1123*(O1123+P1123)</f>
        <v/>
      </c>
      <c r="AS1123" s="30">
        <f>(1+InflationRate)^(A1123/12)</f>
        <v/>
      </c>
      <c r="AT1123" s="29">
        <f>ExpenseAcq*M1123+N1123*ExpenseMaint/12*AS1123</f>
        <v/>
      </c>
      <c r="AU1123" s="29">
        <f>CommissionRate*AE1123</f>
        <v/>
      </c>
      <c r="AV1123" s="34">
        <f>AB1124-AB1123</f>
        <v/>
      </c>
      <c r="AW1123" s="34">
        <f>AE1123+AR1123-AN1123-AT1123-AU1123-AV1123</f>
        <v/>
      </c>
      <c r="AX1123" s="29">
        <f>LoadPremRate*E1123*N1123+AK1123+AQ1123-AU1123-AT1123</f>
        <v/>
      </c>
      <c r="AY1123" s="34">
        <f>AP1123-AO1123</f>
        <v/>
      </c>
      <c r="AZ1123" s="37">
        <f>(AW1123-AX1123-AY1123)/MAX(1,ABS(AW1123),ABS(AX1123),ABS(AY1123))</f>
        <v/>
      </c>
      <c r="BA1123" s="37">
        <f>IF(OR(K1123&gt;0,K1124&gt;0),0,(AC1124-(AC1123+AF1123-AQ1123-AP1123+AR1123-AI1123-AJ1123-AM1123))/MAX(1,ABS(AC1123),ABS(AC1124)))</f>
        <v/>
      </c>
      <c r="BB1123" s="35">
        <f>(1+INDEX(DiscRateAnn,INT(A1123/12)+1))^(1/12)-1</f>
        <v/>
      </c>
      <c r="BC1123" s="31">
        <f>(1+BB1123)^-A1123</f>
        <v/>
      </c>
      <c r="BD1123" s="34">
        <f>AW1123*BC1123</f>
        <v/>
      </c>
    </row>
    <row r="1124">
      <c r="A1124" s="27">
        <f>A1123+1</f>
        <v/>
      </c>
      <c r="B1124" s="28">
        <f>Duration0+A1124</f>
        <v/>
      </c>
      <c r="C1124" s="27">
        <f>INT(B1124/12)</f>
        <v/>
      </c>
      <c r="D1124" s="28">
        <f>AgeAtEntry+C1124</f>
        <v/>
      </c>
      <c r="E1124" s="29">
        <f>IF(PremiumType="SINGLE",IF(B1124=0,PremiumPPInput,0),IF(B1124&lt;12*PolicyTerm,PremiumPPInput,0))</f>
        <v/>
      </c>
      <c r="F1124" s="30">
        <f>INDEX(MortRates,MATCH(MIN(D1124,120),MortAges,0),MAX(MIN(C1124,5),0)+1)</f>
        <v/>
      </c>
      <c r="G1124" s="31">
        <f>1-(1-F1124)^(1/12)</f>
        <v/>
      </c>
      <c r="H1124" s="32">
        <f>MAX(LapseBase-LapseStep*C1124,LapseFloor)</f>
        <v/>
      </c>
      <c r="I1124" s="32">
        <f>IF(HasSurrCharge,INDEX(SurrRates,MIN(C1124,SurrDurMax)+1,MATCH(SurrChargeID,SurrTypes,0)),0)</f>
        <v/>
      </c>
      <c r="J1124" s="33">
        <f>N1123-P1123-O1123</f>
        <v/>
      </c>
      <c r="K1124" s="30">
        <f>IF(B1124=12*PolicyTerm,J1124,0)</f>
        <v/>
      </c>
      <c r="L1124" s="33">
        <f>J1124-K1124</f>
        <v/>
      </c>
      <c r="M1124" s="30">
        <f>IF(B1124=0,PolicyCount,0)</f>
        <v/>
      </c>
      <c r="N1124" s="33">
        <f>L1124+M1124</f>
        <v/>
      </c>
      <c r="O1124" s="31">
        <f>N1124*G1124</f>
        <v/>
      </c>
      <c r="P1124" s="33">
        <f>(N1124-O1124)*(1-(1-H1124)^(1/12))</f>
        <v/>
      </c>
      <c r="Q1124" s="34">
        <f>X1123+Z1123</f>
        <v/>
      </c>
      <c r="R1124" s="29">
        <f>(1-LoadPremRate)*E1124</f>
        <v/>
      </c>
      <c r="S1124" s="34">
        <f>Q1124+R1124</f>
        <v/>
      </c>
      <c r="T1124" s="29">
        <f>MaintFeeRateAnn/12*S1124</f>
        <v/>
      </c>
      <c r="U1124" s="29">
        <f>MAX(SumAssured-S1124,0)</f>
        <v/>
      </c>
      <c r="V1124" s="35">
        <f>CoiMultiple*G1124</f>
        <v/>
      </c>
      <c r="W1124" s="34">
        <f>V1124*U1124</f>
        <v/>
      </c>
      <c r="X1124" s="34">
        <f>S1124-T1124-W1124</f>
        <v/>
      </c>
      <c r="Y1124" s="36">
        <f>EXP((Mu-0.5*Sigma^2)/12+Sigma*SQRT(1/12)*INDEX(NormRand,ScenID,A1124+1))-1</f>
        <v/>
      </c>
      <c r="Z1124" s="34">
        <f>Y1124*X1124</f>
        <v/>
      </c>
      <c r="AA1124" s="34">
        <f>X1124+0.5*Z1124</f>
        <v/>
      </c>
      <c r="AB1124" s="34">
        <f>Q1124*J1124</f>
        <v/>
      </c>
      <c r="AC1124" s="34">
        <f>Q1124*L1124</f>
        <v/>
      </c>
      <c r="AD1124" s="34">
        <f>S1124*N1124</f>
        <v/>
      </c>
      <c r="AE1124" s="34">
        <f>E1124*N1124</f>
        <v/>
      </c>
      <c r="AF1124" s="34">
        <f>R1124*N1124</f>
        <v/>
      </c>
      <c r="AG1124" s="29">
        <f>MAX(SumAssured,AA1124)</f>
        <v/>
      </c>
      <c r="AH1124" s="34">
        <f>AG1124*O1124</f>
        <v/>
      </c>
      <c r="AI1124" s="34">
        <f>AA1124*O1124</f>
        <v/>
      </c>
      <c r="AJ1124" s="34">
        <f>AA1124*P1124</f>
        <v/>
      </c>
      <c r="AK1124" s="34">
        <f>I1124*AA1124*P1124</f>
        <v/>
      </c>
      <c r="AL1124" s="34">
        <f>AJ1124-AK1124</f>
        <v/>
      </c>
      <c r="AM1124" s="34">
        <f>Q1124*K1124</f>
        <v/>
      </c>
      <c r="AN1124" s="34">
        <f>AH1124+AL1124+AM1124</f>
        <v/>
      </c>
      <c r="AO1124" s="34">
        <f>(AG1124-AA1124)*O1124</f>
        <v/>
      </c>
      <c r="AP1124" s="34">
        <f>W1124*N1124</f>
        <v/>
      </c>
      <c r="AQ1124" s="34">
        <f>T1124*N1124</f>
        <v/>
      </c>
      <c r="AR1124" s="34">
        <f>Z1124*J1125+0.5*Z1124*(O1124+P1124)</f>
        <v/>
      </c>
      <c r="AS1124" s="30">
        <f>(1+InflationRate)^(A1124/12)</f>
        <v/>
      </c>
      <c r="AT1124" s="29">
        <f>ExpenseAcq*M1124+N1124*ExpenseMaint/12*AS1124</f>
        <v/>
      </c>
      <c r="AU1124" s="29">
        <f>CommissionRate*AE1124</f>
        <v/>
      </c>
      <c r="AV1124" s="34">
        <f>AB1125-AB1124</f>
        <v/>
      </c>
      <c r="AW1124" s="34">
        <f>AE1124+AR1124-AN1124-AT1124-AU1124-AV1124</f>
        <v/>
      </c>
      <c r="AX1124" s="29">
        <f>LoadPremRate*E1124*N1124+AK1124+AQ1124-AU1124-AT1124</f>
        <v/>
      </c>
      <c r="AY1124" s="34">
        <f>AP1124-AO1124</f>
        <v/>
      </c>
      <c r="AZ1124" s="37">
        <f>(AW1124-AX1124-AY1124)/MAX(1,ABS(AW1124),ABS(AX1124),ABS(AY1124))</f>
        <v/>
      </c>
      <c r="BA1124" s="37">
        <f>IF(OR(K1124&gt;0,K1125&gt;0),0,(AC1125-(AC1124+AF1124-AQ1124-AP1124+AR1124-AI1124-AJ1124-AM1124))/MAX(1,ABS(AC1124),ABS(AC1125)))</f>
        <v/>
      </c>
      <c r="BB1124" s="35">
        <f>(1+INDEX(DiscRateAnn,INT(A1124/12)+1))^(1/12)-1</f>
        <v/>
      </c>
      <c r="BC1124" s="31">
        <f>(1+BB1124)^-A1124</f>
        <v/>
      </c>
      <c r="BD1124" s="34">
        <f>AW1124*BC1124</f>
        <v/>
      </c>
    </row>
    <row r="1125">
      <c r="A1125" s="27">
        <f>A1124+1</f>
        <v/>
      </c>
      <c r="B1125" s="28">
        <f>Duration0+A1125</f>
        <v/>
      </c>
      <c r="C1125" s="27">
        <f>INT(B1125/12)</f>
        <v/>
      </c>
      <c r="D1125" s="28">
        <f>AgeAtEntry+C1125</f>
        <v/>
      </c>
      <c r="E1125" s="29">
        <f>IF(PremiumType="SINGLE",IF(B1125=0,PremiumPPInput,0),IF(B1125&lt;12*PolicyTerm,PremiumPPInput,0))</f>
        <v/>
      </c>
      <c r="F1125" s="30">
        <f>INDEX(MortRates,MATCH(MIN(D1125,120),MortAges,0),MAX(MIN(C1125,5),0)+1)</f>
        <v/>
      </c>
      <c r="G1125" s="31">
        <f>1-(1-F1125)^(1/12)</f>
        <v/>
      </c>
      <c r="H1125" s="32">
        <f>MAX(LapseBase-LapseStep*C1125,LapseFloor)</f>
        <v/>
      </c>
      <c r="I1125" s="32">
        <f>IF(HasSurrCharge,INDEX(SurrRates,MIN(C1125,SurrDurMax)+1,MATCH(SurrChargeID,SurrTypes,0)),0)</f>
        <v/>
      </c>
      <c r="J1125" s="33">
        <f>N1124-P1124-O1124</f>
        <v/>
      </c>
      <c r="K1125" s="30">
        <f>IF(B1125=12*PolicyTerm,J1125,0)</f>
        <v/>
      </c>
      <c r="L1125" s="33">
        <f>J1125-K1125</f>
        <v/>
      </c>
      <c r="M1125" s="30">
        <f>IF(B1125=0,PolicyCount,0)</f>
        <v/>
      </c>
      <c r="N1125" s="33">
        <f>L1125+M1125</f>
        <v/>
      </c>
      <c r="O1125" s="31">
        <f>N1125*G1125</f>
        <v/>
      </c>
      <c r="P1125" s="33">
        <f>(N1125-O1125)*(1-(1-H1125)^(1/12))</f>
        <v/>
      </c>
      <c r="Q1125" s="34">
        <f>X1124+Z1124</f>
        <v/>
      </c>
      <c r="R1125" s="29">
        <f>(1-LoadPremRate)*E1125</f>
        <v/>
      </c>
      <c r="S1125" s="34">
        <f>Q1125+R1125</f>
        <v/>
      </c>
      <c r="T1125" s="29">
        <f>MaintFeeRateAnn/12*S1125</f>
        <v/>
      </c>
      <c r="U1125" s="29">
        <f>MAX(SumAssured-S1125,0)</f>
        <v/>
      </c>
      <c r="V1125" s="35">
        <f>CoiMultiple*G1125</f>
        <v/>
      </c>
      <c r="W1125" s="34">
        <f>V1125*U1125</f>
        <v/>
      </c>
      <c r="X1125" s="34">
        <f>S1125-T1125-W1125</f>
        <v/>
      </c>
      <c r="Y1125" s="36">
        <f>EXP((Mu-0.5*Sigma^2)/12+Sigma*SQRT(1/12)*INDEX(NormRand,ScenID,A1125+1))-1</f>
        <v/>
      </c>
      <c r="Z1125" s="34">
        <f>Y1125*X1125</f>
        <v/>
      </c>
      <c r="AA1125" s="34">
        <f>X1125+0.5*Z1125</f>
        <v/>
      </c>
      <c r="AB1125" s="34">
        <f>Q1125*J1125</f>
        <v/>
      </c>
      <c r="AC1125" s="34">
        <f>Q1125*L1125</f>
        <v/>
      </c>
      <c r="AD1125" s="34">
        <f>S1125*N1125</f>
        <v/>
      </c>
      <c r="AE1125" s="34">
        <f>E1125*N1125</f>
        <v/>
      </c>
      <c r="AF1125" s="34">
        <f>R1125*N1125</f>
        <v/>
      </c>
      <c r="AG1125" s="29">
        <f>MAX(SumAssured,AA1125)</f>
        <v/>
      </c>
      <c r="AH1125" s="34">
        <f>AG1125*O1125</f>
        <v/>
      </c>
      <c r="AI1125" s="34">
        <f>AA1125*O1125</f>
        <v/>
      </c>
      <c r="AJ1125" s="34">
        <f>AA1125*P1125</f>
        <v/>
      </c>
      <c r="AK1125" s="34">
        <f>I1125*AA1125*P1125</f>
        <v/>
      </c>
      <c r="AL1125" s="34">
        <f>AJ1125-AK1125</f>
        <v/>
      </c>
      <c r="AM1125" s="34">
        <f>Q1125*K1125</f>
        <v/>
      </c>
      <c r="AN1125" s="34">
        <f>AH1125+AL1125+AM1125</f>
        <v/>
      </c>
      <c r="AO1125" s="34">
        <f>(AG1125-AA1125)*O1125</f>
        <v/>
      </c>
      <c r="AP1125" s="34">
        <f>W1125*N1125</f>
        <v/>
      </c>
      <c r="AQ1125" s="34">
        <f>T1125*N1125</f>
        <v/>
      </c>
      <c r="AR1125" s="34">
        <f>Z1125*J1126+0.5*Z1125*(O1125+P1125)</f>
        <v/>
      </c>
      <c r="AS1125" s="30">
        <f>(1+InflationRate)^(A1125/12)</f>
        <v/>
      </c>
      <c r="AT1125" s="29">
        <f>ExpenseAcq*M1125+N1125*ExpenseMaint/12*AS1125</f>
        <v/>
      </c>
      <c r="AU1125" s="29">
        <f>CommissionRate*AE1125</f>
        <v/>
      </c>
      <c r="AV1125" s="34">
        <f>AB1126-AB1125</f>
        <v/>
      </c>
      <c r="AW1125" s="34">
        <f>AE1125+AR1125-AN1125-AT1125-AU1125-AV1125</f>
        <v/>
      </c>
      <c r="AX1125" s="29">
        <f>LoadPremRate*E1125*N1125+AK1125+AQ1125-AU1125-AT1125</f>
        <v/>
      </c>
      <c r="AY1125" s="34">
        <f>AP1125-AO1125</f>
        <v/>
      </c>
      <c r="AZ1125" s="37">
        <f>(AW1125-AX1125-AY1125)/MAX(1,ABS(AW1125),ABS(AX1125),ABS(AY1125))</f>
        <v/>
      </c>
      <c r="BA1125" s="37">
        <f>IF(OR(K1125&gt;0,K1126&gt;0),0,(AC1126-(AC1125+AF1125-AQ1125-AP1125+AR1125-AI1125-AJ1125-AM1125))/MAX(1,ABS(AC1125),ABS(AC1126)))</f>
        <v/>
      </c>
      <c r="BB1125" s="35">
        <f>(1+INDEX(DiscRateAnn,INT(A1125/12)+1))^(1/12)-1</f>
        <v/>
      </c>
      <c r="BC1125" s="31">
        <f>(1+BB1125)^-A1125</f>
        <v/>
      </c>
      <c r="BD1125" s="34">
        <f>AW1125*BC1125</f>
        <v/>
      </c>
    </row>
    <row r="1126">
      <c r="A1126" s="27">
        <f>A1125+1</f>
        <v/>
      </c>
      <c r="B1126" s="28">
        <f>Duration0+A1126</f>
        <v/>
      </c>
      <c r="C1126" s="27">
        <f>INT(B1126/12)</f>
        <v/>
      </c>
      <c r="D1126" s="28">
        <f>AgeAtEntry+C1126</f>
        <v/>
      </c>
      <c r="E1126" s="29">
        <f>IF(PremiumType="SINGLE",IF(B1126=0,PremiumPPInput,0),IF(B1126&lt;12*PolicyTerm,PremiumPPInput,0))</f>
        <v/>
      </c>
      <c r="F1126" s="30">
        <f>INDEX(MortRates,MATCH(MIN(D1126,120),MortAges,0),MAX(MIN(C1126,5),0)+1)</f>
        <v/>
      </c>
      <c r="G1126" s="31">
        <f>1-(1-F1126)^(1/12)</f>
        <v/>
      </c>
      <c r="H1126" s="32">
        <f>MAX(LapseBase-LapseStep*C1126,LapseFloor)</f>
        <v/>
      </c>
      <c r="I1126" s="32">
        <f>IF(HasSurrCharge,INDEX(SurrRates,MIN(C1126,SurrDurMax)+1,MATCH(SurrChargeID,SurrTypes,0)),0)</f>
        <v/>
      </c>
      <c r="J1126" s="33">
        <f>N1125-P1125-O1125</f>
        <v/>
      </c>
      <c r="K1126" s="30">
        <f>IF(B1126=12*PolicyTerm,J1126,0)</f>
        <v/>
      </c>
      <c r="L1126" s="33">
        <f>J1126-K1126</f>
        <v/>
      </c>
      <c r="M1126" s="30">
        <f>IF(B1126=0,PolicyCount,0)</f>
        <v/>
      </c>
      <c r="N1126" s="33">
        <f>L1126+M1126</f>
        <v/>
      </c>
      <c r="O1126" s="31">
        <f>N1126*G1126</f>
        <v/>
      </c>
      <c r="P1126" s="33">
        <f>(N1126-O1126)*(1-(1-H1126)^(1/12))</f>
        <v/>
      </c>
      <c r="Q1126" s="34">
        <f>X1125+Z1125</f>
        <v/>
      </c>
      <c r="R1126" s="29">
        <f>(1-LoadPremRate)*E1126</f>
        <v/>
      </c>
      <c r="S1126" s="34">
        <f>Q1126+R1126</f>
        <v/>
      </c>
      <c r="T1126" s="29">
        <f>MaintFeeRateAnn/12*S1126</f>
        <v/>
      </c>
      <c r="U1126" s="29">
        <f>MAX(SumAssured-S1126,0)</f>
        <v/>
      </c>
      <c r="V1126" s="35">
        <f>CoiMultiple*G1126</f>
        <v/>
      </c>
      <c r="W1126" s="34">
        <f>V1126*U1126</f>
        <v/>
      </c>
      <c r="X1126" s="34">
        <f>S1126-T1126-W1126</f>
        <v/>
      </c>
      <c r="Y1126" s="36">
        <f>EXP((Mu-0.5*Sigma^2)/12+Sigma*SQRT(1/12)*INDEX(NormRand,ScenID,A1126+1))-1</f>
        <v/>
      </c>
      <c r="Z1126" s="34">
        <f>Y1126*X1126</f>
        <v/>
      </c>
      <c r="AA1126" s="34">
        <f>X1126+0.5*Z1126</f>
        <v/>
      </c>
      <c r="AB1126" s="34">
        <f>Q1126*J1126</f>
        <v/>
      </c>
      <c r="AC1126" s="34">
        <f>Q1126*L1126</f>
        <v/>
      </c>
      <c r="AD1126" s="34">
        <f>S1126*N1126</f>
        <v/>
      </c>
      <c r="AE1126" s="34">
        <f>E1126*N1126</f>
        <v/>
      </c>
      <c r="AF1126" s="34">
        <f>R1126*N1126</f>
        <v/>
      </c>
      <c r="AG1126" s="29">
        <f>MAX(SumAssured,AA1126)</f>
        <v/>
      </c>
      <c r="AH1126" s="34">
        <f>AG1126*O1126</f>
        <v/>
      </c>
      <c r="AI1126" s="34">
        <f>AA1126*O1126</f>
        <v/>
      </c>
      <c r="AJ1126" s="34">
        <f>AA1126*P1126</f>
        <v/>
      </c>
      <c r="AK1126" s="34">
        <f>I1126*AA1126*P1126</f>
        <v/>
      </c>
      <c r="AL1126" s="34">
        <f>AJ1126-AK1126</f>
        <v/>
      </c>
      <c r="AM1126" s="34">
        <f>Q1126*K1126</f>
        <v/>
      </c>
      <c r="AN1126" s="34">
        <f>AH1126+AL1126+AM1126</f>
        <v/>
      </c>
      <c r="AO1126" s="34">
        <f>(AG1126-AA1126)*O1126</f>
        <v/>
      </c>
      <c r="AP1126" s="34">
        <f>W1126*N1126</f>
        <v/>
      </c>
      <c r="AQ1126" s="34">
        <f>T1126*N1126</f>
        <v/>
      </c>
      <c r="AR1126" s="34">
        <f>Z1126*J1127+0.5*Z1126*(O1126+P1126)</f>
        <v/>
      </c>
      <c r="AS1126" s="30">
        <f>(1+InflationRate)^(A1126/12)</f>
        <v/>
      </c>
      <c r="AT1126" s="29">
        <f>ExpenseAcq*M1126+N1126*ExpenseMaint/12*AS1126</f>
        <v/>
      </c>
      <c r="AU1126" s="29">
        <f>CommissionRate*AE1126</f>
        <v/>
      </c>
      <c r="AV1126" s="34">
        <f>AB1127-AB1126</f>
        <v/>
      </c>
      <c r="AW1126" s="34">
        <f>AE1126+AR1126-AN1126-AT1126-AU1126-AV1126</f>
        <v/>
      </c>
      <c r="AX1126" s="29">
        <f>LoadPremRate*E1126*N1126+AK1126+AQ1126-AU1126-AT1126</f>
        <v/>
      </c>
      <c r="AY1126" s="34">
        <f>AP1126-AO1126</f>
        <v/>
      </c>
      <c r="AZ1126" s="37">
        <f>(AW1126-AX1126-AY1126)/MAX(1,ABS(AW1126),ABS(AX1126),ABS(AY1126))</f>
        <v/>
      </c>
      <c r="BA1126" s="37">
        <f>IF(OR(K1126&gt;0,K1127&gt;0),0,(AC1127-(AC1126+AF1126-AQ1126-AP1126+AR1126-AI1126-AJ1126-AM1126))/MAX(1,ABS(AC1126),ABS(AC1127)))</f>
        <v/>
      </c>
      <c r="BB1126" s="35">
        <f>(1+INDEX(DiscRateAnn,INT(A1126/12)+1))^(1/12)-1</f>
        <v/>
      </c>
      <c r="BC1126" s="31">
        <f>(1+BB1126)^-A1126</f>
        <v/>
      </c>
      <c r="BD1126" s="34">
        <f>AW1126*BC1126</f>
        <v/>
      </c>
    </row>
    <row r="1127">
      <c r="A1127" s="27">
        <f>A1126+1</f>
        <v/>
      </c>
      <c r="B1127" s="28">
        <f>Duration0+A1127</f>
        <v/>
      </c>
      <c r="C1127" s="27">
        <f>INT(B1127/12)</f>
        <v/>
      </c>
      <c r="D1127" s="28">
        <f>AgeAtEntry+C1127</f>
        <v/>
      </c>
      <c r="E1127" s="29">
        <f>IF(PremiumType="SINGLE",IF(B1127=0,PremiumPPInput,0),IF(B1127&lt;12*PolicyTerm,PremiumPPInput,0))</f>
        <v/>
      </c>
      <c r="F1127" s="30">
        <f>INDEX(MortRates,MATCH(MIN(D1127,120),MortAges,0),MAX(MIN(C1127,5),0)+1)</f>
        <v/>
      </c>
      <c r="G1127" s="31">
        <f>1-(1-F1127)^(1/12)</f>
        <v/>
      </c>
      <c r="H1127" s="32">
        <f>MAX(LapseBase-LapseStep*C1127,LapseFloor)</f>
        <v/>
      </c>
      <c r="I1127" s="32">
        <f>IF(HasSurrCharge,INDEX(SurrRates,MIN(C1127,SurrDurMax)+1,MATCH(SurrChargeID,SurrTypes,0)),0)</f>
        <v/>
      </c>
      <c r="J1127" s="33">
        <f>N1126-P1126-O1126</f>
        <v/>
      </c>
      <c r="K1127" s="30">
        <f>IF(B1127=12*PolicyTerm,J1127,0)</f>
        <v/>
      </c>
      <c r="L1127" s="33">
        <f>J1127-K1127</f>
        <v/>
      </c>
      <c r="M1127" s="30">
        <f>IF(B1127=0,PolicyCount,0)</f>
        <v/>
      </c>
      <c r="N1127" s="33">
        <f>L1127+M1127</f>
        <v/>
      </c>
      <c r="O1127" s="31">
        <f>N1127*G1127</f>
        <v/>
      </c>
      <c r="P1127" s="33">
        <f>(N1127-O1127)*(1-(1-H1127)^(1/12))</f>
        <v/>
      </c>
      <c r="Q1127" s="34">
        <f>X1126+Z1126</f>
        <v/>
      </c>
      <c r="R1127" s="29">
        <f>(1-LoadPremRate)*E1127</f>
        <v/>
      </c>
      <c r="S1127" s="34">
        <f>Q1127+R1127</f>
        <v/>
      </c>
      <c r="T1127" s="29">
        <f>MaintFeeRateAnn/12*S1127</f>
        <v/>
      </c>
      <c r="U1127" s="29">
        <f>MAX(SumAssured-S1127,0)</f>
        <v/>
      </c>
      <c r="V1127" s="35">
        <f>CoiMultiple*G1127</f>
        <v/>
      </c>
      <c r="W1127" s="34">
        <f>V1127*U1127</f>
        <v/>
      </c>
      <c r="X1127" s="34">
        <f>S1127-T1127-W1127</f>
        <v/>
      </c>
      <c r="Y1127" s="36">
        <f>EXP((Mu-0.5*Sigma^2)/12+Sigma*SQRT(1/12)*INDEX(NormRand,ScenID,A1127+1))-1</f>
        <v/>
      </c>
      <c r="Z1127" s="34">
        <f>Y1127*X1127</f>
        <v/>
      </c>
      <c r="AA1127" s="34">
        <f>X1127+0.5*Z1127</f>
        <v/>
      </c>
      <c r="AB1127" s="34">
        <f>Q1127*J1127</f>
        <v/>
      </c>
      <c r="AC1127" s="34">
        <f>Q1127*L1127</f>
        <v/>
      </c>
      <c r="AD1127" s="34">
        <f>S1127*N1127</f>
        <v/>
      </c>
      <c r="AE1127" s="34">
        <f>E1127*N1127</f>
        <v/>
      </c>
      <c r="AF1127" s="34">
        <f>R1127*N1127</f>
        <v/>
      </c>
      <c r="AG1127" s="29">
        <f>MAX(SumAssured,AA1127)</f>
        <v/>
      </c>
      <c r="AH1127" s="34">
        <f>AG1127*O1127</f>
        <v/>
      </c>
      <c r="AI1127" s="34">
        <f>AA1127*O1127</f>
        <v/>
      </c>
      <c r="AJ1127" s="34">
        <f>AA1127*P1127</f>
        <v/>
      </c>
      <c r="AK1127" s="34">
        <f>I1127*AA1127*P1127</f>
        <v/>
      </c>
      <c r="AL1127" s="34">
        <f>AJ1127-AK1127</f>
        <v/>
      </c>
      <c r="AM1127" s="34">
        <f>Q1127*K1127</f>
        <v/>
      </c>
      <c r="AN1127" s="34">
        <f>AH1127+AL1127+AM1127</f>
        <v/>
      </c>
      <c r="AO1127" s="34">
        <f>(AG1127-AA1127)*O1127</f>
        <v/>
      </c>
      <c r="AP1127" s="34">
        <f>W1127*N1127</f>
        <v/>
      </c>
      <c r="AQ1127" s="34">
        <f>T1127*N1127</f>
        <v/>
      </c>
      <c r="AR1127" s="34">
        <f>Z1127*J1128+0.5*Z1127*(O1127+P1127)</f>
        <v/>
      </c>
      <c r="AS1127" s="30">
        <f>(1+InflationRate)^(A1127/12)</f>
        <v/>
      </c>
      <c r="AT1127" s="29">
        <f>ExpenseAcq*M1127+N1127*ExpenseMaint/12*AS1127</f>
        <v/>
      </c>
      <c r="AU1127" s="29">
        <f>CommissionRate*AE1127</f>
        <v/>
      </c>
      <c r="AV1127" s="34">
        <f>AB1128-AB1127</f>
        <v/>
      </c>
      <c r="AW1127" s="34">
        <f>AE1127+AR1127-AN1127-AT1127-AU1127-AV1127</f>
        <v/>
      </c>
      <c r="AX1127" s="29">
        <f>LoadPremRate*E1127*N1127+AK1127+AQ1127-AU1127-AT1127</f>
        <v/>
      </c>
      <c r="AY1127" s="34">
        <f>AP1127-AO1127</f>
        <v/>
      </c>
      <c r="AZ1127" s="37">
        <f>(AW1127-AX1127-AY1127)/MAX(1,ABS(AW1127),ABS(AX1127),ABS(AY1127))</f>
        <v/>
      </c>
      <c r="BA1127" s="37">
        <f>IF(OR(K1127&gt;0,K1128&gt;0),0,(AC1128-(AC1127+AF1127-AQ1127-AP1127+AR1127-AI1127-AJ1127-AM1127))/MAX(1,ABS(AC1127),ABS(AC1128)))</f>
        <v/>
      </c>
      <c r="BB1127" s="35">
        <f>(1+INDEX(DiscRateAnn,INT(A1127/12)+1))^(1/12)-1</f>
        <v/>
      </c>
      <c r="BC1127" s="31">
        <f>(1+BB1127)^-A1127</f>
        <v/>
      </c>
      <c r="BD1127" s="34">
        <f>AW1127*BC1127</f>
        <v/>
      </c>
    </row>
    <row r="1128">
      <c r="A1128" s="27">
        <f>A1127+1</f>
        <v/>
      </c>
      <c r="B1128" s="28">
        <f>Duration0+A1128</f>
        <v/>
      </c>
      <c r="C1128" s="27">
        <f>INT(B1128/12)</f>
        <v/>
      </c>
      <c r="D1128" s="28">
        <f>AgeAtEntry+C1128</f>
        <v/>
      </c>
      <c r="E1128" s="29">
        <f>IF(PremiumType="SINGLE",IF(B1128=0,PremiumPPInput,0),IF(B1128&lt;12*PolicyTerm,PremiumPPInput,0))</f>
        <v/>
      </c>
      <c r="F1128" s="30">
        <f>INDEX(MortRates,MATCH(MIN(D1128,120),MortAges,0),MAX(MIN(C1128,5),0)+1)</f>
        <v/>
      </c>
      <c r="G1128" s="31">
        <f>1-(1-F1128)^(1/12)</f>
        <v/>
      </c>
      <c r="H1128" s="32">
        <f>MAX(LapseBase-LapseStep*C1128,LapseFloor)</f>
        <v/>
      </c>
      <c r="I1128" s="32">
        <f>IF(HasSurrCharge,INDEX(SurrRates,MIN(C1128,SurrDurMax)+1,MATCH(SurrChargeID,SurrTypes,0)),0)</f>
        <v/>
      </c>
      <c r="J1128" s="33">
        <f>N1127-P1127-O1127</f>
        <v/>
      </c>
      <c r="K1128" s="30">
        <f>IF(B1128=12*PolicyTerm,J1128,0)</f>
        <v/>
      </c>
      <c r="L1128" s="33">
        <f>J1128-K1128</f>
        <v/>
      </c>
      <c r="M1128" s="30">
        <f>IF(B1128=0,PolicyCount,0)</f>
        <v/>
      </c>
      <c r="N1128" s="33">
        <f>L1128+M1128</f>
        <v/>
      </c>
      <c r="O1128" s="31">
        <f>N1128*G1128</f>
        <v/>
      </c>
      <c r="P1128" s="33">
        <f>(N1128-O1128)*(1-(1-H1128)^(1/12))</f>
        <v/>
      </c>
      <c r="Q1128" s="34">
        <f>X1127+Z1127</f>
        <v/>
      </c>
      <c r="R1128" s="29">
        <f>(1-LoadPremRate)*E1128</f>
        <v/>
      </c>
      <c r="S1128" s="34">
        <f>Q1128+R1128</f>
        <v/>
      </c>
      <c r="T1128" s="29">
        <f>MaintFeeRateAnn/12*S1128</f>
        <v/>
      </c>
      <c r="U1128" s="29">
        <f>MAX(SumAssured-S1128,0)</f>
        <v/>
      </c>
      <c r="V1128" s="35">
        <f>CoiMultiple*G1128</f>
        <v/>
      </c>
      <c r="W1128" s="34">
        <f>V1128*U1128</f>
        <v/>
      </c>
      <c r="X1128" s="34">
        <f>S1128-T1128-W1128</f>
        <v/>
      </c>
      <c r="Y1128" s="36">
        <f>EXP((Mu-0.5*Sigma^2)/12+Sigma*SQRT(1/12)*INDEX(NormRand,ScenID,A1128+1))-1</f>
        <v/>
      </c>
      <c r="Z1128" s="34">
        <f>Y1128*X1128</f>
        <v/>
      </c>
      <c r="AA1128" s="34">
        <f>X1128+0.5*Z1128</f>
        <v/>
      </c>
      <c r="AB1128" s="34">
        <f>Q1128*J1128</f>
        <v/>
      </c>
      <c r="AC1128" s="34">
        <f>Q1128*L1128</f>
        <v/>
      </c>
      <c r="AD1128" s="34">
        <f>S1128*N1128</f>
        <v/>
      </c>
      <c r="AE1128" s="34">
        <f>E1128*N1128</f>
        <v/>
      </c>
      <c r="AF1128" s="34">
        <f>R1128*N1128</f>
        <v/>
      </c>
      <c r="AG1128" s="29">
        <f>MAX(SumAssured,AA1128)</f>
        <v/>
      </c>
      <c r="AH1128" s="34">
        <f>AG1128*O1128</f>
        <v/>
      </c>
      <c r="AI1128" s="34">
        <f>AA1128*O1128</f>
        <v/>
      </c>
      <c r="AJ1128" s="34">
        <f>AA1128*P1128</f>
        <v/>
      </c>
      <c r="AK1128" s="34">
        <f>I1128*AA1128*P1128</f>
        <v/>
      </c>
      <c r="AL1128" s="34">
        <f>AJ1128-AK1128</f>
        <v/>
      </c>
      <c r="AM1128" s="34">
        <f>Q1128*K1128</f>
        <v/>
      </c>
      <c r="AN1128" s="34">
        <f>AH1128+AL1128+AM1128</f>
        <v/>
      </c>
      <c r="AO1128" s="34">
        <f>(AG1128-AA1128)*O1128</f>
        <v/>
      </c>
      <c r="AP1128" s="34">
        <f>W1128*N1128</f>
        <v/>
      </c>
      <c r="AQ1128" s="34">
        <f>T1128*N1128</f>
        <v/>
      </c>
      <c r="AR1128" s="34">
        <f>Z1128*J1129+0.5*Z1128*(O1128+P1128)</f>
        <v/>
      </c>
      <c r="AS1128" s="30">
        <f>(1+InflationRate)^(A1128/12)</f>
        <v/>
      </c>
      <c r="AT1128" s="29">
        <f>ExpenseAcq*M1128+N1128*ExpenseMaint/12*AS1128</f>
        <v/>
      </c>
      <c r="AU1128" s="29">
        <f>CommissionRate*AE1128</f>
        <v/>
      </c>
      <c r="AV1128" s="34">
        <f>AB1129-AB1128</f>
        <v/>
      </c>
      <c r="AW1128" s="34">
        <f>AE1128+AR1128-AN1128-AT1128-AU1128-AV1128</f>
        <v/>
      </c>
      <c r="AX1128" s="29">
        <f>LoadPremRate*E1128*N1128+AK1128+AQ1128-AU1128-AT1128</f>
        <v/>
      </c>
      <c r="AY1128" s="34">
        <f>AP1128-AO1128</f>
        <v/>
      </c>
      <c r="AZ1128" s="37">
        <f>(AW1128-AX1128-AY1128)/MAX(1,ABS(AW1128),ABS(AX1128),ABS(AY1128))</f>
        <v/>
      </c>
      <c r="BA1128" s="37">
        <f>IF(OR(K1128&gt;0,K1129&gt;0),0,(AC1129-(AC1128+AF1128-AQ1128-AP1128+AR1128-AI1128-AJ1128-AM1128))/MAX(1,ABS(AC1128),ABS(AC1129)))</f>
        <v/>
      </c>
      <c r="BB1128" s="35">
        <f>(1+INDEX(DiscRateAnn,INT(A1128/12)+1))^(1/12)-1</f>
        <v/>
      </c>
      <c r="BC1128" s="31">
        <f>(1+BB1128)^-A1128</f>
        <v/>
      </c>
      <c r="BD1128" s="34">
        <f>AW1128*BC1128</f>
        <v/>
      </c>
    </row>
    <row r="1129">
      <c r="A1129" s="27">
        <f>A1128+1</f>
        <v/>
      </c>
      <c r="B1129" s="28">
        <f>Duration0+A1129</f>
        <v/>
      </c>
      <c r="C1129" s="27">
        <f>INT(B1129/12)</f>
        <v/>
      </c>
      <c r="D1129" s="28">
        <f>AgeAtEntry+C1129</f>
        <v/>
      </c>
      <c r="E1129" s="29">
        <f>IF(PremiumType="SINGLE",IF(B1129=0,PremiumPPInput,0),IF(B1129&lt;12*PolicyTerm,PremiumPPInput,0))</f>
        <v/>
      </c>
      <c r="F1129" s="30">
        <f>INDEX(MortRates,MATCH(MIN(D1129,120),MortAges,0),MAX(MIN(C1129,5),0)+1)</f>
        <v/>
      </c>
      <c r="G1129" s="31">
        <f>1-(1-F1129)^(1/12)</f>
        <v/>
      </c>
      <c r="H1129" s="32">
        <f>MAX(LapseBase-LapseStep*C1129,LapseFloor)</f>
        <v/>
      </c>
      <c r="I1129" s="32">
        <f>IF(HasSurrCharge,INDEX(SurrRates,MIN(C1129,SurrDurMax)+1,MATCH(SurrChargeID,SurrTypes,0)),0)</f>
        <v/>
      </c>
      <c r="J1129" s="33">
        <f>N1128-P1128-O1128</f>
        <v/>
      </c>
      <c r="K1129" s="30">
        <f>IF(B1129=12*PolicyTerm,J1129,0)</f>
        <v/>
      </c>
      <c r="L1129" s="33">
        <f>J1129-K1129</f>
        <v/>
      </c>
      <c r="M1129" s="30">
        <f>IF(B1129=0,PolicyCount,0)</f>
        <v/>
      </c>
      <c r="N1129" s="33">
        <f>L1129+M1129</f>
        <v/>
      </c>
      <c r="O1129" s="31">
        <f>N1129*G1129</f>
        <v/>
      </c>
      <c r="P1129" s="33">
        <f>(N1129-O1129)*(1-(1-H1129)^(1/12))</f>
        <v/>
      </c>
      <c r="Q1129" s="34">
        <f>X1128+Z1128</f>
        <v/>
      </c>
      <c r="R1129" s="29">
        <f>(1-LoadPremRate)*E1129</f>
        <v/>
      </c>
      <c r="S1129" s="34">
        <f>Q1129+R1129</f>
        <v/>
      </c>
      <c r="T1129" s="29">
        <f>MaintFeeRateAnn/12*S1129</f>
        <v/>
      </c>
      <c r="U1129" s="29">
        <f>MAX(SumAssured-S1129,0)</f>
        <v/>
      </c>
      <c r="V1129" s="35">
        <f>CoiMultiple*G1129</f>
        <v/>
      </c>
      <c r="W1129" s="34">
        <f>V1129*U1129</f>
        <v/>
      </c>
      <c r="X1129" s="34">
        <f>S1129-T1129-W1129</f>
        <v/>
      </c>
      <c r="Y1129" s="36">
        <f>EXP((Mu-0.5*Sigma^2)/12+Sigma*SQRT(1/12)*INDEX(NormRand,ScenID,A1129+1))-1</f>
        <v/>
      </c>
      <c r="Z1129" s="34">
        <f>Y1129*X1129</f>
        <v/>
      </c>
      <c r="AA1129" s="34">
        <f>X1129+0.5*Z1129</f>
        <v/>
      </c>
      <c r="AB1129" s="34">
        <f>Q1129*J1129</f>
        <v/>
      </c>
      <c r="AC1129" s="34">
        <f>Q1129*L1129</f>
        <v/>
      </c>
      <c r="AD1129" s="34">
        <f>S1129*N1129</f>
        <v/>
      </c>
      <c r="AE1129" s="34">
        <f>E1129*N1129</f>
        <v/>
      </c>
      <c r="AF1129" s="34">
        <f>R1129*N1129</f>
        <v/>
      </c>
      <c r="AG1129" s="29">
        <f>MAX(SumAssured,AA1129)</f>
        <v/>
      </c>
      <c r="AH1129" s="34">
        <f>AG1129*O1129</f>
        <v/>
      </c>
      <c r="AI1129" s="34">
        <f>AA1129*O1129</f>
        <v/>
      </c>
      <c r="AJ1129" s="34">
        <f>AA1129*P1129</f>
        <v/>
      </c>
      <c r="AK1129" s="34">
        <f>I1129*AA1129*P1129</f>
        <v/>
      </c>
      <c r="AL1129" s="34">
        <f>AJ1129-AK1129</f>
        <v/>
      </c>
      <c r="AM1129" s="34">
        <f>Q1129*K1129</f>
        <v/>
      </c>
      <c r="AN1129" s="34">
        <f>AH1129+AL1129+AM1129</f>
        <v/>
      </c>
      <c r="AO1129" s="34">
        <f>(AG1129-AA1129)*O1129</f>
        <v/>
      </c>
      <c r="AP1129" s="34">
        <f>W1129*N1129</f>
        <v/>
      </c>
      <c r="AQ1129" s="34">
        <f>T1129*N1129</f>
        <v/>
      </c>
      <c r="AR1129" s="34">
        <f>Z1129*J1130+0.5*Z1129*(O1129+P1129)</f>
        <v/>
      </c>
      <c r="AS1129" s="30">
        <f>(1+InflationRate)^(A1129/12)</f>
        <v/>
      </c>
      <c r="AT1129" s="29">
        <f>ExpenseAcq*M1129+N1129*ExpenseMaint/12*AS1129</f>
        <v/>
      </c>
      <c r="AU1129" s="29">
        <f>CommissionRate*AE1129</f>
        <v/>
      </c>
      <c r="AV1129" s="34">
        <f>AB1130-AB1129</f>
        <v/>
      </c>
      <c r="AW1129" s="34">
        <f>AE1129+AR1129-AN1129-AT1129-AU1129-AV1129</f>
        <v/>
      </c>
      <c r="AX1129" s="29">
        <f>LoadPremRate*E1129*N1129+AK1129+AQ1129-AU1129-AT1129</f>
        <v/>
      </c>
      <c r="AY1129" s="34">
        <f>AP1129-AO1129</f>
        <v/>
      </c>
      <c r="AZ1129" s="37">
        <f>(AW1129-AX1129-AY1129)/MAX(1,ABS(AW1129),ABS(AX1129),ABS(AY1129))</f>
        <v/>
      </c>
      <c r="BA1129" s="37">
        <f>IF(OR(K1129&gt;0,K1130&gt;0),0,(AC1130-(AC1129+AF1129-AQ1129-AP1129+AR1129-AI1129-AJ1129-AM1129))/MAX(1,ABS(AC1129),ABS(AC1130)))</f>
        <v/>
      </c>
      <c r="BB1129" s="35">
        <f>(1+INDEX(DiscRateAnn,INT(A1129/12)+1))^(1/12)-1</f>
        <v/>
      </c>
      <c r="BC1129" s="31">
        <f>(1+BB1129)^-A1129</f>
        <v/>
      </c>
      <c r="BD1129" s="34">
        <f>AW1129*BC1129</f>
        <v/>
      </c>
    </row>
    <row r="1130">
      <c r="A1130" s="27">
        <f>A1129+1</f>
        <v/>
      </c>
      <c r="B1130" s="28">
        <f>Duration0+A1130</f>
        <v/>
      </c>
      <c r="C1130" s="27">
        <f>INT(B1130/12)</f>
        <v/>
      </c>
      <c r="D1130" s="28">
        <f>AgeAtEntry+C1130</f>
        <v/>
      </c>
      <c r="E1130" s="29">
        <f>IF(PremiumType="SINGLE",IF(B1130=0,PremiumPPInput,0),IF(B1130&lt;12*PolicyTerm,PremiumPPInput,0))</f>
        <v/>
      </c>
      <c r="F1130" s="30">
        <f>INDEX(MortRates,MATCH(MIN(D1130,120),MortAges,0),MAX(MIN(C1130,5),0)+1)</f>
        <v/>
      </c>
      <c r="G1130" s="31">
        <f>1-(1-F1130)^(1/12)</f>
        <v/>
      </c>
      <c r="H1130" s="32">
        <f>MAX(LapseBase-LapseStep*C1130,LapseFloor)</f>
        <v/>
      </c>
      <c r="I1130" s="32">
        <f>IF(HasSurrCharge,INDEX(SurrRates,MIN(C1130,SurrDurMax)+1,MATCH(SurrChargeID,SurrTypes,0)),0)</f>
        <v/>
      </c>
      <c r="J1130" s="33">
        <f>N1129-P1129-O1129</f>
        <v/>
      </c>
      <c r="K1130" s="30">
        <f>IF(B1130=12*PolicyTerm,J1130,0)</f>
        <v/>
      </c>
      <c r="L1130" s="33">
        <f>J1130-K1130</f>
        <v/>
      </c>
      <c r="M1130" s="30">
        <f>IF(B1130=0,PolicyCount,0)</f>
        <v/>
      </c>
      <c r="N1130" s="33">
        <f>L1130+M1130</f>
        <v/>
      </c>
      <c r="O1130" s="31">
        <f>N1130*G1130</f>
        <v/>
      </c>
      <c r="P1130" s="33">
        <f>(N1130-O1130)*(1-(1-H1130)^(1/12))</f>
        <v/>
      </c>
      <c r="Q1130" s="34">
        <f>X1129+Z1129</f>
        <v/>
      </c>
      <c r="R1130" s="29">
        <f>(1-LoadPremRate)*E1130</f>
        <v/>
      </c>
      <c r="S1130" s="34">
        <f>Q1130+R1130</f>
        <v/>
      </c>
      <c r="T1130" s="29">
        <f>MaintFeeRateAnn/12*S1130</f>
        <v/>
      </c>
      <c r="U1130" s="29">
        <f>MAX(SumAssured-S1130,0)</f>
        <v/>
      </c>
      <c r="V1130" s="35">
        <f>CoiMultiple*G1130</f>
        <v/>
      </c>
      <c r="W1130" s="34">
        <f>V1130*U1130</f>
        <v/>
      </c>
      <c r="X1130" s="34">
        <f>S1130-T1130-W1130</f>
        <v/>
      </c>
      <c r="Y1130" s="36">
        <f>EXP((Mu-0.5*Sigma^2)/12+Sigma*SQRT(1/12)*INDEX(NormRand,ScenID,A1130+1))-1</f>
        <v/>
      </c>
      <c r="Z1130" s="34">
        <f>Y1130*X1130</f>
        <v/>
      </c>
      <c r="AA1130" s="34">
        <f>X1130+0.5*Z1130</f>
        <v/>
      </c>
      <c r="AB1130" s="34">
        <f>Q1130*J1130</f>
        <v/>
      </c>
      <c r="AC1130" s="34">
        <f>Q1130*L1130</f>
        <v/>
      </c>
      <c r="AD1130" s="34">
        <f>S1130*N1130</f>
        <v/>
      </c>
      <c r="AE1130" s="34">
        <f>E1130*N1130</f>
        <v/>
      </c>
      <c r="AF1130" s="34">
        <f>R1130*N1130</f>
        <v/>
      </c>
      <c r="AG1130" s="29">
        <f>MAX(SumAssured,AA1130)</f>
        <v/>
      </c>
      <c r="AH1130" s="34">
        <f>AG1130*O1130</f>
        <v/>
      </c>
      <c r="AI1130" s="34">
        <f>AA1130*O1130</f>
        <v/>
      </c>
      <c r="AJ1130" s="34">
        <f>AA1130*P1130</f>
        <v/>
      </c>
      <c r="AK1130" s="34">
        <f>I1130*AA1130*P1130</f>
        <v/>
      </c>
      <c r="AL1130" s="34">
        <f>AJ1130-AK1130</f>
        <v/>
      </c>
      <c r="AM1130" s="34">
        <f>Q1130*K1130</f>
        <v/>
      </c>
      <c r="AN1130" s="34">
        <f>AH1130+AL1130+AM1130</f>
        <v/>
      </c>
      <c r="AO1130" s="34">
        <f>(AG1130-AA1130)*O1130</f>
        <v/>
      </c>
      <c r="AP1130" s="34">
        <f>W1130*N1130</f>
        <v/>
      </c>
      <c r="AQ1130" s="34">
        <f>T1130*N1130</f>
        <v/>
      </c>
      <c r="AR1130" s="34">
        <f>Z1130*J1131+0.5*Z1130*(O1130+P1130)</f>
        <v/>
      </c>
      <c r="AS1130" s="30">
        <f>(1+InflationRate)^(A1130/12)</f>
        <v/>
      </c>
      <c r="AT1130" s="29">
        <f>ExpenseAcq*M1130+N1130*ExpenseMaint/12*AS1130</f>
        <v/>
      </c>
      <c r="AU1130" s="29">
        <f>CommissionRate*AE1130</f>
        <v/>
      </c>
      <c r="AV1130" s="34">
        <f>AB1131-AB1130</f>
        <v/>
      </c>
      <c r="AW1130" s="34">
        <f>AE1130+AR1130-AN1130-AT1130-AU1130-AV1130</f>
        <v/>
      </c>
      <c r="AX1130" s="29">
        <f>LoadPremRate*E1130*N1130+AK1130+AQ1130-AU1130-AT1130</f>
        <v/>
      </c>
      <c r="AY1130" s="34">
        <f>AP1130-AO1130</f>
        <v/>
      </c>
      <c r="AZ1130" s="37">
        <f>(AW1130-AX1130-AY1130)/MAX(1,ABS(AW1130),ABS(AX1130),ABS(AY1130))</f>
        <v/>
      </c>
      <c r="BA1130" s="37">
        <f>IF(OR(K1130&gt;0,K1131&gt;0),0,(AC1131-(AC1130+AF1130-AQ1130-AP1130+AR1130-AI1130-AJ1130-AM1130))/MAX(1,ABS(AC1130),ABS(AC1131)))</f>
        <v/>
      </c>
      <c r="BB1130" s="35">
        <f>(1+INDEX(DiscRateAnn,INT(A1130/12)+1))^(1/12)-1</f>
        <v/>
      </c>
      <c r="BC1130" s="31">
        <f>(1+BB1130)^-A1130</f>
        <v/>
      </c>
      <c r="BD1130" s="34">
        <f>AW1130*BC1130</f>
        <v/>
      </c>
    </row>
    <row r="1131">
      <c r="A1131" s="27">
        <f>A1130+1</f>
        <v/>
      </c>
      <c r="B1131" s="28">
        <f>Duration0+A1131</f>
        <v/>
      </c>
      <c r="C1131" s="27">
        <f>INT(B1131/12)</f>
        <v/>
      </c>
      <c r="D1131" s="28">
        <f>AgeAtEntry+C1131</f>
        <v/>
      </c>
      <c r="E1131" s="29">
        <f>IF(PremiumType="SINGLE",IF(B1131=0,PremiumPPInput,0),IF(B1131&lt;12*PolicyTerm,PremiumPPInput,0))</f>
        <v/>
      </c>
      <c r="F1131" s="30">
        <f>INDEX(MortRates,MATCH(MIN(D1131,120),MortAges,0),MAX(MIN(C1131,5),0)+1)</f>
        <v/>
      </c>
      <c r="G1131" s="31">
        <f>1-(1-F1131)^(1/12)</f>
        <v/>
      </c>
      <c r="H1131" s="32">
        <f>MAX(LapseBase-LapseStep*C1131,LapseFloor)</f>
        <v/>
      </c>
      <c r="I1131" s="32">
        <f>IF(HasSurrCharge,INDEX(SurrRates,MIN(C1131,SurrDurMax)+1,MATCH(SurrChargeID,SurrTypes,0)),0)</f>
        <v/>
      </c>
      <c r="J1131" s="33">
        <f>N1130-P1130-O1130</f>
        <v/>
      </c>
      <c r="K1131" s="30">
        <f>IF(B1131=12*PolicyTerm,J1131,0)</f>
        <v/>
      </c>
      <c r="L1131" s="33">
        <f>J1131-K1131</f>
        <v/>
      </c>
      <c r="M1131" s="30">
        <f>IF(B1131=0,PolicyCount,0)</f>
        <v/>
      </c>
      <c r="N1131" s="33">
        <f>L1131+M1131</f>
        <v/>
      </c>
      <c r="O1131" s="31">
        <f>N1131*G1131</f>
        <v/>
      </c>
      <c r="P1131" s="33">
        <f>(N1131-O1131)*(1-(1-H1131)^(1/12))</f>
        <v/>
      </c>
      <c r="Q1131" s="34">
        <f>X1130+Z1130</f>
        <v/>
      </c>
      <c r="R1131" s="29">
        <f>(1-LoadPremRate)*E1131</f>
        <v/>
      </c>
      <c r="S1131" s="34">
        <f>Q1131+R1131</f>
        <v/>
      </c>
      <c r="T1131" s="29">
        <f>MaintFeeRateAnn/12*S1131</f>
        <v/>
      </c>
      <c r="U1131" s="29">
        <f>MAX(SumAssured-S1131,0)</f>
        <v/>
      </c>
      <c r="V1131" s="35">
        <f>CoiMultiple*G1131</f>
        <v/>
      </c>
      <c r="W1131" s="34">
        <f>V1131*U1131</f>
        <v/>
      </c>
      <c r="X1131" s="34">
        <f>S1131-T1131-W1131</f>
        <v/>
      </c>
      <c r="Y1131" s="36">
        <f>EXP((Mu-0.5*Sigma^2)/12+Sigma*SQRT(1/12)*INDEX(NormRand,ScenID,A1131+1))-1</f>
        <v/>
      </c>
      <c r="Z1131" s="34">
        <f>Y1131*X1131</f>
        <v/>
      </c>
      <c r="AA1131" s="34">
        <f>X1131+0.5*Z1131</f>
        <v/>
      </c>
      <c r="AB1131" s="34">
        <f>Q1131*J1131</f>
        <v/>
      </c>
      <c r="AC1131" s="34">
        <f>Q1131*L1131</f>
        <v/>
      </c>
      <c r="AD1131" s="34">
        <f>S1131*N1131</f>
        <v/>
      </c>
      <c r="AE1131" s="34">
        <f>E1131*N1131</f>
        <v/>
      </c>
      <c r="AF1131" s="34">
        <f>R1131*N1131</f>
        <v/>
      </c>
      <c r="AG1131" s="29">
        <f>MAX(SumAssured,AA1131)</f>
        <v/>
      </c>
      <c r="AH1131" s="34">
        <f>AG1131*O1131</f>
        <v/>
      </c>
      <c r="AI1131" s="34">
        <f>AA1131*O1131</f>
        <v/>
      </c>
      <c r="AJ1131" s="34">
        <f>AA1131*P1131</f>
        <v/>
      </c>
      <c r="AK1131" s="34">
        <f>I1131*AA1131*P1131</f>
        <v/>
      </c>
      <c r="AL1131" s="34">
        <f>AJ1131-AK1131</f>
        <v/>
      </c>
      <c r="AM1131" s="34">
        <f>Q1131*K1131</f>
        <v/>
      </c>
      <c r="AN1131" s="34">
        <f>AH1131+AL1131+AM1131</f>
        <v/>
      </c>
      <c r="AO1131" s="34">
        <f>(AG1131-AA1131)*O1131</f>
        <v/>
      </c>
      <c r="AP1131" s="34">
        <f>W1131*N1131</f>
        <v/>
      </c>
      <c r="AQ1131" s="34">
        <f>T1131*N1131</f>
        <v/>
      </c>
      <c r="AR1131" s="34">
        <f>Z1131*J1132+0.5*Z1131*(O1131+P1131)</f>
        <v/>
      </c>
      <c r="AS1131" s="30">
        <f>(1+InflationRate)^(A1131/12)</f>
        <v/>
      </c>
      <c r="AT1131" s="29">
        <f>ExpenseAcq*M1131+N1131*ExpenseMaint/12*AS1131</f>
        <v/>
      </c>
      <c r="AU1131" s="29">
        <f>CommissionRate*AE1131</f>
        <v/>
      </c>
      <c r="AV1131" s="34">
        <f>AB1132-AB1131</f>
        <v/>
      </c>
      <c r="AW1131" s="34">
        <f>AE1131+AR1131-AN1131-AT1131-AU1131-AV1131</f>
        <v/>
      </c>
      <c r="AX1131" s="29">
        <f>LoadPremRate*E1131*N1131+AK1131+AQ1131-AU1131-AT1131</f>
        <v/>
      </c>
      <c r="AY1131" s="34">
        <f>AP1131-AO1131</f>
        <v/>
      </c>
      <c r="AZ1131" s="37">
        <f>(AW1131-AX1131-AY1131)/MAX(1,ABS(AW1131),ABS(AX1131),ABS(AY1131))</f>
        <v/>
      </c>
      <c r="BA1131" s="37">
        <f>IF(OR(K1131&gt;0,K1132&gt;0),0,(AC1132-(AC1131+AF1131-AQ1131-AP1131+AR1131-AI1131-AJ1131-AM1131))/MAX(1,ABS(AC1131),ABS(AC1132)))</f>
        <v/>
      </c>
      <c r="BB1131" s="35">
        <f>(1+INDEX(DiscRateAnn,INT(A1131/12)+1))^(1/12)-1</f>
        <v/>
      </c>
      <c r="BC1131" s="31">
        <f>(1+BB1131)^-A1131</f>
        <v/>
      </c>
      <c r="BD1131" s="34">
        <f>AW1131*BC1131</f>
        <v/>
      </c>
    </row>
    <row r="1132">
      <c r="A1132" s="27">
        <f>A1131+1</f>
        <v/>
      </c>
      <c r="B1132" s="28">
        <f>Duration0+A1132</f>
        <v/>
      </c>
      <c r="C1132" s="27">
        <f>INT(B1132/12)</f>
        <v/>
      </c>
      <c r="D1132" s="28">
        <f>AgeAtEntry+C1132</f>
        <v/>
      </c>
      <c r="E1132" s="29">
        <f>IF(PremiumType="SINGLE",IF(B1132=0,PremiumPPInput,0),IF(B1132&lt;12*PolicyTerm,PremiumPPInput,0))</f>
        <v/>
      </c>
      <c r="F1132" s="30">
        <f>INDEX(MortRates,MATCH(MIN(D1132,120),MortAges,0),MAX(MIN(C1132,5),0)+1)</f>
        <v/>
      </c>
      <c r="G1132" s="31">
        <f>1-(1-F1132)^(1/12)</f>
        <v/>
      </c>
      <c r="H1132" s="32">
        <f>MAX(LapseBase-LapseStep*C1132,LapseFloor)</f>
        <v/>
      </c>
      <c r="I1132" s="32">
        <f>IF(HasSurrCharge,INDEX(SurrRates,MIN(C1132,SurrDurMax)+1,MATCH(SurrChargeID,SurrTypes,0)),0)</f>
        <v/>
      </c>
      <c r="J1132" s="33">
        <f>N1131-P1131-O1131</f>
        <v/>
      </c>
      <c r="K1132" s="30">
        <f>IF(B1132=12*PolicyTerm,J1132,0)</f>
        <v/>
      </c>
      <c r="L1132" s="33">
        <f>J1132-K1132</f>
        <v/>
      </c>
      <c r="M1132" s="30">
        <f>IF(B1132=0,PolicyCount,0)</f>
        <v/>
      </c>
      <c r="N1132" s="33">
        <f>L1132+M1132</f>
        <v/>
      </c>
      <c r="O1132" s="31">
        <f>N1132*G1132</f>
        <v/>
      </c>
      <c r="P1132" s="33">
        <f>(N1132-O1132)*(1-(1-H1132)^(1/12))</f>
        <v/>
      </c>
      <c r="Q1132" s="34">
        <f>X1131+Z1131</f>
        <v/>
      </c>
      <c r="R1132" s="29">
        <f>(1-LoadPremRate)*E1132</f>
        <v/>
      </c>
      <c r="S1132" s="34">
        <f>Q1132+R1132</f>
        <v/>
      </c>
      <c r="T1132" s="29">
        <f>MaintFeeRateAnn/12*S1132</f>
        <v/>
      </c>
      <c r="U1132" s="29">
        <f>MAX(SumAssured-S1132,0)</f>
        <v/>
      </c>
      <c r="V1132" s="35">
        <f>CoiMultiple*G1132</f>
        <v/>
      </c>
      <c r="W1132" s="34">
        <f>V1132*U1132</f>
        <v/>
      </c>
      <c r="X1132" s="34">
        <f>S1132-T1132-W1132</f>
        <v/>
      </c>
      <c r="Y1132" s="36">
        <f>EXP((Mu-0.5*Sigma^2)/12+Sigma*SQRT(1/12)*INDEX(NormRand,ScenID,A1132+1))-1</f>
        <v/>
      </c>
      <c r="Z1132" s="34">
        <f>Y1132*X1132</f>
        <v/>
      </c>
      <c r="AA1132" s="34">
        <f>X1132+0.5*Z1132</f>
        <v/>
      </c>
      <c r="AB1132" s="34">
        <f>Q1132*J1132</f>
        <v/>
      </c>
      <c r="AC1132" s="34">
        <f>Q1132*L1132</f>
        <v/>
      </c>
      <c r="AD1132" s="34">
        <f>S1132*N1132</f>
        <v/>
      </c>
      <c r="AE1132" s="34">
        <f>E1132*N1132</f>
        <v/>
      </c>
      <c r="AF1132" s="34">
        <f>R1132*N1132</f>
        <v/>
      </c>
      <c r="AG1132" s="29">
        <f>MAX(SumAssured,AA1132)</f>
        <v/>
      </c>
      <c r="AH1132" s="34">
        <f>AG1132*O1132</f>
        <v/>
      </c>
      <c r="AI1132" s="34">
        <f>AA1132*O1132</f>
        <v/>
      </c>
      <c r="AJ1132" s="34">
        <f>AA1132*P1132</f>
        <v/>
      </c>
      <c r="AK1132" s="34">
        <f>I1132*AA1132*P1132</f>
        <v/>
      </c>
      <c r="AL1132" s="34">
        <f>AJ1132-AK1132</f>
        <v/>
      </c>
      <c r="AM1132" s="34">
        <f>Q1132*K1132</f>
        <v/>
      </c>
      <c r="AN1132" s="34">
        <f>AH1132+AL1132+AM1132</f>
        <v/>
      </c>
      <c r="AO1132" s="34">
        <f>(AG1132-AA1132)*O1132</f>
        <v/>
      </c>
      <c r="AP1132" s="34">
        <f>W1132*N1132</f>
        <v/>
      </c>
      <c r="AQ1132" s="34">
        <f>T1132*N1132</f>
        <v/>
      </c>
      <c r="AR1132" s="34">
        <f>Z1132*J1133+0.5*Z1132*(O1132+P1132)</f>
        <v/>
      </c>
      <c r="AS1132" s="30">
        <f>(1+InflationRate)^(A1132/12)</f>
        <v/>
      </c>
      <c r="AT1132" s="29">
        <f>ExpenseAcq*M1132+N1132*ExpenseMaint/12*AS1132</f>
        <v/>
      </c>
      <c r="AU1132" s="29">
        <f>CommissionRate*AE1132</f>
        <v/>
      </c>
      <c r="AV1132" s="34">
        <f>AB1133-AB1132</f>
        <v/>
      </c>
      <c r="AW1132" s="34">
        <f>AE1132+AR1132-AN1132-AT1132-AU1132-AV1132</f>
        <v/>
      </c>
      <c r="AX1132" s="29">
        <f>LoadPremRate*E1132*N1132+AK1132+AQ1132-AU1132-AT1132</f>
        <v/>
      </c>
      <c r="AY1132" s="34">
        <f>AP1132-AO1132</f>
        <v/>
      </c>
      <c r="AZ1132" s="37">
        <f>(AW1132-AX1132-AY1132)/MAX(1,ABS(AW1132),ABS(AX1132),ABS(AY1132))</f>
        <v/>
      </c>
      <c r="BA1132" s="37">
        <f>IF(OR(K1132&gt;0,K1133&gt;0),0,(AC1133-(AC1132+AF1132-AQ1132-AP1132+AR1132-AI1132-AJ1132-AM1132))/MAX(1,ABS(AC1132),ABS(AC1133)))</f>
        <v/>
      </c>
      <c r="BB1132" s="35">
        <f>(1+INDEX(DiscRateAnn,INT(A1132/12)+1))^(1/12)-1</f>
        <v/>
      </c>
      <c r="BC1132" s="31">
        <f>(1+BB1132)^-A1132</f>
        <v/>
      </c>
      <c r="BD1132" s="34">
        <f>AW1132*BC1132</f>
        <v/>
      </c>
    </row>
    <row r="1133">
      <c r="A1133" s="27">
        <f>A1132+1</f>
        <v/>
      </c>
      <c r="B1133" s="28">
        <f>Duration0+A1133</f>
        <v/>
      </c>
      <c r="C1133" s="27">
        <f>INT(B1133/12)</f>
        <v/>
      </c>
      <c r="D1133" s="28">
        <f>AgeAtEntry+C1133</f>
        <v/>
      </c>
      <c r="E1133" s="29">
        <f>IF(PremiumType="SINGLE",IF(B1133=0,PremiumPPInput,0),IF(B1133&lt;12*PolicyTerm,PremiumPPInput,0))</f>
        <v/>
      </c>
      <c r="F1133" s="30">
        <f>INDEX(MortRates,MATCH(MIN(D1133,120),MortAges,0),MAX(MIN(C1133,5),0)+1)</f>
        <v/>
      </c>
      <c r="G1133" s="31">
        <f>1-(1-F1133)^(1/12)</f>
        <v/>
      </c>
      <c r="H1133" s="32">
        <f>MAX(LapseBase-LapseStep*C1133,LapseFloor)</f>
        <v/>
      </c>
      <c r="I1133" s="32">
        <f>IF(HasSurrCharge,INDEX(SurrRates,MIN(C1133,SurrDurMax)+1,MATCH(SurrChargeID,SurrTypes,0)),0)</f>
        <v/>
      </c>
      <c r="J1133" s="33">
        <f>N1132-P1132-O1132</f>
        <v/>
      </c>
      <c r="K1133" s="30">
        <f>IF(B1133=12*PolicyTerm,J1133,0)</f>
        <v/>
      </c>
      <c r="L1133" s="33">
        <f>J1133-K1133</f>
        <v/>
      </c>
      <c r="M1133" s="30">
        <f>IF(B1133=0,PolicyCount,0)</f>
        <v/>
      </c>
      <c r="N1133" s="33">
        <f>L1133+M1133</f>
        <v/>
      </c>
      <c r="O1133" s="31">
        <f>N1133*G1133</f>
        <v/>
      </c>
      <c r="P1133" s="33">
        <f>(N1133-O1133)*(1-(1-H1133)^(1/12))</f>
        <v/>
      </c>
      <c r="Q1133" s="34">
        <f>X1132+Z1132</f>
        <v/>
      </c>
      <c r="R1133" s="29">
        <f>(1-LoadPremRate)*E1133</f>
        <v/>
      </c>
      <c r="S1133" s="34">
        <f>Q1133+R1133</f>
        <v/>
      </c>
      <c r="T1133" s="29">
        <f>MaintFeeRateAnn/12*S1133</f>
        <v/>
      </c>
      <c r="U1133" s="29">
        <f>MAX(SumAssured-S1133,0)</f>
        <v/>
      </c>
      <c r="V1133" s="35">
        <f>CoiMultiple*G1133</f>
        <v/>
      </c>
      <c r="W1133" s="34">
        <f>V1133*U1133</f>
        <v/>
      </c>
      <c r="X1133" s="34">
        <f>S1133-T1133-W1133</f>
        <v/>
      </c>
      <c r="Y1133" s="36">
        <f>EXP((Mu-0.5*Sigma^2)/12+Sigma*SQRT(1/12)*INDEX(NormRand,ScenID,A1133+1))-1</f>
        <v/>
      </c>
      <c r="Z1133" s="34">
        <f>Y1133*X1133</f>
        <v/>
      </c>
      <c r="AA1133" s="34">
        <f>X1133+0.5*Z1133</f>
        <v/>
      </c>
      <c r="AB1133" s="34">
        <f>Q1133*J1133</f>
        <v/>
      </c>
      <c r="AC1133" s="34">
        <f>Q1133*L1133</f>
        <v/>
      </c>
      <c r="AD1133" s="34">
        <f>S1133*N1133</f>
        <v/>
      </c>
      <c r="AE1133" s="34">
        <f>E1133*N1133</f>
        <v/>
      </c>
      <c r="AF1133" s="34">
        <f>R1133*N1133</f>
        <v/>
      </c>
      <c r="AG1133" s="29">
        <f>MAX(SumAssured,AA1133)</f>
        <v/>
      </c>
      <c r="AH1133" s="34">
        <f>AG1133*O1133</f>
        <v/>
      </c>
      <c r="AI1133" s="34">
        <f>AA1133*O1133</f>
        <v/>
      </c>
      <c r="AJ1133" s="34">
        <f>AA1133*P1133</f>
        <v/>
      </c>
      <c r="AK1133" s="34">
        <f>I1133*AA1133*P1133</f>
        <v/>
      </c>
      <c r="AL1133" s="34">
        <f>AJ1133-AK1133</f>
        <v/>
      </c>
      <c r="AM1133" s="34">
        <f>Q1133*K1133</f>
        <v/>
      </c>
      <c r="AN1133" s="34">
        <f>AH1133+AL1133+AM1133</f>
        <v/>
      </c>
      <c r="AO1133" s="34">
        <f>(AG1133-AA1133)*O1133</f>
        <v/>
      </c>
      <c r="AP1133" s="34">
        <f>W1133*N1133</f>
        <v/>
      </c>
      <c r="AQ1133" s="34">
        <f>T1133*N1133</f>
        <v/>
      </c>
      <c r="AR1133" s="34">
        <f>Z1133*J1134+0.5*Z1133*(O1133+P1133)</f>
        <v/>
      </c>
      <c r="AS1133" s="30">
        <f>(1+InflationRate)^(A1133/12)</f>
        <v/>
      </c>
      <c r="AT1133" s="29">
        <f>ExpenseAcq*M1133+N1133*ExpenseMaint/12*AS1133</f>
        <v/>
      </c>
      <c r="AU1133" s="29">
        <f>CommissionRate*AE1133</f>
        <v/>
      </c>
      <c r="AV1133" s="34">
        <f>AB1134-AB1133</f>
        <v/>
      </c>
      <c r="AW1133" s="34">
        <f>AE1133+AR1133-AN1133-AT1133-AU1133-AV1133</f>
        <v/>
      </c>
      <c r="AX1133" s="29">
        <f>LoadPremRate*E1133*N1133+AK1133+AQ1133-AU1133-AT1133</f>
        <v/>
      </c>
      <c r="AY1133" s="34">
        <f>AP1133-AO1133</f>
        <v/>
      </c>
      <c r="AZ1133" s="37">
        <f>(AW1133-AX1133-AY1133)/MAX(1,ABS(AW1133),ABS(AX1133),ABS(AY1133))</f>
        <v/>
      </c>
      <c r="BA1133" s="37">
        <f>IF(OR(K1133&gt;0,K1134&gt;0),0,(AC1134-(AC1133+AF1133-AQ1133-AP1133+AR1133-AI1133-AJ1133-AM1133))/MAX(1,ABS(AC1133),ABS(AC1134)))</f>
        <v/>
      </c>
      <c r="BB1133" s="35">
        <f>(1+INDEX(DiscRateAnn,INT(A1133/12)+1))^(1/12)-1</f>
        <v/>
      </c>
      <c r="BC1133" s="31">
        <f>(1+BB1133)^-A1133</f>
        <v/>
      </c>
      <c r="BD1133" s="34">
        <f>AW1133*BC1133</f>
        <v/>
      </c>
    </row>
    <row r="1134">
      <c r="A1134" s="27">
        <f>A1133+1</f>
        <v/>
      </c>
      <c r="B1134" s="28">
        <f>Duration0+A1134</f>
        <v/>
      </c>
      <c r="C1134" s="27">
        <f>INT(B1134/12)</f>
        <v/>
      </c>
      <c r="D1134" s="28">
        <f>AgeAtEntry+C1134</f>
        <v/>
      </c>
      <c r="E1134" s="29">
        <f>IF(PremiumType="SINGLE",IF(B1134=0,PremiumPPInput,0),IF(B1134&lt;12*PolicyTerm,PremiumPPInput,0))</f>
        <v/>
      </c>
      <c r="F1134" s="30">
        <f>INDEX(MortRates,MATCH(MIN(D1134,120),MortAges,0),MAX(MIN(C1134,5),0)+1)</f>
        <v/>
      </c>
      <c r="G1134" s="31">
        <f>1-(1-F1134)^(1/12)</f>
        <v/>
      </c>
      <c r="H1134" s="32">
        <f>MAX(LapseBase-LapseStep*C1134,LapseFloor)</f>
        <v/>
      </c>
      <c r="I1134" s="32">
        <f>IF(HasSurrCharge,INDEX(SurrRates,MIN(C1134,SurrDurMax)+1,MATCH(SurrChargeID,SurrTypes,0)),0)</f>
        <v/>
      </c>
      <c r="J1134" s="33">
        <f>N1133-P1133-O1133</f>
        <v/>
      </c>
      <c r="K1134" s="30">
        <f>IF(B1134=12*PolicyTerm,J1134,0)</f>
        <v/>
      </c>
      <c r="L1134" s="33">
        <f>J1134-K1134</f>
        <v/>
      </c>
      <c r="M1134" s="30">
        <f>IF(B1134=0,PolicyCount,0)</f>
        <v/>
      </c>
      <c r="N1134" s="33">
        <f>L1134+M1134</f>
        <v/>
      </c>
      <c r="O1134" s="31">
        <f>N1134*G1134</f>
        <v/>
      </c>
      <c r="P1134" s="33">
        <f>(N1134-O1134)*(1-(1-H1134)^(1/12))</f>
        <v/>
      </c>
      <c r="Q1134" s="34">
        <f>X1133+Z1133</f>
        <v/>
      </c>
      <c r="R1134" s="29">
        <f>(1-LoadPremRate)*E1134</f>
        <v/>
      </c>
      <c r="S1134" s="34">
        <f>Q1134+R1134</f>
        <v/>
      </c>
      <c r="T1134" s="29">
        <f>MaintFeeRateAnn/12*S1134</f>
        <v/>
      </c>
      <c r="U1134" s="29">
        <f>MAX(SumAssured-S1134,0)</f>
        <v/>
      </c>
      <c r="V1134" s="35">
        <f>CoiMultiple*G1134</f>
        <v/>
      </c>
      <c r="W1134" s="34">
        <f>V1134*U1134</f>
        <v/>
      </c>
      <c r="X1134" s="34">
        <f>S1134-T1134-W1134</f>
        <v/>
      </c>
      <c r="Y1134" s="36">
        <f>EXP((Mu-0.5*Sigma^2)/12+Sigma*SQRT(1/12)*INDEX(NormRand,ScenID,A1134+1))-1</f>
        <v/>
      </c>
      <c r="Z1134" s="34">
        <f>Y1134*X1134</f>
        <v/>
      </c>
      <c r="AA1134" s="34">
        <f>X1134+0.5*Z1134</f>
        <v/>
      </c>
      <c r="AB1134" s="34">
        <f>Q1134*J1134</f>
        <v/>
      </c>
      <c r="AC1134" s="34">
        <f>Q1134*L1134</f>
        <v/>
      </c>
      <c r="AD1134" s="34">
        <f>S1134*N1134</f>
        <v/>
      </c>
      <c r="AE1134" s="34">
        <f>E1134*N1134</f>
        <v/>
      </c>
      <c r="AF1134" s="34">
        <f>R1134*N1134</f>
        <v/>
      </c>
      <c r="AG1134" s="29">
        <f>MAX(SumAssured,AA1134)</f>
        <v/>
      </c>
      <c r="AH1134" s="34">
        <f>AG1134*O1134</f>
        <v/>
      </c>
      <c r="AI1134" s="34">
        <f>AA1134*O1134</f>
        <v/>
      </c>
      <c r="AJ1134" s="34">
        <f>AA1134*P1134</f>
        <v/>
      </c>
      <c r="AK1134" s="34">
        <f>I1134*AA1134*P1134</f>
        <v/>
      </c>
      <c r="AL1134" s="34">
        <f>AJ1134-AK1134</f>
        <v/>
      </c>
      <c r="AM1134" s="34">
        <f>Q1134*K1134</f>
        <v/>
      </c>
      <c r="AN1134" s="34">
        <f>AH1134+AL1134+AM1134</f>
        <v/>
      </c>
      <c r="AO1134" s="34">
        <f>(AG1134-AA1134)*O1134</f>
        <v/>
      </c>
      <c r="AP1134" s="34">
        <f>W1134*N1134</f>
        <v/>
      </c>
      <c r="AQ1134" s="34">
        <f>T1134*N1134</f>
        <v/>
      </c>
      <c r="AR1134" s="34">
        <f>Z1134*J1135+0.5*Z1134*(O1134+P1134)</f>
        <v/>
      </c>
      <c r="AS1134" s="30">
        <f>(1+InflationRate)^(A1134/12)</f>
        <v/>
      </c>
      <c r="AT1134" s="29">
        <f>ExpenseAcq*M1134+N1134*ExpenseMaint/12*AS1134</f>
        <v/>
      </c>
      <c r="AU1134" s="29">
        <f>CommissionRate*AE1134</f>
        <v/>
      </c>
      <c r="AV1134" s="34">
        <f>AB1135-AB1134</f>
        <v/>
      </c>
      <c r="AW1134" s="34">
        <f>AE1134+AR1134-AN1134-AT1134-AU1134-AV1134</f>
        <v/>
      </c>
      <c r="AX1134" s="29">
        <f>LoadPremRate*E1134*N1134+AK1134+AQ1134-AU1134-AT1134</f>
        <v/>
      </c>
      <c r="AY1134" s="34">
        <f>AP1134-AO1134</f>
        <v/>
      </c>
      <c r="AZ1134" s="37">
        <f>(AW1134-AX1134-AY1134)/MAX(1,ABS(AW1134),ABS(AX1134),ABS(AY1134))</f>
        <v/>
      </c>
      <c r="BA1134" s="37">
        <f>IF(OR(K1134&gt;0,K1135&gt;0),0,(AC1135-(AC1134+AF1134-AQ1134-AP1134+AR1134-AI1134-AJ1134-AM1134))/MAX(1,ABS(AC1134),ABS(AC1135)))</f>
        <v/>
      </c>
      <c r="BB1134" s="35">
        <f>(1+INDEX(DiscRateAnn,INT(A1134/12)+1))^(1/12)-1</f>
        <v/>
      </c>
      <c r="BC1134" s="31">
        <f>(1+BB1134)^-A1134</f>
        <v/>
      </c>
      <c r="BD1134" s="34">
        <f>AW1134*BC1134</f>
        <v/>
      </c>
    </row>
    <row r="1135">
      <c r="A1135" s="27">
        <f>A1134+1</f>
        <v/>
      </c>
      <c r="B1135" s="28">
        <f>Duration0+A1135</f>
        <v/>
      </c>
      <c r="C1135" s="27">
        <f>INT(B1135/12)</f>
        <v/>
      </c>
      <c r="D1135" s="28">
        <f>AgeAtEntry+C1135</f>
        <v/>
      </c>
      <c r="E1135" s="29">
        <f>IF(PremiumType="SINGLE",IF(B1135=0,PremiumPPInput,0),IF(B1135&lt;12*PolicyTerm,PremiumPPInput,0))</f>
        <v/>
      </c>
      <c r="F1135" s="30">
        <f>INDEX(MortRates,MATCH(MIN(D1135,120),MortAges,0),MAX(MIN(C1135,5),0)+1)</f>
        <v/>
      </c>
      <c r="G1135" s="31">
        <f>1-(1-F1135)^(1/12)</f>
        <v/>
      </c>
      <c r="H1135" s="32">
        <f>MAX(LapseBase-LapseStep*C1135,LapseFloor)</f>
        <v/>
      </c>
      <c r="I1135" s="32">
        <f>IF(HasSurrCharge,INDEX(SurrRates,MIN(C1135,SurrDurMax)+1,MATCH(SurrChargeID,SurrTypes,0)),0)</f>
        <v/>
      </c>
      <c r="J1135" s="33">
        <f>N1134-P1134-O1134</f>
        <v/>
      </c>
      <c r="K1135" s="30">
        <f>IF(B1135=12*PolicyTerm,J1135,0)</f>
        <v/>
      </c>
      <c r="L1135" s="33">
        <f>J1135-K1135</f>
        <v/>
      </c>
      <c r="M1135" s="30">
        <f>IF(B1135=0,PolicyCount,0)</f>
        <v/>
      </c>
      <c r="N1135" s="33">
        <f>L1135+M1135</f>
        <v/>
      </c>
      <c r="O1135" s="31">
        <f>N1135*G1135</f>
        <v/>
      </c>
      <c r="P1135" s="33">
        <f>(N1135-O1135)*(1-(1-H1135)^(1/12))</f>
        <v/>
      </c>
      <c r="Q1135" s="34">
        <f>X1134+Z1134</f>
        <v/>
      </c>
      <c r="R1135" s="29">
        <f>(1-LoadPremRate)*E1135</f>
        <v/>
      </c>
      <c r="S1135" s="34">
        <f>Q1135+R1135</f>
        <v/>
      </c>
      <c r="T1135" s="29">
        <f>MaintFeeRateAnn/12*S1135</f>
        <v/>
      </c>
      <c r="U1135" s="29">
        <f>MAX(SumAssured-S1135,0)</f>
        <v/>
      </c>
      <c r="V1135" s="35">
        <f>CoiMultiple*G1135</f>
        <v/>
      </c>
      <c r="W1135" s="34">
        <f>V1135*U1135</f>
        <v/>
      </c>
      <c r="X1135" s="34">
        <f>S1135-T1135-W1135</f>
        <v/>
      </c>
      <c r="Y1135" s="36">
        <f>EXP((Mu-0.5*Sigma^2)/12+Sigma*SQRT(1/12)*INDEX(NormRand,ScenID,A1135+1))-1</f>
        <v/>
      </c>
      <c r="Z1135" s="34">
        <f>Y1135*X1135</f>
        <v/>
      </c>
      <c r="AA1135" s="34">
        <f>X1135+0.5*Z1135</f>
        <v/>
      </c>
      <c r="AB1135" s="34">
        <f>Q1135*J1135</f>
        <v/>
      </c>
      <c r="AC1135" s="34">
        <f>Q1135*L1135</f>
        <v/>
      </c>
      <c r="AD1135" s="34">
        <f>S1135*N1135</f>
        <v/>
      </c>
      <c r="AE1135" s="34">
        <f>E1135*N1135</f>
        <v/>
      </c>
      <c r="AF1135" s="34">
        <f>R1135*N1135</f>
        <v/>
      </c>
      <c r="AG1135" s="29">
        <f>MAX(SumAssured,AA1135)</f>
        <v/>
      </c>
      <c r="AH1135" s="34">
        <f>AG1135*O1135</f>
        <v/>
      </c>
      <c r="AI1135" s="34">
        <f>AA1135*O1135</f>
        <v/>
      </c>
      <c r="AJ1135" s="34">
        <f>AA1135*P1135</f>
        <v/>
      </c>
      <c r="AK1135" s="34">
        <f>I1135*AA1135*P1135</f>
        <v/>
      </c>
      <c r="AL1135" s="34">
        <f>AJ1135-AK1135</f>
        <v/>
      </c>
      <c r="AM1135" s="34">
        <f>Q1135*K1135</f>
        <v/>
      </c>
      <c r="AN1135" s="34">
        <f>AH1135+AL1135+AM1135</f>
        <v/>
      </c>
      <c r="AO1135" s="34">
        <f>(AG1135-AA1135)*O1135</f>
        <v/>
      </c>
      <c r="AP1135" s="34">
        <f>W1135*N1135</f>
        <v/>
      </c>
      <c r="AQ1135" s="34">
        <f>T1135*N1135</f>
        <v/>
      </c>
      <c r="AR1135" s="34">
        <f>Z1135*J1136+0.5*Z1135*(O1135+P1135)</f>
        <v/>
      </c>
      <c r="AS1135" s="30">
        <f>(1+InflationRate)^(A1135/12)</f>
        <v/>
      </c>
      <c r="AT1135" s="29">
        <f>ExpenseAcq*M1135+N1135*ExpenseMaint/12*AS1135</f>
        <v/>
      </c>
      <c r="AU1135" s="29">
        <f>CommissionRate*AE1135</f>
        <v/>
      </c>
      <c r="AV1135" s="34">
        <f>AB1136-AB1135</f>
        <v/>
      </c>
      <c r="AW1135" s="34">
        <f>AE1135+AR1135-AN1135-AT1135-AU1135-AV1135</f>
        <v/>
      </c>
      <c r="AX1135" s="29">
        <f>LoadPremRate*E1135*N1135+AK1135+AQ1135-AU1135-AT1135</f>
        <v/>
      </c>
      <c r="AY1135" s="34">
        <f>AP1135-AO1135</f>
        <v/>
      </c>
      <c r="AZ1135" s="37">
        <f>(AW1135-AX1135-AY1135)/MAX(1,ABS(AW1135),ABS(AX1135),ABS(AY1135))</f>
        <v/>
      </c>
      <c r="BA1135" s="37">
        <f>IF(OR(K1135&gt;0,K1136&gt;0),0,(AC1136-(AC1135+AF1135-AQ1135-AP1135+AR1135-AI1135-AJ1135-AM1135))/MAX(1,ABS(AC1135),ABS(AC1136)))</f>
        <v/>
      </c>
      <c r="BB1135" s="35">
        <f>(1+INDEX(DiscRateAnn,INT(A1135/12)+1))^(1/12)-1</f>
        <v/>
      </c>
      <c r="BC1135" s="31">
        <f>(1+BB1135)^-A1135</f>
        <v/>
      </c>
      <c r="BD1135" s="34">
        <f>AW1135*BC1135</f>
        <v/>
      </c>
    </row>
    <row r="1136">
      <c r="A1136" s="27">
        <f>A1135+1</f>
        <v/>
      </c>
      <c r="B1136" s="28">
        <f>Duration0+A1136</f>
        <v/>
      </c>
      <c r="C1136" s="27">
        <f>INT(B1136/12)</f>
        <v/>
      </c>
      <c r="D1136" s="28">
        <f>AgeAtEntry+C1136</f>
        <v/>
      </c>
      <c r="E1136" s="29">
        <f>IF(PremiumType="SINGLE",IF(B1136=0,PremiumPPInput,0),IF(B1136&lt;12*PolicyTerm,PremiumPPInput,0))</f>
        <v/>
      </c>
      <c r="F1136" s="30">
        <f>INDEX(MortRates,MATCH(MIN(D1136,120),MortAges,0),MAX(MIN(C1136,5),0)+1)</f>
        <v/>
      </c>
      <c r="G1136" s="31">
        <f>1-(1-F1136)^(1/12)</f>
        <v/>
      </c>
      <c r="H1136" s="32">
        <f>MAX(LapseBase-LapseStep*C1136,LapseFloor)</f>
        <v/>
      </c>
      <c r="I1136" s="32">
        <f>IF(HasSurrCharge,INDEX(SurrRates,MIN(C1136,SurrDurMax)+1,MATCH(SurrChargeID,SurrTypes,0)),0)</f>
        <v/>
      </c>
      <c r="J1136" s="33">
        <f>N1135-P1135-O1135</f>
        <v/>
      </c>
      <c r="K1136" s="30">
        <f>IF(B1136=12*PolicyTerm,J1136,0)</f>
        <v/>
      </c>
      <c r="L1136" s="33">
        <f>J1136-K1136</f>
        <v/>
      </c>
      <c r="M1136" s="30">
        <f>IF(B1136=0,PolicyCount,0)</f>
        <v/>
      </c>
      <c r="N1136" s="33">
        <f>L1136+M1136</f>
        <v/>
      </c>
      <c r="O1136" s="31">
        <f>N1136*G1136</f>
        <v/>
      </c>
      <c r="P1136" s="33">
        <f>(N1136-O1136)*(1-(1-H1136)^(1/12))</f>
        <v/>
      </c>
      <c r="Q1136" s="34">
        <f>X1135+Z1135</f>
        <v/>
      </c>
      <c r="R1136" s="29">
        <f>(1-LoadPremRate)*E1136</f>
        <v/>
      </c>
      <c r="S1136" s="34">
        <f>Q1136+R1136</f>
        <v/>
      </c>
      <c r="T1136" s="29">
        <f>MaintFeeRateAnn/12*S1136</f>
        <v/>
      </c>
      <c r="U1136" s="29">
        <f>MAX(SumAssured-S1136,0)</f>
        <v/>
      </c>
      <c r="V1136" s="35">
        <f>CoiMultiple*G1136</f>
        <v/>
      </c>
      <c r="W1136" s="34">
        <f>V1136*U1136</f>
        <v/>
      </c>
      <c r="X1136" s="34">
        <f>S1136-T1136-W1136</f>
        <v/>
      </c>
      <c r="Y1136" s="36">
        <f>EXP((Mu-0.5*Sigma^2)/12+Sigma*SQRT(1/12)*INDEX(NormRand,ScenID,A1136+1))-1</f>
        <v/>
      </c>
      <c r="Z1136" s="34">
        <f>Y1136*X1136</f>
        <v/>
      </c>
      <c r="AA1136" s="34">
        <f>X1136+0.5*Z1136</f>
        <v/>
      </c>
      <c r="AB1136" s="34">
        <f>Q1136*J1136</f>
        <v/>
      </c>
      <c r="AC1136" s="34">
        <f>Q1136*L1136</f>
        <v/>
      </c>
      <c r="AD1136" s="34">
        <f>S1136*N1136</f>
        <v/>
      </c>
      <c r="AE1136" s="34">
        <f>E1136*N1136</f>
        <v/>
      </c>
      <c r="AF1136" s="34">
        <f>R1136*N1136</f>
        <v/>
      </c>
      <c r="AG1136" s="29">
        <f>MAX(SumAssured,AA1136)</f>
        <v/>
      </c>
      <c r="AH1136" s="34">
        <f>AG1136*O1136</f>
        <v/>
      </c>
      <c r="AI1136" s="34">
        <f>AA1136*O1136</f>
        <v/>
      </c>
      <c r="AJ1136" s="34">
        <f>AA1136*P1136</f>
        <v/>
      </c>
      <c r="AK1136" s="34">
        <f>I1136*AA1136*P1136</f>
        <v/>
      </c>
      <c r="AL1136" s="34">
        <f>AJ1136-AK1136</f>
        <v/>
      </c>
      <c r="AM1136" s="34">
        <f>Q1136*K1136</f>
        <v/>
      </c>
      <c r="AN1136" s="34">
        <f>AH1136+AL1136+AM1136</f>
        <v/>
      </c>
      <c r="AO1136" s="34">
        <f>(AG1136-AA1136)*O1136</f>
        <v/>
      </c>
      <c r="AP1136" s="34">
        <f>W1136*N1136</f>
        <v/>
      </c>
      <c r="AQ1136" s="34">
        <f>T1136*N1136</f>
        <v/>
      </c>
      <c r="AR1136" s="34">
        <f>Z1136*J1137+0.5*Z1136*(O1136+P1136)</f>
        <v/>
      </c>
      <c r="AS1136" s="30">
        <f>(1+InflationRate)^(A1136/12)</f>
        <v/>
      </c>
      <c r="AT1136" s="29">
        <f>ExpenseAcq*M1136+N1136*ExpenseMaint/12*AS1136</f>
        <v/>
      </c>
      <c r="AU1136" s="29">
        <f>CommissionRate*AE1136</f>
        <v/>
      </c>
      <c r="AV1136" s="34">
        <f>AB1137-AB1136</f>
        <v/>
      </c>
      <c r="AW1136" s="34">
        <f>AE1136+AR1136-AN1136-AT1136-AU1136-AV1136</f>
        <v/>
      </c>
      <c r="AX1136" s="29">
        <f>LoadPremRate*E1136*N1136+AK1136+AQ1136-AU1136-AT1136</f>
        <v/>
      </c>
      <c r="AY1136" s="34">
        <f>AP1136-AO1136</f>
        <v/>
      </c>
      <c r="AZ1136" s="37">
        <f>(AW1136-AX1136-AY1136)/MAX(1,ABS(AW1136),ABS(AX1136),ABS(AY1136))</f>
        <v/>
      </c>
      <c r="BA1136" s="37">
        <f>IF(OR(K1136&gt;0,K1137&gt;0),0,(AC1137-(AC1136+AF1136-AQ1136-AP1136+AR1136-AI1136-AJ1136-AM1136))/MAX(1,ABS(AC1136),ABS(AC1137)))</f>
        <v/>
      </c>
      <c r="BB1136" s="35">
        <f>(1+INDEX(DiscRateAnn,INT(A1136/12)+1))^(1/12)-1</f>
        <v/>
      </c>
      <c r="BC1136" s="31">
        <f>(1+BB1136)^-A1136</f>
        <v/>
      </c>
      <c r="BD1136" s="34">
        <f>AW1136*BC1136</f>
        <v/>
      </c>
    </row>
    <row r="1137">
      <c r="A1137" s="27">
        <f>A1136+1</f>
        <v/>
      </c>
      <c r="B1137" s="28">
        <f>Duration0+A1137</f>
        <v/>
      </c>
      <c r="C1137" s="27">
        <f>INT(B1137/12)</f>
        <v/>
      </c>
      <c r="D1137" s="28">
        <f>AgeAtEntry+C1137</f>
        <v/>
      </c>
      <c r="E1137" s="29">
        <f>IF(PremiumType="SINGLE",IF(B1137=0,PremiumPPInput,0),IF(B1137&lt;12*PolicyTerm,PremiumPPInput,0))</f>
        <v/>
      </c>
      <c r="F1137" s="30">
        <f>INDEX(MortRates,MATCH(MIN(D1137,120),MortAges,0),MAX(MIN(C1137,5),0)+1)</f>
        <v/>
      </c>
      <c r="G1137" s="31">
        <f>1-(1-F1137)^(1/12)</f>
        <v/>
      </c>
      <c r="H1137" s="32">
        <f>MAX(LapseBase-LapseStep*C1137,LapseFloor)</f>
        <v/>
      </c>
      <c r="I1137" s="32">
        <f>IF(HasSurrCharge,INDEX(SurrRates,MIN(C1137,SurrDurMax)+1,MATCH(SurrChargeID,SurrTypes,0)),0)</f>
        <v/>
      </c>
      <c r="J1137" s="33">
        <f>N1136-P1136-O1136</f>
        <v/>
      </c>
      <c r="K1137" s="30">
        <f>IF(B1137=12*PolicyTerm,J1137,0)</f>
        <v/>
      </c>
      <c r="L1137" s="33">
        <f>J1137-K1137</f>
        <v/>
      </c>
      <c r="M1137" s="30">
        <f>IF(B1137=0,PolicyCount,0)</f>
        <v/>
      </c>
      <c r="N1137" s="33">
        <f>L1137+M1137</f>
        <v/>
      </c>
      <c r="O1137" s="31">
        <f>N1137*G1137</f>
        <v/>
      </c>
      <c r="P1137" s="33">
        <f>(N1137-O1137)*(1-(1-H1137)^(1/12))</f>
        <v/>
      </c>
      <c r="Q1137" s="34">
        <f>X1136+Z1136</f>
        <v/>
      </c>
      <c r="R1137" s="29">
        <f>(1-LoadPremRate)*E1137</f>
        <v/>
      </c>
      <c r="S1137" s="34">
        <f>Q1137+R1137</f>
        <v/>
      </c>
      <c r="T1137" s="29">
        <f>MaintFeeRateAnn/12*S1137</f>
        <v/>
      </c>
      <c r="U1137" s="29">
        <f>MAX(SumAssured-S1137,0)</f>
        <v/>
      </c>
      <c r="V1137" s="35">
        <f>CoiMultiple*G1137</f>
        <v/>
      </c>
      <c r="W1137" s="34">
        <f>V1137*U1137</f>
        <v/>
      </c>
      <c r="X1137" s="34">
        <f>S1137-T1137-W1137</f>
        <v/>
      </c>
      <c r="Y1137" s="36">
        <f>EXP((Mu-0.5*Sigma^2)/12+Sigma*SQRT(1/12)*INDEX(NormRand,ScenID,A1137+1))-1</f>
        <v/>
      </c>
      <c r="Z1137" s="34">
        <f>Y1137*X1137</f>
        <v/>
      </c>
      <c r="AA1137" s="34">
        <f>X1137+0.5*Z1137</f>
        <v/>
      </c>
      <c r="AB1137" s="34">
        <f>Q1137*J1137</f>
        <v/>
      </c>
      <c r="AC1137" s="34">
        <f>Q1137*L1137</f>
        <v/>
      </c>
      <c r="AD1137" s="34">
        <f>S1137*N1137</f>
        <v/>
      </c>
      <c r="AE1137" s="34">
        <f>E1137*N1137</f>
        <v/>
      </c>
      <c r="AF1137" s="34">
        <f>R1137*N1137</f>
        <v/>
      </c>
      <c r="AG1137" s="29">
        <f>MAX(SumAssured,AA1137)</f>
        <v/>
      </c>
      <c r="AH1137" s="34">
        <f>AG1137*O1137</f>
        <v/>
      </c>
      <c r="AI1137" s="34">
        <f>AA1137*O1137</f>
        <v/>
      </c>
      <c r="AJ1137" s="34">
        <f>AA1137*P1137</f>
        <v/>
      </c>
      <c r="AK1137" s="34">
        <f>I1137*AA1137*P1137</f>
        <v/>
      </c>
      <c r="AL1137" s="34">
        <f>AJ1137-AK1137</f>
        <v/>
      </c>
      <c r="AM1137" s="34">
        <f>Q1137*K1137</f>
        <v/>
      </c>
      <c r="AN1137" s="34">
        <f>AH1137+AL1137+AM1137</f>
        <v/>
      </c>
      <c r="AO1137" s="34">
        <f>(AG1137-AA1137)*O1137</f>
        <v/>
      </c>
      <c r="AP1137" s="34">
        <f>W1137*N1137</f>
        <v/>
      </c>
      <c r="AQ1137" s="34">
        <f>T1137*N1137</f>
        <v/>
      </c>
      <c r="AR1137" s="34">
        <f>Z1137*J1138+0.5*Z1137*(O1137+P1137)</f>
        <v/>
      </c>
      <c r="AS1137" s="30">
        <f>(1+InflationRate)^(A1137/12)</f>
        <v/>
      </c>
      <c r="AT1137" s="29">
        <f>ExpenseAcq*M1137+N1137*ExpenseMaint/12*AS1137</f>
        <v/>
      </c>
      <c r="AU1137" s="29">
        <f>CommissionRate*AE1137</f>
        <v/>
      </c>
      <c r="AV1137" s="34">
        <f>AB1138-AB1137</f>
        <v/>
      </c>
      <c r="AW1137" s="34">
        <f>AE1137+AR1137-AN1137-AT1137-AU1137-AV1137</f>
        <v/>
      </c>
      <c r="AX1137" s="29">
        <f>LoadPremRate*E1137*N1137+AK1137+AQ1137-AU1137-AT1137</f>
        <v/>
      </c>
      <c r="AY1137" s="34">
        <f>AP1137-AO1137</f>
        <v/>
      </c>
      <c r="AZ1137" s="37">
        <f>(AW1137-AX1137-AY1137)/MAX(1,ABS(AW1137),ABS(AX1137),ABS(AY1137))</f>
        <v/>
      </c>
      <c r="BA1137" s="37">
        <f>IF(OR(K1137&gt;0,K1138&gt;0),0,(AC1138-(AC1137+AF1137-AQ1137-AP1137+AR1137-AI1137-AJ1137-AM1137))/MAX(1,ABS(AC1137),ABS(AC1138)))</f>
        <v/>
      </c>
      <c r="BB1137" s="35">
        <f>(1+INDEX(DiscRateAnn,INT(A1137/12)+1))^(1/12)-1</f>
        <v/>
      </c>
      <c r="BC1137" s="31">
        <f>(1+BB1137)^-A1137</f>
        <v/>
      </c>
      <c r="BD1137" s="34">
        <f>AW1137*BC1137</f>
        <v/>
      </c>
    </row>
    <row r="1138">
      <c r="A1138" s="27">
        <f>A1137+1</f>
        <v/>
      </c>
      <c r="B1138" s="28">
        <f>Duration0+A1138</f>
        <v/>
      </c>
      <c r="C1138" s="27">
        <f>INT(B1138/12)</f>
        <v/>
      </c>
      <c r="D1138" s="28">
        <f>AgeAtEntry+C1138</f>
        <v/>
      </c>
      <c r="E1138" s="29">
        <f>IF(PremiumType="SINGLE",IF(B1138=0,PremiumPPInput,0),IF(B1138&lt;12*PolicyTerm,PremiumPPInput,0))</f>
        <v/>
      </c>
      <c r="F1138" s="30">
        <f>INDEX(MortRates,MATCH(MIN(D1138,120),MortAges,0),MAX(MIN(C1138,5),0)+1)</f>
        <v/>
      </c>
      <c r="G1138" s="31">
        <f>1-(1-F1138)^(1/12)</f>
        <v/>
      </c>
      <c r="H1138" s="32">
        <f>MAX(LapseBase-LapseStep*C1138,LapseFloor)</f>
        <v/>
      </c>
      <c r="I1138" s="32">
        <f>IF(HasSurrCharge,INDEX(SurrRates,MIN(C1138,SurrDurMax)+1,MATCH(SurrChargeID,SurrTypes,0)),0)</f>
        <v/>
      </c>
      <c r="J1138" s="33">
        <f>N1137-P1137-O1137</f>
        <v/>
      </c>
      <c r="K1138" s="30">
        <f>IF(B1138=12*PolicyTerm,J1138,0)</f>
        <v/>
      </c>
      <c r="L1138" s="33">
        <f>J1138-K1138</f>
        <v/>
      </c>
      <c r="M1138" s="30">
        <f>IF(B1138=0,PolicyCount,0)</f>
        <v/>
      </c>
      <c r="N1138" s="33">
        <f>L1138+M1138</f>
        <v/>
      </c>
      <c r="O1138" s="31">
        <f>N1138*G1138</f>
        <v/>
      </c>
      <c r="P1138" s="33">
        <f>(N1138-O1138)*(1-(1-H1138)^(1/12))</f>
        <v/>
      </c>
      <c r="Q1138" s="34">
        <f>X1137+Z1137</f>
        <v/>
      </c>
      <c r="R1138" s="29">
        <f>(1-LoadPremRate)*E1138</f>
        <v/>
      </c>
      <c r="S1138" s="34">
        <f>Q1138+R1138</f>
        <v/>
      </c>
      <c r="T1138" s="29">
        <f>MaintFeeRateAnn/12*S1138</f>
        <v/>
      </c>
      <c r="U1138" s="29">
        <f>MAX(SumAssured-S1138,0)</f>
        <v/>
      </c>
      <c r="V1138" s="35">
        <f>CoiMultiple*G1138</f>
        <v/>
      </c>
      <c r="W1138" s="34">
        <f>V1138*U1138</f>
        <v/>
      </c>
      <c r="X1138" s="34">
        <f>S1138-T1138-W1138</f>
        <v/>
      </c>
      <c r="Y1138" s="36">
        <f>EXP((Mu-0.5*Sigma^2)/12+Sigma*SQRT(1/12)*INDEX(NormRand,ScenID,A1138+1))-1</f>
        <v/>
      </c>
      <c r="Z1138" s="34">
        <f>Y1138*X1138</f>
        <v/>
      </c>
      <c r="AA1138" s="34">
        <f>X1138+0.5*Z1138</f>
        <v/>
      </c>
      <c r="AB1138" s="34">
        <f>Q1138*J1138</f>
        <v/>
      </c>
      <c r="AC1138" s="34">
        <f>Q1138*L1138</f>
        <v/>
      </c>
      <c r="AD1138" s="34">
        <f>S1138*N1138</f>
        <v/>
      </c>
      <c r="AE1138" s="34">
        <f>E1138*N1138</f>
        <v/>
      </c>
      <c r="AF1138" s="34">
        <f>R1138*N1138</f>
        <v/>
      </c>
      <c r="AG1138" s="29">
        <f>MAX(SumAssured,AA1138)</f>
        <v/>
      </c>
      <c r="AH1138" s="34">
        <f>AG1138*O1138</f>
        <v/>
      </c>
      <c r="AI1138" s="34">
        <f>AA1138*O1138</f>
        <v/>
      </c>
      <c r="AJ1138" s="34">
        <f>AA1138*P1138</f>
        <v/>
      </c>
      <c r="AK1138" s="34">
        <f>I1138*AA1138*P1138</f>
        <v/>
      </c>
      <c r="AL1138" s="34">
        <f>AJ1138-AK1138</f>
        <v/>
      </c>
      <c r="AM1138" s="34">
        <f>Q1138*K1138</f>
        <v/>
      </c>
      <c r="AN1138" s="34">
        <f>AH1138+AL1138+AM1138</f>
        <v/>
      </c>
      <c r="AO1138" s="34">
        <f>(AG1138-AA1138)*O1138</f>
        <v/>
      </c>
      <c r="AP1138" s="34">
        <f>W1138*N1138</f>
        <v/>
      </c>
      <c r="AQ1138" s="34">
        <f>T1138*N1138</f>
        <v/>
      </c>
      <c r="AR1138" s="34">
        <f>Z1138*J1139+0.5*Z1138*(O1138+P1138)</f>
        <v/>
      </c>
      <c r="AS1138" s="30">
        <f>(1+InflationRate)^(A1138/12)</f>
        <v/>
      </c>
      <c r="AT1138" s="29">
        <f>ExpenseAcq*M1138+N1138*ExpenseMaint/12*AS1138</f>
        <v/>
      </c>
      <c r="AU1138" s="29">
        <f>CommissionRate*AE1138</f>
        <v/>
      </c>
      <c r="AV1138" s="34">
        <f>AB1139-AB1138</f>
        <v/>
      </c>
      <c r="AW1138" s="34">
        <f>AE1138+AR1138-AN1138-AT1138-AU1138-AV1138</f>
        <v/>
      </c>
      <c r="AX1138" s="29">
        <f>LoadPremRate*E1138*N1138+AK1138+AQ1138-AU1138-AT1138</f>
        <v/>
      </c>
      <c r="AY1138" s="34">
        <f>AP1138-AO1138</f>
        <v/>
      </c>
      <c r="AZ1138" s="37">
        <f>(AW1138-AX1138-AY1138)/MAX(1,ABS(AW1138),ABS(AX1138),ABS(AY1138))</f>
        <v/>
      </c>
      <c r="BA1138" s="37">
        <f>IF(OR(K1138&gt;0,K1139&gt;0),0,(AC1139-(AC1138+AF1138-AQ1138-AP1138+AR1138-AI1138-AJ1138-AM1138))/MAX(1,ABS(AC1138),ABS(AC1139)))</f>
        <v/>
      </c>
      <c r="BB1138" s="35">
        <f>(1+INDEX(DiscRateAnn,INT(A1138/12)+1))^(1/12)-1</f>
        <v/>
      </c>
      <c r="BC1138" s="31">
        <f>(1+BB1138)^-A1138</f>
        <v/>
      </c>
      <c r="BD1138" s="34">
        <f>AW1138*BC1138</f>
        <v/>
      </c>
    </row>
    <row r="1139">
      <c r="A1139" s="27">
        <f>A1138+1</f>
        <v/>
      </c>
      <c r="B1139" s="28">
        <f>Duration0+A1139</f>
        <v/>
      </c>
      <c r="C1139" s="27">
        <f>INT(B1139/12)</f>
        <v/>
      </c>
      <c r="D1139" s="28">
        <f>AgeAtEntry+C1139</f>
        <v/>
      </c>
      <c r="E1139" s="29">
        <f>IF(PremiumType="SINGLE",IF(B1139=0,PremiumPPInput,0),IF(B1139&lt;12*PolicyTerm,PremiumPPInput,0))</f>
        <v/>
      </c>
      <c r="F1139" s="30">
        <f>INDEX(MortRates,MATCH(MIN(D1139,120),MortAges,0),MAX(MIN(C1139,5),0)+1)</f>
        <v/>
      </c>
      <c r="G1139" s="31">
        <f>1-(1-F1139)^(1/12)</f>
        <v/>
      </c>
      <c r="H1139" s="32">
        <f>MAX(LapseBase-LapseStep*C1139,LapseFloor)</f>
        <v/>
      </c>
      <c r="I1139" s="32">
        <f>IF(HasSurrCharge,INDEX(SurrRates,MIN(C1139,SurrDurMax)+1,MATCH(SurrChargeID,SurrTypes,0)),0)</f>
        <v/>
      </c>
      <c r="J1139" s="33">
        <f>N1138-P1138-O1138</f>
        <v/>
      </c>
      <c r="K1139" s="30">
        <f>IF(B1139=12*PolicyTerm,J1139,0)</f>
        <v/>
      </c>
      <c r="L1139" s="33">
        <f>J1139-K1139</f>
        <v/>
      </c>
      <c r="M1139" s="30">
        <f>IF(B1139=0,PolicyCount,0)</f>
        <v/>
      </c>
      <c r="N1139" s="33">
        <f>L1139+M1139</f>
        <v/>
      </c>
      <c r="O1139" s="31">
        <f>N1139*G1139</f>
        <v/>
      </c>
      <c r="P1139" s="33">
        <f>(N1139-O1139)*(1-(1-H1139)^(1/12))</f>
        <v/>
      </c>
      <c r="Q1139" s="34">
        <f>X1138+Z1138</f>
        <v/>
      </c>
      <c r="R1139" s="29">
        <f>(1-LoadPremRate)*E1139</f>
        <v/>
      </c>
      <c r="S1139" s="34">
        <f>Q1139+R1139</f>
        <v/>
      </c>
      <c r="T1139" s="29">
        <f>MaintFeeRateAnn/12*S1139</f>
        <v/>
      </c>
      <c r="U1139" s="29">
        <f>MAX(SumAssured-S1139,0)</f>
        <v/>
      </c>
      <c r="V1139" s="35">
        <f>CoiMultiple*G1139</f>
        <v/>
      </c>
      <c r="W1139" s="34">
        <f>V1139*U1139</f>
        <v/>
      </c>
      <c r="X1139" s="34">
        <f>S1139-T1139-W1139</f>
        <v/>
      </c>
      <c r="Y1139" s="36">
        <f>EXP((Mu-0.5*Sigma^2)/12+Sigma*SQRT(1/12)*INDEX(NormRand,ScenID,A1139+1))-1</f>
        <v/>
      </c>
      <c r="Z1139" s="34">
        <f>Y1139*X1139</f>
        <v/>
      </c>
      <c r="AA1139" s="34">
        <f>X1139+0.5*Z1139</f>
        <v/>
      </c>
      <c r="AB1139" s="34">
        <f>Q1139*J1139</f>
        <v/>
      </c>
      <c r="AC1139" s="34">
        <f>Q1139*L1139</f>
        <v/>
      </c>
      <c r="AD1139" s="34">
        <f>S1139*N1139</f>
        <v/>
      </c>
      <c r="AE1139" s="34">
        <f>E1139*N1139</f>
        <v/>
      </c>
      <c r="AF1139" s="34">
        <f>R1139*N1139</f>
        <v/>
      </c>
      <c r="AG1139" s="29">
        <f>MAX(SumAssured,AA1139)</f>
        <v/>
      </c>
      <c r="AH1139" s="34">
        <f>AG1139*O1139</f>
        <v/>
      </c>
      <c r="AI1139" s="34">
        <f>AA1139*O1139</f>
        <v/>
      </c>
      <c r="AJ1139" s="34">
        <f>AA1139*P1139</f>
        <v/>
      </c>
      <c r="AK1139" s="34">
        <f>I1139*AA1139*P1139</f>
        <v/>
      </c>
      <c r="AL1139" s="34">
        <f>AJ1139-AK1139</f>
        <v/>
      </c>
      <c r="AM1139" s="34">
        <f>Q1139*K1139</f>
        <v/>
      </c>
      <c r="AN1139" s="34">
        <f>AH1139+AL1139+AM1139</f>
        <v/>
      </c>
      <c r="AO1139" s="34">
        <f>(AG1139-AA1139)*O1139</f>
        <v/>
      </c>
      <c r="AP1139" s="34">
        <f>W1139*N1139</f>
        <v/>
      </c>
      <c r="AQ1139" s="34">
        <f>T1139*N1139</f>
        <v/>
      </c>
      <c r="AR1139" s="34">
        <f>Z1139*J1140+0.5*Z1139*(O1139+P1139)</f>
        <v/>
      </c>
      <c r="AS1139" s="30">
        <f>(1+InflationRate)^(A1139/12)</f>
        <v/>
      </c>
      <c r="AT1139" s="29">
        <f>ExpenseAcq*M1139+N1139*ExpenseMaint/12*AS1139</f>
        <v/>
      </c>
      <c r="AU1139" s="29">
        <f>CommissionRate*AE1139</f>
        <v/>
      </c>
      <c r="AV1139" s="34">
        <f>AB1140-AB1139</f>
        <v/>
      </c>
      <c r="AW1139" s="34">
        <f>AE1139+AR1139-AN1139-AT1139-AU1139-AV1139</f>
        <v/>
      </c>
      <c r="AX1139" s="29">
        <f>LoadPremRate*E1139*N1139+AK1139+AQ1139-AU1139-AT1139</f>
        <v/>
      </c>
      <c r="AY1139" s="34">
        <f>AP1139-AO1139</f>
        <v/>
      </c>
      <c r="AZ1139" s="37">
        <f>(AW1139-AX1139-AY1139)/MAX(1,ABS(AW1139),ABS(AX1139),ABS(AY1139))</f>
        <v/>
      </c>
      <c r="BA1139" s="37">
        <f>IF(OR(K1139&gt;0,K1140&gt;0),0,(AC1140-(AC1139+AF1139-AQ1139-AP1139+AR1139-AI1139-AJ1139-AM1139))/MAX(1,ABS(AC1139),ABS(AC1140)))</f>
        <v/>
      </c>
      <c r="BB1139" s="35">
        <f>(1+INDEX(DiscRateAnn,INT(A1139/12)+1))^(1/12)-1</f>
        <v/>
      </c>
      <c r="BC1139" s="31">
        <f>(1+BB1139)^-A1139</f>
        <v/>
      </c>
      <c r="BD1139" s="34">
        <f>AW1139*BC1139</f>
        <v/>
      </c>
    </row>
    <row r="1140">
      <c r="A1140" s="27">
        <f>A1139+1</f>
        <v/>
      </c>
      <c r="B1140" s="28">
        <f>Duration0+A1140</f>
        <v/>
      </c>
      <c r="C1140" s="27">
        <f>INT(B1140/12)</f>
        <v/>
      </c>
      <c r="D1140" s="28">
        <f>AgeAtEntry+C1140</f>
        <v/>
      </c>
      <c r="E1140" s="29">
        <f>IF(PremiumType="SINGLE",IF(B1140=0,PremiumPPInput,0),IF(B1140&lt;12*PolicyTerm,PremiumPPInput,0))</f>
        <v/>
      </c>
      <c r="F1140" s="30">
        <f>INDEX(MortRates,MATCH(MIN(D1140,120),MortAges,0),MAX(MIN(C1140,5),0)+1)</f>
        <v/>
      </c>
      <c r="G1140" s="31">
        <f>1-(1-F1140)^(1/12)</f>
        <v/>
      </c>
      <c r="H1140" s="32">
        <f>MAX(LapseBase-LapseStep*C1140,LapseFloor)</f>
        <v/>
      </c>
      <c r="I1140" s="32">
        <f>IF(HasSurrCharge,INDEX(SurrRates,MIN(C1140,SurrDurMax)+1,MATCH(SurrChargeID,SurrTypes,0)),0)</f>
        <v/>
      </c>
      <c r="J1140" s="33">
        <f>N1139-P1139-O1139</f>
        <v/>
      </c>
      <c r="K1140" s="30">
        <f>IF(B1140=12*PolicyTerm,J1140,0)</f>
        <v/>
      </c>
      <c r="L1140" s="33">
        <f>J1140-K1140</f>
        <v/>
      </c>
      <c r="M1140" s="30">
        <f>IF(B1140=0,PolicyCount,0)</f>
        <v/>
      </c>
      <c r="N1140" s="33">
        <f>L1140+M1140</f>
        <v/>
      </c>
      <c r="O1140" s="31">
        <f>N1140*G1140</f>
        <v/>
      </c>
      <c r="P1140" s="33">
        <f>(N1140-O1140)*(1-(1-H1140)^(1/12))</f>
        <v/>
      </c>
      <c r="Q1140" s="34">
        <f>X1139+Z1139</f>
        <v/>
      </c>
      <c r="R1140" s="29">
        <f>(1-LoadPremRate)*E1140</f>
        <v/>
      </c>
      <c r="S1140" s="34">
        <f>Q1140+R1140</f>
        <v/>
      </c>
      <c r="T1140" s="29">
        <f>MaintFeeRateAnn/12*S1140</f>
        <v/>
      </c>
      <c r="U1140" s="29">
        <f>MAX(SumAssured-S1140,0)</f>
        <v/>
      </c>
      <c r="V1140" s="35">
        <f>CoiMultiple*G1140</f>
        <v/>
      </c>
      <c r="W1140" s="34">
        <f>V1140*U1140</f>
        <v/>
      </c>
      <c r="X1140" s="34">
        <f>S1140-T1140-W1140</f>
        <v/>
      </c>
      <c r="Y1140" s="36">
        <f>EXP((Mu-0.5*Sigma^2)/12+Sigma*SQRT(1/12)*INDEX(NormRand,ScenID,A1140+1))-1</f>
        <v/>
      </c>
      <c r="Z1140" s="34">
        <f>Y1140*X1140</f>
        <v/>
      </c>
      <c r="AA1140" s="34">
        <f>X1140+0.5*Z1140</f>
        <v/>
      </c>
      <c r="AB1140" s="34">
        <f>Q1140*J1140</f>
        <v/>
      </c>
      <c r="AC1140" s="34">
        <f>Q1140*L1140</f>
        <v/>
      </c>
      <c r="AD1140" s="34">
        <f>S1140*N1140</f>
        <v/>
      </c>
      <c r="AE1140" s="34">
        <f>E1140*N1140</f>
        <v/>
      </c>
      <c r="AF1140" s="34">
        <f>R1140*N1140</f>
        <v/>
      </c>
      <c r="AG1140" s="29">
        <f>MAX(SumAssured,AA1140)</f>
        <v/>
      </c>
      <c r="AH1140" s="34">
        <f>AG1140*O1140</f>
        <v/>
      </c>
      <c r="AI1140" s="34">
        <f>AA1140*O1140</f>
        <v/>
      </c>
      <c r="AJ1140" s="34">
        <f>AA1140*P1140</f>
        <v/>
      </c>
      <c r="AK1140" s="34">
        <f>I1140*AA1140*P1140</f>
        <v/>
      </c>
      <c r="AL1140" s="34">
        <f>AJ1140-AK1140</f>
        <v/>
      </c>
      <c r="AM1140" s="34">
        <f>Q1140*K1140</f>
        <v/>
      </c>
      <c r="AN1140" s="34">
        <f>AH1140+AL1140+AM1140</f>
        <v/>
      </c>
      <c r="AO1140" s="34">
        <f>(AG1140-AA1140)*O1140</f>
        <v/>
      </c>
      <c r="AP1140" s="34">
        <f>W1140*N1140</f>
        <v/>
      </c>
      <c r="AQ1140" s="34">
        <f>T1140*N1140</f>
        <v/>
      </c>
      <c r="AR1140" s="34">
        <f>Z1140*J1141+0.5*Z1140*(O1140+P1140)</f>
        <v/>
      </c>
      <c r="AS1140" s="30">
        <f>(1+InflationRate)^(A1140/12)</f>
        <v/>
      </c>
      <c r="AT1140" s="29">
        <f>ExpenseAcq*M1140+N1140*ExpenseMaint/12*AS1140</f>
        <v/>
      </c>
      <c r="AU1140" s="29">
        <f>CommissionRate*AE1140</f>
        <v/>
      </c>
      <c r="AV1140" s="34">
        <f>AB1141-AB1140</f>
        <v/>
      </c>
      <c r="AW1140" s="34">
        <f>AE1140+AR1140-AN1140-AT1140-AU1140-AV1140</f>
        <v/>
      </c>
      <c r="AX1140" s="29">
        <f>LoadPremRate*E1140*N1140+AK1140+AQ1140-AU1140-AT1140</f>
        <v/>
      </c>
      <c r="AY1140" s="34">
        <f>AP1140-AO1140</f>
        <v/>
      </c>
      <c r="AZ1140" s="37">
        <f>(AW1140-AX1140-AY1140)/MAX(1,ABS(AW1140),ABS(AX1140),ABS(AY1140))</f>
        <v/>
      </c>
      <c r="BA1140" s="37">
        <f>IF(OR(K1140&gt;0,K1141&gt;0),0,(AC1141-(AC1140+AF1140-AQ1140-AP1140+AR1140-AI1140-AJ1140-AM1140))/MAX(1,ABS(AC1140),ABS(AC1141)))</f>
        <v/>
      </c>
      <c r="BB1140" s="35">
        <f>(1+INDEX(DiscRateAnn,INT(A1140/12)+1))^(1/12)-1</f>
        <v/>
      </c>
      <c r="BC1140" s="31">
        <f>(1+BB1140)^-A1140</f>
        <v/>
      </c>
      <c r="BD1140" s="34">
        <f>AW1140*BC1140</f>
        <v/>
      </c>
    </row>
    <row r="1141">
      <c r="A1141" s="27">
        <f>A1140+1</f>
        <v/>
      </c>
      <c r="B1141" s="28">
        <f>Duration0+A1141</f>
        <v/>
      </c>
      <c r="C1141" s="27">
        <f>INT(B1141/12)</f>
        <v/>
      </c>
      <c r="D1141" s="28">
        <f>AgeAtEntry+C1141</f>
        <v/>
      </c>
      <c r="E1141" s="29">
        <f>IF(PremiumType="SINGLE",IF(B1141=0,PremiumPPInput,0),IF(B1141&lt;12*PolicyTerm,PremiumPPInput,0))</f>
        <v/>
      </c>
      <c r="F1141" s="30">
        <f>INDEX(MortRates,MATCH(MIN(D1141,120),MortAges,0),MAX(MIN(C1141,5),0)+1)</f>
        <v/>
      </c>
      <c r="G1141" s="31">
        <f>1-(1-F1141)^(1/12)</f>
        <v/>
      </c>
      <c r="H1141" s="32">
        <f>MAX(LapseBase-LapseStep*C1141,LapseFloor)</f>
        <v/>
      </c>
      <c r="I1141" s="32">
        <f>IF(HasSurrCharge,INDEX(SurrRates,MIN(C1141,SurrDurMax)+1,MATCH(SurrChargeID,SurrTypes,0)),0)</f>
        <v/>
      </c>
      <c r="J1141" s="33">
        <f>N1140-P1140-O1140</f>
        <v/>
      </c>
      <c r="K1141" s="30">
        <f>IF(B1141=12*PolicyTerm,J1141,0)</f>
        <v/>
      </c>
      <c r="L1141" s="33">
        <f>J1141-K1141</f>
        <v/>
      </c>
      <c r="M1141" s="30">
        <f>IF(B1141=0,PolicyCount,0)</f>
        <v/>
      </c>
      <c r="N1141" s="33">
        <f>L1141+M1141</f>
        <v/>
      </c>
      <c r="O1141" s="31">
        <f>N1141*G1141</f>
        <v/>
      </c>
      <c r="P1141" s="33">
        <f>(N1141-O1141)*(1-(1-H1141)^(1/12))</f>
        <v/>
      </c>
      <c r="Q1141" s="34">
        <f>X1140+Z1140</f>
        <v/>
      </c>
      <c r="R1141" s="29">
        <f>(1-LoadPremRate)*E1141</f>
        <v/>
      </c>
      <c r="S1141" s="34">
        <f>Q1141+R1141</f>
        <v/>
      </c>
      <c r="T1141" s="29">
        <f>MaintFeeRateAnn/12*S1141</f>
        <v/>
      </c>
      <c r="U1141" s="29">
        <f>MAX(SumAssured-S1141,0)</f>
        <v/>
      </c>
      <c r="V1141" s="35">
        <f>CoiMultiple*G1141</f>
        <v/>
      </c>
      <c r="W1141" s="34">
        <f>V1141*U1141</f>
        <v/>
      </c>
      <c r="X1141" s="34">
        <f>S1141-T1141-W1141</f>
        <v/>
      </c>
      <c r="Y1141" s="36">
        <f>EXP((Mu-0.5*Sigma^2)/12+Sigma*SQRT(1/12)*INDEX(NormRand,ScenID,A1141+1))-1</f>
        <v/>
      </c>
      <c r="Z1141" s="34">
        <f>Y1141*X1141</f>
        <v/>
      </c>
      <c r="AA1141" s="34">
        <f>X1141+0.5*Z1141</f>
        <v/>
      </c>
      <c r="AB1141" s="34">
        <f>Q1141*J1141</f>
        <v/>
      </c>
      <c r="AC1141" s="34">
        <f>Q1141*L1141</f>
        <v/>
      </c>
      <c r="AD1141" s="34">
        <f>S1141*N1141</f>
        <v/>
      </c>
      <c r="AE1141" s="34">
        <f>E1141*N1141</f>
        <v/>
      </c>
      <c r="AF1141" s="34">
        <f>R1141*N1141</f>
        <v/>
      </c>
      <c r="AG1141" s="29">
        <f>MAX(SumAssured,AA1141)</f>
        <v/>
      </c>
      <c r="AH1141" s="34">
        <f>AG1141*O1141</f>
        <v/>
      </c>
      <c r="AI1141" s="34">
        <f>AA1141*O1141</f>
        <v/>
      </c>
      <c r="AJ1141" s="34">
        <f>AA1141*P1141</f>
        <v/>
      </c>
      <c r="AK1141" s="34">
        <f>I1141*AA1141*P1141</f>
        <v/>
      </c>
      <c r="AL1141" s="34">
        <f>AJ1141-AK1141</f>
        <v/>
      </c>
      <c r="AM1141" s="34">
        <f>Q1141*K1141</f>
        <v/>
      </c>
      <c r="AN1141" s="34">
        <f>AH1141+AL1141+AM1141</f>
        <v/>
      </c>
      <c r="AO1141" s="34">
        <f>(AG1141-AA1141)*O1141</f>
        <v/>
      </c>
      <c r="AP1141" s="34">
        <f>W1141*N1141</f>
        <v/>
      </c>
      <c r="AQ1141" s="34">
        <f>T1141*N1141</f>
        <v/>
      </c>
      <c r="AR1141" s="34">
        <f>Z1141*J1142+0.5*Z1141*(O1141+P1141)</f>
        <v/>
      </c>
      <c r="AS1141" s="30">
        <f>(1+InflationRate)^(A1141/12)</f>
        <v/>
      </c>
      <c r="AT1141" s="29">
        <f>ExpenseAcq*M1141+N1141*ExpenseMaint/12*AS1141</f>
        <v/>
      </c>
      <c r="AU1141" s="29">
        <f>CommissionRate*AE1141</f>
        <v/>
      </c>
      <c r="AV1141" s="34">
        <f>AB1142-AB1141</f>
        <v/>
      </c>
      <c r="AW1141" s="34">
        <f>AE1141+AR1141-AN1141-AT1141-AU1141-AV1141</f>
        <v/>
      </c>
      <c r="AX1141" s="29">
        <f>LoadPremRate*E1141*N1141+AK1141+AQ1141-AU1141-AT1141</f>
        <v/>
      </c>
      <c r="AY1141" s="34">
        <f>AP1141-AO1141</f>
        <v/>
      </c>
      <c r="AZ1141" s="37">
        <f>(AW1141-AX1141-AY1141)/MAX(1,ABS(AW1141),ABS(AX1141),ABS(AY1141))</f>
        <v/>
      </c>
      <c r="BA1141" s="37">
        <f>IF(OR(K1141&gt;0,K1142&gt;0),0,(AC1142-(AC1141+AF1141-AQ1141-AP1141+AR1141-AI1141-AJ1141-AM1141))/MAX(1,ABS(AC1141),ABS(AC1142)))</f>
        <v/>
      </c>
      <c r="BB1141" s="35">
        <f>(1+INDEX(DiscRateAnn,INT(A1141/12)+1))^(1/12)-1</f>
        <v/>
      </c>
      <c r="BC1141" s="31">
        <f>(1+BB1141)^-A1141</f>
        <v/>
      </c>
      <c r="BD1141" s="34">
        <f>AW1141*BC1141</f>
        <v/>
      </c>
    </row>
    <row r="1142">
      <c r="A1142" s="27">
        <f>A1141+1</f>
        <v/>
      </c>
      <c r="B1142" s="28">
        <f>Duration0+A1142</f>
        <v/>
      </c>
      <c r="C1142" s="27">
        <f>INT(B1142/12)</f>
        <v/>
      </c>
      <c r="D1142" s="28">
        <f>AgeAtEntry+C1142</f>
        <v/>
      </c>
      <c r="E1142" s="29">
        <f>IF(PremiumType="SINGLE",IF(B1142=0,PremiumPPInput,0),IF(B1142&lt;12*PolicyTerm,PremiumPPInput,0))</f>
        <v/>
      </c>
      <c r="F1142" s="30">
        <f>INDEX(MortRates,MATCH(MIN(D1142,120),MortAges,0),MAX(MIN(C1142,5),0)+1)</f>
        <v/>
      </c>
      <c r="G1142" s="31">
        <f>1-(1-F1142)^(1/12)</f>
        <v/>
      </c>
      <c r="H1142" s="32">
        <f>MAX(LapseBase-LapseStep*C1142,LapseFloor)</f>
        <v/>
      </c>
      <c r="I1142" s="32">
        <f>IF(HasSurrCharge,INDEX(SurrRates,MIN(C1142,SurrDurMax)+1,MATCH(SurrChargeID,SurrTypes,0)),0)</f>
        <v/>
      </c>
      <c r="J1142" s="33">
        <f>N1141-P1141-O1141</f>
        <v/>
      </c>
      <c r="K1142" s="30">
        <f>IF(B1142=12*PolicyTerm,J1142,0)</f>
        <v/>
      </c>
      <c r="L1142" s="33">
        <f>J1142-K1142</f>
        <v/>
      </c>
      <c r="M1142" s="30">
        <f>IF(B1142=0,PolicyCount,0)</f>
        <v/>
      </c>
      <c r="N1142" s="33">
        <f>L1142+M1142</f>
        <v/>
      </c>
      <c r="O1142" s="31">
        <f>N1142*G1142</f>
        <v/>
      </c>
      <c r="P1142" s="33">
        <f>(N1142-O1142)*(1-(1-H1142)^(1/12))</f>
        <v/>
      </c>
      <c r="Q1142" s="34">
        <f>X1141+Z1141</f>
        <v/>
      </c>
      <c r="R1142" s="29">
        <f>(1-LoadPremRate)*E1142</f>
        <v/>
      </c>
      <c r="S1142" s="34">
        <f>Q1142+R1142</f>
        <v/>
      </c>
      <c r="T1142" s="29">
        <f>MaintFeeRateAnn/12*S1142</f>
        <v/>
      </c>
      <c r="U1142" s="29">
        <f>MAX(SumAssured-S1142,0)</f>
        <v/>
      </c>
      <c r="V1142" s="35">
        <f>CoiMultiple*G1142</f>
        <v/>
      </c>
      <c r="W1142" s="34">
        <f>V1142*U1142</f>
        <v/>
      </c>
      <c r="X1142" s="34">
        <f>S1142-T1142-W1142</f>
        <v/>
      </c>
      <c r="Y1142" s="36">
        <f>EXP((Mu-0.5*Sigma^2)/12+Sigma*SQRT(1/12)*INDEX(NormRand,ScenID,A1142+1))-1</f>
        <v/>
      </c>
      <c r="Z1142" s="34">
        <f>Y1142*X1142</f>
        <v/>
      </c>
      <c r="AA1142" s="34">
        <f>X1142+0.5*Z1142</f>
        <v/>
      </c>
      <c r="AB1142" s="34">
        <f>Q1142*J1142</f>
        <v/>
      </c>
      <c r="AC1142" s="34">
        <f>Q1142*L1142</f>
        <v/>
      </c>
      <c r="AD1142" s="34">
        <f>S1142*N1142</f>
        <v/>
      </c>
      <c r="AE1142" s="34">
        <f>E1142*N1142</f>
        <v/>
      </c>
      <c r="AF1142" s="34">
        <f>R1142*N1142</f>
        <v/>
      </c>
      <c r="AG1142" s="29">
        <f>MAX(SumAssured,AA1142)</f>
        <v/>
      </c>
      <c r="AH1142" s="34">
        <f>AG1142*O1142</f>
        <v/>
      </c>
      <c r="AI1142" s="34">
        <f>AA1142*O1142</f>
        <v/>
      </c>
      <c r="AJ1142" s="34">
        <f>AA1142*P1142</f>
        <v/>
      </c>
      <c r="AK1142" s="34">
        <f>I1142*AA1142*P1142</f>
        <v/>
      </c>
      <c r="AL1142" s="34">
        <f>AJ1142-AK1142</f>
        <v/>
      </c>
      <c r="AM1142" s="34">
        <f>Q1142*K1142</f>
        <v/>
      </c>
      <c r="AN1142" s="34">
        <f>AH1142+AL1142+AM1142</f>
        <v/>
      </c>
      <c r="AO1142" s="34">
        <f>(AG1142-AA1142)*O1142</f>
        <v/>
      </c>
      <c r="AP1142" s="34">
        <f>W1142*N1142</f>
        <v/>
      </c>
      <c r="AQ1142" s="34">
        <f>T1142*N1142</f>
        <v/>
      </c>
      <c r="AR1142" s="34">
        <f>Z1142*J1143+0.5*Z1142*(O1142+P1142)</f>
        <v/>
      </c>
      <c r="AS1142" s="30">
        <f>(1+InflationRate)^(A1142/12)</f>
        <v/>
      </c>
      <c r="AT1142" s="29">
        <f>ExpenseAcq*M1142+N1142*ExpenseMaint/12*AS1142</f>
        <v/>
      </c>
      <c r="AU1142" s="29">
        <f>CommissionRate*AE1142</f>
        <v/>
      </c>
      <c r="AV1142" s="34">
        <f>AB1143-AB1142</f>
        <v/>
      </c>
      <c r="AW1142" s="34">
        <f>AE1142+AR1142-AN1142-AT1142-AU1142-AV1142</f>
        <v/>
      </c>
      <c r="AX1142" s="29">
        <f>LoadPremRate*E1142*N1142+AK1142+AQ1142-AU1142-AT1142</f>
        <v/>
      </c>
      <c r="AY1142" s="34">
        <f>AP1142-AO1142</f>
        <v/>
      </c>
      <c r="AZ1142" s="37">
        <f>(AW1142-AX1142-AY1142)/MAX(1,ABS(AW1142),ABS(AX1142),ABS(AY1142))</f>
        <v/>
      </c>
      <c r="BA1142" s="37">
        <f>IF(OR(K1142&gt;0,K1143&gt;0),0,(AC1143-(AC1142+AF1142-AQ1142-AP1142+AR1142-AI1142-AJ1142-AM1142))/MAX(1,ABS(AC1142),ABS(AC1143)))</f>
        <v/>
      </c>
      <c r="BB1142" s="35">
        <f>(1+INDEX(DiscRateAnn,INT(A1142/12)+1))^(1/12)-1</f>
        <v/>
      </c>
      <c r="BC1142" s="31">
        <f>(1+BB1142)^-A1142</f>
        <v/>
      </c>
      <c r="BD1142" s="34">
        <f>AW1142*BC1142</f>
        <v/>
      </c>
    </row>
    <row r="1143">
      <c r="A1143" s="27">
        <f>A1142+1</f>
        <v/>
      </c>
      <c r="B1143" s="28">
        <f>Duration0+A1143</f>
        <v/>
      </c>
      <c r="C1143" s="27">
        <f>INT(B1143/12)</f>
        <v/>
      </c>
      <c r="D1143" s="28">
        <f>AgeAtEntry+C1143</f>
        <v/>
      </c>
      <c r="E1143" s="29">
        <f>IF(PremiumType="SINGLE",IF(B1143=0,PremiumPPInput,0),IF(B1143&lt;12*PolicyTerm,PremiumPPInput,0))</f>
        <v/>
      </c>
      <c r="F1143" s="30">
        <f>INDEX(MortRates,MATCH(MIN(D1143,120),MortAges,0),MAX(MIN(C1143,5),0)+1)</f>
        <v/>
      </c>
      <c r="G1143" s="31">
        <f>1-(1-F1143)^(1/12)</f>
        <v/>
      </c>
      <c r="H1143" s="32">
        <f>MAX(LapseBase-LapseStep*C1143,LapseFloor)</f>
        <v/>
      </c>
      <c r="I1143" s="32">
        <f>IF(HasSurrCharge,INDEX(SurrRates,MIN(C1143,SurrDurMax)+1,MATCH(SurrChargeID,SurrTypes,0)),0)</f>
        <v/>
      </c>
      <c r="J1143" s="33">
        <f>N1142-P1142-O1142</f>
        <v/>
      </c>
      <c r="K1143" s="30">
        <f>IF(B1143=12*PolicyTerm,J1143,0)</f>
        <v/>
      </c>
      <c r="L1143" s="33">
        <f>J1143-K1143</f>
        <v/>
      </c>
      <c r="M1143" s="30">
        <f>IF(B1143=0,PolicyCount,0)</f>
        <v/>
      </c>
      <c r="N1143" s="33">
        <f>L1143+M1143</f>
        <v/>
      </c>
      <c r="O1143" s="31">
        <f>N1143*G1143</f>
        <v/>
      </c>
      <c r="P1143" s="33">
        <f>(N1143-O1143)*(1-(1-H1143)^(1/12))</f>
        <v/>
      </c>
      <c r="Q1143" s="34">
        <f>X1142+Z1142</f>
        <v/>
      </c>
      <c r="R1143" s="29">
        <f>(1-LoadPremRate)*E1143</f>
        <v/>
      </c>
      <c r="S1143" s="34">
        <f>Q1143+R1143</f>
        <v/>
      </c>
      <c r="T1143" s="29">
        <f>MaintFeeRateAnn/12*S1143</f>
        <v/>
      </c>
      <c r="U1143" s="29">
        <f>MAX(SumAssured-S1143,0)</f>
        <v/>
      </c>
      <c r="V1143" s="35">
        <f>CoiMultiple*G1143</f>
        <v/>
      </c>
      <c r="W1143" s="34">
        <f>V1143*U1143</f>
        <v/>
      </c>
      <c r="X1143" s="34">
        <f>S1143-T1143-W1143</f>
        <v/>
      </c>
      <c r="Y1143" s="36">
        <f>EXP((Mu-0.5*Sigma^2)/12+Sigma*SQRT(1/12)*INDEX(NormRand,ScenID,A1143+1))-1</f>
        <v/>
      </c>
      <c r="Z1143" s="34">
        <f>Y1143*X1143</f>
        <v/>
      </c>
      <c r="AA1143" s="34">
        <f>X1143+0.5*Z1143</f>
        <v/>
      </c>
      <c r="AB1143" s="34">
        <f>Q1143*J1143</f>
        <v/>
      </c>
      <c r="AC1143" s="34">
        <f>Q1143*L1143</f>
        <v/>
      </c>
      <c r="AD1143" s="34">
        <f>S1143*N1143</f>
        <v/>
      </c>
      <c r="AE1143" s="34">
        <f>E1143*N1143</f>
        <v/>
      </c>
      <c r="AF1143" s="34">
        <f>R1143*N1143</f>
        <v/>
      </c>
      <c r="AG1143" s="29">
        <f>MAX(SumAssured,AA1143)</f>
        <v/>
      </c>
      <c r="AH1143" s="34">
        <f>AG1143*O1143</f>
        <v/>
      </c>
      <c r="AI1143" s="34">
        <f>AA1143*O1143</f>
        <v/>
      </c>
      <c r="AJ1143" s="34">
        <f>AA1143*P1143</f>
        <v/>
      </c>
      <c r="AK1143" s="34">
        <f>I1143*AA1143*P1143</f>
        <v/>
      </c>
      <c r="AL1143" s="34">
        <f>AJ1143-AK1143</f>
        <v/>
      </c>
      <c r="AM1143" s="34">
        <f>Q1143*K1143</f>
        <v/>
      </c>
      <c r="AN1143" s="34">
        <f>AH1143+AL1143+AM1143</f>
        <v/>
      </c>
      <c r="AO1143" s="34">
        <f>(AG1143-AA1143)*O1143</f>
        <v/>
      </c>
      <c r="AP1143" s="34">
        <f>W1143*N1143</f>
        <v/>
      </c>
      <c r="AQ1143" s="34">
        <f>T1143*N1143</f>
        <v/>
      </c>
      <c r="AR1143" s="34">
        <f>Z1143*J1144+0.5*Z1143*(O1143+P1143)</f>
        <v/>
      </c>
      <c r="AS1143" s="30">
        <f>(1+InflationRate)^(A1143/12)</f>
        <v/>
      </c>
      <c r="AT1143" s="29">
        <f>ExpenseAcq*M1143+N1143*ExpenseMaint/12*AS1143</f>
        <v/>
      </c>
      <c r="AU1143" s="29">
        <f>CommissionRate*AE1143</f>
        <v/>
      </c>
      <c r="AV1143" s="34">
        <f>AB1144-AB1143</f>
        <v/>
      </c>
      <c r="AW1143" s="34">
        <f>AE1143+AR1143-AN1143-AT1143-AU1143-AV1143</f>
        <v/>
      </c>
      <c r="AX1143" s="29">
        <f>LoadPremRate*E1143*N1143+AK1143+AQ1143-AU1143-AT1143</f>
        <v/>
      </c>
      <c r="AY1143" s="34">
        <f>AP1143-AO1143</f>
        <v/>
      </c>
      <c r="AZ1143" s="37">
        <f>(AW1143-AX1143-AY1143)/MAX(1,ABS(AW1143),ABS(AX1143),ABS(AY1143))</f>
        <v/>
      </c>
      <c r="BA1143" s="37">
        <f>IF(OR(K1143&gt;0,K1144&gt;0),0,(AC1144-(AC1143+AF1143-AQ1143-AP1143+AR1143-AI1143-AJ1143-AM1143))/MAX(1,ABS(AC1143),ABS(AC1144)))</f>
        <v/>
      </c>
      <c r="BB1143" s="35">
        <f>(1+INDEX(DiscRateAnn,INT(A1143/12)+1))^(1/12)-1</f>
        <v/>
      </c>
      <c r="BC1143" s="31">
        <f>(1+BB1143)^-A1143</f>
        <v/>
      </c>
      <c r="BD1143" s="34">
        <f>AW1143*BC1143</f>
        <v/>
      </c>
    </row>
    <row r="1144">
      <c r="A1144" s="27">
        <f>A1143+1</f>
        <v/>
      </c>
      <c r="B1144" s="28">
        <f>Duration0+A1144</f>
        <v/>
      </c>
      <c r="C1144" s="27">
        <f>INT(B1144/12)</f>
        <v/>
      </c>
      <c r="D1144" s="28">
        <f>AgeAtEntry+C1144</f>
        <v/>
      </c>
      <c r="E1144" s="29">
        <f>IF(PremiumType="SINGLE",IF(B1144=0,PremiumPPInput,0),IF(B1144&lt;12*PolicyTerm,PremiumPPInput,0))</f>
        <v/>
      </c>
      <c r="F1144" s="30">
        <f>INDEX(MortRates,MATCH(MIN(D1144,120),MortAges,0),MAX(MIN(C1144,5),0)+1)</f>
        <v/>
      </c>
      <c r="G1144" s="31">
        <f>1-(1-F1144)^(1/12)</f>
        <v/>
      </c>
      <c r="H1144" s="32">
        <f>MAX(LapseBase-LapseStep*C1144,LapseFloor)</f>
        <v/>
      </c>
      <c r="I1144" s="32">
        <f>IF(HasSurrCharge,INDEX(SurrRates,MIN(C1144,SurrDurMax)+1,MATCH(SurrChargeID,SurrTypes,0)),0)</f>
        <v/>
      </c>
      <c r="J1144" s="33">
        <f>N1143-P1143-O1143</f>
        <v/>
      </c>
      <c r="K1144" s="30">
        <f>IF(B1144=12*PolicyTerm,J1144,0)</f>
        <v/>
      </c>
      <c r="L1144" s="33">
        <f>J1144-K1144</f>
        <v/>
      </c>
      <c r="M1144" s="30">
        <f>IF(B1144=0,PolicyCount,0)</f>
        <v/>
      </c>
      <c r="N1144" s="33">
        <f>L1144+M1144</f>
        <v/>
      </c>
      <c r="O1144" s="31">
        <f>N1144*G1144</f>
        <v/>
      </c>
      <c r="P1144" s="33">
        <f>(N1144-O1144)*(1-(1-H1144)^(1/12))</f>
        <v/>
      </c>
      <c r="Q1144" s="34">
        <f>X1143+Z1143</f>
        <v/>
      </c>
      <c r="R1144" s="29">
        <f>(1-LoadPremRate)*E1144</f>
        <v/>
      </c>
      <c r="S1144" s="34">
        <f>Q1144+R1144</f>
        <v/>
      </c>
      <c r="T1144" s="29">
        <f>MaintFeeRateAnn/12*S1144</f>
        <v/>
      </c>
      <c r="U1144" s="29">
        <f>MAX(SumAssured-S1144,0)</f>
        <v/>
      </c>
      <c r="V1144" s="35">
        <f>CoiMultiple*G1144</f>
        <v/>
      </c>
      <c r="W1144" s="34">
        <f>V1144*U1144</f>
        <v/>
      </c>
      <c r="X1144" s="34">
        <f>S1144-T1144-W1144</f>
        <v/>
      </c>
      <c r="Y1144" s="36">
        <f>EXP((Mu-0.5*Sigma^2)/12+Sigma*SQRT(1/12)*INDEX(NormRand,ScenID,A1144+1))-1</f>
        <v/>
      </c>
      <c r="Z1144" s="34">
        <f>Y1144*X1144</f>
        <v/>
      </c>
      <c r="AA1144" s="34">
        <f>X1144+0.5*Z1144</f>
        <v/>
      </c>
      <c r="AB1144" s="34">
        <f>Q1144*J1144</f>
        <v/>
      </c>
      <c r="AC1144" s="34">
        <f>Q1144*L1144</f>
        <v/>
      </c>
      <c r="AD1144" s="34">
        <f>S1144*N1144</f>
        <v/>
      </c>
      <c r="AE1144" s="34">
        <f>E1144*N1144</f>
        <v/>
      </c>
      <c r="AF1144" s="34">
        <f>R1144*N1144</f>
        <v/>
      </c>
      <c r="AG1144" s="29">
        <f>MAX(SumAssured,AA1144)</f>
        <v/>
      </c>
      <c r="AH1144" s="34">
        <f>AG1144*O1144</f>
        <v/>
      </c>
      <c r="AI1144" s="34">
        <f>AA1144*O1144</f>
        <v/>
      </c>
      <c r="AJ1144" s="34">
        <f>AA1144*P1144</f>
        <v/>
      </c>
      <c r="AK1144" s="34">
        <f>I1144*AA1144*P1144</f>
        <v/>
      </c>
      <c r="AL1144" s="34">
        <f>AJ1144-AK1144</f>
        <v/>
      </c>
      <c r="AM1144" s="34">
        <f>Q1144*K1144</f>
        <v/>
      </c>
      <c r="AN1144" s="34">
        <f>AH1144+AL1144+AM1144</f>
        <v/>
      </c>
      <c r="AO1144" s="34">
        <f>(AG1144-AA1144)*O1144</f>
        <v/>
      </c>
      <c r="AP1144" s="34">
        <f>W1144*N1144</f>
        <v/>
      </c>
      <c r="AQ1144" s="34">
        <f>T1144*N1144</f>
        <v/>
      </c>
      <c r="AR1144" s="34">
        <f>Z1144*J1145+0.5*Z1144*(O1144+P1144)</f>
        <v/>
      </c>
      <c r="AS1144" s="30">
        <f>(1+InflationRate)^(A1144/12)</f>
        <v/>
      </c>
      <c r="AT1144" s="29">
        <f>ExpenseAcq*M1144+N1144*ExpenseMaint/12*AS1144</f>
        <v/>
      </c>
      <c r="AU1144" s="29">
        <f>CommissionRate*AE1144</f>
        <v/>
      </c>
      <c r="AV1144" s="34">
        <f>AB1145-AB1144</f>
        <v/>
      </c>
      <c r="AW1144" s="34">
        <f>AE1144+AR1144-AN1144-AT1144-AU1144-AV1144</f>
        <v/>
      </c>
      <c r="AX1144" s="29">
        <f>LoadPremRate*E1144*N1144+AK1144+AQ1144-AU1144-AT1144</f>
        <v/>
      </c>
      <c r="AY1144" s="34">
        <f>AP1144-AO1144</f>
        <v/>
      </c>
      <c r="AZ1144" s="37">
        <f>(AW1144-AX1144-AY1144)/MAX(1,ABS(AW1144),ABS(AX1144),ABS(AY1144))</f>
        <v/>
      </c>
      <c r="BA1144" s="37">
        <f>IF(OR(K1144&gt;0,K1145&gt;0),0,(AC1145-(AC1144+AF1144-AQ1144-AP1144+AR1144-AI1144-AJ1144-AM1144))/MAX(1,ABS(AC1144),ABS(AC1145)))</f>
        <v/>
      </c>
      <c r="BB1144" s="35">
        <f>(1+INDEX(DiscRateAnn,INT(A1144/12)+1))^(1/12)-1</f>
        <v/>
      </c>
      <c r="BC1144" s="31">
        <f>(1+BB1144)^-A1144</f>
        <v/>
      </c>
      <c r="BD1144" s="34">
        <f>AW1144*BC1144</f>
        <v/>
      </c>
    </row>
    <row r="1145">
      <c r="A1145" s="27">
        <f>A1144+1</f>
        <v/>
      </c>
      <c r="B1145" s="28">
        <f>Duration0+A1145</f>
        <v/>
      </c>
      <c r="C1145" s="27">
        <f>INT(B1145/12)</f>
        <v/>
      </c>
      <c r="D1145" s="28">
        <f>AgeAtEntry+C1145</f>
        <v/>
      </c>
      <c r="E1145" s="29">
        <f>IF(PremiumType="SINGLE",IF(B1145=0,PremiumPPInput,0),IF(B1145&lt;12*PolicyTerm,PremiumPPInput,0))</f>
        <v/>
      </c>
      <c r="F1145" s="30">
        <f>INDEX(MortRates,MATCH(MIN(D1145,120),MortAges,0),MAX(MIN(C1145,5),0)+1)</f>
        <v/>
      </c>
      <c r="G1145" s="31">
        <f>1-(1-F1145)^(1/12)</f>
        <v/>
      </c>
      <c r="H1145" s="32">
        <f>MAX(LapseBase-LapseStep*C1145,LapseFloor)</f>
        <v/>
      </c>
      <c r="I1145" s="32">
        <f>IF(HasSurrCharge,INDEX(SurrRates,MIN(C1145,SurrDurMax)+1,MATCH(SurrChargeID,SurrTypes,0)),0)</f>
        <v/>
      </c>
      <c r="J1145" s="33">
        <f>N1144-P1144-O1144</f>
        <v/>
      </c>
      <c r="K1145" s="30">
        <f>IF(B1145=12*PolicyTerm,J1145,0)</f>
        <v/>
      </c>
      <c r="L1145" s="33">
        <f>J1145-K1145</f>
        <v/>
      </c>
      <c r="M1145" s="30">
        <f>IF(B1145=0,PolicyCount,0)</f>
        <v/>
      </c>
      <c r="N1145" s="33">
        <f>L1145+M1145</f>
        <v/>
      </c>
      <c r="O1145" s="31">
        <f>N1145*G1145</f>
        <v/>
      </c>
      <c r="P1145" s="33">
        <f>(N1145-O1145)*(1-(1-H1145)^(1/12))</f>
        <v/>
      </c>
      <c r="Q1145" s="34">
        <f>X1144+Z1144</f>
        <v/>
      </c>
      <c r="R1145" s="29">
        <f>(1-LoadPremRate)*E1145</f>
        <v/>
      </c>
      <c r="S1145" s="34">
        <f>Q1145+R1145</f>
        <v/>
      </c>
      <c r="T1145" s="29">
        <f>MaintFeeRateAnn/12*S1145</f>
        <v/>
      </c>
      <c r="U1145" s="29">
        <f>MAX(SumAssured-S1145,0)</f>
        <v/>
      </c>
      <c r="V1145" s="35">
        <f>CoiMultiple*G1145</f>
        <v/>
      </c>
      <c r="W1145" s="34">
        <f>V1145*U1145</f>
        <v/>
      </c>
      <c r="X1145" s="34">
        <f>S1145-T1145-W1145</f>
        <v/>
      </c>
      <c r="Y1145" s="36">
        <f>EXP((Mu-0.5*Sigma^2)/12+Sigma*SQRT(1/12)*INDEX(NormRand,ScenID,A1145+1))-1</f>
        <v/>
      </c>
      <c r="Z1145" s="34">
        <f>Y1145*X1145</f>
        <v/>
      </c>
      <c r="AA1145" s="34">
        <f>X1145+0.5*Z1145</f>
        <v/>
      </c>
      <c r="AB1145" s="34">
        <f>Q1145*J1145</f>
        <v/>
      </c>
      <c r="AC1145" s="34">
        <f>Q1145*L1145</f>
        <v/>
      </c>
      <c r="AD1145" s="34">
        <f>S1145*N1145</f>
        <v/>
      </c>
      <c r="AE1145" s="34">
        <f>E1145*N1145</f>
        <v/>
      </c>
      <c r="AF1145" s="34">
        <f>R1145*N1145</f>
        <v/>
      </c>
      <c r="AG1145" s="29">
        <f>MAX(SumAssured,AA1145)</f>
        <v/>
      </c>
      <c r="AH1145" s="34">
        <f>AG1145*O1145</f>
        <v/>
      </c>
      <c r="AI1145" s="34">
        <f>AA1145*O1145</f>
        <v/>
      </c>
      <c r="AJ1145" s="34">
        <f>AA1145*P1145</f>
        <v/>
      </c>
      <c r="AK1145" s="34">
        <f>I1145*AA1145*P1145</f>
        <v/>
      </c>
      <c r="AL1145" s="34">
        <f>AJ1145-AK1145</f>
        <v/>
      </c>
      <c r="AM1145" s="34">
        <f>Q1145*K1145</f>
        <v/>
      </c>
      <c r="AN1145" s="34">
        <f>AH1145+AL1145+AM1145</f>
        <v/>
      </c>
      <c r="AO1145" s="34">
        <f>(AG1145-AA1145)*O1145</f>
        <v/>
      </c>
      <c r="AP1145" s="34">
        <f>W1145*N1145</f>
        <v/>
      </c>
      <c r="AQ1145" s="34">
        <f>T1145*N1145</f>
        <v/>
      </c>
      <c r="AR1145" s="34">
        <f>Z1145*J1146+0.5*Z1145*(O1145+P1145)</f>
        <v/>
      </c>
      <c r="AS1145" s="30">
        <f>(1+InflationRate)^(A1145/12)</f>
        <v/>
      </c>
      <c r="AT1145" s="29">
        <f>ExpenseAcq*M1145+N1145*ExpenseMaint/12*AS1145</f>
        <v/>
      </c>
      <c r="AU1145" s="29">
        <f>CommissionRate*AE1145</f>
        <v/>
      </c>
      <c r="AV1145" s="34">
        <f>AB1146-AB1145</f>
        <v/>
      </c>
      <c r="AW1145" s="34">
        <f>AE1145+AR1145-AN1145-AT1145-AU1145-AV1145</f>
        <v/>
      </c>
      <c r="AX1145" s="29">
        <f>LoadPremRate*E1145*N1145+AK1145+AQ1145-AU1145-AT1145</f>
        <v/>
      </c>
      <c r="AY1145" s="34">
        <f>AP1145-AO1145</f>
        <v/>
      </c>
      <c r="AZ1145" s="37">
        <f>(AW1145-AX1145-AY1145)/MAX(1,ABS(AW1145),ABS(AX1145),ABS(AY1145))</f>
        <v/>
      </c>
      <c r="BA1145" s="37">
        <f>IF(OR(K1145&gt;0,K1146&gt;0),0,(AC1146-(AC1145+AF1145-AQ1145-AP1145+AR1145-AI1145-AJ1145-AM1145))/MAX(1,ABS(AC1145),ABS(AC1146)))</f>
        <v/>
      </c>
      <c r="BB1145" s="35">
        <f>(1+INDEX(DiscRateAnn,INT(A1145/12)+1))^(1/12)-1</f>
        <v/>
      </c>
      <c r="BC1145" s="31">
        <f>(1+BB1145)^-A1145</f>
        <v/>
      </c>
      <c r="BD1145" s="34">
        <f>AW1145*BC1145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18" customWidth="1" min="3" max="3"/>
    <col width="60" customWidth="1" min="4" max="4"/>
  </cols>
  <sheetData>
    <row r="2">
      <c r="B2" s="3" t="inlineStr">
        <is>
          <t>Run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>
        <is>
          <t>lifelib cell</t>
        </is>
      </c>
    </row>
    <row r="4">
      <c r="B4" s="5" t="inlineStr">
        <is>
          <t>Model point ID</t>
        </is>
      </c>
      <c r="C4" s="14">
        <f>PointID</f>
        <v/>
      </c>
      <c r="D4" s="12" t="inlineStr">
        <is>
          <t>point_id (batch sentinel)</t>
        </is>
      </c>
    </row>
    <row r="5">
      <c r="B5" s="5" t="inlineStr">
        <is>
          <t>Investment scenario</t>
        </is>
      </c>
      <c r="C5" s="14">
        <f>ScenID</f>
        <v/>
      </c>
      <c r="D5" s="12" t="inlineStr">
        <is>
          <t>scen_id (batch sentinel)</t>
        </is>
      </c>
    </row>
    <row r="6">
      <c r="B6" s="5" t="inlineStr">
        <is>
          <t>Product / term / policies</t>
        </is>
      </c>
      <c r="C6" s="13">
        <f>SpecID&amp;" / "&amp;PolicyTerm&amp;"y / "&amp;PolicyCount</f>
        <v/>
      </c>
      <c r="D6" s="12" t="inlineStr"/>
    </row>
    <row r="8">
      <c r="B8" s="3" t="inlineStr">
        <is>
          <t>Present value of cash flows</t>
        </is>
      </c>
    </row>
    <row r="9">
      <c r="B9" s="10" t="inlineStr">
        <is>
          <t>Item</t>
        </is>
      </c>
      <c r="C9" s="10" t="inlineStr">
        <is>
          <t>PV</t>
        </is>
      </c>
      <c r="D9" s="10" t="inlineStr">
        <is>
          <t>lifelib cell</t>
        </is>
      </c>
    </row>
    <row r="10">
      <c r="B10" s="5" t="inlineStr">
        <is>
          <t>Premiums</t>
        </is>
      </c>
      <c r="C10" s="15">
        <f>SUMPRODUCT(Proj_Premiums,Proj_DiscFactor)</f>
        <v/>
      </c>
      <c r="D10" s="12" t="inlineStr">
        <is>
          <t>pv_premiums()</t>
        </is>
      </c>
    </row>
    <row r="11">
      <c r="B11" s="5" t="inlineStr">
        <is>
          <t>Claims — death</t>
        </is>
      </c>
      <c r="C11" s="15">
        <f>SUMPRODUCT(Proj_ClaimsDeath,Proj_DiscFactor)</f>
        <v/>
      </c>
      <c r="D11" s="12" t="inlineStr">
        <is>
          <t>pv_claims("DEATH")</t>
        </is>
      </c>
    </row>
    <row r="12">
      <c r="B12" s="5" t="inlineStr">
        <is>
          <t>Claims — surrender</t>
        </is>
      </c>
      <c r="C12" s="15">
        <f>SUMPRODUCT(Proj_ClaimsLapse,Proj_DiscFactor)</f>
        <v/>
      </c>
      <c r="D12" s="12" t="inlineStr">
        <is>
          <t>pv_claims("LAPSE")</t>
        </is>
      </c>
    </row>
    <row r="13">
      <c r="B13" s="5" t="inlineStr">
        <is>
          <t>Claims — maturity</t>
        </is>
      </c>
      <c r="C13" s="15">
        <f>SUMPRODUCT(Proj_ClaimsMat,Proj_DiscFactor)</f>
        <v/>
      </c>
      <c r="D13" s="12" t="inlineStr">
        <is>
          <t>pv_claims("MATURITY")</t>
        </is>
      </c>
    </row>
    <row r="14">
      <c r="B14" s="5" t="inlineStr">
        <is>
          <t>Claims — total</t>
        </is>
      </c>
      <c r="C14" s="15">
        <f>PV_ClaimsDeath+PV_ClaimsLapse+PV_ClaimsMat</f>
        <v/>
      </c>
      <c r="D14" s="12" t="inlineStr">
        <is>
          <t>pv_claims()</t>
        </is>
      </c>
    </row>
    <row r="15">
      <c r="B15" s="5" t="inlineStr">
        <is>
          <t>Expenses</t>
        </is>
      </c>
      <c r="C15" s="15">
        <f>SUMPRODUCT(Proj_Expenses,Proj_DiscFactor)</f>
        <v/>
      </c>
      <c r="D15" s="12" t="inlineStr">
        <is>
          <t>pv_expenses()</t>
        </is>
      </c>
    </row>
    <row r="16">
      <c r="B16" s="5" t="inlineStr">
        <is>
          <t>Commission</t>
        </is>
      </c>
      <c r="C16" s="15">
        <f>SUMPRODUCT(Proj_Commissions,Proj_DiscFactor)</f>
        <v/>
      </c>
      <c r="D16" s="12" t="inlineStr">
        <is>
          <t>pv_commissions()</t>
        </is>
      </c>
    </row>
    <row r="17">
      <c r="B17" s="5" t="inlineStr">
        <is>
          <t>Investment income</t>
        </is>
      </c>
      <c r="C17" s="15">
        <f>SUMPRODUCT(Proj_InvIncome,Proj_DiscFactor)</f>
        <v/>
      </c>
      <c r="D17" s="12" t="inlineStr">
        <is>
          <t>pv_inv_income()</t>
        </is>
      </c>
    </row>
    <row r="18">
      <c r="B18" s="5" t="inlineStr">
        <is>
          <t>Change in account value</t>
        </is>
      </c>
      <c r="C18" s="15">
        <f>SUMPRODUCT(Proj_AvChange,Proj_DiscFactor)</f>
        <v/>
      </c>
      <c r="D18" s="12" t="inlineStr">
        <is>
          <t>pv_av_change()</t>
        </is>
      </c>
    </row>
    <row r="19">
      <c r="B19" s="5" t="inlineStr">
        <is>
          <t>Policies in force</t>
        </is>
      </c>
      <c r="C19" s="38">
        <f>SUMPRODUCT(Proj_PolsIf,Proj_DiscFactor)</f>
        <v/>
      </c>
      <c r="D19" s="12" t="inlineStr">
        <is>
          <t>pv_pols_if()</t>
        </is>
      </c>
    </row>
    <row r="20">
      <c r="B20" s="39" t="inlineStr">
        <is>
          <t>Net cash flow</t>
        </is>
      </c>
      <c r="C20" s="40">
        <f>PV_Premiums+PV_InvIncome-PV_Claims-PV_Expenses-PV_Commissions-PV_AvChange</f>
        <v/>
      </c>
      <c r="D20" s="12" t="inlineStr">
        <is>
          <t>pv_net_cf()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5"/>
  <cols>
    <col width="46" customWidth="1" min="2" max="2"/>
    <col width="10" customWidth="1" min="3" max="3"/>
    <col width="76" customWidth="1" min="4" max="4"/>
  </cols>
  <sheetData>
    <row r="2">
      <c r="B2" s="3" t="inlineStr">
        <is>
          <t>Internal consistency checks</t>
        </is>
      </c>
    </row>
    <row r="3">
      <c r="B3" s="10" t="inlineStr">
        <is>
          <t>Check</t>
        </is>
      </c>
      <c r="C3" s="10" t="inlineStr">
        <is>
          <t>Result</t>
        </is>
      </c>
      <c r="D3" s="10" t="inlineStr">
        <is>
          <t>Description</t>
        </is>
      </c>
    </row>
    <row r="4">
      <c r="B4" s="5" t="inlineStr">
        <is>
          <t>AV roll-forward (check_av_roll_fwd)</t>
        </is>
      </c>
      <c r="C4" s="41">
        <f>SUMPRODUCT(--(ABS(Proj_AvRollDiff)&gt;0.000000001))=0</f>
        <v/>
      </c>
      <c r="D4" s="42" t="inlineStr">
        <is>
          <t>Within 1e-9 relative, for every month EXCEPT the two maturity-boundary rows: AV(t+1, BEF_NB) equals AV(t, BEF_NB) + premium into AV − fees − COI + investment income − AV released on death, surrender and maturity. At the maturity boundary the per-month identity does not hold in lifelib itself (the maturity release is booked one row after BEF_NB empties; lifelib's own check_av_roll_fwd returns False there for single-premium endowments), so those two rows are excluded — matching the identity's actual domain of validity.</t>
        </is>
      </c>
    </row>
    <row r="5">
      <c r="B5" s="5" t="inlineStr">
        <is>
          <t>Margin decomposition (check_margin)</t>
        </is>
      </c>
      <c r="C5" s="41">
        <f>SUMPRODUCT(--(ABS(Proj_MarginDiff)&gt;0.000000001))=0</f>
        <v/>
      </c>
      <c r="D5" s="42" t="inlineStr">
        <is>
          <t>Every month, within 1e-9 relative: net cash flow equals expense margin + mortality margin.</t>
        </is>
      </c>
    </row>
    <row r="6">
      <c r="B6" s="5" t="inlineStr">
        <is>
          <t>PV identity (check_pv_net_cf)</t>
        </is>
      </c>
      <c r="C6" s="41">
        <f>ABS(SUMPRODUCT(Proj_NetCF,Proj_DiscFactor)-PV_NetCF)&lt;0.01</f>
        <v/>
      </c>
      <c r="D6" s="42" t="inlineStr">
        <is>
          <t>PV of the net cash flow column equals the sum of the component PVs.</t>
        </is>
      </c>
    </row>
    <row r="7">
      <c r="B7" s="5" t="inlineStr">
        <is>
          <t>In-force never negative</t>
        </is>
      </c>
      <c r="C7" s="41">
        <f>MIN(Proj_PolsIf)&gt;=0</f>
        <v/>
      </c>
      <c r="D7" s="42" t="inlineStr">
        <is>
          <t>Policies in force are non-negative at every projection month.</t>
        </is>
      </c>
    </row>
    <row r="8">
      <c r="B8" s="5" t="inlineStr">
        <is>
          <t>Entrants equal leavers</t>
        </is>
      </c>
      <c r="C8" s="41">
        <f>ABS(PolsIfInit+SUM(Proj_NewBiz)-SUM(Proj_Deaths)-SUM(Proj_Lapses)-SUM(Proj_Maturities))&lt;0.000001</f>
        <v/>
      </c>
      <c r="D8" s="42" t="inlineStr">
        <is>
          <t>Initial in-force plus new business equals deaths + lapses + maturities.</t>
        </is>
      </c>
    </row>
    <row r="9">
      <c r="B9" s="5" t="inlineStr">
        <is>
          <t>No in-force after maturity</t>
        </is>
      </c>
      <c r="C9" s="41">
        <f>SUMPRODUCT((Proj_DurMth&gt;12*PolicyTerm)*ABS(Proj_PolsIf))=0</f>
        <v/>
      </c>
      <c r="D9" s="42" t="inlineStr">
        <is>
          <t>The in-force count is exactly zero in every month after the maturity month.</t>
        </is>
      </c>
    </row>
    <row r="11">
      <c r="B11" s="3" t="inlineStr">
        <is>
          <t>ALL CHECKS PASS</t>
        </is>
      </c>
      <c r="C11" s="43">
        <f>AND(C4:C9)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I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lifelib results for every model point × scenario (savings.CashValue_SE). Generated by verification/generate_reference_cashvalue_se.py.</t>
        </is>
      </c>
    </row>
    <row r="2">
      <c r="A2" s="10" t="inlineStr">
        <is>
          <t>point_id</t>
        </is>
      </c>
      <c r="B2" s="10" t="inlineStr">
        <is>
          <t>scen_id</t>
        </is>
      </c>
      <c r="C2" s="10" t="inlineStr">
        <is>
          <t>pv_premiums</t>
        </is>
      </c>
      <c r="D2" s="10" t="inlineStr">
        <is>
          <t>pv_claims</t>
        </is>
      </c>
      <c r="E2" s="10" t="inlineStr">
        <is>
          <t>pv_expenses</t>
        </is>
      </c>
      <c r="F2" s="10" t="inlineStr">
        <is>
          <t>pv_commissions</t>
        </is>
      </c>
      <c r="G2" s="10" t="inlineStr">
        <is>
          <t>pv_inv_income</t>
        </is>
      </c>
      <c r="H2" s="10" t="inlineStr">
        <is>
          <t>pv_av_change</t>
        </is>
      </c>
      <c r="I2" s="10" t="inlineStr">
        <is>
          <t>pv_net_cf</t>
        </is>
      </c>
    </row>
    <row r="3">
      <c r="A3" s="7" t="n">
        <v>1</v>
      </c>
      <c r="B3" s="7" t="n">
        <v>1</v>
      </c>
      <c r="C3" s="44" t="n">
        <v>50000000</v>
      </c>
      <c r="D3" s="44" t="n">
        <v>43967898.98182978</v>
      </c>
      <c r="E3" s="44" t="n">
        <v>880706.1721809283</v>
      </c>
      <c r="F3" s="44" t="n">
        <v>2500000</v>
      </c>
      <c r="G3" s="44" t="n">
        <v>6060232.911947734</v>
      </c>
      <c r="H3" s="44" t="n">
        <v>3761454.319212127</v>
      </c>
      <c r="I3" s="44" t="n">
        <v>4950173.438724902</v>
      </c>
    </row>
    <row r="4">
      <c r="A4" s="7" t="n">
        <v>2</v>
      </c>
      <c r="B4" s="7" t="n">
        <v>1</v>
      </c>
      <c r="C4" s="44" t="n">
        <v>50000000</v>
      </c>
      <c r="D4" s="44" t="n">
        <v>49096019.96800482</v>
      </c>
      <c r="E4" s="44" t="n">
        <v>1157078.307406403</v>
      </c>
      <c r="F4" s="44" t="n">
        <v>2500000</v>
      </c>
      <c r="G4" s="44" t="n">
        <v>15666118.45540977</v>
      </c>
      <c r="H4" s="44" t="n">
        <v>8699598.857836515</v>
      </c>
      <c r="I4" s="44" t="n">
        <v>4213421.322162025</v>
      </c>
    </row>
    <row r="5">
      <c r="A5" s="7" t="n">
        <v>3</v>
      </c>
      <c r="B5" s="7" t="n">
        <v>1</v>
      </c>
      <c r="C5" s="44" t="n">
        <v>26422361.85208859</v>
      </c>
      <c r="D5" s="44" t="n">
        <v>19485495.3794466</v>
      </c>
      <c r="E5" s="44" t="n">
        <v>1891365.644304021</v>
      </c>
      <c r="F5" s="44" t="n">
        <v>1321118.09260443</v>
      </c>
      <c r="G5" s="44" t="n">
        <v>13196699.32471395</v>
      </c>
      <c r="H5" s="44" t="n">
        <v>10924588.79431453</v>
      </c>
      <c r="I5" s="44" t="n">
        <v>5996493.266132951</v>
      </c>
    </row>
    <row r="6">
      <c r="A6" s="7" t="n">
        <v>4</v>
      </c>
      <c r="B6" s="7" t="n">
        <v>1</v>
      </c>
      <c r="C6" s="44" t="n">
        <v>22014181.38426215</v>
      </c>
      <c r="D6" s="44" t="n">
        <v>21298759.78855028</v>
      </c>
      <c r="E6" s="44" t="n">
        <v>1588272.621092023</v>
      </c>
      <c r="F6" s="44" t="n">
        <v>1100709.069213109</v>
      </c>
      <c r="G6" s="44" t="n">
        <v>9191013.224397676</v>
      </c>
      <c r="H6" s="44" t="n">
        <v>4730656.240535432</v>
      </c>
      <c r="I6" s="44" t="n">
        <v>2486796.889268986</v>
      </c>
    </row>
    <row r="7">
      <c r="A7" s="7" t="n">
        <v>1</v>
      </c>
      <c r="B7" s="7" t="n">
        <v>2</v>
      </c>
      <c r="C7" s="44" t="n">
        <v>50000000</v>
      </c>
      <c r="D7" s="44" t="n">
        <v>37741948.90474254</v>
      </c>
      <c r="E7" s="44" t="n">
        <v>880706.1721809283</v>
      </c>
      <c r="F7" s="44" t="n">
        <v>2500000</v>
      </c>
      <c r="G7" s="44" t="n">
        <v>-755654.9603481005</v>
      </c>
      <c r="H7" s="44" t="n">
        <v>3424407.161170233</v>
      </c>
      <c r="I7" s="44" t="n">
        <v>4697282.8015582</v>
      </c>
    </row>
    <row r="8">
      <c r="A8" s="7" t="n">
        <v>2</v>
      </c>
      <c r="B8" s="7" t="n">
        <v>2</v>
      </c>
      <c r="C8" s="44" t="n">
        <v>50000000</v>
      </c>
      <c r="D8" s="44" t="n">
        <v>41772653.02257204</v>
      </c>
      <c r="E8" s="44" t="n">
        <v>1157078.307406403</v>
      </c>
      <c r="F8" s="44" t="n">
        <v>2500000</v>
      </c>
      <c r="G8" s="44" t="n">
        <v>6310953.257884821</v>
      </c>
      <c r="H8" s="44" t="n">
        <v>7520922.571433048</v>
      </c>
      <c r="I8" s="44" t="n">
        <v>3360299.35647333</v>
      </c>
    </row>
    <row r="9">
      <c r="A9" s="7" t="n">
        <v>3</v>
      </c>
      <c r="B9" s="7" t="n">
        <v>2</v>
      </c>
      <c r="C9" s="44" t="n">
        <v>26422361.85208859</v>
      </c>
      <c r="D9" s="44" t="n">
        <v>19994405.74708166</v>
      </c>
      <c r="E9" s="44" t="n">
        <v>1891365.644304021</v>
      </c>
      <c r="F9" s="44" t="n">
        <v>1321118.09260443</v>
      </c>
      <c r="G9" s="44" t="n">
        <v>14067862.80360822</v>
      </c>
      <c r="H9" s="44" t="n">
        <v>11330405.35405412</v>
      </c>
      <c r="I9" s="44" t="n">
        <v>5952929.817652572</v>
      </c>
    </row>
    <row r="10">
      <c r="A10" s="7" t="n">
        <v>4</v>
      </c>
      <c r="B10" s="7" t="n">
        <v>2</v>
      </c>
      <c r="C10" s="44" t="n">
        <v>22014181.38426215</v>
      </c>
      <c r="D10" s="44" t="n">
        <v>20745273.64823984</v>
      </c>
      <c r="E10" s="44" t="n">
        <v>1588272.621092023</v>
      </c>
      <c r="F10" s="44" t="n">
        <v>1100709.069213109</v>
      </c>
      <c r="G10" s="44" t="n">
        <v>8140627.782054621</v>
      </c>
      <c r="H10" s="44" t="n">
        <v>4455430.677168972</v>
      </c>
      <c r="I10" s="44" t="n">
        <v>2265123.15060283</v>
      </c>
    </row>
    <row r="11">
      <c r="A11" s="7" t="n">
        <v>1</v>
      </c>
      <c r="B11" s="7" t="n">
        <v>3</v>
      </c>
      <c r="C11" s="44" t="n">
        <v>50000000</v>
      </c>
      <c r="D11" s="44" t="n">
        <v>44219953.26062718</v>
      </c>
      <c r="E11" s="44" t="n">
        <v>880706.1721809283</v>
      </c>
      <c r="F11" s="44" t="n">
        <v>2500000</v>
      </c>
      <c r="G11" s="44" t="n">
        <v>6722846.504958011</v>
      </c>
      <c r="H11" s="44" t="n">
        <v>3990383.652725726</v>
      </c>
      <c r="I11" s="44" t="n">
        <v>5131803.419424176</v>
      </c>
    </row>
    <row r="12">
      <c r="A12" s="7" t="n">
        <v>2</v>
      </c>
      <c r="B12" s="7" t="n">
        <v>3</v>
      </c>
      <c r="C12" s="44" t="n">
        <v>50000000</v>
      </c>
      <c r="D12" s="44" t="n">
        <v>44619946.06977861</v>
      </c>
      <c r="E12" s="44" t="n">
        <v>1157078.307406403</v>
      </c>
      <c r="F12" s="44" t="n">
        <v>2500000</v>
      </c>
      <c r="G12" s="44" t="n">
        <v>10931973.91537675</v>
      </c>
      <c r="H12" s="44" t="n">
        <v>8492976.176221594</v>
      </c>
      <c r="I12" s="44" t="n">
        <v>4161973.361970149</v>
      </c>
    </row>
    <row r="13">
      <c r="A13" s="7" t="n">
        <v>3</v>
      </c>
      <c r="B13" s="7" t="n">
        <v>3</v>
      </c>
      <c r="C13" s="44" t="n">
        <v>26422361.85208859</v>
      </c>
      <c r="D13" s="44" t="n">
        <v>19499952.53271849</v>
      </c>
      <c r="E13" s="44" t="n">
        <v>1891365.644304021</v>
      </c>
      <c r="F13" s="44" t="n">
        <v>1321118.09260443</v>
      </c>
      <c r="G13" s="44" t="n">
        <v>12890601.42213969</v>
      </c>
      <c r="H13" s="44" t="n">
        <v>11095192.7846254</v>
      </c>
      <c r="I13" s="44" t="n">
        <v>5505334.219975922</v>
      </c>
    </row>
    <row r="14">
      <c r="A14" s="7" t="n">
        <v>4</v>
      </c>
      <c r="B14" s="7" t="n">
        <v>3</v>
      </c>
      <c r="C14" s="44" t="n">
        <v>22014181.38426215</v>
      </c>
      <c r="D14" s="44" t="n">
        <v>18467726.44828656</v>
      </c>
      <c r="E14" s="44" t="n">
        <v>1588272.621092023</v>
      </c>
      <c r="F14" s="44" t="n">
        <v>1100709.069213109</v>
      </c>
      <c r="G14" s="44" t="n">
        <v>5067407.253342364</v>
      </c>
      <c r="H14" s="44" t="n">
        <v>4006989.121428548</v>
      </c>
      <c r="I14" s="44" t="n">
        <v>1917891.377584276</v>
      </c>
    </row>
    <row r="15">
      <c r="A15" s="7" t="n">
        <v>1</v>
      </c>
      <c r="B15" s="7" t="n">
        <v>4</v>
      </c>
      <c r="C15" s="44" t="n">
        <v>50000000</v>
      </c>
      <c r="D15" s="44" t="n">
        <v>46263881.83164362</v>
      </c>
      <c r="E15" s="44" t="n">
        <v>880706.1721809283</v>
      </c>
      <c r="F15" s="44" t="n">
        <v>2500000</v>
      </c>
      <c r="G15" s="44" t="n">
        <v>8573035.661188999</v>
      </c>
      <c r="H15" s="44" t="n">
        <v>3884450.155826994</v>
      </c>
      <c r="I15" s="44" t="n">
        <v>5043997.501537457</v>
      </c>
    </row>
    <row r="16">
      <c r="A16" s="7" t="n">
        <v>2</v>
      </c>
      <c r="B16" s="7" t="n">
        <v>4</v>
      </c>
      <c r="C16" s="44" t="n">
        <v>50000000</v>
      </c>
      <c r="D16" s="44" t="n">
        <v>48963920.93190604</v>
      </c>
      <c r="E16" s="44" t="n">
        <v>1157078.307406403</v>
      </c>
      <c r="F16" s="44" t="n">
        <v>2500000</v>
      </c>
      <c r="G16" s="44" t="n">
        <v>15683548.67048748</v>
      </c>
      <c r="H16" s="44" t="n">
        <v>8756272.203608528</v>
      </c>
      <c r="I16" s="44" t="n">
        <v>4306277.227566518</v>
      </c>
    </row>
    <row r="17">
      <c r="A17" s="7" t="n">
        <v>3</v>
      </c>
      <c r="B17" s="7" t="n">
        <v>4</v>
      </c>
      <c r="C17" s="44" t="n">
        <v>26422361.85208859</v>
      </c>
      <c r="D17" s="44" t="n">
        <v>19056896.70448307</v>
      </c>
      <c r="E17" s="44" t="n">
        <v>1891365.644304021</v>
      </c>
      <c r="F17" s="44" t="n">
        <v>1321118.09260443</v>
      </c>
      <c r="G17" s="44" t="n">
        <v>12561662.79161511</v>
      </c>
      <c r="H17" s="44" t="n">
        <v>10975257.38095202</v>
      </c>
      <c r="I17" s="44" t="n">
        <v>5739386.821360163</v>
      </c>
    </row>
    <row r="18">
      <c r="A18" s="7" t="n">
        <v>4</v>
      </c>
      <c r="B18" s="7" t="n">
        <v>4</v>
      </c>
      <c r="C18" s="44" t="n">
        <v>22014181.38426215</v>
      </c>
      <c r="D18" s="44" t="n">
        <v>19898588.48054793</v>
      </c>
      <c r="E18" s="44" t="n">
        <v>1588272.621092023</v>
      </c>
      <c r="F18" s="44" t="n">
        <v>1100709.069213109</v>
      </c>
      <c r="G18" s="44" t="n">
        <v>7199177.217966296</v>
      </c>
      <c r="H18" s="44" t="n">
        <v>4413793.299515768</v>
      </c>
      <c r="I18" s="44" t="n">
        <v>2211995.131859613</v>
      </c>
    </row>
    <row r="19">
      <c r="A19" s="7" t="n">
        <v>1</v>
      </c>
      <c r="B19" s="7" t="n">
        <v>5</v>
      </c>
      <c r="C19" s="44" t="n">
        <v>50000000</v>
      </c>
      <c r="D19" s="44" t="n">
        <v>40878664.89311481</v>
      </c>
      <c r="E19" s="44" t="n">
        <v>880706.1721809283</v>
      </c>
      <c r="F19" s="44" t="n">
        <v>2500000</v>
      </c>
      <c r="G19" s="44" t="n">
        <v>3041015.775186879</v>
      </c>
      <c r="H19" s="44" t="n">
        <v>3793785.833750367</v>
      </c>
      <c r="I19" s="44" t="n">
        <v>4987858.876140766</v>
      </c>
    </row>
    <row r="20">
      <c r="A20" s="7" t="n">
        <v>2</v>
      </c>
      <c r="B20" s="7" t="n">
        <v>5</v>
      </c>
      <c r="C20" s="44" t="n">
        <v>50000000</v>
      </c>
      <c r="D20" s="44" t="n">
        <v>39935924.53253464</v>
      </c>
      <c r="E20" s="44" t="n">
        <v>1157078.307406403</v>
      </c>
      <c r="F20" s="44" t="n">
        <v>2500000</v>
      </c>
      <c r="G20" s="44" t="n">
        <v>4856550.945727839</v>
      </c>
      <c r="H20" s="44" t="n">
        <v>7674745.879082646</v>
      </c>
      <c r="I20" s="44" t="n">
        <v>3588802.226704147</v>
      </c>
    </row>
    <row r="21">
      <c r="A21" s="7" t="n">
        <v>3</v>
      </c>
      <c r="B21" s="7" t="n">
        <v>5</v>
      </c>
      <c r="C21" s="44" t="n">
        <v>26422361.85208859</v>
      </c>
      <c r="D21" s="44" t="n">
        <v>18340700.25978319</v>
      </c>
      <c r="E21" s="44" t="n">
        <v>1891365.644304021</v>
      </c>
      <c r="F21" s="44" t="n">
        <v>1321118.09260443</v>
      </c>
      <c r="G21" s="44" t="n">
        <v>10661781.54992357</v>
      </c>
      <c r="H21" s="44" t="n">
        <v>10209849.68744517</v>
      </c>
      <c r="I21" s="44" t="n">
        <v>5321109.717875347</v>
      </c>
    </row>
    <row r="22">
      <c r="A22" s="7" t="n">
        <v>4</v>
      </c>
      <c r="B22" s="7" t="n">
        <v>5</v>
      </c>
      <c r="C22" s="44" t="n">
        <v>22014181.38426215</v>
      </c>
      <c r="D22" s="44" t="n">
        <v>18802280.85259572</v>
      </c>
      <c r="E22" s="44" t="n">
        <v>1588272.621092023</v>
      </c>
      <c r="F22" s="44" t="n">
        <v>1100709.069213109</v>
      </c>
      <c r="G22" s="44" t="n">
        <v>5297994.768610636</v>
      </c>
      <c r="H22" s="44" t="n">
        <v>3931115.889383687</v>
      </c>
      <c r="I22" s="44" t="n">
        <v>1889797.72058825</v>
      </c>
    </row>
    <row r="23">
      <c r="A23" s="7" t="n">
        <v>1</v>
      </c>
      <c r="B23" s="7" t="n">
        <v>6</v>
      </c>
      <c r="C23" s="44" t="n">
        <v>50000000</v>
      </c>
      <c r="D23" s="44" t="n">
        <v>44860243.82359323</v>
      </c>
      <c r="E23" s="44" t="n">
        <v>880706.1721809283</v>
      </c>
      <c r="F23" s="44" t="n">
        <v>2500000</v>
      </c>
      <c r="G23" s="44" t="n">
        <v>7269474.160792168</v>
      </c>
      <c r="H23" s="44" t="n">
        <v>3941622.767424196</v>
      </c>
      <c r="I23" s="44" t="n">
        <v>5086901.397593811</v>
      </c>
    </row>
    <row r="24">
      <c r="A24" s="7" t="n">
        <v>2</v>
      </c>
      <c r="B24" s="7" t="n">
        <v>6</v>
      </c>
      <c r="C24" s="44" t="n">
        <v>50000000</v>
      </c>
      <c r="D24" s="44" t="n">
        <v>44086389.65301337</v>
      </c>
      <c r="E24" s="44" t="n">
        <v>1157078.307406403</v>
      </c>
      <c r="F24" s="44" t="n">
        <v>2500000</v>
      </c>
      <c r="G24" s="44" t="n">
        <v>10258119.23978133</v>
      </c>
      <c r="H24" s="44" t="n">
        <v>8427084.752776235</v>
      </c>
      <c r="I24" s="44" t="n">
        <v>4087566.526585326</v>
      </c>
    </row>
    <row r="25">
      <c r="A25" s="7" t="n">
        <v>3</v>
      </c>
      <c r="B25" s="7" t="n">
        <v>6</v>
      </c>
      <c r="C25" s="44" t="n">
        <v>26422361.85208859</v>
      </c>
      <c r="D25" s="44" t="n">
        <v>17997334.26753358</v>
      </c>
      <c r="E25" s="44" t="n">
        <v>1891365.644304021</v>
      </c>
      <c r="F25" s="44" t="n">
        <v>1321118.09260443</v>
      </c>
      <c r="G25" s="44" t="n">
        <v>10065000.34545433</v>
      </c>
      <c r="H25" s="44" t="n">
        <v>10025419.61535775</v>
      </c>
      <c r="I25" s="44" t="n">
        <v>5252124.577743139</v>
      </c>
    </row>
    <row r="26">
      <c r="A26" s="7" t="n">
        <v>4</v>
      </c>
      <c r="B26" s="7" t="n">
        <v>6</v>
      </c>
      <c r="C26" s="44" t="n">
        <v>22014181.38426215</v>
      </c>
      <c r="D26" s="44" t="n">
        <v>18602834.73198323</v>
      </c>
      <c r="E26" s="44" t="n">
        <v>1588272.621092023</v>
      </c>
      <c r="F26" s="44" t="n">
        <v>1100709.069213109</v>
      </c>
      <c r="G26" s="44" t="n">
        <v>5207264.225464308</v>
      </c>
      <c r="H26" s="44" t="n">
        <v>4004476.542126487</v>
      </c>
      <c r="I26" s="44" t="n">
        <v>1925152.645311614</v>
      </c>
    </row>
    <row r="27">
      <c r="A27" s="7" t="n">
        <v>1</v>
      </c>
      <c r="B27" s="7" t="n">
        <v>7</v>
      </c>
      <c r="C27" s="44" t="n">
        <v>50000000</v>
      </c>
      <c r="D27" s="44" t="n">
        <v>44306590.58304675</v>
      </c>
      <c r="E27" s="44" t="n">
        <v>880706.1721809283</v>
      </c>
      <c r="F27" s="44" t="n">
        <v>2500000</v>
      </c>
      <c r="G27" s="44" t="n">
        <v>6375407.020474136</v>
      </c>
      <c r="H27" s="44" t="n">
        <v>3751833.732749886</v>
      </c>
      <c r="I27" s="44" t="n">
        <v>4936276.532496564</v>
      </c>
    </row>
    <row r="28">
      <c r="A28" s="7" t="n">
        <v>2</v>
      </c>
      <c r="B28" s="7" t="n">
        <v>7</v>
      </c>
      <c r="C28" s="44" t="n">
        <v>50000000</v>
      </c>
      <c r="D28" s="44" t="n">
        <v>48357707.37224123</v>
      </c>
      <c r="E28" s="44" t="n">
        <v>1157078.307406403</v>
      </c>
      <c r="F28" s="44" t="n">
        <v>2500000</v>
      </c>
      <c r="G28" s="44" t="n">
        <v>14655049.92661905</v>
      </c>
      <c r="H28" s="44" t="n">
        <v>8542111.560799003</v>
      </c>
      <c r="I28" s="44" t="n">
        <v>4098152.686172418</v>
      </c>
    </row>
    <row r="29">
      <c r="A29" s="7" t="n">
        <v>3</v>
      </c>
      <c r="B29" s="7" t="n">
        <v>7</v>
      </c>
      <c r="C29" s="44" t="n">
        <v>26422361.85208859</v>
      </c>
      <c r="D29" s="44" t="n">
        <v>17878286.56372504</v>
      </c>
      <c r="E29" s="44" t="n">
        <v>1891365.644304021</v>
      </c>
      <c r="F29" s="44" t="n">
        <v>1321118.09260443</v>
      </c>
      <c r="G29" s="44" t="n">
        <v>10291294.97878551</v>
      </c>
      <c r="H29" s="44" t="n">
        <v>10171675.93430352</v>
      </c>
      <c r="I29" s="44" t="n">
        <v>5451210.595937086</v>
      </c>
    </row>
    <row r="30">
      <c r="A30" s="7" t="n">
        <v>4</v>
      </c>
      <c r="B30" s="7" t="n">
        <v>7</v>
      </c>
      <c r="C30" s="44" t="n">
        <v>22014181.38426215</v>
      </c>
      <c r="D30" s="44" t="n">
        <v>18955148.90142963</v>
      </c>
      <c r="E30" s="44" t="n">
        <v>1588272.621092023</v>
      </c>
      <c r="F30" s="44" t="n">
        <v>1100709.069213109</v>
      </c>
      <c r="G30" s="44" t="n">
        <v>6375934.243038646</v>
      </c>
      <c r="H30" s="44" t="n">
        <v>4483347.56873699</v>
      </c>
      <c r="I30" s="44" t="n">
        <v>2262637.466829049</v>
      </c>
    </row>
    <row r="31">
      <c r="A31" s="7" t="n">
        <v>1</v>
      </c>
      <c r="B31" s="7" t="n">
        <v>8</v>
      </c>
      <c r="C31" s="44" t="n">
        <v>50000000</v>
      </c>
      <c r="D31" s="44" t="n">
        <v>45401791.48017431</v>
      </c>
      <c r="E31" s="44" t="n">
        <v>880706.1721809283</v>
      </c>
      <c r="F31" s="44" t="n">
        <v>2500000</v>
      </c>
      <c r="G31" s="44" t="n">
        <v>7671446.878750883</v>
      </c>
      <c r="H31" s="44" t="n">
        <v>3866036.805769962</v>
      </c>
      <c r="I31" s="44" t="n">
        <v>5022912.420625683</v>
      </c>
    </row>
    <row r="32">
      <c r="A32" s="7" t="n">
        <v>2</v>
      </c>
      <c r="B32" s="7" t="n">
        <v>8</v>
      </c>
      <c r="C32" s="44" t="n">
        <v>50000000</v>
      </c>
      <c r="D32" s="44" t="n">
        <v>43991136.7178773</v>
      </c>
      <c r="E32" s="44" t="n">
        <v>1157078.307406403</v>
      </c>
      <c r="F32" s="44" t="n">
        <v>2500000</v>
      </c>
      <c r="G32" s="44" t="n">
        <v>10485078.74161039</v>
      </c>
      <c r="H32" s="44" t="n">
        <v>8637031.341163855</v>
      </c>
      <c r="I32" s="44" t="n">
        <v>4199832.375162836</v>
      </c>
    </row>
    <row r="33">
      <c r="A33" s="7" t="n">
        <v>3</v>
      </c>
      <c r="B33" s="7" t="n">
        <v>8</v>
      </c>
      <c r="C33" s="44" t="n">
        <v>26422361.85208859</v>
      </c>
      <c r="D33" s="44" t="n">
        <v>18161790.93117925</v>
      </c>
      <c r="E33" s="44" t="n">
        <v>1891365.644304021</v>
      </c>
      <c r="F33" s="44" t="n">
        <v>1321118.09260443</v>
      </c>
      <c r="G33" s="44" t="n">
        <v>10742060.63173101</v>
      </c>
      <c r="H33" s="44" t="n">
        <v>10351887.23221826</v>
      </c>
      <c r="I33" s="44" t="n">
        <v>5438260.583513638</v>
      </c>
    </row>
    <row r="34">
      <c r="A34" s="7" t="n">
        <v>4</v>
      </c>
      <c r="B34" s="7" t="n">
        <v>8</v>
      </c>
      <c r="C34" s="44" t="n">
        <v>22014181.38426215</v>
      </c>
      <c r="D34" s="44" t="n">
        <v>19214054.29369403</v>
      </c>
      <c r="E34" s="44" t="n">
        <v>1588272.621092023</v>
      </c>
      <c r="F34" s="44" t="n">
        <v>1100709.069213109</v>
      </c>
      <c r="G34" s="44" t="n">
        <v>5992518.448459609</v>
      </c>
      <c r="H34" s="44" t="n">
        <v>4106442.247414183</v>
      </c>
      <c r="I34" s="44" t="n">
        <v>1997221.601308413</v>
      </c>
    </row>
    <row r="35">
      <c r="A35" s="7" t="n">
        <v>1</v>
      </c>
      <c r="B35" s="7" t="n">
        <v>9</v>
      </c>
      <c r="C35" s="44" t="n">
        <v>50000000</v>
      </c>
      <c r="D35" s="44" t="n">
        <v>44025371.77794103</v>
      </c>
      <c r="E35" s="44" t="n">
        <v>880706.1721809283</v>
      </c>
      <c r="F35" s="44" t="n">
        <v>2500000</v>
      </c>
      <c r="G35" s="44" t="n">
        <v>6569800.184066148</v>
      </c>
      <c r="H35" s="44" t="n">
        <v>4011924.894272503</v>
      </c>
      <c r="I35" s="44" t="n">
        <v>5151797.33967169</v>
      </c>
    </row>
    <row r="36">
      <c r="A36" s="7" t="n">
        <v>2</v>
      </c>
      <c r="B36" s="7" t="n">
        <v>9</v>
      </c>
      <c r="C36" s="44" t="n">
        <v>50000000</v>
      </c>
      <c r="D36" s="44" t="n">
        <v>47266219.87520462</v>
      </c>
      <c r="E36" s="44" t="n">
        <v>1157078.307406403</v>
      </c>
      <c r="F36" s="44" t="n">
        <v>2500000</v>
      </c>
      <c r="G36" s="44" t="n">
        <v>14338263.67569281</v>
      </c>
      <c r="H36" s="44" t="n">
        <v>8948788.185323067</v>
      </c>
      <c r="I36" s="44" t="n">
        <v>4466177.307758726</v>
      </c>
    </row>
    <row r="37">
      <c r="A37" s="7" t="n">
        <v>3</v>
      </c>
      <c r="B37" s="7" t="n">
        <v>9</v>
      </c>
      <c r="C37" s="44" t="n">
        <v>26422361.85208859</v>
      </c>
      <c r="D37" s="44" t="n">
        <v>18132506.17946984</v>
      </c>
      <c r="E37" s="44" t="n">
        <v>1891365.644304021</v>
      </c>
      <c r="F37" s="44" t="n">
        <v>1321118.09260443</v>
      </c>
      <c r="G37" s="44" t="n">
        <v>10348917.47817462</v>
      </c>
      <c r="H37" s="44" t="n">
        <v>10123008.54317935</v>
      </c>
      <c r="I37" s="44" t="n">
        <v>5303280.870705558</v>
      </c>
    </row>
    <row r="38">
      <c r="A38" s="7" t="n">
        <v>4</v>
      </c>
      <c r="B38" s="7" t="n">
        <v>9</v>
      </c>
      <c r="C38" s="44" t="n">
        <v>22014181.38426215</v>
      </c>
      <c r="D38" s="44" t="n">
        <v>18551013.25738008</v>
      </c>
      <c r="E38" s="44" t="n">
        <v>1588272.621092023</v>
      </c>
      <c r="F38" s="44" t="n">
        <v>1100709.069213109</v>
      </c>
      <c r="G38" s="44" t="n">
        <v>5428303.738349973</v>
      </c>
      <c r="H38" s="44" t="n">
        <v>4171775.709028808</v>
      </c>
      <c r="I38" s="44" t="n">
        <v>2030714.46589811</v>
      </c>
    </row>
    <row r="39">
      <c r="A39" s="7" t="n">
        <v>1</v>
      </c>
      <c r="B39" s="7" t="n">
        <v>10</v>
      </c>
      <c r="C39" s="44" t="n">
        <v>50000000</v>
      </c>
      <c r="D39" s="44" t="n">
        <v>40708504.41349003</v>
      </c>
      <c r="E39" s="44" t="n">
        <v>880706.1721809283</v>
      </c>
      <c r="F39" s="44" t="n">
        <v>2500000</v>
      </c>
      <c r="G39" s="44" t="n">
        <v>2799255.484263916</v>
      </c>
      <c r="H39" s="44" t="n">
        <v>3751226.071004738</v>
      </c>
      <c r="I39" s="44" t="n">
        <v>4958818.827588219</v>
      </c>
    </row>
    <row r="40">
      <c r="A40" s="7" t="n">
        <v>2</v>
      </c>
      <c r="B40" s="7" t="n">
        <v>10</v>
      </c>
      <c r="C40" s="44" t="n">
        <v>50000000</v>
      </c>
      <c r="D40" s="44" t="n">
        <v>44118510.21688982</v>
      </c>
      <c r="E40" s="44" t="n">
        <v>1157078.307406403</v>
      </c>
      <c r="F40" s="44" t="n">
        <v>2500000</v>
      </c>
      <c r="G40" s="44" t="n">
        <v>9725103.752118627</v>
      </c>
      <c r="H40" s="44" t="n">
        <v>8089454.491131469</v>
      </c>
      <c r="I40" s="44" t="n">
        <v>3860060.736690931</v>
      </c>
    </row>
    <row r="41">
      <c r="A41" s="7" t="n">
        <v>3</v>
      </c>
      <c r="B41" s="7" t="n">
        <v>10</v>
      </c>
      <c r="C41" s="44" t="n">
        <v>26422361.85208859</v>
      </c>
      <c r="D41" s="44" t="n">
        <v>17316171.99548969</v>
      </c>
      <c r="E41" s="44" t="n">
        <v>1891365.644304021</v>
      </c>
      <c r="F41" s="44" t="n">
        <v>1321118.09260443</v>
      </c>
      <c r="G41" s="44" t="n">
        <v>9107807.757115256</v>
      </c>
      <c r="H41" s="44" t="n">
        <v>9775702.776060211</v>
      </c>
      <c r="I41" s="44" t="n">
        <v>5225811.100745484</v>
      </c>
    </row>
    <row r="42">
      <c r="A42" s="7" t="n">
        <v>4</v>
      </c>
      <c r="B42" s="7" t="n">
        <v>10</v>
      </c>
      <c r="C42" s="44" t="n">
        <v>22014181.38426215</v>
      </c>
      <c r="D42" s="44" t="n">
        <v>18602772.37087126</v>
      </c>
      <c r="E42" s="44" t="n">
        <v>1588272.621092023</v>
      </c>
      <c r="F42" s="44" t="n">
        <v>1100709.069213109</v>
      </c>
      <c r="G42" s="44" t="n">
        <v>5439881.403558326</v>
      </c>
      <c r="H42" s="44" t="n">
        <v>4140203.365001846</v>
      </c>
      <c r="I42" s="44" t="n">
        <v>2022105.361642242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B1:M1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</cols>
  <sheetData>
    <row r="1">
      <c r="B1" s="3" t="inlineStr">
        <is>
          <t>All model points × scenarios — batch run and reconciliation vs lifelib</t>
        </is>
      </c>
    </row>
    <row r="2">
      <c r="B2" s="12" t="inlineStr">
        <is>
          <t>Filled by the RunAllModelPoints macro (see Control sheet for settings).</t>
        </is>
      </c>
    </row>
    <row r="4">
      <c r="B4" s="5" t="inlineStr">
        <is>
          <t>Runs executed</t>
        </is>
      </c>
      <c r="C4" s="45" t="n"/>
    </row>
    <row r="5">
      <c r="B5" s="5" t="inlineStr">
        <is>
          <t>Reconciled within tolerance</t>
        </is>
      </c>
      <c r="C5" s="45" t="n"/>
    </row>
    <row r="6">
      <c r="B6" s="5" t="inlineStr">
        <is>
          <t>Mismatches</t>
        </is>
      </c>
      <c r="C6" s="45" t="n"/>
    </row>
    <row r="7">
      <c r="B7" s="5" t="inlineStr">
        <is>
          <t>Max relative diff PV premiums</t>
        </is>
      </c>
      <c r="C7" s="45" t="n"/>
    </row>
    <row r="8">
      <c r="B8" s="5" t="inlineStr">
        <is>
          <t>Max relative diff PV (all components)</t>
        </is>
      </c>
      <c r="C8" s="45" t="n"/>
    </row>
    <row r="9">
      <c r="B9" s="5" t="inlineStr">
        <is>
          <t>Run time (seconds)</t>
        </is>
      </c>
      <c r="C9" s="45" t="n"/>
    </row>
    <row r="10">
      <c r="B10" s="3" t="inlineStr">
        <is>
          <t>RECONCILIATION RESULT</t>
        </is>
      </c>
      <c r="C10" s="45" t="n"/>
    </row>
    <row r="12">
      <c r="B12" s="10" t="inlineStr">
        <is>
          <t>point_id</t>
        </is>
      </c>
      <c r="C12" s="10" t="inlineStr">
        <is>
          <t>scen_id</t>
        </is>
      </c>
      <c r="D12" s="10" t="inlineStr">
        <is>
          <t>pv_net_cf (wb)</t>
        </is>
      </c>
      <c r="E12" s="10" t="inlineStr">
        <is>
          <t>pv_net_cf (lifelib)</t>
        </is>
      </c>
      <c r="F12" s="10" t="inlineStr">
        <is>
          <t>rel pv_premiums</t>
        </is>
      </c>
      <c r="G12" s="10" t="inlineStr">
        <is>
          <t>rel pv_claims</t>
        </is>
      </c>
      <c r="H12" s="10" t="inlineStr">
        <is>
          <t>rel pv_expenses</t>
        </is>
      </c>
      <c r="I12" s="10" t="inlineStr">
        <is>
          <t>rel pv_commissions</t>
        </is>
      </c>
      <c r="J12" s="10" t="inlineStr">
        <is>
          <t>rel pv_inv_income</t>
        </is>
      </c>
      <c r="K12" s="10" t="inlineStr">
        <is>
          <t>rel pv_av_change</t>
        </is>
      </c>
      <c r="L12" s="10" t="inlineStr">
        <is>
          <t>rel pv_net_cf</t>
        </is>
      </c>
      <c r="M12" s="10" t="inlineStr">
        <is>
          <t>reconciles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2026-08-04T13:04:47Z</dcterms:created>
  <dcterms:modified xmlns:dcterms="http://purl.org/dc/terms/" xmlns:xsi="http://www.w3.org/2001/XMLSchema-instance" xsi:type="dcterms:W3CDTF">2026-08-04T13:04:48Z</dcterms:modified>
</cp:coreProperties>
</file>