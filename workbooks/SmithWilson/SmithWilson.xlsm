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xr:revisionPtr revIDLastSave="0" documentId="13_ncr:1_{10147AE4-D9EE-564B-8BAF-BFFFDF191C43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Cover" sheetId="1" r:id="rId1"/>
    <sheet name="Control" sheetId="2" r:id="rId2"/>
    <sheet name="Assumptions" sheetId="3" r:id="rId3"/>
    <sheet name="Spot_Rates" sheetId="4" r:id="rId4"/>
    <sheet name="Wilson" sheetId="5" r:id="rId5"/>
    <sheet name="Calibration" sheetId="6" r:id="rId6"/>
    <sheet name="Extrapolation" sheetId="7" r:id="rId7"/>
    <sheet name="Summary" sheetId="8" r:id="rId8"/>
    <sheet name="Checks" sheetId="9" r:id="rId9"/>
    <sheet name="Lifelib_Reference" sheetId="10" r:id="rId10"/>
    <sheet name="Batch_Results" sheetId="11" r:id="rId11"/>
  </sheets>
  <definedNames>
    <definedName name="AllChecksPass">Checks!$C$11</definedName>
    <definedName name="Alpha">Assumptions!$C$6</definedName>
    <definedName name="BatchTol">Control!$C$8</definedName>
    <definedName name="DVec">Calibration!$F$4:$F$28</definedName>
    <definedName name="Ext_Mu">Extrapolation!$B$4:$B$68</definedName>
    <definedName name="Ext_P">Extrapolation!$C$4:$C$68</definedName>
    <definedName name="Ext_R">Extrapolation!$D$4:$D$68</definedName>
    <definedName name="Ext_T">Extrapolation!$A$4:$A$68</definedName>
    <definedName name="MuVecObs">Calibration!$E$4:$E$28</definedName>
    <definedName name="MVec">Calibration!$D$4:$D$28</definedName>
    <definedName name="N_Obs">Assumptions!$C$7</definedName>
    <definedName name="P_Fitted_Obs">Extrapolation!$C$4:$C$28</definedName>
    <definedName name="R_Fitted_Obs">Extrapolation!$D$4:$D$28</definedName>
    <definedName name="Ref_P">Lifelib_Reference!$B$3:$B$67</definedName>
    <definedName name="Ref_R">Lifelib_Reference!$C$3:$C$67</definedName>
    <definedName name="Ref_Zeta">Lifelib_Reference!$F$3:$F$27</definedName>
    <definedName name="SelMaturity">Control!$C$4</definedName>
    <definedName name="SpotMaturities">Spot_Rates!$B$4:$B$28</definedName>
    <definedName name="SpotRates">Spot_Rates!$C$4:$C$28</definedName>
    <definedName name="T_Max">Assumptions!$C$8</definedName>
    <definedName name="UFR">Assumptions!$C$4</definedName>
    <definedName name="UFR_Annual">Assumptions!$C$5</definedName>
    <definedName name="WGrid">Wilson!$B$4:$Z$68</definedName>
    <definedName name="WMatrix">Wilson!$B$4:$Z$28</definedName>
    <definedName name="ZetaVec">Calibration!$G$4:$G$28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9" l="1"/>
  <c r="D22" i="8"/>
  <c r="D21" i="8"/>
  <c r="D20" i="8"/>
  <c r="D19" i="8"/>
  <c r="D18" i="8"/>
  <c r="D17" i="8"/>
  <c r="D16" i="8"/>
  <c r="D15" i="8"/>
  <c r="D14" i="8"/>
  <c r="D13" i="8"/>
  <c r="D12" i="8"/>
  <c r="C4" i="8"/>
  <c r="A7" i="7"/>
  <c r="E6" i="7"/>
  <c r="E5" i="7"/>
  <c r="B5" i="7"/>
  <c r="A5" i="7"/>
  <c r="A6" i="7" s="1"/>
  <c r="B6" i="7" s="1"/>
  <c r="E4" i="7"/>
  <c r="B4" i="7"/>
  <c r="C5" i="6"/>
  <c r="B5" i="6"/>
  <c r="E5" i="6" s="1"/>
  <c r="A5" i="6"/>
  <c r="A6" i="6" s="1"/>
  <c r="C4" i="6"/>
  <c r="D4" i="6" s="1"/>
  <c r="F4" i="6" s="1"/>
  <c r="B4" i="6"/>
  <c r="E4" i="6" s="1"/>
  <c r="Y5" i="5"/>
  <c r="X5" i="5"/>
  <c r="W5" i="5"/>
  <c r="V5" i="5"/>
  <c r="N5" i="5"/>
  <c r="J5" i="5"/>
  <c r="I5" i="5"/>
  <c r="H5" i="5"/>
  <c r="A5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C5" i="3"/>
  <c r="U5" i="5" l="1"/>
  <c r="M5" i="5"/>
  <c r="E5" i="5"/>
  <c r="T5" i="5"/>
  <c r="L5" i="5"/>
  <c r="D5" i="5"/>
  <c r="A6" i="5"/>
  <c r="S5" i="5"/>
  <c r="K5" i="5"/>
  <c r="C5" i="5"/>
  <c r="O5" i="5"/>
  <c r="P5" i="5"/>
  <c r="F5" i="5"/>
  <c r="Q5" i="5"/>
  <c r="C7" i="8"/>
  <c r="Z5" i="5"/>
  <c r="B5" i="5"/>
  <c r="G5" i="5"/>
  <c r="R5" i="5"/>
  <c r="B7" i="7"/>
  <c r="E7" i="7"/>
  <c r="A7" i="6"/>
  <c r="C6" i="6"/>
  <c r="B6" i="6"/>
  <c r="E6" i="6" s="1"/>
  <c r="A8" i="7"/>
  <c r="D5" i="6"/>
  <c r="F5" i="6" s="1"/>
  <c r="A7" i="5" l="1"/>
  <c r="S6" i="5"/>
  <c r="K6" i="5"/>
  <c r="C6" i="5"/>
  <c r="Z6" i="5"/>
  <c r="R6" i="5"/>
  <c r="J6" i="5"/>
  <c r="B6" i="5"/>
  <c r="Y6" i="5"/>
  <c r="Q6" i="5"/>
  <c r="I6" i="5"/>
  <c r="T6" i="5"/>
  <c r="F6" i="5"/>
  <c r="O6" i="5"/>
  <c r="P6" i="5"/>
  <c r="E6" i="5"/>
  <c r="N6" i="5"/>
  <c r="W6" i="5"/>
  <c r="V6" i="5"/>
  <c r="D6" i="5"/>
  <c r="X6" i="5"/>
  <c r="L6" i="5"/>
  <c r="H6" i="5"/>
  <c r="G6" i="5"/>
  <c r="U6" i="5"/>
  <c r="M6" i="5"/>
  <c r="D6" i="6"/>
  <c r="F6" i="6" s="1"/>
  <c r="A9" i="7"/>
  <c r="E8" i="7"/>
  <c r="B8" i="7"/>
  <c r="B7" i="6"/>
  <c r="E7" i="6" s="1"/>
  <c r="A8" i="6"/>
  <c r="C7" i="6"/>
  <c r="A10" i="7" l="1"/>
  <c r="B9" i="7"/>
  <c r="E9" i="7"/>
  <c r="D7" i="6"/>
  <c r="F7" i="6" s="1"/>
  <c r="C8" i="6"/>
  <c r="D8" i="6" s="1"/>
  <c r="F8" i="6" s="1"/>
  <c r="B8" i="6"/>
  <c r="E8" i="6" s="1"/>
  <c r="A9" i="6"/>
  <c r="Y7" i="5"/>
  <c r="Q7" i="5"/>
  <c r="I7" i="5"/>
  <c r="X7" i="5"/>
  <c r="P7" i="5"/>
  <c r="H7" i="5"/>
  <c r="W7" i="5"/>
  <c r="O7" i="5"/>
  <c r="G7" i="5"/>
  <c r="T7" i="5"/>
  <c r="L7" i="5"/>
  <c r="U7" i="5"/>
  <c r="E7" i="5"/>
  <c r="A8" i="5"/>
  <c r="Z7" i="5"/>
  <c r="S7" i="5"/>
  <c r="D7" i="5"/>
  <c r="C7" i="5"/>
  <c r="B7" i="5"/>
  <c r="V7" i="5"/>
  <c r="R7" i="5"/>
  <c r="N7" i="5"/>
  <c r="M7" i="5"/>
  <c r="K7" i="5"/>
  <c r="J7" i="5"/>
  <c r="F7" i="5"/>
  <c r="B9" i="6" l="1"/>
  <c r="E9" i="6" s="1"/>
  <c r="A10" i="6"/>
  <c r="C9" i="6"/>
  <c r="D9" i="6" s="1"/>
  <c r="F9" i="6" s="1"/>
  <c r="W8" i="5"/>
  <c r="O8" i="5"/>
  <c r="G8" i="5"/>
  <c r="V8" i="5"/>
  <c r="N8" i="5"/>
  <c r="F8" i="5"/>
  <c r="U8" i="5"/>
  <c r="M8" i="5"/>
  <c r="E8" i="5"/>
  <c r="Z8" i="5"/>
  <c r="R8" i="5"/>
  <c r="J8" i="5"/>
  <c r="B8" i="5"/>
  <c r="A9" i="5"/>
  <c r="K8" i="5"/>
  <c r="H8" i="5"/>
  <c r="D8" i="5"/>
  <c r="C8" i="5"/>
  <c r="L8" i="5"/>
  <c r="Y8" i="5"/>
  <c r="I8" i="5"/>
  <c r="S8" i="5"/>
  <c r="P8" i="5"/>
  <c r="X8" i="5"/>
  <c r="T8" i="5"/>
  <c r="Q8" i="5"/>
  <c r="B10" i="7"/>
  <c r="E10" i="7"/>
  <c r="A11" i="7"/>
  <c r="U9" i="5" l="1"/>
  <c r="M9" i="5"/>
  <c r="E9" i="5"/>
  <c r="T9" i="5"/>
  <c r="L9" i="5"/>
  <c r="D9" i="5"/>
  <c r="A10" i="5"/>
  <c r="S9" i="5"/>
  <c r="K9" i="5"/>
  <c r="C9" i="5"/>
  <c r="X9" i="5"/>
  <c r="P9" i="5"/>
  <c r="H9" i="5"/>
  <c r="Q9" i="5"/>
  <c r="Z9" i="5"/>
  <c r="R9" i="5"/>
  <c r="O9" i="5"/>
  <c r="N9" i="5"/>
  <c r="J9" i="5"/>
  <c r="G9" i="5"/>
  <c r="Y9" i="5"/>
  <c r="F9" i="5"/>
  <c r="I9" i="5"/>
  <c r="W9" i="5"/>
  <c r="V9" i="5"/>
  <c r="B9" i="5"/>
  <c r="A11" i="6"/>
  <c r="C10" i="6"/>
  <c r="B10" i="6"/>
  <c r="E10" i="6" s="1"/>
  <c r="E11" i="7"/>
  <c r="A12" i="7"/>
  <c r="B11" i="7"/>
  <c r="V10" i="5" l="1"/>
  <c r="N10" i="5"/>
  <c r="T10" i="5"/>
  <c r="K10" i="5"/>
  <c r="C10" i="5"/>
  <c r="S10" i="5"/>
  <c r="J10" i="5"/>
  <c r="B10" i="5"/>
  <c r="A11" i="5"/>
  <c r="R10" i="5"/>
  <c r="I10" i="5"/>
  <c r="X10" i="5"/>
  <c r="O10" i="5"/>
  <c r="F10" i="5"/>
  <c r="Y10" i="5"/>
  <c r="G10" i="5"/>
  <c r="P10" i="5"/>
  <c r="L10" i="5"/>
  <c r="W10" i="5"/>
  <c r="E10" i="5"/>
  <c r="U10" i="5"/>
  <c r="D10" i="5"/>
  <c r="Q10" i="5"/>
  <c r="M10" i="5"/>
  <c r="Z10" i="5"/>
  <c r="H10" i="5"/>
  <c r="D10" i="6"/>
  <c r="F10" i="6" s="1"/>
  <c r="B11" i="6"/>
  <c r="E11" i="6" s="1"/>
  <c r="A12" i="6"/>
  <c r="C11" i="6"/>
  <c r="D11" i="6" s="1"/>
  <c r="F11" i="6" s="1"/>
  <c r="A13" i="7"/>
  <c r="E12" i="7"/>
  <c r="B12" i="7"/>
  <c r="A14" i="7" l="1"/>
  <c r="B13" i="7"/>
  <c r="E13" i="7"/>
  <c r="C12" i="6"/>
  <c r="B12" i="6"/>
  <c r="E12" i="6" s="1"/>
  <c r="A13" i="6"/>
  <c r="T11" i="5"/>
  <c r="L11" i="5"/>
  <c r="D11" i="5"/>
  <c r="V11" i="5"/>
  <c r="M11" i="5"/>
  <c r="C11" i="5"/>
  <c r="U11" i="5"/>
  <c r="K11" i="5"/>
  <c r="B11" i="5"/>
  <c r="S11" i="5"/>
  <c r="J11" i="5"/>
  <c r="Y11" i="5"/>
  <c r="P11" i="5"/>
  <c r="G11" i="5"/>
  <c r="Q11" i="5"/>
  <c r="A12" i="5"/>
  <c r="X11" i="5"/>
  <c r="O11" i="5"/>
  <c r="I11" i="5"/>
  <c r="H11" i="5"/>
  <c r="F11" i="5"/>
  <c r="E11" i="5"/>
  <c r="R11" i="5"/>
  <c r="N11" i="5"/>
  <c r="W11" i="5"/>
  <c r="Z11" i="5"/>
  <c r="C13" i="6" l="1"/>
  <c r="A14" i="6"/>
  <c r="B13" i="6"/>
  <c r="E13" i="6" s="1"/>
  <c r="D12" i="6"/>
  <c r="F12" i="6" s="1"/>
  <c r="Z12" i="5"/>
  <c r="R12" i="5"/>
  <c r="J12" i="5"/>
  <c r="B12" i="5"/>
  <c r="W12" i="5"/>
  <c r="N12" i="5"/>
  <c r="E12" i="5"/>
  <c r="V12" i="5"/>
  <c r="M12" i="5"/>
  <c r="D12" i="5"/>
  <c r="U12" i="5"/>
  <c r="L12" i="5"/>
  <c r="C12" i="5"/>
  <c r="A13" i="5"/>
  <c r="Q12" i="5"/>
  <c r="H12" i="5"/>
  <c r="I12" i="5"/>
  <c r="S12" i="5"/>
  <c r="Y12" i="5"/>
  <c r="G12" i="5"/>
  <c r="X12" i="5"/>
  <c r="F12" i="5"/>
  <c r="T12" i="5"/>
  <c r="P12" i="5"/>
  <c r="O12" i="5"/>
  <c r="K12" i="5"/>
  <c r="B14" i="7"/>
  <c r="A15" i="7"/>
  <c r="E14" i="7"/>
  <c r="X13" i="5" l="1"/>
  <c r="P13" i="5"/>
  <c r="H13" i="5"/>
  <c r="Y13" i="5"/>
  <c r="O13" i="5"/>
  <c r="F13" i="5"/>
  <c r="W13" i="5"/>
  <c r="N13" i="5"/>
  <c r="E13" i="5"/>
  <c r="V13" i="5"/>
  <c r="M13" i="5"/>
  <c r="D13" i="5"/>
  <c r="S13" i="5"/>
  <c r="J13" i="5"/>
  <c r="T13" i="5"/>
  <c r="B13" i="5"/>
  <c r="G13" i="5"/>
  <c r="C13" i="5"/>
  <c r="R13" i="5"/>
  <c r="L13" i="5"/>
  <c r="K13" i="5"/>
  <c r="A14" i="5"/>
  <c r="Z13" i="5"/>
  <c r="Q13" i="5"/>
  <c r="U13" i="5"/>
  <c r="I13" i="5"/>
  <c r="A15" i="6"/>
  <c r="C14" i="6"/>
  <c r="B14" i="6"/>
  <c r="E14" i="6" s="1"/>
  <c r="A16" i="7"/>
  <c r="E15" i="7"/>
  <c r="B15" i="7"/>
  <c r="D13" i="6"/>
  <c r="F13" i="6" s="1"/>
  <c r="A17" i="7" l="1"/>
  <c r="E16" i="7"/>
  <c r="B16" i="7"/>
  <c r="V14" i="5"/>
  <c r="N14" i="5"/>
  <c r="F14" i="5"/>
  <c r="T14" i="5"/>
  <c r="L14" i="5"/>
  <c r="D14" i="5"/>
  <c r="S14" i="5"/>
  <c r="I14" i="5"/>
  <c r="R14" i="5"/>
  <c r="H14" i="5"/>
  <c r="A15" i="5"/>
  <c r="Q14" i="5"/>
  <c r="G14" i="5"/>
  <c r="X14" i="5"/>
  <c r="M14" i="5"/>
  <c r="B14" i="5"/>
  <c r="O14" i="5"/>
  <c r="E14" i="5"/>
  <c r="C14" i="5"/>
  <c r="K14" i="5"/>
  <c r="J14" i="5"/>
  <c r="Z14" i="5"/>
  <c r="W14" i="5"/>
  <c r="U14" i="5"/>
  <c r="Y14" i="5"/>
  <c r="P14" i="5"/>
  <c r="D14" i="6"/>
  <c r="F14" i="6" s="1"/>
  <c r="B15" i="6"/>
  <c r="E15" i="6" s="1"/>
  <c r="C15" i="6"/>
  <c r="D15" i="6" s="1"/>
  <c r="F15" i="6" s="1"/>
  <c r="A16" i="6"/>
  <c r="T15" i="5" l="1"/>
  <c r="L15" i="5"/>
  <c r="D15" i="5"/>
  <c r="Z15" i="5"/>
  <c r="R15" i="5"/>
  <c r="J15" i="5"/>
  <c r="B15" i="5"/>
  <c r="Y15" i="5"/>
  <c r="O15" i="5"/>
  <c r="E15" i="5"/>
  <c r="X15" i="5"/>
  <c r="N15" i="5"/>
  <c r="C15" i="5"/>
  <c r="W15" i="5"/>
  <c r="M15" i="5"/>
  <c r="S15" i="5"/>
  <c r="H15" i="5"/>
  <c r="I15" i="5"/>
  <c r="U15" i="5"/>
  <c r="G15" i="5"/>
  <c r="V15" i="5"/>
  <c r="Q15" i="5"/>
  <c r="A16" i="5"/>
  <c r="F15" i="5"/>
  <c r="P15" i="5"/>
  <c r="K15" i="5"/>
  <c r="C16" i="6"/>
  <c r="B16" i="6"/>
  <c r="E16" i="6" s="1"/>
  <c r="A17" i="6"/>
  <c r="A18" i="7"/>
  <c r="B17" i="7"/>
  <c r="E17" i="7"/>
  <c r="A18" i="6" l="1"/>
  <c r="B17" i="6"/>
  <c r="E17" i="6" s="1"/>
  <c r="C17" i="6"/>
  <c r="B18" i="7"/>
  <c r="A19" i="7"/>
  <c r="E18" i="7"/>
  <c r="D16" i="6"/>
  <c r="F16" i="6" s="1"/>
  <c r="Z16" i="5"/>
  <c r="R16" i="5"/>
  <c r="J16" i="5"/>
  <c r="B16" i="5"/>
  <c r="X16" i="5"/>
  <c r="P16" i="5"/>
  <c r="H16" i="5"/>
  <c r="U16" i="5"/>
  <c r="K16" i="5"/>
  <c r="T16" i="5"/>
  <c r="I16" i="5"/>
  <c r="S16" i="5"/>
  <c r="G16" i="5"/>
  <c r="Y16" i="5"/>
  <c r="N16" i="5"/>
  <c r="D16" i="5"/>
  <c r="A17" i="5"/>
  <c r="E16" i="5"/>
  <c r="Q16" i="5"/>
  <c r="W16" i="5"/>
  <c r="C16" i="5"/>
  <c r="O16" i="5"/>
  <c r="F16" i="5"/>
  <c r="V16" i="5"/>
  <c r="M16" i="5"/>
  <c r="L16" i="5"/>
  <c r="B19" i="7" l="1"/>
  <c r="E19" i="7"/>
  <c r="A20" i="7"/>
  <c r="D17" i="6"/>
  <c r="F17" i="6" s="1"/>
  <c r="X17" i="5"/>
  <c r="P17" i="5"/>
  <c r="H17" i="5"/>
  <c r="V17" i="5"/>
  <c r="N17" i="5"/>
  <c r="F17" i="5"/>
  <c r="A18" i="5"/>
  <c r="Q17" i="5"/>
  <c r="E17" i="5"/>
  <c r="Z17" i="5"/>
  <c r="O17" i="5"/>
  <c r="D17" i="5"/>
  <c r="Y17" i="5"/>
  <c r="M17" i="5"/>
  <c r="C17" i="5"/>
  <c r="T17" i="5"/>
  <c r="J17" i="5"/>
  <c r="U17" i="5"/>
  <c r="S17" i="5"/>
  <c r="L17" i="5"/>
  <c r="G17" i="5"/>
  <c r="R17" i="5"/>
  <c r="B17" i="5"/>
  <c r="W17" i="5"/>
  <c r="K17" i="5"/>
  <c r="I17" i="5"/>
  <c r="A19" i="6"/>
  <c r="C18" i="6"/>
  <c r="D18" i="6" s="1"/>
  <c r="F18" i="6" s="1"/>
  <c r="B18" i="6"/>
  <c r="E18" i="6" s="1"/>
  <c r="A21" i="7" l="1"/>
  <c r="E20" i="7"/>
  <c r="B20" i="7"/>
  <c r="X18" i="5"/>
  <c r="P18" i="5"/>
  <c r="W18" i="5"/>
  <c r="N18" i="5"/>
  <c r="F18" i="5"/>
  <c r="U18" i="5"/>
  <c r="L18" i="5"/>
  <c r="D18" i="5"/>
  <c r="Y18" i="5"/>
  <c r="K18" i="5"/>
  <c r="V18" i="5"/>
  <c r="J18" i="5"/>
  <c r="T18" i="5"/>
  <c r="I18" i="5"/>
  <c r="Q18" i="5"/>
  <c r="E18" i="5"/>
  <c r="R18" i="5"/>
  <c r="H18" i="5"/>
  <c r="G18" i="5"/>
  <c r="O18" i="5"/>
  <c r="C18" i="5"/>
  <c r="M18" i="5"/>
  <c r="A19" i="5"/>
  <c r="B18" i="5"/>
  <c r="Z18" i="5"/>
  <c r="S18" i="5"/>
  <c r="B19" i="6"/>
  <c r="E19" i="6" s="1"/>
  <c r="C19" i="6"/>
  <c r="D19" i="6" s="1"/>
  <c r="F19" i="6" s="1"/>
  <c r="A20" i="6"/>
  <c r="V19" i="5" l="1"/>
  <c r="N19" i="5"/>
  <c r="F19" i="5"/>
  <c r="Y19" i="5"/>
  <c r="P19" i="5"/>
  <c r="G19" i="5"/>
  <c r="W19" i="5"/>
  <c r="M19" i="5"/>
  <c r="D19" i="5"/>
  <c r="U19" i="5"/>
  <c r="J19" i="5"/>
  <c r="T19" i="5"/>
  <c r="I19" i="5"/>
  <c r="S19" i="5"/>
  <c r="H19" i="5"/>
  <c r="A20" i="5"/>
  <c r="O19" i="5"/>
  <c r="B19" i="5"/>
  <c r="Q19" i="5"/>
  <c r="Z19" i="5"/>
  <c r="X19" i="5"/>
  <c r="L19" i="5"/>
  <c r="E19" i="5"/>
  <c r="K19" i="5"/>
  <c r="C19" i="5"/>
  <c r="R19" i="5"/>
  <c r="C20" i="6"/>
  <c r="B20" i="6"/>
  <c r="E20" i="6" s="1"/>
  <c r="A21" i="6"/>
  <c r="A22" i="7"/>
  <c r="B21" i="7"/>
  <c r="E21" i="7"/>
  <c r="B22" i="7" l="1"/>
  <c r="A23" i="7"/>
  <c r="E22" i="7"/>
  <c r="D20" i="6"/>
  <c r="F20" i="6" s="1"/>
  <c r="T20" i="5"/>
  <c r="L20" i="5"/>
  <c r="D20" i="5"/>
  <c r="Z20" i="5"/>
  <c r="Q20" i="5"/>
  <c r="H20" i="5"/>
  <c r="X20" i="5"/>
  <c r="O20" i="5"/>
  <c r="F20" i="5"/>
  <c r="U20" i="5"/>
  <c r="I20" i="5"/>
  <c r="C20" i="5"/>
  <c r="S20" i="5"/>
  <c r="G20" i="5"/>
  <c r="R20" i="5"/>
  <c r="E20" i="5"/>
  <c r="Y20" i="5"/>
  <c r="M20" i="5"/>
  <c r="P20" i="5"/>
  <c r="J20" i="5"/>
  <c r="N20" i="5"/>
  <c r="A21" i="5"/>
  <c r="W20" i="5"/>
  <c r="K20" i="5"/>
  <c r="B20" i="5"/>
  <c r="V20" i="5"/>
  <c r="B21" i="6"/>
  <c r="E21" i="6" s="1"/>
  <c r="C21" i="6"/>
  <c r="A22" i="6"/>
  <c r="A23" i="6" l="1"/>
  <c r="B22" i="6"/>
  <c r="E22" i="6" s="1"/>
  <c r="C22" i="6"/>
  <c r="D22" i="6" s="1"/>
  <c r="F22" i="6" s="1"/>
  <c r="E23" i="7"/>
  <c r="B23" i="7"/>
  <c r="A24" i="7"/>
  <c r="Z21" i="5"/>
  <c r="R21" i="5"/>
  <c r="J21" i="5"/>
  <c r="B21" i="5"/>
  <c r="Y21" i="5"/>
  <c r="S21" i="5"/>
  <c r="I21" i="5"/>
  <c r="A22" i="5"/>
  <c r="P21" i="5"/>
  <c r="G21" i="5"/>
  <c r="T21" i="5"/>
  <c r="F21" i="5"/>
  <c r="Q21" i="5"/>
  <c r="E21" i="5"/>
  <c r="N21" i="5"/>
  <c r="O21" i="5"/>
  <c r="D21" i="5"/>
  <c r="C21" i="5"/>
  <c r="W21" i="5"/>
  <c r="L21" i="5"/>
  <c r="V21" i="5"/>
  <c r="U21" i="5"/>
  <c r="M21" i="5"/>
  <c r="K21" i="5"/>
  <c r="X21" i="5"/>
  <c r="H21" i="5"/>
  <c r="D21" i="6"/>
  <c r="F21" i="6" s="1"/>
  <c r="A25" i="7" l="1"/>
  <c r="E24" i="7"/>
  <c r="B24" i="7"/>
  <c r="X22" i="5"/>
  <c r="P22" i="5"/>
  <c r="H22" i="5"/>
  <c r="W22" i="5"/>
  <c r="O22" i="5"/>
  <c r="G22" i="5"/>
  <c r="Y22" i="5"/>
  <c r="M22" i="5"/>
  <c r="C22" i="5"/>
  <c r="U22" i="5"/>
  <c r="K22" i="5"/>
  <c r="T22" i="5"/>
  <c r="F22" i="5"/>
  <c r="B22" i="5"/>
  <c r="S22" i="5"/>
  <c r="E22" i="5"/>
  <c r="R22" i="5"/>
  <c r="D22" i="5"/>
  <c r="Q22" i="5"/>
  <c r="A23" i="5"/>
  <c r="L22" i="5"/>
  <c r="V22" i="5"/>
  <c r="J22" i="5"/>
  <c r="Z22" i="5"/>
  <c r="I22" i="5"/>
  <c r="N22" i="5"/>
  <c r="B23" i="6"/>
  <c r="E23" i="6" s="1"/>
  <c r="C23" i="6"/>
  <c r="A24" i="6"/>
  <c r="V23" i="5" l="1"/>
  <c r="N23" i="5"/>
  <c r="F23" i="5"/>
  <c r="U23" i="5"/>
  <c r="M23" i="5"/>
  <c r="E23" i="5"/>
  <c r="S23" i="5"/>
  <c r="I23" i="5"/>
  <c r="A24" i="5"/>
  <c r="Q23" i="5"/>
  <c r="G23" i="5"/>
  <c r="Z23" i="5"/>
  <c r="X23" i="5"/>
  <c r="J23" i="5"/>
  <c r="R23" i="5"/>
  <c r="W23" i="5"/>
  <c r="H23" i="5"/>
  <c r="C23" i="5"/>
  <c r="T23" i="5"/>
  <c r="D23" i="5"/>
  <c r="O23" i="5"/>
  <c r="K23" i="5"/>
  <c r="B23" i="5"/>
  <c r="Y23" i="5"/>
  <c r="P23" i="5"/>
  <c r="L23" i="5"/>
  <c r="C24" i="6"/>
  <c r="B24" i="6"/>
  <c r="E24" i="6" s="1"/>
  <c r="A25" i="6"/>
  <c r="D23" i="6"/>
  <c r="F23" i="6" s="1"/>
  <c r="A26" i="7"/>
  <c r="E25" i="7"/>
  <c r="B25" i="7"/>
  <c r="D24" i="6" l="1"/>
  <c r="F24" i="6" s="1"/>
  <c r="C25" i="6"/>
  <c r="B25" i="6"/>
  <c r="E25" i="6" s="1"/>
  <c r="A26" i="6"/>
  <c r="B26" i="7"/>
  <c r="E26" i="7"/>
  <c r="A27" i="7"/>
  <c r="T24" i="5"/>
  <c r="L24" i="5"/>
  <c r="D24" i="5"/>
  <c r="A25" i="5"/>
  <c r="S24" i="5"/>
  <c r="K24" i="5"/>
  <c r="C24" i="5"/>
  <c r="Y24" i="5"/>
  <c r="O24" i="5"/>
  <c r="E24" i="5"/>
  <c r="W24" i="5"/>
  <c r="M24" i="5"/>
  <c r="V24" i="5"/>
  <c r="J24" i="5"/>
  <c r="P24" i="5"/>
  <c r="N24" i="5"/>
  <c r="Z24" i="5"/>
  <c r="I24" i="5"/>
  <c r="H24" i="5"/>
  <c r="U24" i="5"/>
  <c r="F24" i="5"/>
  <c r="X24" i="5"/>
  <c r="G24" i="5"/>
  <c r="R24" i="5"/>
  <c r="Q24" i="5"/>
  <c r="B24" i="5"/>
  <c r="A27" i="6" l="1"/>
  <c r="C26" i="6"/>
  <c r="B26" i="6"/>
  <c r="E26" i="6" s="1"/>
  <c r="Z25" i="5"/>
  <c r="R25" i="5"/>
  <c r="J25" i="5"/>
  <c r="B25" i="5"/>
  <c r="Y25" i="5"/>
  <c r="Q25" i="5"/>
  <c r="I25" i="5"/>
  <c r="U25" i="5"/>
  <c r="K25" i="5"/>
  <c r="S25" i="5"/>
  <c r="G25" i="5"/>
  <c r="P25" i="5"/>
  <c r="F25" i="5"/>
  <c r="W25" i="5"/>
  <c r="E25" i="5"/>
  <c r="O25" i="5"/>
  <c r="V25" i="5"/>
  <c r="D25" i="5"/>
  <c r="T25" i="5"/>
  <c r="C25" i="5"/>
  <c r="M25" i="5"/>
  <c r="A26" i="5"/>
  <c r="X25" i="5"/>
  <c r="N25" i="5"/>
  <c r="L25" i="5"/>
  <c r="H25" i="5"/>
  <c r="D25" i="6"/>
  <c r="F25" i="6" s="1"/>
  <c r="A28" i="7"/>
  <c r="E27" i="7"/>
  <c r="B27" i="7"/>
  <c r="D26" i="6" l="1"/>
  <c r="F26" i="6" s="1"/>
  <c r="B27" i="6"/>
  <c r="E27" i="6" s="1"/>
  <c r="C27" i="6"/>
  <c r="A28" i="6"/>
  <c r="X26" i="5"/>
  <c r="P26" i="5"/>
  <c r="H26" i="5"/>
  <c r="W26" i="5"/>
  <c r="O26" i="5"/>
  <c r="G26" i="5"/>
  <c r="A27" i="5"/>
  <c r="Q26" i="5"/>
  <c r="E26" i="5"/>
  <c r="Y26" i="5"/>
  <c r="M26" i="5"/>
  <c r="C26" i="5"/>
  <c r="V26" i="5"/>
  <c r="L26" i="5"/>
  <c r="B26" i="5"/>
  <c r="N26" i="5"/>
  <c r="K26" i="5"/>
  <c r="Z26" i="5"/>
  <c r="J26" i="5"/>
  <c r="I26" i="5"/>
  <c r="T26" i="5"/>
  <c r="D26" i="5"/>
  <c r="S26" i="5"/>
  <c r="R26" i="5"/>
  <c r="F26" i="5"/>
  <c r="U26" i="5"/>
  <c r="A29" i="7"/>
  <c r="E28" i="7"/>
  <c r="B28" i="7"/>
  <c r="C28" i="6" l="1"/>
  <c r="B28" i="6"/>
  <c r="E28" i="6" s="1"/>
  <c r="V27" i="5"/>
  <c r="N27" i="5"/>
  <c r="F27" i="5"/>
  <c r="U27" i="5"/>
  <c r="M27" i="5"/>
  <c r="E27" i="5"/>
  <c r="W27" i="5"/>
  <c r="K27" i="5"/>
  <c r="S27" i="5"/>
  <c r="I27" i="5"/>
  <c r="R27" i="5"/>
  <c r="H27" i="5"/>
  <c r="X27" i="5"/>
  <c r="D27" i="5"/>
  <c r="P27" i="5"/>
  <c r="T27" i="5"/>
  <c r="C27" i="5"/>
  <c r="Q27" i="5"/>
  <c r="B27" i="5"/>
  <c r="A28" i="5"/>
  <c r="L27" i="5"/>
  <c r="Y27" i="5"/>
  <c r="J27" i="5"/>
  <c r="Z27" i="5"/>
  <c r="O27" i="5"/>
  <c r="G27" i="5"/>
  <c r="D27" i="6"/>
  <c r="F27" i="6" s="1"/>
  <c r="A30" i="7"/>
  <c r="E29" i="7"/>
  <c r="B29" i="7"/>
  <c r="B30" i="7" l="1"/>
  <c r="E30" i="7"/>
  <c r="A31" i="7"/>
  <c r="T28" i="5"/>
  <c r="L28" i="5"/>
  <c r="D28" i="5"/>
  <c r="A29" i="5"/>
  <c r="S28" i="5"/>
  <c r="K28" i="5"/>
  <c r="C28" i="5"/>
  <c r="Q28" i="5"/>
  <c r="G28" i="5"/>
  <c r="Y28" i="5"/>
  <c r="O28" i="5"/>
  <c r="E28" i="5"/>
  <c r="X28" i="5"/>
  <c r="N28" i="5"/>
  <c r="B28" i="5"/>
  <c r="M28" i="5"/>
  <c r="J28" i="5"/>
  <c r="W28" i="5"/>
  <c r="Z28" i="5"/>
  <c r="I28" i="5"/>
  <c r="H28" i="5"/>
  <c r="U28" i="5"/>
  <c r="P28" i="5"/>
  <c r="F28" i="5"/>
  <c r="V28" i="5"/>
  <c r="R28" i="5"/>
  <c r="D28" i="6"/>
  <c r="F28" i="6" s="1"/>
  <c r="Z29" i="5" l="1"/>
  <c r="R29" i="5"/>
  <c r="J29" i="5"/>
  <c r="B29" i="5"/>
  <c r="Y29" i="5"/>
  <c r="Q29" i="5"/>
  <c r="I29" i="5"/>
  <c r="W29" i="5"/>
  <c r="M29" i="5"/>
  <c r="C29" i="5"/>
  <c r="U29" i="5"/>
  <c r="K29" i="5"/>
  <c r="T29" i="5"/>
  <c r="H29" i="5"/>
  <c r="V29" i="5"/>
  <c r="E29" i="5"/>
  <c r="S29" i="5"/>
  <c r="D29" i="5"/>
  <c r="P29" i="5"/>
  <c r="O29" i="5"/>
  <c r="L29" i="5"/>
  <c r="G29" i="5"/>
  <c r="A30" i="5"/>
  <c r="N29" i="5"/>
  <c r="F29" i="5"/>
  <c r="X29" i="5"/>
  <c r="G4" i="6" a="1"/>
  <c r="C6" i="9" a="1"/>
  <c r="C6" i="9" s="1"/>
  <c r="A32" i="7"/>
  <c r="E31" i="7"/>
  <c r="B31" i="7"/>
  <c r="G26" i="6" l="1"/>
  <c r="G18" i="6"/>
  <c r="G10" i="6"/>
  <c r="G25" i="6"/>
  <c r="G17" i="6"/>
  <c r="G9" i="6"/>
  <c r="G24" i="6"/>
  <c r="G16" i="6"/>
  <c r="G8" i="6"/>
  <c r="G23" i="6"/>
  <c r="G12" i="6"/>
  <c r="G22" i="6"/>
  <c r="G11" i="6"/>
  <c r="G21" i="6"/>
  <c r="G7" i="6"/>
  <c r="G15" i="6"/>
  <c r="G14" i="6"/>
  <c r="G13" i="6"/>
  <c r="G6" i="6"/>
  <c r="G28" i="6"/>
  <c r="G4" i="6"/>
  <c r="G27" i="6"/>
  <c r="G20" i="6"/>
  <c r="G19" i="6"/>
  <c r="G5" i="6"/>
  <c r="A33" i="7"/>
  <c r="E32" i="7"/>
  <c r="B32" i="7"/>
  <c r="X30" i="5"/>
  <c r="P30" i="5"/>
  <c r="H30" i="5"/>
  <c r="W30" i="5"/>
  <c r="O30" i="5"/>
  <c r="G30" i="5"/>
  <c r="S30" i="5"/>
  <c r="I30" i="5"/>
  <c r="A31" i="5"/>
  <c r="Q30" i="5"/>
  <c r="E30" i="5"/>
  <c r="Z30" i="5"/>
  <c r="N30" i="5"/>
  <c r="D30" i="5"/>
  <c r="L30" i="5"/>
  <c r="F30" i="5"/>
  <c r="K30" i="5"/>
  <c r="Y30" i="5"/>
  <c r="J30" i="5"/>
  <c r="V30" i="5"/>
  <c r="T30" i="5"/>
  <c r="B30" i="5"/>
  <c r="C30" i="5"/>
  <c r="U30" i="5"/>
  <c r="R30" i="5"/>
  <c r="M30" i="5"/>
  <c r="C7" i="9" l="1" a="1"/>
  <c r="C7" i="9" s="1"/>
  <c r="C5" i="7" a="1"/>
  <c r="C5" i="7" s="1"/>
  <c r="D5" i="7" s="1"/>
  <c r="C4" i="7" a="1"/>
  <c r="C4" i="7" s="1"/>
  <c r="C6" i="7" a="1"/>
  <c r="C6" i="7" s="1"/>
  <c r="D6" i="7" s="1"/>
  <c r="C7" i="7" a="1"/>
  <c r="C7" i="7" s="1"/>
  <c r="D7" i="7" s="1"/>
  <c r="C8" i="7" a="1"/>
  <c r="C8" i="7" s="1"/>
  <c r="C9" i="7" a="1"/>
  <c r="C9" i="7" s="1"/>
  <c r="D9" i="7" s="1"/>
  <c r="C10" i="7" a="1"/>
  <c r="C10" i="7" s="1"/>
  <c r="D10" i="7" s="1"/>
  <c r="C11" i="7" a="1"/>
  <c r="C11" i="7" s="1"/>
  <c r="D11" i="7" s="1"/>
  <c r="C12" i="7" a="1"/>
  <c r="C12" i="7" s="1"/>
  <c r="D12" i="7" s="1"/>
  <c r="C13" i="7" a="1"/>
  <c r="C13" i="7" s="1"/>
  <c r="C14" i="7" a="1"/>
  <c r="C14" i="7" s="1"/>
  <c r="D14" i="7" s="1"/>
  <c r="C15" i="7" a="1"/>
  <c r="C15" i="7" s="1"/>
  <c r="D15" i="7" s="1"/>
  <c r="C16" i="7" a="1"/>
  <c r="C16" i="7" s="1"/>
  <c r="D16" i="7" s="1"/>
  <c r="C17" i="7" a="1"/>
  <c r="C17" i="7" s="1"/>
  <c r="D17" i="7" s="1"/>
  <c r="C18" i="7" a="1"/>
  <c r="C18" i="7" s="1"/>
  <c r="C19" i="7" a="1"/>
  <c r="C19" i="7" s="1"/>
  <c r="D19" i="7" s="1"/>
  <c r="C20" i="7" a="1"/>
  <c r="C20" i="7" s="1"/>
  <c r="D20" i="7" s="1"/>
  <c r="C21" i="7" a="1"/>
  <c r="C21" i="7" s="1"/>
  <c r="D21" i="7" s="1"/>
  <c r="C22" i="7" a="1"/>
  <c r="C22" i="7" s="1"/>
  <c r="D22" i="7" s="1"/>
  <c r="C23" i="7" a="1"/>
  <c r="C23" i="7" s="1"/>
  <c r="C24" i="7" a="1"/>
  <c r="C24" i="7" s="1"/>
  <c r="D24" i="7" s="1"/>
  <c r="C25" i="7" a="1"/>
  <c r="C25" i="7" s="1"/>
  <c r="D25" i="7" s="1"/>
  <c r="C26" i="7" a="1"/>
  <c r="C26" i="7" s="1"/>
  <c r="D26" i="7" s="1"/>
  <c r="C27" i="7" a="1"/>
  <c r="C27" i="7" s="1"/>
  <c r="D27" i="7" s="1"/>
  <c r="C28" i="7" a="1"/>
  <c r="C28" i="7" s="1"/>
  <c r="V31" i="5"/>
  <c r="N31" i="5"/>
  <c r="F31" i="5"/>
  <c r="U31" i="5"/>
  <c r="M31" i="5"/>
  <c r="E31" i="5"/>
  <c r="Y31" i="5"/>
  <c r="O31" i="5"/>
  <c r="C31" i="5"/>
  <c r="W31" i="5"/>
  <c r="K31" i="5"/>
  <c r="T31" i="5"/>
  <c r="J31" i="5"/>
  <c r="S31" i="5"/>
  <c r="D31" i="5"/>
  <c r="R31" i="5"/>
  <c r="B31" i="5"/>
  <c r="P31" i="5"/>
  <c r="Q31" i="5"/>
  <c r="A32" i="5"/>
  <c r="I31" i="5"/>
  <c r="Z31" i="5"/>
  <c r="H31" i="5"/>
  <c r="X31" i="5"/>
  <c r="L31" i="5"/>
  <c r="G31" i="5"/>
  <c r="C30" i="7" a="1"/>
  <c r="C30" i="7" s="1"/>
  <c r="D30" i="7" s="1"/>
  <c r="A34" i="7"/>
  <c r="E33" i="7"/>
  <c r="B33" i="7"/>
  <c r="C29" i="7" a="1"/>
  <c r="C29" i="7" s="1"/>
  <c r="D29" i="7" s="1"/>
  <c r="E15" i="8" l="1"/>
  <c r="D18" i="7"/>
  <c r="C15" i="8" s="1"/>
  <c r="B34" i="7"/>
  <c r="A35" i="7"/>
  <c r="E34" i="7"/>
  <c r="T32" i="5"/>
  <c r="L32" i="5"/>
  <c r="D32" i="5"/>
  <c r="A33" i="5"/>
  <c r="S32" i="5"/>
  <c r="K32" i="5"/>
  <c r="C32" i="5"/>
  <c r="U32" i="5"/>
  <c r="I32" i="5"/>
  <c r="R32" i="5"/>
  <c r="Q32" i="5"/>
  <c r="G32" i="5"/>
  <c r="Z32" i="5"/>
  <c r="P32" i="5"/>
  <c r="F32" i="5"/>
  <c r="M32" i="5"/>
  <c r="X32" i="5"/>
  <c r="J32" i="5"/>
  <c r="Y32" i="5"/>
  <c r="H32" i="5"/>
  <c r="E32" i="5"/>
  <c r="V32" i="5"/>
  <c r="O32" i="5"/>
  <c r="W32" i="5"/>
  <c r="N32" i="5"/>
  <c r="B32" i="5"/>
  <c r="C32" i="7" s="1" a="1"/>
  <c r="C32" i="7" s="1"/>
  <c r="D32" i="7" s="1"/>
  <c r="D8" i="7"/>
  <c r="C13" i="8" s="1"/>
  <c r="E13" i="8"/>
  <c r="D23" i="7"/>
  <c r="C16" i="8" s="1"/>
  <c r="E16" i="8"/>
  <c r="C31" i="7" a="1"/>
  <c r="C31" i="7" s="1"/>
  <c r="D31" i="7" s="1"/>
  <c r="D13" i="7"/>
  <c r="C14" i="8" s="1"/>
  <c r="E14" i="8"/>
  <c r="E12" i="8"/>
  <c r="D4" i="7"/>
  <c r="C5" i="9" a="1"/>
  <c r="C5" i="9" s="1"/>
  <c r="E17" i="8"/>
  <c r="D28" i="7"/>
  <c r="C17" i="8" s="1"/>
  <c r="A36" i="7" l="1"/>
  <c r="B35" i="7"/>
  <c r="E35" i="7"/>
  <c r="C4" i="9" a="1"/>
  <c r="C4" i="9" s="1"/>
  <c r="C12" i="8"/>
  <c r="Z33" i="5"/>
  <c r="R33" i="5"/>
  <c r="J33" i="5"/>
  <c r="B33" i="5"/>
  <c r="Y33" i="5"/>
  <c r="Q33" i="5"/>
  <c r="I33" i="5"/>
  <c r="A34" i="5"/>
  <c r="O33" i="5"/>
  <c r="E33" i="5"/>
  <c r="X33" i="5"/>
  <c r="N33" i="5"/>
  <c r="D33" i="5"/>
  <c r="W33" i="5"/>
  <c r="M33" i="5"/>
  <c r="C33" i="5"/>
  <c r="V33" i="5"/>
  <c r="L33" i="5"/>
  <c r="G33" i="5"/>
  <c r="F33" i="5"/>
  <c r="U33" i="5"/>
  <c r="T33" i="5"/>
  <c r="P33" i="5"/>
  <c r="S33" i="5"/>
  <c r="H33" i="5"/>
  <c r="K33" i="5"/>
  <c r="A37" i="7" l="1"/>
  <c r="E36" i="7"/>
  <c r="B36" i="7"/>
  <c r="X34" i="5"/>
  <c r="P34" i="5"/>
  <c r="H34" i="5"/>
  <c r="W34" i="5"/>
  <c r="O34" i="5"/>
  <c r="G34" i="5"/>
  <c r="U34" i="5"/>
  <c r="K34" i="5"/>
  <c r="T34" i="5"/>
  <c r="J34" i="5"/>
  <c r="S34" i="5"/>
  <c r="I34" i="5"/>
  <c r="R34" i="5"/>
  <c r="F34" i="5"/>
  <c r="Y34" i="5"/>
  <c r="C34" i="5"/>
  <c r="V34" i="5"/>
  <c r="B34" i="5"/>
  <c r="N34" i="5"/>
  <c r="Q34" i="5"/>
  <c r="L34" i="5"/>
  <c r="D34" i="5"/>
  <c r="Z34" i="5"/>
  <c r="A35" i="5"/>
  <c r="M34" i="5"/>
  <c r="E34" i="5"/>
  <c r="C33" i="7" a="1"/>
  <c r="C33" i="7" s="1"/>
  <c r="D33" i="7" l="1"/>
  <c r="C5" i="8"/>
  <c r="E18" i="8"/>
  <c r="C34" i="7" a="1"/>
  <c r="C34" i="7" s="1"/>
  <c r="D34" i="7" s="1"/>
  <c r="V35" i="5"/>
  <c r="N35" i="5"/>
  <c r="F35" i="5"/>
  <c r="U35" i="5"/>
  <c r="M35" i="5"/>
  <c r="E35" i="5"/>
  <c r="A36" i="5"/>
  <c r="Q35" i="5"/>
  <c r="G35" i="5"/>
  <c r="Z35" i="5"/>
  <c r="P35" i="5"/>
  <c r="D35" i="5"/>
  <c r="Y35" i="5"/>
  <c r="O35" i="5"/>
  <c r="C35" i="5"/>
  <c r="X35" i="5"/>
  <c r="L35" i="5"/>
  <c r="B35" i="5"/>
  <c r="S35" i="5"/>
  <c r="R35" i="5"/>
  <c r="K35" i="5"/>
  <c r="J35" i="5"/>
  <c r="H35" i="5"/>
  <c r="I35" i="5"/>
  <c r="W35" i="5"/>
  <c r="T35" i="5"/>
  <c r="A38" i="7"/>
  <c r="E37" i="7"/>
  <c r="B37" i="7"/>
  <c r="C35" i="7" l="1" a="1"/>
  <c r="C35" i="7" s="1"/>
  <c r="D35" i="7" s="1"/>
  <c r="T36" i="5"/>
  <c r="L36" i="5"/>
  <c r="D36" i="5"/>
  <c r="A37" i="5"/>
  <c r="S36" i="5"/>
  <c r="K36" i="5"/>
  <c r="C36" i="5"/>
  <c r="W36" i="5"/>
  <c r="M36" i="5"/>
  <c r="V36" i="5"/>
  <c r="J36" i="5"/>
  <c r="U36" i="5"/>
  <c r="I36" i="5"/>
  <c r="R36" i="5"/>
  <c r="H36" i="5"/>
  <c r="O36" i="5"/>
  <c r="N36" i="5"/>
  <c r="G36" i="5"/>
  <c r="F36" i="5"/>
  <c r="Z36" i="5"/>
  <c r="Y36" i="5"/>
  <c r="E36" i="5"/>
  <c r="X36" i="5"/>
  <c r="B36" i="5"/>
  <c r="P36" i="5"/>
  <c r="Q36" i="5"/>
  <c r="B38" i="7"/>
  <c r="A39" i="7"/>
  <c r="E38" i="7"/>
  <c r="C18" i="8"/>
  <c r="C6" i="8"/>
  <c r="C8" i="8"/>
  <c r="B39" i="7" l="1"/>
  <c r="E39" i="7"/>
  <c r="A40" i="7"/>
  <c r="Z37" i="5"/>
  <c r="R37" i="5"/>
  <c r="J37" i="5"/>
  <c r="B37" i="5"/>
  <c r="Y37" i="5"/>
  <c r="Q37" i="5"/>
  <c r="I37" i="5"/>
  <c r="X37" i="5"/>
  <c r="S37" i="5"/>
  <c r="G37" i="5"/>
  <c r="P37" i="5"/>
  <c r="F37" i="5"/>
  <c r="O37" i="5"/>
  <c r="E37" i="5"/>
  <c r="A38" i="5"/>
  <c r="N37" i="5"/>
  <c r="D37" i="5"/>
  <c r="K37" i="5"/>
  <c r="H37" i="5"/>
  <c r="W37" i="5"/>
  <c r="C37" i="5"/>
  <c r="V37" i="5"/>
  <c r="U37" i="5"/>
  <c r="T37" i="5"/>
  <c r="M37" i="5"/>
  <c r="L37" i="5"/>
  <c r="C36" i="7" a="1"/>
  <c r="C36" i="7" s="1"/>
  <c r="D36" i="7" l="1"/>
  <c r="C37" i="7" a="1"/>
  <c r="C37" i="7" s="1"/>
  <c r="D37" i="7" s="1"/>
  <c r="A41" i="7"/>
  <c r="E40" i="7"/>
  <c r="B40" i="7"/>
  <c r="X38" i="5"/>
  <c r="P38" i="5"/>
  <c r="H38" i="5"/>
  <c r="W38" i="5"/>
  <c r="O38" i="5"/>
  <c r="G38" i="5"/>
  <c r="V38" i="5"/>
  <c r="N38" i="5"/>
  <c r="F38" i="5"/>
  <c r="R38" i="5"/>
  <c r="D38" i="5"/>
  <c r="Q38" i="5"/>
  <c r="C38" i="5"/>
  <c r="A39" i="5"/>
  <c r="M38" i="5"/>
  <c r="B38" i="5"/>
  <c r="Z38" i="5"/>
  <c r="L38" i="5"/>
  <c r="I38" i="5"/>
  <c r="E38" i="5"/>
  <c r="Y38" i="5"/>
  <c r="U38" i="5"/>
  <c r="T38" i="5"/>
  <c r="S38" i="5"/>
  <c r="K38" i="5"/>
  <c r="J38" i="5"/>
  <c r="A42" i="7" l="1"/>
  <c r="E41" i="7"/>
  <c r="B41" i="7"/>
  <c r="C38" i="7" a="1"/>
  <c r="C38" i="7" s="1"/>
  <c r="D38" i="7" s="1"/>
  <c r="V39" i="5"/>
  <c r="N39" i="5"/>
  <c r="F39" i="5"/>
  <c r="U39" i="5"/>
  <c r="M39" i="5"/>
  <c r="E39" i="5"/>
  <c r="T39" i="5"/>
  <c r="L39" i="5"/>
  <c r="D39" i="5"/>
  <c r="Q39" i="5"/>
  <c r="C39" i="5"/>
  <c r="A40" i="5"/>
  <c r="P39" i="5"/>
  <c r="B39" i="5"/>
  <c r="Z39" i="5"/>
  <c r="O39" i="5"/>
  <c r="Y39" i="5"/>
  <c r="K39" i="5"/>
  <c r="H39" i="5"/>
  <c r="G39" i="5"/>
  <c r="X39" i="5"/>
  <c r="W39" i="5"/>
  <c r="S39" i="5"/>
  <c r="R39" i="5"/>
  <c r="J39" i="5"/>
  <c r="I39" i="5"/>
  <c r="C39" i="7" l="1" a="1"/>
  <c r="C39" i="7" s="1"/>
  <c r="D39" i="7" s="1"/>
  <c r="B42" i="7"/>
  <c r="E42" i="7"/>
  <c r="A43" i="7"/>
  <c r="T40" i="5"/>
  <c r="L40" i="5"/>
  <c r="D40" i="5"/>
  <c r="A41" i="5"/>
  <c r="S40" i="5"/>
  <c r="K40" i="5"/>
  <c r="C40" i="5"/>
  <c r="Z40" i="5"/>
  <c r="R40" i="5"/>
  <c r="J40" i="5"/>
  <c r="B40" i="5"/>
  <c r="P40" i="5"/>
  <c r="E40" i="5"/>
  <c r="O40" i="5"/>
  <c r="Y40" i="5"/>
  <c r="N40" i="5"/>
  <c r="X40" i="5"/>
  <c r="M40" i="5"/>
  <c r="G40" i="5"/>
  <c r="F40" i="5"/>
  <c r="W40" i="5"/>
  <c r="V40" i="5"/>
  <c r="U40" i="5"/>
  <c r="Q40" i="5"/>
  <c r="I40" i="5"/>
  <c r="H40" i="5"/>
  <c r="E43" i="7" l="1"/>
  <c r="A44" i="7"/>
  <c r="B43" i="7"/>
  <c r="C40" i="7" a="1"/>
  <c r="C40" i="7" s="1"/>
  <c r="D40" i="7" s="1"/>
  <c r="Z41" i="5"/>
  <c r="R41" i="5"/>
  <c r="J41" i="5"/>
  <c r="B41" i="5"/>
  <c r="C41" i="7" s="1" a="1"/>
  <c r="C41" i="7" s="1"/>
  <c r="D41" i="7" s="1"/>
  <c r="Y41" i="5"/>
  <c r="Q41" i="5"/>
  <c r="I41" i="5"/>
  <c r="X41" i="5"/>
  <c r="P41" i="5"/>
  <c r="H41" i="5"/>
  <c r="O41" i="5"/>
  <c r="D41" i="5"/>
  <c r="N41" i="5"/>
  <c r="C41" i="5"/>
  <c r="A42" i="5"/>
  <c r="M41" i="5"/>
  <c r="W41" i="5"/>
  <c r="L41" i="5"/>
  <c r="F41" i="5"/>
  <c r="E41" i="5"/>
  <c r="V41" i="5"/>
  <c r="U41" i="5"/>
  <c r="T41" i="5"/>
  <c r="S41" i="5"/>
  <c r="K41" i="5"/>
  <c r="G41" i="5"/>
  <c r="X42" i="5" l="1"/>
  <c r="P42" i="5"/>
  <c r="H42" i="5"/>
  <c r="W42" i="5"/>
  <c r="O42" i="5"/>
  <c r="G42" i="5"/>
  <c r="V42" i="5"/>
  <c r="N42" i="5"/>
  <c r="F42" i="5"/>
  <c r="Q42" i="5"/>
  <c r="C42" i="5"/>
  <c r="A43" i="5"/>
  <c r="M42" i="5"/>
  <c r="B42" i="5"/>
  <c r="Z42" i="5"/>
  <c r="L42" i="5"/>
  <c r="Y42" i="5"/>
  <c r="K42" i="5"/>
  <c r="E42" i="5"/>
  <c r="D42" i="5"/>
  <c r="T42" i="5"/>
  <c r="U42" i="5"/>
  <c r="S42" i="5"/>
  <c r="R42" i="5"/>
  <c r="J42" i="5"/>
  <c r="I42" i="5"/>
  <c r="A45" i="7"/>
  <c r="E44" i="7"/>
  <c r="B44" i="7"/>
  <c r="C42" i="7" l="1" a="1"/>
  <c r="C42" i="7" s="1"/>
  <c r="D42" i="7" s="1"/>
  <c r="V43" i="5"/>
  <c r="N43" i="5"/>
  <c r="F43" i="5"/>
  <c r="U43" i="5"/>
  <c r="M43" i="5"/>
  <c r="E43" i="5"/>
  <c r="T43" i="5"/>
  <c r="L43" i="5"/>
  <c r="D43" i="5"/>
  <c r="A44" i="5"/>
  <c r="P43" i="5"/>
  <c r="B43" i="5"/>
  <c r="Z43" i="5"/>
  <c r="O43" i="5"/>
  <c r="Y43" i="5"/>
  <c r="K43" i="5"/>
  <c r="X43" i="5"/>
  <c r="J43" i="5"/>
  <c r="G43" i="5"/>
  <c r="S43" i="5"/>
  <c r="C43" i="5"/>
  <c r="W43" i="5"/>
  <c r="R43" i="5"/>
  <c r="Q43" i="5"/>
  <c r="I43" i="5"/>
  <c r="H43" i="5"/>
  <c r="A46" i="7"/>
  <c r="B45" i="7"/>
  <c r="E45" i="7"/>
  <c r="B46" i="7" l="1"/>
  <c r="A47" i="7"/>
  <c r="E46" i="7"/>
  <c r="C43" i="7" a="1"/>
  <c r="C43" i="7" s="1"/>
  <c r="T44" i="5"/>
  <c r="L44" i="5"/>
  <c r="D44" i="5"/>
  <c r="A45" i="5"/>
  <c r="S44" i="5"/>
  <c r="K44" i="5"/>
  <c r="C44" i="5"/>
  <c r="Z44" i="5"/>
  <c r="R44" i="5"/>
  <c r="J44" i="5"/>
  <c r="B44" i="5"/>
  <c r="O44" i="5"/>
  <c r="Y44" i="5"/>
  <c r="N44" i="5"/>
  <c r="X44" i="5"/>
  <c r="M44" i="5"/>
  <c r="W44" i="5"/>
  <c r="I44" i="5"/>
  <c r="F44" i="5"/>
  <c r="E44" i="5"/>
  <c r="V44" i="5"/>
  <c r="U44" i="5"/>
  <c r="Q44" i="5"/>
  <c r="P44" i="5"/>
  <c r="H44" i="5"/>
  <c r="G44" i="5"/>
  <c r="C44" i="7" l="1" a="1"/>
  <c r="C44" i="7" s="1"/>
  <c r="D44" i="7" s="1"/>
  <c r="D43" i="7"/>
  <c r="C19" i="8" s="1"/>
  <c r="E19" i="8"/>
  <c r="A48" i="7"/>
  <c r="E47" i="7"/>
  <c r="B47" i="7"/>
  <c r="Z45" i="5"/>
  <c r="R45" i="5"/>
  <c r="J45" i="5"/>
  <c r="B45" i="5"/>
  <c r="Y45" i="5"/>
  <c r="Q45" i="5"/>
  <c r="I45" i="5"/>
  <c r="X45" i="5"/>
  <c r="P45" i="5"/>
  <c r="H45" i="5"/>
  <c r="V45" i="5"/>
  <c r="N45" i="5"/>
  <c r="C45" i="5"/>
  <c r="M45" i="5"/>
  <c r="A46" i="5"/>
  <c r="L45" i="5"/>
  <c r="W45" i="5"/>
  <c r="K45" i="5"/>
  <c r="E45" i="5"/>
  <c r="D45" i="5"/>
  <c r="U45" i="5"/>
  <c r="T45" i="5"/>
  <c r="S45" i="5"/>
  <c r="O45" i="5"/>
  <c r="G45" i="5"/>
  <c r="F45" i="5"/>
  <c r="A49" i="7" l="1"/>
  <c r="E48" i="7"/>
  <c r="B48" i="7"/>
  <c r="X46" i="5"/>
  <c r="P46" i="5"/>
  <c r="H46" i="5"/>
  <c r="W46" i="5"/>
  <c r="O46" i="5"/>
  <c r="G46" i="5"/>
  <c r="V46" i="5"/>
  <c r="N46" i="5"/>
  <c r="F46" i="5"/>
  <c r="T46" i="5"/>
  <c r="L46" i="5"/>
  <c r="D46" i="5"/>
  <c r="S46" i="5"/>
  <c r="C46" i="5"/>
  <c r="R46" i="5"/>
  <c r="B46" i="5"/>
  <c r="C46" i="7" s="1" a="1"/>
  <c r="C46" i="7" s="1"/>
  <c r="D46" i="7" s="1"/>
  <c r="Q46" i="5"/>
  <c r="M46" i="5"/>
  <c r="I46" i="5"/>
  <c r="E46" i="5"/>
  <c r="A47" i="5"/>
  <c r="Z46" i="5"/>
  <c r="Y46" i="5"/>
  <c r="U46" i="5"/>
  <c r="K46" i="5"/>
  <c r="J46" i="5"/>
  <c r="C45" i="7" a="1"/>
  <c r="C45" i="7" s="1"/>
  <c r="D45" i="7" s="1"/>
  <c r="A50" i="7" l="1"/>
  <c r="B49" i="7"/>
  <c r="E49" i="7"/>
  <c r="V47" i="5"/>
  <c r="N47" i="5"/>
  <c r="F47" i="5"/>
  <c r="U47" i="5"/>
  <c r="M47" i="5"/>
  <c r="E47" i="5"/>
  <c r="T47" i="5"/>
  <c r="L47" i="5"/>
  <c r="D47" i="5"/>
  <c r="Z47" i="5"/>
  <c r="R47" i="5"/>
  <c r="J47" i="5"/>
  <c r="B47" i="5"/>
  <c r="Y47" i="5"/>
  <c r="I47" i="5"/>
  <c r="X47" i="5"/>
  <c r="H47" i="5"/>
  <c r="W47" i="5"/>
  <c r="G47" i="5"/>
  <c r="S47" i="5"/>
  <c r="C47" i="5"/>
  <c r="O47" i="5"/>
  <c r="K47" i="5"/>
  <c r="A48" i="5"/>
  <c r="Q47" i="5"/>
  <c r="P47" i="5"/>
  <c r="T48" i="5" l="1"/>
  <c r="L48" i="5"/>
  <c r="D48" i="5"/>
  <c r="A49" i="5"/>
  <c r="S48" i="5"/>
  <c r="K48" i="5"/>
  <c r="C48" i="5"/>
  <c r="Z48" i="5"/>
  <c r="R48" i="5"/>
  <c r="J48" i="5"/>
  <c r="B48" i="5"/>
  <c r="X48" i="5"/>
  <c r="P48" i="5"/>
  <c r="H48" i="5"/>
  <c r="O48" i="5"/>
  <c r="N48" i="5"/>
  <c r="M48" i="5"/>
  <c r="Y48" i="5"/>
  <c r="I48" i="5"/>
  <c r="U48" i="5"/>
  <c r="Q48" i="5"/>
  <c r="G48" i="5"/>
  <c r="F48" i="5"/>
  <c r="E48" i="5"/>
  <c r="W48" i="5"/>
  <c r="V48" i="5"/>
  <c r="C47" i="7" a="1"/>
  <c r="C47" i="7" s="1"/>
  <c r="D47" i="7" s="1"/>
  <c r="B50" i="7"/>
  <c r="A51" i="7"/>
  <c r="E50" i="7"/>
  <c r="B51" i="7" l="1"/>
  <c r="A52" i="7"/>
  <c r="E51" i="7"/>
  <c r="Z49" i="5"/>
  <c r="R49" i="5"/>
  <c r="J49" i="5"/>
  <c r="B49" i="5"/>
  <c r="Y49" i="5"/>
  <c r="Q49" i="5"/>
  <c r="I49" i="5"/>
  <c r="X49" i="5"/>
  <c r="P49" i="5"/>
  <c r="H49" i="5"/>
  <c r="V49" i="5"/>
  <c r="N49" i="5"/>
  <c r="F49" i="5"/>
  <c r="U49" i="5"/>
  <c r="E49" i="5"/>
  <c r="T49" i="5"/>
  <c r="D49" i="5"/>
  <c r="S49" i="5"/>
  <c r="C49" i="5"/>
  <c r="O49" i="5"/>
  <c r="A50" i="5"/>
  <c r="W49" i="5"/>
  <c r="M49" i="5"/>
  <c r="L49" i="5"/>
  <c r="K49" i="5"/>
  <c r="G49" i="5"/>
  <c r="C48" i="7" a="1"/>
  <c r="C48" i="7" s="1"/>
  <c r="D48" i="7" s="1"/>
  <c r="C49" i="7" l="1" a="1"/>
  <c r="C49" i="7" s="1"/>
  <c r="D49" i="7" s="1"/>
  <c r="A53" i="7"/>
  <c r="E52" i="7"/>
  <c r="B52" i="7"/>
  <c r="X50" i="5"/>
  <c r="P50" i="5"/>
  <c r="H50" i="5"/>
  <c r="W50" i="5"/>
  <c r="O50" i="5"/>
  <c r="G50" i="5"/>
  <c r="V50" i="5"/>
  <c r="N50" i="5"/>
  <c r="F50" i="5"/>
  <c r="T50" i="5"/>
  <c r="L50" i="5"/>
  <c r="D50" i="5"/>
  <c r="A51" i="5"/>
  <c r="K50" i="5"/>
  <c r="Z50" i="5"/>
  <c r="J50" i="5"/>
  <c r="Y50" i="5"/>
  <c r="I50" i="5"/>
  <c r="U50" i="5"/>
  <c r="E50" i="5"/>
  <c r="S50" i="5"/>
  <c r="R50" i="5"/>
  <c r="Q50" i="5"/>
  <c r="M50" i="5"/>
  <c r="C50" i="5"/>
  <c r="B50" i="5"/>
  <c r="C50" i="7" l="1" a="1"/>
  <c r="C50" i="7" s="1"/>
  <c r="D50" i="7" s="1"/>
  <c r="A54" i="7"/>
  <c r="B53" i="7"/>
  <c r="E53" i="7"/>
  <c r="V51" i="5"/>
  <c r="N51" i="5"/>
  <c r="F51" i="5"/>
  <c r="U51" i="5"/>
  <c r="M51" i="5"/>
  <c r="E51" i="5"/>
  <c r="T51" i="5"/>
  <c r="L51" i="5"/>
  <c r="D51" i="5"/>
  <c r="Z51" i="5"/>
  <c r="R51" i="5"/>
  <c r="J51" i="5"/>
  <c r="B51" i="5"/>
  <c r="Q51" i="5"/>
  <c r="P51" i="5"/>
  <c r="O51" i="5"/>
  <c r="A52" i="5"/>
  <c r="K51" i="5"/>
  <c r="G51" i="5"/>
  <c r="C51" i="5"/>
  <c r="Y51" i="5"/>
  <c r="X51" i="5"/>
  <c r="W51" i="5"/>
  <c r="S51" i="5"/>
  <c r="I51" i="5"/>
  <c r="H51" i="5"/>
  <c r="T52" i="5" l="1"/>
  <c r="L52" i="5"/>
  <c r="D52" i="5"/>
  <c r="A53" i="5"/>
  <c r="S52" i="5"/>
  <c r="K52" i="5"/>
  <c r="C52" i="5"/>
  <c r="Z52" i="5"/>
  <c r="R52" i="5"/>
  <c r="J52" i="5"/>
  <c r="B52" i="5"/>
  <c r="X52" i="5"/>
  <c r="P52" i="5"/>
  <c r="H52" i="5"/>
  <c r="W52" i="5"/>
  <c r="G52" i="5"/>
  <c r="V52" i="5"/>
  <c r="F52" i="5"/>
  <c r="U52" i="5"/>
  <c r="E52" i="5"/>
  <c r="Q52" i="5"/>
  <c r="M52" i="5"/>
  <c r="I52" i="5"/>
  <c r="Y52" i="5"/>
  <c r="O52" i="5"/>
  <c r="N52" i="5"/>
  <c r="B54" i="7"/>
  <c r="A55" i="7"/>
  <c r="E54" i="7"/>
  <c r="C51" i="7" a="1"/>
  <c r="C51" i="7" s="1"/>
  <c r="D51" i="7" s="1"/>
  <c r="E55" i="7" l="1"/>
  <c r="B55" i="7"/>
  <c r="A56" i="7"/>
  <c r="A54" i="5"/>
  <c r="S53" i="5"/>
  <c r="K53" i="5"/>
  <c r="T53" i="5"/>
  <c r="J53" i="5"/>
  <c r="B53" i="5"/>
  <c r="C53" i="7" s="1" a="1"/>
  <c r="C53" i="7" s="1"/>
  <c r="R53" i="5"/>
  <c r="I53" i="5"/>
  <c r="Z53" i="5"/>
  <c r="Q53" i="5"/>
  <c r="H53" i="5"/>
  <c r="X53" i="5"/>
  <c r="O53" i="5"/>
  <c r="F53" i="5"/>
  <c r="N53" i="5"/>
  <c r="M53" i="5"/>
  <c r="L53" i="5"/>
  <c r="Y53" i="5"/>
  <c r="G53" i="5"/>
  <c r="U53" i="5"/>
  <c r="P53" i="5"/>
  <c r="E53" i="5"/>
  <c r="D53" i="5"/>
  <c r="C53" i="5"/>
  <c r="W53" i="5"/>
  <c r="V53" i="5"/>
  <c r="C52" i="7" a="1"/>
  <c r="C52" i="7" s="1"/>
  <c r="D52" i="7" s="1"/>
  <c r="Y54" i="5" l="1"/>
  <c r="Q54" i="5"/>
  <c r="I54" i="5"/>
  <c r="U54" i="5"/>
  <c r="L54" i="5"/>
  <c r="C54" i="5"/>
  <c r="T54" i="5"/>
  <c r="K54" i="5"/>
  <c r="B54" i="5"/>
  <c r="S54" i="5"/>
  <c r="J54" i="5"/>
  <c r="Z54" i="5"/>
  <c r="P54" i="5"/>
  <c r="G54" i="5"/>
  <c r="X54" i="5"/>
  <c r="F54" i="5"/>
  <c r="W54" i="5"/>
  <c r="E54" i="5"/>
  <c r="V54" i="5"/>
  <c r="D54" i="5"/>
  <c r="R54" i="5"/>
  <c r="A55" i="5"/>
  <c r="O54" i="5"/>
  <c r="N54" i="5"/>
  <c r="M54" i="5"/>
  <c r="H54" i="5"/>
  <c r="A57" i="7"/>
  <c r="E56" i="7"/>
  <c r="B56" i="7"/>
  <c r="E20" i="8"/>
  <c r="D53" i="7"/>
  <c r="C20" i="8" s="1"/>
  <c r="X55" i="5" l="1"/>
  <c r="P55" i="5"/>
  <c r="H55" i="5"/>
  <c r="W55" i="5"/>
  <c r="O55" i="5"/>
  <c r="G55" i="5"/>
  <c r="Z55" i="5"/>
  <c r="N55" i="5"/>
  <c r="D55" i="5"/>
  <c r="Y55" i="5"/>
  <c r="M55" i="5"/>
  <c r="C55" i="5"/>
  <c r="V55" i="5"/>
  <c r="L55" i="5"/>
  <c r="B55" i="5"/>
  <c r="T55" i="5"/>
  <c r="J55" i="5"/>
  <c r="S55" i="5"/>
  <c r="R55" i="5"/>
  <c r="Q55" i="5"/>
  <c r="K55" i="5"/>
  <c r="E55" i="5"/>
  <c r="A56" i="5"/>
  <c r="U55" i="5"/>
  <c r="I55" i="5"/>
  <c r="F55" i="5"/>
  <c r="A58" i="7"/>
  <c r="E57" i="7"/>
  <c r="B57" i="7"/>
  <c r="C54" i="7" a="1"/>
  <c r="C54" i="7" s="1"/>
  <c r="D54" i="7" s="1"/>
  <c r="C55" i="7" l="1" a="1"/>
  <c r="C55" i="7" s="1"/>
  <c r="D55" i="7" s="1"/>
  <c r="B58" i="7"/>
  <c r="A59" i="7"/>
  <c r="E58" i="7"/>
  <c r="V56" i="5"/>
  <c r="N56" i="5"/>
  <c r="F56" i="5"/>
  <c r="U56" i="5"/>
  <c r="M56" i="5"/>
  <c r="E56" i="5"/>
  <c r="T56" i="5"/>
  <c r="J56" i="5"/>
  <c r="S56" i="5"/>
  <c r="I56" i="5"/>
  <c r="R56" i="5"/>
  <c r="H56" i="5"/>
  <c r="Z56" i="5"/>
  <c r="P56" i="5"/>
  <c r="D56" i="5"/>
  <c r="O56" i="5"/>
  <c r="L56" i="5"/>
  <c r="K56" i="5"/>
  <c r="A57" i="5"/>
  <c r="G56" i="5"/>
  <c r="W56" i="5"/>
  <c r="Q56" i="5"/>
  <c r="C56" i="5"/>
  <c r="B56" i="5"/>
  <c r="Y56" i="5"/>
  <c r="X56" i="5"/>
  <c r="C56" i="7" l="1" a="1"/>
  <c r="C56" i="7" s="1"/>
  <c r="D56" i="7" s="1"/>
  <c r="T57" i="5"/>
  <c r="L57" i="5"/>
  <c r="D57" i="5"/>
  <c r="A58" i="5"/>
  <c r="S57" i="5"/>
  <c r="K57" i="5"/>
  <c r="C57" i="5"/>
  <c r="Z57" i="5"/>
  <c r="P57" i="5"/>
  <c r="F57" i="5"/>
  <c r="Y57" i="5"/>
  <c r="O57" i="5"/>
  <c r="E57" i="5"/>
  <c r="X57" i="5"/>
  <c r="N57" i="5"/>
  <c r="B57" i="5"/>
  <c r="V57" i="5"/>
  <c r="J57" i="5"/>
  <c r="I57" i="5"/>
  <c r="H57" i="5"/>
  <c r="G57" i="5"/>
  <c r="W57" i="5"/>
  <c r="U57" i="5"/>
  <c r="R57" i="5"/>
  <c r="Q57" i="5"/>
  <c r="M57" i="5"/>
  <c r="A60" i="7"/>
  <c r="E59" i="7"/>
  <c r="B59" i="7"/>
  <c r="A61" i="7" l="1"/>
  <c r="E60" i="7"/>
  <c r="B60" i="7"/>
  <c r="Z58" i="5"/>
  <c r="R58" i="5"/>
  <c r="J58" i="5"/>
  <c r="B58" i="5"/>
  <c r="Y58" i="5"/>
  <c r="Q58" i="5"/>
  <c r="I58" i="5"/>
  <c r="X58" i="5"/>
  <c r="P58" i="5"/>
  <c r="W58" i="5"/>
  <c r="L58" i="5"/>
  <c r="V58" i="5"/>
  <c r="K58" i="5"/>
  <c r="U58" i="5"/>
  <c r="H58" i="5"/>
  <c r="S58" i="5"/>
  <c r="F58" i="5"/>
  <c r="E58" i="5"/>
  <c r="D58" i="5"/>
  <c r="A59" i="5"/>
  <c r="C58" i="5"/>
  <c r="T58" i="5"/>
  <c r="M58" i="5"/>
  <c r="G58" i="5"/>
  <c r="O58" i="5"/>
  <c r="N58" i="5"/>
  <c r="C57" i="7" a="1"/>
  <c r="C57" i="7" s="1"/>
  <c r="D57" i="7" s="1"/>
  <c r="C58" i="7" l="1" a="1"/>
  <c r="C58" i="7" s="1"/>
  <c r="D58" i="7" s="1"/>
  <c r="A62" i="7"/>
  <c r="E61" i="7"/>
  <c r="B61" i="7"/>
  <c r="X59" i="5"/>
  <c r="P59" i="5"/>
  <c r="H59" i="5"/>
  <c r="W59" i="5"/>
  <c r="O59" i="5"/>
  <c r="G59" i="5"/>
  <c r="V59" i="5"/>
  <c r="N59" i="5"/>
  <c r="F59" i="5"/>
  <c r="Y59" i="5"/>
  <c r="K59" i="5"/>
  <c r="U59" i="5"/>
  <c r="J59" i="5"/>
  <c r="T59" i="5"/>
  <c r="I59" i="5"/>
  <c r="R59" i="5"/>
  <c r="D59" i="5"/>
  <c r="C59" i="5"/>
  <c r="A60" i="5"/>
  <c r="B59" i="5"/>
  <c r="Z59" i="5"/>
  <c r="S59" i="5"/>
  <c r="Q59" i="5"/>
  <c r="M59" i="5"/>
  <c r="L59" i="5"/>
  <c r="E59" i="5"/>
  <c r="B62" i="7" l="1"/>
  <c r="E62" i="7"/>
  <c r="A63" i="7"/>
  <c r="V60" i="5"/>
  <c r="N60" i="5"/>
  <c r="F60" i="5"/>
  <c r="U60" i="5"/>
  <c r="M60" i="5"/>
  <c r="E60" i="5"/>
  <c r="T60" i="5"/>
  <c r="L60" i="5"/>
  <c r="D60" i="5"/>
  <c r="X60" i="5"/>
  <c r="J60" i="5"/>
  <c r="W60" i="5"/>
  <c r="I60" i="5"/>
  <c r="S60" i="5"/>
  <c r="H60" i="5"/>
  <c r="Q60" i="5"/>
  <c r="C60" i="5"/>
  <c r="A61" i="5"/>
  <c r="B60" i="5"/>
  <c r="Z60" i="5"/>
  <c r="Y60" i="5"/>
  <c r="R60" i="5"/>
  <c r="K60" i="5"/>
  <c r="G60" i="5"/>
  <c r="P60" i="5"/>
  <c r="O60" i="5"/>
  <c r="C59" i="7" a="1"/>
  <c r="C59" i="7" s="1"/>
  <c r="D59" i="7" s="1"/>
  <c r="C60" i="7" l="1" a="1"/>
  <c r="C60" i="7" s="1"/>
  <c r="D60" i="7" s="1"/>
  <c r="T61" i="5"/>
  <c r="L61" i="5"/>
  <c r="D61" i="5"/>
  <c r="A62" i="5"/>
  <c r="S61" i="5"/>
  <c r="K61" i="5"/>
  <c r="C61" i="5"/>
  <c r="Z61" i="5"/>
  <c r="R61" i="5"/>
  <c r="J61" i="5"/>
  <c r="B61" i="5"/>
  <c r="W61" i="5"/>
  <c r="I61" i="5"/>
  <c r="V61" i="5"/>
  <c r="H61" i="5"/>
  <c r="U61" i="5"/>
  <c r="G61" i="5"/>
  <c r="P61" i="5"/>
  <c r="E61" i="5"/>
  <c r="Y61" i="5"/>
  <c r="X61" i="5"/>
  <c r="Q61" i="5"/>
  <c r="O61" i="5"/>
  <c r="N61" i="5"/>
  <c r="M61" i="5"/>
  <c r="F61" i="5"/>
  <c r="A64" i="7"/>
  <c r="E63" i="7"/>
  <c r="B63" i="7"/>
  <c r="Z62" i="5" l="1"/>
  <c r="R62" i="5"/>
  <c r="J62" i="5"/>
  <c r="B62" i="5"/>
  <c r="Y62" i="5"/>
  <c r="Q62" i="5"/>
  <c r="I62" i="5"/>
  <c r="X62" i="5"/>
  <c r="P62" i="5"/>
  <c r="H62" i="5"/>
  <c r="V62" i="5"/>
  <c r="K62" i="5"/>
  <c r="U62" i="5"/>
  <c r="G62" i="5"/>
  <c r="T62" i="5"/>
  <c r="F62" i="5"/>
  <c r="O62" i="5"/>
  <c r="D62" i="5"/>
  <c r="C62" i="5"/>
  <c r="A63" i="5"/>
  <c r="W62" i="5"/>
  <c r="S62" i="5"/>
  <c r="L62" i="5"/>
  <c r="E62" i="5"/>
  <c r="N62" i="5"/>
  <c r="M62" i="5"/>
  <c r="A65" i="7"/>
  <c r="E64" i="7"/>
  <c r="B64" i="7"/>
  <c r="C61" i="7" a="1"/>
  <c r="C61" i="7" s="1"/>
  <c r="D61" i="7" s="1"/>
  <c r="X63" i="5" l="1"/>
  <c r="P63" i="5"/>
  <c r="H63" i="5"/>
  <c r="W63" i="5"/>
  <c r="O63" i="5"/>
  <c r="G63" i="5"/>
  <c r="V63" i="5"/>
  <c r="N63" i="5"/>
  <c r="F63" i="5"/>
  <c r="U63" i="5"/>
  <c r="J63" i="5"/>
  <c r="T63" i="5"/>
  <c r="I63" i="5"/>
  <c r="S63" i="5"/>
  <c r="E63" i="5"/>
  <c r="Q63" i="5"/>
  <c r="C63" i="5"/>
  <c r="A64" i="5"/>
  <c r="B63" i="5"/>
  <c r="Z63" i="5"/>
  <c r="Y63" i="5"/>
  <c r="R63" i="5"/>
  <c r="M63" i="5"/>
  <c r="L63" i="5"/>
  <c r="K63" i="5"/>
  <c r="D63" i="5"/>
  <c r="C62" i="7" a="1"/>
  <c r="C62" i="7" s="1"/>
  <c r="D62" i="7" s="1"/>
  <c r="A66" i="7"/>
  <c r="E65" i="7"/>
  <c r="B65" i="7"/>
  <c r="C63" i="7" l="1" a="1"/>
  <c r="C63" i="7" s="1"/>
  <c r="B66" i="7"/>
  <c r="A67" i="7"/>
  <c r="E66" i="7"/>
  <c r="V64" i="5"/>
  <c r="N64" i="5"/>
  <c r="F64" i="5"/>
  <c r="U64" i="5"/>
  <c r="M64" i="5"/>
  <c r="E64" i="5"/>
  <c r="T64" i="5"/>
  <c r="L64" i="5"/>
  <c r="D64" i="5"/>
  <c r="W64" i="5"/>
  <c r="I64" i="5"/>
  <c r="S64" i="5"/>
  <c r="H64" i="5"/>
  <c r="R64" i="5"/>
  <c r="G64" i="5"/>
  <c r="A65" i="5"/>
  <c r="P64" i="5"/>
  <c r="B64" i="5"/>
  <c r="C64" i="7" s="1" a="1"/>
  <c r="C64" i="7" s="1"/>
  <c r="D64" i="7" s="1"/>
  <c r="Z64" i="5"/>
  <c r="Y64" i="5"/>
  <c r="X64" i="5"/>
  <c r="Q64" i="5"/>
  <c r="J64" i="5"/>
  <c r="C64" i="5"/>
  <c r="O64" i="5"/>
  <c r="K64" i="5"/>
  <c r="T65" i="5" l="1"/>
  <c r="A66" i="5"/>
  <c r="U65" i="5"/>
  <c r="L65" i="5"/>
  <c r="D65" i="5"/>
  <c r="S65" i="5"/>
  <c r="K65" i="5"/>
  <c r="C65" i="5"/>
  <c r="R65" i="5"/>
  <c r="J65" i="5"/>
  <c r="B65" i="5"/>
  <c r="W65" i="5"/>
  <c r="H65" i="5"/>
  <c r="V65" i="5"/>
  <c r="G65" i="5"/>
  <c r="Q65" i="5"/>
  <c r="F65" i="5"/>
  <c r="O65" i="5"/>
  <c r="Z65" i="5"/>
  <c r="Y65" i="5"/>
  <c r="X65" i="5"/>
  <c r="P65" i="5"/>
  <c r="N65" i="5"/>
  <c r="M65" i="5"/>
  <c r="I65" i="5"/>
  <c r="E65" i="5"/>
  <c r="A68" i="7"/>
  <c r="E67" i="7"/>
  <c r="B67" i="7"/>
  <c r="D63" i="7"/>
  <c r="C21" i="8" s="1"/>
  <c r="E21" i="8"/>
  <c r="C65" i="7" l="1" a="1"/>
  <c r="C65" i="7" s="1"/>
  <c r="D65" i="7" s="1"/>
  <c r="A67" i="5"/>
  <c r="S66" i="5"/>
  <c r="Z66" i="5"/>
  <c r="R66" i="5"/>
  <c r="J66" i="5"/>
  <c r="B66" i="5"/>
  <c r="Y66" i="5"/>
  <c r="Q66" i="5"/>
  <c r="I66" i="5"/>
  <c r="O66" i="5"/>
  <c r="E66" i="5"/>
  <c r="N66" i="5"/>
  <c r="D66" i="5"/>
  <c r="X66" i="5"/>
  <c r="M66" i="5"/>
  <c r="C66" i="5"/>
  <c r="L66" i="5"/>
  <c r="K66" i="5"/>
  <c r="H66" i="5"/>
  <c r="V66" i="5"/>
  <c r="F66" i="5"/>
  <c r="W66" i="5"/>
  <c r="P66" i="5"/>
  <c r="G66" i="5"/>
  <c r="U66" i="5"/>
  <c r="T66" i="5"/>
  <c r="E68" i="7"/>
  <c r="B68" i="7"/>
  <c r="C66" i="7" l="1" a="1"/>
  <c r="C66" i="7" s="1"/>
  <c r="D66" i="7" s="1"/>
  <c r="Y67" i="5"/>
  <c r="Q67" i="5"/>
  <c r="I67" i="5"/>
  <c r="X67" i="5"/>
  <c r="P67" i="5"/>
  <c r="H67" i="5"/>
  <c r="W67" i="5"/>
  <c r="O67" i="5"/>
  <c r="G67" i="5"/>
  <c r="N67" i="5"/>
  <c r="C67" i="5"/>
  <c r="A68" i="5"/>
  <c r="M67" i="5"/>
  <c r="B67" i="5"/>
  <c r="Z67" i="5"/>
  <c r="L67" i="5"/>
  <c r="F67" i="5"/>
  <c r="V67" i="5"/>
  <c r="E67" i="5"/>
  <c r="U67" i="5"/>
  <c r="D67" i="5"/>
  <c r="S67" i="5"/>
  <c r="R67" i="5"/>
  <c r="K67" i="5"/>
  <c r="J67" i="5"/>
  <c r="T67" i="5"/>
  <c r="C67" i="7" l="1" a="1"/>
  <c r="C67" i="7" s="1"/>
  <c r="D67" i="7" s="1"/>
  <c r="W68" i="5"/>
  <c r="O68" i="5"/>
  <c r="G68" i="5"/>
  <c r="V68" i="5"/>
  <c r="N68" i="5"/>
  <c r="F68" i="5"/>
  <c r="U68" i="5"/>
  <c r="M68" i="5"/>
  <c r="E68" i="5"/>
  <c r="P68" i="5"/>
  <c r="B68" i="5"/>
  <c r="Z68" i="5"/>
  <c r="L68" i="5"/>
  <c r="Y68" i="5"/>
  <c r="K68" i="5"/>
  <c r="T68" i="5"/>
  <c r="C68" i="5"/>
  <c r="S68" i="5"/>
  <c r="R68" i="5"/>
  <c r="J68" i="5"/>
  <c r="X68" i="5"/>
  <c r="Q68" i="5"/>
  <c r="I68" i="5"/>
  <c r="H68" i="5"/>
  <c r="D68" i="5"/>
  <c r="C68" i="7" l="1" a="1"/>
  <c r="C68" i="7" s="1"/>
  <c r="D68" i="7" l="1"/>
  <c r="C22" i="8" s="1"/>
  <c r="E22" i="8"/>
  <c r="C8" i="9"/>
  <c r="C11" i="9" s="1"/>
</calcChain>
</file>

<file path=xl/sharedStrings.xml><?xml version="1.0" encoding="utf-8"?>
<sst xmlns="http://schemas.openxmlformats.org/spreadsheetml/2006/main" count="344" uniqueCount="143">
  <si>
    <t>SmithWilson — Risk-Free Yield Curve Extrapolation</t>
  </si>
  <si>
    <t>Smith-Wilson extrapolation of CHF risk-free spot rates to the ultimate forward rate (Solvency II methodology per the CEIOPS/EIOPA QIS5 paper)</t>
  </si>
  <si>
    <t>Purpose</t>
  </si>
  <si>
    <t>Fits the Smith-Wilson pricing function to 25 observed CHF spot rates and extrapolates zero-coupon bond prices and annual-compound spot rates to 65 years, converging to the ultimate forward rate (UFR). The workbook is a formula-for-formula replication of the open-source lifelib model 'smithwilson' (MIT licence) and is verified cell-by-cell against it.</t>
  </si>
  <si>
    <t>Method</t>
  </si>
  <si>
    <t>CEIOPS/EIOPA, 'QIS 5 Risk-free interest rates — Extrapolation method' (2010). Observed bond prices m(u) are fitted exactly by P(t) = e^(−UFR·t) + Σ ζj·W(t,uj); the ζ vector solves the linear system W·ζ = m − μ, inverted on the Calibration sheet with native Excel MINVERSE/MMULT array formulas.</t>
  </si>
  <si>
    <t>Inputs</t>
  </si>
  <si>
    <t>25 observed spot rates (annual compound; Switzerland EIOPA risk-free term structure as at 31 May 2019, RFR_spot_no_VA — negative short end) on Spot_Rates; UFR (continuous compound) and convergence parameter α on Assumptions.</t>
  </si>
  <si>
    <t>Reconciliation</t>
  </si>
  <si>
    <t>The RunCurveReconciliation macro (Batch_Results sheet) recalculates the workbook and reconciles the full ζ vector and the extrapolated P and R curves against the lifelib values stored on Lifelib_Reference.</t>
  </si>
  <si>
    <t>Source model</t>
  </si>
  <si>
    <t>lifelib smithwilson — https://lifelib.io (MIT licence)</t>
  </si>
  <si>
    <t>Verification</t>
  </si>
  <si>
    <t>verification/verify_smithwilson.py compares every mapped cell (including the full 65×25 Wilson matrix) against the Python model; see the Checks sheet for in-workbook consistency tests.</t>
  </si>
  <si>
    <t>Version control</t>
  </si>
  <si>
    <t>Version</t>
  </si>
  <si>
    <t>0.2.0</t>
  </si>
  <si>
    <t>Date</t>
  </si>
  <si>
    <t>2026-07-14</t>
  </si>
  <si>
    <t>Prepared by</t>
  </si>
  <si>
    <t>XL Marinade project</t>
  </si>
  <si>
    <t>Review status</t>
  </si>
  <si>
    <t>Verified against lifelib; adversarial actuarial audit remediated (see verification/reports)</t>
  </si>
  <si>
    <t>Sheet index</t>
  </si>
  <si>
    <t>Control</t>
  </si>
  <si>
    <t>Run control — reporting maturity and reconciliation settings</t>
  </si>
  <si>
    <t>Assumptions</t>
  </si>
  <si>
    <t>UFR, convergence parameter α, curve dimensions</t>
  </si>
  <si>
    <t>Spot_Rates</t>
  </si>
  <si>
    <t>Observed EUR spot rates by maturity (input data)</t>
  </si>
  <si>
    <t>Wilson</t>
  </si>
  <si>
    <t>Wilson function W(t, uj) — 65 × 25 grid</t>
  </si>
  <si>
    <t>Calibration</t>
  </si>
  <si>
    <t>Observed bond prices and the ζ vector (MINVERSE/MMULT array solve)</t>
  </si>
  <si>
    <t>Extrapolation</t>
  </si>
  <si>
    <t>Extrapolated bond prices P(t) and spot rates R(t), t = 1 … 65</t>
  </si>
  <si>
    <t>Summary</t>
  </si>
  <si>
    <t>Curve at key durations, convergence to UFR, chart</t>
  </si>
  <si>
    <t>Checks</t>
  </si>
  <si>
    <t>Internal consistency checks (all must be TRUE)</t>
  </si>
  <si>
    <t>Lifelib_Reference</t>
  </si>
  <si>
    <t>lifelib ζ, P and R values (reconciliation target)</t>
  </si>
  <si>
    <t>Batch_Results</t>
  </si>
  <si>
    <t>Full-curve reconciliation vs lifelib (macro output)</t>
  </si>
  <si>
    <t>Conventions</t>
  </si>
  <si>
    <t>Blue — hardcoded input</t>
  </si>
  <si>
    <t>Black — calculated on this sheet</t>
  </si>
  <si>
    <t>Green — link from another sheet</t>
  </si>
  <si>
    <t>Reporting</t>
  </si>
  <si>
    <t>Item</t>
  </si>
  <si>
    <t>Value</t>
  </si>
  <si>
    <t>Notes</t>
  </si>
  <si>
    <t>Reporting maturity (years)</t>
  </si>
  <si>
    <t>Maturity highlighted on the Summary sheet — choose 1 to 65</t>
  </si>
  <si>
    <t>Reconciliation (RunCurveReconciliation macro)</t>
  </si>
  <si>
    <t>Reconciliation tolerance (relative)</t>
  </si>
  <si>
    <t>A value reconciles when |workbook − lifelib| ≤ tol × max(1, |lifelib|)</t>
  </si>
  <si>
    <t>Run the reconciliation from Developer ▸ Macros ▸ RunCurveReconciliation; results appear on Batch_Results.</t>
  </si>
  <si>
    <t>Smith-Wilson parameters</t>
  </si>
  <si>
    <t>Notes / lifelib cell</t>
  </si>
  <si>
    <t>Ultimate forward rate (continuous)</t>
  </si>
  <si>
    <t>UFR — ln(1.029); the 2019 EIOPA UFR for CHF</t>
  </si>
  <si>
    <t>Ultimate forward rate (annual compound)</t>
  </si>
  <si>
    <t>e^UFR − 1; the long-end anchor of the extrapolated curve</t>
  </si>
  <si>
    <t>Convergence parameter α</t>
  </si>
  <si>
    <t>alpha — speed of convergence towards the UFR</t>
  </si>
  <si>
    <t>Observed maturities N</t>
  </si>
  <si>
    <t>N — number of observed spot rates (Spot_Rates sheet)</t>
  </si>
  <si>
    <t>Extrapolation horizon (years)</t>
  </si>
  <si>
    <t>Length of the Wilson and Extrapolation grids (structural)</t>
  </si>
  <si>
    <t>Observed CHF spot rates (annual compound) — Switzerland EIOPA risk-free term structure as at 2019-05-31 (RFR_spot_no_VA), shipped with lifelib</t>
  </si>
  <si>
    <t>i</t>
  </si>
  <si>
    <t>Maturity (years)</t>
  </si>
  <si>
    <t>Spot rate p.a.</t>
  </si>
  <si>
    <t>u</t>
  </si>
  <si>
    <t>spot_rates</t>
  </si>
  <si>
    <t>Wilson functions W(t, uj) — formula (2), QIS5 technical paper; rows t = 1 … 65, columns uj = observed maturities 1 … 25</t>
  </si>
  <si>
    <t>t</t>
  </si>
  <si>
    <t>W</t>
  </si>
  <si>
    <t>Calibration of the ζ vector: ζ = W⁻¹ (m − μ), solved with a native MINVERSE/MMULT array formula (formula (5), QIS5 technical paper)</t>
  </si>
  <si>
    <t>j</t>
  </si>
  <si>
    <t>Maturity u_j</t>
  </si>
  <si>
    <t>Bond price m_j</t>
  </si>
  <si>
    <t>UFR price μ_j</t>
  </si>
  <si>
    <t>m_j − μ_j</t>
  </si>
  <si>
    <t>ζ_j</t>
  </si>
  <si>
    <t>m</t>
  </si>
  <si>
    <t>mu</t>
  </si>
  <si>
    <t>zeta</t>
  </si>
  <si>
    <t>Extrapolated curve: P(t) = μ(t) + Σj ζj·W(t,uj) (formula (6)); R(t) = (1/P(t))^(1/t) − 1</t>
  </si>
  <si>
    <t>Time t (years)</t>
  </si>
  <si>
    <t>UFR price μ(t)</t>
  </si>
  <si>
    <t>Bond price P(t)</t>
  </si>
  <si>
    <t>Spot rate R(t)</t>
  </si>
  <si>
    <t>Observed spot rate</t>
  </si>
  <si>
    <t>P</t>
  </si>
  <si>
    <t>R</t>
  </si>
  <si>
    <t>Curve at the reporting maturity</t>
  </si>
  <si>
    <t>UFR (annual compound)</t>
  </si>
  <si>
    <t>Gap to UFR</t>
  </si>
  <si>
    <t>Convergence towards the UFR is gradual at the calibrated α (see Assumptions)</t>
  </si>
  <si>
    <t>Curve at key durations</t>
  </si>
  <si>
    <t>Maturity</t>
  </si>
  <si>
    <t>Fitted R(t)</t>
  </si>
  <si>
    <t>Observed</t>
  </si>
  <si>
    <t>Internal consistency checks</t>
  </si>
  <si>
    <t>Check</t>
  </si>
  <si>
    <t>Result</t>
  </si>
  <si>
    <t>Description</t>
  </si>
  <si>
    <t>Fitted rates reproduce observed spot rates</t>
  </si>
  <si>
    <t>R(t) equals the observed spot rate at every observed maturity t = 1 … 25 (within 1e-8 absolute — the fit is exact up to matrix-inversion rounding).</t>
  </si>
  <si>
    <t>Fitted prices reproduce observed bond prices</t>
  </si>
  <si>
    <t>P(t) equals the observed zero-coupon bond price m(t) at every observed maturity.</t>
  </si>
  <si>
    <t>Wilson matrix is symmetric</t>
  </si>
  <si>
    <t>W(t, u) = W(u, t) by construction; a violation indicates a copy/paste error in the Wilson grid.</t>
  </si>
  <si>
    <t>ζ solves the calibration system</t>
  </si>
  <si>
    <t>W·ζ reproduces m − μ: the array solve on Calibration is internally consistent.</t>
  </si>
  <si>
    <t>Extrapolated bond prices are positive</t>
  </si>
  <si>
    <t>P(t) &gt; 0 at every projected maturity.</t>
  </si>
  <si>
    <t>Grid length matches the stated horizon</t>
  </si>
  <si>
    <t>The Extrapolation grid covers exactly T_Max years (structural check).</t>
  </si>
  <si>
    <t>ALL CHECKS PASS</t>
  </si>
  <si>
    <t>lifelib smithwilson results (reconciliation target). Generated by verification/generate_reference_smithwilson.py.</t>
  </si>
  <si>
    <t>P(t)</t>
  </si>
  <si>
    <t>R(t)</t>
  </si>
  <si>
    <t>Full-curve reconciliation vs lifelib</t>
  </si>
  <si>
    <t>Filled by the RunCurveReconciliation macro (see Control sheet for the tolerance).</t>
  </si>
  <si>
    <t>Values compared</t>
  </si>
  <si>
    <t>Reconciled within tolerance</t>
  </si>
  <si>
    <t>Mismatches</t>
  </si>
  <si>
    <t>Max |diff| ζ</t>
  </si>
  <si>
    <t>Max |diff| P ÷ max(1,|lifelib|)</t>
  </si>
  <si>
    <t>Max |diff| R ÷ max(1,|lifelib|)</t>
  </si>
  <si>
    <t>Run time (seconds)</t>
  </si>
  <si>
    <t>RECONCILIATION RESULT</t>
  </si>
  <si>
    <t>quantity</t>
  </si>
  <si>
    <t>index</t>
  </si>
  <si>
    <t>workbook</t>
  </si>
  <si>
    <t>lifelib</t>
  </si>
  <si>
    <t>|diff|</t>
  </si>
  <si>
    <t>rel diff</t>
  </si>
  <si>
    <t>reconciles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</si>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</sst>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"/>
    <numFmt numFmtId="165" formatCode="0.000000000000"/>
    <numFmt numFmtId="166" formatCode="0.0000%"/>
    <numFmt numFmtId="167" formatCode="0.000000"/>
    <numFmt numFmtId="168" formatCode="&quot;u=&quot;0"/>
    <numFmt numFmtId="169" formatCode="0.00000000"/>
  </numFmts>
  <fonts count="15" x14ac:knownFonts="1">
    <font>
      <sz val="11"/>
      <color theme="1"/>
      <name val="Calibri"/>
      <family val="2"/>
      <scheme val="minor"/>
    </font>
    <font>
      <b/>
      <sz val="16"/>
      <color rgb="FF1F3864"/>
      <name val="Calibri"/>
      <family val="2"/>
    </font>
    <font>
      <i/>
      <sz val="1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sz val="10"/>
      <color rgb="FF006100"/>
      <name val="Calibri"/>
      <family val="2"/>
    </font>
    <font>
      <b/>
      <sz val="10"/>
      <color rgb="FFFFFFFF"/>
      <name val="Calibri"/>
      <family val="2"/>
    </font>
    <font>
      <i/>
      <sz val="9"/>
      <color rgb="FF7F7F7F"/>
      <name val="Calibri"/>
      <family val="2"/>
    </font>
    <font>
      <i/>
      <sz val="8"/>
      <color rgb="FF7F7F7F"/>
      <name val="Calibri"/>
      <family val="2"/>
    </font>
    <font>
      <sz val="9"/>
      <color rgb="FF7F7F7F"/>
      <name val="Calibri"/>
      <family val="2"/>
    </font>
    <font>
      <b/>
      <sz val="10"/>
      <color rgb="FF0061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1" fontId="6" fillId="0" borderId="1" xfId="0" applyNumberFormat="1" applyFont="1" applyBorder="1"/>
    <xf numFmtId="0" fontId="10" fillId="0" borderId="0" xfId="0" applyFont="1"/>
    <xf numFmtId="164" fontId="6" fillId="0" borderId="1" xfId="0" applyNumberFormat="1" applyFont="1" applyBorder="1"/>
    <xf numFmtId="165" fontId="6" fillId="0" borderId="1" xfId="0" applyNumberFormat="1" applyFont="1" applyBorder="1"/>
    <xf numFmtId="166" fontId="7" fillId="0" borderId="1" xfId="0" applyNumberFormat="1" applyFont="1" applyBorder="1"/>
    <xf numFmtId="167" fontId="6" fillId="0" borderId="1" xfId="0" applyNumberFormat="1" applyFont="1" applyBorder="1"/>
    <xf numFmtId="0" fontId="11" fillId="0" borderId="0" xfId="0" applyFont="1"/>
    <xf numFmtId="166" fontId="6" fillId="0" borderId="0" xfId="0" applyNumberFormat="1" applyFont="1"/>
    <xf numFmtId="168" fontId="9" fillId="2" borderId="1" xfId="0" applyNumberFormat="1" applyFont="1" applyFill="1" applyBorder="1" applyAlignment="1">
      <alignment horizontal="center"/>
    </xf>
    <xf numFmtId="1" fontId="7" fillId="0" borderId="0" xfId="0" applyNumberFormat="1" applyFont="1"/>
    <xf numFmtId="169" fontId="8" fillId="0" borderId="0" xfId="0" applyNumberFormat="1" applyFont="1"/>
    <xf numFmtId="1" fontId="8" fillId="0" borderId="0" xfId="0" applyNumberFormat="1" applyFont="1"/>
    <xf numFmtId="166" fontId="8" fillId="0" borderId="0" xfId="0" applyNumberFormat="1" applyFont="1"/>
    <xf numFmtId="169" fontId="7" fillId="0" borderId="0" xfId="0" applyNumberFormat="1" applyFont="1"/>
    <xf numFmtId="167" fontId="8" fillId="0" borderId="0" xfId="0" applyNumberFormat="1" applyFont="1"/>
    <xf numFmtId="166" fontId="7" fillId="0" borderId="0" xfId="0" applyNumberFormat="1" applyFont="1"/>
    <xf numFmtId="1" fontId="8" fillId="0" borderId="1" xfId="0" applyNumberFormat="1" applyFont="1" applyBorder="1"/>
    <xf numFmtId="169" fontId="8" fillId="0" borderId="1" xfId="0" applyNumberFormat="1" applyFont="1" applyBorder="1"/>
    <xf numFmtId="166" fontId="8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12" fillId="0" borderId="0" xfId="0" applyFont="1"/>
    <xf numFmtId="0" fontId="13" fillId="0" borderId="0" xfId="0" applyFont="1" applyAlignment="1">
      <alignment horizontal="center"/>
    </xf>
    <xf numFmtId="169" fontId="6" fillId="0" borderId="0" xfId="0" applyNumberFormat="1" applyFont="1"/>
    <xf numFmtId="167" fontId="6" fillId="0" borderId="0" xfId="0" applyNumberFormat="1" applyFont="1"/>
    <xf numFmtId="0" fontId="0" fillId="0" borderId="1" xfId="0" applyBorder="1"/>
    <xf numFmtId="0" fontId="14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Extrapolated spot curve vs observed rates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Fitted R(t)</c:v>
          </c:tx>
          <c:spPr>
            <a:ln>
              <a:prstDash val="solid"/>
            </a:ln>
          </c:spPr>
          <c:marker>
            <c:symbol val="none"/>
          </c:marker>
          <c:cat>
            <c:numRef>
              <c:f>Extrapolation!$A$4:$A$68</c:f>
              <c:numCache>
                <c:formatCode>0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cat>
          <c:val>
            <c:numRef>
              <c:f>Extrapolation!$D$4:$D$68</c:f>
              <c:numCache>
                <c:formatCode>0.0000%</c:formatCode>
                <c:ptCount val="65"/>
                <c:pt idx="0">
                  <c:v>-8.0299999995581128E-3</c:v>
                </c:pt>
                <c:pt idx="1">
                  <c:v>-8.1399999997028294E-3</c:v>
                </c:pt>
                <c:pt idx="2">
                  <c:v>-7.7799999996952529E-3</c:v>
                </c:pt>
                <c:pt idx="3">
                  <c:v>-7.2499999997559517E-3</c:v>
                </c:pt>
                <c:pt idx="4">
                  <c:v>-6.5199999997878066E-3</c:v>
                </c:pt>
                <c:pt idx="5">
                  <c:v>-5.6499999998050887E-3</c:v>
                </c:pt>
                <c:pt idx="6">
                  <c:v>-4.7999999998300513E-3</c:v>
                </c:pt>
                <c:pt idx="7">
                  <c:v>-3.9099999998410961E-3</c:v>
                </c:pt>
                <c:pt idx="8">
                  <c:v>-3.1299999998439798E-3</c:v>
                </c:pt>
                <c:pt idx="9">
                  <c:v>-2.1399999998791275E-3</c:v>
                </c:pt>
                <c:pt idx="10">
                  <c:v>-1.3999999998853818E-3</c:v>
                </c:pt>
                <c:pt idx="11">
                  <c:v>-6.69999999888371E-4</c:v>
                </c:pt>
                <c:pt idx="12">
                  <c:v>-7.9999999895719043E-5</c:v>
                </c:pt>
                <c:pt idx="13">
                  <c:v>5.1000000009748803E-4</c:v>
                </c:pt>
                <c:pt idx="14">
                  <c:v>1.0800000000910082E-3</c:v>
                </c:pt>
                <c:pt idx="15">
                  <c:v>1.5700000000833381E-3</c:v>
                </c:pt>
                <c:pt idx="16">
                  <c:v>1.9700000000770768E-3</c:v>
                </c:pt>
                <c:pt idx="17">
                  <c:v>2.2800000000715581E-3</c:v>
                </c:pt>
                <c:pt idx="18">
                  <c:v>2.5000000000674483E-3</c:v>
                </c:pt>
                <c:pt idx="19">
                  <c:v>2.6400000000632584E-3</c:v>
                </c:pt>
                <c:pt idx="20">
                  <c:v>2.7100000000592761E-3</c:v>
                </c:pt>
                <c:pt idx="21">
                  <c:v>2.7400000000552538E-3</c:v>
                </c:pt>
                <c:pt idx="22">
                  <c:v>2.8000000000516501E-3</c:v>
                </c:pt>
                <c:pt idx="23">
                  <c:v>2.9100000000485959E-3</c:v>
                </c:pt>
                <c:pt idx="24">
                  <c:v>3.0900000000457783E-3</c:v>
                </c:pt>
                <c:pt idx="25">
                  <c:v>3.3603622551279244E-3</c:v>
                </c:pt>
                <c:pt idx="26">
                  <c:v>3.7040376454486879E-3</c:v>
                </c:pt>
                <c:pt idx="27">
                  <c:v>4.0998908418534707E-3</c:v>
                </c:pt>
                <c:pt idx="28">
                  <c:v>4.5318785335655143E-3</c:v>
                </c:pt>
                <c:pt idx="29">
                  <c:v>4.987777012654071E-3</c:v>
                </c:pt>
                <c:pt idx="30">
                  <c:v>5.4582538906735589E-3</c:v>
                </c:pt>
                <c:pt idx="31">
                  <c:v>5.9361825537169732E-3</c:v>
                </c:pt>
                <c:pt idx="32">
                  <c:v>6.4161303559648886E-3</c:v>
                </c:pt>
                <c:pt idx="33">
                  <c:v>6.8939728087236141E-3</c:v>
                </c:pt>
                <c:pt idx="34">
                  <c:v>7.36660023067226E-3</c:v>
                </c:pt>
                <c:pt idx="35">
                  <c:v>7.8316929823125658E-3</c:v>
                </c:pt>
                <c:pt idx="36">
                  <c:v>8.2875480716475547E-3</c:v>
                </c:pt>
                <c:pt idx="37">
                  <c:v>8.7329445807160511E-3</c:v>
                </c:pt>
                <c:pt idx="38">
                  <c:v>9.1670386665128056E-3</c:v>
                </c:pt>
                <c:pt idx="39">
                  <c:v>9.5892812584503773E-3</c:v>
                </c:pt>
                <c:pt idx="40">
                  <c:v>9.9993532910265248E-3</c:v>
                </c:pt>
                <c:pt idx="41">
                  <c:v>1.0397114566770949E-2</c:v>
                </c:pt>
                <c:pt idx="42">
                  <c:v>1.078256327276117E-2</c:v>
                </c:pt>
                <c:pt idx="43">
                  <c:v>1.1155803865681824E-2</c:v>
                </c:pt>
                <c:pt idx="44">
                  <c:v>1.1517021560005336E-2</c:v>
                </c:pt>
                <c:pt idx="45">
                  <c:v>1.1866462047161574E-2</c:v>
                </c:pt>
                <c:pt idx="46">
                  <c:v>1.2204415373325173E-2</c:v>
                </c:pt>
                <c:pt idx="47">
                  <c:v>1.2531203133471225E-2</c:v>
                </c:pt>
                <c:pt idx="48">
                  <c:v>1.284716831691024E-2</c:v>
                </c:pt>
                <c:pt idx="49">
                  <c:v>1.3152667277404939E-2</c:v>
                </c:pt>
                <c:pt idx="50">
                  <c:v>1.3448063408616706E-2</c:v>
                </c:pt>
                <c:pt idx="51">
                  <c:v>1.3733722190095055E-2</c:v>
                </c:pt>
                <c:pt idx="52">
                  <c:v>1.40100073356213E-2</c:v>
                </c:pt>
                <c:pt idx="53">
                  <c:v>1.4277277828443458E-2</c:v>
                </c:pt>
                <c:pt idx="54">
                  <c:v>1.4535885669870297E-2</c:v>
                </c:pt>
                <c:pt idx="55">
                  <c:v>1.47861742011548E-2</c:v>
                </c:pt>
                <c:pt idx="56">
                  <c:v>1.5028476885395881E-2</c:v>
                </c:pt>
                <c:pt idx="57">
                  <c:v>1.5263116457726822E-2</c:v>
                </c:pt>
                <c:pt idx="58">
                  <c:v>1.5490404369405075E-2</c:v>
                </c:pt>
                <c:pt idx="59">
                  <c:v>1.5710640465449233E-2</c:v>
                </c:pt>
                <c:pt idx="60">
                  <c:v>1.5924112846817717E-2</c:v>
                </c:pt>
                <c:pt idx="61">
                  <c:v>1.6131097877350564E-2</c:v>
                </c:pt>
                <c:pt idx="62">
                  <c:v>1.6331860303182122E-2</c:v>
                </c:pt>
                <c:pt idx="63">
                  <c:v>1.6526653458452278E-2</c:v>
                </c:pt>
                <c:pt idx="64">
                  <c:v>1.6715719536108731E-2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BF-2844-9243-655326DBB0C4}"/>
            </c:ext>
          </c:extLst>
        </c:ser>
        <c:ser>
          <c:idx val="1"/>
          <c:order val="1"/>
          <c:tx>
            <c:v>Observed spot rates</c:v>
          </c:tx>
          <c:spPr>
            <a:ln>
              <a:prstDash val="solid"/>
            </a:ln>
          </c:spPr>
          <c:marker>
            <c:symbol val="none"/>
          </c:marker>
          <c:cat>
            <c:numRef>
              <c:f>Extrapolation!$A$4:$A$68</c:f>
              <c:numCache>
                <c:formatCode>0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cat>
          <c:val>
            <c:numRef>
              <c:f>Extrapolation!$E$4:$E$28</c:f>
              <c:numCache>
                <c:formatCode>0.0000%</c:formatCode>
                <c:ptCount val="25"/>
                <c:pt idx="0">
                  <c:v>-8.0300000000000007E-3</c:v>
                </c:pt>
                <c:pt idx="1">
                  <c:v>-8.1399999999999997E-3</c:v>
                </c:pt>
                <c:pt idx="2">
                  <c:v>-7.7799999999999996E-3</c:v>
                </c:pt>
                <c:pt idx="3">
                  <c:v>-7.2500000000000004E-3</c:v>
                </c:pt>
                <c:pt idx="4">
                  <c:v>-6.5199999999999998E-3</c:v>
                </c:pt>
                <c:pt idx="5">
                  <c:v>-5.6499999999999996E-3</c:v>
                </c:pt>
                <c:pt idx="6">
                  <c:v>-4.7999999999999996E-3</c:v>
                </c:pt>
                <c:pt idx="7">
                  <c:v>-3.9100000000000003E-3</c:v>
                </c:pt>
                <c:pt idx="8">
                  <c:v>-3.13E-3</c:v>
                </c:pt>
                <c:pt idx="9">
                  <c:v>-2.14E-3</c:v>
                </c:pt>
                <c:pt idx="10">
                  <c:v>-1.4E-3</c:v>
                </c:pt>
                <c:pt idx="11">
                  <c:v>-6.7000000000000002E-4</c:v>
                </c:pt>
                <c:pt idx="12">
                  <c:v>-8.0000000000000007E-5</c:v>
                </c:pt>
                <c:pt idx="13">
                  <c:v>5.1000000000000004E-4</c:v>
                </c:pt>
                <c:pt idx="14">
                  <c:v>1.08E-3</c:v>
                </c:pt>
                <c:pt idx="15">
                  <c:v>1.57E-3</c:v>
                </c:pt>
                <c:pt idx="16">
                  <c:v>1.97E-3</c:v>
                </c:pt>
                <c:pt idx="17">
                  <c:v>2.2799999999999999E-3</c:v>
                </c:pt>
                <c:pt idx="18">
                  <c:v>2.5000000000000001E-3</c:v>
                </c:pt>
                <c:pt idx="19">
                  <c:v>2.64E-3</c:v>
                </c:pt>
                <c:pt idx="20">
                  <c:v>2.7100000000000002E-3</c:v>
                </c:pt>
                <c:pt idx="21">
                  <c:v>2.7399999999999998E-3</c:v>
                </c:pt>
                <c:pt idx="22">
                  <c:v>2.8E-3</c:v>
                </c:pt>
                <c:pt idx="23">
                  <c:v>2.9099999999999998E-3</c:v>
                </c:pt>
                <c:pt idx="24">
                  <c:v>3.0899999999999999E-3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BF-2844-9243-655326DBB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Maturity (years)</a:t>
                </a:r>
              </a:p>
            </c:rich>
          </c:tx>
          <c:overlay val="1"/>
        </c:title>
        <c:numFmt formatCode="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.0%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720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3"/>
  <sheetViews>
    <sheetView showGridLines="0" tabSelected="1" workbookViewId="0"/>
  </sheetViews>
  <sheetFormatPr baseColWidth="10" defaultColWidth="8.83203125" defaultRowHeight="15" x14ac:dyDescent="0.2"/>
  <cols>
    <col min="2" max="2" width="28" customWidth="1"/>
    <col min="3" max="3" width="78" customWidth="1"/>
  </cols>
  <sheetData>
    <row r="2" spans="2:3" ht="21" x14ac:dyDescent="0.25">
      <c r="B2" s="1" t="s">
        <v>0</v>
      </c>
    </row>
    <row r="3" spans="2:3" x14ac:dyDescent="0.2">
      <c r="B3" s="2" t="s">
        <v>1</v>
      </c>
    </row>
    <row r="5" spans="2:3" ht="42" customHeight="1" x14ac:dyDescent="0.2">
      <c r="B5" s="3" t="s">
        <v>2</v>
      </c>
      <c r="C5" s="4" t="s">
        <v>3</v>
      </c>
    </row>
    <row r="6" spans="2:3" ht="42" customHeight="1" x14ac:dyDescent="0.2">
      <c r="B6" s="3" t="s">
        <v>4</v>
      </c>
      <c r="C6" s="4" t="s">
        <v>5</v>
      </c>
    </row>
    <row r="7" spans="2:3" ht="42" customHeight="1" x14ac:dyDescent="0.2">
      <c r="B7" s="3" t="s">
        <v>6</v>
      </c>
      <c r="C7" s="4" t="s">
        <v>7</v>
      </c>
    </row>
    <row r="8" spans="2:3" ht="42" customHeight="1" x14ac:dyDescent="0.2">
      <c r="B8" s="3" t="s">
        <v>8</v>
      </c>
      <c r="C8" s="4" t="s">
        <v>9</v>
      </c>
    </row>
    <row r="9" spans="2:3" ht="42" customHeight="1" x14ac:dyDescent="0.2">
      <c r="B9" s="3" t="s">
        <v>10</v>
      </c>
      <c r="C9" s="4" t="s">
        <v>11</v>
      </c>
    </row>
    <row r="10" spans="2:3" ht="42" customHeight="1" x14ac:dyDescent="0.2">
      <c r="B10" s="3" t="s">
        <v>12</v>
      </c>
      <c r="C10" s="4" t="s">
        <v>13</v>
      </c>
    </row>
    <row r="12" spans="2:3" x14ac:dyDescent="0.2">
      <c r="B12" s="3" t="s">
        <v>14</v>
      </c>
    </row>
    <row r="13" spans="2:3" x14ac:dyDescent="0.2">
      <c r="B13" s="5" t="s">
        <v>15</v>
      </c>
      <c r="C13" s="6" t="s">
        <v>16</v>
      </c>
    </row>
    <row r="14" spans="2:3" x14ac:dyDescent="0.2">
      <c r="B14" s="5" t="s">
        <v>17</v>
      </c>
      <c r="C14" s="6" t="s">
        <v>18</v>
      </c>
    </row>
    <row r="15" spans="2:3" x14ac:dyDescent="0.2">
      <c r="B15" s="5" t="s">
        <v>19</v>
      </c>
      <c r="C15" s="6" t="s">
        <v>20</v>
      </c>
    </row>
    <row r="16" spans="2:3" x14ac:dyDescent="0.2">
      <c r="B16" s="5" t="s">
        <v>21</v>
      </c>
      <c r="C16" s="6" t="s">
        <v>22</v>
      </c>
    </row>
    <row r="18" spans="2:3" x14ac:dyDescent="0.2">
      <c r="B18" s="3" t="s">
        <v>23</v>
      </c>
    </row>
    <row r="19" spans="2:3" x14ac:dyDescent="0.2">
      <c r="B19" s="5" t="s">
        <v>24</v>
      </c>
      <c r="C19" s="6" t="s">
        <v>25</v>
      </c>
    </row>
    <row r="20" spans="2:3" x14ac:dyDescent="0.2">
      <c r="B20" s="5" t="s">
        <v>26</v>
      </c>
      <c r="C20" s="6" t="s">
        <v>27</v>
      </c>
    </row>
    <row r="21" spans="2:3" x14ac:dyDescent="0.2">
      <c r="B21" s="5" t="s">
        <v>28</v>
      </c>
      <c r="C21" s="6" t="s">
        <v>29</v>
      </c>
    </row>
    <row r="22" spans="2:3" x14ac:dyDescent="0.2">
      <c r="B22" s="5" t="s">
        <v>30</v>
      </c>
      <c r="C22" s="6" t="s">
        <v>31</v>
      </c>
    </row>
    <row r="23" spans="2:3" x14ac:dyDescent="0.2">
      <c r="B23" s="5" t="s">
        <v>32</v>
      </c>
      <c r="C23" s="6" t="s">
        <v>33</v>
      </c>
    </row>
    <row r="24" spans="2:3" x14ac:dyDescent="0.2">
      <c r="B24" s="5" t="s">
        <v>34</v>
      </c>
      <c r="C24" s="6" t="s">
        <v>35</v>
      </c>
    </row>
    <row r="25" spans="2:3" x14ac:dyDescent="0.2">
      <c r="B25" s="5" t="s">
        <v>36</v>
      </c>
      <c r="C25" s="6" t="s">
        <v>37</v>
      </c>
    </row>
    <row r="26" spans="2:3" x14ac:dyDescent="0.2">
      <c r="B26" s="5" t="s">
        <v>38</v>
      </c>
      <c r="C26" s="6" t="s">
        <v>39</v>
      </c>
    </row>
    <row r="27" spans="2:3" x14ac:dyDescent="0.2">
      <c r="B27" s="5" t="s">
        <v>40</v>
      </c>
      <c r="C27" s="6" t="s">
        <v>41</v>
      </c>
    </row>
    <row r="28" spans="2:3" x14ac:dyDescent="0.2">
      <c r="B28" s="5" t="s">
        <v>42</v>
      </c>
      <c r="C28" s="6" t="s">
        <v>43</v>
      </c>
    </row>
    <row r="30" spans="2:3" x14ac:dyDescent="0.2">
      <c r="B30" s="3" t="s">
        <v>44</v>
      </c>
    </row>
    <row r="31" spans="2:3" x14ac:dyDescent="0.2">
      <c r="B31" s="7" t="s">
        <v>45</v>
      </c>
    </row>
    <row r="32" spans="2:3" x14ac:dyDescent="0.2">
      <c r="B32" s="8" t="s">
        <v>46</v>
      </c>
    </row>
    <row r="33" spans="2:2" x14ac:dyDescent="0.2">
      <c r="B33" s="9" t="s">
        <v>47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0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4" customWidth="1"/>
    <col min="4" max="4" width="62" customWidth="1"/>
  </cols>
  <sheetData>
    <row r="2" spans="2:4" x14ac:dyDescent="0.2">
      <c r="B2" s="3" t="s">
        <v>48</v>
      </c>
    </row>
    <row r="3" spans="2:4" x14ac:dyDescent="0.2">
      <c r="B3" s="10" t="s">
        <v>49</v>
      </c>
      <c r="C3" s="10" t="s">
        <v>50</v>
      </c>
      <c r="D3" s="10" t="s">
        <v>51</v>
      </c>
    </row>
    <row r="4" spans="2:4" x14ac:dyDescent="0.2">
      <c r="B4" s="5" t="s">
        <v>52</v>
      </c>
      <c r="C4" s="11">
        <v>30</v>
      </c>
      <c r="D4" s="12" t="s">
        <v>53</v>
      </c>
    </row>
    <row r="6" spans="2:4" x14ac:dyDescent="0.2">
      <c r="B6" s="3" t="s">
        <v>54</v>
      </c>
    </row>
    <row r="7" spans="2:4" x14ac:dyDescent="0.2">
      <c r="B7" s="10" t="s">
        <v>49</v>
      </c>
      <c r="C7" s="10" t="s">
        <v>50</v>
      </c>
      <c r="D7" s="10" t="s">
        <v>51</v>
      </c>
    </row>
    <row r="8" spans="2:4" x14ac:dyDescent="0.2">
      <c r="B8" s="5" t="s">
        <v>55</v>
      </c>
      <c r="C8" s="13">
        <v>9.9999999999999995E-7</v>
      </c>
      <c r="D8" s="12" t="s">
        <v>56</v>
      </c>
    </row>
    <row r="10" spans="2:4" x14ac:dyDescent="0.2">
      <c r="B10" s="12" t="s">
        <v>57</v>
      </c>
    </row>
  </sheetData>
  <dataValidations count="1">
    <dataValidation type="whole" error="Reporting maturity must be between 1 and 65" sqref="C4" xr:uid="{00000000-0002-0000-0100-000000000000}">
      <formula1>1</formula1>
      <formula2>65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8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6" customWidth="1"/>
    <col min="4" max="4" width="62" customWidth="1"/>
  </cols>
  <sheetData>
    <row r="2" spans="2:4" x14ac:dyDescent="0.2">
      <c r="B2" s="3" t="s">
        <v>58</v>
      </c>
    </row>
    <row r="3" spans="2:4" x14ac:dyDescent="0.2">
      <c r="B3" s="10" t="s">
        <v>49</v>
      </c>
      <c r="C3" s="10" t="s">
        <v>50</v>
      </c>
      <c r="D3" s="10" t="s">
        <v>59</v>
      </c>
    </row>
    <row r="4" spans="2:4" x14ac:dyDescent="0.2">
      <c r="B4" s="5" t="s">
        <v>60</v>
      </c>
      <c r="C4" s="14">
        <v>2.8587456851912468E-2</v>
      </c>
      <c r="D4" s="12" t="s">
        <v>61</v>
      </c>
    </row>
    <row r="5" spans="2:4" x14ac:dyDescent="0.2">
      <c r="B5" s="5" t="s">
        <v>62</v>
      </c>
      <c r="C5" s="15">
        <f>EXP(UFR)-1</f>
        <v>2.8999999999999915E-2</v>
      </c>
      <c r="D5" s="12" t="s">
        <v>63</v>
      </c>
    </row>
    <row r="6" spans="2:4" x14ac:dyDescent="0.2">
      <c r="B6" s="5" t="s">
        <v>64</v>
      </c>
      <c r="C6" s="16">
        <v>0.12856200000000001</v>
      </c>
      <c r="D6" s="12" t="s">
        <v>65</v>
      </c>
    </row>
    <row r="7" spans="2:4" x14ac:dyDescent="0.2">
      <c r="B7" s="5" t="s">
        <v>66</v>
      </c>
      <c r="C7" s="11">
        <v>25</v>
      </c>
      <c r="D7" s="12" t="s">
        <v>67</v>
      </c>
    </row>
    <row r="8" spans="2:4" x14ac:dyDescent="0.2">
      <c r="B8" s="5" t="s">
        <v>68</v>
      </c>
      <c r="C8" s="11">
        <v>65</v>
      </c>
      <c r="D8" s="12" t="s">
        <v>69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showGridLines="0" workbookViewId="0"/>
  </sheetViews>
  <sheetFormatPr baseColWidth="10" defaultColWidth="8.83203125" defaultRowHeight="15" x14ac:dyDescent="0.2"/>
  <cols>
    <col min="1" max="1" width="6" customWidth="1"/>
    <col min="2" max="2" width="14" customWidth="1"/>
    <col min="3" max="3" width="12" customWidth="1"/>
  </cols>
  <sheetData>
    <row r="1" spans="1:3" x14ac:dyDescent="0.2">
      <c r="A1" s="3" t="s">
        <v>70</v>
      </c>
    </row>
    <row r="2" spans="1:3" x14ac:dyDescent="0.2">
      <c r="A2" s="10" t="s">
        <v>71</v>
      </c>
      <c r="B2" s="10" t="s">
        <v>72</v>
      </c>
      <c r="C2" s="10" t="s">
        <v>73</v>
      </c>
    </row>
    <row r="3" spans="1:3" x14ac:dyDescent="0.2">
      <c r="A3" s="17"/>
      <c r="B3" s="17" t="s">
        <v>74</v>
      </c>
      <c r="C3" s="17" t="s">
        <v>75</v>
      </c>
    </row>
    <row r="4" spans="1:3" x14ac:dyDescent="0.2">
      <c r="A4" s="7">
        <v>1</v>
      </c>
      <c r="B4" s="7">
        <v>1</v>
      </c>
      <c r="C4" s="18">
        <v>-8.0300000000000007E-3</v>
      </c>
    </row>
    <row r="5" spans="1:3" x14ac:dyDescent="0.2">
      <c r="A5" s="7">
        <v>2</v>
      </c>
      <c r="B5" s="7">
        <v>2</v>
      </c>
      <c r="C5" s="18">
        <v>-8.1399999999999997E-3</v>
      </c>
    </row>
    <row r="6" spans="1:3" x14ac:dyDescent="0.2">
      <c r="A6" s="7">
        <v>3</v>
      </c>
      <c r="B6" s="7">
        <v>3</v>
      </c>
      <c r="C6" s="18">
        <v>-7.7799999999999996E-3</v>
      </c>
    </row>
    <row r="7" spans="1:3" x14ac:dyDescent="0.2">
      <c r="A7" s="7">
        <v>4</v>
      </c>
      <c r="B7" s="7">
        <v>4</v>
      </c>
      <c r="C7" s="18">
        <v>-7.2500000000000004E-3</v>
      </c>
    </row>
    <row r="8" spans="1:3" x14ac:dyDescent="0.2">
      <c r="A8" s="7">
        <v>5</v>
      </c>
      <c r="B8" s="7">
        <v>5</v>
      </c>
      <c r="C8" s="18">
        <v>-6.5199999999999998E-3</v>
      </c>
    </row>
    <row r="9" spans="1:3" x14ac:dyDescent="0.2">
      <c r="A9" s="7">
        <v>6</v>
      </c>
      <c r="B9" s="7">
        <v>6</v>
      </c>
      <c r="C9" s="18">
        <v>-5.6499999999999996E-3</v>
      </c>
    </row>
    <row r="10" spans="1:3" x14ac:dyDescent="0.2">
      <c r="A10" s="7">
        <v>7</v>
      </c>
      <c r="B10" s="7">
        <v>7</v>
      </c>
      <c r="C10" s="18">
        <v>-4.7999999999999996E-3</v>
      </c>
    </row>
    <row r="11" spans="1:3" x14ac:dyDescent="0.2">
      <c r="A11" s="7">
        <v>8</v>
      </c>
      <c r="B11" s="7">
        <v>8</v>
      </c>
      <c r="C11" s="18">
        <v>-3.9100000000000003E-3</v>
      </c>
    </row>
    <row r="12" spans="1:3" x14ac:dyDescent="0.2">
      <c r="A12" s="7">
        <v>9</v>
      </c>
      <c r="B12" s="7">
        <v>9</v>
      </c>
      <c r="C12" s="18">
        <v>-3.13E-3</v>
      </c>
    </row>
    <row r="13" spans="1:3" x14ac:dyDescent="0.2">
      <c r="A13" s="7">
        <v>10</v>
      </c>
      <c r="B13" s="7">
        <v>10</v>
      </c>
      <c r="C13" s="18">
        <v>-2.14E-3</v>
      </c>
    </row>
    <row r="14" spans="1:3" x14ac:dyDescent="0.2">
      <c r="A14" s="7">
        <v>11</v>
      </c>
      <c r="B14" s="7">
        <v>11</v>
      </c>
      <c r="C14" s="18">
        <v>-1.4E-3</v>
      </c>
    </row>
    <row r="15" spans="1:3" x14ac:dyDescent="0.2">
      <c r="A15" s="7">
        <v>12</v>
      </c>
      <c r="B15" s="7">
        <v>12</v>
      </c>
      <c r="C15" s="18">
        <v>-6.7000000000000002E-4</v>
      </c>
    </row>
    <row r="16" spans="1:3" x14ac:dyDescent="0.2">
      <c r="A16" s="7">
        <v>13</v>
      </c>
      <c r="B16" s="7">
        <v>13</v>
      </c>
      <c r="C16" s="18">
        <v>-8.0000000000000007E-5</v>
      </c>
    </row>
    <row r="17" spans="1:3" x14ac:dyDescent="0.2">
      <c r="A17" s="7">
        <v>14</v>
      </c>
      <c r="B17" s="7">
        <v>14</v>
      </c>
      <c r="C17" s="18">
        <v>5.1000000000000004E-4</v>
      </c>
    </row>
    <row r="18" spans="1:3" x14ac:dyDescent="0.2">
      <c r="A18" s="7">
        <v>15</v>
      </c>
      <c r="B18" s="7">
        <v>15</v>
      </c>
      <c r="C18" s="18">
        <v>1.08E-3</v>
      </c>
    </row>
    <row r="19" spans="1:3" x14ac:dyDescent="0.2">
      <c r="A19" s="7">
        <v>16</v>
      </c>
      <c r="B19" s="7">
        <v>16</v>
      </c>
      <c r="C19" s="18">
        <v>1.57E-3</v>
      </c>
    </row>
    <row r="20" spans="1:3" x14ac:dyDescent="0.2">
      <c r="A20" s="7">
        <v>17</v>
      </c>
      <c r="B20" s="7">
        <v>17</v>
      </c>
      <c r="C20" s="18">
        <v>1.97E-3</v>
      </c>
    </row>
    <row r="21" spans="1:3" x14ac:dyDescent="0.2">
      <c r="A21" s="7">
        <v>18</v>
      </c>
      <c r="B21" s="7">
        <v>18</v>
      </c>
      <c r="C21" s="18">
        <v>2.2799999999999999E-3</v>
      </c>
    </row>
    <row r="22" spans="1:3" x14ac:dyDescent="0.2">
      <c r="A22" s="7">
        <v>19</v>
      </c>
      <c r="B22" s="7">
        <v>19</v>
      </c>
      <c r="C22" s="18">
        <v>2.5000000000000001E-3</v>
      </c>
    </row>
    <row r="23" spans="1:3" x14ac:dyDescent="0.2">
      <c r="A23" s="7">
        <v>20</v>
      </c>
      <c r="B23" s="7">
        <v>20</v>
      </c>
      <c r="C23" s="18">
        <v>2.64E-3</v>
      </c>
    </row>
    <row r="24" spans="1:3" x14ac:dyDescent="0.2">
      <c r="A24" s="7">
        <v>21</v>
      </c>
      <c r="B24" s="7">
        <v>21</v>
      </c>
      <c r="C24" s="18">
        <v>2.7100000000000002E-3</v>
      </c>
    </row>
    <row r="25" spans="1:3" x14ac:dyDescent="0.2">
      <c r="A25" s="7">
        <v>22</v>
      </c>
      <c r="B25" s="7">
        <v>22</v>
      </c>
      <c r="C25" s="18">
        <v>2.7399999999999998E-3</v>
      </c>
    </row>
    <row r="26" spans="1:3" x14ac:dyDescent="0.2">
      <c r="A26" s="7">
        <v>23</v>
      </c>
      <c r="B26" s="7">
        <v>23</v>
      </c>
      <c r="C26" s="18">
        <v>2.8E-3</v>
      </c>
    </row>
    <row r="27" spans="1:3" x14ac:dyDescent="0.2">
      <c r="A27" s="7">
        <v>24</v>
      </c>
      <c r="B27" s="7">
        <v>24</v>
      </c>
      <c r="C27" s="18">
        <v>2.9099999999999998E-3</v>
      </c>
    </row>
    <row r="28" spans="1:3" x14ac:dyDescent="0.2">
      <c r="A28" s="7">
        <v>25</v>
      </c>
      <c r="B28" s="7">
        <v>25</v>
      </c>
      <c r="C28" s="18">
        <v>3.0899999999999999E-3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68"/>
  <sheetViews>
    <sheetView workbookViewId="0">
      <pane xSplit="1" ySplit="3" topLeftCell="B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26" width="11" customWidth="1"/>
  </cols>
  <sheetData>
    <row r="1" spans="1:26" x14ac:dyDescent="0.2">
      <c r="A1" s="3" t="s">
        <v>76</v>
      </c>
    </row>
    <row r="2" spans="1:26" x14ac:dyDescent="0.2">
      <c r="A2" s="10" t="s">
        <v>77</v>
      </c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  <c r="N2" s="19">
        <v>13</v>
      </c>
      <c r="O2" s="19">
        <v>14</v>
      </c>
      <c r="P2" s="19">
        <v>15</v>
      </c>
      <c r="Q2" s="19">
        <v>16</v>
      </c>
      <c r="R2" s="19">
        <v>17</v>
      </c>
      <c r="S2" s="19">
        <v>18</v>
      </c>
      <c r="T2" s="19">
        <v>19</v>
      </c>
      <c r="U2" s="19">
        <v>20</v>
      </c>
      <c r="V2" s="19">
        <v>21</v>
      </c>
      <c r="W2" s="19">
        <v>22</v>
      </c>
      <c r="X2" s="19">
        <v>23</v>
      </c>
      <c r="Y2" s="19">
        <v>24</v>
      </c>
      <c r="Z2" s="19">
        <v>25</v>
      </c>
    </row>
    <row r="3" spans="1:26" x14ac:dyDescent="0.2">
      <c r="A3" s="17" t="s">
        <v>74</v>
      </c>
      <c r="B3" s="17" t="s">
        <v>78</v>
      </c>
      <c r="C3" s="17" t="s">
        <v>78</v>
      </c>
      <c r="D3" s="17" t="s">
        <v>78</v>
      </c>
      <c r="E3" s="17" t="s">
        <v>78</v>
      </c>
      <c r="F3" s="17" t="s">
        <v>78</v>
      </c>
      <c r="G3" s="17" t="s">
        <v>78</v>
      </c>
      <c r="H3" s="17" t="s">
        <v>78</v>
      </c>
      <c r="I3" s="17" t="s">
        <v>78</v>
      </c>
      <c r="J3" s="17" t="s">
        <v>78</v>
      </c>
      <c r="K3" s="17" t="s">
        <v>78</v>
      </c>
      <c r="L3" s="17" t="s">
        <v>78</v>
      </c>
      <c r="M3" s="17" t="s">
        <v>78</v>
      </c>
      <c r="N3" s="17" t="s">
        <v>78</v>
      </c>
      <c r="O3" s="17" t="s">
        <v>78</v>
      </c>
      <c r="P3" s="17" t="s">
        <v>78</v>
      </c>
      <c r="Q3" s="17" t="s">
        <v>78</v>
      </c>
      <c r="R3" s="17" t="s">
        <v>78</v>
      </c>
      <c r="S3" s="17" t="s">
        <v>78</v>
      </c>
      <c r="T3" s="17" t="s">
        <v>78</v>
      </c>
      <c r="U3" s="17" t="s">
        <v>78</v>
      </c>
      <c r="V3" s="17" t="s">
        <v>78</v>
      </c>
      <c r="W3" s="17" t="s">
        <v>78</v>
      </c>
      <c r="X3" s="17" t="s">
        <v>78</v>
      </c>
      <c r="Y3" s="17" t="s">
        <v>78</v>
      </c>
      <c r="Z3" s="17" t="s">
        <v>78</v>
      </c>
    </row>
    <row r="4" spans="1:26" x14ac:dyDescent="0.2">
      <c r="A4" s="20">
        <v>1</v>
      </c>
      <c r="B4" s="21">
        <f t="shared" ref="B4:K13" si="0">EXP(-UFR*($A4+B$2))*(Alpha*MIN($A4,B$2)-0.5*EXP(-Alpha*MAX($A4,B$2))*(EXP(Alpha*MIN($A4,B$2))-EXP(-Alpha*MIN($A4,B$2))))</f>
        <v>1.4353581912842146E-2</v>
      </c>
      <c r="C4" s="21">
        <f t="shared" si="0"/>
        <v>2.6501356093138265E-2</v>
      </c>
      <c r="D4" s="21">
        <f t="shared" si="0"/>
        <v>3.6481372058442041E-2</v>
      </c>
      <c r="E4" s="21">
        <f t="shared" si="0"/>
        <v>4.4620179627308201E-2</v>
      </c>
      <c r="F4" s="21">
        <f t="shared" si="0"/>
        <v>5.1196521897758376E-2</v>
      </c>
      <c r="G4" s="21">
        <f t="shared" si="0"/>
        <v>5.6448296456494948E-2</v>
      </c>
      <c r="H4" s="21">
        <f t="shared" si="0"/>
        <v>6.0578504010412738E-2</v>
      </c>
      <c r="I4" s="21">
        <f t="shared" si="0"/>
        <v>6.3760331700310022E-2</v>
      </c>
      <c r="J4" s="21">
        <f t="shared" si="0"/>
        <v>6.6141496941423308E-2</v>
      </c>
      <c r="K4" s="21">
        <f t="shared" si="0"/>
        <v>6.7847959334427832E-2</v>
      </c>
      <c r="L4" s="21">
        <f t="shared" ref="L4:Z13" si="1">EXP(-UFR*($A4+L$2))*(Alpha*MIN($A4,L$2)-0.5*EXP(-Alpha*MAX($A4,L$2))*(EXP(Alpha*MIN($A4,L$2))-EXP(-Alpha*MIN($A4,L$2))))</f>
        <v>6.8987092550964191E-2</v>
      </c>
      <c r="M4" s="21">
        <f t="shared" si="1"/>
        <v>6.9650394732541018E-2</v>
      </c>
      <c r="N4" s="21">
        <f t="shared" si="1"/>
        <v>6.9915804520076494E-2</v>
      </c>
      <c r="O4" s="21">
        <f t="shared" si="1"/>
        <v>6.9849680070727768E-2</v>
      </c>
      <c r="P4" s="21">
        <f t="shared" si="1"/>
        <v>6.9508490077474686E-2</v>
      </c>
      <c r="Q4" s="21">
        <f t="shared" si="1"/>
        <v>6.8940258678748784E-2</v>
      </c>
      <c r="R4" s="21">
        <f t="shared" si="1"/>
        <v>6.8185800053836398E-2</v>
      </c>
      <c r="S4" s="21">
        <f t="shared" si="1"/>
        <v>6.7279773294082135E-2</v>
      </c>
      <c r="T4" s="21">
        <f t="shared" si="1"/>
        <v>6.6251583691254196E-2</v>
      </c>
      <c r="U4" s="21">
        <f t="shared" si="1"/>
        <v>6.5126152782713317E-2</v>
      </c>
      <c r="V4" s="21">
        <f t="shared" si="1"/>
        <v>6.3924576244171943E-2</v>
      </c>
      <c r="W4" s="21">
        <f t="shared" si="1"/>
        <v>6.2664685944438997E-2</v>
      </c>
      <c r="X4" s="21">
        <f t="shared" si="1"/>
        <v>6.1361530103911793E-2</v>
      </c>
      <c r="Y4" s="21">
        <f t="shared" si="1"/>
        <v>6.0027783470983594E-2</v>
      </c>
      <c r="Z4" s="21">
        <f t="shared" si="1"/>
        <v>5.8674097697805745E-2</v>
      </c>
    </row>
    <row r="5" spans="1:26" x14ac:dyDescent="0.2">
      <c r="A5" s="20">
        <f t="shared" ref="A5:A36" si="2">A4+1</f>
        <v>2</v>
      </c>
      <c r="B5" s="21">
        <f t="shared" si="0"/>
        <v>2.6501356093138265E-2</v>
      </c>
      <c r="C5" s="21">
        <f t="shared" si="0"/>
        <v>5.0037309080943101E-2</v>
      </c>
      <c r="D5" s="21">
        <f t="shared" si="0"/>
        <v>6.9648825187064778E-2</v>
      </c>
      <c r="E5" s="21">
        <f t="shared" si="0"/>
        <v>8.5650582572063566E-2</v>
      </c>
      <c r="F5" s="21">
        <f t="shared" si="0"/>
        <v>9.8588881895959588E-2</v>
      </c>
      <c r="G5" s="21">
        <f t="shared" si="0"/>
        <v>0.10892997689232642</v>
      </c>
      <c r="H5" s="21">
        <f t="shared" si="0"/>
        <v>0.11707173204889391</v>
      </c>
      <c r="I5" s="21">
        <f t="shared" si="0"/>
        <v>0.12335358450736826</v>
      </c>
      <c r="J5" s="21">
        <f t="shared" si="0"/>
        <v>0.12806505680261238</v>
      </c>
      <c r="K5" s="21">
        <f t="shared" si="0"/>
        <v>0.131453031196543</v>
      </c>
      <c r="L5" s="21">
        <f t="shared" si="1"/>
        <v>0.13372796571291276</v>
      </c>
      <c r="M5" s="21">
        <f t="shared" si="1"/>
        <v>0.13506920578708842</v>
      </c>
      <c r="N5" s="21">
        <f t="shared" si="1"/>
        <v>0.13562952306182938</v>
      </c>
      <c r="O5" s="21">
        <f t="shared" si="1"/>
        <v>0.13553899373201439</v>
      </c>
      <c r="P5" s="21">
        <f t="shared" si="1"/>
        <v>0.1349083124948815</v>
      </c>
      <c r="Q5" s="21">
        <f t="shared" si="1"/>
        <v>0.13383162419313085</v>
      </c>
      <c r="R5" s="21">
        <f t="shared" si="1"/>
        <v>0.1323889433004842</v>
      </c>
      <c r="S5" s="21">
        <f t="shared" si="1"/>
        <v>0.13064822119758082</v>
      </c>
      <c r="T5" s="21">
        <f t="shared" si="1"/>
        <v>0.12866711246795609</v>
      </c>
      <c r="U5" s="21">
        <f t="shared" si="1"/>
        <v>0.12649448399354526</v>
      </c>
      <c r="V5" s="21">
        <f t="shared" si="1"/>
        <v>0.12417170426231046</v>
      </c>
      <c r="W5" s="21">
        <f t="shared" si="1"/>
        <v>0.12173374485964185</v>
      </c>
      <c r="X5" s="21">
        <f t="shared" si="1"/>
        <v>0.11921012146548797</v>
      </c>
      <c r="Y5" s="21">
        <f t="shared" si="1"/>
        <v>0.11662569770565566</v>
      </c>
      <c r="Z5" s="21">
        <f t="shared" si="1"/>
        <v>0.11400137181005734</v>
      </c>
    </row>
    <row r="6" spans="1:26" x14ac:dyDescent="0.2">
      <c r="A6" s="20">
        <f t="shared" si="2"/>
        <v>3</v>
      </c>
      <c r="B6" s="21">
        <f t="shared" si="0"/>
        <v>3.6481372058442041E-2</v>
      </c>
      <c r="C6" s="21">
        <f t="shared" si="0"/>
        <v>6.9648825187064778E-2</v>
      </c>
      <c r="D6" s="21">
        <f t="shared" si="0"/>
        <v>9.8453200739003724E-2</v>
      </c>
      <c r="E6" s="21">
        <f t="shared" si="0"/>
        <v>0.12222665712354949</v>
      </c>
      <c r="F6" s="21">
        <f t="shared" si="0"/>
        <v>0.14146938618447244</v>
      </c>
      <c r="G6" s="21">
        <f t="shared" si="0"/>
        <v>0.15687051717287817</v>
      </c>
      <c r="H6" s="21">
        <f t="shared" si="0"/>
        <v>0.16901811098671093</v>
      </c>
      <c r="I6" s="21">
        <f t="shared" si="0"/>
        <v>0.17841388193177143</v>
      </c>
      <c r="J6" s="21">
        <f t="shared" si="0"/>
        <v>0.18548577791294796</v>
      </c>
      <c r="K6" s="21">
        <f t="shared" si="0"/>
        <v>0.19059873050969017</v>
      </c>
      <c r="L6" s="21">
        <f t="shared" si="1"/>
        <v>0.19406384109643024</v>
      </c>
      <c r="M6" s="21">
        <f t="shared" si="1"/>
        <v>0.19614623046206392</v>
      </c>
      <c r="N6" s="21">
        <f t="shared" si="1"/>
        <v>0.197071746304886</v>
      </c>
      <c r="O6" s="21">
        <f t="shared" si="1"/>
        <v>0.19703269471194867</v>
      </c>
      <c r="P6" s="21">
        <f t="shared" si="1"/>
        <v>0.19619273757515868</v>
      </c>
      <c r="Q6" s="21">
        <f t="shared" si="1"/>
        <v>0.19469107725273266</v>
      </c>
      <c r="R6" s="21">
        <f t="shared" si="1"/>
        <v>0.19264603214303391</v>
      </c>
      <c r="S6" s="21">
        <f t="shared" si="1"/>
        <v>0.19015809176173304</v>
      </c>
      <c r="T6" s="21">
        <f t="shared" si="1"/>
        <v>0.18731252702958812</v>
      </c>
      <c r="U6" s="21">
        <f t="shared" si="1"/>
        <v>0.18418162046808903</v>
      </c>
      <c r="V6" s="21">
        <f t="shared" si="1"/>
        <v>0.18082657159129781</v>
      </c>
      <c r="W6" s="21">
        <f t="shared" si="1"/>
        <v>0.17729912474159029</v>
      </c>
      <c r="X6" s="21">
        <f t="shared" si="1"/>
        <v>0.17364295974568816</v>
      </c>
      <c r="Y6" s="21">
        <f t="shared" si="1"/>
        <v>0.16989487989531696</v>
      </c>
      <c r="Z6" s="21">
        <f t="shared" si="1"/>
        <v>0.16608582673871811</v>
      </c>
    </row>
    <row r="7" spans="1:26" x14ac:dyDescent="0.2">
      <c r="A7" s="20">
        <f t="shared" si="2"/>
        <v>4</v>
      </c>
      <c r="B7" s="21">
        <f t="shared" si="0"/>
        <v>4.4620179627308201E-2</v>
      </c>
      <c r="C7" s="21">
        <f t="shared" si="0"/>
        <v>8.5650582572063566E-2</v>
      </c>
      <c r="D7" s="21">
        <f t="shared" si="0"/>
        <v>0.12222665712354949</v>
      </c>
      <c r="E7" s="21">
        <f t="shared" si="0"/>
        <v>0.15356054828240795</v>
      </c>
      <c r="F7" s="21">
        <f t="shared" si="0"/>
        <v>0.17919471431634917</v>
      </c>
      <c r="G7" s="21">
        <f t="shared" si="0"/>
        <v>0.19974926825408731</v>
      </c>
      <c r="H7" s="21">
        <f t="shared" si="0"/>
        <v>0.21600100325025484</v>
      </c>
      <c r="I7" s="21">
        <f t="shared" si="0"/>
        <v>0.22861267466075302</v>
      </c>
      <c r="J7" s="21">
        <f t="shared" si="0"/>
        <v>0.23814961409765009</v>
      </c>
      <c r="K7" s="21">
        <f t="shared" si="0"/>
        <v>0.24509392655440268</v>
      </c>
      <c r="L7" s="21">
        <f t="shared" si="1"/>
        <v>0.24985662210422493</v>
      </c>
      <c r="M7" s="21">
        <f t="shared" si="1"/>
        <v>0.25278798255692181</v>
      </c>
      <c r="N7" s="21">
        <f t="shared" si="1"/>
        <v>0.25418641977570666</v>
      </c>
      <c r="O7" s="21">
        <f t="shared" si="1"/>
        <v>0.25430604502440896</v>
      </c>
      <c r="P7" s="21">
        <f t="shared" si="1"/>
        <v>0.25336313681320227</v>
      </c>
      <c r="Q7" s="21">
        <f t="shared" si="1"/>
        <v>0.25154166744807765</v>
      </c>
      <c r="R7" s="21">
        <f t="shared" si="1"/>
        <v>0.24899802519106615</v>
      </c>
      <c r="S7" s="21">
        <f t="shared" si="1"/>
        <v>0.24586504902812528</v>
      </c>
      <c r="T7" s="21">
        <f t="shared" si="1"/>
        <v>0.24225547602692832</v>
      </c>
      <c r="U7" s="21">
        <f t="shared" si="1"/>
        <v>0.23826488672647189</v>
      </c>
      <c r="V7" s="21">
        <f t="shared" si="1"/>
        <v>0.23397422157461675</v>
      </c>
      <c r="W7" s="21">
        <f t="shared" si="1"/>
        <v>0.22945193081089624</v>
      </c>
      <c r="X7" s="21">
        <f t="shared" si="1"/>
        <v>0.2247558111173818</v>
      </c>
      <c r="Y7" s="21">
        <f t="shared" si="1"/>
        <v>0.21993457460552016</v>
      </c>
      <c r="Z7" s="21">
        <f t="shared" si="1"/>
        <v>0.21502918907973381</v>
      </c>
    </row>
    <row r="8" spans="1:26" x14ac:dyDescent="0.2">
      <c r="A8" s="20">
        <f t="shared" si="2"/>
        <v>5</v>
      </c>
      <c r="B8" s="21">
        <f t="shared" si="0"/>
        <v>5.1196521897758376E-2</v>
      </c>
      <c r="C8" s="21">
        <f t="shared" si="0"/>
        <v>9.8588881895959588E-2</v>
      </c>
      <c r="D8" s="21">
        <f t="shared" si="0"/>
        <v>0.14146938618447244</v>
      </c>
      <c r="E8" s="21">
        <f t="shared" si="0"/>
        <v>0.17919471431634917</v>
      </c>
      <c r="F8" s="21">
        <f t="shared" si="0"/>
        <v>0.21116851070685932</v>
      </c>
      <c r="G8" s="21">
        <f t="shared" si="0"/>
        <v>0.2370846193394231</v>
      </c>
      <c r="H8" s="21">
        <f t="shared" si="0"/>
        <v>0.25763606652730942</v>
      </c>
      <c r="I8" s="21">
        <f t="shared" si="0"/>
        <v>0.273647976286575</v>
      </c>
      <c r="J8" s="21">
        <f t="shared" si="0"/>
        <v>0.28582421254427759</v>
      </c>
      <c r="K8" s="21">
        <f t="shared" si="0"/>
        <v>0.29476504894825534</v>
      </c>
      <c r="L8" s="21">
        <f t="shared" si="1"/>
        <v>0.30098226806151834</v>
      </c>
      <c r="M8" s="21">
        <f t="shared" si="1"/>
        <v>0.3049120637979546</v>
      </c>
      <c r="N8" s="21">
        <f t="shared" si="1"/>
        <v>0.30692606658764254</v>
      </c>
      <c r="O8" s="21">
        <f t="shared" si="1"/>
        <v>0.30734076429812024</v>
      </c>
      <c r="P8" s="21">
        <f t="shared" si="1"/>
        <v>0.30642555223271511</v>
      </c>
      <c r="Q8" s="21">
        <f t="shared" si="1"/>
        <v>0.30440961159588953</v>
      </c>
      <c r="R8" s="21">
        <f t="shared" si="1"/>
        <v>0.30148778681882643</v>
      </c>
      <c r="S8" s="21">
        <f t="shared" si="1"/>
        <v>0.29782560735857594</v>
      </c>
      <c r="T8" s="21">
        <f t="shared" si="1"/>
        <v>0.29356357840778874</v>
      </c>
      <c r="U8" s="21">
        <f t="shared" si="1"/>
        <v>0.28882084685531462</v>
      </c>
      <c r="V8" s="21">
        <f t="shared" si="1"/>
        <v>0.28369833337291844</v>
      </c>
      <c r="W8" s="21">
        <f t="shared" si="1"/>
        <v>0.27828140828733128</v>
      </c>
      <c r="X8" s="21">
        <f t="shared" si="1"/>
        <v>0.27264217760276721</v>
      </c>
      <c r="Y8" s="21">
        <f t="shared" si="1"/>
        <v>0.2668414358873894</v>
      </c>
      <c r="Z8" s="21">
        <f t="shared" si="1"/>
        <v>0.26093033448916125</v>
      </c>
    </row>
    <row r="9" spans="1:26" x14ac:dyDescent="0.2">
      <c r="A9" s="20">
        <f t="shared" si="2"/>
        <v>6</v>
      </c>
      <c r="B9" s="21">
        <f t="shared" si="0"/>
        <v>5.6448296456494948E-2</v>
      </c>
      <c r="C9" s="21">
        <f t="shared" si="0"/>
        <v>0.10892997689232642</v>
      </c>
      <c r="D9" s="21">
        <f t="shared" si="0"/>
        <v>0.15687051717287817</v>
      </c>
      <c r="E9" s="21">
        <f t="shared" si="0"/>
        <v>0.19974926825408731</v>
      </c>
      <c r="F9" s="21">
        <f t="shared" si="0"/>
        <v>0.2370846193394231</v>
      </c>
      <c r="G9" s="21">
        <f t="shared" si="0"/>
        <v>0.26842072867466865</v>
      </c>
      <c r="H9" s="21">
        <f t="shared" si="0"/>
        <v>0.29355995182319311</v>
      </c>
      <c r="I9" s="21">
        <f t="shared" si="0"/>
        <v>0.31323474147785341</v>
      </c>
      <c r="J9" s="21">
        <f t="shared" si="0"/>
        <v>0.32829072673077875</v>
      </c>
      <c r="K9" s="21">
        <f t="shared" si="0"/>
        <v>0.33944912568213831</v>
      </c>
      <c r="L9" s="21">
        <f t="shared" si="1"/>
        <v>0.34732487822810071</v>
      </c>
      <c r="M9" s="21">
        <f t="shared" si="1"/>
        <v>0.35244214077120412</v>
      </c>
      <c r="N9" s="21">
        <f t="shared" si="1"/>
        <v>0.35524752652422209</v>
      </c>
      <c r="O9" s="21">
        <f t="shared" si="1"/>
        <v>0.35612141928285157</v>
      </c>
      <c r="P9" s="21">
        <f t="shared" si="1"/>
        <v>0.35538764086082925</v>
      </c>
      <c r="Q9" s="21">
        <f t="shared" si="1"/>
        <v>0.35332171163344672</v>
      </c>
      <c r="R9" s="21">
        <f t="shared" si="1"/>
        <v>0.35015790881349068</v>
      </c>
      <c r="S9" s="21">
        <f t="shared" si="1"/>
        <v>0.34609529732564431</v>
      </c>
      <c r="T9" s="21">
        <f t="shared" si="1"/>
        <v>0.34130288271494563</v>
      </c>
      <c r="U9" s="21">
        <f t="shared" si="1"/>
        <v>0.33592401379265735</v>
      </c>
      <c r="V9" s="21">
        <f t="shared" si="1"/>
        <v>0.33008014415107073</v>
      </c>
      <c r="W9" s="21">
        <f t="shared" si="1"/>
        <v>0.32387404580774054</v>
      </c>
      <c r="X9" s="21">
        <f t="shared" si="1"/>
        <v>0.31739255467665944</v>
      </c>
      <c r="Y9" s="21">
        <f t="shared" si="1"/>
        <v>0.31070891597330008</v>
      </c>
      <c r="Z9" s="21">
        <f t="shared" si="1"/>
        <v>0.30388478775542616</v>
      </c>
    </row>
    <row r="10" spans="1:26" x14ac:dyDescent="0.2">
      <c r="A10" s="20">
        <f t="shared" si="2"/>
        <v>7</v>
      </c>
      <c r="B10" s="21">
        <f t="shared" si="0"/>
        <v>6.0578504010412738E-2</v>
      </c>
      <c r="C10" s="21">
        <f t="shared" si="0"/>
        <v>0.11707173204889391</v>
      </c>
      <c r="D10" s="21">
        <f t="shared" si="0"/>
        <v>0.16901811098671093</v>
      </c>
      <c r="E10" s="21">
        <f t="shared" si="0"/>
        <v>0.21600100325025484</v>
      </c>
      <c r="F10" s="21">
        <f t="shared" si="0"/>
        <v>0.25763606652730942</v>
      </c>
      <c r="G10" s="21">
        <f t="shared" si="0"/>
        <v>0.29355995182319311</v>
      </c>
      <c r="H10" s="21">
        <f t="shared" si="0"/>
        <v>0.32342008766992492</v>
      </c>
      <c r="I10" s="21">
        <f t="shared" si="0"/>
        <v>0.34709617111441904</v>
      </c>
      <c r="J10" s="21">
        <f t="shared" si="0"/>
        <v>0.36533642031237623</v>
      </c>
      <c r="K10" s="21">
        <f t="shared" si="0"/>
        <v>0.37898749592284753</v>
      </c>
      <c r="L10" s="21">
        <f t="shared" si="1"/>
        <v>0.38877135131426011</v>
      </c>
      <c r="M10" s="21">
        <f t="shared" si="1"/>
        <v>0.39530341256390711</v>
      </c>
      <c r="N10" s="21">
        <f t="shared" si="1"/>
        <v>0.39910811339798463</v>
      </c>
      <c r="O10" s="21">
        <f t="shared" si="1"/>
        <v>0.40063216976186522</v>
      </c>
      <c r="P10" s="21">
        <f t="shared" si="1"/>
        <v>0.40025592276631422</v>
      </c>
      <c r="Q10" s="21">
        <f t="shared" si="1"/>
        <v>0.39830303094697406</v>
      </c>
      <c r="R10" s="21">
        <f t="shared" si="1"/>
        <v>0.39504875191856276</v>
      </c>
      <c r="S10" s="21">
        <f t="shared" si="1"/>
        <v>0.3907270185907899</v>
      </c>
      <c r="T10" s="21">
        <f t="shared" si="1"/>
        <v>0.38553648527596368</v>
      </c>
      <c r="U10" s="21">
        <f t="shared" si="1"/>
        <v>0.37964569352026889</v>
      </c>
      <c r="V10" s="21">
        <f t="shared" si="1"/>
        <v>0.37319748570073574</v>
      </c>
      <c r="W10" s="21">
        <f t="shared" si="1"/>
        <v>0.3663127758087647</v>
      </c>
      <c r="X10" s="21">
        <f t="shared" si="1"/>
        <v>0.35909377092789035</v>
      </c>
      <c r="Y10" s="21">
        <f t="shared" si="1"/>
        <v>0.3516267233144667</v>
      </c>
      <c r="Z10" s="21">
        <f t="shared" si="1"/>
        <v>0.34398428136859194</v>
      </c>
    </row>
    <row r="11" spans="1:26" x14ac:dyDescent="0.2">
      <c r="A11" s="20">
        <f t="shared" si="2"/>
        <v>8</v>
      </c>
      <c r="B11" s="21">
        <f t="shared" si="0"/>
        <v>6.3760331700310022E-2</v>
      </c>
      <c r="C11" s="21">
        <f t="shared" si="0"/>
        <v>0.12335358450736826</v>
      </c>
      <c r="D11" s="21">
        <f t="shared" si="0"/>
        <v>0.17841388193177143</v>
      </c>
      <c r="E11" s="21">
        <f t="shared" si="0"/>
        <v>0.22861267466075302</v>
      </c>
      <c r="F11" s="21">
        <f t="shared" si="0"/>
        <v>0.273647976286575</v>
      </c>
      <c r="G11" s="21">
        <f t="shared" si="0"/>
        <v>0.31323474147785341</v>
      </c>
      <c r="H11" s="21">
        <f t="shared" si="0"/>
        <v>0.34709617111441904</v>
      </c>
      <c r="I11" s="21">
        <f t="shared" si="0"/>
        <v>0.37495575521919566</v>
      </c>
      <c r="J11" s="21">
        <f t="shared" si="0"/>
        <v>0.3967479003496126</v>
      </c>
      <c r="K11" s="21">
        <f t="shared" si="0"/>
        <v>0.41322005950579976</v>
      </c>
      <c r="L11" s="21">
        <f t="shared" si="1"/>
        <v>0.42520650254129444</v>
      </c>
      <c r="M11" s="21">
        <f t="shared" si="1"/>
        <v>0.4334184683455698</v>
      </c>
      <c r="N11" s="21">
        <f t="shared" si="1"/>
        <v>0.43846210460542057</v>
      </c>
      <c r="O11" s="21">
        <f t="shared" si="1"/>
        <v>0.4408537973434537</v>
      </c>
      <c r="P11" s="21">
        <f t="shared" si="1"/>
        <v>0.44103326986012159</v>
      </c>
      <c r="Q11" s="21">
        <f t="shared" si="1"/>
        <v>0.43937477549799298</v>
      </c>
      <c r="R11" s="21">
        <f t="shared" si="1"/>
        <v>0.43619666146774999</v>
      </c>
      <c r="S11" s="21">
        <f t="shared" si="1"/>
        <v>0.43176954065719514</v>
      </c>
      <c r="T11" s="21">
        <f t="shared" si="1"/>
        <v>0.42632327388960123</v>
      </c>
      <c r="U11" s="21">
        <f t="shared" si="1"/>
        <v>0.4200529356533787</v>
      </c>
      <c r="V11" s="21">
        <f t="shared" si="1"/>
        <v>0.41312391116260738</v>
      </c>
      <c r="W11" s="21">
        <f t="shared" si="1"/>
        <v>0.40567625110479627</v>
      </c>
      <c r="X11" s="21">
        <f t="shared" si="1"/>
        <v>0.39782839205614301</v>
      </c>
      <c r="Y11" s="21">
        <f t="shared" si="1"/>
        <v>0.38968033484082265</v>
      </c>
      <c r="Z11" s="21">
        <f t="shared" si="1"/>
        <v>0.38131635969080785</v>
      </c>
    </row>
    <row r="12" spans="1:26" x14ac:dyDescent="0.2">
      <c r="A12" s="20">
        <f t="shared" si="2"/>
        <v>9</v>
      </c>
      <c r="B12" s="21">
        <f t="shared" si="0"/>
        <v>6.6141496941423308E-2</v>
      </c>
      <c r="C12" s="21">
        <f t="shared" si="0"/>
        <v>0.12806505680261238</v>
      </c>
      <c r="D12" s="21">
        <f t="shared" si="0"/>
        <v>0.18548577791294796</v>
      </c>
      <c r="E12" s="21">
        <f t="shared" si="0"/>
        <v>0.23814961409765009</v>
      </c>
      <c r="F12" s="21">
        <f t="shared" si="0"/>
        <v>0.28582421254427759</v>
      </c>
      <c r="G12" s="21">
        <f t="shared" si="0"/>
        <v>0.32829072673077875</v>
      </c>
      <c r="H12" s="21">
        <f t="shared" si="0"/>
        <v>0.36533642031237623</v>
      </c>
      <c r="I12" s="21">
        <f t="shared" si="0"/>
        <v>0.3967479003496126</v>
      </c>
      <c r="J12" s="21">
        <f t="shared" si="0"/>
        <v>0.42230483701896687</v>
      </c>
      <c r="K12" s="21">
        <f t="shared" si="0"/>
        <v>0.44197994107150357</v>
      </c>
      <c r="L12" s="21">
        <f t="shared" si="1"/>
        <v>0.45650853398482977</v>
      </c>
      <c r="M12" s="21">
        <f t="shared" si="1"/>
        <v>0.4667034458241564</v>
      </c>
      <c r="N12" s="21">
        <f t="shared" si="1"/>
        <v>0.4732574867997415</v>
      </c>
      <c r="O12" s="21">
        <f t="shared" si="1"/>
        <v>0.47676095215005504</v>
      </c>
      <c r="P12" s="21">
        <f t="shared" si="1"/>
        <v>0.4777165799588512</v>
      </c>
      <c r="Q12" s="21">
        <f t="shared" si="1"/>
        <v>0.4765523323504865</v>
      </c>
      <c r="R12" s="21">
        <f t="shared" si="1"/>
        <v>0.47363231663529787</v>
      </c>
      <c r="S12" s="21">
        <f t="shared" si="1"/>
        <v>0.46926611693870884</v>
      </c>
      <c r="T12" s="21">
        <f t="shared" si="1"/>
        <v>0.46371676750464952</v>
      </c>
      <c r="U12" s="21">
        <f t="shared" si="1"/>
        <v>0.4572075652422401</v>
      </c>
      <c r="V12" s="21">
        <f t="shared" si="1"/>
        <v>0.44992789035246705</v>
      </c>
      <c r="W12" s="21">
        <f t="shared" si="1"/>
        <v>0.44203817931772688</v>
      </c>
      <c r="X12" s="21">
        <f t="shared" si="1"/>
        <v>0.43367417355400617</v>
      </c>
      <c r="Y12" s="21">
        <f t="shared" si="1"/>
        <v>0.42495054909382152</v>
      </c>
      <c r="Z12" s="21">
        <f t="shared" si="1"/>
        <v>0.41596401734411254</v>
      </c>
    </row>
    <row r="13" spans="1:26" x14ac:dyDescent="0.2">
      <c r="A13" s="20">
        <f t="shared" si="2"/>
        <v>10</v>
      </c>
      <c r="B13" s="21">
        <f t="shared" si="0"/>
        <v>6.7847959334427832E-2</v>
      </c>
      <c r="C13" s="21">
        <f t="shared" si="0"/>
        <v>0.131453031196543</v>
      </c>
      <c r="D13" s="21">
        <f t="shared" si="0"/>
        <v>0.19059873050969017</v>
      </c>
      <c r="E13" s="21">
        <f t="shared" si="0"/>
        <v>0.24509392655440268</v>
      </c>
      <c r="F13" s="21">
        <f t="shared" si="0"/>
        <v>0.29476504894825534</v>
      </c>
      <c r="G13" s="21">
        <f t="shared" si="0"/>
        <v>0.33944912568213831</v>
      </c>
      <c r="H13" s="21">
        <f t="shared" si="0"/>
        <v>0.37898749592284753</v>
      </c>
      <c r="I13" s="21">
        <f t="shared" si="0"/>
        <v>0.41322005950579976</v>
      </c>
      <c r="J13" s="21">
        <f t="shared" si="0"/>
        <v>0.44197994107150357</v>
      </c>
      <c r="K13" s="21">
        <f t="shared" si="0"/>
        <v>0.46508846006737398</v>
      </c>
      <c r="L13" s="21">
        <f t="shared" si="1"/>
        <v>0.48254476527647172</v>
      </c>
      <c r="M13" s="21">
        <f t="shared" si="1"/>
        <v>0.4950644112003455</v>
      </c>
      <c r="N13" s="21">
        <f t="shared" si="1"/>
        <v>0.50343288988077739</v>
      </c>
      <c r="O13" s="21">
        <f t="shared" si="1"/>
        <v>0.50831955949618279</v>
      </c>
      <c r="P13" s="21">
        <f t="shared" si="1"/>
        <v>0.51029458665489424</v>
      </c>
      <c r="Q13" s="21">
        <f t="shared" si="1"/>
        <v>0.5098434233650696</v>
      </c>
      <c r="R13" s="21">
        <f t="shared" si="1"/>
        <v>0.50737917724024273</v>
      </c>
      <c r="S13" s="21">
        <f t="shared" si="1"/>
        <v>0.50325318135536246</v>
      </c>
      <c r="T13" s="21">
        <f t="shared" si="1"/>
        <v>0.49776402560702354</v>
      </c>
      <c r="U13" s="21">
        <f t="shared" si="1"/>
        <v>0.49116527335073673</v>
      </c>
      <c r="V13" s="21">
        <f t="shared" si="1"/>
        <v>0.48367205454510537</v>
      </c>
      <c r="W13" s="21">
        <f t="shared" si="1"/>
        <v>0.4754666988223617</v>
      </c>
      <c r="X13" s="21">
        <f t="shared" si="1"/>
        <v>0.46670354813861081</v>
      </c>
      <c r="Y13" s="21">
        <f t="shared" si="1"/>
        <v>0.45751306834722211</v>
      </c>
      <c r="Z13" s="21">
        <f t="shared" si="1"/>
        <v>0.44800536168245508</v>
      </c>
    </row>
    <row r="14" spans="1:26" x14ac:dyDescent="0.2">
      <c r="A14" s="20">
        <f t="shared" si="2"/>
        <v>11</v>
      </c>
      <c r="B14" s="21">
        <f t="shared" ref="B14:K23" si="3">EXP(-UFR*($A14+B$2))*(Alpha*MIN($A14,B$2)-0.5*EXP(-Alpha*MAX($A14,B$2))*(EXP(Alpha*MIN($A14,B$2))-EXP(-Alpha*MIN($A14,B$2))))</f>
        <v>6.8987092550964191E-2</v>
      </c>
      <c r="C14" s="21">
        <f t="shared" si="3"/>
        <v>0.13372796571291276</v>
      </c>
      <c r="D14" s="21">
        <f t="shared" si="3"/>
        <v>0.19406384109643024</v>
      </c>
      <c r="E14" s="21">
        <f t="shared" si="3"/>
        <v>0.24985662210422493</v>
      </c>
      <c r="F14" s="21">
        <f t="shared" si="3"/>
        <v>0.30098226806151834</v>
      </c>
      <c r="G14" s="21">
        <f t="shared" si="3"/>
        <v>0.34732487822810071</v>
      </c>
      <c r="H14" s="21">
        <f t="shared" si="3"/>
        <v>0.38877135131426011</v>
      </c>
      <c r="I14" s="21">
        <f t="shared" si="3"/>
        <v>0.42520650254129444</v>
      </c>
      <c r="J14" s="21">
        <f t="shared" si="3"/>
        <v>0.45650853398482977</v>
      </c>
      <c r="K14" s="21">
        <f t="shared" si="3"/>
        <v>0.48254476527647172</v>
      </c>
      <c r="L14" s="21">
        <f t="shared" ref="L14:Z23" si="4">EXP(-UFR*($A14+L$2))*(Alpha*MIN($A14,L$2)-0.5*EXP(-Alpha*MAX($A14,L$2))*(EXP(Alpha*MIN($A14,L$2))-EXP(-Alpha*MIN($A14,L$2))))</f>
        <v>0.50316754102110628</v>
      </c>
      <c r="M14" s="21">
        <f t="shared" si="4"/>
        <v>0.518393889173698</v>
      </c>
      <c r="N14" s="21">
        <f t="shared" si="4"/>
        <v>0.52891464827778834</v>
      </c>
      <c r="O14" s="21">
        <f t="shared" si="4"/>
        <v>0.53548433443640475</v>
      </c>
      <c r="P14" s="21">
        <f t="shared" si="4"/>
        <v>0.53874576048398692</v>
      </c>
      <c r="Q14" s="21">
        <f t="shared" si="4"/>
        <v>0.53924633605295191</v>
      </c>
      <c r="R14" s="21">
        <f t="shared" si="4"/>
        <v>0.53745199565304425</v>
      </c>
      <c r="S14" s="21">
        <f t="shared" si="4"/>
        <v>0.53375909975085989</v>
      </c>
      <c r="T14" s="21">
        <f t="shared" si="4"/>
        <v>0.52850460366634866</v>
      </c>
      <c r="U14" s="21">
        <f t="shared" si="4"/>
        <v>0.52197474622854356</v>
      </c>
      <c r="V14" s="21">
        <f t="shared" si="4"/>
        <v>0.51441247349322305</v>
      </c>
      <c r="W14" s="21">
        <f t="shared" si="4"/>
        <v>0.506023781513951</v>
      </c>
      <c r="X14" s="21">
        <f t="shared" si="4"/>
        <v>0.49698313540011807</v>
      </c>
      <c r="Y14" s="21">
        <f t="shared" si="4"/>
        <v>0.48743809902903434</v>
      </c>
      <c r="Z14" s="21">
        <f t="shared" si="4"/>
        <v>0.47751329023791922</v>
      </c>
    </row>
    <row r="15" spans="1:26" x14ac:dyDescent="0.2">
      <c r="A15" s="20">
        <f t="shared" si="2"/>
        <v>12</v>
      </c>
      <c r="B15" s="21">
        <f t="shared" si="3"/>
        <v>6.9650394732541018E-2</v>
      </c>
      <c r="C15" s="21">
        <f t="shared" si="3"/>
        <v>0.13506920578708842</v>
      </c>
      <c r="D15" s="21">
        <f t="shared" si="3"/>
        <v>0.19614623046206392</v>
      </c>
      <c r="E15" s="21">
        <f t="shared" si="3"/>
        <v>0.25278798255692181</v>
      </c>
      <c r="F15" s="21">
        <f t="shared" si="3"/>
        <v>0.3049120637979546</v>
      </c>
      <c r="G15" s="21">
        <f t="shared" si="3"/>
        <v>0.35244214077120412</v>
      </c>
      <c r="H15" s="21">
        <f t="shared" si="3"/>
        <v>0.39530341256390711</v>
      </c>
      <c r="I15" s="21">
        <f t="shared" si="3"/>
        <v>0.4334184683455698</v>
      </c>
      <c r="J15" s="21">
        <f t="shared" si="3"/>
        <v>0.4667034458241564</v>
      </c>
      <c r="K15" s="21">
        <f t="shared" si="3"/>
        <v>0.4950644112003455</v>
      </c>
      <c r="L15" s="21">
        <f t="shared" si="4"/>
        <v>0.518393889173698</v>
      </c>
      <c r="M15" s="21">
        <f t="shared" si="4"/>
        <v>0.53656747794792836</v>
      </c>
      <c r="N15" s="21">
        <f t="shared" si="4"/>
        <v>0.54961393396354874</v>
      </c>
      <c r="O15" s="21">
        <f t="shared" si="4"/>
        <v>0.55819635673177637</v>
      </c>
      <c r="P15" s="21">
        <f t="shared" si="4"/>
        <v>0.56303626086839675</v>
      </c>
      <c r="Q15" s="21">
        <f t="shared" si="4"/>
        <v>0.56474819698914425</v>
      </c>
      <c r="R15" s="21">
        <f t="shared" si="4"/>
        <v>0.56385536426338745</v>
      </c>
      <c r="S15" s="21">
        <f t="shared" si="4"/>
        <v>0.56080295091365195</v>
      </c>
      <c r="T15" s="21">
        <f t="shared" si="4"/>
        <v>0.55596953311707209</v>
      </c>
      <c r="U15" s="21">
        <f t="shared" si="4"/>
        <v>0.54967681470744889</v>
      </c>
      <c r="V15" s="21">
        <f t="shared" si="4"/>
        <v>0.54219794900787899</v>
      </c>
      <c r="W15" s="21">
        <f t="shared" si="4"/>
        <v>0.53376464902762355</v>
      </c>
      <c r="X15" s="21">
        <f t="shared" si="4"/>
        <v>0.52457326226444001</v>
      </c>
      <c r="Y15" s="21">
        <f t="shared" si="4"/>
        <v>0.51478996072281358</v>
      </c>
      <c r="Z15" s="21">
        <f t="shared" si="4"/>
        <v>0.50455517485508172</v>
      </c>
    </row>
    <row r="16" spans="1:26" x14ac:dyDescent="0.2">
      <c r="A16" s="20">
        <f t="shared" si="2"/>
        <v>13</v>
      </c>
      <c r="B16" s="21">
        <f t="shared" si="3"/>
        <v>6.9915804520076494E-2</v>
      </c>
      <c r="C16" s="21">
        <f t="shared" si="3"/>
        <v>0.13562952306182938</v>
      </c>
      <c r="D16" s="21">
        <f t="shared" si="3"/>
        <v>0.197071746304886</v>
      </c>
      <c r="E16" s="21">
        <f t="shared" si="3"/>
        <v>0.25418641977570666</v>
      </c>
      <c r="F16" s="21">
        <f t="shared" si="3"/>
        <v>0.30692606658764254</v>
      </c>
      <c r="G16" s="21">
        <f t="shared" si="3"/>
        <v>0.35524752652422209</v>
      </c>
      <c r="H16" s="21">
        <f t="shared" si="3"/>
        <v>0.39910811339798463</v>
      </c>
      <c r="I16" s="21">
        <f t="shared" si="3"/>
        <v>0.43846210460542057</v>
      </c>
      <c r="J16" s="21">
        <f t="shared" si="3"/>
        <v>0.4732574867997415</v>
      </c>
      <c r="K16" s="21">
        <f t="shared" si="3"/>
        <v>0.50343288988077739</v>
      </c>
      <c r="L16" s="21">
        <f t="shared" si="4"/>
        <v>0.52891464827778834</v>
      </c>
      <c r="M16" s="21">
        <f t="shared" si="4"/>
        <v>0.54961393396354874</v>
      </c>
      <c r="N16" s="21">
        <f t="shared" si="4"/>
        <v>0.56542390994339176</v>
      </c>
      <c r="O16" s="21">
        <f t="shared" si="4"/>
        <v>0.5763806624614064</v>
      </c>
      <c r="P16" s="21">
        <f t="shared" si="4"/>
        <v>0.5831179014563771</v>
      </c>
      <c r="Q16" s="21">
        <f t="shared" si="4"/>
        <v>0.5863232558688739</v>
      </c>
      <c r="R16" s="21">
        <f t="shared" si="4"/>
        <v>0.58658227126118279</v>
      </c>
      <c r="S16" s="21">
        <f t="shared" si="4"/>
        <v>0.58439331394207561</v>
      </c>
      <c r="T16" s="21">
        <f t="shared" si="4"/>
        <v>0.58018030602229531</v>
      </c>
      <c r="U16" s="21">
        <f t="shared" si="4"/>
        <v>0.57430360688146775</v>
      </c>
      <c r="V16" s="21">
        <f t="shared" si="4"/>
        <v>0.56706931064747557</v>
      </c>
      <c r="W16" s="21">
        <f t="shared" si="4"/>
        <v>0.55873719008167411</v>
      </c>
      <c r="X16" s="21">
        <f t="shared" si="4"/>
        <v>0.54952748375743865</v>
      </c>
      <c r="Y16" s="21">
        <f t="shared" si="4"/>
        <v>0.53962669478621927</v>
      </c>
      <c r="Z16" s="21">
        <f t="shared" si="4"/>
        <v>0.52919254487596934</v>
      </c>
    </row>
    <row r="17" spans="1:26" x14ac:dyDescent="0.2">
      <c r="A17" s="20">
        <f t="shared" si="2"/>
        <v>14</v>
      </c>
      <c r="B17" s="21">
        <f t="shared" si="3"/>
        <v>6.9849680070727768E-2</v>
      </c>
      <c r="C17" s="21">
        <f t="shared" si="3"/>
        <v>0.13553899373201439</v>
      </c>
      <c r="D17" s="21">
        <f t="shared" si="3"/>
        <v>0.19703269471194867</v>
      </c>
      <c r="E17" s="21">
        <f t="shared" si="3"/>
        <v>0.25430604502440896</v>
      </c>
      <c r="F17" s="21">
        <f t="shared" si="3"/>
        <v>0.30734076429812024</v>
      </c>
      <c r="G17" s="21">
        <f t="shared" si="3"/>
        <v>0.35612141928285157</v>
      </c>
      <c r="H17" s="21">
        <f t="shared" si="3"/>
        <v>0.40063216976186522</v>
      </c>
      <c r="I17" s="21">
        <f t="shared" si="3"/>
        <v>0.4408537973434537</v>
      </c>
      <c r="J17" s="21">
        <f t="shared" si="3"/>
        <v>0.47676095215005504</v>
      </c>
      <c r="K17" s="21">
        <f t="shared" si="3"/>
        <v>0.50831955949618279</v>
      </c>
      <c r="L17" s="21">
        <f t="shared" si="4"/>
        <v>0.53548433443640475</v>
      </c>
      <c r="M17" s="21">
        <f t="shared" si="4"/>
        <v>0.55819635673177637</v>
      </c>
      <c r="N17" s="21">
        <f t="shared" si="4"/>
        <v>0.5763806624614064</v>
      </c>
      <c r="O17" s="21">
        <f t="shared" si="4"/>
        <v>0.58994381130650131</v>
      </c>
      <c r="P17" s="21">
        <f t="shared" si="4"/>
        <v>0.59892609387100049</v>
      </c>
      <c r="Q17" s="21">
        <f t="shared" si="4"/>
        <v>0.60393115033484246</v>
      </c>
      <c r="R17" s="21">
        <f t="shared" si="4"/>
        <v>0.60561263922839004</v>
      </c>
      <c r="S17" s="21">
        <f t="shared" si="4"/>
        <v>0.60452704018496073</v>
      </c>
      <c r="T17" s="21">
        <f t="shared" si="4"/>
        <v>0.60114784584180592</v>
      </c>
      <c r="U17" s="21">
        <f t="shared" si="4"/>
        <v>0.5958776882177117</v>
      </c>
      <c r="V17" s="21">
        <f t="shared" si="4"/>
        <v>0.58905869999070537</v>
      </c>
      <c r="W17" s="21">
        <f t="shared" si="4"/>
        <v>0.58098136740932971</v>
      </c>
      <c r="X17" s="21">
        <f t="shared" si="4"/>
        <v>0.57189209423451604</v>
      </c>
      <c r="Y17" s="21">
        <f t="shared" si="4"/>
        <v>0.56199966420231295</v>
      </c>
      <c r="Z17" s="21">
        <f t="shared" si="4"/>
        <v>0.55148076223096354</v>
      </c>
    </row>
    <row r="18" spans="1:26" x14ac:dyDescent="0.2">
      <c r="A18" s="20">
        <f t="shared" si="2"/>
        <v>15</v>
      </c>
      <c r="B18" s="21">
        <f t="shared" si="3"/>
        <v>6.9508490077474686E-2</v>
      </c>
      <c r="C18" s="21">
        <f t="shared" si="3"/>
        <v>0.1349083124948815</v>
      </c>
      <c r="D18" s="21">
        <f t="shared" si="3"/>
        <v>0.19619273757515868</v>
      </c>
      <c r="E18" s="21">
        <f t="shared" si="3"/>
        <v>0.25336313681320227</v>
      </c>
      <c r="F18" s="21">
        <f t="shared" si="3"/>
        <v>0.30642555223271511</v>
      </c>
      <c r="G18" s="21">
        <f t="shared" si="3"/>
        <v>0.35538764086082925</v>
      </c>
      <c r="H18" s="21">
        <f t="shared" si="3"/>
        <v>0.40025592276631422</v>
      </c>
      <c r="I18" s="21">
        <f t="shared" si="3"/>
        <v>0.44103326986012159</v>
      </c>
      <c r="J18" s="21">
        <f t="shared" si="3"/>
        <v>0.4777165799588512</v>
      </c>
      <c r="K18" s="21">
        <f t="shared" si="3"/>
        <v>0.51029458665489424</v>
      </c>
      <c r="L18" s="21">
        <f t="shared" si="4"/>
        <v>0.53874576048398692</v>
      </c>
      <c r="M18" s="21">
        <f t="shared" si="4"/>
        <v>0.56303626086839675</v>
      </c>
      <c r="N18" s="21">
        <f t="shared" si="4"/>
        <v>0.5831179014563771</v>
      </c>
      <c r="O18" s="21">
        <f t="shared" si="4"/>
        <v>0.59892609387100049</v>
      </c>
      <c r="P18" s="21">
        <f t="shared" si="4"/>
        <v>0.61037773660239758</v>
      </c>
      <c r="Q18" s="21">
        <f t="shared" si="4"/>
        <v>0.61751512317274659</v>
      </c>
      <c r="R18" s="21">
        <f t="shared" si="4"/>
        <v>0.62091182229451236</v>
      </c>
      <c r="S18" s="21">
        <f t="shared" si="4"/>
        <v>0.62118798906096206</v>
      </c>
      <c r="T18" s="21">
        <f t="shared" si="4"/>
        <v>0.61887144664099281</v>
      </c>
      <c r="U18" s="21">
        <f t="shared" si="4"/>
        <v>0.61441117402631451</v>
      </c>
      <c r="V18" s="21">
        <f t="shared" si="4"/>
        <v>0.60818883063585394</v>
      </c>
      <c r="W18" s="21">
        <f t="shared" si="4"/>
        <v>0.60052860331286817</v>
      </c>
      <c r="X18" s="21">
        <f t="shared" si="4"/>
        <v>0.59170561972527735</v>
      </c>
      <c r="Y18" s="21">
        <f t="shared" si="4"/>
        <v>0.58195313669350979</v>
      </c>
      <c r="Z18" s="21">
        <f t="shared" si="4"/>
        <v>0.57146868164450426</v>
      </c>
    </row>
    <row r="19" spans="1:26" x14ac:dyDescent="0.2">
      <c r="A19" s="20">
        <f t="shared" si="2"/>
        <v>16</v>
      </c>
      <c r="B19" s="21">
        <f t="shared" si="3"/>
        <v>6.8940258678748784E-2</v>
      </c>
      <c r="C19" s="21">
        <f t="shared" si="3"/>
        <v>0.13383162419313085</v>
      </c>
      <c r="D19" s="21">
        <f t="shared" si="3"/>
        <v>0.19469107725273266</v>
      </c>
      <c r="E19" s="21">
        <f t="shared" si="3"/>
        <v>0.25154166744807765</v>
      </c>
      <c r="F19" s="21">
        <f t="shared" si="3"/>
        <v>0.30440961159588953</v>
      </c>
      <c r="G19" s="21">
        <f t="shared" si="3"/>
        <v>0.35332171163344672</v>
      </c>
      <c r="H19" s="21">
        <f t="shared" si="3"/>
        <v>0.39830303094697406</v>
      </c>
      <c r="I19" s="21">
        <f t="shared" si="3"/>
        <v>0.43937477549799298</v>
      </c>
      <c r="J19" s="21">
        <f t="shared" si="3"/>
        <v>0.4765523323504865</v>
      </c>
      <c r="K19" s="21">
        <f t="shared" si="3"/>
        <v>0.5098434233650696</v>
      </c>
      <c r="L19" s="21">
        <f t="shared" si="4"/>
        <v>0.53924633605295191</v>
      </c>
      <c r="M19" s="21">
        <f t="shared" si="4"/>
        <v>0.56474819698914425</v>
      </c>
      <c r="N19" s="21">
        <f t="shared" si="4"/>
        <v>0.5863232558688739</v>
      </c>
      <c r="O19" s="21">
        <f t="shared" si="4"/>
        <v>0.60393115033484246</v>
      </c>
      <c r="P19" s="21">
        <f t="shared" si="4"/>
        <v>0.61751512317274659</v>
      </c>
      <c r="Q19" s="21">
        <f t="shared" si="4"/>
        <v>0.62700016442289142</v>
      </c>
      <c r="R19" s="21">
        <f t="shared" si="4"/>
        <v>0.63242903841998444</v>
      </c>
      <c r="S19" s="21">
        <f t="shared" si="4"/>
        <v>0.63434570775248322</v>
      </c>
      <c r="T19" s="21">
        <f t="shared" si="4"/>
        <v>0.63333766366843836</v>
      </c>
      <c r="U19" s="21">
        <f t="shared" si="4"/>
        <v>0.62990479972212965</v>
      </c>
      <c r="V19" s="21">
        <f t="shared" si="4"/>
        <v>0.62447221149918608</v>
      </c>
      <c r="W19" s="21">
        <f t="shared" si="4"/>
        <v>0.61740113324102164</v>
      </c>
      <c r="X19" s="21">
        <f t="shared" si="4"/>
        <v>0.60899828235593889</v>
      </c>
      <c r="Y19" s="21">
        <f t="shared" si="4"/>
        <v>0.59952384339491294</v>
      </c>
      <c r="Z19" s="21">
        <f t="shared" si="4"/>
        <v>0.58919828939181662</v>
      </c>
    </row>
    <row r="20" spans="1:26" x14ac:dyDescent="0.2">
      <c r="A20" s="20">
        <f t="shared" si="2"/>
        <v>17</v>
      </c>
      <c r="B20" s="21">
        <f t="shared" si="3"/>
        <v>6.8185800053836398E-2</v>
      </c>
      <c r="C20" s="21">
        <f t="shared" si="3"/>
        <v>0.1323889433004842</v>
      </c>
      <c r="D20" s="21">
        <f t="shared" si="3"/>
        <v>0.19264603214303391</v>
      </c>
      <c r="E20" s="21">
        <f t="shared" si="3"/>
        <v>0.24899802519106615</v>
      </c>
      <c r="F20" s="21">
        <f t="shared" si="3"/>
        <v>0.30148778681882643</v>
      </c>
      <c r="G20" s="21">
        <f t="shared" si="3"/>
        <v>0.35015790881349068</v>
      </c>
      <c r="H20" s="21">
        <f t="shared" si="3"/>
        <v>0.39504875191856276</v>
      </c>
      <c r="I20" s="21">
        <f t="shared" si="3"/>
        <v>0.43619666146774999</v>
      </c>
      <c r="J20" s="21">
        <f t="shared" si="3"/>
        <v>0.47363231663529787</v>
      </c>
      <c r="K20" s="21">
        <f t="shared" si="3"/>
        <v>0.50737917724024273</v>
      </c>
      <c r="L20" s="21">
        <f t="shared" si="4"/>
        <v>0.53745199565304425</v>
      </c>
      <c r="M20" s="21">
        <f t="shared" si="4"/>
        <v>0.56385536426338745</v>
      </c>
      <c r="N20" s="21">
        <f t="shared" si="4"/>
        <v>0.58658227126118279</v>
      </c>
      <c r="O20" s="21">
        <f t="shared" si="4"/>
        <v>0.60561263922839004</v>
      </c>
      <c r="P20" s="21">
        <f t="shared" si="4"/>
        <v>0.62091182229451236</v>
      </c>
      <c r="Q20" s="21">
        <f t="shared" si="4"/>
        <v>0.63242903841998444</v>
      </c>
      <c r="R20" s="21">
        <f t="shared" si="4"/>
        <v>0.64009571377640861</v>
      </c>
      <c r="S20" s="21">
        <f t="shared" si="4"/>
        <v>0.64395403511516403</v>
      </c>
      <c r="T20" s="21">
        <f t="shared" si="4"/>
        <v>0.6445191385241692</v>
      </c>
      <c r="U20" s="21">
        <f t="shared" si="4"/>
        <v>0.64234693456159475</v>
      </c>
      <c r="V20" s="21">
        <f t="shared" si="4"/>
        <v>0.63791032119868063</v>
      </c>
      <c r="W20" s="21">
        <f t="shared" si="4"/>
        <v>0.63161131697239015</v>
      </c>
      <c r="X20" s="21">
        <f t="shared" si="4"/>
        <v>0.62379142796685927</v>
      </c>
      <c r="Y20" s="21">
        <f t="shared" si="4"/>
        <v>0.61474050551532244</v>
      </c>
      <c r="Z20" s="21">
        <f t="shared" si="4"/>
        <v>0.60470431415469095</v>
      </c>
    </row>
    <row r="21" spans="1:26" x14ac:dyDescent="0.2">
      <c r="A21" s="20">
        <f t="shared" si="2"/>
        <v>18</v>
      </c>
      <c r="B21" s="21">
        <f t="shared" si="3"/>
        <v>6.7279773294082135E-2</v>
      </c>
      <c r="C21" s="21">
        <f t="shared" si="3"/>
        <v>0.13064822119758082</v>
      </c>
      <c r="D21" s="21">
        <f t="shared" si="3"/>
        <v>0.19015809176173304</v>
      </c>
      <c r="E21" s="21">
        <f t="shared" si="3"/>
        <v>0.24586504902812528</v>
      </c>
      <c r="F21" s="21">
        <f t="shared" si="3"/>
        <v>0.29782560735857594</v>
      </c>
      <c r="G21" s="21">
        <f t="shared" si="3"/>
        <v>0.34609529732564431</v>
      </c>
      <c r="H21" s="21">
        <f t="shared" si="3"/>
        <v>0.3907270185907899</v>
      </c>
      <c r="I21" s="21">
        <f t="shared" si="3"/>
        <v>0.43176954065719514</v>
      </c>
      <c r="J21" s="21">
        <f t="shared" si="3"/>
        <v>0.46926611693870884</v>
      </c>
      <c r="K21" s="21">
        <f t="shared" si="3"/>
        <v>0.50325318135536246</v>
      </c>
      <c r="L21" s="21">
        <f t="shared" si="4"/>
        <v>0.53375909975085989</v>
      </c>
      <c r="M21" s="21">
        <f t="shared" si="4"/>
        <v>0.56080295091365195</v>
      </c>
      <c r="N21" s="21">
        <f t="shared" si="4"/>
        <v>0.58439331394207561</v>
      </c>
      <c r="O21" s="21">
        <f t="shared" si="4"/>
        <v>0.60452704018496073</v>
      </c>
      <c r="P21" s="21">
        <f t="shared" si="4"/>
        <v>0.62118798906096206</v>
      </c>
      <c r="Q21" s="21">
        <f t="shared" si="4"/>
        <v>0.63434570775248322</v>
      </c>
      <c r="R21" s="21">
        <f t="shared" si="4"/>
        <v>0.64395403511516403</v>
      </c>
      <c r="S21" s="21">
        <f t="shared" si="4"/>
        <v>0.64994961016620556</v>
      </c>
      <c r="T21" s="21">
        <f t="shared" si="4"/>
        <v>0.65237334215888809</v>
      </c>
      <c r="U21" s="21">
        <f t="shared" si="4"/>
        <v>0.65171252455314055</v>
      </c>
      <c r="V21" s="21">
        <f t="shared" si="4"/>
        <v>0.64849272132149316</v>
      </c>
      <c r="W21" s="21">
        <f t="shared" si="4"/>
        <v>0.64316089699729828</v>
      </c>
      <c r="X21" s="21">
        <f t="shared" si="4"/>
        <v>0.6360969080502179</v>
      </c>
      <c r="Y21" s="21">
        <f t="shared" si="4"/>
        <v>0.62762332142013155</v>
      </c>
      <c r="Z21" s="21">
        <f t="shared" si="4"/>
        <v>0.61801380352880053</v>
      </c>
    </row>
    <row r="22" spans="1:26" x14ac:dyDescent="0.2">
      <c r="A22" s="20">
        <f t="shared" si="2"/>
        <v>19</v>
      </c>
      <c r="B22" s="21">
        <f t="shared" si="3"/>
        <v>6.6251583691254196E-2</v>
      </c>
      <c r="C22" s="21">
        <f t="shared" si="3"/>
        <v>0.12866711246795609</v>
      </c>
      <c r="D22" s="21">
        <f t="shared" si="3"/>
        <v>0.18731252702958812</v>
      </c>
      <c r="E22" s="21">
        <f t="shared" si="3"/>
        <v>0.24225547602692832</v>
      </c>
      <c r="F22" s="21">
        <f t="shared" si="3"/>
        <v>0.29356357840778874</v>
      </c>
      <c r="G22" s="21">
        <f t="shared" si="3"/>
        <v>0.34130288271494563</v>
      </c>
      <c r="H22" s="21">
        <f t="shared" si="3"/>
        <v>0.38553648527596368</v>
      </c>
      <c r="I22" s="21">
        <f t="shared" si="3"/>
        <v>0.42632327388960123</v>
      </c>
      <c r="J22" s="21">
        <f t="shared" si="3"/>
        <v>0.46371676750464952</v>
      </c>
      <c r="K22" s="21">
        <f t="shared" si="3"/>
        <v>0.49776402560702354</v>
      </c>
      <c r="L22" s="21">
        <f t="shared" si="4"/>
        <v>0.52850460366634866</v>
      </c>
      <c r="M22" s="21">
        <f t="shared" si="4"/>
        <v>0.55596953311707209</v>
      </c>
      <c r="N22" s="21">
        <f t="shared" si="4"/>
        <v>0.58018030602229531</v>
      </c>
      <c r="O22" s="21">
        <f t="shared" si="4"/>
        <v>0.60114784584180592</v>
      </c>
      <c r="P22" s="21">
        <f t="shared" si="4"/>
        <v>0.61887144664099281</v>
      </c>
      <c r="Q22" s="21">
        <f t="shared" si="4"/>
        <v>0.63333766366843836</v>
      </c>
      <c r="R22" s="21">
        <f t="shared" si="4"/>
        <v>0.6445191385241692</v>
      </c>
      <c r="S22" s="21">
        <f t="shared" si="4"/>
        <v>0.65237334215888809</v>
      </c>
      <c r="T22" s="21">
        <f t="shared" si="4"/>
        <v>0.65684121870272127</v>
      </c>
      <c r="U22" s="21">
        <f t="shared" si="4"/>
        <v>0.6579619500322188</v>
      </c>
      <c r="V22" s="21">
        <f t="shared" si="4"/>
        <v>0.6561960961957235</v>
      </c>
      <c r="W22" s="21">
        <f t="shared" si="4"/>
        <v>0.65204019353793807</v>
      </c>
      <c r="X22" s="21">
        <f t="shared" si="4"/>
        <v>0.64591640700185637</v>
      </c>
      <c r="Y22" s="21">
        <f t="shared" si="4"/>
        <v>0.63818340645775351</v>
      </c>
      <c r="Z22" s="21">
        <f t="shared" si="4"/>
        <v>0.6291456596382633</v>
      </c>
    </row>
    <row r="23" spans="1:26" x14ac:dyDescent="0.2">
      <c r="A23" s="20">
        <f t="shared" si="2"/>
        <v>20</v>
      </c>
      <c r="B23" s="21">
        <f t="shared" si="3"/>
        <v>6.5126152782713317E-2</v>
      </c>
      <c r="C23" s="21">
        <f t="shared" si="3"/>
        <v>0.12649448399354526</v>
      </c>
      <c r="D23" s="21">
        <f t="shared" si="3"/>
        <v>0.18418162046808903</v>
      </c>
      <c r="E23" s="21">
        <f t="shared" si="3"/>
        <v>0.23826488672647189</v>
      </c>
      <c r="F23" s="21">
        <f t="shared" si="3"/>
        <v>0.28882084685531462</v>
      </c>
      <c r="G23" s="21">
        <f t="shared" si="3"/>
        <v>0.33592401379265735</v>
      </c>
      <c r="H23" s="21">
        <f t="shared" si="3"/>
        <v>0.37964569352026889</v>
      </c>
      <c r="I23" s="21">
        <f t="shared" si="3"/>
        <v>0.4200529356533787</v>
      </c>
      <c r="J23" s="21">
        <f t="shared" si="3"/>
        <v>0.4572075652422401</v>
      </c>
      <c r="K23" s="21">
        <f t="shared" si="3"/>
        <v>0.49116527335073673</v>
      </c>
      <c r="L23" s="21">
        <f t="shared" si="4"/>
        <v>0.52197474622854356</v>
      </c>
      <c r="M23" s="21">
        <f t="shared" si="4"/>
        <v>0.54967681470744889</v>
      </c>
      <c r="N23" s="21">
        <f t="shared" si="4"/>
        <v>0.57430360688146775</v>
      </c>
      <c r="O23" s="21">
        <f t="shared" si="4"/>
        <v>0.5958776882177117</v>
      </c>
      <c r="P23" s="21">
        <f t="shared" si="4"/>
        <v>0.61441117402631451</v>
      </c>
      <c r="Q23" s="21">
        <f t="shared" si="4"/>
        <v>0.62990479972212965</v>
      </c>
      <c r="R23" s="21">
        <f t="shared" si="4"/>
        <v>0.64234693456159475</v>
      </c>
      <c r="S23" s="21">
        <f t="shared" si="4"/>
        <v>0.65171252455314055</v>
      </c>
      <c r="T23" s="21">
        <f t="shared" si="4"/>
        <v>0.6579619500322188</v>
      </c>
      <c r="U23" s="21">
        <f t="shared" si="4"/>
        <v>0.66103978297171817</v>
      </c>
      <c r="V23" s="21">
        <f t="shared" si="4"/>
        <v>0.66098320642724406</v>
      </c>
      <c r="W23" s="21">
        <f t="shared" si="4"/>
        <v>0.65822722533853317</v>
      </c>
      <c r="X23" s="21">
        <f t="shared" si="4"/>
        <v>0.65324070541738977</v>
      </c>
      <c r="Y23" s="21">
        <f t="shared" si="4"/>
        <v>0.64642217762512322</v>
      </c>
      <c r="Z23" s="21">
        <f t="shared" si="4"/>
        <v>0.63811012711936255</v>
      </c>
    </row>
    <row r="24" spans="1:26" x14ac:dyDescent="0.2">
      <c r="A24" s="20">
        <f t="shared" si="2"/>
        <v>21</v>
      </c>
      <c r="B24" s="21">
        <f t="shared" ref="B24:K33" si="5">EXP(-UFR*($A24+B$2))*(Alpha*MIN($A24,B$2)-0.5*EXP(-Alpha*MAX($A24,B$2))*(EXP(Alpha*MIN($A24,B$2))-EXP(-Alpha*MIN($A24,B$2))))</f>
        <v>6.3924576244171943E-2</v>
      </c>
      <c r="C24" s="21">
        <f t="shared" si="5"/>
        <v>0.12417170426231046</v>
      </c>
      <c r="D24" s="21">
        <f t="shared" si="5"/>
        <v>0.18082657159129781</v>
      </c>
      <c r="E24" s="21">
        <f t="shared" si="5"/>
        <v>0.23397422157461675</v>
      </c>
      <c r="F24" s="21">
        <f t="shared" si="5"/>
        <v>0.28369833337291844</v>
      </c>
      <c r="G24" s="21">
        <f t="shared" si="5"/>
        <v>0.33008014415107073</v>
      </c>
      <c r="H24" s="21">
        <f t="shared" si="5"/>
        <v>0.37319748570073574</v>
      </c>
      <c r="I24" s="21">
        <f t="shared" si="5"/>
        <v>0.41312391116260738</v>
      </c>
      <c r="J24" s="21">
        <f t="shared" si="5"/>
        <v>0.44992789035246705</v>
      </c>
      <c r="K24" s="21">
        <f t="shared" si="5"/>
        <v>0.48367205454510537</v>
      </c>
      <c r="L24" s="21">
        <f t="shared" ref="L24:Z33" si="6">EXP(-UFR*($A24+L$2))*(Alpha*MIN($A24,L$2)-0.5*EXP(-Alpha*MAX($A24,L$2))*(EXP(Alpha*MIN($A24,L$2))-EXP(-Alpha*MIN($A24,L$2))))</f>
        <v>0.51441247349322305</v>
      </c>
      <c r="M24" s="21">
        <f t="shared" si="6"/>
        <v>0.54219794900787899</v>
      </c>
      <c r="N24" s="21">
        <f t="shared" si="6"/>
        <v>0.56706931064747557</v>
      </c>
      <c r="O24" s="21">
        <f t="shared" si="6"/>
        <v>0.58905869999070537</v>
      </c>
      <c r="P24" s="21">
        <f t="shared" si="6"/>
        <v>0.60818883063585394</v>
      </c>
      <c r="Q24" s="21">
        <f t="shared" si="6"/>
        <v>0.62447221149918608</v>
      </c>
      <c r="R24" s="21">
        <f t="shared" si="6"/>
        <v>0.63791032119868063</v>
      </c>
      <c r="S24" s="21">
        <f t="shared" si="6"/>
        <v>0.64849272132149316</v>
      </c>
      <c r="T24" s="21">
        <f t="shared" si="6"/>
        <v>0.6561960961957235</v>
      </c>
      <c r="U24" s="21">
        <f t="shared" si="6"/>
        <v>0.66098320642724406</v>
      </c>
      <c r="V24" s="21">
        <f t="shared" si="6"/>
        <v>0.66280174292520988</v>
      </c>
      <c r="W24" s="21">
        <f t="shared" si="6"/>
        <v>0.66168674489763823</v>
      </c>
      <c r="X24" s="21">
        <f t="shared" si="6"/>
        <v>0.65804886976934196</v>
      </c>
      <c r="Y24" s="21">
        <f t="shared" si="6"/>
        <v>0.65233067483109275</v>
      </c>
      <c r="Z24" s="21">
        <f t="shared" si="6"/>
        <v>0.64490822644704493</v>
      </c>
    </row>
    <row r="25" spans="1:26" x14ac:dyDescent="0.2">
      <c r="A25" s="20">
        <f t="shared" si="2"/>
        <v>22</v>
      </c>
      <c r="B25" s="21">
        <f t="shared" si="5"/>
        <v>6.2664685944438997E-2</v>
      </c>
      <c r="C25" s="21">
        <f t="shared" si="5"/>
        <v>0.12173374485964185</v>
      </c>
      <c r="D25" s="21">
        <f t="shared" si="5"/>
        <v>0.17729912474159029</v>
      </c>
      <c r="E25" s="21">
        <f t="shared" si="5"/>
        <v>0.22945193081089624</v>
      </c>
      <c r="F25" s="21">
        <f t="shared" si="5"/>
        <v>0.27828140828733128</v>
      </c>
      <c r="G25" s="21">
        <f t="shared" si="5"/>
        <v>0.32387404580774054</v>
      </c>
      <c r="H25" s="21">
        <f t="shared" si="5"/>
        <v>0.3663127758087647</v>
      </c>
      <c r="I25" s="21">
        <f t="shared" si="5"/>
        <v>0.40567625110479627</v>
      </c>
      <c r="J25" s="21">
        <f t="shared" si="5"/>
        <v>0.44203817931772688</v>
      </c>
      <c r="K25" s="21">
        <f t="shared" si="5"/>
        <v>0.4754666988223617</v>
      </c>
      <c r="L25" s="21">
        <f t="shared" si="6"/>
        <v>0.506023781513951</v>
      </c>
      <c r="M25" s="21">
        <f t="shared" si="6"/>
        <v>0.53376464902762355</v>
      </c>
      <c r="N25" s="21">
        <f t="shared" si="6"/>
        <v>0.55873719008167411</v>
      </c>
      <c r="O25" s="21">
        <f t="shared" si="6"/>
        <v>0.58098136740932971</v>
      </c>
      <c r="P25" s="21">
        <f t="shared" si="6"/>
        <v>0.60052860331286817</v>
      </c>
      <c r="Q25" s="21">
        <f t="shared" si="6"/>
        <v>0.61740113324102164</v>
      </c>
      <c r="R25" s="21">
        <f t="shared" si="6"/>
        <v>0.63161131697239015</v>
      </c>
      <c r="S25" s="21">
        <f t="shared" si="6"/>
        <v>0.64316089699729828</v>
      </c>
      <c r="T25" s="21">
        <f t="shared" si="6"/>
        <v>0.65204019353793807</v>
      </c>
      <c r="U25" s="21">
        <f t="shared" si="6"/>
        <v>0.65822722533853317</v>
      </c>
      <c r="V25" s="21">
        <f t="shared" si="6"/>
        <v>0.66168674489763823</v>
      </c>
      <c r="W25" s="21">
        <f t="shared" si="6"/>
        <v>0.6623691762050361</v>
      </c>
      <c r="X25" s="21">
        <f t="shared" si="6"/>
        <v>0.66030735828049503</v>
      </c>
      <c r="Y25" s="21">
        <f t="shared" si="6"/>
        <v>0.65588881007028854</v>
      </c>
      <c r="Z25" s="21">
        <f t="shared" si="6"/>
        <v>0.64953112519591749</v>
      </c>
    </row>
    <row r="26" spans="1:26" x14ac:dyDescent="0.2">
      <c r="A26" s="20">
        <f t="shared" si="2"/>
        <v>23</v>
      </c>
      <c r="B26" s="21">
        <f t="shared" si="5"/>
        <v>6.1361530103911793E-2</v>
      </c>
      <c r="C26" s="21">
        <f t="shared" si="5"/>
        <v>0.11921012146548797</v>
      </c>
      <c r="D26" s="21">
        <f t="shared" si="5"/>
        <v>0.17364295974568816</v>
      </c>
      <c r="E26" s="21">
        <f t="shared" si="5"/>
        <v>0.2247558111173818</v>
      </c>
      <c r="F26" s="21">
        <f t="shared" si="5"/>
        <v>0.27264217760276721</v>
      </c>
      <c r="G26" s="21">
        <f t="shared" si="5"/>
        <v>0.31739255467665944</v>
      </c>
      <c r="H26" s="21">
        <f t="shared" si="5"/>
        <v>0.35909377092789035</v>
      </c>
      <c r="I26" s="21">
        <f t="shared" si="5"/>
        <v>0.39782839205614301</v>
      </c>
      <c r="J26" s="21">
        <f t="shared" si="5"/>
        <v>0.43367417355400617</v>
      </c>
      <c r="K26" s="21">
        <f t="shared" si="5"/>
        <v>0.46670354813861081</v>
      </c>
      <c r="L26" s="21">
        <f t="shared" si="6"/>
        <v>0.49698313540011807</v>
      </c>
      <c r="M26" s="21">
        <f t="shared" si="6"/>
        <v>0.52457326226444001</v>
      </c>
      <c r="N26" s="21">
        <f t="shared" si="6"/>
        <v>0.54952748375743865</v>
      </c>
      <c r="O26" s="21">
        <f t="shared" si="6"/>
        <v>0.57189209423451604</v>
      </c>
      <c r="P26" s="21">
        <f t="shared" si="6"/>
        <v>0.59170561972527735</v>
      </c>
      <c r="Q26" s="21">
        <f t="shared" si="6"/>
        <v>0.60899828235593889</v>
      </c>
      <c r="R26" s="21">
        <f t="shared" si="6"/>
        <v>0.62379142796685927</v>
      </c>
      <c r="S26" s="21">
        <f t="shared" si="6"/>
        <v>0.6360969080502179</v>
      </c>
      <c r="T26" s="21">
        <f t="shared" si="6"/>
        <v>0.64591640700185637</v>
      </c>
      <c r="U26" s="21">
        <f t="shared" si="6"/>
        <v>0.65324070541738977</v>
      </c>
      <c r="V26" s="21">
        <f t="shared" si="6"/>
        <v>0.65804886976934196</v>
      </c>
      <c r="W26" s="21">
        <f t="shared" si="6"/>
        <v>0.66030735828049503</v>
      </c>
      <c r="X26" s="21">
        <f t="shared" si="6"/>
        <v>0.65996903215811287</v>
      </c>
      <c r="Y26" s="21">
        <f t="shared" si="6"/>
        <v>0.65706453526353126</v>
      </c>
      <c r="Z26" s="21">
        <f t="shared" si="6"/>
        <v>0.65195943935142264</v>
      </c>
    </row>
    <row r="27" spans="1:26" x14ac:dyDescent="0.2">
      <c r="A27" s="20">
        <f t="shared" si="2"/>
        <v>24</v>
      </c>
      <c r="B27" s="21">
        <f t="shared" si="5"/>
        <v>6.0027783470983594E-2</v>
      </c>
      <c r="C27" s="21">
        <f t="shared" si="5"/>
        <v>0.11662569770565566</v>
      </c>
      <c r="D27" s="21">
        <f t="shared" si="5"/>
        <v>0.16989487989531696</v>
      </c>
      <c r="E27" s="21">
        <f t="shared" si="5"/>
        <v>0.21993457460552016</v>
      </c>
      <c r="F27" s="21">
        <f t="shared" si="5"/>
        <v>0.2668414358873894</v>
      </c>
      <c r="G27" s="21">
        <f t="shared" si="5"/>
        <v>0.31070891597330008</v>
      </c>
      <c r="H27" s="21">
        <f t="shared" si="5"/>
        <v>0.3516267233144667</v>
      </c>
      <c r="I27" s="21">
        <f t="shared" si="5"/>
        <v>0.38968033484082265</v>
      </c>
      <c r="J27" s="21">
        <f t="shared" si="5"/>
        <v>0.42495054909382152</v>
      </c>
      <c r="K27" s="21">
        <f t="shared" si="5"/>
        <v>0.45751306834722211</v>
      </c>
      <c r="L27" s="21">
        <f t="shared" si="6"/>
        <v>0.48743809902903434</v>
      </c>
      <c r="M27" s="21">
        <f t="shared" si="6"/>
        <v>0.51478996072281358</v>
      </c>
      <c r="N27" s="21">
        <f t="shared" si="6"/>
        <v>0.53962669478621927</v>
      </c>
      <c r="O27" s="21">
        <f t="shared" si="6"/>
        <v>0.56199966420231295</v>
      </c>
      <c r="P27" s="21">
        <f t="shared" si="6"/>
        <v>0.58195313669350979</v>
      </c>
      <c r="Q27" s="21">
        <f t="shared" si="6"/>
        <v>0.59952384339491294</v>
      </c>
      <c r="R27" s="21">
        <f t="shared" si="6"/>
        <v>0.61474050551532244</v>
      </c>
      <c r="S27" s="21">
        <f t="shared" si="6"/>
        <v>0.62762332142013155</v>
      </c>
      <c r="T27" s="21">
        <f t="shared" si="6"/>
        <v>0.63818340645775351</v>
      </c>
      <c r="U27" s="21">
        <f t="shared" si="6"/>
        <v>0.64642217762512322</v>
      </c>
      <c r="V27" s="21">
        <f t="shared" si="6"/>
        <v>0.65233067483109275</v>
      </c>
      <c r="W27" s="21">
        <f t="shared" si="6"/>
        <v>0.65588881007028854</v>
      </c>
      <c r="X27" s="21">
        <f t="shared" si="6"/>
        <v>0.65706453526353126</v>
      </c>
      <c r="Y27" s="21">
        <f t="shared" si="6"/>
        <v>0.65581291885195625</v>
      </c>
      <c r="Z27" s="21">
        <f t="shared" si="6"/>
        <v>0.65216245621467883</v>
      </c>
    </row>
    <row r="28" spans="1:26" x14ac:dyDescent="0.2">
      <c r="A28" s="20">
        <f t="shared" si="2"/>
        <v>25</v>
      </c>
      <c r="B28" s="21">
        <f t="shared" si="5"/>
        <v>5.8674097697805745E-2</v>
      </c>
      <c r="C28" s="21">
        <f t="shared" si="5"/>
        <v>0.11400137181005734</v>
      </c>
      <c r="D28" s="21">
        <f t="shared" si="5"/>
        <v>0.16608582673871811</v>
      </c>
      <c r="E28" s="21">
        <f t="shared" si="5"/>
        <v>0.21502918907973381</v>
      </c>
      <c r="F28" s="21">
        <f t="shared" si="5"/>
        <v>0.26093033448916125</v>
      </c>
      <c r="G28" s="21">
        <f t="shared" si="5"/>
        <v>0.30388478775542616</v>
      </c>
      <c r="H28" s="21">
        <f t="shared" si="5"/>
        <v>0.34398428136859194</v>
      </c>
      <c r="I28" s="21">
        <f t="shared" si="5"/>
        <v>0.38131635969080785</v>
      </c>
      <c r="J28" s="21">
        <f t="shared" si="5"/>
        <v>0.41596401734411254</v>
      </c>
      <c r="K28" s="21">
        <f t="shared" si="5"/>
        <v>0.44800536168245508</v>
      </c>
      <c r="L28" s="21">
        <f t="shared" si="6"/>
        <v>0.47751329023791922</v>
      </c>
      <c r="M28" s="21">
        <f t="shared" si="6"/>
        <v>0.50455517485508172</v>
      </c>
      <c r="N28" s="21">
        <f t="shared" si="6"/>
        <v>0.52919254487596934</v>
      </c>
      <c r="O28" s="21">
        <f t="shared" si="6"/>
        <v>0.55148076223096354</v>
      </c>
      <c r="P28" s="21">
        <f t="shared" si="6"/>
        <v>0.57146868164450426</v>
      </c>
      <c r="Q28" s="21">
        <f t="shared" si="6"/>
        <v>0.58919828939181662</v>
      </c>
      <c r="R28" s="21">
        <f t="shared" si="6"/>
        <v>0.60470431415469095</v>
      </c>
      <c r="S28" s="21">
        <f t="shared" si="6"/>
        <v>0.61801380352880053</v>
      </c>
      <c r="T28" s="21">
        <f t="shared" si="6"/>
        <v>0.6291456596382633</v>
      </c>
      <c r="U28" s="21">
        <f t="shared" si="6"/>
        <v>0.63811012711936255</v>
      </c>
      <c r="V28" s="21">
        <f t="shared" si="6"/>
        <v>0.64490822644704493</v>
      </c>
      <c r="W28" s="21">
        <f t="shared" si="6"/>
        <v>0.64953112519591749</v>
      </c>
      <c r="X28" s="21">
        <f t="shared" si="6"/>
        <v>0.65195943935142264</v>
      </c>
      <c r="Y28" s="21">
        <f t="shared" si="6"/>
        <v>0.65216245621467883</v>
      </c>
      <c r="Z28" s="21">
        <f t="shared" si="6"/>
        <v>0.65009726977281146</v>
      </c>
    </row>
    <row r="29" spans="1:26" x14ac:dyDescent="0.2">
      <c r="A29" s="20">
        <f t="shared" si="2"/>
        <v>26</v>
      </c>
      <c r="B29" s="21">
        <f t="shared" si="5"/>
        <v>5.7309400616097544E-2</v>
      </c>
      <c r="C29" s="21">
        <f t="shared" si="5"/>
        <v>0.11135466312883721</v>
      </c>
      <c r="D29" s="21">
        <f t="shared" si="5"/>
        <v>0.16224174688089599</v>
      </c>
      <c r="E29" s="21">
        <f t="shared" si="5"/>
        <v>0.2100740228552124</v>
      </c>
      <c r="F29" s="21">
        <f t="shared" si="5"/>
        <v>0.25495180649794225</v>
      </c>
      <c r="G29" s="21">
        <f t="shared" si="5"/>
        <v>0.29697195233700091</v>
      </c>
      <c r="H29" s="21">
        <f t="shared" si="5"/>
        <v>0.33622749785126765</v>
      </c>
      <c r="I29" s="21">
        <f t="shared" si="5"/>
        <v>0.37280734559431178</v>
      </c>
      <c r="J29" s="21">
        <f t="shared" si="5"/>
        <v>0.40679597386784111</v>
      </c>
      <c r="K29" s="21">
        <f t="shared" si="5"/>
        <v>0.43827316730812194</v>
      </c>
      <c r="L29" s="21">
        <f t="shared" si="6"/>
        <v>0.46731375962221916</v>
      </c>
      <c r="M29" s="21">
        <f t="shared" si="6"/>
        <v>0.49398738141432169</v>
      </c>
      <c r="N29" s="21">
        <f t="shared" si="6"/>
        <v>0.51835820659594611</v>
      </c>
      <c r="O29" s="21">
        <f t="shared" si="6"/>
        <v>0.54048469129435384</v>
      </c>
      <c r="P29" s="21">
        <f t="shared" si="6"/>
        <v>0.5604192994749676</v>
      </c>
      <c r="Q29" s="21">
        <f t="shared" si="6"/>
        <v>0.57820820968725095</v>
      </c>
      <c r="R29" s="21">
        <f t="shared" si="6"/>
        <v>0.59389099743845664</v>
      </c>
      <c r="S29" s="21">
        <f t="shared" si="6"/>
        <v>0.6075002877028729</v>
      </c>
      <c r="T29" s="21">
        <f t="shared" si="6"/>
        <v>0.61906137199092215</v>
      </c>
      <c r="U29" s="21">
        <f t="shared" si="6"/>
        <v>0.62859178423630713</v>
      </c>
      <c r="V29" s="21">
        <f t="shared" si="6"/>
        <v>0.63610082951249547</v>
      </c>
      <c r="W29" s="21">
        <f t="shared" si="6"/>
        <v>0.64158905926296406</v>
      </c>
      <c r="X29" s="21">
        <f t="shared" si="6"/>
        <v>0.64504768632230236</v>
      </c>
      <c r="Y29" s="21">
        <f t="shared" si="6"/>
        <v>0.64645793251581662</v>
      </c>
      <c r="Z29" s="21">
        <f t="shared" si="6"/>
        <v>0.64579030105081969</v>
      </c>
    </row>
    <row r="30" spans="1:26" x14ac:dyDescent="0.2">
      <c r="A30" s="20">
        <f t="shared" si="2"/>
        <v>27</v>
      </c>
      <c r="B30" s="21">
        <f t="shared" si="5"/>
        <v>5.594115184829012E-2</v>
      </c>
      <c r="C30" s="21">
        <f t="shared" si="5"/>
        <v>0.10870021307746393</v>
      </c>
      <c r="D30" s="21">
        <f t="shared" si="5"/>
        <v>0.15838433232577415</v>
      </c>
      <c r="E30" s="21">
        <f t="shared" si="5"/>
        <v>0.20509782256755243</v>
      </c>
      <c r="F30" s="21">
        <f t="shared" si="5"/>
        <v>0.24894178384716265</v>
      </c>
      <c r="G30" s="21">
        <f t="shared" si="5"/>
        <v>0.29001377807890905</v>
      </c>
      <c r="H30" s="21">
        <f t="shared" si="5"/>
        <v>0.3284075452167376</v>
      </c>
      <c r="I30" s="21">
        <f t="shared" si="5"/>
        <v>0.36421275142033466</v>
      </c>
      <c r="J30" s="21">
        <f t="shared" si="5"/>
        <v>0.3975147609470151</v>
      </c>
      <c r="K30" s="21">
        <f t="shared" si="5"/>
        <v>0.42839442441078152</v>
      </c>
      <c r="L30" s="21">
        <f t="shared" si="6"/>
        <v>0.45692787679578373</v>
      </c>
      <c r="M30" s="21">
        <f t="shared" si="6"/>
        <v>0.48318633921183218</v>
      </c>
      <c r="N30" s="21">
        <f t="shared" si="6"/>
        <v>0.50723591885198749</v>
      </c>
      <c r="O30" s="21">
        <f t="shared" si="6"/>
        <v>0.52913740197098214</v>
      </c>
      <c r="P30" s="21">
        <f t="shared" si="6"/>
        <v>0.5489460349602141</v>
      </c>
      <c r="Q30" s="21">
        <f t="shared" si="6"/>
        <v>0.56671128875995913</v>
      </c>
      <c r="R30" s="21">
        <f t="shared" si="6"/>
        <v>0.58247660192999484</v>
      </c>
      <c r="S30" s="21">
        <f t="shared" si="6"/>
        <v>0.59627909770201193</v>
      </c>
      <c r="T30" s="21">
        <f t="shared" si="6"/>
        <v>0.6081492702654745</v>
      </c>
      <c r="U30" s="21">
        <f t="shared" si="6"/>
        <v>0.61811063539606026</v>
      </c>
      <c r="V30" s="21">
        <f t="shared" si="6"/>
        <v>0.62617934032429623</v>
      </c>
      <c r="W30" s="21">
        <f t="shared" si="6"/>
        <v>0.63236372746216929</v>
      </c>
      <c r="X30" s="21">
        <f t="shared" si="6"/>
        <v>0.63666384625691785</v>
      </c>
      <c r="Y30" s="21">
        <f t="shared" si="6"/>
        <v>0.63907090702246572</v>
      </c>
      <c r="Z30" s="21">
        <f t="shared" si="6"/>
        <v>0.63956667010758528</v>
      </c>
    </row>
    <row r="31" spans="1:26" x14ac:dyDescent="0.2">
      <c r="A31" s="20">
        <f t="shared" si="2"/>
        <v>28</v>
      </c>
      <c r="B31" s="21">
        <f t="shared" si="5"/>
        <v>5.4575561107907074E-2</v>
      </c>
      <c r="C31" s="21">
        <f t="shared" si="5"/>
        <v>0.10605021296267138</v>
      </c>
      <c r="D31" s="21">
        <f t="shared" si="5"/>
        <v>0.15453165276166839</v>
      </c>
      <c r="E31" s="21">
        <f t="shared" si="5"/>
        <v>0.20012454827596898</v>
      </c>
      <c r="F31" s="21">
        <f t="shared" si="5"/>
        <v>0.2429302368008609</v>
      </c>
      <c r="G31" s="21">
        <f t="shared" si="5"/>
        <v>0.28304646787855525</v>
      </c>
      <c r="H31" s="21">
        <f t="shared" si="5"/>
        <v>0.32056718067613538</v>
      </c>
      <c r="I31" s="21">
        <f t="shared" si="5"/>
        <v>0.3555823080314458</v>
      </c>
      <c r="J31" s="21">
        <f t="shared" si="5"/>
        <v>0.38817760012129282</v>
      </c>
      <c r="K31" s="21">
        <f t="shared" si="5"/>
        <v>0.41843446148497998</v>
      </c>
      <c r="L31" s="21">
        <f t="shared" si="6"/>
        <v>0.44642979577288555</v>
      </c>
      <c r="M31" s="21">
        <f t="shared" si="6"/>
        <v>0.47223585310223098</v>
      </c>
      <c r="N31" s="21">
        <f t="shared" si="6"/>
        <v>0.49592007530520904</v>
      </c>
      <c r="O31" s="21">
        <f t="shared" si="6"/>
        <v>0.5175449346605786</v>
      </c>
      <c r="P31" s="21">
        <f t="shared" si="6"/>
        <v>0.53716776191883242</v>
      </c>
      <c r="Q31" s="21">
        <f t="shared" si="6"/>
        <v>0.55484055957138112</v>
      </c>
      <c r="R31" s="21">
        <f t="shared" si="6"/>
        <v>0.57060979638245835</v>
      </c>
      <c r="S31" s="21">
        <f t="shared" si="6"/>
        <v>0.58451617920375876</v>
      </c>
      <c r="T31" s="21">
        <f t="shared" si="6"/>
        <v>0.59659439803000613</v>
      </c>
      <c r="U31" s="21">
        <f t="shared" si="6"/>
        <v>0.60687284013131881</v>
      </c>
      <c r="V31" s="21">
        <f t="shared" si="6"/>
        <v>0.61537326891699096</v>
      </c>
      <c r="W31" s="21">
        <f t="shared" si="6"/>
        <v>0.62211046294566741</v>
      </c>
      <c r="X31" s="21">
        <f t="shared" si="6"/>
        <v>0.62709181019854865</v>
      </c>
      <c r="Y31" s="21">
        <f t="shared" si="6"/>
        <v>0.6303168523739513</v>
      </c>
      <c r="Z31" s="21">
        <f t="shared" si="6"/>
        <v>0.63177677354118777</v>
      </c>
    </row>
    <row r="32" spans="1:26" x14ac:dyDescent="0.2">
      <c r="A32" s="20">
        <f t="shared" si="2"/>
        <v>29</v>
      </c>
      <c r="B32" s="21">
        <f t="shared" si="5"/>
        <v>5.3217774618963383E-2</v>
      </c>
      <c r="C32" s="21">
        <f t="shared" si="5"/>
        <v>0.10341476933010796</v>
      </c>
      <c r="D32" s="21">
        <f t="shared" si="5"/>
        <v>0.15069869551516471</v>
      </c>
      <c r="E32" s="21">
        <f t="shared" si="5"/>
        <v>0.19517408662733715</v>
      </c>
      <c r="F32" s="21">
        <f t="shared" si="5"/>
        <v>0.23694206167290813</v>
      </c>
      <c r="G32" s="21">
        <f t="shared" si="5"/>
        <v>0.27610012539772427</v>
      </c>
      <c r="H32" s="21">
        <f t="shared" si="5"/>
        <v>0.31274199741051001</v>
      </c>
      <c r="I32" s="21">
        <f t="shared" si="5"/>
        <v>0.34695746343958211</v>
      </c>
      <c r="J32" s="21">
        <f t="shared" si="5"/>
        <v>0.37883224272355198</v>
      </c>
      <c r="K32" s="21">
        <f t="shared" si="5"/>
        <v>0.40844786620131757</v>
      </c>
      <c r="L32" s="21">
        <f t="shared" si="6"/>
        <v>0.435881560710074</v>
      </c>
      <c r="M32" s="21">
        <f t="shared" si="6"/>
        <v>0.46120613483733269</v>
      </c>
      <c r="N32" s="21">
        <f t="shared" si="6"/>
        <v>0.48448986241672282</v>
      </c>
      <c r="O32" s="21">
        <f t="shared" si="6"/>
        <v>0.50579635991817962</v>
      </c>
      <c r="P32" s="21">
        <f t="shared" si="6"/>
        <v>0.52518445416968684</v>
      </c>
      <c r="Q32" s="21">
        <f t="shared" si="6"/>
        <v>0.54270803696709113</v>
      </c>
      <c r="R32" s="21">
        <f t="shared" si="6"/>
        <v>0.55841590318628909</v>
      </c>
      <c r="S32" s="21">
        <f t="shared" si="6"/>
        <v>0.57235156901266193</v>
      </c>
      <c r="T32" s="21">
        <f t="shared" si="6"/>
        <v>0.58455306684929098</v>
      </c>
      <c r="U32" s="21">
        <f t="shared" si="6"/>
        <v>0.59505271336043986</v>
      </c>
      <c r="V32" s="21">
        <f t="shared" si="6"/>
        <v>0.60387684695140809</v>
      </c>
      <c r="W32" s="21">
        <f t="shared" si="6"/>
        <v>0.61104553078060164</v>
      </c>
      <c r="X32" s="21">
        <f t="shared" si="6"/>
        <v>0.61657221714425159</v>
      </c>
      <c r="Y32" s="21">
        <f t="shared" si="6"/>
        <v>0.62046336876755614</v>
      </c>
      <c r="Z32" s="21">
        <f t="shared" si="6"/>
        <v>0.62271803217638033</v>
      </c>
    </row>
    <row r="33" spans="1:26" x14ac:dyDescent="0.2">
      <c r="A33" s="20">
        <f t="shared" si="2"/>
        <v>30</v>
      </c>
      <c r="B33" s="21">
        <f t="shared" si="5"/>
        <v>5.1872034294434925E-2</v>
      </c>
      <c r="C33" s="21">
        <f t="shared" si="5"/>
        <v>0.10080221592690924</v>
      </c>
      <c r="D33" s="21">
        <f t="shared" si="5"/>
        <v>0.1468978266113759</v>
      </c>
      <c r="E33" s="21">
        <f t="shared" si="5"/>
        <v>0.19026285982786781</v>
      </c>
      <c r="F33" s="21">
        <f t="shared" si="5"/>
        <v>0.23099783886601294</v>
      </c>
      <c r="G33" s="21">
        <f t="shared" si="5"/>
        <v>0.26919966555365221</v>
      </c>
      <c r="H33" s="21">
        <f t="shared" si="5"/>
        <v>0.30496149305459408</v>
      </c>
      <c r="I33" s="21">
        <f t="shared" si="5"/>
        <v>0.33837261694316012</v>
      </c>
      <c r="J33" s="21">
        <f t="shared" si="5"/>
        <v>0.36951837944956667</v>
      </c>
      <c r="K33" s="21">
        <f t="shared" si="5"/>
        <v>0.39848008233756294</v>
      </c>
      <c r="L33" s="21">
        <f t="shared" si="6"/>
        <v>0.42533490433948828</v>
      </c>
      <c r="M33" s="21">
        <f t="shared" si="6"/>
        <v>0.45015581944695027</v>
      </c>
      <c r="N33" s="21">
        <f t="shared" si="6"/>
        <v>0.47301151264849867</v>
      </c>
      <c r="O33" s="21">
        <f t="shared" si="6"/>
        <v>0.49396628992797742</v>
      </c>
      <c r="P33" s="21">
        <f t="shared" si="6"/>
        <v>0.51307997949608963</v>
      </c>
      <c r="Q33" s="21">
        <f t="shared" si="6"/>
        <v>0.53040782132915054</v>
      </c>
      <c r="R33" s="21">
        <f t="shared" si="6"/>
        <v>0.54600034213783644</v>
      </c>
      <c r="S33" s="21">
        <f t="shared" si="6"/>
        <v>0.55990321288871536</v>
      </c>
      <c r="T33" s="21">
        <f t="shared" si="6"/>
        <v>0.57215708595524484</v>
      </c>
      <c r="U33" s="21">
        <f t="shared" si="6"/>
        <v>0.58279740888466547</v>
      </c>
      <c r="V33" s="21">
        <f t="shared" si="6"/>
        <v>0.59185421163395813</v>
      </c>
      <c r="W33" s="21">
        <f t="shared" si="6"/>
        <v>0.59935186395216755</v>
      </c>
      <c r="X33" s="21">
        <f t="shared" si="6"/>
        <v>0.6053087993676679</v>
      </c>
      <c r="Y33" s="21">
        <f t="shared" si="6"/>
        <v>0.60973720197647341</v>
      </c>
      <c r="Z33" s="21">
        <f t="shared" si="6"/>
        <v>0.61264265191991396</v>
      </c>
    </row>
    <row r="34" spans="1:26" x14ac:dyDescent="0.2">
      <c r="A34" s="20">
        <f t="shared" si="2"/>
        <v>31</v>
      </c>
      <c r="B34" s="21">
        <f t="shared" ref="B34:K43" si="7">EXP(-UFR*($A34+B$2))*(Alpha*MIN($A34,B$2)-0.5*EXP(-Alpha*MAX($A34,B$2))*(EXP(Alpha*MIN($A34,B$2))-EXP(-Alpha*MIN($A34,B$2))))</f>
        <v>5.0541813638970458E-2</v>
      </c>
      <c r="C34" s="21">
        <f t="shared" si="7"/>
        <v>9.8219380049830732E-2</v>
      </c>
      <c r="D34" s="21">
        <f t="shared" si="7"/>
        <v>0.14313918442404847</v>
      </c>
      <c r="E34" s="21">
        <f t="shared" si="7"/>
        <v>0.18540434558802193</v>
      </c>
      <c r="F34" s="21">
        <f t="shared" si="7"/>
        <v>0.22511448010556295</v>
      </c>
      <c r="G34" s="21">
        <f t="shared" si="7"/>
        <v>0.26236559194034614</v>
      </c>
      <c r="H34" s="21">
        <f t="shared" si="7"/>
        <v>0.29724998204627023</v>
      </c>
      <c r="I34" s="21">
        <f t="shared" si="7"/>
        <v>0.32985617295681829</v>
      </c>
      <c r="J34" s="21">
        <f t="shared" si="7"/>
        <v>0.36026884403040271</v>
      </c>
      <c r="K34" s="21">
        <f t="shared" si="7"/>
        <v>0.3885687734928826</v>
      </c>
      <c r="L34" s="21">
        <f t="shared" ref="L34:Z43" si="8">EXP(-UFR*($A34+L$2))*(Alpha*MIN($A34,L$2)-0.5*EXP(-Alpha*MAX($A34,L$2))*(EXP(Alpha*MIN($A34,L$2))-EXP(-Alpha*MIN($A34,L$2))))</f>
        <v>0.41483278381411098</v>
      </c>
      <c r="M34" s="21">
        <f t="shared" si="8"/>
        <v>0.43913368727354207</v>
      </c>
      <c r="N34" s="21">
        <f t="shared" si="8"/>
        <v>0.46154022881986712</v>
      </c>
      <c r="O34" s="21">
        <f t="shared" si="8"/>
        <v>0.48211702351905333</v>
      </c>
      <c r="P34" s="21">
        <f t="shared" si="8"/>
        <v>0.50092448602034656</v>
      </c>
      <c r="Q34" s="21">
        <f t="shared" si="8"/>
        <v>0.51801874955594596</v>
      </c>
      <c r="R34" s="21">
        <f t="shared" si="8"/>
        <v>0.53345157203126981</v>
      </c>
      <c r="S34" s="21">
        <f t="shared" si="8"/>
        <v>0.54727022676219739</v>
      </c>
      <c r="T34" s="21">
        <f t="shared" si="8"/>
        <v>0.55951737537578583</v>
      </c>
      <c r="U34" s="21">
        <f t="shared" si="8"/>
        <v>0.57023092031335865</v>
      </c>
      <c r="V34" s="21">
        <f t="shared" si="8"/>
        <v>0.57944383426051171</v>
      </c>
      <c r="W34" s="21">
        <f t="shared" si="8"/>
        <v>0.58718396367784909</v>
      </c>
      <c r="X34" s="21">
        <f t="shared" si="8"/>
        <v>0.59347380341891465</v>
      </c>
      <c r="Y34" s="21">
        <f t="shared" si="8"/>
        <v>0.59833023919705175</v>
      </c>
      <c r="Z34" s="21">
        <f t="shared" si="8"/>
        <v>0.60176425439951142</v>
      </c>
    </row>
    <row r="35" spans="1:26" x14ac:dyDescent="0.2">
      <c r="A35" s="20">
        <f t="shared" si="2"/>
        <v>32</v>
      </c>
      <c r="B35" s="21">
        <f t="shared" si="7"/>
        <v>4.9229933764283647E-2</v>
      </c>
      <c r="C35" s="21">
        <f t="shared" si="7"/>
        <v>9.5671809919341141E-2</v>
      </c>
      <c r="D35" s="21">
        <f t="shared" si="7"/>
        <v>0.13943101572872749</v>
      </c>
      <c r="E35" s="21">
        <f t="shared" si="7"/>
        <v>0.18060952100044766</v>
      </c>
      <c r="F35" s="21">
        <f t="shared" si="7"/>
        <v>0.21930578099801304</v>
      </c>
      <c r="G35" s="21">
        <f t="shared" si="7"/>
        <v>0.25561466055032395</v>
      </c>
      <c r="H35" s="21">
        <f t="shared" si="7"/>
        <v>0.28962737456853538</v>
      </c>
      <c r="I35" s="21">
        <f t="shared" si="7"/>
        <v>0.32143144077827146</v>
      </c>
      <c r="J35" s="21">
        <f t="shared" si="7"/>
        <v>0.35111064097558459</v>
      </c>
      <c r="K35" s="21">
        <f t="shared" si="7"/>
        <v>0.37874498752820956</v>
      </c>
      <c r="L35" s="21">
        <f t="shared" si="8"/>
        <v>0.40441069218116671</v>
      </c>
      <c r="M35" s="21">
        <f t="shared" si="8"/>
        <v>0.42818013449707532</v>
      </c>
      <c r="N35" s="21">
        <f t="shared" si="8"/>
        <v>0.45012182747455137</v>
      </c>
      <c r="O35" s="21">
        <f t="shared" si="8"/>
        <v>0.4703003780493572</v>
      </c>
      <c r="P35" s="21">
        <f t="shared" si="8"/>
        <v>0.48877644029795886</v>
      </c>
      <c r="Q35" s="21">
        <f t="shared" si="8"/>
        <v>0.50560665923623827</v>
      </c>
      <c r="R35" s="21">
        <f t="shared" si="8"/>
        <v>0.52084360314081279</v>
      </c>
      <c r="S35" s="21">
        <f t="shared" si="8"/>
        <v>0.53453568231946713</v>
      </c>
      <c r="T35" s="21">
        <f t="shared" si="8"/>
        <v>0.54672705222263729</v>
      </c>
      <c r="U35" s="21">
        <f t="shared" si="8"/>
        <v>0.55745749872110628</v>
      </c>
      <c r="V35" s="21">
        <f t="shared" si="8"/>
        <v>0.56676230327690158</v>
      </c>
      <c r="W35" s="21">
        <f t="shared" si="8"/>
        <v>0.57467208560513916</v>
      </c>
      <c r="X35" s="21">
        <f t="shared" si="8"/>
        <v>0.58121262126402984</v>
      </c>
      <c r="Y35" s="21">
        <f t="shared" si="8"/>
        <v>0.58640463141781851</v>
      </c>
      <c r="Z35" s="21">
        <f t="shared" si="8"/>
        <v>0.59026354179191132</v>
      </c>
    </row>
    <row r="36" spans="1:26" x14ac:dyDescent="0.2">
      <c r="A36" s="20">
        <f t="shared" si="2"/>
        <v>33</v>
      </c>
      <c r="B36" s="21">
        <f t="shared" si="7"/>
        <v>4.7938662412802896E-2</v>
      </c>
      <c r="C36" s="21">
        <f t="shared" si="7"/>
        <v>9.3163968754208126E-2</v>
      </c>
      <c r="D36" s="21">
        <f t="shared" si="7"/>
        <v>0.13577996254482749</v>
      </c>
      <c r="E36" s="21">
        <f t="shared" si="7"/>
        <v>0.17588724142569342</v>
      </c>
      <c r="F36" s="21">
        <f t="shared" si="7"/>
        <v>0.21358289269744021</v>
      </c>
      <c r="G36" s="21">
        <f t="shared" si="7"/>
        <v>0.24896044634953635</v>
      </c>
      <c r="H36" s="21">
        <f t="shared" si="7"/>
        <v>0.28210984150515461</v>
      </c>
      <c r="I36" s="21">
        <f t="shared" si="7"/>
        <v>0.31311740271952632</v>
      </c>
      <c r="J36" s="21">
        <f t="shared" si="7"/>
        <v>0.34206582299630039</v>
      </c>
      <c r="K36" s="21">
        <f t="shared" si="7"/>
        <v>0.36903415073887474</v>
      </c>
      <c r="L36" s="21">
        <f t="shared" si="8"/>
        <v>0.39409777814149272</v>
      </c>
      <c r="M36" s="21">
        <f t="shared" si="8"/>
        <v>0.4173284287561646</v>
      </c>
      <c r="N36" s="21">
        <f t="shared" si="8"/>
        <v>0.43879414215294615</v>
      </c>
      <c r="O36" s="21">
        <f t="shared" si="8"/>
        <v>0.4585592537283964</v>
      </c>
      <c r="P36" s="21">
        <f t="shared" si="8"/>
        <v>0.47668436781477896</v>
      </c>
      <c r="Q36" s="21">
        <f t="shared" si="8"/>
        <v>0.4932263223045143</v>
      </c>
      <c r="R36" s="21">
        <f t="shared" si="8"/>
        <v>0.50823814303355774</v>
      </c>
      <c r="S36" s="21">
        <f t="shared" si="8"/>
        <v>0.52176898616608625</v>
      </c>
      <c r="T36" s="21">
        <f t="shared" si="8"/>
        <v>0.53386406679287657</v>
      </c>
      <c r="U36" s="21">
        <f t="shared" si="8"/>
        <v>0.5445645718982326</v>
      </c>
      <c r="V36" s="21">
        <f t="shared" si="8"/>
        <v>0.55390755576599859</v>
      </c>
      <c r="W36" s="21">
        <f t="shared" si="8"/>
        <v>0.56192581578431422</v>
      </c>
      <c r="X36" s="21">
        <f t="shared" si="8"/>
        <v>0.56864774647118765</v>
      </c>
      <c r="Y36" s="21">
        <f t="shared" si="8"/>
        <v>0.57409716937809085</v>
      </c>
      <c r="Z36" s="21">
        <f t="shared" si="8"/>
        <v>0.5782931363356969</v>
      </c>
    </row>
    <row r="37" spans="1:26" x14ac:dyDescent="0.2">
      <c r="A37" s="20">
        <f t="shared" ref="A37:A68" si="9">A36+1</f>
        <v>34</v>
      </c>
      <c r="B37" s="21">
        <f t="shared" si="7"/>
        <v>4.6669798463972234E-2</v>
      </c>
      <c r="C37" s="21">
        <f t="shared" si="7"/>
        <v>9.0699400395705704E-2</v>
      </c>
      <c r="D37" s="21">
        <f t="shared" si="7"/>
        <v>0.13219130693267758</v>
      </c>
      <c r="E37" s="21">
        <f t="shared" si="7"/>
        <v>0.17124456384955822</v>
      </c>
      <c r="F37" s="21">
        <f t="shared" si="7"/>
        <v>0.20795472445897906</v>
      </c>
      <c r="G37" s="21">
        <f t="shared" si="7"/>
        <v>0.24241382685056176</v>
      </c>
      <c r="H37" s="21">
        <f t="shared" si="7"/>
        <v>0.27471038200631342</v>
      </c>
      <c r="I37" s="21">
        <f t="shared" si="7"/>
        <v>0.3049293697676127</v>
      </c>
      <c r="J37" s="21">
        <f t="shared" si="7"/>
        <v>0.33315223999301363</v>
      </c>
      <c r="K37" s="21">
        <f t="shared" si="7"/>
        <v>0.35945691654668371</v>
      </c>
      <c r="L37" s="21">
        <f t="shared" si="8"/>
        <v>0.38391780200267467</v>
      </c>
      <c r="M37" s="21">
        <f t="shared" si="8"/>
        <v>0.4066057811472969</v>
      </c>
      <c r="N37" s="21">
        <f t="shared" si="8"/>
        <v>0.42758822151639603</v>
      </c>
      <c r="O37" s="21">
        <f t="shared" si="8"/>
        <v>0.44692896932113252</v>
      </c>
      <c r="P37" s="21">
        <f t="shared" si="8"/>
        <v>0.46468833919887104</v>
      </c>
      <c r="Q37" s="21">
        <f t="shared" si="8"/>
        <v>0.48092309627822882</v>
      </c>
      <c r="R37" s="21">
        <f t="shared" si="8"/>
        <v>0.49568642907177424</v>
      </c>
      <c r="S37" s="21">
        <f t="shared" si="8"/>
        <v>0.50902791170829875</v>
      </c>
      <c r="T37" s="21">
        <f t="shared" si="8"/>
        <v>0.52099345399049102</v>
      </c>
      <c r="U37" s="21">
        <f t="shared" si="8"/>
        <v>0.53162523771425174</v>
      </c>
      <c r="V37" s="21">
        <f t="shared" si="8"/>
        <v>0.54096163761339999</v>
      </c>
      <c r="W37" s="21">
        <f t="shared" si="8"/>
        <v>0.54903712519836156</v>
      </c>
      <c r="X37" s="21">
        <f t="shared" si="8"/>
        <v>0.55588215363945248</v>
      </c>
      <c r="Y37" s="21">
        <f t="shared" si="8"/>
        <v>0.56152302170410362</v>
      </c>
      <c r="Z37" s="21">
        <f t="shared" si="8"/>
        <v>0.56598171459197899</v>
      </c>
    </row>
    <row r="38" spans="1:26" x14ac:dyDescent="0.2">
      <c r="A38" s="20">
        <f t="shared" si="9"/>
        <v>35</v>
      </c>
      <c r="B38" s="21">
        <f t="shared" si="7"/>
        <v>4.5424744037666206E-2</v>
      </c>
      <c r="C38" s="21">
        <f t="shared" si="7"/>
        <v>8.8280870625209423E-2</v>
      </c>
      <c r="D38" s="21">
        <f t="shared" si="7"/>
        <v>0.12866917986922335</v>
      </c>
      <c r="E38" s="21">
        <f t="shared" si="7"/>
        <v>0.16668702279931924</v>
      </c>
      <c r="F38" s="21">
        <f t="shared" si="7"/>
        <v>0.20242828714452285</v>
      </c>
      <c r="G38" s="21">
        <f t="shared" si="7"/>
        <v>0.23598339477163202</v>
      </c>
      <c r="H38" s="21">
        <f t="shared" si="7"/>
        <v>0.26743930784651893</v>
      </c>
      <c r="I38" s="21">
        <f t="shared" si="7"/>
        <v>0.29687954115228793</v>
      </c>
      <c r="J38" s="21">
        <f t="shared" si="7"/>
        <v>0.32438417830865962</v>
      </c>
      <c r="K38" s="21">
        <f t="shared" si="7"/>
        <v>0.35002988989324468</v>
      </c>
      <c r="L38" s="21">
        <f t="shared" si="8"/>
        <v>0.37388995167449685</v>
      </c>
      <c r="M38" s="21">
        <f t="shared" si="8"/>
        <v>0.39603426133399844</v>
      </c>
      <c r="N38" s="21">
        <f t="shared" si="8"/>
        <v>0.41652935218725762</v>
      </c>
      <c r="O38" s="21">
        <f t="shared" si="8"/>
        <v>0.43543840251149268</v>
      </c>
      <c r="P38" s="21">
        <f t="shared" si="8"/>
        <v>0.45282123915931627</v>
      </c>
      <c r="Q38" s="21">
        <f t="shared" si="8"/>
        <v>0.46873433418156568</v>
      </c>
      <c r="R38" s="21">
        <f t="shared" si="8"/>
        <v>0.48323079320294343</v>
      </c>
      <c r="S38" s="21">
        <f t="shared" si="8"/>
        <v>0.496360334292338</v>
      </c>
      <c r="T38" s="21">
        <f t="shared" si="8"/>
        <v>0.50816925604695917</v>
      </c>
      <c r="U38" s="21">
        <f t="shared" si="8"/>
        <v>0.51870039356661524</v>
      </c>
      <c r="V38" s="21">
        <f t="shared" si="8"/>
        <v>0.52799306093210541</v>
      </c>
      <c r="W38" s="21">
        <f t="shared" si="8"/>
        <v>0.53608297871997523</v>
      </c>
      <c r="X38" s="21">
        <f t="shared" si="8"/>
        <v>0.54300218498468478</v>
      </c>
      <c r="Y38" s="21">
        <f t="shared" si="8"/>
        <v>0.54877892801813244</v>
      </c>
      <c r="Z38" s="21">
        <f t="shared" si="8"/>
        <v>0.55343753905478499</v>
      </c>
    </row>
    <row r="39" spans="1:26" x14ac:dyDescent="0.2">
      <c r="A39" s="20">
        <f t="shared" si="9"/>
        <v>36</v>
      </c>
      <c r="B39" s="21">
        <f t="shared" si="7"/>
        <v>4.4204566001595273E-2</v>
      </c>
      <c r="C39" s="21">
        <f t="shared" si="7"/>
        <v>8.5910487716162109E-2</v>
      </c>
      <c r="D39" s="21">
        <f t="shared" si="7"/>
        <v>0.12521673943527481</v>
      </c>
      <c r="E39" s="21">
        <f t="shared" si="7"/>
        <v>0.16221886572965988</v>
      </c>
      <c r="F39" s="21">
        <f t="shared" si="7"/>
        <v>0.1970089862819156</v>
      </c>
      <c r="G39" s="21">
        <f t="shared" si="7"/>
        <v>0.22967581011075039</v>
      </c>
      <c r="H39" s="21">
        <f t="shared" si="7"/>
        <v>0.26030465669401565</v>
      </c>
      <c r="I39" s="21">
        <f t="shared" si="7"/>
        <v>0.28897748181589644</v>
      </c>
      <c r="J39" s="21">
        <f t="shared" si="7"/>
        <v>0.31577290622834525</v>
      </c>
      <c r="K39" s="21">
        <f t="shared" si="7"/>
        <v>0.34076624543529382</v>
      </c>
      <c r="L39" s="21">
        <f t="shared" si="8"/>
        <v>0.36402953908634272</v>
      </c>
      <c r="M39" s="21">
        <f t="shared" si="8"/>
        <v>0.38563157860954383</v>
      </c>
      <c r="N39" s="21">
        <f t="shared" si="8"/>
        <v>0.40563793182477242</v>
      </c>
      <c r="O39" s="21">
        <f t="shared" si="8"/>
        <v>0.42411096336354054</v>
      </c>
      <c r="P39" s="21">
        <f t="shared" si="8"/>
        <v>0.44110984978081202</v>
      </c>
      <c r="Q39" s="21">
        <f t="shared" si="8"/>
        <v>0.45669058828179621</v>
      </c>
      <c r="R39" s="21">
        <f t="shared" si="8"/>
        <v>0.47090599800368976</v>
      </c>
      <c r="S39" s="21">
        <f t="shared" si="8"/>
        <v>0.48380571279036505</v>
      </c>
      <c r="T39" s="21">
        <f t="shared" si="8"/>
        <v>0.49543616437814125</v>
      </c>
      <c r="U39" s="21">
        <f t="shared" si="8"/>
        <v>0.50584055487379009</v>
      </c>
      <c r="V39" s="21">
        <f t="shared" si="8"/>
        <v>0.51505881735222991</v>
      </c>
      <c r="W39" s="21">
        <f t="shared" si="8"/>
        <v>0.52312756333114463</v>
      </c>
      <c r="X39" s="21">
        <f t="shared" si="8"/>
        <v>0.53008001579289998</v>
      </c>
      <c r="Y39" s="21">
        <f t="shared" si="8"/>
        <v>0.53594592632027738</v>
      </c>
      <c r="Z39" s="21">
        <f t="shared" si="8"/>
        <v>0.54075147479110397</v>
      </c>
    </row>
    <row r="40" spans="1:26" x14ac:dyDescent="0.2">
      <c r="A40" s="20">
        <f t="shared" si="9"/>
        <v>37</v>
      </c>
      <c r="B40" s="21">
        <f t="shared" si="7"/>
        <v>4.3010048426725636E-2</v>
      </c>
      <c r="C40" s="21">
        <f t="shared" si="7"/>
        <v>8.3589805246275545E-2</v>
      </c>
      <c r="D40" s="21">
        <f t="shared" si="7"/>
        <v>0.1218363227859495</v>
      </c>
      <c r="E40" s="21">
        <f t="shared" si="7"/>
        <v>0.15784325378379319</v>
      </c>
      <c r="F40" s="21">
        <f t="shared" si="7"/>
        <v>0.19170087202763597</v>
      </c>
      <c r="G40" s="21">
        <f t="shared" si="7"/>
        <v>0.22349610046157242</v>
      </c>
      <c r="H40" s="21">
        <f t="shared" si="7"/>
        <v>0.25331254464802272</v>
      </c>
      <c r="I40" s="21">
        <f t="shared" si="7"/>
        <v>0.2812305297447445</v>
      </c>
      <c r="J40" s="21">
        <f t="shared" si="7"/>
        <v>0.30732713938182293</v>
      </c>
      <c r="K40" s="21">
        <f t="shared" si="7"/>
        <v>0.33167625500979164</v>
      </c>
      <c r="L40" s="21">
        <f t="shared" si="8"/>
        <v>0.35434859444175743</v>
      </c>
      <c r="M40" s="21">
        <f t="shared" si="8"/>
        <v>0.37541174843401237</v>
      </c>
      <c r="N40" s="21">
        <f t="shared" si="8"/>
        <v>0.39493021424472691</v>
      </c>
      <c r="O40" s="21">
        <f t="shared" si="8"/>
        <v>0.41296542518191542</v>
      </c>
      <c r="P40" s="21">
        <f t="shared" si="8"/>
        <v>0.42957577520242379</v>
      </c>
      <c r="Q40" s="21">
        <f t="shared" si="8"/>
        <v>0.44481663765520146</v>
      </c>
      <c r="R40" s="21">
        <f t="shared" si="8"/>
        <v>0.45874037727620631</v>
      </c>
      <c r="S40" s="21">
        <f t="shared" si="8"/>
        <v>0.47139635454016915</v>
      </c>
      <c r="T40" s="21">
        <f t="shared" si="8"/>
        <v>0.48283092145706941</v>
      </c>
      <c r="U40" s="21">
        <f t="shared" si="8"/>
        <v>0.4930874078691499</v>
      </c>
      <c r="V40" s="21">
        <f t="shared" si="8"/>
        <v>0.502206097258037</v>
      </c>
      <c r="W40" s="21">
        <f t="shared" si="8"/>
        <v>0.51022419101113825</v>
      </c>
      <c r="X40" s="21">
        <f t="shared" si="8"/>
        <v>0.51717576002190002</v>
      </c>
      <c r="Y40" s="21">
        <f t="shared" si="8"/>
        <v>0.52309168240940318</v>
      </c>
      <c r="Z40" s="21">
        <f t="shared" si="8"/>
        <v>0.52799956603865383</v>
      </c>
    </row>
    <row r="41" spans="1:26" x14ac:dyDescent="0.2">
      <c r="A41" s="20">
        <f t="shared" si="9"/>
        <v>38</v>
      </c>
      <c r="B41" s="21">
        <f t="shared" si="7"/>
        <v>4.1841737310112072E-2</v>
      </c>
      <c r="C41" s="21">
        <f t="shared" si="7"/>
        <v>8.1319909755630027E-2</v>
      </c>
      <c r="D41" s="21">
        <f t="shared" si="7"/>
        <v>0.11852957572542627</v>
      </c>
      <c r="E41" s="21">
        <f t="shared" si="7"/>
        <v>0.15356243297615382</v>
      </c>
      <c r="F41" s="21">
        <f t="shared" si="7"/>
        <v>0.18650685231371794</v>
      </c>
      <c r="G41" s="21">
        <f t="shared" si="7"/>
        <v>0.21744791711365788</v>
      </c>
      <c r="H41" s="21">
        <f t="shared" si="7"/>
        <v>0.24646746689352961</v>
      </c>
      <c r="I41" s="21">
        <f t="shared" si="7"/>
        <v>0.27364414338159837</v>
      </c>
      <c r="J41" s="21">
        <f t="shared" si="7"/>
        <v>0.29905343771843185</v>
      </c>
      <c r="K41" s="21">
        <f t="shared" si="7"/>
        <v>0.3227677375865064</v>
      </c>
      <c r="L41" s="21">
        <f t="shared" si="8"/>
        <v>0.34485637319207235</v>
      </c>
      <c r="M41" s="21">
        <f t="shared" si="8"/>
        <v>0.36538566112694398</v>
      </c>
      <c r="N41" s="21">
        <f t="shared" si="8"/>
        <v>0.38441894521867259</v>
      </c>
      <c r="O41" s="21">
        <f t="shared" si="8"/>
        <v>0.40201663353827055</v>
      </c>
      <c r="P41" s="21">
        <f t="shared" si="8"/>
        <v>0.41823623077740157</v>
      </c>
      <c r="Q41" s="21">
        <f t="shared" si="8"/>
        <v>0.43313236523344228</v>
      </c>
      <c r="R41" s="21">
        <f t="shared" si="8"/>
        <v>0.44675680965242093</v>
      </c>
      <c r="S41" s="21">
        <f t="shared" si="8"/>
        <v>0.45915849517761975</v>
      </c>
      <c r="T41" s="21">
        <f t="shared" si="8"/>
        <v>0.47038351763636504</v>
      </c>
      <c r="U41" s="21">
        <f t="shared" si="8"/>
        <v>0.48047513536978298</v>
      </c>
      <c r="V41" s="21">
        <f t="shared" si="8"/>
        <v>0.48947375777037772</v>
      </c>
      <c r="W41" s="21">
        <f t="shared" si="8"/>
        <v>0.49741692364032086</v>
      </c>
      <c r="X41" s="21">
        <f t="shared" si="8"/>
        <v>0.50433926841923693</v>
      </c>
      <c r="Y41" s="21">
        <f t="shared" si="8"/>
        <v>0.51027247925378494</v>
      </c>
      <c r="Z41" s="21">
        <f t="shared" si="8"/>
        <v>0.51524523679202339</v>
      </c>
    </row>
    <row r="42" spans="1:26" x14ac:dyDescent="0.2">
      <c r="A42" s="20">
        <f t="shared" si="9"/>
        <v>39</v>
      </c>
      <c r="B42" s="21">
        <f t="shared" si="7"/>
        <v>4.0699978692585015E-2</v>
      </c>
      <c r="C42" s="21">
        <f t="shared" si="7"/>
        <v>7.9101495460151799E-2</v>
      </c>
      <c r="D42" s="21">
        <f t="shared" si="7"/>
        <v>0.11529756315120421</v>
      </c>
      <c r="E42" s="21">
        <f t="shared" si="7"/>
        <v>0.14937788010885725</v>
      </c>
      <c r="F42" s="21">
        <f t="shared" si="7"/>
        <v>0.18142887454590489</v>
      </c>
      <c r="G42" s="21">
        <f t="shared" si="7"/>
        <v>0.21153375338238439</v>
      </c>
      <c r="H42" s="21">
        <f t="shared" si="7"/>
        <v>0.23977255403592243</v>
      </c>
      <c r="I42" s="21">
        <f t="shared" si="7"/>
        <v>0.26622219785218665</v>
      </c>
      <c r="J42" s="21">
        <f t="shared" si="7"/>
        <v>0.2909565440265437</v>
      </c>
      <c r="K42" s="21">
        <f t="shared" si="7"/>
        <v>0.31404644300296958</v>
      </c>
      <c r="L42" s="21">
        <f t="shared" si="8"/>
        <v>0.33555978844610612</v>
      </c>
      <c r="M42" s="21">
        <f t="shared" si="8"/>
        <v>0.35556156697024804</v>
      </c>
      <c r="N42" s="21">
        <f t="shared" si="8"/>
        <v>0.37411390487760959</v>
      </c>
      <c r="O42" s="21">
        <f t="shared" si="8"/>
        <v>0.39127611120964501</v>
      </c>
      <c r="P42" s="21">
        <f t="shared" si="8"/>
        <v>0.40710471645128021</v>
      </c>
      <c r="Q42" s="21">
        <f t="shared" si="8"/>
        <v>0.42165350625011599</v>
      </c>
      <c r="R42" s="21">
        <f t="shared" si="8"/>
        <v>0.43497354952216805</v>
      </c>
      <c r="S42" s="21">
        <f t="shared" si="8"/>
        <v>0.44711322031339756</v>
      </c>
      <c r="T42" s="21">
        <f t="shared" si="8"/>
        <v>0.45811821277285902</v>
      </c>
      <c r="U42" s="21">
        <f t="shared" si="8"/>
        <v>0.4680315485691996</v>
      </c>
      <c r="V42" s="21">
        <f t="shared" si="8"/>
        <v>0.47689357604776067</v>
      </c>
      <c r="W42" s="21">
        <f t="shared" si="8"/>
        <v>0.48474196038076789</v>
      </c>
      <c r="X42" s="21">
        <f t="shared" si="8"/>
        <v>0.49161166390796901</v>
      </c>
      <c r="Y42" s="21">
        <f t="shared" si="8"/>
        <v>0.49753491579938491</v>
      </c>
      <c r="Z42" s="21">
        <f t="shared" si="8"/>
        <v>0.5025411700951935</v>
      </c>
    </row>
    <row r="43" spans="1:26" x14ac:dyDescent="0.2">
      <c r="A43" s="20">
        <f t="shared" si="9"/>
        <v>40</v>
      </c>
      <c r="B43" s="21">
        <f t="shared" si="7"/>
        <v>3.9584951134693971E-2</v>
      </c>
      <c r="C43" s="21">
        <f t="shared" si="7"/>
        <v>7.693492790847653E-2</v>
      </c>
      <c r="D43" s="21">
        <f t="shared" si="7"/>
        <v>0.11214086315798878</v>
      </c>
      <c r="E43" s="21">
        <f t="shared" si="7"/>
        <v>0.1452904271067241</v>
      </c>
      <c r="F43" s="21">
        <f t="shared" si="7"/>
        <v>0.17646808043917511</v>
      </c>
      <c r="G43" s="21">
        <f t="shared" si="7"/>
        <v>0.20575513067608561</v>
      </c>
      <c r="H43" s="21">
        <f t="shared" si="7"/>
        <v>0.23322979057749171</v>
      </c>
      <c r="I43" s="21">
        <f t="shared" si="7"/>
        <v>0.2589672374680746</v>
      </c>
      <c r="J43" s="21">
        <f t="shared" si="7"/>
        <v>0.28303967251878426</v>
      </c>
      <c r="K43" s="21">
        <f t="shared" si="7"/>
        <v>0.3055163791335061</v>
      </c>
      <c r="L43" s="21">
        <f t="shared" si="8"/>
        <v>0.32646377968291895</v>
      </c>
      <c r="M43" s="21">
        <f t="shared" si="8"/>
        <v>0.34594548990233204</v>
      </c>
      <c r="N43" s="21">
        <f t="shared" si="8"/>
        <v>0.36402237032841311</v>
      </c>
      <c r="O43" s="21">
        <f t="shared" si="8"/>
        <v>0.38075257419322539</v>
      </c>
      <c r="P43" s="21">
        <f t="shared" si="8"/>
        <v>0.3961915912243883</v>
      </c>
      <c r="Q43" s="21">
        <f t="shared" si="8"/>
        <v>0.41039228681873852</v>
      </c>
      <c r="R43" s="21">
        <f t="shared" si="8"/>
        <v>0.42340493606457735</v>
      </c>
      <c r="S43" s="21">
        <f t="shared" si="8"/>
        <v>0.43527725208522822</v>
      </c>
      <c r="T43" s="21">
        <f t="shared" si="8"/>
        <v>0.4460544081647691</v>
      </c>
      <c r="U43" s="21">
        <f t="shared" si="8"/>
        <v>0.4557790530958501</v>
      </c>
      <c r="V43" s="21">
        <f t="shared" si="8"/>
        <v>0.46449131915967973</v>
      </c>
      <c r="W43" s="21">
        <f t="shared" si="8"/>
        <v>0.47222882210966288</v>
      </c>
      <c r="X43" s="21">
        <f t="shared" si="8"/>
        <v>0.47902665248273119</v>
      </c>
      <c r="Y43" s="21">
        <f t="shared" si="8"/>
        <v>0.48491735750594173</v>
      </c>
      <c r="Z43" s="21">
        <f t="shared" si="8"/>
        <v>0.48993091280010354</v>
      </c>
    </row>
    <row r="44" spans="1:26" x14ac:dyDescent="0.2">
      <c r="A44" s="20">
        <f t="shared" si="9"/>
        <v>41</v>
      </c>
      <c r="B44" s="21">
        <f t="shared" ref="B44:K53" si="10">EXP(-UFR*($A44+B$2))*(Alpha*MIN($A44,B$2)-0.5*EXP(-Alpha*MAX($A44,B$2))*(EXP(Alpha*MIN($A44,B$2))-EXP(-Alpha*MIN($A44,B$2))))</f>
        <v>3.8496693374127165E-2</v>
      </c>
      <c r="C44" s="21">
        <f t="shared" si="10"/>
        <v>7.4820298195489396E-2</v>
      </c>
      <c r="D44" s="21">
        <f t="shared" si="10"/>
        <v>0.10905964718534999</v>
      </c>
      <c r="E44" s="21">
        <f t="shared" si="10"/>
        <v>0.14130036691951686</v>
      </c>
      <c r="F44" s="21">
        <f t="shared" si="10"/>
        <v>0.17162493790948444</v>
      </c>
      <c r="G44" s="21">
        <f t="shared" si="10"/>
        <v>0.20011275700662573</v>
      </c>
      <c r="H44" s="21">
        <f t="shared" si="10"/>
        <v>0.22684020105766273</v>
      </c>
      <c r="I44" s="21">
        <f t="shared" si="10"/>
        <v>0.25188069088254716</v>
      </c>
      <c r="J44" s="21">
        <f t="shared" si="10"/>
        <v>0.27530475476453181</v>
      </c>
      <c r="K44" s="21">
        <f t="shared" si="10"/>
        <v>0.29718009073983381</v>
      </c>
      <c r="L44" s="21">
        <f t="shared" ref="L44:Z53" si="11">EXP(-UFR*($A44+L$2))*(Alpha*MIN($A44,L$2)-0.5*EXP(-Alpha*MAX($A44,L$2))*(EXP(Alpha*MIN($A44,L$2))-EXP(-Alpha*MIN($A44,L$2))))</f>
        <v>0.31757162705361341</v>
      </c>
      <c r="M44" s="21">
        <f t="shared" si="11"/>
        <v>0.33654158021230585</v>
      </c>
      <c r="N44" s="21">
        <f t="shared" si="11"/>
        <v>0.35414951011157619</v>
      </c>
      <c r="O44" s="21">
        <f t="shared" si="11"/>
        <v>0.37045237175590151</v>
      </c>
      <c r="P44" s="21">
        <f t="shared" si="11"/>
        <v>0.38550456311135017</v>
      </c>
      <c r="Q44" s="21">
        <f t="shared" si="11"/>
        <v>0.3993579686485747</v>
      </c>
      <c r="R44" s="21">
        <f t="shared" si="11"/>
        <v>0.41206199813923489</v>
      </c>
      <c r="S44" s="21">
        <f t="shared" si="11"/>
        <v>0.42366362026666154</v>
      </c>
      <c r="T44" s="21">
        <f t="shared" si="11"/>
        <v>0.43420739060107438</v>
      </c>
      <c r="U44" s="21">
        <f t="shared" si="11"/>
        <v>0.44373547347139375</v>
      </c>
      <c r="V44" s="21">
        <f t="shared" si="11"/>
        <v>0.45228765723985648</v>
      </c>
      <c r="W44" s="21">
        <f t="shared" si="11"/>
        <v>0.45990136245232227</v>
      </c>
      <c r="X44" s="21">
        <f t="shared" si="11"/>
        <v>0.46661164229628688</v>
      </c>
      <c r="Y44" s="21">
        <f t="shared" si="11"/>
        <v>0.47245117475005283</v>
      </c>
      <c r="Z44" s="21">
        <f t="shared" si="11"/>
        <v>0.47745024574995787</v>
      </c>
    </row>
    <row r="45" spans="1:26" x14ac:dyDescent="0.2">
      <c r="A45" s="20">
        <f t="shared" si="9"/>
        <v>42</v>
      </c>
      <c r="B45" s="21">
        <f t="shared" si="10"/>
        <v>3.7435127868033262E-2</v>
      </c>
      <c r="C45" s="21">
        <f t="shared" si="10"/>
        <v>7.2757469111069367E-2</v>
      </c>
      <c r="D45" s="21">
        <f t="shared" si="10"/>
        <v>0.10605374824636442</v>
      </c>
      <c r="E45" s="21">
        <f t="shared" si="10"/>
        <v>0.13740754368185804</v>
      </c>
      <c r="F45" s="21">
        <f t="shared" si="10"/>
        <v>0.16689935337033074</v>
      </c>
      <c r="G45" s="21">
        <f t="shared" si="10"/>
        <v>0.19460666196482332</v>
      </c>
      <c r="H45" s="21">
        <f t="shared" si="10"/>
        <v>0.22060400857532067</v>
      </c>
      <c r="I45" s="21">
        <f t="shared" si="10"/>
        <v>0.24496305434831084</v>
      </c>
      <c r="J45" s="21">
        <f t="shared" si="10"/>
        <v>0.2677526491917287</v>
      </c>
      <c r="K45" s="21">
        <f t="shared" si="10"/>
        <v>0.28903889705073832</v>
      </c>
      <c r="L45" s="21">
        <f t="shared" si="11"/>
        <v>0.30888521920712642</v>
      </c>
      <c r="M45" s="21">
        <f t="shared" si="11"/>
        <v>0.32735241512874247</v>
      </c>
      <c r="N45" s="21">
        <f t="shared" si="11"/>
        <v>0.34449872043704699</v>
      </c>
      <c r="O45" s="21">
        <f t="shared" si="11"/>
        <v>0.36037986159181201</v>
      </c>
      <c r="P45" s="21">
        <f t="shared" si="11"/>
        <v>0.37504910691344473</v>
      </c>
      <c r="Q45" s="21">
        <f t="shared" si="11"/>
        <v>0.38855731357621892</v>
      </c>
      <c r="R45" s="21">
        <f t="shared" si="11"/>
        <v>0.40095297021060716</v>
      </c>
      <c r="S45" s="21">
        <f t="shared" si="11"/>
        <v>0.41228223475048553</v>
      </c>
      <c r="T45" s="21">
        <f t="shared" si="11"/>
        <v>0.42258896715164646</v>
      </c>
      <c r="U45" s="21">
        <f t="shared" si="11"/>
        <v>0.43191475659209583</v>
      </c>
      <c r="V45" s="21">
        <f t="shared" si="11"/>
        <v>0.44029894274219955</v>
      </c>
      <c r="W45" s="21">
        <f t="shared" si="11"/>
        <v>0.44777863066393947</v>
      </c>
      <c r="X45" s="21">
        <f t="shared" si="11"/>
        <v>0.45438869886329658</v>
      </c>
      <c r="Y45" s="21">
        <f t="shared" si="11"/>
        <v>0.46016179997797241</v>
      </c>
      <c r="Z45" s="21">
        <f t="shared" si="11"/>
        <v>0.46512835353403625</v>
      </c>
    </row>
    <row r="46" spans="1:26" x14ac:dyDescent="0.2">
      <c r="A46" s="20">
        <f t="shared" si="9"/>
        <v>43</v>
      </c>
      <c r="B46" s="21">
        <f t="shared" si="10"/>
        <v>3.6400080821300501E-2</v>
      </c>
      <c r="C46" s="21">
        <f t="shared" si="10"/>
        <v>7.0746114401947627E-2</v>
      </c>
      <c r="D46" s="21">
        <f t="shared" si="10"/>
        <v>0.10312271897797841</v>
      </c>
      <c r="E46" s="21">
        <f t="shared" si="10"/>
        <v>0.13361142942976512</v>
      </c>
      <c r="F46" s="21">
        <f t="shared" si="10"/>
        <v>0.16229076729543826</v>
      </c>
      <c r="G46" s="21">
        <f t="shared" si="10"/>
        <v>0.18923631159693111</v>
      </c>
      <c r="H46" s="21">
        <f t="shared" si="10"/>
        <v>0.21452076972499209</v>
      </c>
      <c r="I46" s="21">
        <f t="shared" si="10"/>
        <v>0.23821404773293886</v>
      </c>
      <c r="J46" s="21">
        <f t="shared" si="10"/>
        <v>0.26038331947467075</v>
      </c>
      <c r="K46" s="21">
        <f t="shared" si="10"/>
        <v>0.28109309409286937</v>
      </c>
      <c r="L46" s="21">
        <f t="shared" si="11"/>
        <v>0.30040528142039991</v>
      </c>
      <c r="M46" s="21">
        <f t="shared" si="11"/>
        <v>0.31837925490333668</v>
      </c>
      <c r="N46" s="21">
        <f t="shared" si="11"/>
        <v>0.33507191168919809</v>
      </c>
      <c r="O46" s="21">
        <f t="shared" si="11"/>
        <v>0.35053772955003087</v>
      </c>
      <c r="P46" s="21">
        <f t="shared" si="11"/>
        <v>0.36482882032790487</v>
      </c>
      <c r="Q46" s="21">
        <f t="shared" si="11"/>
        <v>0.37799497960094053</v>
      </c>
      <c r="R46" s="21">
        <f t="shared" si="11"/>
        <v>0.39008373227181686</v>
      </c>
      <c r="S46" s="21">
        <f t="shared" si="11"/>
        <v>0.40114037377827461</v>
      </c>
      <c r="T46" s="21">
        <f t="shared" si="11"/>
        <v>0.41120800661680318</v>
      </c>
      <c r="U46" s="21">
        <f t="shared" si="11"/>
        <v>0.42032757185672454</v>
      </c>
      <c r="V46" s="21">
        <f t="shared" si="11"/>
        <v>0.42853787530240667</v>
      </c>
      <c r="W46" s="21">
        <f t="shared" si="11"/>
        <v>0.43587560793640318</v>
      </c>
      <c r="X46" s="21">
        <f t="shared" si="11"/>
        <v>0.44237536024589991</v>
      </c>
      <c r="Y46" s="21">
        <f t="shared" si="11"/>
        <v>0.44806962999881583</v>
      </c>
      <c r="Z46" s="21">
        <f t="shared" si="11"/>
        <v>0.45298882299407223</v>
      </c>
    </row>
    <row r="47" spans="1:26" x14ac:dyDescent="0.2">
      <c r="A47" s="20">
        <f t="shared" si="9"/>
        <v>44</v>
      </c>
      <c r="B47" s="21">
        <f t="shared" si="10"/>
        <v>3.539129921436681E-2</v>
      </c>
      <c r="C47" s="21">
        <f t="shared" si="10"/>
        <v>6.878575215314929E-2</v>
      </c>
      <c r="D47" s="21">
        <f t="shared" si="10"/>
        <v>0.10026588100047608</v>
      </c>
      <c r="E47" s="21">
        <f t="shared" si="10"/>
        <v>0.12991118933814375</v>
      </c>
      <c r="F47" s="21">
        <f t="shared" si="10"/>
        <v>0.15779823549243041</v>
      </c>
      <c r="G47" s="21">
        <f t="shared" si="10"/>
        <v>0.18400070611828903</v>
      </c>
      <c r="H47" s="21">
        <f t="shared" si="10"/>
        <v>0.20858948939189467</v>
      </c>
      <c r="I47" s="21">
        <f t="shared" si="10"/>
        <v>0.23163274727042216</v>
      </c>
      <c r="J47" s="21">
        <f t="shared" si="10"/>
        <v>0.25319598635073448</v>
      </c>
      <c r="K47" s="21">
        <f t="shared" si="10"/>
        <v>0.27334212691838544</v>
      </c>
      <c r="L47" s="21">
        <f t="shared" si="11"/>
        <v>0.29213156982667543</v>
      </c>
      <c r="M47" s="21">
        <f t="shared" si="11"/>
        <v>0.30962226088389061</v>
      </c>
      <c r="N47" s="21">
        <f t="shared" si="11"/>
        <v>0.32586975245648203</v>
      </c>
      <c r="O47" s="21">
        <f t="shared" si="11"/>
        <v>0.34092726201781481</v>
      </c>
      <c r="P47" s="21">
        <f t="shared" si="11"/>
        <v>0.35484572738704451</v>
      </c>
      <c r="Q47" s="21">
        <f t="shared" si="11"/>
        <v>0.36767385841132788</v>
      </c>
      <c r="R47" s="21">
        <f t="shared" si="11"/>
        <v>0.37945818484748461</v>
      </c>
      <c r="S47" s="21">
        <f t="shared" si="11"/>
        <v>0.39024310019679426</v>
      </c>
      <c r="T47" s="21">
        <f t="shared" si="11"/>
        <v>0.40007090123916078</v>
      </c>
      <c r="U47" s="21">
        <f t="shared" si="11"/>
        <v>0.40898182300060437</v>
      </c>
      <c r="V47" s="21">
        <f t="shared" si="11"/>
        <v>0.41701406887107129</v>
      </c>
      <c r="W47" s="21">
        <f t="shared" si="11"/>
        <v>0.42420383556794272</v>
      </c>
      <c r="X47" s="21">
        <f t="shared" si="11"/>
        <v>0.43058533261432341</v>
      </c>
      <c r="Y47" s="21">
        <f t="shared" si="11"/>
        <v>0.43619079597011634</v>
      </c>
      <c r="Z47" s="21">
        <f t="shared" si="11"/>
        <v>0.44105049541785629</v>
      </c>
    </row>
    <row r="48" spans="1:26" x14ac:dyDescent="0.2">
      <c r="A48" s="20">
        <f t="shared" si="9"/>
        <v>45</v>
      </c>
      <c r="B48" s="21">
        <f t="shared" si="10"/>
        <v>3.4408465269376846E-2</v>
      </c>
      <c r="C48" s="21">
        <f t="shared" si="10"/>
        <v>6.6875773148984852E-2</v>
      </c>
      <c r="D48" s="21">
        <f t="shared" si="10"/>
        <v>9.7482366856931624E-2</v>
      </c>
      <c r="E48" s="21">
        <f t="shared" si="10"/>
        <v>0.12630573715765772</v>
      </c>
      <c r="F48" s="21">
        <f t="shared" si="10"/>
        <v>0.1534204981764975</v>
      </c>
      <c r="G48" s="21">
        <f t="shared" si="10"/>
        <v>0.17889846297291326</v>
      </c>
      <c r="H48" s="21">
        <f t="shared" si="10"/>
        <v>0.20280871834945755</v>
      </c>
      <c r="I48" s="21">
        <f t="shared" si="10"/>
        <v>0.22521769844816533</v>
      </c>
      <c r="J48" s="21">
        <f t="shared" si="10"/>
        <v>0.24618925674784181</v>
      </c>
      <c r="K48" s="21">
        <f t="shared" si="10"/>
        <v>0.2657847361263041</v>
      </c>
      <c r="L48" s="21">
        <f t="shared" si="11"/>
        <v>0.28406303669252053</v>
      </c>
      <c r="M48" s="21">
        <f t="shared" si="11"/>
        <v>0.30108068112597891</v>
      </c>
      <c r="N48" s="21">
        <f t="shared" si="11"/>
        <v>0.31689187728553925</v>
      </c>
      <c r="O48" s="21">
        <f t="shared" si="11"/>
        <v>0.33154857786832653</v>
      </c>
      <c r="P48" s="21">
        <f t="shared" si="11"/>
        <v>0.34510053691160314</v>
      </c>
      <c r="Q48" s="21">
        <f t="shared" si="11"/>
        <v>0.35759536293758876</v>
      </c>
      <c r="R48" s="21">
        <f t="shared" si="11"/>
        <v>0.36907856854332682</v>
      </c>
      <c r="S48" s="21">
        <f t="shared" si="11"/>
        <v>0.37959361623528393</v>
      </c>
      <c r="T48" s="21">
        <f t="shared" si="11"/>
        <v>0.38918196030166385</v>
      </c>
      <c r="U48" s="21">
        <f t="shared" si="11"/>
        <v>0.39788308450461429</v>
      </c>
      <c r="V48" s="21">
        <f t="shared" si="11"/>
        <v>0.405734535359694</v>
      </c>
      <c r="W48" s="21">
        <f t="shared" si="11"/>
        <v>0.4127719507511996</v>
      </c>
      <c r="X48" s="21">
        <f t="shared" si="11"/>
        <v>0.4190290836091885</v>
      </c>
      <c r="Y48" s="21">
        <f t="shared" si="11"/>
        <v>0.4245378203471965</v>
      </c>
      <c r="Z48" s="21">
        <f t="shared" si="11"/>
        <v>0.42932819372858538</v>
      </c>
    </row>
    <row r="49" spans="1:26" x14ac:dyDescent="0.2">
      <c r="A49" s="20">
        <f t="shared" si="9"/>
        <v>46</v>
      </c>
      <c r="B49" s="21">
        <f t="shared" si="10"/>
        <v>3.3451208729617987E-2</v>
      </c>
      <c r="C49" s="21">
        <f t="shared" si="10"/>
        <v>6.5015464948361343E-2</v>
      </c>
      <c r="D49" s="21">
        <f t="shared" si="10"/>
        <v>9.4771155618511391E-2</v>
      </c>
      <c r="E49" s="21">
        <f t="shared" si="10"/>
        <v>0.1227937822850538</v>
      </c>
      <c r="F49" s="21">
        <f t="shared" si="10"/>
        <v>0.14915603862896296</v>
      </c>
      <c r="G49" s="21">
        <f t="shared" si="10"/>
        <v>0.1739278873825876</v>
      </c>
      <c r="H49" s="21">
        <f t="shared" si="10"/>
        <v>0.19717663617443262</v>
      </c>
      <c r="I49" s="21">
        <f t="shared" si="10"/>
        <v>0.21896701193397022</v>
      </c>
      <c r="J49" s="21">
        <f t="shared" si="10"/>
        <v>0.23936123353944813</v>
      </c>
      <c r="K49" s="21">
        <f t="shared" si="10"/>
        <v>0.25841908243447459</v>
      </c>
      <c r="L49" s="21">
        <f t="shared" si="11"/>
        <v>0.27619797097367904</v>
      </c>
      <c r="M49" s="21">
        <f t="shared" si="11"/>
        <v>0.2927530082850282</v>
      </c>
      <c r="N49" s="21">
        <f t="shared" si="11"/>
        <v>0.30813706345728364</v>
      </c>
      <c r="O49" s="21">
        <f t="shared" si="11"/>
        <v>0.32240082587635271</v>
      </c>
      <c r="P49" s="21">
        <f t="shared" si="11"/>
        <v>0.33559286254450049</v>
      </c>
      <c r="Q49" s="21">
        <f t="shared" si="11"/>
        <v>0.34775967222204285</v>
      </c>
      <c r="R49" s="21">
        <f t="shared" si="11"/>
        <v>0.35894573623262455</v>
      </c>
      <c r="S49" s="21">
        <f t="shared" si="11"/>
        <v>0.36919356577078782</v>
      </c>
      <c r="T49" s="21">
        <f t="shared" si="11"/>
        <v>0.37854374554449011</v>
      </c>
      <c r="U49" s="21">
        <f t="shared" si="11"/>
        <v>0.38703497357568628</v>
      </c>
      <c r="V49" s="21">
        <f t="shared" si="11"/>
        <v>0.39470409696913306</v>
      </c>
      <c r="W49" s="21">
        <f t="shared" si="11"/>
        <v>0.40158614344324406</v>
      </c>
      <c r="X49" s="21">
        <f t="shared" si="11"/>
        <v>0.40771434839708898</v>
      </c>
      <c r="Y49" s="21">
        <f t="shared" si="11"/>
        <v>0.41312017726442518</v>
      </c>
      <c r="Z49" s="21">
        <f t="shared" si="11"/>
        <v>0.41783334287883461</v>
      </c>
    </row>
    <row r="50" spans="1:26" x14ac:dyDescent="0.2">
      <c r="A50" s="20">
        <f t="shared" si="9"/>
        <v>47</v>
      </c>
      <c r="B50" s="21">
        <f t="shared" si="10"/>
        <v>3.2519117272575407E-2</v>
      </c>
      <c r="C50" s="21">
        <f t="shared" si="10"/>
        <v>6.3204032302199648E-2</v>
      </c>
      <c r="D50" s="21">
        <f t="shared" si="10"/>
        <v>9.2131103083388691E-2</v>
      </c>
      <c r="E50" s="21">
        <f t="shared" si="10"/>
        <v>0.11937386969222331</v>
      </c>
      <c r="F50" s="21">
        <f t="shared" si="10"/>
        <v>0.1450031329657831</v>
      </c>
      <c r="G50" s="21">
        <f t="shared" si="10"/>
        <v>0.16908703221694488</v>
      </c>
      <c r="H50" s="21">
        <f t="shared" si="10"/>
        <v>0.19169112162856086</v>
      </c>
      <c r="I50" s="21">
        <f t="shared" si="10"/>
        <v>0.21287844502471104</v>
      </c>
      <c r="J50" s="21">
        <f t="shared" si="10"/>
        <v>0.23270960876102256</v>
      </c>
      <c r="K50" s="21">
        <f t="shared" si="10"/>
        <v>0.25124285251221418</v>
      </c>
      <c r="L50" s="21">
        <f t="shared" si="11"/>
        <v>0.26853411776412284</v>
      </c>
      <c r="M50" s="21">
        <f t="shared" si="11"/>
        <v>0.28463711384039131</v>
      </c>
      <c r="N50" s="21">
        <f t="shared" si="11"/>
        <v>0.29960338131148317</v>
      </c>
      <c r="O50" s="21">
        <f t="shared" si="11"/>
        <v>0.31348235264637325</v>
      </c>
      <c r="P50" s="21">
        <f t="shared" si="11"/>
        <v>0.32632140997563336</v>
      </c>
      <c r="Q50" s="21">
        <f t="shared" si="11"/>
        <v>0.33816593983912613</v>
      </c>
      <c r="R50" s="21">
        <f t="shared" si="11"/>
        <v>0.34905938479245008</v>
      </c>
      <c r="S50" s="21">
        <f t="shared" si="11"/>
        <v>0.35904329174391059</v>
      </c>
      <c r="T50" s="21">
        <f t="shared" si="11"/>
        <v>0.36815735688831203</v>
      </c>
      <c r="U50" s="21">
        <f t="shared" si="11"/>
        <v>0.37643946709540876</v>
      </c>
      <c r="V50" s="21">
        <f t="shared" si="11"/>
        <v>0.38392573759948873</v>
      </c>
      <c r="W50" s="21">
        <f t="shared" si="11"/>
        <v>0.39065054582232422</v>
      </c>
      <c r="X50" s="21">
        <f t="shared" si="11"/>
        <v>0.39664656114458807</v>
      </c>
      <c r="Y50" s="21">
        <f t="shared" si="11"/>
        <v>0.40194477042073407</v>
      </c>
      <c r="Z50" s="21">
        <f t="shared" si="11"/>
        <v>0.4065744990091768</v>
      </c>
    </row>
    <row r="51" spans="1:26" x14ac:dyDescent="0.2">
      <c r="A51" s="20">
        <f t="shared" si="9"/>
        <v>48</v>
      </c>
      <c r="B51" s="21">
        <f t="shared" si="10"/>
        <v>3.1611745330295461E-2</v>
      </c>
      <c r="C51" s="21">
        <f t="shared" si="10"/>
        <v>6.1440614449319975E-2</v>
      </c>
      <c r="D51" s="21">
        <f t="shared" si="10"/>
        <v>8.9560967361928437E-2</v>
      </c>
      <c r="E51" s="21">
        <f t="shared" si="10"/>
        <v>0.11604441376085516</v>
      </c>
      <c r="F51" s="21">
        <f t="shared" si="10"/>
        <v>0.14095989231894354</v>
      </c>
      <c r="G51" s="21">
        <f t="shared" si="10"/>
        <v>0.16437374874934246</v>
      </c>
      <c r="H51" s="21">
        <f t="shared" si="10"/>
        <v>0.18634981234285627</v>
      </c>
      <c r="I51" s="21">
        <f t="shared" si="10"/>
        <v>0.20694947073708003</v>
      </c>
      <c r="J51" s="21">
        <f t="shared" si="10"/>
        <v>0.22623174270938534</v>
      </c>
      <c r="K51" s="21">
        <f t="shared" si="10"/>
        <v>0.24425334881632807</v>
      </c>
      <c r="L51" s="21">
        <f t="shared" si="11"/>
        <v>0.26106877972652065</v>
      </c>
      <c r="M51" s="21">
        <f t="shared" si="11"/>
        <v>0.27673036211322266</v>
      </c>
      <c r="N51" s="21">
        <f t="shared" si="11"/>
        <v>0.29128832198748084</v>
      </c>
      <c r="O51" s="21">
        <f t="shared" si="11"/>
        <v>0.30479084536312817</v>
      </c>
      <c r="P51" s="21">
        <f t="shared" si="11"/>
        <v>0.31728413615176676</v>
      </c>
      <c r="Q51" s="21">
        <f t="shared" si="11"/>
        <v>0.32881247118936002</v>
      </c>
      <c r="R51" s="21">
        <f t="shared" si="11"/>
        <v>0.33941825229653522</v>
      </c>
      <c r="S51" s="21">
        <f t="shared" si="11"/>
        <v>0.34914205527235864</v>
      </c>
      <c r="T51" s="21">
        <f t="shared" si="11"/>
        <v>0.3580226757163637</v>
      </c>
      <c r="U51" s="21">
        <f t="shared" si="11"/>
        <v>0.36609717156608595</v>
      </c>
      <c r="V51" s="21">
        <f t="shared" si="11"/>
        <v>0.37340090222737049</v>
      </c>
      <c r="W51" s="21">
        <f t="shared" si="11"/>
        <v>0.37996756416226934</v>
      </c>
      <c r="X51" s="21">
        <f t="shared" si="11"/>
        <v>0.38582922278443671</v>
      </c>
      <c r="Y51" s="21">
        <f t="shared" si="11"/>
        <v>0.39101634049450174</v>
      </c>
      <c r="Z51" s="21">
        <f t="shared" si="11"/>
        <v>0.39555780066784146</v>
      </c>
    </row>
    <row r="52" spans="1:26" x14ac:dyDescent="0.2">
      <c r="A52" s="20">
        <f t="shared" si="9"/>
        <v>49</v>
      </c>
      <c r="B52" s="21">
        <f t="shared" si="10"/>
        <v>3.0728621550881578E-2</v>
      </c>
      <c r="C52" s="21">
        <f t="shared" si="10"/>
        <v>5.972429974903453E-2</v>
      </c>
      <c r="D52" s="21">
        <f t="shared" si="10"/>
        <v>8.7059430525346967E-2</v>
      </c>
      <c r="E52" s="21">
        <f t="shared" si="10"/>
        <v>0.11280372691706082</v>
      </c>
      <c r="F52" s="21">
        <f t="shared" si="10"/>
        <v>0.13702429854395001</v>
      </c>
      <c r="G52" s="21">
        <f t="shared" si="10"/>
        <v>0.15978572963544191</v>
      </c>
      <c r="H52" s="21">
        <f t="shared" si="10"/>
        <v>0.18115015537318832</v>
      </c>
      <c r="I52" s="21">
        <f t="shared" si="10"/>
        <v>0.20117733635200513</v>
      </c>
      <c r="J52" s="21">
        <f t="shared" si="10"/>
        <v>0.21992473099368745</v>
      </c>
      <c r="K52" s="21">
        <f t="shared" si="10"/>
        <v>0.23744756577387921</v>
      </c>
      <c r="L52" s="21">
        <f t="shared" si="11"/>
        <v>0.2537989031427117</v>
      </c>
      <c r="M52" s="21">
        <f t="shared" si="11"/>
        <v>0.26902970703597195</v>
      </c>
      <c r="N52" s="21">
        <f t="shared" si="11"/>
        <v>0.28318890588566131</v>
      </c>
      <c r="O52" s="21">
        <f t="shared" si="11"/>
        <v>0.29632345304741736</v>
      </c>
      <c r="P52" s="21">
        <f t="shared" si="11"/>
        <v>0.30847838456775661</v>
      </c>
      <c r="Q52" s="21">
        <f t="shared" si="11"/>
        <v>0.31969687421676746</v>
      </c>
      <c r="R52" s="21">
        <f t="shared" si="11"/>
        <v>0.33002028571197128</v>
      </c>
      <c r="S52" s="21">
        <f t="shared" si="11"/>
        <v>0.3394882220567722</v>
      </c>
      <c r="T52" s="21">
        <f t="shared" si="11"/>
        <v>0.34813857191235764</v>
      </c>
      <c r="U52" s="21">
        <f t="shared" si="11"/>
        <v>0.35600755291520275</v>
      </c>
      <c r="V52" s="21">
        <f t="shared" si="11"/>
        <v>0.36312975184351437</v>
      </c>
      <c r="W52" s="21">
        <f t="shared" si="11"/>
        <v>0.36953816152504676</v>
      </c>
      <c r="X52" s="21">
        <f t="shared" si="11"/>
        <v>0.37526421436572627</v>
      </c>
      <c r="Y52" s="21">
        <f t="shared" si="11"/>
        <v>0.38033781236336761</v>
      </c>
      <c r="Z52" s="21">
        <f t="shared" si="11"/>
        <v>0.3847873534533976</v>
      </c>
    </row>
    <row r="53" spans="1:26" x14ac:dyDescent="0.2">
      <c r="A53" s="20">
        <f t="shared" si="9"/>
        <v>50</v>
      </c>
      <c r="B53" s="21">
        <f t="shared" si="10"/>
        <v>2.9869255100881068E-2</v>
      </c>
      <c r="C53" s="21">
        <f t="shared" si="10"/>
        <v>5.8054138041925565E-2</v>
      </c>
      <c r="D53" s="21">
        <f t="shared" si="10"/>
        <v>8.4625116896393043E-2</v>
      </c>
      <c r="E53" s="21">
        <f t="shared" si="10"/>
        <v>0.10965004383006173</v>
      </c>
      <c r="F53" s="21">
        <f t="shared" si="10"/>
        <v>0.13319423440444622</v>
      </c>
      <c r="G53" s="21">
        <f t="shared" si="10"/>
        <v>0.15532054525666239</v>
      </c>
      <c r="H53" s="21">
        <f t="shared" si="10"/>
        <v>0.17608944996735024</v>
      </c>
      <c r="I53" s="21">
        <f t="shared" si="10"/>
        <v>0.19555911296048731</v>
      </c>
      <c r="J53" s="21">
        <f t="shared" si="10"/>
        <v>0.21378546130552167</v>
      </c>
      <c r="K53" s="21">
        <f t="shared" si="10"/>
        <v>0.2308222543138124</v>
      </c>
      <c r="L53" s="21">
        <f t="shared" si="11"/>
        <v>0.24672115083854337</v>
      </c>
      <c r="M53" s="21">
        <f t="shared" si="11"/>
        <v>0.26153177420062934</v>
      </c>
      <c r="N53" s="21">
        <f t="shared" si="11"/>
        <v>0.27530177467312988</v>
      </c>
      <c r="O53" s="21">
        <f t="shared" si="11"/>
        <v>0.28807688946370713</v>
      </c>
      <c r="P53" s="21">
        <f t="shared" si="11"/>
        <v>0.29990100013902637</v>
      </c>
      <c r="Q53" s="21">
        <f t="shared" si="11"/>
        <v>0.31081618743696743</v>
      </c>
      <c r="R53" s="21">
        <f t="shared" si="11"/>
        <v>0.32086278341228475</v>
      </c>
      <c r="S53" s="21">
        <f t="shared" si="11"/>
        <v>0.33007942085909531</v>
      </c>
      <c r="T53" s="21">
        <f t="shared" si="11"/>
        <v>0.33850307994939255</v>
      </c>
      <c r="U53" s="21">
        <f t="shared" si="11"/>
        <v>0.34616913202077587</v>
      </c>
      <c r="V53" s="21">
        <f t="shared" si="11"/>
        <v>0.35311138043877621</v>
      </c>
      <c r="W53" s="21">
        <f t="shared" si="11"/>
        <v>0.35936209844959249</v>
      </c>
      <c r="X53" s="21">
        <f t="shared" si="11"/>
        <v>0.36495206392768181</v>
      </c>
      <c r="Y53" s="21">
        <f t="shared" si="11"/>
        <v>0.36991059090946943</v>
      </c>
      <c r="Z53" s="21">
        <f t="shared" si="11"/>
        <v>0.37426555778935133</v>
      </c>
    </row>
    <row r="54" spans="1:26" x14ac:dyDescent="0.2">
      <c r="A54" s="20">
        <f t="shared" si="9"/>
        <v>51</v>
      </c>
      <c r="B54" s="21">
        <f t="shared" ref="B54:K68" si="12">EXP(-UFR*($A54+B$2))*(Alpha*MIN($A54,B$2)-0.5*EXP(-Alpha*MAX($A54,B$2))*(EXP(Alpha*MIN($A54,B$2))-EXP(-Alpha*MIN($A54,B$2))))</f>
        <v>2.9033140979211159E-2</v>
      </c>
      <c r="C54" s="21">
        <f t="shared" si="12"/>
        <v>5.6429151073239731E-2</v>
      </c>
      <c r="D54" s="21">
        <f t="shared" si="12"/>
        <v>8.2256608476291515E-2</v>
      </c>
      <c r="E54" s="21">
        <f t="shared" si="12"/>
        <v>0.10658154182768749</v>
      </c>
      <c r="F54" s="21">
        <f t="shared" si="12"/>
        <v>0.12946750904642093</v>
      </c>
      <c r="G54" s="21">
        <f t="shared" si="12"/>
        <v>0.15097567440426221</v>
      </c>
      <c r="H54" s="21">
        <f t="shared" si="12"/>
        <v>0.17116488368855132</v>
      </c>
      <c r="I54" s="21">
        <f t="shared" si="12"/>
        <v>0.19009173733312643</v>
      </c>
      <c r="J54" s="21">
        <f t="shared" si="12"/>
        <v>0.20781066141818391</v>
      </c>
      <c r="K54" s="21">
        <f t="shared" si="12"/>
        <v>0.22437397645791635</v>
      </c>
      <c r="L54" s="21">
        <f t="shared" ref="L54:Z68" si="13">EXP(-UFR*($A54+L$2))*(Alpha*MIN($A54,L$2)-0.5*EXP(-Alpha*MAX($A54,L$2))*(EXP(Alpha*MIN($A54,L$2))-EXP(-Alpha*MIN($A54,L$2))))</f>
        <v>0.23983196390909423</v>
      </c>
      <c r="M54" s="21">
        <f t="shared" si="13"/>
        <v>0.25423293034482319</v>
      </c>
      <c r="N54" s="21">
        <f t="shared" si="13"/>
        <v>0.26762326924591051</v>
      </c>
      <c r="O54" s="21">
        <f t="shared" si="13"/>
        <v>0.28004752036794889</v>
      </c>
      <c r="P54" s="21">
        <f t="shared" si="13"/>
        <v>0.2915484266456404</v>
      </c>
      <c r="Q54" s="21">
        <f t="shared" si="13"/>
        <v>0.30216698859725488</v>
      </c>
      <c r="R54" s="21">
        <f t="shared" si="13"/>
        <v>0.31194251619162972</v>
      </c>
      <c r="S54" s="21">
        <f t="shared" si="13"/>
        <v>0.32091267813789542</v>
      </c>
      <c r="T54" s="21">
        <f t="shared" si="13"/>
        <v>0.32911354855426644</v>
      </c>
      <c r="U54" s="21">
        <f t="shared" si="13"/>
        <v>0.33657965096682513</v>
      </c>
      <c r="V54" s="21">
        <f t="shared" si="13"/>
        <v>0.34334399958230405</v>
      </c>
      <c r="W54" s="21">
        <f t="shared" si="13"/>
        <v>0.34943813777043009</v>
      </c>
      <c r="X54" s="21">
        <f t="shared" si="13"/>
        <v>0.3548921736814496</v>
      </c>
      <c r="Y54" s="21">
        <f t="shared" si="13"/>
        <v>0.35973481291293857</v>
      </c>
      <c r="Z54" s="21">
        <f t="shared" si="13"/>
        <v>0.36399338812688997</v>
      </c>
    </row>
    <row r="55" spans="1:26" x14ac:dyDescent="0.2">
      <c r="A55" s="20">
        <f t="shared" si="9"/>
        <v>52</v>
      </c>
      <c r="B55" s="21">
        <f t="shared" si="12"/>
        <v>2.8219764488397369E-2</v>
      </c>
      <c r="C55" s="21">
        <f t="shared" si="12"/>
        <v>5.4848341264581338E-2</v>
      </c>
      <c r="D55" s="21">
        <f t="shared" si="12"/>
        <v>7.9952457930149226E-2</v>
      </c>
      <c r="E55" s="21">
        <f t="shared" si="12"/>
        <v>0.10359635808629546</v>
      </c>
      <c r="F55" s="21">
        <f t="shared" si="12"/>
        <v>0.12584187945605116</v>
      </c>
      <c r="G55" s="21">
        <f t="shared" si="12"/>
        <v>0.14674853013760131</v>
      </c>
      <c r="H55" s="21">
        <f t="shared" si="12"/>
        <v>0.16637356287342187</v>
      </c>
      <c r="I55" s="21">
        <f t="shared" si="12"/>
        <v>0.18477204724293383</v>
      </c>
      <c r="J55" s="21">
        <f t="shared" si="12"/>
        <v>0.20199693970509397</v>
      </c>
      <c r="K55" s="21">
        <f t="shared" si="12"/>
        <v>0.21809915143240655</v>
      </c>
      <c r="L55" s="21">
        <f t="shared" si="13"/>
        <v>0.23312761388973027</v>
      </c>
      <c r="M55" s="21">
        <f t="shared" si="13"/>
        <v>0.24712934212036933</v>
      </c>
      <c r="N55" s="21">
        <f t="shared" si="13"/>
        <v>0.26014949570862167</v>
      </c>
      <c r="O55" s="21">
        <f t="shared" si="13"/>
        <v>0.27223143739248845</v>
      </c>
      <c r="P55" s="21">
        <f t="shared" si="13"/>
        <v>0.28341678930285896</v>
      </c>
      <c r="Q55" s="21">
        <f t="shared" si="13"/>
        <v>0.29374548680636126</v>
      </c>
      <c r="R55" s="21">
        <f t="shared" si="13"/>
        <v>0.30325582992836264</v>
      </c>
      <c r="S55" s="21">
        <f t="shared" si="13"/>
        <v>0.31198453233042772</v>
      </c>
      <c r="T55" s="21">
        <f t="shared" si="13"/>
        <v>0.31996676781298317</v>
      </c>
      <c r="U55" s="21">
        <f t="shared" si="13"/>
        <v>0.32723621430905775</v>
      </c>
      <c r="V55" s="21">
        <f t="shared" si="13"/>
        <v>0.33382509532878762</v>
      </c>
      <c r="W55" s="21">
        <f t="shared" si="13"/>
        <v>0.33976421880693253</v>
      </c>
      <c r="X55" s="21">
        <f t="shared" si="13"/>
        <v>0.34508301329689445</v>
      </c>
      <c r="Y55" s="21">
        <f t="shared" si="13"/>
        <v>0.34980956144467812</v>
      </c>
      <c r="Z55" s="21">
        <f t="shared" si="13"/>
        <v>0.35397063066479495</v>
      </c>
    </row>
    <row r="56" spans="1:26" x14ac:dyDescent="0.2">
      <c r="A56" s="20">
        <f t="shared" si="9"/>
        <v>53</v>
      </c>
      <c r="B56" s="21">
        <f t="shared" si="12"/>
        <v>2.7428604987641592E-2</v>
      </c>
      <c r="C56" s="21">
        <f t="shared" si="12"/>
        <v>5.3310699077930276E-2</v>
      </c>
      <c r="D56" s="21">
        <f t="shared" si="12"/>
        <v>7.7711199491463753E-2</v>
      </c>
      <c r="E56" s="21">
        <f t="shared" si="12"/>
        <v>0.10069260407141997</v>
      </c>
      <c r="F56" s="21">
        <f t="shared" si="12"/>
        <v>0.12231506849404436</v>
      </c>
      <c r="G56" s="21">
        <f t="shared" si="12"/>
        <v>0.1426364815286203</v>
      </c>
      <c r="H56" s="21">
        <f t="shared" si="12"/>
        <v>0.16171253826004592</v>
      </c>
      <c r="I56" s="21">
        <f t="shared" si="12"/>
        <v>0.1795968112063821</v>
      </c>
      <c r="J56" s="21">
        <f t="shared" si="12"/>
        <v>0.19634081927937308</v>
      </c>
      <c r="K56" s="21">
        <f t="shared" si="12"/>
        <v>0.21199409454846715</v>
      </c>
      <c r="L56" s="21">
        <f t="shared" si="13"/>
        <v>0.22660424677868185</v>
      </c>
      <c r="M56" s="21">
        <f t="shared" si="13"/>
        <v>0.24021702572012205</v>
      </c>
      <c r="N56" s="21">
        <f t="shared" si="13"/>
        <v>0.25287638113235011</v>
      </c>
      <c r="O56" s="21">
        <f t="shared" si="13"/>
        <v>0.26462452053037355</v>
      </c>
      <c r="P56" s="21">
        <f t="shared" si="13"/>
        <v>0.27550196464094462</v>
      </c>
      <c r="Q56" s="21">
        <f t="shared" si="13"/>
        <v>0.2855476005583289</v>
      </c>
      <c r="R56" s="21">
        <f t="shared" si="13"/>
        <v>0.29479873258781436</v>
      </c>
      <c r="S56" s="21">
        <f t="shared" si="13"/>
        <v>0.30329113076310243</v>
      </c>
      <c r="T56" s="21">
        <f t="shared" si="13"/>
        <v>0.31105907702041979</v>
      </c>
      <c r="U56" s="21">
        <f t="shared" si="13"/>
        <v>0.31813540900776127</v>
      </c>
      <c r="V56" s="21">
        <f t="shared" si="13"/>
        <v>0.32455156150215653</v>
      </c>
      <c r="W56" s="21">
        <f t="shared" si="13"/>
        <v>0.33033760540124024</v>
      </c>
      <c r="X56" s="21">
        <f t="shared" si="13"/>
        <v>0.33552228424770808</v>
      </c>
      <c r="Y56" s="21">
        <f t="shared" si="13"/>
        <v>0.34013304823641893</v>
      </c>
      <c r="Z56" s="21">
        <f t="shared" si="13"/>
        <v>0.34419608564391119</v>
      </c>
    </row>
    <row r="57" spans="1:26" x14ac:dyDescent="0.2">
      <c r="A57" s="20">
        <f t="shared" si="9"/>
        <v>54</v>
      </c>
      <c r="B57" s="21">
        <f t="shared" si="12"/>
        <v>2.6659139034073479E-2</v>
      </c>
      <c r="C57" s="21">
        <f t="shared" si="12"/>
        <v>5.1815209180416356E-2</v>
      </c>
      <c r="D57" s="21">
        <f t="shared" si="12"/>
        <v>7.5531358093771817E-2</v>
      </c>
      <c r="E57" s="21">
        <f t="shared" si="12"/>
        <v>9.7868377635991363E-2</v>
      </c>
      <c r="F57" s="21">
        <f t="shared" si="12"/>
        <v>0.11888478001287694</v>
      </c>
      <c r="G57" s="21">
        <f t="shared" si="12"/>
        <v>0.13863687190073706</v>
      </c>
      <c r="H57" s="21">
        <f t="shared" si="12"/>
        <v>0.15717882649970599</v>
      </c>
      <c r="I57" s="21">
        <f t="shared" si="12"/>
        <v>0.17456275346695374</v>
      </c>
      <c r="J57" s="21">
        <f t="shared" si="12"/>
        <v>0.19083876669592661</v>
      </c>
      <c r="K57" s="21">
        <f t="shared" si="12"/>
        <v>0.20605504991812074</v>
      </c>
      <c r="L57" s="21">
        <f t="shared" si="13"/>
        <v>0.22025792011194939</v>
      </c>
      <c r="M57" s="21">
        <f t="shared" si="13"/>
        <v>0.23349188870932583</v>
      </c>
      <c r="N57" s="21">
        <f t="shared" si="13"/>
        <v>0.2457997205948784</v>
      </c>
      <c r="O57" s="21">
        <f t="shared" si="13"/>
        <v>0.25722249089546406</v>
      </c>
      <c r="P57" s="21">
        <f t="shared" si="13"/>
        <v>0.26779963955900465</v>
      </c>
      <c r="Q57" s="21">
        <f t="shared" si="13"/>
        <v>0.27756902372178383</v>
      </c>
      <c r="R57" s="21">
        <f t="shared" si="13"/>
        <v>0.28656696786231395</v>
      </c>
      <c r="S57" s="21">
        <f t="shared" si="13"/>
        <v>0.294828311737801</v>
      </c>
      <c r="T57" s="21">
        <f t="shared" si="13"/>
        <v>0.3023864560961525</v>
      </c>
      <c r="U57" s="21">
        <f t="shared" si="13"/>
        <v>0.30927340615245069</v>
      </c>
      <c r="V57" s="21">
        <f t="shared" si="13"/>
        <v>0.3155198128138485</v>
      </c>
      <c r="W57" s="21">
        <f t="shared" si="13"/>
        <v>0.32115501163097332</v>
      </c>
      <c r="X57" s="21">
        <f t="shared" si="13"/>
        <v>0.32620705944711603</v>
      </c>
      <c r="Y57" s="21">
        <f t="shared" si="13"/>
        <v>0.33070276870872439</v>
      </c>
      <c r="Z57" s="21">
        <f t="shared" si="13"/>
        <v>0.33466773939198102</v>
      </c>
    </row>
    <row r="58" spans="1:26" x14ac:dyDescent="0.2">
      <c r="A58" s="20">
        <f t="shared" si="9"/>
        <v>55</v>
      </c>
      <c r="B58" s="21">
        <f t="shared" si="12"/>
        <v>2.5910843003018987E-2</v>
      </c>
      <c r="C58" s="21">
        <f t="shared" si="12"/>
        <v>5.0360855587865065E-2</v>
      </c>
      <c r="D58" s="21">
        <f t="shared" si="12"/>
        <v>7.3411456992526089E-2</v>
      </c>
      <c r="E58" s="21">
        <f t="shared" si="12"/>
        <v>9.5121773123600678E-2</v>
      </c>
      <c r="F58" s="21">
        <f t="shared" si="12"/>
        <v>0.11554871148944491</v>
      </c>
      <c r="G58" s="21">
        <f t="shared" si="12"/>
        <v>0.13474703408163444</v>
      </c>
      <c r="H58" s="21">
        <f t="shared" si="12"/>
        <v>0.15276942816191844</v>
      </c>
      <c r="I58" s="21">
        <f t="shared" si="12"/>
        <v>0.1696665749252301</v>
      </c>
      <c r="J58" s="21">
        <f t="shared" si="12"/>
        <v>0.1854872160200951</v>
      </c>
      <c r="K58" s="21">
        <f t="shared" si="12"/>
        <v>0.2002782179163029</v>
      </c>
      <c r="L58" s="21">
        <f t="shared" si="13"/>
        <v>0.21408463411627437</v>
      </c>
      <c r="M58" s="21">
        <f t="shared" si="13"/>
        <v>0.2269497652114236</v>
      </c>
      <c r="N58" s="21">
        <f t="shared" si="13"/>
        <v>0.23891521678818611</v>
      </c>
      <c r="O58" s="21">
        <f t="shared" si="13"/>
        <v>0.25002095519044021</v>
      </c>
      <c r="P58" s="21">
        <f t="shared" si="13"/>
        <v>0.26030536114592917</v>
      </c>
      <c r="Q58" s="21">
        <f t="shared" si="13"/>
        <v>0.2698052812641144</v>
      </c>
      <c r="R58" s="21">
        <f t="shared" si="13"/>
        <v>0.27855607741174965</v>
      </c>
      <c r="S58" s="21">
        <f t="shared" si="13"/>
        <v>0.28659167397042401</v>
      </c>
      <c r="T58" s="21">
        <f t="shared" si="13"/>
        <v>0.29394460297745201</v>
      </c>
      <c r="U58" s="21">
        <f t="shared" si="13"/>
        <v>0.30064604714779597</v>
      </c>
      <c r="V58" s="21">
        <f t="shared" si="13"/>
        <v>0.3067258807702436</v>
      </c>
      <c r="W58" s="21">
        <f t="shared" si="13"/>
        <v>0.31221270846581506</v>
      </c>
      <c r="X58" s="21">
        <f t="shared" si="13"/>
        <v>0.31713390179033463</v>
      </c>
      <c r="Y58" s="21">
        <f t="shared" si="13"/>
        <v>0.32151563365627295</v>
      </c>
      <c r="Z58" s="21">
        <f t="shared" si="13"/>
        <v>0.32538291054127733</v>
      </c>
    </row>
    <row r="59" spans="1:26" x14ac:dyDescent="0.2">
      <c r="A59" s="20">
        <f t="shared" si="9"/>
        <v>56</v>
      </c>
      <c r="B59" s="21">
        <f t="shared" si="12"/>
        <v>2.5183195264857659E-2</v>
      </c>
      <c r="C59" s="21">
        <f t="shared" si="12"/>
        <v>4.8946625939140953E-2</v>
      </c>
      <c r="D59" s="21">
        <f t="shared" si="12"/>
        <v>7.1350024101880932E-2</v>
      </c>
      <c r="E59" s="21">
        <f t="shared" si="12"/>
        <v>9.2450889773563791E-2</v>
      </c>
      <c r="F59" s="21">
        <f t="shared" si="12"/>
        <v>0.11230456454250981</v>
      </c>
      <c r="G59" s="21">
        <f t="shared" si="12"/>
        <v>0.13096430311359472</v>
      </c>
      <c r="H59" s="21">
        <f t="shared" si="12"/>
        <v>0.14848134275338221</v>
      </c>
      <c r="I59" s="21">
        <f t="shared" si="12"/>
        <v>0.16490497061683315</v>
      </c>
      <c r="J59" s="21">
        <f t="shared" si="12"/>
        <v>0.18028258894963417</v>
      </c>
      <c r="K59" s="21">
        <f t="shared" si="12"/>
        <v>0.1946597781671511</v>
      </c>
      <c r="L59" s="21">
        <f t="shared" si="13"/>
        <v>0.20808035781631279</v>
      </c>
      <c r="M59" s="21">
        <f t="shared" si="13"/>
        <v>0.22058644543058717</v>
      </c>
      <c r="N59" s="21">
        <f t="shared" si="13"/>
        <v>0.23221851329080204</v>
      </c>
      <c r="O59" s="21">
        <f t="shared" si="13"/>
        <v>0.24301544310603648</v>
      </c>
      <c r="P59" s="21">
        <f t="shared" si="13"/>
        <v>0.25301457862928589</v>
      </c>
      <c r="Q59" s="21">
        <f t="shared" si="13"/>
        <v>0.26225177622218987</v>
      </c>
      <c r="R59" s="21">
        <f t="shared" si="13"/>
        <v>0.27076145338187524</v>
      </c>
      <c r="S59" s="21">
        <f t="shared" si="13"/>
        <v>0.27857663524098225</v>
      </c>
      <c r="T59" s="21">
        <f t="shared" si="13"/>
        <v>0.28572899904923488</v>
      </c>
      <c r="U59" s="21">
        <f t="shared" si="13"/>
        <v>0.2922489166415419</v>
      </c>
      <c r="V59" s="21">
        <f t="shared" si="13"/>
        <v>0.29816549489356708</v>
      </c>
      <c r="W59" s="21">
        <f t="shared" si="13"/>
        <v>0.3035066141610025</v>
      </c>
      <c r="X59" s="21">
        <f t="shared" si="13"/>
        <v>0.30829896469341544</v>
      </c>
      <c r="Y59" s="21">
        <f t="shared" si="13"/>
        <v>0.31256808100748545</v>
      </c>
      <c r="Z59" s="21">
        <f t="shared" si="13"/>
        <v>0.31633837419769306</v>
      </c>
    </row>
    <row r="60" spans="1:26" x14ac:dyDescent="0.2">
      <c r="A60" s="20">
        <f t="shared" si="9"/>
        <v>57</v>
      </c>
      <c r="B60" s="21">
        <f t="shared" si="12"/>
        <v>2.4475677984708708E-2</v>
      </c>
      <c r="C60" s="21">
        <f t="shared" si="12"/>
        <v>4.7571515031106938E-2</v>
      </c>
      <c r="D60" s="21">
        <f t="shared" si="12"/>
        <v>6.934559723824911E-2</v>
      </c>
      <c r="E60" s="21">
        <f t="shared" si="12"/>
        <v>8.9853838681195647E-2</v>
      </c>
      <c r="F60" s="21">
        <f t="shared" si="12"/>
        <v>0.10915005365037869</v>
      </c>
      <c r="G60" s="21">
        <f t="shared" si="12"/>
        <v>0.12728602680025553</v>
      </c>
      <c r="H60" s="21">
        <f t="shared" si="12"/>
        <v>0.14431158119545281</v>
      </c>
      <c r="I60" s="21">
        <f t="shared" si="12"/>
        <v>0.16027464425175419</v>
      </c>
      <c r="J60" s="21">
        <f t="shared" si="12"/>
        <v>0.17522131157654691</v>
      </c>
      <c r="K60" s="21">
        <f t="shared" si="12"/>
        <v>0.18919590871898023</v>
      </c>
      <c r="L60" s="21">
        <f t="shared" si="13"/>
        <v>0.20224105084431473</v>
      </c>
      <c r="M60" s="21">
        <f t="shared" si="13"/>
        <v>0.21439770034994426</v>
      </c>
      <c r="N60" s="21">
        <f t="shared" si="13"/>
        <v>0.22570522244250066</v>
      </c>
      <c r="O60" s="21">
        <f t="shared" si="13"/>
        <v>0.23620143869643648</v>
      </c>
      <c r="P60" s="21">
        <f t="shared" si="13"/>
        <v>0.245922678614624</v>
      </c>
      <c r="Q60" s="21">
        <f t="shared" si="13"/>
        <v>0.25490382921089155</v>
      </c>
      <c r="R60" s="21">
        <f t="shared" si="13"/>
        <v>0.26317838263312154</v>
      </c>
      <c r="S60" s="21">
        <f t="shared" si="13"/>
        <v>0.27077848184358388</v>
      </c>
      <c r="T60" s="21">
        <f t="shared" si="13"/>
        <v>0.27773496437064404</v>
      </c>
      <c r="U60" s="21">
        <f t="shared" si="13"/>
        <v>0.28407740414286797</v>
      </c>
      <c r="V60" s="21">
        <f t="shared" si="13"/>
        <v>0.28983415141286395</v>
      </c>
      <c r="W60" s="21">
        <f t="shared" si="13"/>
        <v>0.29503237077398098</v>
      </c>
      <c r="X60" s="21">
        <f t="shared" si="13"/>
        <v>0.29969807726817782</v>
      </c>
      <c r="Y60" s="21">
        <f t="shared" si="13"/>
        <v>0.30385617057802072</v>
      </c>
      <c r="Z60" s="21">
        <f t="shared" si="13"/>
        <v>0.30753046728978861</v>
      </c>
    </row>
    <row r="61" spans="1:26" x14ac:dyDescent="0.2">
      <c r="A61" s="20">
        <f t="shared" si="9"/>
        <v>58</v>
      </c>
      <c r="B61" s="21">
        <f t="shared" si="12"/>
        <v>2.3787778601503561E-2</v>
      </c>
      <c r="C61" s="21">
        <f t="shared" si="12"/>
        <v>4.6234527725043398E-2</v>
      </c>
      <c r="D61" s="21">
        <f t="shared" si="12"/>
        <v>6.7396728434450395E-2</v>
      </c>
      <c r="E61" s="21">
        <f t="shared" si="12"/>
        <v>8.732874852967154E-2</v>
      </c>
      <c r="F61" s="21">
        <f t="shared" si="12"/>
        <v>0.10608291333816428</v>
      </c>
      <c r="G61" s="21">
        <f t="shared" si="12"/>
        <v>0.12370957441330514</v>
      </c>
      <c r="H61" s="21">
        <f t="shared" si="12"/>
        <v>0.14025717613980282</v>
      </c>
      <c r="I61" s="21">
        <f t="shared" si="12"/>
        <v>0.15577232025360011</v>
      </c>
      <c r="J61" s="21">
        <f t="shared" si="12"/>
        <v>0.17029982828964291</v>
      </c>
      <c r="K61" s="21">
        <f t="shared" si="12"/>
        <v>0.18388280197540602</v>
      </c>
      <c r="L61" s="21">
        <f t="shared" si="13"/>
        <v>0.19656268159138407</v>
      </c>
      <c r="M61" s="21">
        <f t="shared" si="13"/>
        <v>0.20837930232203644</v>
      </c>
      <c r="N61" s="21">
        <f t="shared" si="13"/>
        <v>0.21937094862204592</v>
      </c>
      <c r="O61" s="21">
        <f t="shared" si="13"/>
        <v>0.22957440662332795</v>
      </c>
      <c r="P61" s="21">
        <f t="shared" si="13"/>
        <v>0.23902501460808587</v>
      </c>
      <c r="Q61" s="21">
        <f t="shared" si="13"/>
        <v>0.24775671157243745</v>
      </c>
      <c r="R61" s="21">
        <f t="shared" si="13"/>
        <v>0.2558020839037764</v>
      </c>
      <c r="S61" s="21">
        <f t="shared" si="13"/>
        <v>0.26319241019314182</v>
      </c>
      <c r="T61" s="21">
        <f t="shared" si="13"/>
        <v>0.26995770420146875</v>
      </c>
      <c r="U61" s="21">
        <f t="shared" si="13"/>
        <v>0.27612675599570707</v>
      </c>
      <c r="V61" s="21">
        <f t="shared" si="13"/>
        <v>0.28172717126744579</v>
      </c>
      <c r="W61" s="21">
        <f t="shared" si="13"/>
        <v>0.28678540884285381</v>
      </c>
      <c r="X61" s="21">
        <f t="shared" si="13"/>
        <v>0.29132681638845448</v>
      </c>
      <c r="Y61" s="21">
        <f t="shared" si="13"/>
        <v>0.29537566431246948</v>
      </c>
      <c r="Z61" s="21">
        <f t="shared" si="13"/>
        <v>0.2989551778561787</v>
      </c>
    </row>
    <row r="62" spans="1:26" x14ac:dyDescent="0.2">
      <c r="A62" s="20">
        <f t="shared" si="9"/>
        <v>59</v>
      </c>
      <c r="B62" s="21">
        <f t="shared" si="12"/>
        <v>2.3118991034729454E-2</v>
      </c>
      <c r="C62" s="21">
        <f t="shared" si="12"/>
        <v>4.493468131915794E-2</v>
      </c>
      <c r="D62" s="21">
        <f t="shared" si="12"/>
        <v>6.55019874643126E-2</v>
      </c>
      <c r="E62" s="21">
        <f t="shared" si="12"/>
        <v>8.4873770278209776E-2</v>
      </c>
      <c r="F62" s="21">
        <f t="shared" si="12"/>
        <v>0.10310090406458693</v>
      </c>
      <c r="G62" s="21">
        <f t="shared" si="12"/>
        <v>0.12023234383533854</v>
      </c>
      <c r="H62" s="21">
        <f t="shared" si="12"/>
        <v>0.13631519044643578</v>
      </c>
      <c r="I62" s="21">
        <f t="shared" si="12"/>
        <v>0.15139475367319774</v>
      </c>
      <c r="J62" s="21">
        <f t="shared" si="12"/>
        <v>0.16551461324551472</v>
      </c>
      <c r="K62" s="21">
        <f t="shared" si="12"/>
        <v>0.17871667786718251</v>
      </c>
      <c r="L62" s="21">
        <f t="shared" si="13"/>
        <v>0.19104124224605831</v>
      </c>
      <c r="M62" s="21">
        <f t="shared" si="13"/>
        <v>0.20252704216341788</v>
      </c>
      <c r="N62" s="21">
        <f t="shared" si="13"/>
        <v>0.21321130761180104</v>
      </c>
      <c r="O62" s="21">
        <f t="shared" si="13"/>
        <v>0.22312981403085985</v>
      </c>
      <c r="P62" s="21">
        <f t="shared" si="13"/>
        <v>0.23231693167035958</v>
      </c>
      <c r="Q62" s="21">
        <f t="shared" si="13"/>
        <v>0.24080567310857134</v>
      </c>
      <c r="R62" s="21">
        <f t="shared" si="13"/>
        <v>0.24862773895290444</v>
      </c>
      <c r="S62" s="21">
        <f t="shared" si="13"/>
        <v>0.25581356174777886</v>
      </c>
      <c r="T62" s="21">
        <f t="shared" si="13"/>
        <v>0.26239234811246276</v>
      </c>
      <c r="U62" s="21">
        <f t="shared" si="13"/>
        <v>0.26839211912892913</v>
      </c>
      <c r="V62" s="21">
        <f t="shared" si="13"/>
        <v>0.27383974899670416</v>
      </c>
      <c r="W62" s="21">
        <f t="shared" si="13"/>
        <v>0.27876100196822035</v>
      </c>
      <c r="X62" s="21">
        <f t="shared" si="13"/>
        <v>0.2831805675743152</v>
      </c>
      <c r="Y62" s="21">
        <f t="shared" si="13"/>
        <v>0.28712209414524742</v>
      </c>
      <c r="Z62" s="21">
        <f t="shared" si="13"/>
        <v>0.29060822062790104</v>
      </c>
    </row>
    <row r="63" spans="1:26" x14ac:dyDescent="0.2">
      <c r="A63" s="20">
        <f t="shared" si="9"/>
        <v>60</v>
      </c>
      <c r="B63" s="21">
        <f t="shared" si="12"/>
        <v>2.2468816660060342E-2</v>
      </c>
      <c r="C63" s="21">
        <f t="shared" si="12"/>
        <v>4.3671007467963811E-2</v>
      </c>
      <c r="D63" s="21">
        <f t="shared" si="12"/>
        <v>6.3659964697114546E-2</v>
      </c>
      <c r="E63" s="21">
        <f t="shared" si="12"/>
        <v>8.2487080964273526E-2</v>
      </c>
      <c r="F63" s="21">
        <f t="shared" si="12"/>
        <v>0.1002018170046298</v>
      </c>
      <c r="G63" s="21">
        <f t="shared" si="12"/>
        <v>0.11685176737468257</v>
      </c>
      <c r="H63" s="21">
        <f t="shared" si="12"/>
        <v>0.13248272410080278</v>
      </c>
      <c r="I63" s="21">
        <f t="shared" si="12"/>
        <v>0.14713873829624061</v>
      </c>
      <c r="J63" s="21">
        <f t="shared" si="12"/>
        <v>0.16086217977309178</v>
      </c>
      <c r="K63" s="21">
        <f t="shared" si="12"/>
        <v>0.17369379467849036</v>
      </c>
      <c r="L63" s="21">
        <f t="shared" si="13"/>
        <v>0.18567276118619694</v>
      </c>
      <c r="M63" s="21">
        <f t="shared" si="13"/>
        <v>0.196836743275911</v>
      </c>
      <c r="N63" s="21">
        <f t="shared" si="13"/>
        <v>0.20722194263314475</v>
      </c>
      <c r="O63" s="21">
        <f t="shared" si="13"/>
        <v>0.21686314870244755</v>
      </c>
      <c r="P63" s="21">
        <f t="shared" si="13"/>
        <v>0.22579378692620208</v>
      </c>
      <c r="Q63" s="21">
        <f t="shared" si="13"/>
        <v>0.23404596520020896</v>
      </c>
      <c r="R63" s="21">
        <f t="shared" si="13"/>
        <v>0.2416505185758531</v>
      </c>
      <c r="S63" s="21">
        <f t="shared" si="13"/>
        <v>0.24863705223684279</v>
      </c>
      <c r="T63" s="21">
        <f t="shared" si="13"/>
        <v>0.25503398277636069</v>
      </c>
      <c r="U63" s="21">
        <f t="shared" si="13"/>
        <v>0.26086857779796496</v>
      </c>
      <c r="V63" s="21">
        <f t="shared" si="13"/>
        <v>0.26616699386075499</v>
      </c>
      <c r="W63" s="21">
        <f t="shared" si="13"/>
        <v>0.27095431278615562</v>
      </c>
      <c r="X63" s="21">
        <f t="shared" si="13"/>
        <v>0.27525457634018113</v>
      </c>
      <c r="Y63" s="21">
        <f t="shared" si="13"/>
        <v>0.27909081930121055</v>
      </c>
      <c r="Z63" s="21">
        <f t="shared" si="13"/>
        <v>0.28248510091910378</v>
      </c>
    </row>
    <row r="64" spans="1:26" x14ac:dyDescent="0.2">
      <c r="A64" s="20">
        <f t="shared" si="9"/>
        <v>61</v>
      </c>
      <c r="B64" s="21">
        <f t="shared" si="12"/>
        <v>2.1836765089051906E-2</v>
      </c>
      <c r="C64" s="21">
        <f t="shared" si="12"/>
        <v>4.2442553717470195E-2</v>
      </c>
      <c r="D64" s="21">
        <f t="shared" si="12"/>
        <v>6.1869273383769186E-2</v>
      </c>
      <c r="E64" s="21">
        <f t="shared" si="12"/>
        <v>8.0166886754388988E-2</v>
      </c>
      <c r="F64" s="21">
        <f t="shared" si="12"/>
        <v>9.7383477895607445E-2</v>
      </c>
      <c r="G64" s="21">
        <f t="shared" si="12"/>
        <v>0.11356531645347068</v>
      </c>
      <c r="H64" s="21">
        <f t="shared" si="12"/>
        <v>0.12875691980625656</v>
      </c>
      <c r="I64" s="21">
        <f t="shared" si="12"/>
        <v>0.14300111321787246</v>
      </c>
      <c r="J64" s="21">
        <f t="shared" si="12"/>
        <v>0.15633908802350238</v>
      </c>
      <c r="K64" s="21">
        <f t="shared" si="12"/>
        <v>0.16881045788089358</v>
      </c>
      <c r="L64" s="21">
        <f t="shared" si="13"/>
        <v>0.18045331312202764</v>
      </c>
      <c r="M64" s="21">
        <f t="shared" si="13"/>
        <v>0.19130427324064775</v>
      </c>
      <c r="N64" s="21">
        <f t="shared" si="13"/>
        <v>0.2013985375513021</v>
      </c>
      <c r="O64" s="21">
        <f t="shared" si="13"/>
        <v>0.21076993405526576</v>
      </c>
      <c r="P64" s="21">
        <f t="shared" si="13"/>
        <v>0.21945096654799201</v>
      </c>
      <c r="Q64" s="21">
        <f t="shared" si="13"/>
        <v>0.22747286000164865</v>
      </c>
      <c r="R64" s="21">
        <f t="shared" si="13"/>
        <v>0.23486560425485539</v>
      </c>
      <c r="S64" s="21">
        <f t="shared" si="13"/>
        <v>0.24165799603998969</v>
      </c>
      <c r="T64" s="21">
        <f t="shared" si="13"/>
        <v>0.24787767937636998</v>
      </c>
      <c r="U64" s="21">
        <f t="shared" si="13"/>
        <v>0.25355118435529722</v>
      </c>
      <c r="V64" s="21">
        <f t="shared" si="13"/>
        <v>0.25870396434031789</v>
      </c>
      <c r="W64" s="21">
        <f t="shared" si="13"/>
        <v>0.26336043160318534</v>
      </c>
      <c r="X64" s="21">
        <f t="shared" si="13"/>
        <v>0.26754399141283108</v>
      </c>
      <c r="Y64" s="21">
        <f t="shared" si="13"/>
        <v>0.27127707459119782</v>
      </c>
      <c r="Z64" s="21">
        <f t="shared" si="13"/>
        <v>0.27458116854603704</v>
      </c>
    </row>
    <row r="65" spans="1:26" x14ac:dyDescent="0.2">
      <c r="A65" s="20">
        <f t="shared" si="9"/>
        <v>62</v>
      </c>
      <c r="B65" s="21">
        <f t="shared" si="12"/>
        <v>2.1222354782917844E-2</v>
      </c>
      <c r="C65" s="21">
        <f t="shared" si="12"/>
        <v>4.1248384715015414E-2</v>
      </c>
      <c r="D65" s="21">
        <f t="shared" si="12"/>
        <v>6.0128551461701644E-2</v>
      </c>
      <c r="E65" s="21">
        <f t="shared" si="12"/>
        <v>7.7911425358442421E-2</v>
      </c>
      <c r="F65" s="21">
        <f t="shared" si="12"/>
        <v>9.4643750089643805E-2</v>
      </c>
      <c r="G65" s="21">
        <f t="shared" si="12"/>
        <v>0.11037050534074649</v>
      </c>
      <c r="H65" s="21">
        <f t="shared" si="12"/>
        <v>0.12513496745346392</v>
      </c>
      <c r="I65" s="21">
        <f t="shared" si="12"/>
        <v>0.1389787681171292</v>
      </c>
      <c r="J65" s="21">
        <f t="shared" si="12"/>
        <v>0.15194195113132558</v>
      </c>
      <c r="K65" s="21">
        <f t="shared" si="12"/>
        <v>0.1640630272764777</v>
      </c>
      <c r="L65" s="21">
        <f t="shared" si="13"/>
        <v>0.17537902732997429</v>
      </c>
      <c r="M65" s="21">
        <f t="shared" si="13"/>
        <v>0.18592555326576407</v>
      </c>
      <c r="N65" s="21">
        <f t="shared" si="13"/>
        <v>0.19573682767527387</v>
      </c>
      <c r="O65" s="21">
        <f t="shared" si="13"/>
        <v>0.20484574144701323</v>
      </c>
      <c r="P65" s="21">
        <f t="shared" si="13"/>
        <v>0.2132838997413864</v>
      </c>
      <c r="Q65" s="21">
        <f t="shared" si="13"/>
        <v>0.22108166629607129</v>
      </c>
      <c r="R65" s="21">
        <f t="shared" si="13"/>
        <v>0.22826820609588624</v>
      </c>
      <c r="S65" s="21">
        <f t="shared" si="13"/>
        <v>0.2348715264393498</v>
      </c>
      <c r="T65" s="21">
        <f t="shared" si="13"/>
        <v>0.24091851643218984</v>
      </c>
      <c r="U65" s="21">
        <f t="shared" si="13"/>
        <v>0.24643498493586066</v>
      </c>
      <c r="V65" s="21">
        <f t="shared" si="13"/>
        <v>0.25144569699670732</v>
      </c>
      <c r="W65" s="21">
        <f t="shared" si="13"/>
        <v>0.25597440877876448</v>
      </c>
      <c r="X65" s="21">
        <f t="shared" si="13"/>
        <v>0.26004390102028796</v>
      </c>
      <c r="Y65" s="21">
        <f t="shared" si="13"/>
        <v>0.26367601103099986</v>
      </c>
      <c r="Z65" s="21">
        <f t="shared" si="13"/>
        <v>0.26689166324364239</v>
      </c>
    </row>
    <row r="66" spans="1:26" x14ac:dyDescent="0.2">
      <c r="A66" s="20">
        <f t="shared" si="9"/>
        <v>63</v>
      </c>
      <c r="B66" s="21">
        <f t="shared" si="12"/>
        <v>2.0625113525996563E-2</v>
      </c>
      <c r="C66" s="21">
        <f t="shared" si="12"/>
        <v>4.0087583143934992E-2</v>
      </c>
      <c r="D66" s="21">
        <f t="shared" si="12"/>
        <v>5.8436462952610214E-2</v>
      </c>
      <c r="E66" s="21">
        <f t="shared" si="12"/>
        <v>7.5718967905456236E-2</v>
      </c>
      <c r="F66" s="21">
        <f t="shared" si="12"/>
        <v>9.1980536934569368E-2</v>
      </c>
      <c r="G66" s="21">
        <f t="shared" si="12"/>
        <v>0.10726489407717145</v>
      </c>
      <c r="H66" s="21">
        <f t="shared" si="12"/>
        <v>0.12161410763882315</v>
      </c>
      <c r="I66" s="21">
        <f t="shared" si="12"/>
        <v>0.13506864743000638</v>
      </c>
      <c r="J66" s="21">
        <f t="shared" si="12"/>
        <v>0.14766744011431343</v>
      </c>
      <c r="K66" s="21">
        <f t="shared" si="12"/>
        <v>0.15944792270749747</v>
      </c>
      <c r="L66" s="21">
        <f t="shared" si="13"/>
        <v>0.17044609426715149</v>
      </c>
      <c r="M66" s="21">
        <f t="shared" si="13"/>
        <v>0.18069656581284743</v>
      </c>
      <c r="N66" s="21">
        <f t="shared" si="13"/>
        <v>0.19023260851625404</v>
      </c>
      <c r="O66" s="21">
        <f t="shared" si="13"/>
        <v>0.19908620020010312</v>
      </c>
      <c r="P66" s="21">
        <f t="shared" si="13"/>
        <v>0.20728807018392714</v>
      </c>
      <c r="Q66" s="21">
        <f t="shared" si="13"/>
        <v>0.21486774251328766</v>
      </c>
      <c r="R66" s="21">
        <f t="shared" si="13"/>
        <v>0.22185357760776495</v>
      </c>
      <c r="S66" s="21">
        <f t="shared" si="13"/>
        <v>0.22827281236132041</v>
      </c>
      <c r="T66" s="21">
        <f t="shared" si="13"/>
        <v>0.23415159872676963</v>
      </c>
      <c r="U66" s="21">
        <f t="shared" si="13"/>
        <v>0.23951504081404407</v>
      </c>
      <c r="V66" s="21">
        <f t="shared" si="13"/>
        <v>0.2443872305296626</v>
      </c>
      <c r="W66" s="21">
        <f t="shared" si="13"/>
        <v>0.24879128178238724</v>
      </c>
      <c r="X66" s="21">
        <f t="shared" si="13"/>
        <v>0.25274936327740272</v>
      </c>
      <c r="Y66" s="21">
        <f t="shared" si="13"/>
        <v>0.25628272991851631</v>
      </c>
      <c r="Z66" s="21">
        <f t="shared" si="13"/>
        <v>0.25941175283483264</v>
      </c>
    </row>
    <row r="67" spans="1:26" x14ac:dyDescent="0.2">
      <c r="A67" s="20">
        <f t="shared" si="9"/>
        <v>64</v>
      </c>
      <c r="B67" s="21">
        <f t="shared" si="12"/>
        <v>2.0044578780751238E-2</v>
      </c>
      <c r="C67" s="21">
        <f t="shared" si="12"/>
        <v>3.8959250425876876E-2</v>
      </c>
      <c r="D67" s="21">
        <f t="shared" si="12"/>
        <v>5.679169901639107E-2</v>
      </c>
      <c r="E67" s="21">
        <f t="shared" si="12"/>
        <v>7.3587820364440129E-2</v>
      </c>
      <c r="F67" s="21">
        <f t="shared" si="12"/>
        <v>8.9391783587317405E-2</v>
      </c>
      <c r="G67" s="21">
        <f t="shared" si="12"/>
        <v>0.10424609071637951</v>
      </c>
      <c r="H67" s="21">
        <f t="shared" si="12"/>
        <v>0.11819163437866773</v>
      </c>
      <c r="I67" s="21">
        <f t="shared" si="12"/>
        <v>0.13126775359074089</v>
      </c>
      <c r="J67" s="21">
        <f t="shared" si="12"/>
        <v>0.14351228770534016</v>
      </c>
      <c r="K67" s="21">
        <f t="shared" si="12"/>
        <v>0.15496162855212511</v>
      </c>
      <c r="L67" s="21">
        <f t="shared" si="13"/>
        <v>0.16565077081390345</v>
      </c>
      <c r="M67" s="21">
        <f t="shared" si="13"/>
        <v>0.17561336067959812</v>
      </c>
      <c r="N67" s="21">
        <f t="shared" si="13"/>
        <v>0.18488174281469172</v>
      </c>
      <c r="O67" s="21">
        <f t="shared" si="13"/>
        <v>0.19348700568910762</v>
      </c>
      <c r="P67" s="21">
        <f t="shared" si="13"/>
        <v>0.20145902530146523</v>
      </c>
      <c r="Q67" s="21">
        <f t="shared" si="13"/>
        <v>0.20882650733739941</v>
      </c>
      <c r="R67" s="21">
        <f t="shared" si="13"/>
        <v>0.21561702779820036</v>
      </c>
      <c r="S67" s="21">
        <f t="shared" si="13"/>
        <v>0.22185707213440603</v>
      </c>
      <c r="T67" s="21">
        <f t="shared" si="13"/>
        <v>0.2275720729171932</v>
      </c>
      <c r="U67" s="21">
        <f t="shared" si="13"/>
        <v>0.23278644607846455</v>
      </c>
      <c r="V67" s="21">
        <f t="shared" si="13"/>
        <v>0.23752362574841868</v>
      </c>
      <c r="W67" s="21">
        <f t="shared" si="13"/>
        <v>0.24180609771713268</v>
      </c>
      <c r="X67" s="21">
        <f t="shared" si="13"/>
        <v>0.24565543154425545</v>
      </c>
      <c r="Y67" s="21">
        <f t="shared" si="13"/>
        <v>0.2490923113383311</v>
      </c>
      <c r="Z67" s="21">
        <f t="shared" si="13"/>
        <v>0.25213656522450029</v>
      </c>
    </row>
    <row r="68" spans="1:26" x14ac:dyDescent="0.2">
      <c r="A68" s="20">
        <f t="shared" si="9"/>
        <v>65</v>
      </c>
      <c r="B68" s="21">
        <f t="shared" si="12"/>
        <v>1.9480297942929423E-2</v>
      </c>
      <c r="C68" s="21">
        <f t="shared" si="12"/>
        <v>3.7862507227270928E-2</v>
      </c>
      <c r="D68" s="21">
        <f t="shared" si="12"/>
        <v>5.5192978715190286E-2</v>
      </c>
      <c r="E68" s="21">
        <f t="shared" si="12"/>
        <v>7.1516324581607199E-2</v>
      </c>
      <c r="F68" s="21">
        <f t="shared" si="12"/>
        <v>8.6875478348583751E-2</v>
      </c>
      <c r="G68" s="21">
        <f t="shared" si="12"/>
        <v>0.10131175298962626</v>
      </c>
      <c r="H68" s="21">
        <f t="shared" si="12"/>
        <v>0.11486489714445323</v>
      </c>
      <c r="I68" s="21">
        <f t="shared" si="12"/>
        <v>0.12757314948596765</v>
      </c>
      <c r="J68" s="21">
        <f t="shared" si="12"/>
        <v>0.13947329128187155</v>
      </c>
      <c r="K68" s="21">
        <f t="shared" si="12"/>
        <v>0.15060069719363633</v>
      </c>
      <c r="L68" s="21">
        <f t="shared" si="13"/>
        <v>0.16098938435546029</v>
      </c>
      <c r="M68" s="21">
        <f t="shared" si="13"/>
        <v>0.17067205977545921</v>
      </c>
      <c r="N68" s="21">
        <f t="shared" si="13"/>
        <v>0.17968016610067469</v>
      </c>
      <c r="O68" s="21">
        <f t="shared" si="13"/>
        <v>0.18804392578660753</v>
      </c>
      <c r="P68" s="21">
        <f t="shared" si="13"/>
        <v>0.19579238371088745</v>
      </c>
      <c r="Q68" s="21">
        <f t="shared" si="13"/>
        <v>0.20295344826943029</v>
      </c>
      <c r="R68" s="21">
        <f t="shared" si="13"/>
        <v>0.20955393099200076</v>
      </c>
      <c r="S68" s="21">
        <f t="shared" si="13"/>
        <v>0.2156195847125241</v>
      </c>
      <c r="T68" s="21">
        <f t="shared" si="13"/>
        <v>0.22117514032777716</v>
      </c>
      <c r="U68" s="21">
        <f t="shared" si="13"/>
        <v>0.22624434217623851</v>
      </c>
      <c r="V68" s="21">
        <f t="shared" si="13"/>
        <v>0.23084998206690935</v>
      </c>
      <c r="W68" s="21">
        <f t="shared" si="13"/>
        <v>0.23501393198580564</v>
      </c>
      <c r="X68" s="21">
        <f t="shared" si="13"/>
        <v>0.23875717550559508</v>
      </c>
      <c r="Y68" s="21">
        <f t="shared" si="13"/>
        <v>0.24209983792147668</v>
      </c>
      <c r="Z68" s="21">
        <f t="shared" si="13"/>
        <v>0.2450612151338897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8"/>
  <sheetViews>
    <sheetView showGridLines="0" workbookViewId="0"/>
  </sheetViews>
  <sheetFormatPr baseColWidth="10" defaultColWidth="8.83203125" defaultRowHeight="15" x14ac:dyDescent="0.2"/>
  <cols>
    <col min="1" max="1" width="6" customWidth="1"/>
    <col min="2" max="3" width="12" customWidth="1"/>
    <col min="4" max="7" width="14" customWidth="1"/>
  </cols>
  <sheetData>
    <row r="1" spans="1:7" x14ac:dyDescent="0.2">
      <c r="A1" s="3" t="s">
        <v>79</v>
      </c>
    </row>
    <row r="2" spans="1:7" x14ac:dyDescent="0.2">
      <c r="A2" s="10" t="s">
        <v>80</v>
      </c>
      <c r="B2" s="10" t="s">
        <v>81</v>
      </c>
      <c r="C2" s="10" t="s">
        <v>73</v>
      </c>
      <c r="D2" s="10" t="s">
        <v>82</v>
      </c>
      <c r="E2" s="10" t="s">
        <v>83</v>
      </c>
      <c r="F2" s="10" t="s">
        <v>84</v>
      </c>
      <c r="G2" s="10" t="s">
        <v>85</v>
      </c>
    </row>
    <row r="3" spans="1:7" x14ac:dyDescent="0.2">
      <c r="A3" s="17" t="s">
        <v>80</v>
      </c>
      <c r="B3" s="17" t="s">
        <v>74</v>
      </c>
      <c r="C3" s="17" t="s">
        <v>75</v>
      </c>
      <c r="D3" s="17" t="s">
        <v>86</v>
      </c>
      <c r="E3" s="17" t="s">
        <v>87</v>
      </c>
      <c r="F3" s="17"/>
      <c r="G3" s="17" t="s">
        <v>88</v>
      </c>
    </row>
    <row r="4" spans="1:7" x14ac:dyDescent="0.2">
      <c r="A4" s="20">
        <v>1</v>
      </c>
      <c r="B4" s="22">
        <f t="shared" ref="B4:B28" si="0">INDEX(SpotMaturities,A4)</f>
        <v>1</v>
      </c>
      <c r="C4" s="23">
        <f t="shared" ref="C4:C28" si="1">INDEX(SpotRates,A4)</f>
        <v>-8.0300000000000007E-3</v>
      </c>
      <c r="D4" s="24">
        <f t="shared" ref="D4:D28" si="2">(1+C4)^(-B4)</f>
        <v>1.0080950028730706</v>
      </c>
      <c r="E4" s="21">
        <f t="shared" ref="E4:E28" si="3">EXP(-UFR*B4)</f>
        <v>0.97181729834791064</v>
      </c>
      <c r="F4" s="24">
        <f t="shared" ref="F4:F28" si="4">D4-E4</f>
        <v>3.6277704525159993E-2</v>
      </c>
      <c r="G4" s="25">
        <f t="array" ref="G4:G28">MMULT(MINVERSE(WMatrix),DVec)</f>
        <v>-2.7356742803022676</v>
      </c>
    </row>
    <row r="5" spans="1:7" x14ac:dyDescent="0.2">
      <c r="A5" s="20">
        <f t="shared" ref="A5:A28" si="5">A4+1</f>
        <v>2</v>
      </c>
      <c r="B5" s="22">
        <f t="shared" si="0"/>
        <v>2</v>
      </c>
      <c r="C5" s="23">
        <f t="shared" si="1"/>
        <v>-8.1399999999999997E-3</v>
      </c>
      <c r="D5" s="24">
        <f t="shared" si="2"/>
        <v>1.0164809583807284</v>
      </c>
      <c r="E5" s="21">
        <f t="shared" si="3"/>
        <v>0.94442886136823201</v>
      </c>
      <c r="F5" s="24">
        <f t="shared" si="4"/>
        <v>7.2052097012496374E-2</v>
      </c>
      <c r="G5" s="25">
        <v>1.8090947182379529</v>
      </c>
    </row>
    <row r="6" spans="1:7" x14ac:dyDescent="0.2">
      <c r="A6" s="20">
        <f t="shared" si="5"/>
        <v>3</v>
      </c>
      <c r="B6" s="22">
        <f t="shared" si="0"/>
        <v>3</v>
      </c>
      <c r="C6" s="23">
        <f t="shared" si="1"/>
        <v>-7.7799999999999996E-3</v>
      </c>
      <c r="D6" s="24">
        <f t="shared" si="2"/>
        <v>1.0237079350696732</v>
      </c>
      <c r="E6" s="21">
        <f t="shared" si="3"/>
        <v>0.91781230453666873</v>
      </c>
      <c r="F6" s="24">
        <f t="shared" si="4"/>
        <v>0.10589563053300444</v>
      </c>
      <c r="G6" s="25">
        <v>-0.95499732094661371</v>
      </c>
    </row>
    <row r="7" spans="1:7" x14ac:dyDescent="0.2">
      <c r="A7" s="20">
        <f t="shared" si="5"/>
        <v>4</v>
      </c>
      <c r="B7" s="22">
        <f t="shared" si="0"/>
        <v>4</v>
      </c>
      <c r="C7" s="23">
        <f t="shared" si="1"/>
        <v>-7.2500000000000004E-3</v>
      </c>
      <c r="D7" s="24">
        <f t="shared" si="2"/>
        <v>1.0295333443951038</v>
      </c>
      <c r="E7" s="21">
        <f t="shared" si="3"/>
        <v>0.89194587418529525</v>
      </c>
      <c r="F7" s="24">
        <f t="shared" si="4"/>
        <v>0.13758747020980855</v>
      </c>
      <c r="G7" s="25">
        <v>0.20998305787598309</v>
      </c>
    </row>
    <row r="8" spans="1:7" x14ac:dyDescent="0.2">
      <c r="A8" s="20">
        <f t="shared" si="5"/>
        <v>5</v>
      </c>
      <c r="B8" s="22">
        <f t="shared" si="0"/>
        <v>5</v>
      </c>
      <c r="C8" s="23">
        <f t="shared" si="1"/>
        <v>-6.5199999999999998E-3</v>
      </c>
      <c r="D8" s="24">
        <f t="shared" si="2"/>
        <v>1.0332474848735638</v>
      </c>
      <c r="E8" s="21">
        <f t="shared" si="3"/>
        <v>0.86680842972331906</v>
      </c>
      <c r="F8" s="24">
        <f t="shared" si="4"/>
        <v>0.16643905515024471</v>
      </c>
      <c r="G8" s="25">
        <v>1.5764031704715198</v>
      </c>
    </row>
    <row r="9" spans="1:7" x14ac:dyDescent="0.2">
      <c r="A9" s="20">
        <f t="shared" si="5"/>
        <v>6</v>
      </c>
      <c r="B9" s="22">
        <f t="shared" si="0"/>
        <v>6</v>
      </c>
      <c r="C9" s="23">
        <f t="shared" si="1"/>
        <v>-5.6499999999999996E-3</v>
      </c>
      <c r="D9" s="24">
        <f t="shared" si="2"/>
        <v>1.0345806026448909</v>
      </c>
      <c r="E9" s="21">
        <f t="shared" si="3"/>
        <v>0.84237942635891072</v>
      </c>
      <c r="F9" s="24">
        <f t="shared" si="4"/>
        <v>0.19220117628598021</v>
      </c>
      <c r="G9" s="25">
        <v>-2.7310985174257909</v>
      </c>
    </row>
    <row r="10" spans="1:7" x14ac:dyDescent="0.2">
      <c r="A10" s="20">
        <f t="shared" si="5"/>
        <v>7</v>
      </c>
      <c r="B10" s="22">
        <f t="shared" si="0"/>
        <v>7</v>
      </c>
      <c r="C10" s="23">
        <f t="shared" si="1"/>
        <v>-4.7999999999999996E-3</v>
      </c>
      <c r="D10" s="24">
        <f t="shared" si="2"/>
        <v>1.0342545223933335</v>
      </c>
      <c r="E10" s="21">
        <f t="shared" si="3"/>
        <v>0.81863889830797942</v>
      </c>
      <c r="F10" s="24">
        <f t="shared" si="4"/>
        <v>0.21561562408535406</v>
      </c>
      <c r="G10" s="25">
        <v>4.945430741483265</v>
      </c>
    </row>
    <row r="11" spans="1:7" x14ac:dyDescent="0.2">
      <c r="A11" s="20">
        <f t="shared" si="5"/>
        <v>8</v>
      </c>
      <c r="B11" s="22">
        <f t="shared" si="0"/>
        <v>8</v>
      </c>
      <c r="C11" s="23">
        <f t="shared" si="1"/>
        <v>-3.9100000000000003E-3</v>
      </c>
      <c r="D11" s="24">
        <f t="shared" si="2"/>
        <v>1.0318376226360644</v>
      </c>
      <c r="E11" s="21">
        <f t="shared" si="3"/>
        <v>0.79556744247617051</v>
      </c>
      <c r="F11" s="24">
        <f t="shared" si="4"/>
        <v>0.23627018015989387</v>
      </c>
      <c r="G11" s="25">
        <v>-9.7625507156570048</v>
      </c>
    </row>
    <row r="12" spans="1:7" x14ac:dyDescent="0.2">
      <c r="A12" s="20">
        <f t="shared" si="5"/>
        <v>9</v>
      </c>
      <c r="B12" s="22">
        <f t="shared" si="0"/>
        <v>9</v>
      </c>
      <c r="C12" s="23">
        <f t="shared" si="1"/>
        <v>-3.13E-3</v>
      </c>
      <c r="D12" s="24">
        <f t="shared" si="2"/>
        <v>1.0286159680082101</v>
      </c>
      <c r="E12" s="21">
        <f t="shared" si="3"/>
        <v>0.77314620260074884</v>
      </c>
      <c r="F12" s="24">
        <f t="shared" si="4"/>
        <v>0.25546976540746125</v>
      </c>
      <c r="G12" s="25">
        <v>15.144369909947079</v>
      </c>
    </row>
    <row r="13" spans="1:7" x14ac:dyDescent="0.2">
      <c r="A13" s="20">
        <f t="shared" si="5"/>
        <v>10</v>
      </c>
      <c r="B13" s="22">
        <f t="shared" si="0"/>
        <v>10</v>
      </c>
      <c r="C13" s="23">
        <f t="shared" si="1"/>
        <v>-2.14E-3</v>
      </c>
      <c r="D13" s="24">
        <f t="shared" si="2"/>
        <v>1.0216540491615229</v>
      </c>
      <c r="E13" s="21">
        <f t="shared" si="3"/>
        <v>0.7513568538394062</v>
      </c>
      <c r="F13" s="24">
        <f t="shared" si="4"/>
        <v>0.27029719532211671</v>
      </c>
      <c r="G13" s="25">
        <v>-14.871454310720392</v>
      </c>
    </row>
    <row r="14" spans="1:7" x14ac:dyDescent="0.2">
      <c r="A14" s="20">
        <f t="shared" si="5"/>
        <v>11</v>
      </c>
      <c r="B14" s="22">
        <f t="shared" si="0"/>
        <v>11</v>
      </c>
      <c r="C14" s="23">
        <f t="shared" si="1"/>
        <v>-1.4E-3</v>
      </c>
      <c r="D14" s="24">
        <f t="shared" si="2"/>
        <v>1.0155301486456527</v>
      </c>
      <c r="E14" s="21">
        <f t="shared" si="3"/>
        <v>0.7301815877933977</v>
      </c>
      <c r="F14" s="24">
        <f t="shared" si="4"/>
        <v>0.28534856085225502</v>
      </c>
      <c r="G14" s="25">
        <v>11.090054245001255</v>
      </c>
    </row>
    <row r="15" spans="1:7" x14ac:dyDescent="0.2">
      <c r="A15" s="20">
        <f t="shared" si="5"/>
        <v>12</v>
      </c>
      <c r="B15" s="22">
        <f t="shared" si="0"/>
        <v>12</v>
      </c>
      <c r="C15" s="23">
        <f t="shared" si="1"/>
        <v>-6.7000000000000002E-4</v>
      </c>
      <c r="D15" s="24">
        <f t="shared" si="2"/>
        <v>1.0080751239533852</v>
      </c>
      <c r="E15" s="21">
        <f t="shared" si="3"/>
        <v>0.70960309795276755</v>
      </c>
      <c r="F15" s="24">
        <f t="shared" si="4"/>
        <v>0.29847202600061762</v>
      </c>
      <c r="G15" s="25">
        <v>-8.6391616263176747</v>
      </c>
    </row>
    <row r="16" spans="1:7" x14ac:dyDescent="0.2">
      <c r="A16" s="20">
        <f t="shared" si="5"/>
        <v>13</v>
      </c>
      <c r="B16" s="22">
        <f t="shared" si="0"/>
        <v>13</v>
      </c>
      <c r="C16" s="23">
        <f t="shared" si="1"/>
        <v>-8.0000000000000007E-5</v>
      </c>
      <c r="D16" s="24">
        <f t="shared" si="2"/>
        <v>1.0010405826330342</v>
      </c>
      <c r="E16" s="21">
        <f t="shared" si="3"/>
        <v>0.6896045655517663</v>
      </c>
      <c r="F16" s="24">
        <f t="shared" si="4"/>
        <v>0.31143601708126789</v>
      </c>
      <c r="G16" s="25">
        <v>4.8434750982535775</v>
      </c>
    </row>
    <row r="17" spans="1:7" x14ac:dyDescent="0.2">
      <c r="A17" s="20">
        <f t="shared" si="5"/>
        <v>14</v>
      </c>
      <c r="B17" s="22">
        <f t="shared" si="0"/>
        <v>14</v>
      </c>
      <c r="C17" s="23">
        <f t="shared" si="1"/>
        <v>5.1000000000000004E-4</v>
      </c>
      <c r="D17" s="24">
        <f t="shared" si="2"/>
        <v>0.99288723637615661</v>
      </c>
      <c r="E17" s="21">
        <f t="shared" si="3"/>
        <v>0.67016964582290228</v>
      </c>
      <c r="F17" s="24">
        <f t="shared" si="4"/>
        <v>0.32271759055325433</v>
      </c>
      <c r="G17" s="25">
        <v>0.20516018438209269</v>
      </c>
    </row>
    <row r="18" spans="1:7" x14ac:dyDescent="0.2">
      <c r="A18" s="20">
        <f t="shared" si="5"/>
        <v>15</v>
      </c>
      <c r="B18" s="22">
        <f t="shared" si="0"/>
        <v>15</v>
      </c>
      <c r="C18" s="23">
        <f t="shared" si="1"/>
        <v>1.08E-3</v>
      </c>
      <c r="D18" s="24">
        <f t="shared" si="2"/>
        <v>0.98393911554191271</v>
      </c>
      <c r="E18" s="21">
        <f t="shared" si="3"/>
        <v>0.65128245463838896</v>
      </c>
      <c r="F18" s="24">
        <f t="shared" si="4"/>
        <v>0.33265666090352375</v>
      </c>
      <c r="G18" s="25">
        <v>-0.97429559798512488</v>
      </c>
    </row>
    <row r="19" spans="1:7" x14ac:dyDescent="0.2">
      <c r="A19" s="20">
        <f t="shared" si="5"/>
        <v>16</v>
      </c>
      <c r="B19" s="22">
        <f t="shared" si="0"/>
        <v>16</v>
      </c>
      <c r="C19" s="23">
        <f t="shared" si="1"/>
        <v>1.57E-3</v>
      </c>
      <c r="D19" s="24">
        <f t="shared" si="2"/>
        <v>0.97521209196976522</v>
      </c>
      <c r="E19" s="21">
        <f t="shared" si="3"/>
        <v>0.63292755552807489</v>
      </c>
      <c r="F19" s="24">
        <f t="shared" si="4"/>
        <v>0.34228453644169032</v>
      </c>
      <c r="G19" s="25">
        <v>5.4171690865864319E-3</v>
      </c>
    </row>
    <row r="20" spans="1:7" x14ac:dyDescent="0.2">
      <c r="A20" s="20">
        <f t="shared" si="5"/>
        <v>17</v>
      </c>
      <c r="B20" s="22">
        <f t="shared" si="0"/>
        <v>17</v>
      </c>
      <c r="C20" s="23">
        <f t="shared" si="1"/>
        <v>1.97E-3</v>
      </c>
      <c r="D20" s="24">
        <f t="shared" si="2"/>
        <v>0.9670964417065312</v>
      </c>
      <c r="E20" s="21">
        <f t="shared" si="3"/>
        <v>0.61508994706324094</v>
      </c>
      <c r="F20" s="24">
        <f t="shared" si="4"/>
        <v>0.35200649464329026</v>
      </c>
      <c r="G20" s="25">
        <v>0.11547967007328952</v>
      </c>
    </row>
    <row r="21" spans="1:7" x14ac:dyDescent="0.2">
      <c r="A21" s="20">
        <f t="shared" si="5"/>
        <v>18</v>
      </c>
      <c r="B21" s="22">
        <f t="shared" si="0"/>
        <v>18</v>
      </c>
      <c r="C21" s="23">
        <f t="shared" si="1"/>
        <v>2.2799999999999999E-3</v>
      </c>
      <c r="D21" s="24">
        <f t="shared" si="2"/>
        <v>0.95983557484509108</v>
      </c>
      <c r="E21" s="21">
        <f t="shared" si="3"/>
        <v>0.59775505059595824</v>
      </c>
      <c r="F21" s="24">
        <f t="shared" si="4"/>
        <v>0.36208052424913284</v>
      </c>
      <c r="G21" s="25">
        <v>-0.43722092783378175</v>
      </c>
    </row>
    <row r="22" spans="1:7" x14ac:dyDescent="0.2">
      <c r="A22" s="20">
        <f t="shared" si="5"/>
        <v>19</v>
      </c>
      <c r="B22" s="22">
        <f t="shared" si="0"/>
        <v>19</v>
      </c>
      <c r="C22" s="23">
        <f t="shared" si="1"/>
        <v>2.5000000000000001E-3</v>
      </c>
      <c r="D22" s="24">
        <f t="shared" si="2"/>
        <v>0.95366700123872261</v>
      </c>
      <c r="E22" s="21">
        <f t="shared" si="3"/>
        <v>0.58090869834398273</v>
      </c>
      <c r="F22" s="24">
        <f t="shared" si="4"/>
        <v>0.37275830289473988</v>
      </c>
      <c r="G22" s="25">
        <v>8.6124628885944077E-2</v>
      </c>
    </row>
    <row r="23" spans="1:7" x14ac:dyDescent="0.2">
      <c r="A23" s="20">
        <f t="shared" si="5"/>
        <v>20</v>
      </c>
      <c r="B23" s="22">
        <f t="shared" si="0"/>
        <v>20</v>
      </c>
      <c r="C23" s="23">
        <f t="shared" si="1"/>
        <v>2.64E-3</v>
      </c>
      <c r="D23" s="24">
        <f t="shared" si="2"/>
        <v>0.94863570513744655</v>
      </c>
      <c r="E23" s="21">
        <f t="shared" si="3"/>
        <v>0.56453712181145077</v>
      </c>
      <c r="F23" s="24">
        <f t="shared" si="4"/>
        <v>0.38409858332599578</v>
      </c>
      <c r="G23" s="25">
        <v>-0.34357724300807035</v>
      </c>
    </row>
    <row r="24" spans="1:7" x14ac:dyDescent="0.2">
      <c r="A24" s="20">
        <f t="shared" si="5"/>
        <v>21</v>
      </c>
      <c r="B24" s="22">
        <f t="shared" si="0"/>
        <v>21</v>
      </c>
      <c r="C24" s="23">
        <f t="shared" si="1"/>
        <v>2.7100000000000002E-3</v>
      </c>
      <c r="D24" s="24">
        <f t="shared" si="2"/>
        <v>0.94475180519933255</v>
      </c>
      <c r="E24" s="21">
        <f t="shared" si="3"/>
        <v>0.54862694053590944</v>
      </c>
      <c r="F24" s="24">
        <f t="shared" si="4"/>
        <v>0.39612486466342312</v>
      </c>
      <c r="G24" s="25">
        <v>-3.1743617425412936</v>
      </c>
    </row>
    <row r="25" spans="1:7" x14ac:dyDescent="0.2">
      <c r="A25" s="20">
        <f t="shared" si="5"/>
        <v>22</v>
      </c>
      <c r="B25" s="22">
        <f t="shared" si="0"/>
        <v>22</v>
      </c>
      <c r="C25" s="23">
        <f t="shared" si="1"/>
        <v>2.7399999999999998E-3</v>
      </c>
      <c r="D25" s="24">
        <f t="shared" si="2"/>
        <v>0.94157849042255615</v>
      </c>
      <c r="E25" s="21">
        <f t="shared" si="3"/>
        <v>0.5331651511524873</v>
      </c>
      <c r="F25" s="24">
        <f t="shared" si="4"/>
        <v>0.40841333927006884</v>
      </c>
      <c r="G25" s="25">
        <v>2.9379499459291765</v>
      </c>
    </row>
    <row r="26" spans="1:7" x14ac:dyDescent="0.2">
      <c r="A26" s="20">
        <f t="shared" si="5"/>
        <v>23</v>
      </c>
      <c r="B26" s="22">
        <f t="shared" si="0"/>
        <v>23</v>
      </c>
      <c r="C26" s="23">
        <f t="shared" si="1"/>
        <v>2.8E-3</v>
      </c>
      <c r="D26" s="24">
        <f t="shared" si="2"/>
        <v>0.93771425559625388</v>
      </c>
      <c r="E26" s="21">
        <f t="shared" si="3"/>
        <v>0.51813911676626567</v>
      </c>
      <c r="F26" s="24">
        <f t="shared" si="4"/>
        <v>0.4195751388299882</v>
      </c>
      <c r="G26" s="25">
        <v>-0.87369938449455731</v>
      </c>
    </row>
    <row r="27" spans="1:7" x14ac:dyDescent="0.2">
      <c r="A27" s="20">
        <f t="shared" si="5"/>
        <v>24</v>
      </c>
      <c r="B27" s="22">
        <f t="shared" si="0"/>
        <v>24</v>
      </c>
      <c r="C27" s="23">
        <f t="shared" si="1"/>
        <v>2.9099999999999998E-3</v>
      </c>
      <c r="D27" s="24">
        <f t="shared" si="2"/>
        <v>0.93263759861996554</v>
      </c>
      <c r="E27" s="21">
        <f t="shared" si="3"/>
        <v>0.50353655662416497</v>
      </c>
      <c r="F27" s="24">
        <f t="shared" si="4"/>
        <v>0.42910104199580057</v>
      </c>
      <c r="G27" s="25">
        <v>-0.76140761529859446</v>
      </c>
    </row>
    <row r="28" spans="1:7" x14ac:dyDescent="0.2">
      <c r="A28" s="20">
        <f t="shared" si="5"/>
        <v>25</v>
      </c>
      <c r="B28" s="22">
        <f t="shared" si="0"/>
        <v>25</v>
      </c>
      <c r="C28" s="23">
        <f t="shared" si="1"/>
        <v>3.0899999999999999E-3</v>
      </c>
      <c r="D28" s="24">
        <f t="shared" si="2"/>
        <v>0.9257686680695606</v>
      </c>
      <c r="E28" s="21">
        <f t="shared" si="3"/>
        <v>0.48934553607790576</v>
      </c>
      <c r="F28" s="24">
        <f t="shared" si="4"/>
        <v>0.43642313199165483</v>
      </c>
      <c r="G28" s="25">
        <v>2.7969740535966139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8"/>
  <sheetViews>
    <sheetView showGridLines="0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3" width="14" customWidth="1"/>
    <col min="4" max="4" width="12" customWidth="1"/>
    <col min="5" max="5" width="14" customWidth="1"/>
  </cols>
  <sheetData>
    <row r="1" spans="1:5" x14ac:dyDescent="0.2">
      <c r="A1" s="3" t="s">
        <v>89</v>
      </c>
    </row>
    <row r="2" spans="1:5" x14ac:dyDescent="0.2">
      <c r="A2" s="10" t="s">
        <v>90</v>
      </c>
      <c r="B2" s="10" t="s">
        <v>91</v>
      </c>
      <c r="C2" s="10" t="s">
        <v>92</v>
      </c>
      <c r="D2" s="10" t="s">
        <v>93</v>
      </c>
      <c r="E2" s="10" t="s">
        <v>94</v>
      </c>
    </row>
    <row r="3" spans="1:5" x14ac:dyDescent="0.2">
      <c r="A3" s="17" t="s">
        <v>74</v>
      </c>
      <c r="B3" s="17" t="s">
        <v>87</v>
      </c>
      <c r="C3" s="17" t="s">
        <v>95</v>
      </c>
      <c r="D3" s="17" t="s">
        <v>96</v>
      </c>
      <c r="E3" s="17" t="s">
        <v>75</v>
      </c>
    </row>
    <row r="4" spans="1:5" x14ac:dyDescent="0.2">
      <c r="A4" s="20">
        <v>1</v>
      </c>
      <c r="B4" s="21">
        <f t="shared" ref="B4:B35" si="0">EXP(-UFR*A4)</f>
        <v>0.97181729834791064</v>
      </c>
      <c r="C4" s="21">
        <f t="array" ref="C4">B4+MMULT(INDEX(WGrid,A4,0),ZetaVec)</f>
        <v>1.0080950028726217</v>
      </c>
      <c r="D4" s="26">
        <f t="shared" ref="D4:D35" si="1">(1/C4)^(1/A4)-1</f>
        <v>-8.0299999995581128E-3</v>
      </c>
      <c r="E4" s="23">
        <f t="shared" ref="E4:E35" si="2">IF(A4&lt;=N_Obs,INDEX(SpotRates,A4),"")</f>
        <v>-8.0300000000000007E-3</v>
      </c>
    </row>
    <row r="5" spans="1:5" x14ac:dyDescent="0.2">
      <c r="A5" s="20">
        <f t="shared" ref="A5:A36" si="3">A4+1</f>
        <v>2</v>
      </c>
      <c r="B5" s="21">
        <f t="shared" si="0"/>
        <v>0.94442886136823201</v>
      </c>
      <c r="C5" s="21">
        <f t="array" ref="C5">B5+MMULT(INDEX(WGrid,A5,0),ZetaVec)</f>
        <v>1.0164809583801193</v>
      </c>
      <c r="D5" s="26">
        <f t="shared" si="1"/>
        <v>-8.1399999997028294E-3</v>
      </c>
      <c r="E5" s="23">
        <f t="shared" si="2"/>
        <v>-8.1399999999999997E-3</v>
      </c>
    </row>
    <row r="6" spans="1:5" x14ac:dyDescent="0.2">
      <c r="A6" s="20">
        <f t="shared" si="3"/>
        <v>3</v>
      </c>
      <c r="B6" s="21">
        <f t="shared" si="0"/>
        <v>0.91781230453666873</v>
      </c>
      <c r="C6" s="21">
        <f t="array" ref="C6">B6+MMULT(INDEX(WGrid,A6,0),ZetaVec)</f>
        <v>1.0237079350687299</v>
      </c>
      <c r="D6" s="26">
        <f t="shared" si="1"/>
        <v>-7.7799999996952529E-3</v>
      </c>
      <c r="E6" s="23">
        <f t="shared" si="2"/>
        <v>-7.7799999999999996E-3</v>
      </c>
    </row>
    <row r="7" spans="1:5" x14ac:dyDescent="0.2">
      <c r="A7" s="20">
        <f t="shared" si="3"/>
        <v>4</v>
      </c>
      <c r="B7" s="21">
        <f t="shared" si="0"/>
        <v>0.89194587418529525</v>
      </c>
      <c r="C7" s="21">
        <f t="array" ref="C7">B7+MMULT(INDEX(WGrid,A7,0),ZetaVec)</f>
        <v>1.0295333443940913</v>
      </c>
      <c r="D7" s="26">
        <f t="shared" si="1"/>
        <v>-7.2499999997559517E-3</v>
      </c>
      <c r="E7" s="23">
        <f t="shared" si="2"/>
        <v>-7.2500000000000004E-3</v>
      </c>
    </row>
    <row r="8" spans="1:5" x14ac:dyDescent="0.2">
      <c r="A8" s="20">
        <f t="shared" si="3"/>
        <v>5</v>
      </c>
      <c r="B8" s="21">
        <f t="shared" si="0"/>
        <v>0.86680842972331906</v>
      </c>
      <c r="C8" s="21">
        <f t="array" ref="C8">B8+MMULT(INDEX(WGrid,A8,0),ZetaVec)</f>
        <v>1.0332474848724607</v>
      </c>
      <c r="D8" s="26">
        <f t="shared" si="1"/>
        <v>-6.5199999997878066E-3</v>
      </c>
      <c r="E8" s="23">
        <f t="shared" si="2"/>
        <v>-6.5199999999999998E-3</v>
      </c>
    </row>
    <row r="9" spans="1:5" x14ac:dyDescent="0.2">
      <c r="A9" s="20">
        <f t="shared" si="3"/>
        <v>6</v>
      </c>
      <c r="B9" s="21">
        <f t="shared" si="0"/>
        <v>0.84237942635891072</v>
      </c>
      <c r="C9" s="21">
        <f t="array" ref="C9">B9+MMULT(INDEX(WGrid,A9,0),ZetaVec)</f>
        <v>1.0345806026436739</v>
      </c>
      <c r="D9" s="26">
        <f t="shared" si="1"/>
        <v>-5.6499999998050887E-3</v>
      </c>
      <c r="E9" s="23">
        <f t="shared" si="2"/>
        <v>-5.6499999999999996E-3</v>
      </c>
    </row>
    <row r="10" spans="1:5" x14ac:dyDescent="0.2">
      <c r="A10" s="20">
        <f t="shared" si="3"/>
        <v>7</v>
      </c>
      <c r="B10" s="21">
        <f t="shared" si="0"/>
        <v>0.81863889830797942</v>
      </c>
      <c r="C10" s="21">
        <f t="array" ref="C10">B10+MMULT(INDEX(WGrid,A10,0),ZetaVec)</f>
        <v>1.0342545223920969</v>
      </c>
      <c r="D10" s="26">
        <f t="shared" si="1"/>
        <v>-4.7999999998300513E-3</v>
      </c>
      <c r="E10" s="23">
        <f t="shared" si="2"/>
        <v>-4.7999999999999996E-3</v>
      </c>
    </row>
    <row r="11" spans="1:5" x14ac:dyDescent="0.2">
      <c r="A11" s="20">
        <f t="shared" si="3"/>
        <v>8</v>
      </c>
      <c r="B11" s="21">
        <f t="shared" si="0"/>
        <v>0.79556744247617051</v>
      </c>
      <c r="C11" s="21">
        <f t="array" ref="C11">B11+MMULT(INDEX(WGrid,A11,0),ZetaVec)</f>
        <v>1.0318376226347477</v>
      </c>
      <c r="D11" s="26">
        <f t="shared" si="1"/>
        <v>-3.9099999998410961E-3</v>
      </c>
      <c r="E11" s="23">
        <f t="shared" si="2"/>
        <v>-3.9100000000000003E-3</v>
      </c>
    </row>
    <row r="12" spans="1:5" x14ac:dyDescent="0.2">
      <c r="A12" s="20">
        <f t="shared" si="3"/>
        <v>9</v>
      </c>
      <c r="B12" s="21">
        <f t="shared" si="0"/>
        <v>0.77314620260074884</v>
      </c>
      <c r="C12" s="21">
        <f t="array" ref="C12">B12+MMULT(INDEX(WGrid,A12,0),ZetaVec)</f>
        <v>1.0286159680067619</v>
      </c>
      <c r="D12" s="26">
        <f t="shared" si="1"/>
        <v>-3.1299999998439798E-3</v>
      </c>
      <c r="E12" s="23">
        <f t="shared" si="2"/>
        <v>-3.13E-3</v>
      </c>
    </row>
    <row r="13" spans="1:5" x14ac:dyDescent="0.2">
      <c r="A13" s="20">
        <f t="shared" si="3"/>
        <v>10</v>
      </c>
      <c r="B13" s="21">
        <f t="shared" si="0"/>
        <v>0.7513568538394062</v>
      </c>
      <c r="C13" s="21">
        <f t="array" ref="C13">B13+MMULT(INDEX(WGrid,A13,0),ZetaVec)</f>
        <v>1.0216540491602855</v>
      </c>
      <c r="D13" s="26">
        <f t="shared" si="1"/>
        <v>-2.1399999998791275E-3</v>
      </c>
      <c r="E13" s="23">
        <f t="shared" si="2"/>
        <v>-2.14E-3</v>
      </c>
    </row>
    <row r="14" spans="1:5" x14ac:dyDescent="0.2">
      <c r="A14" s="20">
        <f t="shared" si="3"/>
        <v>11</v>
      </c>
      <c r="B14" s="21">
        <f t="shared" si="0"/>
        <v>0.7301815877933977</v>
      </c>
      <c r="C14" s="21">
        <f t="array" ref="C14">B14+MMULT(INDEX(WGrid,A14,0),ZetaVec)</f>
        <v>1.0155301486443713</v>
      </c>
      <c r="D14" s="26">
        <f t="shared" si="1"/>
        <v>-1.3999999998853818E-3</v>
      </c>
      <c r="E14" s="23">
        <f t="shared" si="2"/>
        <v>-1.4E-3</v>
      </c>
    </row>
    <row r="15" spans="1:5" x14ac:dyDescent="0.2">
      <c r="A15" s="20">
        <f t="shared" si="3"/>
        <v>12</v>
      </c>
      <c r="B15" s="21">
        <f t="shared" si="0"/>
        <v>0.70960309795276755</v>
      </c>
      <c r="C15" s="21">
        <f t="array" ref="C15">B15+MMULT(INDEX(WGrid,A15,0),ZetaVec)</f>
        <v>1.0080751239520342</v>
      </c>
      <c r="D15" s="26">
        <f t="shared" si="1"/>
        <v>-6.69999999888371E-4</v>
      </c>
      <c r="E15" s="23">
        <f t="shared" si="2"/>
        <v>-6.7000000000000002E-4</v>
      </c>
    </row>
    <row r="16" spans="1:5" x14ac:dyDescent="0.2">
      <c r="A16" s="20">
        <f t="shared" si="3"/>
        <v>13</v>
      </c>
      <c r="B16" s="21">
        <f t="shared" si="0"/>
        <v>0.6896045655517663</v>
      </c>
      <c r="C16" s="21">
        <f t="array" ref="C16">B16+MMULT(INDEX(WGrid,A16,0),ZetaVec)</f>
        <v>1.0010405826316773</v>
      </c>
      <c r="D16" s="26">
        <f t="shared" si="1"/>
        <v>-7.9999999895719043E-5</v>
      </c>
      <c r="E16" s="23">
        <f t="shared" si="2"/>
        <v>-8.0000000000000007E-5</v>
      </c>
    </row>
    <row r="17" spans="1:5" x14ac:dyDescent="0.2">
      <c r="A17" s="20">
        <f t="shared" si="3"/>
        <v>14</v>
      </c>
      <c r="B17" s="21">
        <f t="shared" si="0"/>
        <v>0.67016964582290228</v>
      </c>
      <c r="C17" s="21">
        <f t="array" ref="C17">B17+MMULT(INDEX(WGrid,A17,0),ZetaVec)</f>
        <v>0.99288723637480092</v>
      </c>
      <c r="D17" s="26">
        <f t="shared" si="1"/>
        <v>5.1000000009748803E-4</v>
      </c>
      <c r="E17" s="23">
        <f t="shared" si="2"/>
        <v>5.1000000000000004E-4</v>
      </c>
    </row>
    <row r="18" spans="1:5" x14ac:dyDescent="0.2">
      <c r="A18" s="20">
        <f t="shared" si="3"/>
        <v>15</v>
      </c>
      <c r="B18" s="21">
        <f t="shared" si="0"/>
        <v>0.65128245463838896</v>
      </c>
      <c r="C18" s="21">
        <f t="array" ref="C18">B18+MMULT(INDEX(WGrid,A18,0),ZetaVec)</f>
        <v>0.98393911554057023</v>
      </c>
      <c r="D18" s="26">
        <f t="shared" si="1"/>
        <v>1.0800000000910082E-3</v>
      </c>
      <c r="E18" s="23">
        <f t="shared" si="2"/>
        <v>1.08E-3</v>
      </c>
    </row>
    <row r="19" spans="1:5" x14ac:dyDescent="0.2">
      <c r="A19" s="20">
        <f t="shared" si="3"/>
        <v>16</v>
      </c>
      <c r="B19" s="21">
        <f t="shared" si="0"/>
        <v>0.63292755552807489</v>
      </c>
      <c r="C19" s="21">
        <f t="array" ref="C19">B19+MMULT(INDEX(WGrid,A19,0),ZetaVec)</f>
        <v>0.97521209196846859</v>
      </c>
      <c r="D19" s="26">
        <f t="shared" si="1"/>
        <v>1.5700000000833381E-3</v>
      </c>
      <c r="E19" s="23">
        <f t="shared" si="2"/>
        <v>1.57E-3</v>
      </c>
    </row>
    <row r="20" spans="1:5" x14ac:dyDescent="0.2">
      <c r="A20" s="20">
        <f t="shared" si="3"/>
        <v>17</v>
      </c>
      <c r="B20" s="21">
        <f t="shared" si="0"/>
        <v>0.61508994706324094</v>
      </c>
      <c r="C20" s="21">
        <f t="array" ref="C20">B20+MMULT(INDEX(WGrid,A20,0),ZetaVec)</f>
        <v>0.96709644170526698</v>
      </c>
      <c r="D20" s="26">
        <f t="shared" si="1"/>
        <v>1.9700000000770768E-3</v>
      </c>
      <c r="E20" s="23">
        <f t="shared" si="2"/>
        <v>1.97E-3</v>
      </c>
    </row>
    <row r="21" spans="1:5" x14ac:dyDescent="0.2">
      <c r="A21" s="20">
        <f t="shared" si="3"/>
        <v>18</v>
      </c>
      <c r="B21" s="21">
        <f t="shared" si="0"/>
        <v>0.59775505059595824</v>
      </c>
      <c r="C21" s="21">
        <f t="array" ref="C21">B21+MMULT(INDEX(WGrid,A21,0),ZetaVec)</f>
        <v>0.95983557484385995</v>
      </c>
      <c r="D21" s="26">
        <f t="shared" si="1"/>
        <v>2.2800000000715581E-3</v>
      </c>
      <c r="E21" s="23">
        <f t="shared" si="2"/>
        <v>2.2799999999999999E-3</v>
      </c>
    </row>
    <row r="22" spans="1:5" x14ac:dyDescent="0.2">
      <c r="A22" s="20">
        <f t="shared" si="3"/>
        <v>19</v>
      </c>
      <c r="B22" s="21">
        <f t="shared" si="0"/>
        <v>0.58090869834398273</v>
      </c>
      <c r="C22" s="21">
        <f t="array" ref="C22">B22+MMULT(INDEX(WGrid,A22,0),ZetaVec)</f>
        <v>0.95366700123750314</v>
      </c>
      <c r="D22" s="26">
        <f t="shared" si="1"/>
        <v>2.5000000000674483E-3</v>
      </c>
      <c r="E22" s="23">
        <f t="shared" si="2"/>
        <v>2.5000000000000001E-3</v>
      </c>
    </row>
    <row r="23" spans="1:5" x14ac:dyDescent="0.2">
      <c r="A23" s="20">
        <f t="shared" si="3"/>
        <v>20</v>
      </c>
      <c r="B23" s="21">
        <f t="shared" si="0"/>
        <v>0.56453712181145077</v>
      </c>
      <c r="C23" s="21">
        <f t="array" ref="C23">B23+MMULT(INDEX(WGrid,A23,0),ZetaVec)</f>
        <v>0.94863570513624706</v>
      </c>
      <c r="D23" s="26">
        <f t="shared" si="1"/>
        <v>2.6400000000632584E-3</v>
      </c>
      <c r="E23" s="23">
        <f t="shared" si="2"/>
        <v>2.64E-3</v>
      </c>
    </row>
    <row r="24" spans="1:5" x14ac:dyDescent="0.2">
      <c r="A24" s="20">
        <f t="shared" si="3"/>
        <v>21</v>
      </c>
      <c r="B24" s="21">
        <f t="shared" si="0"/>
        <v>0.54862694053590944</v>
      </c>
      <c r="C24" s="21">
        <f t="array" ref="C24">B24+MMULT(INDEX(WGrid,A24,0),ZetaVec)</f>
        <v>0.9447518051981596</v>
      </c>
      <c r="D24" s="26">
        <f t="shared" si="1"/>
        <v>2.7100000000592761E-3</v>
      </c>
      <c r="E24" s="23">
        <f t="shared" si="2"/>
        <v>2.7100000000000002E-3</v>
      </c>
    </row>
    <row r="25" spans="1:5" x14ac:dyDescent="0.2">
      <c r="A25" s="20">
        <f t="shared" si="3"/>
        <v>22</v>
      </c>
      <c r="B25" s="21">
        <f t="shared" si="0"/>
        <v>0.5331651511524873</v>
      </c>
      <c r="C25" s="21">
        <f t="array" ref="C25">B25+MMULT(INDEX(WGrid,A25,0),ZetaVec)</f>
        <v>0.94157849042141462</v>
      </c>
      <c r="D25" s="26">
        <f t="shared" si="1"/>
        <v>2.7400000000552538E-3</v>
      </c>
      <c r="E25" s="23">
        <f t="shared" si="2"/>
        <v>2.7399999999999998E-3</v>
      </c>
    </row>
    <row r="26" spans="1:5" x14ac:dyDescent="0.2">
      <c r="A26" s="20">
        <f t="shared" si="3"/>
        <v>23</v>
      </c>
      <c r="B26" s="21">
        <f t="shared" si="0"/>
        <v>0.51813911676626567</v>
      </c>
      <c r="C26" s="21">
        <f t="array" ref="C26">B26+MMULT(INDEX(WGrid,A26,0),ZetaVec)</f>
        <v>0.93771425559514165</v>
      </c>
      <c r="D26" s="26">
        <f t="shared" si="1"/>
        <v>2.8000000000516501E-3</v>
      </c>
      <c r="E26" s="23">
        <f t="shared" si="2"/>
        <v>2.8E-3</v>
      </c>
    </row>
    <row r="27" spans="1:5" x14ac:dyDescent="0.2">
      <c r="A27" s="20">
        <f t="shared" si="3"/>
        <v>24</v>
      </c>
      <c r="B27" s="21">
        <f t="shared" si="0"/>
        <v>0.50353655662416497</v>
      </c>
      <c r="C27" s="21">
        <f t="array" ref="C27">B27+MMULT(INDEX(WGrid,A27,0),ZetaVec)</f>
        <v>0.93263759861888218</v>
      </c>
      <c r="D27" s="26">
        <f t="shared" si="1"/>
        <v>2.9100000000485959E-3</v>
      </c>
      <c r="E27" s="23">
        <f t="shared" si="2"/>
        <v>2.9099999999999998E-3</v>
      </c>
    </row>
    <row r="28" spans="1:5" x14ac:dyDescent="0.2">
      <c r="A28" s="20">
        <f t="shared" si="3"/>
        <v>25</v>
      </c>
      <c r="B28" s="21">
        <f t="shared" si="0"/>
        <v>0.48934553607790576</v>
      </c>
      <c r="C28" s="21">
        <f t="array" ref="C28">B28+MMULT(INDEX(WGrid,A28,0),ZetaVec)</f>
        <v>0.92576866806850622</v>
      </c>
      <c r="D28" s="26">
        <f t="shared" si="1"/>
        <v>3.0900000000457783E-3</v>
      </c>
      <c r="E28" s="23">
        <f t="shared" si="2"/>
        <v>3.0899999999999999E-3</v>
      </c>
    </row>
    <row r="29" spans="1:5" x14ac:dyDescent="0.2">
      <c r="A29" s="20">
        <f t="shared" si="3"/>
        <v>26</v>
      </c>
      <c r="B29" s="21">
        <f t="shared" si="0"/>
        <v>0.47555445682984043</v>
      </c>
      <c r="C29" s="21">
        <f t="array" ref="C29">B29+MMULT(INDEX(WGrid,A29,0),ZetaVec)</f>
        <v>0.91647274505577303</v>
      </c>
      <c r="D29" s="26">
        <f t="shared" si="1"/>
        <v>3.3603622551279244E-3</v>
      </c>
      <c r="E29" s="23" t="str">
        <f t="shared" si="2"/>
        <v/>
      </c>
    </row>
    <row r="30" spans="1:5" x14ac:dyDescent="0.2">
      <c r="A30" s="20">
        <f t="shared" si="3"/>
        <v>27</v>
      </c>
      <c r="B30" s="21">
        <f t="shared" si="0"/>
        <v>0.4621520474536836</v>
      </c>
      <c r="C30" s="21">
        <f t="array" ref="C30">B30+MMULT(INDEX(WGrid,A30,0),ZetaVec)</f>
        <v>0.90499645361216552</v>
      </c>
      <c r="D30" s="26">
        <f t="shared" si="1"/>
        <v>3.7040376454486879E-3</v>
      </c>
      <c r="E30" s="23" t="str">
        <f t="shared" si="2"/>
        <v/>
      </c>
    </row>
    <row r="31" spans="1:5" x14ac:dyDescent="0.2">
      <c r="A31" s="20">
        <f t="shared" si="3"/>
        <v>28</v>
      </c>
      <c r="B31" s="21">
        <f t="shared" si="0"/>
        <v>0.44912735418239425</v>
      </c>
      <c r="C31" s="21">
        <f t="array" ref="C31">B31+MMULT(INDEX(WGrid,A31,0),ZetaVec)</f>
        <v>0.89175641830465058</v>
      </c>
      <c r="D31" s="26">
        <f t="shared" si="1"/>
        <v>4.0998908418534707E-3</v>
      </c>
      <c r="E31" s="23" t="str">
        <f t="shared" si="2"/>
        <v/>
      </c>
    </row>
    <row r="32" spans="1:5" x14ac:dyDescent="0.2">
      <c r="A32" s="20">
        <f t="shared" si="3"/>
        <v>29</v>
      </c>
      <c r="B32" s="21">
        <f t="shared" si="0"/>
        <v>0.43646973195567956</v>
      </c>
      <c r="C32" s="21">
        <f t="array" ref="C32">B32+MMULT(INDEX(WGrid,A32,0),ZetaVec)</f>
        <v>0.87710587111126226</v>
      </c>
      <c r="D32" s="26">
        <f t="shared" si="1"/>
        <v>4.5318785335655143E-3</v>
      </c>
      <c r="E32" s="23" t="str">
        <f t="shared" si="2"/>
        <v/>
      </c>
    </row>
    <row r="33" spans="1:5" x14ac:dyDescent="0.2">
      <c r="A33" s="20">
        <f t="shared" si="3"/>
        <v>30</v>
      </c>
      <c r="B33" s="21">
        <f t="shared" si="0"/>
        <v>0.42416883571980524</v>
      </c>
      <c r="C33" s="21">
        <f t="array" ref="C33">B33+MMULT(INDEX(WGrid,A33,0),ZetaVec)</f>
        <v>0.86134394927117963</v>
      </c>
      <c r="D33" s="26">
        <f t="shared" si="1"/>
        <v>4.987777012654071E-3</v>
      </c>
      <c r="E33" s="23" t="str">
        <f t="shared" si="2"/>
        <v/>
      </c>
    </row>
    <row r="34" spans="1:5" x14ac:dyDescent="0.2">
      <c r="A34" s="20">
        <f t="shared" si="3"/>
        <v>31</v>
      </c>
      <c r="B34" s="21">
        <f t="shared" si="0"/>
        <v>0.41221461197259984</v>
      </c>
      <c r="C34" s="21">
        <f t="array" ref="C34">B34+MMULT(INDEX(WGrid,A34,0),ZetaVec)</f>
        <v>0.84472363877899603</v>
      </c>
      <c r="D34" s="26">
        <f t="shared" si="1"/>
        <v>5.4582538906735589E-3</v>
      </c>
      <c r="E34" s="23" t="str">
        <f t="shared" si="2"/>
        <v/>
      </c>
    </row>
    <row r="35" spans="1:5" x14ac:dyDescent="0.2">
      <c r="A35" s="20">
        <f t="shared" si="3"/>
        <v>32</v>
      </c>
      <c r="B35" s="21">
        <f t="shared" si="0"/>
        <v>0.40059729054674431</v>
      </c>
      <c r="C35" s="21">
        <f t="array" ref="C35">B35+MMULT(INDEX(WGrid,A35,0),ZetaVec)</f>
        <v>0.82745856054134892</v>
      </c>
      <c r="D35" s="26">
        <f t="shared" si="1"/>
        <v>5.9361825537169732E-3</v>
      </c>
      <c r="E35" s="23" t="str">
        <f t="shared" si="2"/>
        <v/>
      </c>
    </row>
    <row r="36" spans="1:5" x14ac:dyDescent="0.2">
      <c r="A36" s="20">
        <f t="shared" si="3"/>
        <v>33</v>
      </c>
      <c r="B36" s="21">
        <f t="shared" ref="B36:B67" si="4">EXP(-UFR*A36)</f>
        <v>0.38930737662463011</v>
      </c>
      <c r="C36" s="21">
        <f t="array" ref="C36">B36+MMULT(INDEX(WGrid,A36,0),ZetaVec)</f>
        <v>0.80972876756122891</v>
      </c>
      <c r="D36" s="26">
        <f t="shared" ref="D36:D67" si="5">(1/C36)^(1/A36)-1</f>
        <v>6.4161303559648886E-3</v>
      </c>
      <c r="E36" s="23" t="str">
        <f t="shared" ref="E36:E68" si="6">IF(A36&lt;=N_Obs,INDEX(SpotRates,A36),"")</f>
        <v/>
      </c>
    </row>
    <row r="37" spans="1:5" x14ac:dyDescent="0.2">
      <c r="A37" s="20">
        <f t="shared" ref="A37:A68" si="7">A36+1</f>
        <v>34</v>
      </c>
      <c r="B37" s="21">
        <f t="shared" si="4"/>
        <v>0.37833564297826061</v>
      </c>
      <c r="C37" s="21">
        <f t="array" ref="C37">B37+MMULT(INDEX(WGrid,A37,0),ZetaVec)</f>
        <v>0.79168569702928393</v>
      </c>
      <c r="D37" s="26">
        <f t="shared" si="5"/>
        <v>6.8939728087236141E-3</v>
      </c>
      <c r="E37" s="23" t="str">
        <f t="shared" si="6"/>
        <v/>
      </c>
    </row>
    <row r="38" spans="1:5" x14ac:dyDescent="0.2">
      <c r="A38" s="20">
        <f t="shared" si="7"/>
        <v>35</v>
      </c>
      <c r="B38" s="21">
        <f t="shared" si="4"/>
        <v>0.36767312242785288</v>
      </c>
      <c r="C38" s="21">
        <f t="array" ref="C38">B38+MMULT(INDEX(WGrid,A38,0),ZetaVec)</f>
        <v>0.77345640027627338</v>
      </c>
      <c r="D38" s="26">
        <f t="shared" si="5"/>
        <v>7.36660023067226E-3</v>
      </c>
      <c r="E38" s="23" t="str">
        <f t="shared" si="6"/>
        <v/>
      </c>
    </row>
    <row r="39" spans="1:5" x14ac:dyDescent="0.2">
      <c r="A39" s="20">
        <f t="shared" si="7"/>
        <v>36</v>
      </c>
      <c r="B39" s="21">
        <f t="shared" si="4"/>
        <v>0.3573111005129766</v>
      </c>
      <c r="C39" s="21">
        <f t="array" ref="C39">B39+MMULT(INDEX(WGrid,A39,0),ZetaVec)</f>
        <v>0.75514715565876656</v>
      </c>
      <c r="D39" s="26">
        <f t="shared" si="5"/>
        <v>7.8316929823125658E-3</v>
      </c>
      <c r="E39" s="23" t="str">
        <f t="shared" si="6"/>
        <v/>
      </c>
    </row>
    <row r="40" spans="1:5" x14ac:dyDescent="0.2">
      <c r="A40" s="20">
        <f t="shared" si="7"/>
        <v>37</v>
      </c>
      <c r="B40" s="21">
        <f t="shared" si="4"/>
        <v>0.34724110837023964</v>
      </c>
      <c r="C40" s="21">
        <f t="array" ref="C40">B40+MMULT(INDEX(WGrid,A40,0),ZetaVec)</f>
        <v>0.73684655416864442</v>
      </c>
      <c r="D40" s="26">
        <f t="shared" si="5"/>
        <v>8.2875480716475547E-3</v>
      </c>
      <c r="E40" s="23" t="str">
        <f t="shared" si="6"/>
        <v/>
      </c>
    </row>
    <row r="41" spans="1:5" x14ac:dyDescent="0.2">
      <c r="A41" s="20">
        <f t="shared" si="7"/>
        <v>38</v>
      </c>
      <c r="B41" s="21">
        <f t="shared" si="4"/>
        <v>0.33745491581170034</v>
      </c>
      <c r="C41" s="21">
        <f t="array" ref="C41">B41+MMULT(INDEX(WGrid,A41,0),ZetaVec)</f>
        <v>0.71862813449774254</v>
      </c>
      <c r="D41" s="26">
        <f t="shared" si="5"/>
        <v>8.7329445807160511E-3</v>
      </c>
      <c r="E41" s="23" t="str">
        <f t="shared" si="6"/>
        <v/>
      </c>
    </row>
    <row r="42" spans="1:5" x14ac:dyDescent="0.2">
      <c r="A42" s="20">
        <f t="shared" si="7"/>
        <v>39</v>
      </c>
      <c r="B42" s="21">
        <f t="shared" si="4"/>
        <v>0.32794452459834827</v>
      </c>
      <c r="C42" s="21">
        <f t="array" ref="C42">B42+MMULT(INDEX(WGrid,A42,0),ZetaVec)</f>
        <v>0.70055263312893801</v>
      </c>
      <c r="D42" s="26">
        <f t="shared" si="5"/>
        <v>9.1670386665128056E-3</v>
      </c>
      <c r="E42" s="23" t="str">
        <f t="shared" si="6"/>
        <v/>
      </c>
    </row>
    <row r="43" spans="1:5" x14ac:dyDescent="0.2">
      <c r="A43" s="20">
        <f t="shared" si="7"/>
        <v>40</v>
      </c>
      <c r="B43" s="21">
        <f t="shared" si="4"/>
        <v>0.31870216190315681</v>
      </c>
      <c r="C43" s="21">
        <f t="array" ref="C43">B43+MMULT(INDEX(WGrid,A43,0),ZetaVec)</f>
        <v>0.68266990548791451</v>
      </c>
      <c r="D43" s="26">
        <f t="shared" si="5"/>
        <v>9.5892812584503773E-3</v>
      </c>
      <c r="E43" s="23" t="str">
        <f t="shared" si="6"/>
        <v/>
      </c>
    </row>
    <row r="44" spans="1:5" x14ac:dyDescent="0.2">
      <c r="A44" s="20">
        <f t="shared" si="7"/>
        <v>41</v>
      </c>
      <c r="B44" s="21">
        <f t="shared" si="4"/>
        <v>0.30972027395836427</v>
      </c>
      <c r="C44" s="21">
        <f t="array" ref="C44">B44+MMULT(INDEX(WGrid,A44,0),ZetaVec)</f>
        <v>0.66502056603970572</v>
      </c>
      <c r="D44" s="26">
        <f t="shared" si="5"/>
        <v>9.9993532910265248E-3</v>
      </c>
      <c r="E44" s="23" t="str">
        <f t="shared" si="6"/>
        <v/>
      </c>
    </row>
    <row r="45" spans="1:5" x14ac:dyDescent="0.2">
      <c r="A45" s="20">
        <f t="shared" si="7"/>
        <v>42</v>
      </c>
      <c r="B45" s="21">
        <f t="shared" si="4"/>
        <v>0.30099151988179229</v>
      </c>
      <c r="C45" s="21">
        <f t="array" ref="C45">B45+MMULT(INDEX(WGrid,A45,0),ZetaVec)</f>
        <v>0.64763738824928363</v>
      </c>
      <c r="D45" s="26">
        <f t="shared" si="5"/>
        <v>1.0397114566770949E-2</v>
      </c>
      <c r="E45" s="23" t="str">
        <f t="shared" si="6"/>
        <v/>
      </c>
    </row>
    <row r="46" spans="1:5" x14ac:dyDescent="0.2">
      <c r="A46" s="20">
        <f t="shared" si="7"/>
        <v>43</v>
      </c>
      <c r="B46" s="21">
        <f t="shared" si="4"/>
        <v>0.29250876567715484</v>
      </c>
      <c r="C46" s="21">
        <f t="array" ref="C46">B46+MMULT(INDEX(WGrid,A46,0),ZetaVec)</f>
        <v>0.63054649937356921</v>
      </c>
      <c r="D46" s="26">
        <f t="shared" si="5"/>
        <v>1.078256327276117E-2</v>
      </c>
      <c r="E46" s="23" t="str">
        <f t="shared" si="6"/>
        <v/>
      </c>
    </row>
    <row r="47" spans="1:5" x14ac:dyDescent="0.2">
      <c r="A47" s="20">
        <f t="shared" si="7"/>
        <v>44</v>
      </c>
      <c r="B47" s="21">
        <f t="shared" si="4"/>
        <v>0.28426507840345466</v>
      </c>
      <c r="C47" s="21">
        <f t="array" ref="C47">B47+MMULT(INDEX(WGrid,A47,0),ZetaVec)</f>
        <v>0.61376839996565336</v>
      </c>
      <c r="D47" s="26">
        <f t="shared" si="5"/>
        <v>1.1155803865681824E-2</v>
      </c>
      <c r="E47" s="23" t="str">
        <f t="shared" si="6"/>
        <v/>
      </c>
    </row>
    <row r="48" spans="1:5" x14ac:dyDescent="0.2">
      <c r="A48" s="20">
        <f t="shared" si="7"/>
        <v>45</v>
      </c>
      <c r="B48" s="21">
        <f t="shared" si="4"/>
        <v>0.27625372050870228</v>
      </c>
      <c r="C48" s="21">
        <f t="array" ref="C48">B48+MMULT(INDEX(WGrid,A48,0),ZetaVec)</f>
        <v>0.59731883362570737</v>
      </c>
      <c r="D48" s="26">
        <f t="shared" si="5"/>
        <v>1.1517021560005336E-2</v>
      </c>
      <c r="E48" s="23" t="str">
        <f t="shared" si="6"/>
        <v/>
      </c>
    </row>
    <row r="49" spans="1:5" x14ac:dyDescent="0.2">
      <c r="A49" s="20">
        <f t="shared" si="7"/>
        <v>46</v>
      </c>
      <c r="B49" s="21">
        <f t="shared" si="4"/>
        <v>0.26846814432332589</v>
      </c>
      <c r="C49" s="21">
        <f t="array" ref="C49">B49+MMULT(INDEX(WGrid,A49,0),ZetaVec)</f>
        <v>0.58120952881817578</v>
      </c>
      <c r="D49" s="26">
        <f t="shared" si="5"/>
        <v>1.1866462047161574E-2</v>
      </c>
      <c r="E49" s="23" t="str">
        <f t="shared" si="6"/>
        <v/>
      </c>
    </row>
    <row r="50" spans="1:5" x14ac:dyDescent="0.2">
      <c r="A50" s="20">
        <f t="shared" si="7"/>
        <v>47</v>
      </c>
      <c r="B50" s="21">
        <f t="shared" si="4"/>
        <v>0.26090198670877157</v>
      </c>
      <c r="C50" s="21">
        <f t="array" ref="C50">B50+MMULT(INDEX(WGrid,A50,0),ZetaVec)</f>
        <v>0.56544883140088631</v>
      </c>
      <c r="D50" s="26">
        <f t="shared" si="5"/>
        <v>1.2204415373325173E-2</v>
      </c>
      <c r="E50" s="23" t="str">
        <f t="shared" si="6"/>
        <v/>
      </c>
    </row>
    <row r="51" spans="1:5" x14ac:dyDescent="0.2">
      <c r="A51" s="20">
        <f t="shared" si="7"/>
        <v>48</v>
      </c>
      <c r="B51" s="21">
        <f t="shared" si="4"/>
        <v>0.25354906385692089</v>
      </c>
      <c r="C51" s="21">
        <f t="array" ref="C51">B51+MMULT(INDEX(WGrid,A51,0),ZetaVec)</f>
        <v>0.55004224379879285</v>
      </c>
      <c r="D51" s="26">
        <f t="shared" si="5"/>
        <v>1.2531203133471225E-2</v>
      </c>
      <c r="E51" s="23" t="str">
        <f t="shared" si="6"/>
        <v/>
      </c>
    </row>
    <row r="52" spans="1:5" x14ac:dyDescent="0.2">
      <c r="A52" s="20">
        <f t="shared" si="7"/>
        <v>49</v>
      </c>
      <c r="B52" s="21">
        <f t="shared" si="4"/>
        <v>0.24640336623607473</v>
      </c>
      <c r="C52" s="21">
        <f t="array" ref="C52">B52+MMULT(INDEX(WGrid,A52,0),ZetaVec)</f>
        <v>0.53499288443711757</v>
      </c>
      <c r="D52" s="26">
        <f t="shared" si="5"/>
        <v>1.284716831691024E-2</v>
      </c>
      <c r="E52" s="23" t="str">
        <f t="shared" si="6"/>
        <v/>
      </c>
    </row>
    <row r="53" spans="1:5" x14ac:dyDescent="0.2">
      <c r="A53" s="20">
        <f t="shared" si="7"/>
        <v>50</v>
      </c>
      <c r="B53" s="21">
        <f t="shared" si="4"/>
        <v>0.23945905367937295</v>
      </c>
      <c r="C53" s="21">
        <f t="array" ref="C53">B53+MMULT(INDEX(WGrid,A53,0),ZetaVec)</f>
        <v>0.52030187906759795</v>
      </c>
      <c r="D53" s="26">
        <f t="shared" si="5"/>
        <v>1.3152667277404939E-2</v>
      </c>
      <c r="E53" s="23" t="str">
        <f t="shared" si="6"/>
        <v/>
      </c>
    </row>
    <row r="54" spans="1:5" x14ac:dyDescent="0.2">
      <c r="A54" s="20">
        <f t="shared" si="7"/>
        <v>51</v>
      </c>
      <c r="B54" s="21">
        <f t="shared" si="4"/>
        <v>0.23271045061163553</v>
      </c>
      <c r="C54" s="21">
        <f t="array" ref="C54">B54+MMULT(INDEX(WGrid,A54,0),ZetaVec)</f>
        <v>0.50596869392863697</v>
      </c>
      <c r="D54" s="26">
        <f t="shared" si="5"/>
        <v>1.3448063408616706E-2</v>
      </c>
      <c r="E54" s="23" t="str">
        <f t="shared" si="6"/>
        <v/>
      </c>
    </row>
    <row r="55" spans="1:5" x14ac:dyDescent="0.2">
      <c r="A55" s="20">
        <f t="shared" si="7"/>
        <v>52</v>
      </c>
      <c r="B55" s="21">
        <f t="shared" si="4"/>
        <v>0.22615204141072456</v>
      </c>
      <c r="C55" s="21">
        <f t="array" ref="C55">B55+MMULT(INDEX(WGrid,A55,0),ZetaVec)</f>
        <v>0.49199141923359635</v>
      </c>
      <c r="D55" s="26">
        <f t="shared" si="5"/>
        <v>1.3733722190095055E-2</v>
      </c>
      <c r="E55" s="23" t="str">
        <f t="shared" si="6"/>
        <v/>
      </c>
    </row>
    <row r="56" spans="1:5" x14ac:dyDescent="0.2">
      <c r="A56" s="20">
        <f t="shared" si="7"/>
        <v>53</v>
      </c>
      <c r="B56" s="21">
        <f t="shared" si="4"/>
        <v>0.21977846589963512</v>
      </c>
      <c r="C56" s="21">
        <f t="array" ref="C56">B56+MMULT(INDEX(WGrid,A56,0),ZetaVec)</f>
        <v>0.47836701024508554</v>
      </c>
      <c r="D56" s="26">
        <f t="shared" si="5"/>
        <v>1.40100073356213E-2</v>
      </c>
      <c r="E56" s="23" t="str">
        <f t="shared" si="6"/>
        <v/>
      </c>
    </row>
    <row r="57" spans="1:5" x14ac:dyDescent="0.2">
      <c r="A57" s="20">
        <f t="shared" si="7"/>
        <v>54</v>
      </c>
      <c r="B57" s="21">
        <f t="shared" si="4"/>
        <v>0.21358451496563183</v>
      </c>
      <c r="C57" s="21">
        <f t="array" ref="C57">B57+MMULT(INDEX(WGrid,A57,0),ZetaVec)</f>
        <v>0.46509149213679113</v>
      </c>
      <c r="D57" s="26">
        <f t="shared" si="5"/>
        <v>1.4277277828443458E-2</v>
      </c>
      <c r="E57" s="23" t="str">
        <f t="shared" si="6"/>
        <v/>
      </c>
    </row>
    <row r="58" spans="1:5" x14ac:dyDescent="0.2">
      <c r="A58" s="20">
        <f t="shared" si="7"/>
        <v>55</v>
      </c>
      <c r="B58" s="21">
        <f t="shared" si="4"/>
        <v>0.20756512630284921</v>
      </c>
      <c r="C58" s="21">
        <f t="array" ref="C58">B58+MMULT(INDEX(WGrid,A58,0),ZetaVec)</f>
        <v>0.45216013394148591</v>
      </c>
      <c r="D58" s="26">
        <f t="shared" si="5"/>
        <v>1.4535885669870297E-2</v>
      </c>
      <c r="E58" s="23" t="str">
        <f t="shared" si="6"/>
        <v/>
      </c>
    </row>
    <row r="59" spans="1:5" x14ac:dyDescent="0.2">
      <c r="A59" s="20">
        <f t="shared" si="7"/>
        <v>56</v>
      </c>
      <c r="B59" s="21">
        <f t="shared" si="4"/>
        <v>0.20171538027487779</v>
      </c>
      <c r="C59" s="21">
        <f t="array" ref="C59">B59+MMULT(INDEX(WGrid,A59,0),ZetaVec)</f>
        <v>0.43956759611246066</v>
      </c>
      <c r="D59" s="26">
        <f t="shared" si="5"/>
        <v>1.47861742011548E-2</v>
      </c>
      <c r="E59" s="23" t="str">
        <f t="shared" si="6"/>
        <v/>
      </c>
    </row>
    <row r="60" spans="1:5" x14ac:dyDescent="0.2">
      <c r="A60" s="20">
        <f t="shared" si="7"/>
        <v>57</v>
      </c>
      <c r="B60" s="21">
        <f t="shared" si="4"/>
        <v>0.19603049589395316</v>
      </c>
      <c r="C60" s="21">
        <f t="array" ref="C60">B60+MMULT(INDEX(WGrid,A60,0),ZetaVec)</f>
        <v>0.42730805556636486</v>
      </c>
      <c r="D60" s="26">
        <f t="shared" si="5"/>
        <v>1.5028476885395881E-2</v>
      </c>
      <c r="E60" s="23" t="str">
        <f t="shared" si="6"/>
        <v/>
      </c>
    </row>
    <row r="61" spans="1:5" x14ac:dyDescent="0.2">
      <c r="A61" s="20">
        <f t="shared" si="7"/>
        <v>58</v>
      </c>
      <c r="B61" s="21">
        <f t="shared" si="4"/>
        <v>0.19050582691346277</v>
      </c>
      <c r="C61" s="21">
        <f t="array" ref="C61">B61+MMULT(INDEX(WGrid,A61,0),ZetaVec)</f>
        <v>0.41537531151200169</v>
      </c>
      <c r="D61" s="26">
        <f t="shared" si="5"/>
        <v>1.5263116457726822E-2</v>
      </c>
      <c r="E61" s="23" t="str">
        <f t="shared" si="6"/>
        <v/>
      </c>
    </row>
    <row r="62" spans="1:5" x14ac:dyDescent="0.2">
      <c r="A62" s="20">
        <f t="shared" si="7"/>
        <v>59</v>
      </c>
      <c r="B62" s="21">
        <f t="shared" si="4"/>
        <v>0.18513685803057608</v>
      </c>
      <c r="C62" s="21">
        <f t="array" ref="C62">B62+MMULT(INDEX(WGrid,A62,0),ZetaVec)</f>
        <v>0.40376287488834639</v>
      </c>
      <c r="D62" s="26">
        <f t="shared" si="5"/>
        <v>1.5490404369405075E-2</v>
      </c>
      <c r="E62" s="23" t="str">
        <f t="shared" si="6"/>
        <v/>
      </c>
    </row>
    <row r="63" spans="1:5" x14ac:dyDescent="0.2">
      <c r="A63" s="20">
        <f t="shared" si="7"/>
        <v>60</v>
      </c>
      <c r="B63" s="21">
        <f t="shared" si="4"/>
        <v>0.17991920119589511</v>
      </c>
      <c r="C63" s="21">
        <f t="array" ref="C63">B63+MMULT(INDEX(WGrid,A63,0),ZetaVec)</f>
        <v>0.39246404382352484</v>
      </c>
      <c r="D63" s="26">
        <f t="shared" si="5"/>
        <v>1.5710640465449233E-2</v>
      </c>
      <c r="E63" s="23" t="str">
        <f t="shared" si="6"/>
        <v/>
      </c>
    </row>
    <row r="64" spans="1:5" x14ac:dyDescent="0.2">
      <c r="A64" s="20">
        <f t="shared" si="7"/>
        <v>61</v>
      </c>
      <c r="B64" s="21">
        <f t="shared" si="4"/>
        <v>0.17484859202710895</v>
      </c>
      <c r="C64" s="21">
        <f t="array" ref="C64">B64+MMULT(INDEX(WGrid,A64,0),ZetaVec)</f>
        <v>0.38147196717513948</v>
      </c>
      <c r="D64" s="26">
        <f t="shared" si="5"/>
        <v>1.5924112846817717E-2</v>
      </c>
      <c r="E64" s="23" t="str">
        <f t="shared" si="6"/>
        <v/>
      </c>
    </row>
    <row r="65" spans="1:5" x14ac:dyDescent="0.2">
      <c r="A65" s="20">
        <f t="shared" si="7"/>
        <v>62</v>
      </c>
      <c r="B65" s="21">
        <f t="shared" si="4"/>
        <v>0.16992088632372107</v>
      </c>
      <c r="C65" s="21">
        <f t="array" ref="C65">B65+MMULT(INDEX(WGrid,A65,0),ZetaVec)</f>
        <v>0.37077969791171206</v>
      </c>
      <c r="D65" s="26">
        <f t="shared" si="5"/>
        <v>1.6131097877350564E-2</v>
      </c>
      <c r="E65" s="23" t="str">
        <f t="shared" si="6"/>
        <v/>
      </c>
    </row>
    <row r="66" spans="1:5" x14ac:dyDescent="0.2">
      <c r="A66" s="20">
        <f t="shared" si="7"/>
        <v>63</v>
      </c>
      <c r="B66" s="21">
        <f t="shared" si="4"/>
        <v>0.16513205668000105</v>
      </c>
      <c r="C66" s="21">
        <f t="array" ref="C66">B66+MMULT(INDEX(WGrid,A66,0),ZetaVec)</f>
        <v>0.36038023783861783</v>
      </c>
      <c r="D66" s="26">
        <f t="shared" si="5"/>
        <v>1.6331860303182122E-2</v>
      </c>
      <c r="E66" s="23" t="str">
        <f t="shared" si="6"/>
        <v/>
      </c>
    </row>
    <row r="67" spans="1:5" x14ac:dyDescent="0.2">
      <c r="A67" s="20">
        <f t="shared" si="7"/>
        <v>64</v>
      </c>
      <c r="B67" s="21">
        <f t="shared" si="4"/>
        <v>0.16047818919339268</v>
      </c>
      <c r="C67" s="21">
        <f t="array" ref="C67">B67+MMULT(INDEX(WGrid,A67,0),ZetaVec)</f>
        <v>0.35026657495224395</v>
      </c>
      <c r="D67" s="26">
        <f t="shared" si="5"/>
        <v>1.6526653458452278E-2</v>
      </c>
      <c r="E67" s="23" t="str">
        <f t="shared" si="6"/>
        <v/>
      </c>
    </row>
    <row r="68" spans="1:5" x14ac:dyDescent="0.2">
      <c r="A68" s="20">
        <f t="shared" si="7"/>
        <v>65</v>
      </c>
      <c r="B68" s="21">
        <f t="shared" ref="B68" si="8">EXP(-UFR*A68)</f>
        <v>0.15595548026568776</v>
      </c>
      <c r="C68" s="21">
        <f t="array" ref="C68">B68+MMULT(INDEX(WGrid,A68,0),ZetaVec)</f>
        <v>0.34043171451895093</v>
      </c>
      <c r="D68" s="26">
        <f t="shared" ref="D68" si="9">(1/C68)^(1/A68)-1</f>
        <v>1.6715719536108731E-2</v>
      </c>
      <c r="E68" s="23" t="str">
        <f t="shared" si="6"/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E22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5" width="14" customWidth="1"/>
  </cols>
  <sheetData>
    <row r="2" spans="2:5" x14ac:dyDescent="0.2">
      <c r="B2" s="3" t="s">
        <v>97</v>
      </c>
    </row>
    <row r="3" spans="2:5" x14ac:dyDescent="0.2">
      <c r="B3" s="10" t="s">
        <v>49</v>
      </c>
      <c r="C3" s="10" t="s">
        <v>50</v>
      </c>
      <c r="D3" s="10"/>
    </row>
    <row r="4" spans="2:5" x14ac:dyDescent="0.2">
      <c r="B4" s="5" t="s">
        <v>52</v>
      </c>
      <c r="C4" s="27">
        <f>SelMaturity</f>
        <v>30</v>
      </c>
      <c r="D4" s="12"/>
    </row>
    <row r="5" spans="2:5" x14ac:dyDescent="0.2">
      <c r="B5" s="5" t="s">
        <v>92</v>
      </c>
      <c r="C5" s="28">
        <f>INDEX(Ext_P,SelMaturity)</f>
        <v>0.86134394927117963</v>
      </c>
      <c r="D5" s="12"/>
    </row>
    <row r="6" spans="2:5" x14ac:dyDescent="0.2">
      <c r="B6" s="5" t="s">
        <v>93</v>
      </c>
      <c r="C6" s="29">
        <f>INDEX(Ext_R,SelMaturity)</f>
        <v>4.987777012654071E-3</v>
      </c>
      <c r="D6" s="12"/>
    </row>
    <row r="7" spans="2:5" x14ac:dyDescent="0.2">
      <c r="B7" s="5" t="s">
        <v>98</v>
      </c>
      <c r="C7" s="29">
        <f>UFR_Annual</f>
        <v>2.8999999999999915E-2</v>
      </c>
      <c r="D7" s="12"/>
    </row>
    <row r="8" spans="2:5" x14ac:dyDescent="0.2">
      <c r="B8" s="5" t="s">
        <v>99</v>
      </c>
      <c r="C8" s="29">
        <f>UFR_Annual-INDEX(Ext_R,SelMaturity)</f>
        <v>2.4012222987345844E-2</v>
      </c>
      <c r="D8" s="12" t="s">
        <v>100</v>
      </c>
    </row>
    <row r="10" spans="2:5" x14ac:dyDescent="0.2">
      <c r="B10" s="3" t="s">
        <v>101</v>
      </c>
    </row>
    <row r="11" spans="2:5" x14ac:dyDescent="0.2">
      <c r="B11" s="10" t="s">
        <v>102</v>
      </c>
      <c r="C11" s="10" t="s">
        <v>103</v>
      </c>
      <c r="D11" s="10" t="s">
        <v>104</v>
      </c>
      <c r="E11" s="10" t="s">
        <v>92</v>
      </c>
    </row>
    <row r="12" spans="2:5" x14ac:dyDescent="0.2">
      <c r="B12" s="11">
        <v>1</v>
      </c>
      <c r="C12" s="29">
        <f t="shared" ref="C12:C22" si="0">INDEX(Ext_R,B12)</f>
        <v>-8.0299999995581128E-3</v>
      </c>
      <c r="D12" s="29">
        <f t="shared" ref="D12:D22" si="1">IF(B12&lt;=N_Obs,INDEX(SpotRates,B12),"")</f>
        <v>-8.0300000000000007E-3</v>
      </c>
      <c r="E12" s="28">
        <f t="shared" ref="E12:E22" si="2">INDEX(Ext_P,B12)</f>
        <v>1.0080950028726217</v>
      </c>
    </row>
    <row r="13" spans="2:5" x14ac:dyDescent="0.2">
      <c r="B13" s="11">
        <v>5</v>
      </c>
      <c r="C13" s="29">
        <f t="shared" si="0"/>
        <v>-6.5199999997878066E-3</v>
      </c>
      <c r="D13" s="29">
        <f t="shared" si="1"/>
        <v>-6.5199999999999998E-3</v>
      </c>
      <c r="E13" s="28">
        <f t="shared" si="2"/>
        <v>1.0332474848724607</v>
      </c>
    </row>
    <row r="14" spans="2:5" x14ac:dyDescent="0.2">
      <c r="B14" s="11">
        <v>10</v>
      </c>
      <c r="C14" s="29">
        <f t="shared" si="0"/>
        <v>-2.1399999998791275E-3</v>
      </c>
      <c r="D14" s="29">
        <f t="shared" si="1"/>
        <v>-2.14E-3</v>
      </c>
      <c r="E14" s="28">
        <f t="shared" si="2"/>
        <v>1.0216540491602855</v>
      </c>
    </row>
    <row r="15" spans="2:5" x14ac:dyDescent="0.2">
      <c r="B15" s="11">
        <v>15</v>
      </c>
      <c r="C15" s="29">
        <f t="shared" si="0"/>
        <v>1.0800000000910082E-3</v>
      </c>
      <c r="D15" s="29">
        <f t="shared" si="1"/>
        <v>1.08E-3</v>
      </c>
      <c r="E15" s="28">
        <f t="shared" si="2"/>
        <v>0.98393911554057023</v>
      </c>
    </row>
    <row r="16" spans="2:5" x14ac:dyDescent="0.2">
      <c r="B16" s="11">
        <v>20</v>
      </c>
      <c r="C16" s="29">
        <f t="shared" si="0"/>
        <v>2.6400000000632584E-3</v>
      </c>
      <c r="D16" s="29">
        <f t="shared" si="1"/>
        <v>2.64E-3</v>
      </c>
      <c r="E16" s="28">
        <f t="shared" si="2"/>
        <v>0.94863570513624706</v>
      </c>
    </row>
    <row r="17" spans="2:5" x14ac:dyDescent="0.2">
      <c r="B17" s="11">
        <v>25</v>
      </c>
      <c r="C17" s="29">
        <f t="shared" si="0"/>
        <v>3.0900000000457783E-3</v>
      </c>
      <c r="D17" s="29">
        <f t="shared" si="1"/>
        <v>3.0899999999999999E-3</v>
      </c>
      <c r="E17" s="28">
        <f t="shared" si="2"/>
        <v>0.92576866806850622</v>
      </c>
    </row>
    <row r="18" spans="2:5" x14ac:dyDescent="0.2">
      <c r="B18" s="11">
        <v>30</v>
      </c>
      <c r="C18" s="29">
        <f t="shared" si="0"/>
        <v>4.987777012654071E-3</v>
      </c>
      <c r="D18" s="29" t="str">
        <f t="shared" si="1"/>
        <v/>
      </c>
      <c r="E18" s="28">
        <f t="shared" si="2"/>
        <v>0.86134394927117963</v>
      </c>
    </row>
    <row r="19" spans="2:5" x14ac:dyDescent="0.2">
      <c r="B19" s="11">
        <v>40</v>
      </c>
      <c r="C19" s="29">
        <f t="shared" si="0"/>
        <v>9.5892812584503773E-3</v>
      </c>
      <c r="D19" s="29" t="str">
        <f t="shared" si="1"/>
        <v/>
      </c>
      <c r="E19" s="28">
        <f t="shared" si="2"/>
        <v>0.68266990548791451</v>
      </c>
    </row>
    <row r="20" spans="2:5" x14ac:dyDescent="0.2">
      <c r="B20" s="11">
        <v>50</v>
      </c>
      <c r="C20" s="29">
        <f t="shared" si="0"/>
        <v>1.3152667277404939E-2</v>
      </c>
      <c r="D20" s="29" t="str">
        <f t="shared" si="1"/>
        <v/>
      </c>
      <c r="E20" s="28">
        <f t="shared" si="2"/>
        <v>0.52030187906759795</v>
      </c>
    </row>
    <row r="21" spans="2:5" x14ac:dyDescent="0.2">
      <c r="B21" s="11">
        <v>60</v>
      </c>
      <c r="C21" s="29">
        <f t="shared" si="0"/>
        <v>1.5710640465449233E-2</v>
      </c>
      <c r="D21" s="29" t="str">
        <f t="shared" si="1"/>
        <v/>
      </c>
      <c r="E21" s="28">
        <f t="shared" si="2"/>
        <v>0.39246404382352484</v>
      </c>
    </row>
    <row r="22" spans="2:5" x14ac:dyDescent="0.2">
      <c r="B22" s="11">
        <v>65</v>
      </c>
      <c r="C22" s="29">
        <f t="shared" si="0"/>
        <v>1.6715719536108731E-2</v>
      </c>
      <c r="D22" s="29" t="str">
        <f t="shared" si="1"/>
        <v/>
      </c>
      <c r="E22" s="28">
        <f t="shared" si="2"/>
        <v>0.34043171451895093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D11"/>
  <sheetViews>
    <sheetView showGridLines="0" workbookViewId="0"/>
  </sheetViews>
  <sheetFormatPr baseColWidth="10" defaultColWidth="8.83203125" defaultRowHeight="15" x14ac:dyDescent="0.2"/>
  <cols>
    <col min="2" max="2" width="46" customWidth="1"/>
    <col min="3" max="3" width="10" customWidth="1"/>
    <col min="4" max="4" width="76" customWidth="1"/>
  </cols>
  <sheetData>
    <row r="2" spans="2:4" x14ac:dyDescent="0.2">
      <c r="B2" s="3" t="s">
        <v>105</v>
      </c>
    </row>
    <row r="3" spans="2:4" x14ac:dyDescent="0.2">
      <c r="B3" s="10" t="s">
        <v>106</v>
      </c>
      <c r="C3" s="10" t="s">
        <v>107</v>
      </c>
      <c r="D3" s="10" t="s">
        <v>108</v>
      </c>
    </row>
    <row r="4" spans="2:4" x14ac:dyDescent="0.2">
      <c r="B4" s="5" t="s">
        <v>109</v>
      </c>
      <c r="C4" s="30" t="b">
        <f t="array" ref="C4">SUMPRODUCT(--(ABS(R_Fitted_Obs-SpotRates)&gt;0.00000001))=0</f>
        <v>1</v>
      </c>
      <c r="D4" s="31" t="s">
        <v>110</v>
      </c>
    </row>
    <row r="5" spans="2:4" x14ac:dyDescent="0.2">
      <c r="B5" s="5" t="s">
        <v>111</v>
      </c>
      <c r="C5" s="30" t="b">
        <f t="array" ref="C5">SUMPRODUCT(--(ABS(P_Fitted_Obs-MVec)&gt;0.00000001))=0</f>
        <v>1</v>
      </c>
      <c r="D5" s="31" t="s">
        <v>112</v>
      </c>
    </row>
    <row r="6" spans="2:4" x14ac:dyDescent="0.2">
      <c r="B6" s="5" t="s">
        <v>113</v>
      </c>
      <c r="C6" s="30" t="b">
        <f t="array" ref="C6">SUMPRODUCT(--(ABS(WMatrix-TRANSPOSE(WMatrix))&gt;0.000000000001))=0</f>
        <v>1</v>
      </c>
      <c r="D6" s="31" t="s">
        <v>114</v>
      </c>
    </row>
    <row r="7" spans="2:4" x14ac:dyDescent="0.2">
      <c r="B7" s="5" t="s">
        <v>115</v>
      </c>
      <c r="C7" s="30" t="b">
        <f t="array" ref="C7">SUMPRODUCT(--(ABS(MMULT(WMatrix,ZetaVec)-DVec)&gt;0.00000001))=0</f>
        <v>1</v>
      </c>
      <c r="D7" s="31" t="s">
        <v>116</v>
      </c>
    </row>
    <row r="8" spans="2:4" x14ac:dyDescent="0.2">
      <c r="B8" s="5" t="s">
        <v>117</v>
      </c>
      <c r="C8" s="30" t="b">
        <f>MIN(Ext_P)&gt;0</f>
        <v>1</v>
      </c>
      <c r="D8" s="31" t="s">
        <v>118</v>
      </c>
    </row>
    <row r="9" spans="2:4" x14ac:dyDescent="0.2">
      <c r="B9" s="5" t="s">
        <v>119</v>
      </c>
      <c r="C9" s="30" t="b">
        <f>ROWS(Ext_R)=T_Max</f>
        <v>1</v>
      </c>
      <c r="D9" s="31" t="s">
        <v>120</v>
      </c>
    </row>
    <row r="11" spans="2:4" x14ac:dyDescent="0.2">
      <c r="B11" s="3" t="s">
        <v>121</v>
      </c>
      <c r="C11" s="32" t="b">
        <f>AND(C4:C9)</f>
        <v>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67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1" max="1" width="6" customWidth="1"/>
    <col min="2" max="2" width="14" customWidth="1"/>
    <col min="3" max="3" width="12" customWidth="1"/>
    <col min="5" max="5" width="6" customWidth="1"/>
    <col min="6" max="6" width="14" customWidth="1"/>
  </cols>
  <sheetData>
    <row r="1" spans="1:6" x14ac:dyDescent="0.2">
      <c r="A1" s="3" t="s">
        <v>122</v>
      </c>
    </row>
    <row r="2" spans="1:6" x14ac:dyDescent="0.2">
      <c r="A2" s="10" t="s">
        <v>77</v>
      </c>
      <c r="B2" s="10" t="s">
        <v>123</v>
      </c>
      <c r="C2" s="10" t="s">
        <v>124</v>
      </c>
      <c r="E2" s="10" t="s">
        <v>80</v>
      </c>
      <c r="F2" s="10" t="s">
        <v>85</v>
      </c>
    </row>
    <row r="3" spans="1:6" x14ac:dyDescent="0.2">
      <c r="A3" s="7">
        <v>1</v>
      </c>
      <c r="B3" s="33">
        <v>1.0080950028732141</v>
      </c>
      <c r="C3" s="18">
        <v>-8.0300000001409799E-3</v>
      </c>
      <c r="E3" s="7">
        <v>1</v>
      </c>
      <c r="F3" s="34">
        <v>-2.7356742795572022</v>
      </c>
    </row>
    <row r="4" spans="1:6" x14ac:dyDescent="0.2">
      <c r="A4" s="7">
        <v>2</v>
      </c>
      <c r="B4" s="33">
        <v>1.0164809583809711</v>
      </c>
      <c r="C4" s="18">
        <v>-8.1400000001181638E-3</v>
      </c>
      <c r="E4" s="7">
        <v>2</v>
      </c>
      <c r="F4" s="34">
        <v>1.8090947174172241</v>
      </c>
    </row>
    <row r="5" spans="1:6" x14ac:dyDescent="0.2">
      <c r="A5" s="7">
        <v>3</v>
      </c>
      <c r="B5" s="33">
        <v>1.023707935069923</v>
      </c>
      <c r="C5" s="18">
        <v>-7.7800000000806113E-3</v>
      </c>
      <c r="E5" s="7">
        <v>3</v>
      </c>
      <c r="F5" s="34">
        <v>-0.95499732047392172</v>
      </c>
    </row>
    <row r="6" spans="1:6" x14ac:dyDescent="0.2">
      <c r="A6" s="7">
        <v>4</v>
      </c>
      <c r="B6" s="33">
        <v>1.0295333443954759</v>
      </c>
      <c r="C6" s="18">
        <v>-7.2500000000896847E-3</v>
      </c>
      <c r="E6" s="7">
        <v>4</v>
      </c>
      <c r="F6" s="34">
        <v>0.20998305790635641</v>
      </c>
    </row>
    <row r="7" spans="1:6" x14ac:dyDescent="0.2">
      <c r="A7" s="7">
        <v>5</v>
      </c>
      <c r="B7" s="33">
        <v>1.033247484873971</v>
      </c>
      <c r="C7" s="18">
        <v>-6.520000000078352E-3</v>
      </c>
      <c r="E7" s="7">
        <v>5</v>
      </c>
      <c r="F7" s="34">
        <v>1.576403169990044</v>
      </c>
    </row>
    <row r="8" spans="1:6" x14ac:dyDescent="0.2">
      <c r="A8" s="7">
        <v>6</v>
      </c>
      <c r="B8" s="33">
        <v>1.034580602645363</v>
      </c>
      <c r="C8" s="18">
        <v>-5.6500000000757611E-3</v>
      </c>
      <c r="E8" s="7">
        <v>6</v>
      </c>
      <c r="F8" s="34">
        <v>-2.7310985167491708</v>
      </c>
    </row>
    <row r="9" spans="1:6" x14ac:dyDescent="0.2">
      <c r="A9" s="7">
        <v>7</v>
      </c>
      <c r="B9" s="33">
        <v>1.0342545223938071</v>
      </c>
      <c r="C9" s="18">
        <v>-4.8000000000651974E-3</v>
      </c>
      <c r="E9" s="7">
        <v>7</v>
      </c>
      <c r="F9" s="34">
        <v>4.9454307409814646</v>
      </c>
    </row>
    <row r="10" spans="1:6" x14ac:dyDescent="0.2">
      <c r="A10" s="7">
        <v>8</v>
      </c>
      <c r="B10" s="33">
        <v>1.0318376226365511</v>
      </c>
      <c r="C10" s="18">
        <v>-3.9100000000586999E-3</v>
      </c>
      <c r="E10" s="7">
        <v>8</v>
      </c>
      <c r="F10" s="34">
        <v>-9.7625507158936671</v>
      </c>
    </row>
    <row r="11" spans="1:6" x14ac:dyDescent="0.2">
      <c r="A11" s="7">
        <v>9</v>
      </c>
      <c r="B11" s="33">
        <v>1.028615968008578</v>
      </c>
      <c r="C11" s="18">
        <v>-3.1300000000394901E-3</v>
      </c>
      <c r="E11" s="7">
        <v>9</v>
      </c>
      <c r="F11" s="34">
        <v>15.14436991130515</v>
      </c>
    </row>
    <row r="12" spans="1:6" x14ac:dyDescent="0.2">
      <c r="A12" s="7">
        <v>10</v>
      </c>
      <c r="B12" s="33">
        <v>1.021654049161878</v>
      </c>
      <c r="C12" s="18">
        <v>-2.1400000000346702E-3</v>
      </c>
      <c r="E12" s="7">
        <v>10</v>
      </c>
      <c r="F12" s="34">
        <v>-14.8714543123815</v>
      </c>
    </row>
    <row r="13" spans="1:6" x14ac:dyDescent="0.2">
      <c r="A13" s="7">
        <v>11</v>
      </c>
      <c r="B13" s="33">
        <v>1.0155301486460659</v>
      </c>
      <c r="C13" s="18">
        <v>-1.400000000036927E-3</v>
      </c>
      <c r="E13" s="7">
        <v>11</v>
      </c>
      <c r="F13" s="34">
        <v>11.090054245756621</v>
      </c>
    </row>
    <row r="14" spans="1:6" x14ac:dyDescent="0.2">
      <c r="A14" s="7">
        <v>12</v>
      </c>
      <c r="B14" s="33">
        <v>1.008075123953825</v>
      </c>
      <c r="C14" s="18">
        <v>-6.7000000003625271E-4</v>
      </c>
      <c r="E14" s="7">
        <v>12</v>
      </c>
      <c r="F14" s="34">
        <v>-8.6391616262862954</v>
      </c>
    </row>
    <row r="15" spans="1:6" x14ac:dyDescent="0.2">
      <c r="A15" s="7">
        <v>13</v>
      </c>
      <c r="B15" s="33">
        <v>1.0010405826334841</v>
      </c>
      <c r="C15" s="18">
        <v>-8.0000000034496921E-5</v>
      </c>
      <c r="E15" s="7">
        <v>13</v>
      </c>
      <c r="F15" s="34">
        <v>4.8434750981450634</v>
      </c>
    </row>
    <row r="16" spans="1:6" x14ac:dyDescent="0.2">
      <c r="A16" s="7">
        <v>14</v>
      </c>
      <c r="B16" s="33">
        <v>0.99288723637662402</v>
      </c>
      <c r="C16" s="18">
        <v>5.0999999996625967E-4</v>
      </c>
      <c r="E16" s="7">
        <v>14</v>
      </c>
      <c r="F16" s="34">
        <v>0.20516018429952959</v>
      </c>
    </row>
    <row r="17" spans="1:6" x14ac:dyDescent="0.2">
      <c r="A17" s="7">
        <v>15</v>
      </c>
      <c r="B17" s="33">
        <v>0.9839391155423981</v>
      </c>
      <c r="C17" s="18">
        <v>1.0799999999671071E-3</v>
      </c>
      <c r="E17" s="7">
        <v>15</v>
      </c>
      <c r="F17" s="34">
        <v>-0.97429559770534979</v>
      </c>
    </row>
    <row r="18" spans="1:6" x14ac:dyDescent="0.2">
      <c r="A18" s="7">
        <v>16</v>
      </c>
      <c r="B18" s="33">
        <v>0.97521209197025804</v>
      </c>
      <c r="C18" s="18">
        <v>1.569999999968541E-3</v>
      </c>
      <c r="E18" s="7">
        <v>16</v>
      </c>
      <c r="F18" s="34">
        <v>5.417168789790594E-3</v>
      </c>
    </row>
    <row r="19" spans="1:6" x14ac:dyDescent="0.2">
      <c r="A19" s="7">
        <v>17</v>
      </c>
      <c r="B19" s="33">
        <v>0.96709644170704023</v>
      </c>
      <c r="C19" s="18">
        <v>1.969999999968941E-3</v>
      </c>
      <c r="E19" s="7">
        <v>17</v>
      </c>
      <c r="F19" s="34">
        <v>0.1154796702230669</v>
      </c>
    </row>
    <row r="20" spans="1:6" x14ac:dyDescent="0.2">
      <c r="A20" s="7">
        <v>18</v>
      </c>
      <c r="B20" s="33">
        <v>0.95983557484561877</v>
      </c>
      <c r="C20" s="18">
        <v>2.279999999969418E-3</v>
      </c>
      <c r="E20" s="7">
        <v>18</v>
      </c>
      <c r="F20" s="34">
        <v>-0.4372209278644732</v>
      </c>
    </row>
    <row r="21" spans="1:6" x14ac:dyDescent="0.2">
      <c r="A21" s="7">
        <v>19</v>
      </c>
      <c r="B21" s="33">
        <v>0.95366700123925086</v>
      </c>
      <c r="C21" s="18">
        <v>2.4999999999706368E-3</v>
      </c>
      <c r="E21" s="7">
        <v>19</v>
      </c>
      <c r="F21" s="34">
        <v>8.6124628845936968E-2</v>
      </c>
    </row>
    <row r="22" spans="1:6" x14ac:dyDescent="0.2">
      <c r="A22" s="7">
        <v>20</v>
      </c>
      <c r="B22" s="33">
        <v>0.94863570513797824</v>
      </c>
      <c r="C22" s="18">
        <v>2.639999999971776E-3</v>
      </c>
      <c r="E22" s="7">
        <v>20</v>
      </c>
      <c r="F22" s="34">
        <v>-0.34357724294750369</v>
      </c>
    </row>
    <row r="23" spans="1:6" x14ac:dyDescent="0.2">
      <c r="A23" s="7">
        <v>21</v>
      </c>
      <c r="B23" s="33">
        <v>0.94475180519986601</v>
      </c>
      <c r="C23" s="18">
        <v>2.7099999999729012E-3</v>
      </c>
      <c r="E23" s="7">
        <v>21</v>
      </c>
      <c r="F23" s="34">
        <v>-3.1743617425527191</v>
      </c>
    </row>
    <row r="24" spans="1:6" x14ac:dyDescent="0.2">
      <c r="A24" s="7">
        <v>22</v>
      </c>
      <c r="B24" s="33">
        <v>0.9415784904230895</v>
      </c>
      <c r="C24" s="18">
        <v>2.7399999999742079E-3</v>
      </c>
      <c r="E24" s="7">
        <v>22</v>
      </c>
      <c r="F24" s="34">
        <v>2.9379499458973442</v>
      </c>
    </row>
    <row r="25" spans="1:6" x14ac:dyDescent="0.2">
      <c r="A25" s="7">
        <v>23</v>
      </c>
      <c r="B25" s="33">
        <v>0.93771425559678701</v>
      </c>
      <c r="C25" s="18">
        <v>2.7999999999752672E-3</v>
      </c>
      <c r="E25" s="7">
        <v>23</v>
      </c>
      <c r="F25" s="34">
        <v>-0.87369938447409368</v>
      </c>
    </row>
    <row r="26" spans="1:6" x14ac:dyDescent="0.2">
      <c r="A26" s="7">
        <v>24</v>
      </c>
      <c r="B26" s="33">
        <v>0.93263759862049544</v>
      </c>
      <c r="C26" s="18">
        <v>2.909999999976209E-3</v>
      </c>
      <c r="E26" s="7">
        <v>24</v>
      </c>
      <c r="F26" s="34">
        <v>-0.76140761529040901</v>
      </c>
    </row>
    <row r="27" spans="1:6" x14ac:dyDescent="0.2">
      <c r="A27" s="7">
        <v>25</v>
      </c>
      <c r="B27" s="33">
        <v>0.92576866807007985</v>
      </c>
      <c r="C27" s="18">
        <v>3.0899999999776111E-3</v>
      </c>
      <c r="E27" s="7">
        <v>25</v>
      </c>
      <c r="F27" s="34">
        <v>2.7969740535877459</v>
      </c>
    </row>
    <row r="28" spans="1:6" x14ac:dyDescent="0.2">
      <c r="A28" s="7">
        <v>26</v>
      </c>
      <c r="B28" s="33">
        <v>0.91647274505731224</v>
      </c>
      <c r="C28" s="18">
        <v>3.360362255063087E-3</v>
      </c>
    </row>
    <row r="29" spans="1:6" x14ac:dyDescent="0.2">
      <c r="A29" s="7">
        <v>27</v>
      </c>
      <c r="B29" s="33">
        <v>0.90499645361366299</v>
      </c>
      <c r="C29" s="18">
        <v>3.7040376453871811E-3</v>
      </c>
    </row>
    <row r="30" spans="1:6" x14ac:dyDescent="0.2">
      <c r="A30" s="7">
        <v>28</v>
      </c>
      <c r="B30" s="33">
        <v>0.89175641830611485</v>
      </c>
      <c r="C30" s="18">
        <v>4.0998908417946289E-3</v>
      </c>
    </row>
    <row r="31" spans="1:6" x14ac:dyDescent="0.2">
      <c r="A31" s="7">
        <v>29</v>
      </c>
      <c r="B31" s="33">
        <v>0.87710587111268545</v>
      </c>
      <c r="C31" s="18">
        <v>4.531878533509115E-3</v>
      </c>
    </row>
    <row r="32" spans="1:6" x14ac:dyDescent="0.2">
      <c r="A32" s="7">
        <v>30</v>
      </c>
      <c r="B32" s="33">
        <v>0.86134394927256941</v>
      </c>
      <c r="C32" s="18">
        <v>4.9877770125998921E-3</v>
      </c>
    </row>
    <row r="33" spans="1:3" x14ac:dyDescent="0.2">
      <c r="A33" s="7">
        <v>31</v>
      </c>
      <c r="B33" s="33">
        <v>0.8447236387803474</v>
      </c>
      <c r="C33" s="18">
        <v>5.4582538906215996E-3</v>
      </c>
    </row>
    <row r="34" spans="1:3" x14ac:dyDescent="0.2">
      <c r="A34" s="7">
        <v>32</v>
      </c>
      <c r="B34" s="33">
        <v>0.82745856054266476</v>
      </c>
      <c r="C34" s="18">
        <v>5.9361825536670132E-3</v>
      </c>
    </row>
    <row r="35" spans="1:3" x14ac:dyDescent="0.2">
      <c r="A35" s="7">
        <v>33</v>
      </c>
      <c r="B35" s="33">
        <v>0.80972876756251067</v>
      </c>
      <c r="C35" s="18">
        <v>6.4161303559164828E-3</v>
      </c>
    </row>
    <row r="36" spans="1:3" x14ac:dyDescent="0.2">
      <c r="A36" s="7">
        <v>34</v>
      </c>
      <c r="B36" s="33">
        <v>0.79168569703052971</v>
      </c>
      <c r="C36" s="18">
        <v>6.8939728086769847E-3</v>
      </c>
    </row>
    <row r="37" spans="1:3" x14ac:dyDescent="0.2">
      <c r="A37" s="7">
        <v>35</v>
      </c>
      <c r="B37" s="33">
        <v>0.7734564002774893</v>
      </c>
      <c r="C37" s="18">
        <v>7.3666002306269629E-3</v>
      </c>
    </row>
    <row r="38" spans="1:3" x14ac:dyDescent="0.2">
      <c r="A38" s="7">
        <v>36</v>
      </c>
      <c r="B38" s="33">
        <v>0.75514715565994739</v>
      </c>
      <c r="C38" s="18">
        <v>7.831692982268823E-3</v>
      </c>
    </row>
    <row r="39" spans="1:3" x14ac:dyDescent="0.2">
      <c r="A39" s="7">
        <v>37</v>
      </c>
      <c r="B39" s="33">
        <v>0.73684655416979572</v>
      </c>
      <c r="C39" s="18">
        <v>8.2875480716049221E-3</v>
      </c>
    </row>
    <row r="40" spans="1:3" x14ac:dyDescent="0.2">
      <c r="A40" s="7">
        <v>38</v>
      </c>
      <c r="B40" s="33">
        <v>0.71862813449885765</v>
      </c>
      <c r="C40" s="18">
        <v>8.7329445806747508E-3</v>
      </c>
    </row>
    <row r="41" spans="1:3" x14ac:dyDescent="0.2">
      <c r="A41" s="7">
        <v>39</v>
      </c>
      <c r="B41" s="33">
        <v>0.70055263313002647</v>
      </c>
      <c r="C41" s="18">
        <v>9.1670386664723935E-3</v>
      </c>
    </row>
    <row r="42" spans="1:3" x14ac:dyDescent="0.2">
      <c r="A42" s="7">
        <v>40</v>
      </c>
      <c r="B42" s="33">
        <v>0.68266990548897133</v>
      </c>
      <c r="C42" s="18">
        <v>9.5892812584112974E-3</v>
      </c>
    </row>
    <row r="43" spans="1:3" x14ac:dyDescent="0.2">
      <c r="A43" s="7">
        <v>41</v>
      </c>
      <c r="B43" s="33">
        <v>0.66502056604073312</v>
      </c>
      <c r="C43" s="18">
        <v>9.9993532909883331E-3</v>
      </c>
    </row>
    <row r="44" spans="1:3" x14ac:dyDescent="0.2">
      <c r="A44" s="7">
        <v>42</v>
      </c>
      <c r="B44" s="33">
        <v>0.64763738825028305</v>
      </c>
      <c r="C44" s="18">
        <v>1.0397114566733871E-2</v>
      </c>
    </row>
    <row r="45" spans="1:3" x14ac:dyDescent="0.2">
      <c r="A45" s="7">
        <v>43</v>
      </c>
      <c r="B45" s="33">
        <v>0.6305464993745401</v>
      </c>
      <c r="C45" s="18">
        <v>1.078256327272498E-2</v>
      </c>
    </row>
    <row r="46" spans="1:3" x14ac:dyDescent="0.2">
      <c r="A46" s="7">
        <v>44</v>
      </c>
      <c r="B46" s="33">
        <v>0.61376839996659882</v>
      </c>
      <c r="C46" s="18">
        <v>1.11558038656463E-2</v>
      </c>
    </row>
    <row r="47" spans="1:3" x14ac:dyDescent="0.2">
      <c r="A47" s="7">
        <v>45</v>
      </c>
      <c r="B47" s="33">
        <v>0.59731883362662308</v>
      </c>
      <c r="C47" s="18">
        <v>1.1517021559970919E-2</v>
      </c>
    </row>
    <row r="48" spans="1:3" x14ac:dyDescent="0.2">
      <c r="A48" s="7">
        <v>46</v>
      </c>
      <c r="B48" s="33">
        <v>0.58120952881906951</v>
      </c>
      <c r="C48" s="18">
        <v>1.186646204712782E-2</v>
      </c>
    </row>
    <row r="49" spans="1:3" x14ac:dyDescent="0.2">
      <c r="A49" s="7">
        <v>47</v>
      </c>
      <c r="B49" s="33">
        <v>0.56544883140175339</v>
      </c>
      <c r="C49" s="18">
        <v>1.220441537329231E-2</v>
      </c>
    </row>
    <row r="50" spans="1:3" x14ac:dyDescent="0.2">
      <c r="A50" s="7">
        <v>48</v>
      </c>
      <c r="B50" s="33">
        <v>0.5500422437996344</v>
      </c>
      <c r="C50" s="18">
        <v>1.253120313343903E-2</v>
      </c>
    </row>
    <row r="51" spans="1:3" x14ac:dyDescent="0.2">
      <c r="A51" s="7">
        <v>49</v>
      </c>
      <c r="B51" s="33">
        <v>0.53499288443793924</v>
      </c>
      <c r="C51" s="18">
        <v>1.284716831687849E-2</v>
      </c>
    </row>
    <row r="52" spans="1:3" x14ac:dyDescent="0.2">
      <c r="A52" s="7">
        <v>50</v>
      </c>
      <c r="B52" s="33">
        <v>0.52030187906839298</v>
      </c>
      <c r="C52" s="18">
        <v>1.315266727737407E-2</v>
      </c>
    </row>
    <row r="53" spans="1:3" x14ac:dyDescent="0.2">
      <c r="A53" s="7">
        <v>51</v>
      </c>
      <c r="B53" s="33">
        <v>0.50596869392941168</v>
      </c>
      <c r="C53" s="18">
        <v>1.3448063408586289E-2</v>
      </c>
    </row>
    <row r="54" spans="1:3" x14ac:dyDescent="0.2">
      <c r="A54" s="7">
        <v>52</v>
      </c>
      <c r="B54" s="33">
        <v>0.49199141923434841</v>
      </c>
      <c r="C54" s="18">
        <v>1.3733722190065301E-2</v>
      </c>
    </row>
    <row r="55" spans="1:3" x14ac:dyDescent="0.2">
      <c r="A55" s="7">
        <v>53</v>
      </c>
      <c r="B55" s="33">
        <v>0.47836701024581818</v>
      </c>
      <c r="C55" s="18">
        <v>1.401000733559199E-2</v>
      </c>
    </row>
    <row r="56" spans="1:3" x14ac:dyDescent="0.2">
      <c r="A56" s="7">
        <v>54</v>
      </c>
      <c r="B56" s="33">
        <v>0.46509149213750278</v>
      </c>
      <c r="C56" s="18">
        <v>1.427727782841481E-2</v>
      </c>
    </row>
    <row r="57" spans="1:3" x14ac:dyDescent="0.2">
      <c r="A57" s="7">
        <v>55</v>
      </c>
      <c r="B57" s="33">
        <v>0.45216013394217552</v>
      </c>
      <c r="C57" s="18">
        <v>1.4535885669842321E-2</v>
      </c>
    </row>
    <row r="58" spans="1:3" x14ac:dyDescent="0.2">
      <c r="A58" s="7">
        <v>56</v>
      </c>
      <c r="B58" s="33">
        <v>0.4395675961131334</v>
      </c>
      <c r="C58" s="18">
        <v>1.478617420112704E-2</v>
      </c>
    </row>
    <row r="59" spans="1:3" x14ac:dyDescent="0.2">
      <c r="A59" s="7">
        <v>57</v>
      </c>
      <c r="B59" s="33">
        <v>0.42730805556701651</v>
      </c>
      <c r="C59" s="18">
        <v>1.5028476885368789E-2</v>
      </c>
    </row>
    <row r="60" spans="1:3" x14ac:dyDescent="0.2">
      <c r="A60" s="7">
        <v>58</v>
      </c>
      <c r="B60" s="33">
        <v>0.41537531151263829</v>
      </c>
      <c r="C60" s="18">
        <v>1.526311645770018E-2</v>
      </c>
    </row>
    <row r="61" spans="1:3" x14ac:dyDescent="0.2">
      <c r="A61" s="7">
        <v>59</v>
      </c>
      <c r="B61" s="33">
        <v>0.40376287488896162</v>
      </c>
      <c r="C61" s="18">
        <v>1.5490404369378871E-2</v>
      </c>
    </row>
    <row r="62" spans="1:3" x14ac:dyDescent="0.2">
      <c r="A62" s="7">
        <v>60</v>
      </c>
      <c r="B62" s="33">
        <v>0.39246404382412581</v>
      </c>
      <c r="C62" s="18">
        <v>1.5710640465423479E-2</v>
      </c>
    </row>
    <row r="63" spans="1:3" x14ac:dyDescent="0.2">
      <c r="A63" s="7">
        <v>61</v>
      </c>
      <c r="B63" s="33">
        <v>0.38147196717572063</v>
      </c>
      <c r="C63" s="18">
        <v>1.5924112846792401E-2</v>
      </c>
    </row>
    <row r="64" spans="1:3" x14ac:dyDescent="0.2">
      <c r="A64" s="7">
        <v>62</v>
      </c>
      <c r="B64" s="33">
        <v>0.37077969791227811</v>
      </c>
      <c r="C64" s="18">
        <v>1.613109787732547E-2</v>
      </c>
    </row>
    <row r="65" spans="1:3" x14ac:dyDescent="0.2">
      <c r="A65" s="7">
        <v>63</v>
      </c>
      <c r="B65" s="33">
        <v>0.360380237839169</v>
      </c>
      <c r="C65" s="18">
        <v>1.6331860303157471E-2</v>
      </c>
    </row>
    <row r="66" spans="1:3" x14ac:dyDescent="0.2">
      <c r="A66" s="7">
        <v>64</v>
      </c>
      <c r="B66" s="33">
        <v>0.3502665749527768</v>
      </c>
      <c r="C66" s="18">
        <v>1.6526653458428079E-2</v>
      </c>
    </row>
    <row r="67" spans="1:3" x14ac:dyDescent="0.2">
      <c r="A67" s="7">
        <v>65</v>
      </c>
      <c r="B67" s="33">
        <v>0.34043171451947302</v>
      </c>
      <c r="C67" s="18">
        <v>1.671571953608475E-2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H168"/>
  <sheetViews>
    <sheetView showGridLines="0" workbookViewId="0">
      <pane ySplit="13" topLeftCell="A14" activePane="bottomLeft" state="frozen"/>
      <selection pane="bottomLeft"/>
    </sheetView>
  </sheetViews>
  <sheetFormatPr baseColWidth="10" defaultColWidth="8.83203125" defaultRowHeight="15" x14ac:dyDescent="0.2"/>
  <cols>
    <col min="1" max="1" width="3" customWidth="1"/>
    <col min="2" max="2" width="32" customWidth="1"/>
    <col min="3" max="6" width="16" customWidth="1"/>
    <col min="7" max="7" width="14" customWidth="1"/>
    <col min="8" max="8" width="12" customWidth="1"/>
  </cols>
  <sheetData>
    <row r="1" spans="2:8" x14ac:dyDescent="0.2">
      <c r="B1" s="3" t="s">
        <v>125</v>
      </c>
    </row>
    <row r="2" spans="2:8" x14ac:dyDescent="0.2">
      <c r="B2" s="12" t="s">
        <v>126</v>
      </c>
    </row>
    <row r="4" spans="2:8" x14ac:dyDescent="0.2">
      <c r="B4" s="5" t="s">
        <v>127</v>
      </c>
      <c r="C4" s="35">
        <v>155</v>
      </c>
    </row>
    <row r="5" spans="2:8" x14ac:dyDescent="0.2">
      <c r="B5" s="5" t="s">
        <v>128</v>
      </c>
      <c r="C5" s="35">
        <v>155</v>
      </c>
    </row>
    <row r="6" spans="2:8" x14ac:dyDescent="0.2">
      <c r="B6" s="5" t="s">
        <v>129</v>
      </c>
      <c r="C6" s="35">
        <v>0</v>
      </c>
    </row>
    <row r="7" spans="2:8" x14ac:dyDescent="0.2">
      <c r="B7" s="5" t="s">
        <v>130</v>
      </c>
      <c r="C7" s="35">
        <v>1.6611085840168016E-9</v>
      </c>
    </row>
    <row r="8" spans="2:8" x14ac:dyDescent="0.2">
      <c r="B8" s="5" t="s">
        <v>131</v>
      </c>
      <c r="C8" s="35">
        <v>1.8278711877428577E-12</v>
      </c>
    </row>
    <row r="9" spans="2:8" x14ac:dyDescent="0.2">
      <c r="B9" s="5" t="s">
        <v>132</v>
      </c>
      <c r="C9" s="35">
        <v>5.8286708792820718E-13</v>
      </c>
    </row>
    <row r="10" spans="2:8" x14ac:dyDescent="0.2">
      <c r="B10" s="5" t="s">
        <v>133</v>
      </c>
      <c r="C10" s="35">
        <v>0</v>
      </c>
    </row>
    <row r="11" spans="2:8" x14ac:dyDescent="0.2">
      <c r="B11" s="3" t="s">
        <v>134</v>
      </c>
      <c r="C11" s="36" t="s">
        <v>142</v>
      </c>
    </row>
    <row r="13" spans="2:8" x14ac:dyDescent="0.2">
      <c r="B13" s="10" t="s">
        <v>135</v>
      </c>
      <c r="C13" s="10" t="s">
        <v>136</v>
      </c>
      <c r="D13" s="10" t="s">
        <v>137</v>
      </c>
      <c r="E13" s="10" t="s">
        <v>138</v>
      </c>
      <c r="F13" s="10" t="s">
        <v>139</v>
      </c>
      <c r="G13" s="10" t="s">
        <v>140</v>
      </c>
      <c r="H13" s="10" t="s">
        <v>141</v>
      </c>
    </row>
    <row r="14" spans="2:8" x14ac:dyDescent="0.2">
      <c r="B14" t="s">
        <v>88</v>
      </c>
      <c r="C14">
        <v>1</v>
      </c>
      <c r="D14">
        <v>-2.7356742803022676</v>
      </c>
      <c r="E14">
        <v>-2.7356742795572022</v>
      </c>
      <c r="F14">
        <v>7.4506534275542435E-10</v>
      </c>
      <c r="G14">
        <v>2.7235162764918823E-10</v>
      </c>
      <c r="H14" t="b">
        <v>1</v>
      </c>
    </row>
    <row r="15" spans="2:8" x14ac:dyDescent="0.2">
      <c r="B15" t="s">
        <v>88</v>
      </c>
      <c r="C15">
        <v>2</v>
      </c>
      <c r="D15">
        <v>1.8090947182379529</v>
      </c>
      <c r="E15">
        <v>1.8090947174172241</v>
      </c>
      <c r="F15">
        <v>8.2072881824046817E-10</v>
      </c>
      <c r="G15">
        <v>4.5366824099303742E-10</v>
      </c>
      <c r="H15" t="b">
        <v>1</v>
      </c>
    </row>
    <row r="16" spans="2:8" x14ac:dyDescent="0.2">
      <c r="B16" t="s">
        <v>88</v>
      </c>
      <c r="C16">
        <v>3</v>
      </c>
      <c r="D16">
        <v>-0.95499732094661371</v>
      </c>
      <c r="E16">
        <v>-0.95499732047392172</v>
      </c>
      <c r="F16">
        <v>4.7269199665578299E-10</v>
      </c>
      <c r="G16">
        <v>4.7269199665578299E-10</v>
      </c>
      <c r="H16" t="b">
        <v>1</v>
      </c>
    </row>
    <row r="17" spans="2:8" x14ac:dyDescent="0.2">
      <c r="B17" t="s">
        <v>88</v>
      </c>
      <c r="C17">
        <v>4</v>
      </c>
      <c r="D17">
        <v>0.20998305787598309</v>
      </c>
      <c r="E17">
        <v>0.20998305790635641</v>
      </c>
      <c r="F17">
        <v>3.0373314974241339E-11</v>
      </c>
      <c r="G17">
        <v>3.0373314974241339E-11</v>
      </c>
      <c r="H17" t="b">
        <v>1</v>
      </c>
    </row>
    <row r="18" spans="2:8" x14ac:dyDescent="0.2">
      <c r="B18" t="s">
        <v>88</v>
      </c>
      <c r="C18">
        <v>5</v>
      </c>
      <c r="D18">
        <v>1.5764031704715198</v>
      </c>
      <c r="E18">
        <v>1.576403169990044</v>
      </c>
      <c r="F18">
        <v>4.8147574815970984E-10</v>
      </c>
      <c r="G18">
        <v>3.0542678251703251E-10</v>
      </c>
      <c r="H18" t="b">
        <v>1</v>
      </c>
    </row>
    <row r="19" spans="2:8" x14ac:dyDescent="0.2">
      <c r="B19" t="s">
        <v>88</v>
      </c>
      <c r="C19">
        <v>6</v>
      </c>
      <c r="D19">
        <v>-2.7310985174257909</v>
      </c>
      <c r="E19">
        <v>-2.7310985167491708</v>
      </c>
      <c r="F19">
        <v>6.7662009328728345E-10</v>
      </c>
      <c r="G19">
        <v>2.4774649802551431E-10</v>
      </c>
      <c r="H19" t="b">
        <v>1</v>
      </c>
    </row>
    <row r="20" spans="2:8" x14ac:dyDescent="0.2">
      <c r="B20" t="s">
        <v>88</v>
      </c>
      <c r="C20">
        <v>7</v>
      </c>
      <c r="D20">
        <v>4.945430741483265</v>
      </c>
      <c r="E20">
        <v>4.9454307409814646</v>
      </c>
      <c r="F20">
        <v>5.0180037902691765E-10</v>
      </c>
      <c r="G20">
        <v>1.0146747681018598E-10</v>
      </c>
      <c r="H20" t="b">
        <v>1</v>
      </c>
    </row>
    <row r="21" spans="2:8" x14ac:dyDescent="0.2">
      <c r="B21" t="s">
        <v>88</v>
      </c>
      <c r="C21">
        <v>8</v>
      </c>
      <c r="D21">
        <v>-9.7625507156570048</v>
      </c>
      <c r="E21">
        <v>-9.7625507158936671</v>
      </c>
      <c r="F21">
        <v>2.3666224535645597E-10</v>
      </c>
      <c r="G21">
        <v>2.4241845419677477E-11</v>
      </c>
      <c r="H21" t="b">
        <v>1</v>
      </c>
    </row>
    <row r="22" spans="2:8" x14ac:dyDescent="0.2">
      <c r="B22" t="s">
        <v>88</v>
      </c>
      <c r="C22">
        <v>9</v>
      </c>
      <c r="D22">
        <v>15.144369909947079</v>
      </c>
      <c r="E22">
        <v>15.14436991130515</v>
      </c>
      <c r="F22">
        <v>1.3580709889993159E-9</v>
      </c>
      <c r="G22">
        <v>8.9674974723479707E-11</v>
      </c>
      <c r="H22" t="b">
        <v>1</v>
      </c>
    </row>
    <row r="23" spans="2:8" x14ac:dyDescent="0.2">
      <c r="B23" t="s">
        <v>88</v>
      </c>
      <c r="C23">
        <v>10</v>
      </c>
      <c r="D23">
        <v>-14.871454310720392</v>
      </c>
      <c r="E23">
        <v>-14.8714543123815</v>
      </c>
      <c r="F23">
        <v>1.6611085840168016E-9</v>
      </c>
      <c r="G23">
        <v>1.1169779021772036E-10</v>
      </c>
      <c r="H23" t="b">
        <v>1</v>
      </c>
    </row>
    <row r="24" spans="2:8" x14ac:dyDescent="0.2">
      <c r="B24" t="s">
        <v>88</v>
      </c>
      <c r="C24">
        <v>11</v>
      </c>
      <c r="D24">
        <v>11.090054245001255</v>
      </c>
      <c r="E24">
        <v>11.090054245756621</v>
      </c>
      <c r="F24">
        <v>7.5536554788868671E-10</v>
      </c>
      <c r="G24">
        <v>6.8111979540380663E-11</v>
      </c>
      <c r="H24" t="b">
        <v>1</v>
      </c>
    </row>
    <row r="25" spans="2:8" x14ac:dyDescent="0.2">
      <c r="B25" t="s">
        <v>88</v>
      </c>
      <c r="C25">
        <v>12</v>
      </c>
      <c r="D25">
        <v>-8.6391616263176747</v>
      </c>
      <c r="E25">
        <v>-8.6391616262862954</v>
      </c>
      <c r="F25">
        <v>3.1379343568005424E-11</v>
      </c>
      <c r="G25">
        <v>3.6322209174241854E-12</v>
      </c>
      <c r="H25" t="b">
        <v>1</v>
      </c>
    </row>
    <row r="26" spans="2:8" x14ac:dyDescent="0.2">
      <c r="B26" t="s">
        <v>88</v>
      </c>
      <c r="C26">
        <v>13</v>
      </c>
      <c r="D26">
        <v>4.8434750982535775</v>
      </c>
      <c r="E26">
        <v>4.8434750981450634</v>
      </c>
      <c r="F26">
        <v>1.085140866052825E-10</v>
      </c>
      <c r="G26">
        <v>2.2404179727658936E-11</v>
      </c>
      <c r="H26" t="b">
        <v>1</v>
      </c>
    </row>
    <row r="27" spans="2:8" x14ac:dyDescent="0.2">
      <c r="B27" t="s">
        <v>88</v>
      </c>
      <c r="C27">
        <v>14</v>
      </c>
      <c r="D27">
        <v>0.20516018438209269</v>
      </c>
      <c r="E27">
        <v>0.20516018429952959</v>
      </c>
      <c r="F27">
        <v>8.2563095249454932E-11</v>
      </c>
      <c r="G27">
        <v>8.2563095249454932E-11</v>
      </c>
      <c r="H27" t="b">
        <v>1</v>
      </c>
    </row>
    <row r="28" spans="2:8" x14ac:dyDescent="0.2">
      <c r="B28" t="s">
        <v>88</v>
      </c>
      <c r="C28">
        <v>15</v>
      </c>
      <c r="D28">
        <v>-0.97429559798512488</v>
      </c>
      <c r="E28">
        <v>-0.97429559770534979</v>
      </c>
      <c r="F28">
        <v>2.7977509198251482E-10</v>
      </c>
      <c r="G28">
        <v>2.7977509198251482E-10</v>
      </c>
      <c r="H28" t="b">
        <v>1</v>
      </c>
    </row>
    <row r="29" spans="2:8" x14ac:dyDescent="0.2">
      <c r="B29" t="s">
        <v>88</v>
      </c>
      <c r="C29">
        <v>16</v>
      </c>
      <c r="D29">
        <v>5.4171690865864319E-3</v>
      </c>
      <c r="E29">
        <v>5.417168789790594E-3</v>
      </c>
      <c r="F29">
        <v>2.9679583790631625E-10</v>
      </c>
      <c r="G29">
        <v>2.9679583790631625E-10</v>
      </c>
      <c r="H29" t="b">
        <v>1</v>
      </c>
    </row>
    <row r="30" spans="2:8" x14ac:dyDescent="0.2">
      <c r="B30" t="s">
        <v>88</v>
      </c>
      <c r="C30">
        <v>17</v>
      </c>
      <c r="D30">
        <v>0.11547967007328952</v>
      </c>
      <c r="E30">
        <v>0.1154796702230669</v>
      </c>
      <c r="F30">
        <v>1.4977738493904269E-10</v>
      </c>
      <c r="G30">
        <v>1.4977738493904269E-10</v>
      </c>
      <c r="H30" t="b">
        <v>1</v>
      </c>
    </row>
    <row r="31" spans="2:8" x14ac:dyDescent="0.2">
      <c r="B31" t="s">
        <v>88</v>
      </c>
      <c r="C31">
        <v>18</v>
      </c>
      <c r="D31">
        <v>-0.43722092783378175</v>
      </c>
      <c r="E31">
        <v>-0.4372209278644732</v>
      </c>
      <c r="F31">
        <v>3.0691449381947677E-11</v>
      </c>
      <c r="G31">
        <v>3.0691449381947677E-11</v>
      </c>
      <c r="H31" t="b">
        <v>1</v>
      </c>
    </row>
    <row r="32" spans="2:8" x14ac:dyDescent="0.2">
      <c r="B32" t="s">
        <v>88</v>
      </c>
      <c r="C32">
        <v>19</v>
      </c>
      <c r="D32">
        <v>8.6124628885944077E-2</v>
      </c>
      <c r="E32">
        <v>8.6124628845936968E-2</v>
      </c>
      <c r="F32">
        <v>4.0007108736972441E-11</v>
      </c>
      <c r="G32">
        <v>4.0007108736972441E-11</v>
      </c>
      <c r="H32" t="b">
        <v>1</v>
      </c>
    </row>
    <row r="33" spans="2:8" x14ac:dyDescent="0.2">
      <c r="B33" t="s">
        <v>88</v>
      </c>
      <c r="C33">
        <v>20</v>
      </c>
      <c r="D33">
        <v>-0.34357724300807035</v>
      </c>
      <c r="E33">
        <v>-0.34357724294750369</v>
      </c>
      <c r="F33">
        <v>6.056666279619094E-11</v>
      </c>
      <c r="G33">
        <v>6.056666279619094E-11</v>
      </c>
      <c r="H33" t="b">
        <v>1</v>
      </c>
    </row>
    <row r="34" spans="2:8" x14ac:dyDescent="0.2">
      <c r="B34" t="s">
        <v>88</v>
      </c>
      <c r="C34">
        <v>21</v>
      </c>
      <c r="D34">
        <v>-3.1743617425412936</v>
      </c>
      <c r="E34">
        <v>-3.1743617425527191</v>
      </c>
      <c r="F34">
        <v>1.1425527191022411E-11</v>
      </c>
      <c r="G34">
        <v>3.5993147970068375E-12</v>
      </c>
      <c r="H34" t="b">
        <v>1</v>
      </c>
    </row>
    <row r="35" spans="2:8" x14ac:dyDescent="0.2">
      <c r="B35" t="s">
        <v>88</v>
      </c>
      <c r="C35">
        <v>22</v>
      </c>
      <c r="D35">
        <v>2.9379499459291765</v>
      </c>
      <c r="E35">
        <v>2.9379499458973442</v>
      </c>
      <c r="F35">
        <v>3.1832314562052488E-11</v>
      </c>
      <c r="G35">
        <v>1.0834873006091967E-11</v>
      </c>
      <c r="H35" t="b">
        <v>1</v>
      </c>
    </row>
    <row r="36" spans="2:8" x14ac:dyDescent="0.2">
      <c r="B36" t="s">
        <v>88</v>
      </c>
      <c r="C36">
        <v>23</v>
      </c>
      <c r="D36">
        <v>-0.87369938449455731</v>
      </c>
      <c r="E36">
        <v>-0.87369938447409368</v>
      </c>
      <c r="F36">
        <v>2.0463630789890885E-11</v>
      </c>
      <c r="G36">
        <v>2.0463630789890885E-11</v>
      </c>
      <c r="H36" t="b">
        <v>1</v>
      </c>
    </row>
    <row r="37" spans="2:8" x14ac:dyDescent="0.2">
      <c r="B37" t="s">
        <v>88</v>
      </c>
      <c r="C37">
        <v>24</v>
      </c>
      <c r="D37">
        <v>-0.76140761529859446</v>
      </c>
      <c r="E37">
        <v>-0.76140761529040901</v>
      </c>
      <c r="F37">
        <v>8.1854523159563541E-12</v>
      </c>
      <c r="G37">
        <v>8.1854523159563541E-12</v>
      </c>
      <c r="H37" t="b">
        <v>1</v>
      </c>
    </row>
    <row r="38" spans="2:8" x14ac:dyDescent="0.2">
      <c r="B38" t="s">
        <v>88</v>
      </c>
      <c r="C38">
        <v>25</v>
      </c>
      <c r="D38">
        <v>2.7969740535966139</v>
      </c>
      <c r="E38">
        <v>2.7969740535877459</v>
      </c>
      <c r="F38">
        <v>8.8680174314959004E-12</v>
      </c>
      <c r="G38">
        <v>3.1705755082428029E-12</v>
      </c>
      <c r="H38" t="b">
        <v>1</v>
      </c>
    </row>
    <row r="39" spans="2:8" x14ac:dyDescent="0.2">
      <c r="B39" t="s">
        <v>95</v>
      </c>
      <c r="C39">
        <v>1</v>
      </c>
      <c r="D39">
        <v>1.0080950028726217</v>
      </c>
      <c r="E39">
        <v>1.0080950028732141</v>
      </c>
      <c r="F39">
        <v>5.9241500593998353E-13</v>
      </c>
      <c r="G39">
        <v>5.8765791344220188E-13</v>
      </c>
      <c r="H39" t="b">
        <v>1</v>
      </c>
    </row>
    <row r="40" spans="2:8" x14ac:dyDescent="0.2">
      <c r="B40" t="s">
        <v>95</v>
      </c>
      <c r="C40">
        <v>2</v>
      </c>
      <c r="D40">
        <v>1.0164809583801193</v>
      </c>
      <c r="E40">
        <v>1.0164809583809711</v>
      </c>
      <c r="F40">
        <v>8.517631044924201E-13</v>
      </c>
      <c r="G40">
        <v>8.3795283863368183E-13</v>
      </c>
      <c r="H40" t="b">
        <v>1</v>
      </c>
    </row>
    <row r="41" spans="2:8" x14ac:dyDescent="0.2">
      <c r="B41" t="s">
        <v>95</v>
      </c>
      <c r="C41">
        <v>3</v>
      </c>
      <c r="D41">
        <v>1.0237079350687299</v>
      </c>
      <c r="E41">
        <v>1.023707935069923</v>
      </c>
      <c r="F41">
        <v>1.1930456622621932E-12</v>
      </c>
      <c r="G41">
        <v>1.1654160541216318E-12</v>
      </c>
      <c r="H41" t="b">
        <v>1</v>
      </c>
    </row>
    <row r="42" spans="2:8" x14ac:dyDescent="0.2">
      <c r="B42" t="s">
        <v>95</v>
      </c>
      <c r="C42">
        <v>4</v>
      </c>
      <c r="D42">
        <v>1.0295333443940913</v>
      </c>
      <c r="E42">
        <v>1.0295333443954759</v>
      </c>
      <c r="F42">
        <v>1.3846701563124952E-12</v>
      </c>
      <c r="G42">
        <v>1.3449493052850555E-12</v>
      </c>
      <c r="H42" t="b">
        <v>1</v>
      </c>
    </row>
    <row r="43" spans="2:8" x14ac:dyDescent="0.2">
      <c r="B43" t="s">
        <v>95</v>
      </c>
      <c r="C43">
        <v>5</v>
      </c>
      <c r="D43">
        <v>1.0332474848724607</v>
      </c>
      <c r="E43">
        <v>1.033247484873971</v>
      </c>
      <c r="F43">
        <v>1.510347402700063E-12</v>
      </c>
      <c r="G43">
        <v>1.461747959526159E-12</v>
      </c>
      <c r="H43" t="b">
        <v>1</v>
      </c>
    </row>
    <row r="44" spans="2:8" x14ac:dyDescent="0.2">
      <c r="B44" t="s">
        <v>95</v>
      </c>
      <c r="C44">
        <v>6</v>
      </c>
      <c r="D44">
        <v>1.0345806026436739</v>
      </c>
      <c r="E44">
        <v>1.034580602645363</v>
      </c>
      <c r="F44">
        <v>1.6890933096647132E-12</v>
      </c>
      <c r="G44">
        <v>1.6326357804754881E-12</v>
      </c>
      <c r="H44" t="b">
        <v>1</v>
      </c>
    </row>
    <row r="45" spans="2:8" x14ac:dyDescent="0.2">
      <c r="B45" t="s">
        <v>95</v>
      </c>
      <c r="C45">
        <v>7</v>
      </c>
      <c r="D45">
        <v>1.0342545223920969</v>
      </c>
      <c r="E45">
        <v>1.0342545223938071</v>
      </c>
      <c r="F45">
        <v>1.7101875471325911E-12</v>
      </c>
      <c r="G45">
        <v>1.6535461147168306E-12</v>
      </c>
      <c r="H45" t="b">
        <v>1</v>
      </c>
    </row>
    <row r="46" spans="2:8" x14ac:dyDescent="0.2">
      <c r="B46" t="s">
        <v>95</v>
      </c>
      <c r="C46">
        <v>8</v>
      </c>
      <c r="D46">
        <v>1.0318376226347477</v>
      </c>
      <c r="E46">
        <v>1.0318376226365511</v>
      </c>
      <c r="F46">
        <v>1.8034462812011043E-12</v>
      </c>
      <c r="G46">
        <v>1.7478004694119789E-12</v>
      </c>
      <c r="H46" t="b">
        <v>1</v>
      </c>
    </row>
    <row r="47" spans="2:8" x14ac:dyDescent="0.2">
      <c r="B47" t="s">
        <v>95</v>
      </c>
      <c r="C47">
        <v>9</v>
      </c>
      <c r="D47">
        <v>1.0286159680067619</v>
      </c>
      <c r="E47">
        <v>1.028615968008578</v>
      </c>
      <c r="F47">
        <v>1.8161028236818311E-12</v>
      </c>
      <c r="G47">
        <v>1.765579069512059E-12</v>
      </c>
      <c r="H47" t="b">
        <v>1</v>
      </c>
    </row>
    <row r="48" spans="2:8" x14ac:dyDescent="0.2">
      <c r="B48" t="s">
        <v>95</v>
      </c>
      <c r="C48">
        <v>10</v>
      </c>
      <c r="D48">
        <v>1.0216540491602855</v>
      </c>
      <c r="E48">
        <v>1.021654049161878</v>
      </c>
      <c r="F48">
        <v>1.5925039065223245E-12</v>
      </c>
      <c r="G48">
        <v>1.5587506434577808E-12</v>
      </c>
      <c r="H48" t="b">
        <v>1</v>
      </c>
    </row>
    <row r="49" spans="2:8" x14ac:dyDescent="0.2">
      <c r="B49" t="s">
        <v>95</v>
      </c>
      <c r="C49">
        <v>11</v>
      </c>
      <c r="D49">
        <v>1.0155301486443713</v>
      </c>
      <c r="E49">
        <v>1.0155301486460659</v>
      </c>
      <c r="F49">
        <v>1.6946444247878389E-12</v>
      </c>
      <c r="G49">
        <v>1.6687288181913532E-12</v>
      </c>
      <c r="H49" t="b">
        <v>1</v>
      </c>
    </row>
    <row r="50" spans="2:8" x14ac:dyDescent="0.2">
      <c r="B50" t="s">
        <v>95</v>
      </c>
      <c r="C50">
        <v>12</v>
      </c>
      <c r="D50">
        <v>1.0080751239520342</v>
      </c>
      <c r="E50">
        <v>1.008075123953825</v>
      </c>
      <c r="F50">
        <v>1.7907897387203775E-12</v>
      </c>
      <c r="G50">
        <v>1.776444727349908E-12</v>
      </c>
      <c r="H50" t="b">
        <v>1</v>
      </c>
    </row>
    <row r="51" spans="2:8" x14ac:dyDescent="0.2">
      <c r="B51" t="s">
        <v>95</v>
      </c>
      <c r="C51">
        <v>13</v>
      </c>
      <c r="D51">
        <v>1.0010405826316773</v>
      </c>
      <c r="E51">
        <v>1.0010405826334841</v>
      </c>
      <c r="F51">
        <v>1.8067769502749798E-12</v>
      </c>
      <c r="G51">
        <v>1.8048988039244199E-12</v>
      </c>
      <c r="H51" t="b">
        <v>1</v>
      </c>
    </row>
    <row r="52" spans="2:8" x14ac:dyDescent="0.2">
      <c r="B52" t="s">
        <v>95</v>
      </c>
      <c r="C52">
        <v>14</v>
      </c>
      <c r="D52">
        <v>0.99288723637480092</v>
      </c>
      <c r="E52">
        <v>0.99288723637662402</v>
      </c>
      <c r="F52">
        <v>1.8230972287369696E-12</v>
      </c>
      <c r="G52">
        <v>1.8230972287369696E-12</v>
      </c>
      <c r="H52" t="b">
        <v>1</v>
      </c>
    </row>
    <row r="53" spans="2:8" x14ac:dyDescent="0.2">
      <c r="B53" t="s">
        <v>95</v>
      </c>
      <c r="C53">
        <v>15</v>
      </c>
      <c r="D53">
        <v>0.98393911554057023</v>
      </c>
      <c r="E53">
        <v>0.9839391155423981</v>
      </c>
      <c r="F53">
        <v>1.8278711877428577E-12</v>
      </c>
      <c r="G53">
        <v>1.8278711877428577E-12</v>
      </c>
      <c r="H53" t="b">
        <v>1</v>
      </c>
    </row>
    <row r="54" spans="2:8" x14ac:dyDescent="0.2">
      <c r="B54" t="s">
        <v>95</v>
      </c>
      <c r="C54">
        <v>16</v>
      </c>
      <c r="D54">
        <v>0.97521209196846859</v>
      </c>
      <c r="E54">
        <v>0.97521209197025804</v>
      </c>
      <c r="F54">
        <v>1.7894574710908273E-12</v>
      </c>
      <c r="G54">
        <v>1.7894574710908273E-12</v>
      </c>
      <c r="H54" t="b">
        <v>1</v>
      </c>
    </row>
    <row r="55" spans="2:8" x14ac:dyDescent="0.2">
      <c r="B55" t="s">
        <v>95</v>
      </c>
      <c r="C55">
        <v>17</v>
      </c>
      <c r="D55">
        <v>0.96709644170526698</v>
      </c>
      <c r="E55">
        <v>0.96709644170704023</v>
      </c>
      <c r="F55">
        <v>1.7732482149313E-12</v>
      </c>
      <c r="G55">
        <v>1.7732482149313E-12</v>
      </c>
      <c r="H55" t="b">
        <v>1</v>
      </c>
    </row>
    <row r="56" spans="2:8" x14ac:dyDescent="0.2">
      <c r="B56" t="s">
        <v>95</v>
      </c>
      <c r="C56">
        <v>18</v>
      </c>
      <c r="D56">
        <v>0.95983557484385995</v>
      </c>
      <c r="E56">
        <v>0.95983557484561877</v>
      </c>
      <c r="F56">
        <v>1.758815315611173E-12</v>
      </c>
      <c r="G56">
        <v>1.758815315611173E-12</v>
      </c>
      <c r="H56" t="b">
        <v>1</v>
      </c>
    </row>
    <row r="57" spans="2:8" x14ac:dyDescent="0.2">
      <c r="B57" t="s">
        <v>95</v>
      </c>
      <c r="C57">
        <v>19</v>
      </c>
      <c r="D57">
        <v>0.95366700123750314</v>
      </c>
      <c r="E57">
        <v>0.95366700123925086</v>
      </c>
      <c r="F57">
        <v>1.7477130853649214E-12</v>
      </c>
      <c r="G57">
        <v>1.7477130853649214E-12</v>
      </c>
      <c r="H57" t="b">
        <v>1</v>
      </c>
    </row>
    <row r="58" spans="2:8" x14ac:dyDescent="0.2">
      <c r="B58" t="s">
        <v>95</v>
      </c>
      <c r="C58">
        <v>20</v>
      </c>
      <c r="D58">
        <v>0.94863570513624706</v>
      </c>
      <c r="E58">
        <v>0.94863570513797824</v>
      </c>
      <c r="F58">
        <v>1.7311707622980066E-12</v>
      </c>
      <c r="G58">
        <v>1.7311707622980066E-12</v>
      </c>
      <c r="H58" t="b">
        <v>1</v>
      </c>
    </row>
    <row r="59" spans="2:8" x14ac:dyDescent="0.2">
      <c r="B59" t="s">
        <v>95</v>
      </c>
      <c r="C59">
        <v>21</v>
      </c>
      <c r="D59">
        <v>0.9447518051981596</v>
      </c>
      <c r="E59">
        <v>0.94475180519986601</v>
      </c>
      <c r="F59">
        <v>1.7064127888488656E-12</v>
      </c>
      <c r="G59">
        <v>1.7064127888488656E-12</v>
      </c>
      <c r="H59" t="b">
        <v>1</v>
      </c>
    </row>
    <row r="60" spans="2:8" x14ac:dyDescent="0.2">
      <c r="B60" t="s">
        <v>95</v>
      </c>
      <c r="C60">
        <v>22</v>
      </c>
      <c r="D60">
        <v>0.94157849042141462</v>
      </c>
      <c r="E60">
        <v>0.9415784904230895</v>
      </c>
      <c r="F60">
        <v>1.6748824549495112E-12</v>
      </c>
      <c r="G60">
        <v>1.6748824549495112E-12</v>
      </c>
      <c r="H60" t="b">
        <v>1</v>
      </c>
    </row>
    <row r="61" spans="2:8" x14ac:dyDescent="0.2">
      <c r="B61" t="s">
        <v>95</v>
      </c>
      <c r="C61">
        <v>23</v>
      </c>
      <c r="D61">
        <v>0.93771425559514165</v>
      </c>
      <c r="E61">
        <v>0.93771425559678701</v>
      </c>
      <c r="F61">
        <v>1.645350522494482E-12</v>
      </c>
      <c r="G61">
        <v>1.645350522494482E-12</v>
      </c>
      <c r="H61" t="b">
        <v>1</v>
      </c>
    </row>
    <row r="62" spans="2:8" x14ac:dyDescent="0.2">
      <c r="B62" t="s">
        <v>95</v>
      </c>
      <c r="C62">
        <v>24</v>
      </c>
      <c r="D62">
        <v>0.93263759861888218</v>
      </c>
      <c r="E62">
        <v>0.93263759862049544</v>
      </c>
      <c r="F62">
        <v>1.613265077082815E-12</v>
      </c>
      <c r="G62">
        <v>1.613265077082815E-12</v>
      </c>
      <c r="H62" t="b">
        <v>1</v>
      </c>
    </row>
    <row r="63" spans="2:8" x14ac:dyDescent="0.2">
      <c r="B63" t="s">
        <v>95</v>
      </c>
      <c r="C63">
        <v>25</v>
      </c>
      <c r="D63">
        <v>0.92576866806850622</v>
      </c>
      <c r="E63">
        <v>0.92576866807007985</v>
      </c>
      <c r="F63">
        <v>1.5736301151036969E-12</v>
      </c>
      <c r="G63">
        <v>1.5736301151036969E-12</v>
      </c>
      <c r="H63" t="b">
        <v>1</v>
      </c>
    </row>
    <row r="64" spans="2:8" x14ac:dyDescent="0.2">
      <c r="B64" t="s">
        <v>95</v>
      </c>
      <c r="C64">
        <v>26</v>
      </c>
      <c r="D64">
        <v>0.91647274505577303</v>
      </c>
      <c r="E64">
        <v>0.91647274505731224</v>
      </c>
      <c r="F64">
        <v>1.539213201340317E-12</v>
      </c>
      <c r="G64">
        <v>1.539213201340317E-12</v>
      </c>
      <c r="H64" t="b">
        <v>1</v>
      </c>
    </row>
    <row r="65" spans="2:8" x14ac:dyDescent="0.2">
      <c r="B65" t="s">
        <v>95</v>
      </c>
      <c r="C65">
        <v>27</v>
      </c>
      <c r="D65">
        <v>0.90499645361216552</v>
      </c>
      <c r="E65">
        <v>0.90499645361366299</v>
      </c>
      <c r="F65">
        <v>1.4974688156144111E-12</v>
      </c>
      <c r="G65">
        <v>1.4974688156144111E-12</v>
      </c>
      <c r="H65" t="b">
        <v>1</v>
      </c>
    </row>
    <row r="66" spans="2:8" x14ac:dyDescent="0.2">
      <c r="B66" t="s">
        <v>95</v>
      </c>
      <c r="C66">
        <v>28</v>
      </c>
      <c r="D66">
        <v>0.89175641830465058</v>
      </c>
      <c r="E66">
        <v>0.89175641830611485</v>
      </c>
      <c r="F66">
        <v>1.464273147178119E-12</v>
      </c>
      <c r="G66">
        <v>1.464273147178119E-12</v>
      </c>
      <c r="H66" t="b">
        <v>1</v>
      </c>
    </row>
    <row r="67" spans="2:8" x14ac:dyDescent="0.2">
      <c r="B67" t="s">
        <v>95</v>
      </c>
      <c r="C67">
        <v>29</v>
      </c>
      <c r="D67">
        <v>0.87710587111126226</v>
      </c>
      <c r="E67">
        <v>0.87710587111268545</v>
      </c>
      <c r="F67">
        <v>1.4231948952669882E-12</v>
      </c>
      <c r="G67">
        <v>1.4231948952669882E-12</v>
      </c>
      <c r="H67" t="b">
        <v>1</v>
      </c>
    </row>
    <row r="68" spans="2:8" x14ac:dyDescent="0.2">
      <c r="B68" t="s">
        <v>95</v>
      </c>
      <c r="C68">
        <v>30</v>
      </c>
      <c r="D68">
        <v>0.86134394927117963</v>
      </c>
      <c r="E68">
        <v>0.86134394927256941</v>
      </c>
      <c r="F68">
        <v>1.389777182225771E-12</v>
      </c>
      <c r="G68">
        <v>1.389777182225771E-12</v>
      </c>
      <c r="H68" t="b">
        <v>1</v>
      </c>
    </row>
    <row r="69" spans="2:8" x14ac:dyDescent="0.2">
      <c r="B69" t="s">
        <v>95</v>
      </c>
      <c r="C69">
        <v>31</v>
      </c>
      <c r="D69">
        <v>0.84472363877899603</v>
      </c>
      <c r="E69">
        <v>0.8447236387803474</v>
      </c>
      <c r="F69">
        <v>1.3513634655737405E-12</v>
      </c>
      <c r="G69">
        <v>1.3513634655737405E-12</v>
      </c>
      <c r="H69" t="b">
        <v>1</v>
      </c>
    </row>
    <row r="70" spans="2:8" x14ac:dyDescent="0.2">
      <c r="B70" t="s">
        <v>95</v>
      </c>
      <c r="C70">
        <v>32</v>
      </c>
      <c r="D70">
        <v>0.82745856054134892</v>
      </c>
      <c r="E70">
        <v>0.82745856054266476</v>
      </c>
      <c r="F70">
        <v>1.3158363287857355E-12</v>
      </c>
      <c r="G70">
        <v>1.3158363287857355E-12</v>
      </c>
      <c r="H70" t="b">
        <v>1</v>
      </c>
    </row>
    <row r="71" spans="2:8" x14ac:dyDescent="0.2">
      <c r="B71" t="s">
        <v>95</v>
      </c>
      <c r="C71">
        <v>33</v>
      </c>
      <c r="D71">
        <v>0.80972876756122891</v>
      </c>
      <c r="E71">
        <v>0.80972876756251067</v>
      </c>
      <c r="F71">
        <v>1.2817524819297432E-12</v>
      </c>
      <c r="G71">
        <v>1.2817524819297432E-12</v>
      </c>
      <c r="H71" t="b">
        <v>1</v>
      </c>
    </row>
    <row r="72" spans="2:8" x14ac:dyDescent="0.2">
      <c r="B72" t="s">
        <v>95</v>
      </c>
      <c r="C72">
        <v>34</v>
      </c>
      <c r="D72">
        <v>0.79168569702928393</v>
      </c>
      <c r="E72">
        <v>0.79168569703052971</v>
      </c>
      <c r="F72">
        <v>1.2457812559318882E-12</v>
      </c>
      <c r="G72">
        <v>1.2457812559318882E-12</v>
      </c>
      <c r="H72" t="b">
        <v>1</v>
      </c>
    </row>
    <row r="73" spans="2:8" x14ac:dyDescent="0.2">
      <c r="B73" t="s">
        <v>95</v>
      </c>
      <c r="C73">
        <v>35</v>
      </c>
      <c r="D73">
        <v>0.77345640027627338</v>
      </c>
      <c r="E73">
        <v>0.7734564002774893</v>
      </c>
      <c r="F73">
        <v>1.2159162565694714E-12</v>
      </c>
      <c r="G73">
        <v>1.2159162565694714E-12</v>
      </c>
      <c r="H73" t="b">
        <v>1</v>
      </c>
    </row>
    <row r="74" spans="2:8" x14ac:dyDescent="0.2">
      <c r="B74" t="s">
        <v>95</v>
      </c>
      <c r="C74">
        <v>36</v>
      </c>
      <c r="D74">
        <v>0.75514715565876656</v>
      </c>
      <c r="E74">
        <v>0.75514715565994739</v>
      </c>
      <c r="F74">
        <v>1.1808332089913165E-12</v>
      </c>
      <c r="G74">
        <v>1.1808332089913165E-12</v>
      </c>
      <c r="H74" t="b">
        <v>1</v>
      </c>
    </row>
    <row r="75" spans="2:8" x14ac:dyDescent="0.2">
      <c r="B75" t="s">
        <v>95</v>
      </c>
      <c r="C75">
        <v>37</v>
      </c>
      <c r="D75">
        <v>0.73684655416864442</v>
      </c>
      <c r="E75">
        <v>0.73684655416979572</v>
      </c>
      <c r="F75">
        <v>1.1513012765362873E-12</v>
      </c>
      <c r="G75">
        <v>1.1513012765362873E-12</v>
      </c>
      <c r="H75" t="b">
        <v>1</v>
      </c>
    </row>
    <row r="76" spans="2:8" x14ac:dyDescent="0.2">
      <c r="B76" t="s">
        <v>95</v>
      </c>
      <c r="C76">
        <v>38</v>
      </c>
      <c r="D76">
        <v>0.71862813449774254</v>
      </c>
      <c r="E76">
        <v>0.71862813449885765</v>
      </c>
      <c r="F76">
        <v>1.1151080059335072E-12</v>
      </c>
      <c r="G76">
        <v>1.1151080059335072E-12</v>
      </c>
      <c r="H76" t="b">
        <v>1</v>
      </c>
    </row>
    <row r="77" spans="2:8" x14ac:dyDescent="0.2">
      <c r="B77" t="s">
        <v>95</v>
      </c>
      <c r="C77">
        <v>39</v>
      </c>
      <c r="D77">
        <v>0.70055263312893801</v>
      </c>
      <c r="E77">
        <v>0.70055263313002647</v>
      </c>
      <c r="F77">
        <v>1.0884626533425035E-12</v>
      </c>
      <c r="G77">
        <v>1.0884626533425035E-12</v>
      </c>
      <c r="H77" t="b">
        <v>1</v>
      </c>
    </row>
    <row r="78" spans="2:8" x14ac:dyDescent="0.2">
      <c r="B78" t="s">
        <v>95</v>
      </c>
      <c r="C78">
        <v>40</v>
      </c>
      <c r="D78">
        <v>0.68266990548791451</v>
      </c>
      <c r="E78">
        <v>0.68266990548897133</v>
      </c>
      <c r="F78">
        <v>1.0568212971406865E-12</v>
      </c>
      <c r="G78">
        <v>1.0568212971406865E-12</v>
      </c>
      <c r="H78" t="b">
        <v>1</v>
      </c>
    </row>
    <row r="79" spans="2:8" x14ac:dyDescent="0.2">
      <c r="B79" t="s">
        <v>95</v>
      </c>
      <c r="C79">
        <v>41</v>
      </c>
      <c r="D79">
        <v>0.66502056603970572</v>
      </c>
      <c r="E79">
        <v>0.66502056604073312</v>
      </c>
      <c r="F79">
        <v>1.0274003869881199E-12</v>
      </c>
      <c r="G79">
        <v>1.0274003869881199E-12</v>
      </c>
      <c r="H79" t="b">
        <v>1</v>
      </c>
    </row>
    <row r="80" spans="2:8" x14ac:dyDescent="0.2">
      <c r="B80" t="s">
        <v>95</v>
      </c>
      <c r="C80">
        <v>42</v>
      </c>
      <c r="D80">
        <v>0.64763738824928363</v>
      </c>
      <c r="E80">
        <v>0.64763738825028305</v>
      </c>
      <c r="F80">
        <v>9.9942276676756592E-13</v>
      </c>
      <c r="G80">
        <v>9.9942276676756592E-13</v>
      </c>
      <c r="H80" t="b">
        <v>1</v>
      </c>
    </row>
    <row r="81" spans="2:8" x14ac:dyDescent="0.2">
      <c r="B81" t="s">
        <v>95</v>
      </c>
      <c r="C81">
        <v>43</v>
      </c>
      <c r="D81">
        <v>0.63054649937356921</v>
      </c>
      <c r="E81">
        <v>0.6305464993745401</v>
      </c>
      <c r="F81">
        <v>9.7089003503469939E-13</v>
      </c>
      <c r="G81">
        <v>9.7089003503469939E-13</v>
      </c>
      <c r="H81" t="b">
        <v>1</v>
      </c>
    </row>
    <row r="82" spans="2:8" x14ac:dyDescent="0.2">
      <c r="B82" t="s">
        <v>95</v>
      </c>
      <c r="C82">
        <v>44</v>
      </c>
      <c r="D82">
        <v>0.61376839996565336</v>
      </c>
      <c r="E82">
        <v>0.61376839996659882</v>
      </c>
      <c r="F82">
        <v>9.4546592777078331E-13</v>
      </c>
      <c r="G82">
        <v>9.4546592777078331E-13</v>
      </c>
      <c r="H82" t="b">
        <v>1</v>
      </c>
    </row>
    <row r="83" spans="2:8" x14ac:dyDescent="0.2">
      <c r="B83" t="s">
        <v>95</v>
      </c>
      <c r="C83">
        <v>45</v>
      </c>
      <c r="D83">
        <v>0.59731883362570737</v>
      </c>
      <c r="E83">
        <v>0.59731883362662308</v>
      </c>
      <c r="F83">
        <v>9.1571195071082911E-13</v>
      </c>
      <c r="G83">
        <v>9.1571195071082911E-13</v>
      </c>
      <c r="H83" t="b">
        <v>1</v>
      </c>
    </row>
    <row r="84" spans="2:8" x14ac:dyDescent="0.2">
      <c r="B84" t="s">
        <v>95</v>
      </c>
      <c r="C84">
        <v>46</v>
      </c>
      <c r="D84">
        <v>0.58120952881817578</v>
      </c>
      <c r="E84">
        <v>0.58120952881906951</v>
      </c>
      <c r="F84">
        <v>8.9372953482325102E-13</v>
      </c>
      <c r="G84">
        <v>8.9372953482325102E-13</v>
      </c>
      <c r="H84" t="b">
        <v>1</v>
      </c>
    </row>
    <row r="85" spans="2:8" x14ac:dyDescent="0.2">
      <c r="B85" t="s">
        <v>95</v>
      </c>
      <c r="C85">
        <v>47</v>
      </c>
      <c r="D85">
        <v>0.56544883140088631</v>
      </c>
      <c r="E85">
        <v>0.56544883140175339</v>
      </c>
      <c r="F85">
        <v>8.6708418223224726E-13</v>
      </c>
      <c r="G85">
        <v>8.6708418223224726E-13</v>
      </c>
      <c r="H85" t="b">
        <v>1</v>
      </c>
    </row>
    <row r="86" spans="2:8" x14ac:dyDescent="0.2">
      <c r="B86" t="s">
        <v>95</v>
      </c>
      <c r="C86">
        <v>48</v>
      </c>
      <c r="D86">
        <v>0.55004224379879285</v>
      </c>
      <c r="E86">
        <v>0.5500422437996344</v>
      </c>
      <c r="F86">
        <v>8.4154905266586866E-13</v>
      </c>
      <c r="G86">
        <v>8.4154905266586866E-13</v>
      </c>
      <c r="H86" t="b">
        <v>1</v>
      </c>
    </row>
    <row r="87" spans="2:8" x14ac:dyDescent="0.2">
      <c r="B87" t="s">
        <v>95</v>
      </c>
      <c r="C87">
        <v>49</v>
      </c>
      <c r="D87">
        <v>0.53499288443711757</v>
      </c>
      <c r="E87">
        <v>0.53499288443793924</v>
      </c>
      <c r="F87">
        <v>8.2167606052507836E-13</v>
      </c>
      <c r="G87">
        <v>8.2167606052507836E-13</v>
      </c>
      <c r="H87" t="b">
        <v>1</v>
      </c>
    </row>
    <row r="88" spans="2:8" x14ac:dyDescent="0.2">
      <c r="B88" t="s">
        <v>95</v>
      </c>
      <c r="C88">
        <v>50</v>
      </c>
      <c r="D88">
        <v>0.52030187906759795</v>
      </c>
      <c r="E88">
        <v>0.52030187906839298</v>
      </c>
      <c r="F88">
        <v>7.950307079340746E-13</v>
      </c>
      <c r="G88">
        <v>7.950307079340746E-13</v>
      </c>
      <c r="H88" t="b">
        <v>1</v>
      </c>
    </row>
    <row r="89" spans="2:8" x14ac:dyDescent="0.2">
      <c r="B89" t="s">
        <v>95</v>
      </c>
      <c r="C89">
        <v>51</v>
      </c>
      <c r="D89">
        <v>0.50596869392863697</v>
      </c>
      <c r="E89">
        <v>0.50596869392941168</v>
      </c>
      <c r="F89">
        <v>7.7471362658343423E-13</v>
      </c>
      <c r="G89">
        <v>7.7471362658343423E-13</v>
      </c>
      <c r="H89" t="b">
        <v>1</v>
      </c>
    </row>
    <row r="90" spans="2:8" x14ac:dyDescent="0.2">
      <c r="B90" t="s">
        <v>95</v>
      </c>
      <c r="C90">
        <v>52</v>
      </c>
      <c r="D90">
        <v>0.49199141923359635</v>
      </c>
      <c r="E90">
        <v>0.49199141923434841</v>
      </c>
      <c r="F90">
        <v>7.5206507688108104E-13</v>
      </c>
      <c r="G90">
        <v>7.5206507688108104E-13</v>
      </c>
      <c r="H90" t="b">
        <v>1</v>
      </c>
    </row>
    <row r="91" spans="2:8" x14ac:dyDescent="0.2">
      <c r="B91" t="s">
        <v>95</v>
      </c>
      <c r="C91">
        <v>53</v>
      </c>
      <c r="D91">
        <v>0.47836701024508554</v>
      </c>
      <c r="E91">
        <v>0.47836701024581818</v>
      </c>
      <c r="F91">
        <v>7.326361739501408E-13</v>
      </c>
      <c r="G91">
        <v>7.326361739501408E-13</v>
      </c>
      <c r="H91" t="b">
        <v>1</v>
      </c>
    </row>
    <row r="92" spans="2:8" x14ac:dyDescent="0.2">
      <c r="B92" t="s">
        <v>95</v>
      </c>
      <c r="C92">
        <v>54</v>
      </c>
      <c r="D92">
        <v>0.46509149213679113</v>
      </c>
      <c r="E92">
        <v>0.46509149213750278</v>
      </c>
      <c r="F92">
        <v>7.1165295878472534E-13</v>
      </c>
      <c r="G92">
        <v>7.1165295878472534E-13</v>
      </c>
      <c r="H92" t="b">
        <v>1</v>
      </c>
    </row>
    <row r="93" spans="2:8" x14ac:dyDescent="0.2">
      <c r="B93" t="s">
        <v>95</v>
      </c>
      <c r="C93">
        <v>55</v>
      </c>
      <c r="D93">
        <v>0.45216013394148591</v>
      </c>
      <c r="E93">
        <v>0.45216013394217552</v>
      </c>
      <c r="F93">
        <v>6.8961503174591599E-13</v>
      </c>
      <c r="G93">
        <v>6.8961503174591599E-13</v>
      </c>
      <c r="H93" t="b">
        <v>1</v>
      </c>
    </row>
    <row r="94" spans="2:8" x14ac:dyDescent="0.2">
      <c r="B94" t="s">
        <v>95</v>
      </c>
      <c r="C94">
        <v>56</v>
      </c>
      <c r="D94">
        <v>0.43956759611246066</v>
      </c>
      <c r="E94">
        <v>0.4395675961131334</v>
      </c>
      <c r="F94">
        <v>6.7273964177161361E-13</v>
      </c>
      <c r="G94">
        <v>6.7273964177161361E-13</v>
      </c>
      <c r="H94" t="b">
        <v>1</v>
      </c>
    </row>
    <row r="95" spans="2:8" x14ac:dyDescent="0.2">
      <c r="B95" t="s">
        <v>95</v>
      </c>
      <c r="C95">
        <v>57</v>
      </c>
      <c r="D95">
        <v>0.42730805556636486</v>
      </c>
      <c r="E95">
        <v>0.42730805556701651</v>
      </c>
      <c r="F95">
        <v>6.5164540430373563E-13</v>
      </c>
      <c r="G95">
        <v>6.5164540430373563E-13</v>
      </c>
      <c r="H95" t="b">
        <v>1</v>
      </c>
    </row>
    <row r="96" spans="2:8" x14ac:dyDescent="0.2">
      <c r="B96" t="s">
        <v>95</v>
      </c>
      <c r="C96">
        <v>58</v>
      </c>
      <c r="D96">
        <v>0.41537531151200169</v>
      </c>
      <c r="E96">
        <v>0.41537531151263829</v>
      </c>
      <c r="F96">
        <v>6.3660188232006476E-13</v>
      </c>
      <c r="G96">
        <v>6.3660188232006476E-13</v>
      </c>
      <c r="H96" t="b">
        <v>1</v>
      </c>
    </row>
    <row r="97" spans="2:8" x14ac:dyDescent="0.2">
      <c r="B97" t="s">
        <v>95</v>
      </c>
      <c r="C97">
        <v>59</v>
      </c>
      <c r="D97">
        <v>0.40376287488834639</v>
      </c>
      <c r="E97">
        <v>0.40376287488896162</v>
      </c>
      <c r="F97">
        <v>6.152300890960305E-13</v>
      </c>
      <c r="G97">
        <v>6.152300890960305E-13</v>
      </c>
      <c r="H97" t="b">
        <v>1</v>
      </c>
    </row>
    <row r="98" spans="2:8" x14ac:dyDescent="0.2">
      <c r="B98" t="s">
        <v>95</v>
      </c>
      <c r="C98">
        <v>60</v>
      </c>
      <c r="D98">
        <v>0.39246404382352484</v>
      </c>
      <c r="E98">
        <v>0.39246404382412581</v>
      </c>
      <c r="F98">
        <v>6.0096372322959724E-13</v>
      </c>
      <c r="G98">
        <v>6.0096372322959724E-13</v>
      </c>
      <c r="H98" t="b">
        <v>1</v>
      </c>
    </row>
    <row r="99" spans="2:8" x14ac:dyDescent="0.2">
      <c r="B99" t="s">
        <v>95</v>
      </c>
      <c r="C99">
        <v>61</v>
      </c>
      <c r="D99">
        <v>0.38147196717513948</v>
      </c>
      <c r="E99">
        <v>0.38147196717572063</v>
      </c>
      <c r="F99">
        <v>5.8114624224003819E-13</v>
      </c>
      <c r="G99">
        <v>5.8114624224003819E-13</v>
      </c>
      <c r="H99" t="b">
        <v>1</v>
      </c>
    </row>
    <row r="100" spans="2:8" x14ac:dyDescent="0.2">
      <c r="B100" t="s">
        <v>95</v>
      </c>
      <c r="C100">
        <v>62</v>
      </c>
      <c r="D100">
        <v>0.37077969791171206</v>
      </c>
      <c r="E100">
        <v>0.37077969791227811</v>
      </c>
      <c r="F100">
        <v>5.6604720910513606E-13</v>
      </c>
      <c r="G100">
        <v>5.6604720910513606E-13</v>
      </c>
      <c r="H100" t="b">
        <v>1</v>
      </c>
    </row>
    <row r="101" spans="2:8" x14ac:dyDescent="0.2">
      <c r="B101" t="s">
        <v>95</v>
      </c>
      <c r="C101">
        <v>63</v>
      </c>
      <c r="D101">
        <v>0.36038023783861783</v>
      </c>
      <c r="E101">
        <v>0.360380237839169</v>
      </c>
      <c r="F101">
        <v>5.5117022057515896E-13</v>
      </c>
      <c r="G101">
        <v>5.5117022057515896E-13</v>
      </c>
      <c r="H101" t="b">
        <v>1</v>
      </c>
    </row>
    <row r="102" spans="2:8" x14ac:dyDescent="0.2">
      <c r="B102" t="s">
        <v>95</v>
      </c>
      <c r="C102">
        <v>64</v>
      </c>
      <c r="D102">
        <v>0.35026657495224395</v>
      </c>
      <c r="E102">
        <v>0.3502665749527768</v>
      </c>
      <c r="F102">
        <v>5.3285154066884388E-13</v>
      </c>
      <c r="G102">
        <v>5.3285154066884388E-13</v>
      </c>
      <c r="H102" t="b">
        <v>1</v>
      </c>
    </row>
    <row r="103" spans="2:8" x14ac:dyDescent="0.2">
      <c r="B103" t="s">
        <v>95</v>
      </c>
      <c r="C103">
        <v>65</v>
      </c>
      <c r="D103">
        <v>0.34043171451895093</v>
      </c>
      <c r="E103">
        <v>0.34043171451947302</v>
      </c>
      <c r="F103">
        <v>5.2208237732997986E-13</v>
      </c>
      <c r="G103">
        <v>5.2208237732997986E-13</v>
      </c>
      <c r="H103" t="b">
        <v>1</v>
      </c>
    </row>
    <row r="104" spans="2:8" x14ac:dyDescent="0.2">
      <c r="B104" t="s">
        <v>96</v>
      </c>
      <c r="C104">
        <v>1</v>
      </c>
      <c r="D104">
        <v>-8.0299999995581128E-3</v>
      </c>
      <c r="E104">
        <v>-8.0300000001409799E-3</v>
      </c>
      <c r="F104">
        <v>5.8286708792820718E-13</v>
      </c>
      <c r="G104">
        <v>5.8286708792820718E-13</v>
      </c>
      <c r="H104" t="b">
        <v>1</v>
      </c>
    </row>
    <row r="105" spans="2:8" x14ac:dyDescent="0.2">
      <c r="B105" t="s">
        <v>96</v>
      </c>
      <c r="C105">
        <v>2</v>
      </c>
      <c r="D105">
        <v>-8.1399999997028294E-3</v>
      </c>
      <c r="E105">
        <v>-8.1400000001181638E-3</v>
      </c>
      <c r="F105">
        <v>4.1533443351227106E-13</v>
      </c>
      <c r="G105">
        <v>4.1533443351227106E-13</v>
      </c>
      <c r="H105" t="b">
        <v>1</v>
      </c>
    </row>
    <row r="106" spans="2:8" x14ac:dyDescent="0.2">
      <c r="B106" t="s">
        <v>96</v>
      </c>
      <c r="C106">
        <v>3</v>
      </c>
      <c r="D106">
        <v>-7.7799999996952529E-3</v>
      </c>
      <c r="E106">
        <v>-7.7800000000806113E-3</v>
      </c>
      <c r="F106">
        <v>3.8535841184739184E-13</v>
      </c>
      <c r="G106">
        <v>3.8535841184739184E-13</v>
      </c>
      <c r="H106" t="b">
        <v>1</v>
      </c>
    </row>
    <row r="107" spans="2:8" x14ac:dyDescent="0.2">
      <c r="B107" t="s">
        <v>96</v>
      </c>
      <c r="C107">
        <v>4</v>
      </c>
      <c r="D107">
        <v>-7.2499999997559517E-3</v>
      </c>
      <c r="E107">
        <v>-7.2500000000896847E-3</v>
      </c>
      <c r="F107">
        <v>3.3373304120232206E-13</v>
      </c>
      <c r="G107">
        <v>3.3373304120232206E-13</v>
      </c>
      <c r="H107" t="b">
        <v>1</v>
      </c>
    </row>
    <row r="108" spans="2:8" x14ac:dyDescent="0.2">
      <c r="B108" t="s">
        <v>96</v>
      </c>
      <c r="C108">
        <v>5</v>
      </c>
      <c r="D108">
        <v>-6.5199999997878066E-3</v>
      </c>
      <c r="E108">
        <v>-6.520000000078352E-3</v>
      </c>
      <c r="F108">
        <v>2.9054536554440347E-13</v>
      </c>
      <c r="G108">
        <v>2.9054536554440347E-13</v>
      </c>
      <c r="H108" t="b">
        <v>1</v>
      </c>
    </row>
    <row r="109" spans="2:8" x14ac:dyDescent="0.2">
      <c r="B109" t="s">
        <v>96</v>
      </c>
      <c r="C109">
        <v>6</v>
      </c>
      <c r="D109">
        <v>-5.6499999998050887E-3</v>
      </c>
      <c r="E109">
        <v>-5.6500000000757611E-3</v>
      </c>
      <c r="F109">
        <v>2.7067237340361316E-13</v>
      </c>
      <c r="G109">
        <v>2.7067237340361316E-13</v>
      </c>
      <c r="H109" t="b">
        <v>1</v>
      </c>
    </row>
    <row r="110" spans="2:8" x14ac:dyDescent="0.2">
      <c r="B110" t="s">
        <v>96</v>
      </c>
      <c r="C110">
        <v>7</v>
      </c>
      <c r="D110">
        <v>-4.7999999998300513E-3</v>
      </c>
      <c r="E110">
        <v>-4.8000000000651974E-3</v>
      </c>
      <c r="F110">
        <v>2.3514610397734614E-13</v>
      </c>
      <c r="G110">
        <v>2.3514610397734614E-13</v>
      </c>
      <c r="H110" t="b">
        <v>1</v>
      </c>
    </row>
    <row r="111" spans="2:8" x14ac:dyDescent="0.2">
      <c r="B111" t="s">
        <v>96</v>
      </c>
      <c r="C111">
        <v>8</v>
      </c>
      <c r="D111">
        <v>-3.9099999998410961E-3</v>
      </c>
      <c r="E111">
        <v>-3.9100000000586999E-3</v>
      </c>
      <c r="F111">
        <v>2.1760371282653068E-13</v>
      </c>
      <c r="G111">
        <v>2.1760371282653068E-13</v>
      </c>
      <c r="H111" t="b">
        <v>1</v>
      </c>
    </row>
    <row r="112" spans="2:8" x14ac:dyDescent="0.2">
      <c r="B112" t="s">
        <v>96</v>
      </c>
      <c r="C112">
        <v>9</v>
      </c>
      <c r="D112">
        <v>-3.1299999998439798E-3</v>
      </c>
      <c r="E112">
        <v>-3.1300000000394901E-3</v>
      </c>
      <c r="F112">
        <v>1.9551027463649007E-13</v>
      </c>
      <c r="G112">
        <v>1.9551027463649007E-13</v>
      </c>
      <c r="H112" t="b">
        <v>1</v>
      </c>
    </row>
    <row r="113" spans="2:8" x14ac:dyDescent="0.2">
      <c r="B113" t="s">
        <v>96</v>
      </c>
      <c r="C113">
        <v>10</v>
      </c>
      <c r="D113">
        <v>-2.1399999998791275E-3</v>
      </c>
      <c r="E113">
        <v>-2.1400000000346702E-3</v>
      </c>
      <c r="F113">
        <v>1.5554267943085343E-13</v>
      </c>
      <c r="G113">
        <v>1.5554267943085343E-13</v>
      </c>
      <c r="H113" t="b">
        <v>1</v>
      </c>
    </row>
    <row r="114" spans="2:8" x14ac:dyDescent="0.2">
      <c r="B114" t="s">
        <v>96</v>
      </c>
      <c r="C114">
        <v>11</v>
      </c>
      <c r="D114">
        <v>-1.3999999998853818E-3</v>
      </c>
      <c r="E114">
        <v>-1.400000000036927E-3</v>
      </c>
      <c r="F114">
        <v>1.5154522602089937E-13</v>
      </c>
      <c r="G114">
        <v>1.5154522602089937E-13</v>
      </c>
      <c r="H114" t="b">
        <v>1</v>
      </c>
    </row>
    <row r="115" spans="2:8" x14ac:dyDescent="0.2">
      <c r="B115" t="s">
        <v>96</v>
      </c>
      <c r="C115">
        <v>12</v>
      </c>
      <c r="D115">
        <v>-6.69999999888371E-4</v>
      </c>
      <c r="E115">
        <v>-6.7000000003625271E-4</v>
      </c>
      <c r="F115">
        <v>1.4788170688007085E-13</v>
      </c>
      <c r="G115">
        <v>1.4788170688007085E-13</v>
      </c>
      <c r="H115" t="b">
        <v>1</v>
      </c>
    </row>
    <row r="116" spans="2:8" x14ac:dyDescent="0.2">
      <c r="B116" t="s">
        <v>96</v>
      </c>
      <c r="C116">
        <v>13</v>
      </c>
      <c r="D116">
        <v>-7.9999999895719043E-5</v>
      </c>
      <c r="E116">
        <v>-8.0000000034496921E-5</v>
      </c>
      <c r="F116">
        <v>1.3877787807814457E-13</v>
      </c>
      <c r="G116">
        <v>1.3877787807814457E-13</v>
      </c>
      <c r="H116" t="b">
        <v>1</v>
      </c>
    </row>
    <row r="117" spans="2:8" x14ac:dyDescent="0.2">
      <c r="B117" t="s">
        <v>96</v>
      </c>
      <c r="C117">
        <v>14</v>
      </c>
      <c r="D117">
        <v>5.1000000009748803E-4</v>
      </c>
      <c r="E117">
        <v>5.0999999996625967E-4</v>
      </c>
      <c r="F117">
        <v>1.312283615106935E-13</v>
      </c>
      <c r="G117">
        <v>1.312283615106935E-13</v>
      </c>
      <c r="H117" t="b">
        <v>1</v>
      </c>
    </row>
    <row r="118" spans="2:8" x14ac:dyDescent="0.2">
      <c r="B118" t="s">
        <v>96</v>
      </c>
      <c r="C118">
        <v>15</v>
      </c>
      <c r="D118">
        <v>1.0800000000910082E-3</v>
      </c>
      <c r="E118">
        <v>1.0799999999671071E-3</v>
      </c>
      <c r="F118">
        <v>1.2390110638860197E-13</v>
      </c>
      <c r="G118">
        <v>1.2390110638860197E-13</v>
      </c>
      <c r="H118" t="b">
        <v>1</v>
      </c>
    </row>
    <row r="119" spans="2:8" x14ac:dyDescent="0.2">
      <c r="B119" t="s">
        <v>96</v>
      </c>
      <c r="C119">
        <v>16</v>
      </c>
      <c r="D119">
        <v>1.5700000000833381E-3</v>
      </c>
      <c r="E119">
        <v>1.569999999968541E-3</v>
      </c>
      <c r="F119">
        <v>1.1479706074624119E-13</v>
      </c>
      <c r="G119">
        <v>1.1479706074624119E-13</v>
      </c>
      <c r="H119" t="b">
        <v>1</v>
      </c>
    </row>
    <row r="120" spans="2:8" x14ac:dyDescent="0.2">
      <c r="B120" t="s">
        <v>96</v>
      </c>
      <c r="C120">
        <v>17</v>
      </c>
      <c r="D120">
        <v>1.9700000000770768E-3</v>
      </c>
      <c r="E120">
        <v>1.969999999968941E-3</v>
      </c>
      <c r="F120">
        <v>1.0813572259849025E-13</v>
      </c>
      <c r="G120">
        <v>1.0813572259849025E-13</v>
      </c>
      <c r="H120" t="b">
        <v>1</v>
      </c>
    </row>
    <row r="121" spans="2:8" x14ac:dyDescent="0.2">
      <c r="B121" t="s">
        <v>96</v>
      </c>
      <c r="C121">
        <v>18</v>
      </c>
      <c r="D121">
        <v>2.2800000000715581E-3</v>
      </c>
      <c r="E121">
        <v>2.279999999969418E-3</v>
      </c>
      <c r="F121">
        <v>1.0214008458464541E-13</v>
      </c>
      <c r="G121">
        <v>1.0214008458464541E-13</v>
      </c>
      <c r="H121" t="b">
        <v>1</v>
      </c>
    </row>
    <row r="122" spans="2:8" x14ac:dyDescent="0.2">
      <c r="B122" t="s">
        <v>96</v>
      </c>
      <c r="C122">
        <v>19</v>
      </c>
      <c r="D122">
        <v>2.5000000000674483E-3</v>
      </c>
      <c r="E122">
        <v>2.4999999999706368E-3</v>
      </c>
      <c r="F122">
        <v>9.681144774731365E-14</v>
      </c>
      <c r="G122">
        <v>9.681144774731365E-14</v>
      </c>
      <c r="H122" t="b">
        <v>1</v>
      </c>
    </row>
    <row r="123" spans="2:8" x14ac:dyDescent="0.2">
      <c r="B123" t="s">
        <v>96</v>
      </c>
      <c r="C123">
        <v>20</v>
      </c>
      <c r="D123">
        <v>2.6400000000632584E-3</v>
      </c>
      <c r="E123">
        <v>2.639999999971776E-3</v>
      </c>
      <c r="F123">
        <v>9.1482377229112899E-14</v>
      </c>
      <c r="G123">
        <v>9.1482377229112899E-14</v>
      </c>
      <c r="H123" t="b">
        <v>1</v>
      </c>
    </row>
    <row r="124" spans="2:8" x14ac:dyDescent="0.2">
      <c r="B124" t="s">
        <v>96</v>
      </c>
      <c r="C124">
        <v>21</v>
      </c>
      <c r="D124">
        <v>2.7100000000592761E-3</v>
      </c>
      <c r="E124">
        <v>2.7099999999729012E-3</v>
      </c>
      <c r="F124">
        <v>8.6374917634968185E-14</v>
      </c>
      <c r="G124">
        <v>8.6374917634968185E-14</v>
      </c>
      <c r="H124" t="b">
        <v>1</v>
      </c>
    </row>
    <row r="125" spans="2:8" x14ac:dyDescent="0.2">
      <c r="B125" t="s">
        <v>96</v>
      </c>
      <c r="C125">
        <v>22</v>
      </c>
      <c r="D125">
        <v>2.7400000000552538E-3</v>
      </c>
      <c r="E125">
        <v>2.7399999999742079E-3</v>
      </c>
      <c r="F125">
        <v>8.1045847116767433E-14</v>
      </c>
      <c r="G125">
        <v>8.1045847116767433E-14</v>
      </c>
      <c r="H125" t="b">
        <v>1</v>
      </c>
    </row>
    <row r="126" spans="2:8" x14ac:dyDescent="0.2">
      <c r="B126" t="s">
        <v>96</v>
      </c>
      <c r="C126">
        <v>23</v>
      </c>
      <c r="D126">
        <v>2.8000000000516501E-3</v>
      </c>
      <c r="E126">
        <v>2.7999999999752672E-3</v>
      </c>
      <c r="F126">
        <v>7.6382910413341776E-14</v>
      </c>
      <c r="G126">
        <v>7.6382910413341776E-14</v>
      </c>
      <c r="H126" t="b">
        <v>1</v>
      </c>
    </row>
    <row r="127" spans="2:8" x14ac:dyDescent="0.2">
      <c r="B127" t="s">
        <v>96</v>
      </c>
      <c r="C127">
        <v>24</v>
      </c>
      <c r="D127">
        <v>2.9100000000485959E-3</v>
      </c>
      <c r="E127">
        <v>2.909999999976209E-3</v>
      </c>
      <c r="F127">
        <v>7.2386974886429201E-14</v>
      </c>
      <c r="G127">
        <v>7.2386974886429201E-14</v>
      </c>
      <c r="H127" t="b">
        <v>1</v>
      </c>
    </row>
    <row r="128" spans="2:8" x14ac:dyDescent="0.2">
      <c r="B128" t="s">
        <v>96</v>
      </c>
      <c r="C128">
        <v>25</v>
      </c>
      <c r="D128">
        <v>3.0900000000457783E-3</v>
      </c>
      <c r="E128">
        <v>3.0899999999776111E-3</v>
      </c>
      <c r="F128">
        <v>6.8167260031115617E-14</v>
      </c>
      <c r="G128">
        <v>6.8167260031115617E-14</v>
      </c>
      <c r="H128" t="b">
        <v>1</v>
      </c>
    </row>
    <row r="129" spans="2:8" x14ac:dyDescent="0.2">
      <c r="B129" t="s">
        <v>96</v>
      </c>
      <c r="C129">
        <v>26</v>
      </c>
      <c r="D129">
        <v>3.3603622551279244E-3</v>
      </c>
      <c r="E129">
        <v>3.360362255063087E-3</v>
      </c>
      <c r="F129">
        <v>6.4837458318978136E-14</v>
      </c>
      <c r="G129">
        <v>6.4837458318978136E-14</v>
      </c>
      <c r="H129" t="b">
        <v>1</v>
      </c>
    </row>
    <row r="130" spans="2:8" x14ac:dyDescent="0.2">
      <c r="B130" t="s">
        <v>96</v>
      </c>
      <c r="C130">
        <v>27</v>
      </c>
      <c r="D130">
        <v>3.7040376454486879E-3</v>
      </c>
      <c r="E130">
        <v>3.7040376453871811E-3</v>
      </c>
      <c r="F130">
        <v>6.1506789245102667E-14</v>
      </c>
      <c r="G130">
        <v>6.1506789245102667E-14</v>
      </c>
      <c r="H130" t="b">
        <v>1</v>
      </c>
    </row>
    <row r="131" spans="2:8" x14ac:dyDescent="0.2">
      <c r="B131" t="s">
        <v>96</v>
      </c>
      <c r="C131">
        <v>28</v>
      </c>
      <c r="D131">
        <v>4.0998908418534707E-3</v>
      </c>
      <c r="E131">
        <v>4.0998908417946289E-3</v>
      </c>
      <c r="F131">
        <v>5.8841820305133297E-14</v>
      </c>
      <c r="G131">
        <v>5.8841820305133297E-14</v>
      </c>
      <c r="H131" t="b">
        <v>1</v>
      </c>
    </row>
    <row r="132" spans="2:8" x14ac:dyDescent="0.2">
      <c r="B132" t="s">
        <v>96</v>
      </c>
      <c r="C132">
        <v>29</v>
      </c>
      <c r="D132">
        <v>4.5318785335655143E-3</v>
      </c>
      <c r="E132">
        <v>4.531878533509115E-3</v>
      </c>
      <c r="F132">
        <v>5.6399329650957952E-14</v>
      </c>
      <c r="G132">
        <v>5.6399329650957952E-14</v>
      </c>
      <c r="H132" t="b">
        <v>1</v>
      </c>
    </row>
    <row r="133" spans="2:8" x14ac:dyDescent="0.2">
      <c r="B133" t="s">
        <v>96</v>
      </c>
      <c r="C133">
        <v>30</v>
      </c>
      <c r="D133">
        <v>4.987777012654071E-3</v>
      </c>
      <c r="E133">
        <v>4.9877770125998921E-3</v>
      </c>
      <c r="F133">
        <v>5.4178883601707639E-14</v>
      </c>
      <c r="G133">
        <v>5.4178883601707639E-14</v>
      </c>
      <c r="H133" t="b">
        <v>1</v>
      </c>
    </row>
    <row r="134" spans="2:8" x14ac:dyDescent="0.2">
      <c r="B134" t="s">
        <v>96</v>
      </c>
      <c r="C134">
        <v>31</v>
      </c>
      <c r="D134">
        <v>5.4582538906735589E-3</v>
      </c>
      <c r="E134">
        <v>5.4582538906215996E-3</v>
      </c>
      <c r="F134">
        <v>5.1959304914195314E-14</v>
      </c>
      <c r="G134">
        <v>5.1959304914195314E-14</v>
      </c>
      <c r="H134" t="b">
        <v>1</v>
      </c>
    </row>
    <row r="135" spans="2:8" x14ac:dyDescent="0.2">
      <c r="B135" t="s">
        <v>96</v>
      </c>
      <c r="C135">
        <v>32</v>
      </c>
      <c r="D135">
        <v>5.9361825537169732E-3</v>
      </c>
      <c r="E135">
        <v>5.9361825536670132E-3</v>
      </c>
      <c r="F135">
        <v>4.9960036108132044E-14</v>
      </c>
      <c r="G135">
        <v>4.9960036108132044E-14</v>
      </c>
      <c r="H135" t="b">
        <v>1</v>
      </c>
    </row>
    <row r="136" spans="2:8" x14ac:dyDescent="0.2">
      <c r="B136" t="s">
        <v>96</v>
      </c>
      <c r="C136">
        <v>33</v>
      </c>
      <c r="D136">
        <v>6.4161303559648886E-3</v>
      </c>
      <c r="E136">
        <v>6.4161303559164828E-3</v>
      </c>
      <c r="F136">
        <v>4.8405723873656825E-14</v>
      </c>
      <c r="G136">
        <v>4.8405723873656825E-14</v>
      </c>
      <c r="H136" t="b">
        <v>1</v>
      </c>
    </row>
    <row r="137" spans="2:8" x14ac:dyDescent="0.2">
      <c r="B137" t="s">
        <v>96</v>
      </c>
      <c r="C137">
        <v>34</v>
      </c>
      <c r="D137">
        <v>6.8939728087236141E-3</v>
      </c>
      <c r="E137">
        <v>6.8939728086769847E-3</v>
      </c>
      <c r="F137">
        <v>4.6629367034256575E-14</v>
      </c>
      <c r="G137">
        <v>4.6629367034256575E-14</v>
      </c>
      <c r="H137" t="b">
        <v>1</v>
      </c>
    </row>
    <row r="138" spans="2:8" x14ac:dyDescent="0.2">
      <c r="B138" t="s">
        <v>96</v>
      </c>
      <c r="C138">
        <v>35</v>
      </c>
      <c r="D138">
        <v>7.36660023067226E-3</v>
      </c>
      <c r="E138">
        <v>7.3666002306269629E-3</v>
      </c>
      <c r="F138">
        <v>4.5297099404706387E-14</v>
      </c>
      <c r="G138">
        <v>4.5297099404706387E-14</v>
      </c>
      <c r="H138" t="b">
        <v>1</v>
      </c>
    </row>
    <row r="139" spans="2:8" x14ac:dyDescent="0.2">
      <c r="B139" t="s">
        <v>96</v>
      </c>
      <c r="C139">
        <v>36</v>
      </c>
      <c r="D139">
        <v>7.8316929823125658E-3</v>
      </c>
      <c r="E139">
        <v>7.831692982268823E-3</v>
      </c>
      <c r="F139">
        <v>4.3742787170231168E-14</v>
      </c>
      <c r="G139">
        <v>4.3742787170231168E-14</v>
      </c>
      <c r="H139" t="b">
        <v>1</v>
      </c>
    </row>
    <row r="140" spans="2:8" x14ac:dyDescent="0.2">
      <c r="B140" t="s">
        <v>96</v>
      </c>
      <c r="C140">
        <v>37</v>
      </c>
      <c r="D140">
        <v>8.2875480716475547E-3</v>
      </c>
      <c r="E140">
        <v>8.2875480716049221E-3</v>
      </c>
      <c r="F140">
        <v>4.2632564145606011E-14</v>
      </c>
      <c r="G140">
        <v>4.2632564145606011E-14</v>
      </c>
      <c r="H140" t="b">
        <v>1</v>
      </c>
    </row>
    <row r="141" spans="2:8" x14ac:dyDescent="0.2">
      <c r="B141" t="s">
        <v>96</v>
      </c>
      <c r="C141">
        <v>38</v>
      </c>
      <c r="D141">
        <v>8.7329445807160511E-3</v>
      </c>
      <c r="E141">
        <v>8.7329445806747508E-3</v>
      </c>
      <c r="F141">
        <v>4.1300296516055823E-14</v>
      </c>
      <c r="G141">
        <v>4.1300296516055823E-14</v>
      </c>
      <c r="H141" t="b">
        <v>1</v>
      </c>
    </row>
    <row r="142" spans="2:8" x14ac:dyDescent="0.2">
      <c r="B142" t="s">
        <v>96</v>
      </c>
      <c r="C142">
        <v>39</v>
      </c>
      <c r="D142">
        <v>9.1670386665128056E-3</v>
      </c>
      <c r="E142">
        <v>9.1670386664723935E-3</v>
      </c>
      <c r="F142">
        <v>4.0412118096355698E-14</v>
      </c>
      <c r="G142">
        <v>4.0412118096355698E-14</v>
      </c>
      <c r="H142" t="b">
        <v>1</v>
      </c>
    </row>
    <row r="143" spans="2:8" x14ac:dyDescent="0.2">
      <c r="B143" t="s">
        <v>96</v>
      </c>
      <c r="C143">
        <v>40</v>
      </c>
      <c r="D143">
        <v>9.5892812584503773E-3</v>
      </c>
      <c r="E143">
        <v>9.5892812584112974E-3</v>
      </c>
      <c r="F143">
        <v>3.907985046680551E-14</v>
      </c>
      <c r="G143">
        <v>3.907985046680551E-14</v>
      </c>
      <c r="H143" t="b">
        <v>1</v>
      </c>
    </row>
    <row r="144" spans="2:8" x14ac:dyDescent="0.2">
      <c r="B144" t="s">
        <v>96</v>
      </c>
      <c r="C144">
        <v>41</v>
      </c>
      <c r="D144">
        <v>9.9993532910265248E-3</v>
      </c>
      <c r="E144">
        <v>9.9993532909883331E-3</v>
      </c>
      <c r="F144">
        <v>3.8191672047105385E-14</v>
      </c>
      <c r="G144">
        <v>3.8191672047105385E-14</v>
      </c>
      <c r="H144" t="b">
        <v>1</v>
      </c>
    </row>
    <row r="145" spans="2:8" x14ac:dyDescent="0.2">
      <c r="B145" t="s">
        <v>96</v>
      </c>
      <c r="C145">
        <v>42</v>
      </c>
      <c r="D145">
        <v>1.0397114566770949E-2</v>
      </c>
      <c r="E145">
        <v>1.0397114566733871E-2</v>
      </c>
      <c r="F145">
        <v>3.7077979575528275E-14</v>
      </c>
      <c r="G145">
        <v>3.7077979575528275E-14</v>
      </c>
      <c r="H145" t="b">
        <v>1</v>
      </c>
    </row>
    <row r="146" spans="2:8" x14ac:dyDescent="0.2">
      <c r="B146" t="s">
        <v>96</v>
      </c>
      <c r="C146">
        <v>43</v>
      </c>
      <c r="D146">
        <v>1.078256327276117E-2</v>
      </c>
      <c r="E146">
        <v>1.078256327272498E-2</v>
      </c>
      <c r="F146">
        <v>3.618980115582815E-14</v>
      </c>
      <c r="G146">
        <v>3.618980115582815E-14</v>
      </c>
      <c r="H146" t="b">
        <v>1</v>
      </c>
    </row>
    <row r="147" spans="2:8" x14ac:dyDescent="0.2">
      <c r="B147" t="s">
        <v>96</v>
      </c>
      <c r="C147">
        <v>44</v>
      </c>
      <c r="D147">
        <v>1.1155803865681824E-2</v>
      </c>
      <c r="E147">
        <v>1.11558038656463E-2</v>
      </c>
      <c r="F147">
        <v>3.5523667341053056E-14</v>
      </c>
      <c r="G147">
        <v>3.5523667341053056E-14</v>
      </c>
      <c r="H147" t="b">
        <v>1</v>
      </c>
    </row>
    <row r="148" spans="2:8" x14ac:dyDescent="0.2">
      <c r="B148" t="s">
        <v>96</v>
      </c>
      <c r="C148">
        <v>45</v>
      </c>
      <c r="D148">
        <v>1.1517021560005336E-2</v>
      </c>
      <c r="E148">
        <v>1.1517021559970919E-2</v>
      </c>
      <c r="F148">
        <v>3.4416913763379853E-14</v>
      </c>
      <c r="G148">
        <v>3.4416913763379853E-14</v>
      </c>
      <c r="H148" t="b">
        <v>1</v>
      </c>
    </row>
    <row r="149" spans="2:8" x14ac:dyDescent="0.2">
      <c r="B149" t="s">
        <v>96</v>
      </c>
      <c r="C149">
        <v>46</v>
      </c>
      <c r="D149">
        <v>1.1866462047161574E-2</v>
      </c>
      <c r="E149">
        <v>1.186646204712782E-2</v>
      </c>
      <c r="F149">
        <v>3.3754249395556712E-14</v>
      </c>
      <c r="G149">
        <v>3.3754249395556712E-14</v>
      </c>
      <c r="H149" t="b">
        <v>1</v>
      </c>
    </row>
    <row r="150" spans="2:8" x14ac:dyDescent="0.2">
      <c r="B150" t="s">
        <v>96</v>
      </c>
      <c r="C150">
        <v>47</v>
      </c>
      <c r="D150">
        <v>1.2204415373325173E-2</v>
      </c>
      <c r="E150">
        <v>1.220441537329231E-2</v>
      </c>
      <c r="F150">
        <v>3.2862601528904634E-14</v>
      </c>
      <c r="G150">
        <v>3.2862601528904634E-14</v>
      </c>
      <c r="H150" t="b">
        <v>1</v>
      </c>
    </row>
    <row r="151" spans="2:8" x14ac:dyDescent="0.2">
      <c r="B151" t="s">
        <v>96</v>
      </c>
      <c r="C151">
        <v>48</v>
      </c>
      <c r="D151">
        <v>1.2531203133471225E-2</v>
      </c>
      <c r="E151">
        <v>1.253120313343903E-2</v>
      </c>
      <c r="F151">
        <v>3.2194732990653563E-14</v>
      </c>
      <c r="G151">
        <v>3.2194732990653563E-14</v>
      </c>
      <c r="H151" t="b">
        <v>1</v>
      </c>
    </row>
    <row r="152" spans="2:8" x14ac:dyDescent="0.2">
      <c r="B152" t="s">
        <v>96</v>
      </c>
      <c r="C152">
        <v>49</v>
      </c>
      <c r="D152">
        <v>1.284716831691024E-2</v>
      </c>
      <c r="E152">
        <v>1.284716831687849E-2</v>
      </c>
      <c r="F152">
        <v>3.17506437808035E-14</v>
      </c>
      <c r="G152">
        <v>3.17506437808035E-14</v>
      </c>
      <c r="H152" t="b">
        <v>1</v>
      </c>
    </row>
    <row r="153" spans="2:8" x14ac:dyDescent="0.2">
      <c r="B153" t="s">
        <v>96</v>
      </c>
      <c r="C153">
        <v>50</v>
      </c>
      <c r="D153">
        <v>1.3152667277404939E-2</v>
      </c>
      <c r="E153">
        <v>1.315266727737407E-2</v>
      </c>
      <c r="F153">
        <v>3.0869404255007282E-14</v>
      </c>
      <c r="G153">
        <v>3.0869404255007282E-14</v>
      </c>
      <c r="H153" t="b">
        <v>1</v>
      </c>
    </row>
    <row r="154" spans="2:8" x14ac:dyDescent="0.2">
      <c r="B154" t="s">
        <v>96</v>
      </c>
      <c r="C154">
        <v>51</v>
      </c>
      <c r="D154">
        <v>1.3448063408616706E-2</v>
      </c>
      <c r="E154">
        <v>1.3448063408586289E-2</v>
      </c>
      <c r="F154">
        <v>3.0416641427777336E-14</v>
      </c>
      <c r="G154">
        <v>3.0416641427777336E-14</v>
      </c>
      <c r="H154" t="b">
        <v>1</v>
      </c>
    </row>
    <row r="155" spans="2:8" x14ac:dyDescent="0.2">
      <c r="B155" t="s">
        <v>96</v>
      </c>
      <c r="C155">
        <v>52</v>
      </c>
      <c r="D155">
        <v>1.3733722190095055E-2</v>
      </c>
      <c r="E155">
        <v>1.3733722190065301E-2</v>
      </c>
      <c r="F155">
        <v>2.9753977059954195E-14</v>
      </c>
      <c r="G155">
        <v>2.9753977059954195E-14</v>
      </c>
      <c r="H155" t="b">
        <v>1</v>
      </c>
    </row>
    <row r="156" spans="2:8" x14ac:dyDescent="0.2">
      <c r="B156" t="s">
        <v>96</v>
      </c>
      <c r="C156">
        <v>53</v>
      </c>
      <c r="D156">
        <v>1.40100073356213E-2</v>
      </c>
      <c r="E156">
        <v>1.401000733559199E-2</v>
      </c>
      <c r="F156">
        <v>2.9309887850104133E-14</v>
      </c>
      <c r="G156">
        <v>2.9309887850104133E-14</v>
      </c>
      <c r="H156" t="b">
        <v>1</v>
      </c>
    </row>
    <row r="157" spans="2:8" x14ac:dyDescent="0.2">
      <c r="B157" t="s">
        <v>96</v>
      </c>
      <c r="C157">
        <v>54</v>
      </c>
      <c r="D157">
        <v>1.4277277828443458E-2</v>
      </c>
      <c r="E157">
        <v>1.427727782841481E-2</v>
      </c>
      <c r="F157">
        <v>2.8647223482280992E-14</v>
      </c>
      <c r="G157">
        <v>2.8647223482280992E-14</v>
      </c>
      <c r="H157" t="b">
        <v>1</v>
      </c>
    </row>
    <row r="158" spans="2:8" x14ac:dyDescent="0.2">
      <c r="B158" t="s">
        <v>96</v>
      </c>
      <c r="C158">
        <v>55</v>
      </c>
      <c r="D158">
        <v>1.4535885669870297E-2</v>
      </c>
      <c r="E158">
        <v>1.4535885669842321E-2</v>
      </c>
      <c r="F158">
        <v>2.7975885497077968E-14</v>
      </c>
      <c r="G158">
        <v>2.7975885497077968E-14</v>
      </c>
      <c r="H158" t="b">
        <v>1</v>
      </c>
    </row>
    <row r="159" spans="2:8" x14ac:dyDescent="0.2">
      <c r="B159" t="s">
        <v>96</v>
      </c>
      <c r="C159">
        <v>56</v>
      </c>
      <c r="D159">
        <v>1.47861742011548E-2</v>
      </c>
      <c r="E159">
        <v>1.478617420112704E-2</v>
      </c>
      <c r="F159">
        <v>2.7760779786056844E-14</v>
      </c>
      <c r="G159">
        <v>2.7760779786056844E-14</v>
      </c>
      <c r="H159" t="b">
        <v>1</v>
      </c>
    </row>
    <row r="160" spans="2:8" x14ac:dyDescent="0.2">
      <c r="B160" t="s">
        <v>96</v>
      </c>
      <c r="C160">
        <v>57</v>
      </c>
      <c r="D160">
        <v>1.5028476885395881E-2</v>
      </c>
      <c r="E160">
        <v>1.5028476885368789E-2</v>
      </c>
      <c r="F160">
        <v>2.7091176524329796E-14</v>
      </c>
      <c r="G160">
        <v>2.7091176524329796E-14</v>
      </c>
      <c r="H160" t="b">
        <v>1</v>
      </c>
    </row>
    <row r="161" spans="2:8" x14ac:dyDescent="0.2">
      <c r="B161" t="s">
        <v>96</v>
      </c>
      <c r="C161">
        <v>58</v>
      </c>
      <c r="D161">
        <v>1.5263116457726822E-2</v>
      </c>
      <c r="E161">
        <v>1.526311645770018E-2</v>
      </c>
      <c r="F161">
        <v>2.6641883144051803E-14</v>
      </c>
      <c r="G161">
        <v>2.6641883144051803E-14</v>
      </c>
      <c r="H161" t="b">
        <v>1</v>
      </c>
    </row>
    <row r="162" spans="2:8" x14ac:dyDescent="0.2">
      <c r="B162" t="s">
        <v>96</v>
      </c>
      <c r="C162">
        <v>59</v>
      </c>
      <c r="D162">
        <v>1.5490404369405075E-2</v>
      </c>
      <c r="E162">
        <v>1.5490404369378871E-2</v>
      </c>
      <c r="F162">
        <v>2.6204732828105648E-14</v>
      </c>
      <c r="G162">
        <v>2.6204732828105648E-14</v>
      </c>
      <c r="H162" t="b">
        <v>1</v>
      </c>
    </row>
    <row r="163" spans="2:8" x14ac:dyDescent="0.2">
      <c r="B163" t="s">
        <v>96</v>
      </c>
      <c r="C163">
        <v>60</v>
      </c>
      <c r="D163">
        <v>1.5710640465449233E-2</v>
      </c>
      <c r="E163">
        <v>1.5710640465423479E-2</v>
      </c>
      <c r="F163">
        <v>2.5753704724351678E-14</v>
      </c>
      <c r="G163">
        <v>2.5753704724351678E-14</v>
      </c>
      <c r="H163" t="b">
        <v>1</v>
      </c>
    </row>
    <row r="164" spans="2:8" x14ac:dyDescent="0.2">
      <c r="B164" t="s">
        <v>96</v>
      </c>
      <c r="C164">
        <v>61</v>
      </c>
      <c r="D164">
        <v>1.5924112846817717E-2</v>
      </c>
      <c r="E164">
        <v>1.5924112846792401E-2</v>
      </c>
      <c r="F164">
        <v>2.5316554408405523E-14</v>
      </c>
      <c r="G164">
        <v>2.5316554408405523E-14</v>
      </c>
      <c r="H164" t="b">
        <v>1</v>
      </c>
    </row>
    <row r="165" spans="2:8" x14ac:dyDescent="0.2">
      <c r="B165" t="s">
        <v>96</v>
      </c>
      <c r="C165">
        <v>62</v>
      </c>
      <c r="D165">
        <v>1.6131097877350564E-2</v>
      </c>
      <c r="E165">
        <v>1.613109787732547E-2</v>
      </c>
      <c r="F165">
        <v>2.5094509803480491E-14</v>
      </c>
      <c r="G165">
        <v>2.5094509803480491E-14</v>
      </c>
      <c r="H165" t="b">
        <v>1</v>
      </c>
    </row>
    <row r="166" spans="2:8" x14ac:dyDescent="0.2">
      <c r="B166" t="s">
        <v>96</v>
      </c>
      <c r="C166">
        <v>63</v>
      </c>
      <c r="D166">
        <v>1.6331860303182122E-2</v>
      </c>
      <c r="E166">
        <v>1.6331860303157471E-2</v>
      </c>
      <c r="F166">
        <v>2.4650420593630429E-14</v>
      </c>
      <c r="G166">
        <v>2.4650420593630429E-14</v>
      </c>
      <c r="H166" t="b">
        <v>1</v>
      </c>
    </row>
    <row r="167" spans="2:8" x14ac:dyDescent="0.2">
      <c r="B167" t="s">
        <v>96</v>
      </c>
      <c r="C167">
        <v>64</v>
      </c>
      <c r="D167">
        <v>1.6526653458452278E-2</v>
      </c>
      <c r="E167">
        <v>1.6526653458428079E-2</v>
      </c>
      <c r="F167">
        <v>2.4199392489876459E-14</v>
      </c>
      <c r="G167">
        <v>2.4199392489876459E-14</v>
      </c>
      <c r="H167" t="b">
        <v>1</v>
      </c>
    </row>
    <row r="168" spans="2:8" x14ac:dyDescent="0.2">
      <c r="B168" t="s">
        <v>96</v>
      </c>
      <c r="C168">
        <v>65</v>
      </c>
      <c r="D168">
        <v>1.6715719536108731E-2</v>
      </c>
      <c r="E168">
        <v>1.671571953608475E-2</v>
      </c>
      <c r="F168">
        <v>2.3980817331903381E-14</v>
      </c>
      <c r="G168">
        <v>2.3980817331903381E-14</v>
      </c>
      <c r="H168" t="b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size="36" baseType="lpstr">
      <vt:lpstr>Cover</vt:lpstr>
      <vt:lpstr>Control</vt:lpstr>
      <vt:lpstr>Assumptions</vt:lpstr>
      <vt:lpstr>Spot_Rates</vt:lpstr>
      <vt:lpstr>Wilson</vt:lpstr>
      <vt:lpstr>Calibration</vt:lpstr>
      <vt:lpstr>Extrapolation</vt:lpstr>
      <vt:lpstr>Summary</vt:lpstr>
      <vt:lpstr>Checks</vt:lpstr>
      <vt:lpstr>Lifelib_Reference</vt:lpstr>
      <vt:lpstr>Batch_Results</vt:lpstr>
      <vt:lpstr>AllChecksPass</vt:lpstr>
      <vt:lpstr>Alpha</vt:lpstr>
      <vt:lpstr>BatchTol</vt:lpstr>
      <vt:lpstr>DVec</vt:lpstr>
      <vt:lpstr>Ext_Mu</vt:lpstr>
      <vt:lpstr>Ext_P</vt:lpstr>
      <vt:lpstr>Ext_R</vt:lpstr>
      <vt:lpstr>Ext_T</vt:lpstr>
      <vt:lpstr>MuVecObs</vt:lpstr>
      <vt:lpstr>MVec</vt:lpstr>
      <vt:lpstr>N_Obs</vt:lpstr>
      <vt:lpstr>P_Fitted_Obs</vt:lpstr>
      <vt:lpstr>R_Fitted_Obs</vt:lpstr>
      <vt:lpstr>Ref_P</vt:lpstr>
      <vt:lpstr>Ref_R</vt:lpstr>
      <vt:lpstr>Ref_Zeta</vt:lpstr>
      <vt:lpstr>SelMaturity</vt:lpstr>
      <vt:lpstr>SpotMaturities</vt:lpstr>
      <vt:lpstr>SpotRates</vt:lpstr>
      <vt:lpstr>T_Max</vt:lpstr>
      <vt:lpstr>UFR</vt:lpstr>
      <vt:lpstr>UFR_Annual</vt:lpstr>
      <vt:lpstr>WGrid</vt:lpstr>
      <vt:lpstr>WMatrix</vt:lpstr>
      <vt:lpstr>ZetaVec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Klaas Stijnen</cp:lastModifiedBy>
  <dcterms:created xsi:type="dcterms:W3CDTF">2026-08-04T13:04:48Z</dcterms:created>
  <dcterms:modified xsi:type="dcterms:W3CDTF">2026-08-05T08:57:23Z</dcterms:modified>
</cp:coreProperties>
</file>