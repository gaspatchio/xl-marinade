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ol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Spot_Rates" sheetId="4" state="visible" r:id="rId4"/>
    <sheet xmlns:r="http://schemas.openxmlformats.org/officeDocument/2006/relationships" name="Wilson" sheetId="5" state="visible" r:id="rId5"/>
    <sheet xmlns:r="http://schemas.openxmlformats.org/officeDocument/2006/relationships" name="Calibration" sheetId="6" state="visible" r:id="rId6"/>
    <sheet xmlns:r="http://schemas.openxmlformats.org/officeDocument/2006/relationships" name="Extrapolation" sheetId="7" state="visible" r:id="rId7"/>
    <sheet xmlns:r="http://schemas.openxmlformats.org/officeDocument/2006/relationships" name="Summary" sheetId="8" state="visible" r:id="rId8"/>
    <sheet xmlns:r="http://schemas.openxmlformats.org/officeDocument/2006/relationships" name="Checks" sheetId="9" state="visible" r:id="rId9"/>
    <sheet xmlns:r="http://schemas.openxmlformats.org/officeDocument/2006/relationships" name="Lifelib_Reference" sheetId="10" state="visible" r:id="rId10"/>
    <sheet xmlns:r="http://schemas.openxmlformats.org/officeDocument/2006/relationships" name="Batch_Results" sheetId="11" state="visible" r:id="rId11"/>
  </sheets>
  <definedNames>
    <definedName name="SelMaturity">'Control'!$C$4</definedName>
    <definedName name="BatchTol">'Control'!$C$8</definedName>
    <definedName name="UFR">'Assumptions'!$C$4</definedName>
    <definedName name="UFR_Annual">'Assumptions'!$C$5</definedName>
    <definedName name="Alpha">'Assumptions'!$C$6</definedName>
    <definedName name="N_Obs">'Assumptions'!$C$7</definedName>
    <definedName name="T_Max">'Assumptions'!$C$8</definedName>
    <definedName name="SpotRates">Spot_Rates!$C$4:$C$28</definedName>
    <definedName name="SpotMaturities">Spot_Rates!$B$4:$B$28</definedName>
    <definedName name="WMatrix">Wilson!$B$4:$Z$28</definedName>
    <definedName name="WGrid">Wilson!$B$4:$Z$68</definedName>
    <definedName name="MVec">Calibration!$D$4:$D$28</definedName>
    <definedName name="MuVecObs">Calibration!$E$4:$E$28</definedName>
    <definedName name="DVec">Calibration!$F$4:$F$28</definedName>
    <definedName name="ZetaVec">Calibration!$G$4:$G$28</definedName>
    <definedName name="Ext_T">Extrapolation!$A$4:$A$68</definedName>
    <definedName name="Ext_Mu">Extrapolation!$B$4:$B$68</definedName>
    <definedName name="Ext_P">Extrapolation!$C$4:$C$68</definedName>
    <definedName name="Ext_R">Extrapolation!$D$4:$D$68</definedName>
    <definedName name="P_Fitted_Obs">Extrapolation!$C$4:$C$28</definedName>
    <definedName name="R_Fitted_Obs">Extrapolation!$D$4:$D$28</definedName>
    <definedName name="AllChecksPass">'Checks'!$C$11</definedName>
    <definedName name="Ref_P">Lifelib_Reference!$B$3:$B$67</definedName>
    <definedName name="Ref_R">Lifelib_Reference!$C$3:$C$67</definedName>
    <definedName name="Ref_Zeta">Lifelib_Reference!$F$3:$F$27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000"/>
    <numFmt numFmtId="165" formatCode="0.000000000000"/>
    <numFmt numFmtId="166" formatCode="0.0000%"/>
    <numFmt numFmtId="167" formatCode="0.000000"/>
    <numFmt numFmtId="168" formatCode="&quot;u=&quot;0"/>
    <numFmt numFmtId="169" formatCode="0.00000000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i val="1"/>
      <sz val="11"/>
    </font>
    <font>
      <name val="Calibri"/>
      <b val="1"/>
      <sz val="10"/>
    </font>
    <font>
      <name val="Calibri"/>
      <sz val="10"/>
    </font>
    <font>
      <sz val="10"/>
    </font>
    <font>
      <name val="Calibri"/>
      <color rgb="000000FF"/>
      <sz val="10"/>
    </font>
    <font>
      <name val="Calibri"/>
      <color rgb="00000000"/>
      <sz val="10"/>
    </font>
    <font>
      <name val="Calibri"/>
      <color rgb="00006100"/>
      <sz val="10"/>
    </font>
    <font>
      <name val="Calibri"/>
      <b val="1"/>
      <color rgb="00FFFFFF"/>
      <sz val="10"/>
    </font>
    <font>
      <i val="1"/>
      <color rgb="007F7F7F"/>
      <sz val="9"/>
    </font>
    <font>
      <i val="1"/>
      <color rgb="007F7F7F"/>
      <sz val="8"/>
    </font>
    <font>
      <color rgb="007F7F7F"/>
      <sz val="9"/>
    </font>
    <font>
      <name val="Calibri"/>
      <b val="1"/>
      <color rgb="00006100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/>
    </xf>
    <xf numFmtId="1" fontId="6" fillId="0" borderId="1" pivotButton="0" quotePrefix="0" xfId="0"/>
    <xf numFmtId="0" fontId="10" fillId="0" borderId="0" pivotButton="0" quotePrefix="0" xfId="0"/>
    <xf numFmtId="164" fontId="6" fillId="0" borderId="1" pivotButton="0" quotePrefix="0" xfId="0"/>
    <xf numFmtId="165" fontId="6" fillId="0" borderId="1" pivotButton="0" quotePrefix="0" xfId="0"/>
    <xf numFmtId="166" fontId="7" fillId="0" borderId="1" pivotButton="0" quotePrefix="0" xfId="0"/>
    <xf numFmtId="167" fontId="6" fillId="0" borderId="1" pivotButton="0" quotePrefix="0" xfId="0"/>
    <xf numFmtId="0" fontId="11" fillId="0" borderId="0" pivotButton="0" quotePrefix="0" xfId="0"/>
    <xf numFmtId="166" fontId="6" fillId="0" borderId="0" pivotButton="0" quotePrefix="0" xfId="0"/>
    <xf numFmtId="168" fontId="9" fillId="2" borderId="1" applyAlignment="1" pivotButton="0" quotePrefix="0" xfId="0">
      <alignment horizontal="center"/>
    </xf>
    <xf numFmtId="1" fontId="7" fillId="0" borderId="0" pivotButton="0" quotePrefix="0" xfId="0"/>
    <xf numFmtId="169" fontId="8" fillId="0" borderId="0" pivotButton="0" quotePrefix="0" xfId="0"/>
    <xf numFmtId="1" fontId="8" fillId="0" borderId="0" pivotButton="0" quotePrefix="0" xfId="0"/>
    <xf numFmtId="166" fontId="8" fillId="0" borderId="0" pivotButton="0" quotePrefix="0" xfId="0"/>
    <xf numFmtId="169" fontId="7" fillId="0" borderId="0" pivotButton="0" quotePrefix="0" xfId="0"/>
    <xf numFmtId="167" fontId="8" fillId="0" borderId="0" pivotButton="0" quotePrefix="0" xfId="0"/>
    <xf numFmtId="166" fontId="7" fillId="0" borderId="0" pivotButton="0" quotePrefix="0" xfId="0"/>
    <xf numFmtId="1" fontId="8" fillId="0" borderId="1" pivotButton="0" quotePrefix="0" xfId="0"/>
    <xf numFmtId="169" fontId="8" fillId="0" borderId="1" pivotButton="0" quotePrefix="0" xfId="0"/>
    <xf numFmtId="166" fontId="8" fillId="0" borderId="1" pivotButton="0" quotePrefix="0" xfId="0"/>
    <xf numFmtId="0" fontId="8" fillId="0" borderId="1" applyAlignment="1" pivotButton="0" quotePrefix="0" xfId="0">
      <alignment horizontal="center"/>
    </xf>
    <xf numFmtId="0" fontId="12" fillId="0" borderId="0" pivotButton="0" quotePrefix="0" xfId="0"/>
    <xf numFmtId="0" fontId="13" fillId="0" borderId="0" applyAlignment="1" pivotButton="0" quotePrefix="0" xfId="0">
      <alignment horizontal="center"/>
    </xf>
    <xf numFmtId="169" fontId="6" fillId="0" borderId="0" pivotButton="0" quotePrefix="0" xfId="0"/>
    <xf numFmtId="167" fontId="6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Extrapolated spot curve vs observed rates</a:t>
            </a:r>
          </a:p>
        </rich>
      </tx>
    </title>
    <plotArea>
      <lineChart>
        <grouping val="standard"/>
        <ser>
          <idx val="0"/>
          <order val="0"/>
          <tx>
            <v>Fitted R(t)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'Extrapolation'!$A$4:$A$68</f>
            </numRef>
          </cat>
          <val>
            <numRef>
              <f>'Extrapolation'!$D$4:$D$68</f>
            </numRef>
          </val>
        </ser>
        <ser>
          <idx val="1"/>
          <order val="1"/>
          <tx>
            <v>Observed spot rates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'Extrapolation'!$A$4:$A$68</f>
            </numRef>
          </cat>
          <val>
            <numRef>
              <f>'Extrapolation'!$E$4:$E$28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Maturity (years)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.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2:C33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78" customWidth="1" min="3" max="3"/>
  </cols>
  <sheetData>
    <row r="2">
      <c r="B2" s="1" t="inlineStr">
        <is>
          <t>SmithWilson — Risk-Free Yield Curve Extrapolation</t>
        </is>
      </c>
    </row>
    <row r="3">
      <c r="B3" s="2" t="inlineStr">
        <is>
          <t>Smith-Wilson extrapolation of CHF risk-free spot rates to the ultimate forward rate (Solvency II methodology per the CEIOPS/EIOPA QIS5 paper)</t>
        </is>
      </c>
    </row>
    <row r="5" ht="42" customHeight="1">
      <c r="B5" s="3" t="inlineStr">
        <is>
          <t>Purpose</t>
        </is>
      </c>
      <c r="C5" s="4" t="inlineStr">
        <is>
          <t>Fits the Smith-Wilson pricing function to 25 observed CHF spot rates and extrapolates zero-coupon bond prices and annual-compound spot rates to 65 years, converging to the ultimate forward rate (UFR). The workbook is a formula-for-formula replication of the open-source lifelib model 'smithwilson' (MIT licence) and is verified cell-by-cell against it.</t>
        </is>
      </c>
    </row>
    <row r="6" ht="42" customHeight="1">
      <c r="B6" s="3" t="inlineStr">
        <is>
          <t>Method</t>
        </is>
      </c>
      <c r="C6" s="4" t="inlineStr">
        <is>
          <t>CEIOPS/EIOPA, 'QIS 5 Risk-free interest rates — Extrapolation method' (2010). Observed bond prices m(u) are fitted exactly by P(t) = e^(−UFR·t) + Σ ζj·W(t,uj); the ζ vector solves the linear system W·ζ = m − μ, inverted on the Calibration sheet with native Excel MINVERSE/MMULT array formulas.</t>
        </is>
      </c>
    </row>
    <row r="7" ht="42" customHeight="1">
      <c r="B7" s="3" t="inlineStr">
        <is>
          <t>Inputs</t>
        </is>
      </c>
      <c r="C7" s="4" t="inlineStr">
        <is>
          <t>25 observed spot rates (annual compound; Switzerland EIOPA risk-free term structure as at 31 May 2019, RFR_spot_no_VA — negative short end) on Spot_Rates; UFR (continuous compound) and convergence parameter α on Assumptions.</t>
        </is>
      </c>
    </row>
    <row r="8" ht="42" customHeight="1">
      <c r="B8" s="3" t="inlineStr">
        <is>
          <t>Reconciliation</t>
        </is>
      </c>
      <c r="C8" s="4" t="inlineStr">
        <is>
          <t>The RunCurveReconciliation macro (Batch_Results sheet) recalculates the workbook and reconciles the full ζ vector and the extrapolated P and R curves against the lifelib values stored on Lifelib_Reference.</t>
        </is>
      </c>
    </row>
    <row r="9" ht="42" customHeight="1">
      <c r="B9" s="3" t="inlineStr">
        <is>
          <t>Source model</t>
        </is>
      </c>
      <c r="C9" s="4" t="inlineStr">
        <is>
          <t>lifelib smithwilson — https://lifelib.io (MIT licence)</t>
        </is>
      </c>
    </row>
    <row r="10" ht="42" customHeight="1">
      <c r="B10" s="3" t="inlineStr">
        <is>
          <t>Verification</t>
        </is>
      </c>
      <c r="C10" s="4" t="inlineStr">
        <is>
          <t>verification/verify_smithwilson.py compares every mapped cell (including the full 65×25 Wilson matrix) against the Python model; see the Checks sheet for in-workbook consistency tests.</t>
        </is>
      </c>
    </row>
    <row r="12">
      <c r="B12" s="3" t="inlineStr">
        <is>
          <t>Version control</t>
        </is>
      </c>
    </row>
    <row r="13">
      <c r="B13" s="5" t="inlineStr">
        <is>
          <t>Version</t>
        </is>
      </c>
      <c r="C13" s="6" t="inlineStr">
        <is>
          <t>0.2.0</t>
        </is>
      </c>
    </row>
    <row r="14">
      <c r="B14" s="5" t="inlineStr">
        <is>
          <t>Date</t>
        </is>
      </c>
      <c r="C14" s="6" t="inlineStr">
        <is>
          <t>2026-07-14</t>
        </is>
      </c>
    </row>
    <row r="15">
      <c r="B15" s="5" t="inlineStr">
        <is>
          <t>Prepared by</t>
        </is>
      </c>
      <c r="C15" s="6" t="inlineStr">
        <is>
          <t>XL Marinade project</t>
        </is>
      </c>
    </row>
    <row r="16">
      <c r="B16" s="5" t="inlineStr">
        <is>
          <t>Review status</t>
        </is>
      </c>
      <c r="C16" s="6" t="inlineStr">
        <is>
          <t>Verified against lifelib; adversarial actuarial audit remediated (see verification/reports)</t>
        </is>
      </c>
    </row>
    <row r="18">
      <c r="B18" s="3" t="inlineStr">
        <is>
          <t>Sheet index</t>
        </is>
      </c>
    </row>
    <row r="19">
      <c r="B19" s="5" t="inlineStr">
        <is>
          <t>Control</t>
        </is>
      </c>
      <c r="C19" s="6" t="inlineStr">
        <is>
          <t>Run control — reporting maturity and reconciliation settings</t>
        </is>
      </c>
    </row>
    <row r="20">
      <c r="B20" s="5" t="inlineStr">
        <is>
          <t>Assumptions</t>
        </is>
      </c>
      <c r="C20" s="6" t="inlineStr">
        <is>
          <t>UFR, convergence parameter α, curve dimensions</t>
        </is>
      </c>
    </row>
    <row r="21">
      <c r="B21" s="5" t="inlineStr">
        <is>
          <t>Spot_Rates</t>
        </is>
      </c>
      <c r="C21" s="6" t="inlineStr">
        <is>
          <t>Observed EUR spot rates by maturity (input data)</t>
        </is>
      </c>
    </row>
    <row r="22">
      <c r="B22" s="5" t="inlineStr">
        <is>
          <t>Wilson</t>
        </is>
      </c>
      <c r="C22" s="6" t="inlineStr">
        <is>
          <t>Wilson function W(t, uj) — 65 × 25 grid</t>
        </is>
      </c>
    </row>
    <row r="23">
      <c r="B23" s="5" t="inlineStr">
        <is>
          <t>Calibration</t>
        </is>
      </c>
      <c r="C23" s="6" t="inlineStr">
        <is>
          <t>Observed bond prices and the ζ vector (MINVERSE/MMULT array solve)</t>
        </is>
      </c>
    </row>
    <row r="24">
      <c r="B24" s="5" t="inlineStr">
        <is>
          <t>Extrapolation</t>
        </is>
      </c>
      <c r="C24" s="6" t="inlineStr">
        <is>
          <t>Extrapolated bond prices P(t) and spot rates R(t), t = 1 … 65</t>
        </is>
      </c>
    </row>
    <row r="25">
      <c r="B25" s="5" t="inlineStr">
        <is>
          <t>Summary</t>
        </is>
      </c>
      <c r="C25" s="6" t="inlineStr">
        <is>
          <t>Curve at key durations, convergence to UFR, chart</t>
        </is>
      </c>
    </row>
    <row r="26">
      <c r="B26" s="5" t="inlineStr">
        <is>
          <t>Checks</t>
        </is>
      </c>
      <c r="C26" s="6" t="inlineStr">
        <is>
          <t>Internal consistency checks (all must be TRUE)</t>
        </is>
      </c>
    </row>
    <row r="27">
      <c r="B27" s="5" t="inlineStr">
        <is>
          <t>Lifelib_Reference</t>
        </is>
      </c>
      <c r="C27" s="6" t="inlineStr">
        <is>
          <t>lifelib ζ, P and R values (reconciliation target)</t>
        </is>
      </c>
    </row>
    <row r="28">
      <c r="B28" s="5" t="inlineStr">
        <is>
          <t>Batch_Results</t>
        </is>
      </c>
      <c r="C28" s="6" t="inlineStr">
        <is>
          <t>Full-curve reconciliation vs lifelib (macro output)</t>
        </is>
      </c>
    </row>
    <row r="30">
      <c r="B30" s="3" t="inlineStr">
        <is>
          <t>Conventions</t>
        </is>
      </c>
    </row>
    <row r="31">
      <c r="B31" s="7" t="inlineStr">
        <is>
          <t>Blue — hardcoded input</t>
        </is>
      </c>
    </row>
    <row r="32">
      <c r="B32" s="8" t="inlineStr">
        <is>
          <t>Black — calculated on this sheet</t>
        </is>
      </c>
    </row>
    <row r="33">
      <c r="B33" s="9" t="inlineStr">
        <is>
          <t>Green — link from another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B2:D10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14" customWidth="1" min="3" max="3"/>
    <col width="62" customWidth="1" min="4" max="4"/>
  </cols>
  <sheetData>
    <row r="2">
      <c r="B2" s="3" t="inlineStr">
        <is>
          <t>Reporting</t>
        </is>
      </c>
    </row>
    <row r="3">
      <c r="B3" s="10" t="inlineStr">
        <is>
          <t>Item</t>
        </is>
      </c>
      <c r="C3" s="10" t="inlineStr">
        <is>
          <t>Value</t>
        </is>
      </c>
      <c r="D3" s="10" t="inlineStr">
        <is>
          <t>Notes</t>
        </is>
      </c>
    </row>
    <row r="4">
      <c r="B4" s="5" t="inlineStr">
        <is>
          <t>Reporting maturity (years)</t>
        </is>
      </c>
      <c r="C4" s="11" t="n">
        <v>30</v>
      </c>
      <c r="D4" s="12" t="inlineStr">
        <is>
          <t>Maturity highlighted on the Summary sheet — choose 1 to 65</t>
        </is>
      </c>
    </row>
    <row r="6">
      <c r="B6" s="3" t="inlineStr">
        <is>
          <t>Reconciliation (RunCurveReconciliation macro)</t>
        </is>
      </c>
    </row>
    <row r="7">
      <c r="B7" s="10" t="inlineStr">
        <is>
          <t>Item</t>
        </is>
      </c>
      <c r="C7" s="10" t="inlineStr">
        <is>
          <t>Value</t>
        </is>
      </c>
      <c r="D7" s="10" t="inlineStr">
        <is>
          <t>Notes</t>
        </is>
      </c>
    </row>
    <row r="8">
      <c r="B8" s="5" t="inlineStr">
        <is>
          <t>Reconciliation tolerance (relative)</t>
        </is>
      </c>
      <c r="C8" s="13" t="n">
        <v>1e-06</v>
      </c>
      <c r="D8" s="12" t="inlineStr">
        <is>
          <t>A value reconciles when |workbook − lifelib| ≤ tol × max(1, |lifelib|)</t>
        </is>
      </c>
    </row>
    <row r="10">
      <c r="B10" s="12" t="inlineStr">
        <is>
          <t>Run the reconciliation from Developer ▸ Macros ▸ RunCurveReconciliation; results appear on Batch_Results.</t>
        </is>
      </c>
    </row>
  </sheetData>
  <dataValidations count="1">
    <dataValidation sqref="C4" showDropDown="0" showInputMessage="0" showErrorMessage="0" allowBlank="0" error="Reporting maturity must be between 1 and 65" type="whole" operator="between">
      <formula1>1</formula1>
      <formula2>65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B2:D8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16" customWidth="1" min="3" max="3"/>
    <col width="62" customWidth="1" min="4" max="4"/>
  </cols>
  <sheetData>
    <row r="2">
      <c r="B2" s="3" t="inlineStr">
        <is>
          <t>Smith-Wilson parameters</t>
        </is>
      </c>
    </row>
    <row r="3">
      <c r="B3" s="10" t="inlineStr">
        <is>
          <t>Item</t>
        </is>
      </c>
      <c r="C3" s="10" t="inlineStr">
        <is>
          <t>Value</t>
        </is>
      </c>
      <c r="D3" s="10" t="inlineStr">
        <is>
          <t>Notes / lifelib cell</t>
        </is>
      </c>
    </row>
    <row r="4">
      <c r="B4" s="5" t="inlineStr">
        <is>
          <t>Ultimate forward rate (continuous)</t>
        </is>
      </c>
      <c r="C4" s="14" t="n">
        <v>0.02858745685191247</v>
      </c>
      <c r="D4" s="12" t="inlineStr">
        <is>
          <t>UFR — ln(1.029); the 2019 EIOPA UFR for CHF</t>
        </is>
      </c>
    </row>
    <row r="5">
      <c r="B5" s="5" t="inlineStr">
        <is>
          <t>Ultimate forward rate (annual compound)</t>
        </is>
      </c>
      <c r="C5" s="15">
        <f>EXP(UFR)-1</f>
        <v/>
      </c>
      <c r="D5" s="12" t="inlineStr">
        <is>
          <t>e^UFR − 1; the long-end anchor of the extrapolated curve</t>
        </is>
      </c>
    </row>
    <row r="6">
      <c r="B6" s="5" t="inlineStr">
        <is>
          <t>Convergence parameter α</t>
        </is>
      </c>
      <c r="C6" s="16" t="n">
        <v>0.128562</v>
      </c>
      <c r="D6" s="12" t="inlineStr">
        <is>
          <t>alpha — speed of convergence towards the UFR</t>
        </is>
      </c>
    </row>
    <row r="7">
      <c r="B7" s="5" t="inlineStr">
        <is>
          <t>Observed maturities N</t>
        </is>
      </c>
      <c r="C7" s="11" t="n">
        <v>25</v>
      </c>
      <c r="D7" s="12" t="inlineStr">
        <is>
          <t>N — number of observed spot rates (Spot_Rates sheet)</t>
        </is>
      </c>
    </row>
    <row r="8">
      <c r="B8" s="5" t="inlineStr">
        <is>
          <t>Extrapolation horizon (years)</t>
        </is>
      </c>
      <c r="C8" s="11" t="n">
        <v>65</v>
      </c>
      <c r="D8" s="12" t="inlineStr">
        <is>
          <t>Length of the Wilson and Extrapolation grids (structural)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</cols>
  <sheetData>
    <row r="1">
      <c r="A1" s="3" t="inlineStr">
        <is>
          <t>Observed CHF spot rates (annual compound) — Switzerland EIOPA risk-free term structure as at 2019-05-31 (RFR_spot_no_VA), shipped with lifelib</t>
        </is>
      </c>
    </row>
    <row r="2">
      <c r="A2" s="10" t="inlineStr">
        <is>
          <t>i</t>
        </is>
      </c>
      <c r="B2" s="10" t="inlineStr">
        <is>
          <t>Maturity (years)</t>
        </is>
      </c>
      <c r="C2" s="10" t="inlineStr">
        <is>
          <t>Spot rate p.a.</t>
        </is>
      </c>
    </row>
    <row r="3">
      <c r="A3" s="17" t="inlineStr"/>
      <c r="B3" s="17" t="inlineStr">
        <is>
          <t>u</t>
        </is>
      </c>
      <c r="C3" s="17" t="inlineStr">
        <is>
          <t>spot_rates</t>
        </is>
      </c>
    </row>
    <row r="4">
      <c r="A4" s="7" t="n">
        <v>1</v>
      </c>
      <c r="B4" s="7" t="n">
        <v>1</v>
      </c>
      <c r="C4" s="18" t="n">
        <v>-0.008030000000000001</v>
      </c>
    </row>
    <row r="5">
      <c r="A5" s="7" t="n">
        <v>2</v>
      </c>
      <c r="B5" s="7" t="n">
        <v>2</v>
      </c>
      <c r="C5" s="18" t="n">
        <v>-0.00814</v>
      </c>
    </row>
    <row r="6">
      <c r="A6" s="7" t="n">
        <v>3</v>
      </c>
      <c r="B6" s="7" t="n">
        <v>3</v>
      </c>
      <c r="C6" s="18" t="n">
        <v>-0.00778</v>
      </c>
    </row>
    <row r="7">
      <c r="A7" s="7" t="n">
        <v>4</v>
      </c>
      <c r="B7" s="7" t="n">
        <v>4</v>
      </c>
      <c r="C7" s="18" t="n">
        <v>-0.00725</v>
      </c>
    </row>
    <row r="8">
      <c r="A8" s="7" t="n">
        <v>5</v>
      </c>
      <c r="B8" s="7" t="n">
        <v>5</v>
      </c>
      <c r="C8" s="18" t="n">
        <v>-0.00652</v>
      </c>
    </row>
    <row r="9">
      <c r="A9" s="7" t="n">
        <v>6</v>
      </c>
      <c r="B9" s="7" t="n">
        <v>6</v>
      </c>
      <c r="C9" s="18" t="n">
        <v>-0.00565</v>
      </c>
    </row>
    <row r="10">
      <c r="A10" s="7" t="n">
        <v>7</v>
      </c>
      <c r="B10" s="7" t="n">
        <v>7</v>
      </c>
      <c r="C10" s="18" t="n">
        <v>-0.0048</v>
      </c>
    </row>
    <row r="11">
      <c r="A11" s="7" t="n">
        <v>8</v>
      </c>
      <c r="B11" s="7" t="n">
        <v>8</v>
      </c>
      <c r="C11" s="18" t="n">
        <v>-0.00391</v>
      </c>
    </row>
    <row r="12">
      <c r="A12" s="7" t="n">
        <v>9</v>
      </c>
      <c r="B12" s="7" t="n">
        <v>9</v>
      </c>
      <c r="C12" s="18" t="n">
        <v>-0.00313</v>
      </c>
    </row>
    <row r="13">
      <c r="A13" s="7" t="n">
        <v>10</v>
      </c>
      <c r="B13" s="7" t="n">
        <v>10</v>
      </c>
      <c r="C13" s="18" t="n">
        <v>-0.00214</v>
      </c>
    </row>
    <row r="14">
      <c r="A14" s="7" t="n">
        <v>11</v>
      </c>
      <c r="B14" s="7" t="n">
        <v>11</v>
      </c>
      <c r="C14" s="18" t="n">
        <v>-0.0014</v>
      </c>
    </row>
    <row r="15">
      <c r="A15" s="7" t="n">
        <v>12</v>
      </c>
      <c r="B15" s="7" t="n">
        <v>12</v>
      </c>
      <c r="C15" s="18" t="n">
        <v>-0.00067</v>
      </c>
    </row>
    <row r="16">
      <c r="A16" s="7" t="n">
        <v>13</v>
      </c>
      <c r="B16" s="7" t="n">
        <v>13</v>
      </c>
      <c r="C16" s="18" t="n">
        <v>-8.000000000000001e-05</v>
      </c>
    </row>
    <row r="17">
      <c r="A17" s="7" t="n">
        <v>14</v>
      </c>
      <c r="B17" s="7" t="n">
        <v>14</v>
      </c>
      <c r="C17" s="18" t="n">
        <v>0.00051</v>
      </c>
    </row>
    <row r="18">
      <c r="A18" s="7" t="n">
        <v>15</v>
      </c>
      <c r="B18" s="7" t="n">
        <v>15</v>
      </c>
      <c r="C18" s="18" t="n">
        <v>0.00108</v>
      </c>
    </row>
    <row r="19">
      <c r="A19" s="7" t="n">
        <v>16</v>
      </c>
      <c r="B19" s="7" t="n">
        <v>16</v>
      </c>
      <c r="C19" s="18" t="n">
        <v>0.00157</v>
      </c>
    </row>
    <row r="20">
      <c r="A20" s="7" t="n">
        <v>17</v>
      </c>
      <c r="B20" s="7" t="n">
        <v>17</v>
      </c>
      <c r="C20" s="18" t="n">
        <v>0.00197</v>
      </c>
    </row>
    <row r="21">
      <c r="A21" s="7" t="n">
        <v>18</v>
      </c>
      <c r="B21" s="7" t="n">
        <v>18</v>
      </c>
      <c r="C21" s="18" t="n">
        <v>0.00228</v>
      </c>
    </row>
    <row r="22">
      <c r="A22" s="7" t="n">
        <v>19</v>
      </c>
      <c r="B22" s="7" t="n">
        <v>19</v>
      </c>
      <c r="C22" s="18" t="n">
        <v>0.0025</v>
      </c>
    </row>
    <row r="23">
      <c r="A23" s="7" t="n">
        <v>20</v>
      </c>
      <c r="B23" s="7" t="n">
        <v>20</v>
      </c>
      <c r="C23" s="18" t="n">
        <v>0.00264</v>
      </c>
    </row>
    <row r="24">
      <c r="A24" s="7" t="n">
        <v>21</v>
      </c>
      <c r="B24" s="7" t="n">
        <v>21</v>
      </c>
      <c r="C24" s="18" t="n">
        <v>0.00271</v>
      </c>
    </row>
    <row r="25">
      <c r="A25" s="7" t="n">
        <v>22</v>
      </c>
      <c r="B25" s="7" t="n">
        <v>22</v>
      </c>
      <c r="C25" s="18" t="n">
        <v>0.00274</v>
      </c>
    </row>
    <row r="26">
      <c r="A26" s="7" t="n">
        <v>23</v>
      </c>
      <c r="B26" s="7" t="n">
        <v>23</v>
      </c>
      <c r="C26" s="18" t="n">
        <v>0.0028</v>
      </c>
    </row>
    <row r="27">
      <c r="A27" s="7" t="n">
        <v>24</v>
      </c>
      <c r="B27" s="7" t="n">
        <v>24</v>
      </c>
      <c r="C27" s="18" t="n">
        <v>0.00291</v>
      </c>
    </row>
    <row r="28">
      <c r="A28" s="7" t="n">
        <v>25</v>
      </c>
      <c r="B28" s="7" t="n">
        <v>25</v>
      </c>
      <c r="C28" s="18" t="n">
        <v>0.00309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Z6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>
      <c r="A1" s="3" t="inlineStr">
        <is>
          <t>Wilson functions W(t, uj) — formula (2), QIS5 technical paper; rows t = 1 … 65, columns uj = observed maturities 1 … 25</t>
        </is>
      </c>
    </row>
    <row r="2">
      <c r="A2" s="10" t="inlineStr">
        <is>
          <t>t</t>
        </is>
      </c>
      <c r="B2" s="19" t="n">
        <v>1</v>
      </c>
      <c r="C2" s="19" t="n">
        <v>2</v>
      </c>
      <c r="D2" s="19" t="n">
        <v>3</v>
      </c>
      <c r="E2" s="19" t="n">
        <v>4</v>
      </c>
      <c r="F2" s="19" t="n">
        <v>5</v>
      </c>
      <c r="G2" s="19" t="n">
        <v>6</v>
      </c>
      <c r="H2" s="19" t="n">
        <v>7</v>
      </c>
      <c r="I2" s="19" t="n">
        <v>8</v>
      </c>
      <c r="J2" s="19" t="n">
        <v>9</v>
      </c>
      <c r="K2" s="19" t="n">
        <v>10</v>
      </c>
      <c r="L2" s="19" t="n">
        <v>11</v>
      </c>
      <c r="M2" s="19" t="n">
        <v>12</v>
      </c>
      <c r="N2" s="19" t="n">
        <v>13</v>
      </c>
      <c r="O2" s="19" t="n">
        <v>14</v>
      </c>
      <c r="P2" s="19" t="n">
        <v>15</v>
      </c>
      <c r="Q2" s="19" t="n">
        <v>16</v>
      </c>
      <c r="R2" s="19" t="n">
        <v>17</v>
      </c>
      <c r="S2" s="19" t="n">
        <v>18</v>
      </c>
      <c r="T2" s="19" t="n">
        <v>19</v>
      </c>
      <c r="U2" s="19" t="n">
        <v>20</v>
      </c>
      <c r="V2" s="19" t="n">
        <v>21</v>
      </c>
      <c r="W2" s="19" t="n">
        <v>22</v>
      </c>
      <c r="X2" s="19" t="n">
        <v>23</v>
      </c>
      <c r="Y2" s="19" t="n">
        <v>24</v>
      </c>
      <c r="Z2" s="19" t="n">
        <v>25</v>
      </c>
    </row>
    <row r="3">
      <c r="A3" s="17" t="inlineStr">
        <is>
          <t>u</t>
        </is>
      </c>
      <c r="B3" s="17" t="inlineStr">
        <is>
          <t>W</t>
        </is>
      </c>
      <c r="C3" s="17" t="inlineStr">
        <is>
          <t>W</t>
        </is>
      </c>
      <c r="D3" s="17" t="inlineStr">
        <is>
          <t>W</t>
        </is>
      </c>
      <c r="E3" s="17" t="inlineStr">
        <is>
          <t>W</t>
        </is>
      </c>
      <c r="F3" s="17" t="inlineStr">
        <is>
          <t>W</t>
        </is>
      </c>
      <c r="G3" s="17" t="inlineStr">
        <is>
          <t>W</t>
        </is>
      </c>
      <c r="H3" s="17" t="inlineStr">
        <is>
          <t>W</t>
        </is>
      </c>
      <c r="I3" s="17" t="inlineStr">
        <is>
          <t>W</t>
        </is>
      </c>
      <c r="J3" s="17" t="inlineStr">
        <is>
          <t>W</t>
        </is>
      </c>
      <c r="K3" s="17" t="inlineStr">
        <is>
          <t>W</t>
        </is>
      </c>
      <c r="L3" s="17" t="inlineStr">
        <is>
          <t>W</t>
        </is>
      </c>
      <c r="M3" s="17" t="inlineStr">
        <is>
          <t>W</t>
        </is>
      </c>
      <c r="N3" s="17" t="inlineStr">
        <is>
          <t>W</t>
        </is>
      </c>
      <c r="O3" s="17" t="inlineStr">
        <is>
          <t>W</t>
        </is>
      </c>
      <c r="P3" s="17" t="inlineStr">
        <is>
          <t>W</t>
        </is>
      </c>
      <c r="Q3" s="17" t="inlineStr">
        <is>
          <t>W</t>
        </is>
      </c>
      <c r="R3" s="17" t="inlineStr">
        <is>
          <t>W</t>
        </is>
      </c>
      <c r="S3" s="17" t="inlineStr">
        <is>
          <t>W</t>
        </is>
      </c>
      <c r="T3" s="17" t="inlineStr">
        <is>
          <t>W</t>
        </is>
      </c>
      <c r="U3" s="17" t="inlineStr">
        <is>
          <t>W</t>
        </is>
      </c>
      <c r="V3" s="17" t="inlineStr">
        <is>
          <t>W</t>
        </is>
      </c>
      <c r="W3" s="17" t="inlineStr">
        <is>
          <t>W</t>
        </is>
      </c>
      <c r="X3" s="17" t="inlineStr">
        <is>
          <t>W</t>
        </is>
      </c>
      <c r="Y3" s="17" t="inlineStr">
        <is>
          <t>W</t>
        </is>
      </c>
      <c r="Z3" s="17" t="inlineStr">
        <is>
          <t>W</t>
        </is>
      </c>
    </row>
    <row r="4">
      <c r="A4" s="20" t="n">
        <v>1</v>
      </c>
      <c r="B4" s="21">
        <f>EXP(-UFR*($A4+B$2))*(Alpha*MIN($A4,B$2)-0.5*EXP(-Alpha*MAX($A4,B$2))*(EXP(Alpha*MIN($A4,B$2))-EXP(-Alpha*MIN($A4,B$2))))</f>
        <v/>
      </c>
      <c r="C4" s="21">
        <f>EXP(-UFR*($A4+C$2))*(Alpha*MIN($A4,C$2)-0.5*EXP(-Alpha*MAX($A4,C$2))*(EXP(Alpha*MIN($A4,C$2))-EXP(-Alpha*MIN($A4,C$2))))</f>
        <v/>
      </c>
      <c r="D4" s="21">
        <f>EXP(-UFR*($A4+D$2))*(Alpha*MIN($A4,D$2)-0.5*EXP(-Alpha*MAX($A4,D$2))*(EXP(Alpha*MIN($A4,D$2))-EXP(-Alpha*MIN($A4,D$2))))</f>
        <v/>
      </c>
      <c r="E4" s="21">
        <f>EXP(-UFR*($A4+E$2))*(Alpha*MIN($A4,E$2)-0.5*EXP(-Alpha*MAX($A4,E$2))*(EXP(Alpha*MIN($A4,E$2))-EXP(-Alpha*MIN($A4,E$2))))</f>
        <v/>
      </c>
      <c r="F4" s="21">
        <f>EXP(-UFR*($A4+F$2))*(Alpha*MIN($A4,F$2)-0.5*EXP(-Alpha*MAX($A4,F$2))*(EXP(Alpha*MIN($A4,F$2))-EXP(-Alpha*MIN($A4,F$2))))</f>
        <v/>
      </c>
      <c r="G4" s="21">
        <f>EXP(-UFR*($A4+G$2))*(Alpha*MIN($A4,G$2)-0.5*EXP(-Alpha*MAX($A4,G$2))*(EXP(Alpha*MIN($A4,G$2))-EXP(-Alpha*MIN($A4,G$2))))</f>
        <v/>
      </c>
      <c r="H4" s="21">
        <f>EXP(-UFR*($A4+H$2))*(Alpha*MIN($A4,H$2)-0.5*EXP(-Alpha*MAX($A4,H$2))*(EXP(Alpha*MIN($A4,H$2))-EXP(-Alpha*MIN($A4,H$2))))</f>
        <v/>
      </c>
      <c r="I4" s="21">
        <f>EXP(-UFR*($A4+I$2))*(Alpha*MIN($A4,I$2)-0.5*EXP(-Alpha*MAX($A4,I$2))*(EXP(Alpha*MIN($A4,I$2))-EXP(-Alpha*MIN($A4,I$2))))</f>
        <v/>
      </c>
      <c r="J4" s="21">
        <f>EXP(-UFR*($A4+J$2))*(Alpha*MIN($A4,J$2)-0.5*EXP(-Alpha*MAX($A4,J$2))*(EXP(Alpha*MIN($A4,J$2))-EXP(-Alpha*MIN($A4,J$2))))</f>
        <v/>
      </c>
      <c r="K4" s="21">
        <f>EXP(-UFR*($A4+K$2))*(Alpha*MIN($A4,K$2)-0.5*EXP(-Alpha*MAX($A4,K$2))*(EXP(Alpha*MIN($A4,K$2))-EXP(-Alpha*MIN($A4,K$2))))</f>
        <v/>
      </c>
      <c r="L4" s="21">
        <f>EXP(-UFR*($A4+L$2))*(Alpha*MIN($A4,L$2)-0.5*EXP(-Alpha*MAX($A4,L$2))*(EXP(Alpha*MIN($A4,L$2))-EXP(-Alpha*MIN($A4,L$2))))</f>
        <v/>
      </c>
      <c r="M4" s="21">
        <f>EXP(-UFR*($A4+M$2))*(Alpha*MIN($A4,M$2)-0.5*EXP(-Alpha*MAX($A4,M$2))*(EXP(Alpha*MIN($A4,M$2))-EXP(-Alpha*MIN($A4,M$2))))</f>
        <v/>
      </c>
      <c r="N4" s="21">
        <f>EXP(-UFR*($A4+N$2))*(Alpha*MIN($A4,N$2)-0.5*EXP(-Alpha*MAX($A4,N$2))*(EXP(Alpha*MIN($A4,N$2))-EXP(-Alpha*MIN($A4,N$2))))</f>
        <v/>
      </c>
      <c r="O4" s="21">
        <f>EXP(-UFR*($A4+O$2))*(Alpha*MIN($A4,O$2)-0.5*EXP(-Alpha*MAX($A4,O$2))*(EXP(Alpha*MIN($A4,O$2))-EXP(-Alpha*MIN($A4,O$2))))</f>
        <v/>
      </c>
      <c r="P4" s="21">
        <f>EXP(-UFR*($A4+P$2))*(Alpha*MIN($A4,P$2)-0.5*EXP(-Alpha*MAX($A4,P$2))*(EXP(Alpha*MIN($A4,P$2))-EXP(-Alpha*MIN($A4,P$2))))</f>
        <v/>
      </c>
      <c r="Q4" s="21">
        <f>EXP(-UFR*($A4+Q$2))*(Alpha*MIN($A4,Q$2)-0.5*EXP(-Alpha*MAX($A4,Q$2))*(EXP(Alpha*MIN($A4,Q$2))-EXP(-Alpha*MIN($A4,Q$2))))</f>
        <v/>
      </c>
      <c r="R4" s="21">
        <f>EXP(-UFR*($A4+R$2))*(Alpha*MIN($A4,R$2)-0.5*EXP(-Alpha*MAX($A4,R$2))*(EXP(Alpha*MIN($A4,R$2))-EXP(-Alpha*MIN($A4,R$2))))</f>
        <v/>
      </c>
      <c r="S4" s="21">
        <f>EXP(-UFR*($A4+S$2))*(Alpha*MIN($A4,S$2)-0.5*EXP(-Alpha*MAX($A4,S$2))*(EXP(Alpha*MIN($A4,S$2))-EXP(-Alpha*MIN($A4,S$2))))</f>
        <v/>
      </c>
      <c r="T4" s="21">
        <f>EXP(-UFR*($A4+T$2))*(Alpha*MIN($A4,T$2)-0.5*EXP(-Alpha*MAX($A4,T$2))*(EXP(Alpha*MIN($A4,T$2))-EXP(-Alpha*MIN($A4,T$2))))</f>
        <v/>
      </c>
      <c r="U4" s="21">
        <f>EXP(-UFR*($A4+U$2))*(Alpha*MIN($A4,U$2)-0.5*EXP(-Alpha*MAX($A4,U$2))*(EXP(Alpha*MIN($A4,U$2))-EXP(-Alpha*MIN($A4,U$2))))</f>
        <v/>
      </c>
      <c r="V4" s="21">
        <f>EXP(-UFR*($A4+V$2))*(Alpha*MIN($A4,V$2)-0.5*EXP(-Alpha*MAX($A4,V$2))*(EXP(Alpha*MIN($A4,V$2))-EXP(-Alpha*MIN($A4,V$2))))</f>
        <v/>
      </c>
      <c r="W4" s="21">
        <f>EXP(-UFR*($A4+W$2))*(Alpha*MIN($A4,W$2)-0.5*EXP(-Alpha*MAX($A4,W$2))*(EXP(Alpha*MIN($A4,W$2))-EXP(-Alpha*MIN($A4,W$2))))</f>
        <v/>
      </c>
      <c r="X4" s="21">
        <f>EXP(-UFR*($A4+X$2))*(Alpha*MIN($A4,X$2)-0.5*EXP(-Alpha*MAX($A4,X$2))*(EXP(Alpha*MIN($A4,X$2))-EXP(-Alpha*MIN($A4,X$2))))</f>
        <v/>
      </c>
      <c r="Y4" s="21">
        <f>EXP(-UFR*($A4+Y$2))*(Alpha*MIN($A4,Y$2)-0.5*EXP(-Alpha*MAX($A4,Y$2))*(EXP(Alpha*MIN($A4,Y$2))-EXP(-Alpha*MIN($A4,Y$2))))</f>
        <v/>
      </c>
      <c r="Z4" s="21">
        <f>EXP(-UFR*($A4+Z$2))*(Alpha*MIN($A4,Z$2)-0.5*EXP(-Alpha*MAX($A4,Z$2))*(EXP(Alpha*MIN($A4,Z$2))-EXP(-Alpha*MIN($A4,Z$2))))</f>
        <v/>
      </c>
    </row>
    <row r="5">
      <c r="A5" s="20">
        <f>A4+1</f>
        <v/>
      </c>
      <c r="B5" s="21">
        <f>EXP(-UFR*($A5+B$2))*(Alpha*MIN($A5,B$2)-0.5*EXP(-Alpha*MAX($A5,B$2))*(EXP(Alpha*MIN($A5,B$2))-EXP(-Alpha*MIN($A5,B$2))))</f>
        <v/>
      </c>
      <c r="C5" s="21">
        <f>EXP(-UFR*($A5+C$2))*(Alpha*MIN($A5,C$2)-0.5*EXP(-Alpha*MAX($A5,C$2))*(EXP(Alpha*MIN($A5,C$2))-EXP(-Alpha*MIN($A5,C$2))))</f>
        <v/>
      </c>
      <c r="D5" s="21">
        <f>EXP(-UFR*($A5+D$2))*(Alpha*MIN($A5,D$2)-0.5*EXP(-Alpha*MAX($A5,D$2))*(EXP(Alpha*MIN($A5,D$2))-EXP(-Alpha*MIN($A5,D$2))))</f>
        <v/>
      </c>
      <c r="E5" s="21">
        <f>EXP(-UFR*($A5+E$2))*(Alpha*MIN($A5,E$2)-0.5*EXP(-Alpha*MAX($A5,E$2))*(EXP(Alpha*MIN($A5,E$2))-EXP(-Alpha*MIN($A5,E$2))))</f>
        <v/>
      </c>
      <c r="F5" s="21">
        <f>EXP(-UFR*($A5+F$2))*(Alpha*MIN($A5,F$2)-0.5*EXP(-Alpha*MAX($A5,F$2))*(EXP(Alpha*MIN($A5,F$2))-EXP(-Alpha*MIN($A5,F$2))))</f>
        <v/>
      </c>
      <c r="G5" s="21">
        <f>EXP(-UFR*($A5+G$2))*(Alpha*MIN($A5,G$2)-0.5*EXP(-Alpha*MAX($A5,G$2))*(EXP(Alpha*MIN($A5,G$2))-EXP(-Alpha*MIN($A5,G$2))))</f>
        <v/>
      </c>
      <c r="H5" s="21">
        <f>EXP(-UFR*($A5+H$2))*(Alpha*MIN($A5,H$2)-0.5*EXP(-Alpha*MAX($A5,H$2))*(EXP(Alpha*MIN($A5,H$2))-EXP(-Alpha*MIN($A5,H$2))))</f>
        <v/>
      </c>
      <c r="I5" s="21">
        <f>EXP(-UFR*($A5+I$2))*(Alpha*MIN($A5,I$2)-0.5*EXP(-Alpha*MAX($A5,I$2))*(EXP(Alpha*MIN($A5,I$2))-EXP(-Alpha*MIN($A5,I$2))))</f>
        <v/>
      </c>
      <c r="J5" s="21">
        <f>EXP(-UFR*($A5+J$2))*(Alpha*MIN($A5,J$2)-0.5*EXP(-Alpha*MAX($A5,J$2))*(EXP(Alpha*MIN($A5,J$2))-EXP(-Alpha*MIN($A5,J$2))))</f>
        <v/>
      </c>
      <c r="K5" s="21">
        <f>EXP(-UFR*($A5+K$2))*(Alpha*MIN($A5,K$2)-0.5*EXP(-Alpha*MAX($A5,K$2))*(EXP(Alpha*MIN($A5,K$2))-EXP(-Alpha*MIN($A5,K$2))))</f>
        <v/>
      </c>
      <c r="L5" s="21">
        <f>EXP(-UFR*($A5+L$2))*(Alpha*MIN($A5,L$2)-0.5*EXP(-Alpha*MAX($A5,L$2))*(EXP(Alpha*MIN($A5,L$2))-EXP(-Alpha*MIN($A5,L$2))))</f>
        <v/>
      </c>
      <c r="M5" s="21">
        <f>EXP(-UFR*($A5+M$2))*(Alpha*MIN($A5,M$2)-0.5*EXP(-Alpha*MAX($A5,M$2))*(EXP(Alpha*MIN($A5,M$2))-EXP(-Alpha*MIN($A5,M$2))))</f>
        <v/>
      </c>
      <c r="N5" s="21">
        <f>EXP(-UFR*($A5+N$2))*(Alpha*MIN($A5,N$2)-0.5*EXP(-Alpha*MAX($A5,N$2))*(EXP(Alpha*MIN($A5,N$2))-EXP(-Alpha*MIN($A5,N$2))))</f>
        <v/>
      </c>
      <c r="O5" s="21">
        <f>EXP(-UFR*($A5+O$2))*(Alpha*MIN($A5,O$2)-0.5*EXP(-Alpha*MAX($A5,O$2))*(EXP(Alpha*MIN($A5,O$2))-EXP(-Alpha*MIN($A5,O$2))))</f>
        <v/>
      </c>
      <c r="P5" s="21">
        <f>EXP(-UFR*($A5+P$2))*(Alpha*MIN($A5,P$2)-0.5*EXP(-Alpha*MAX($A5,P$2))*(EXP(Alpha*MIN($A5,P$2))-EXP(-Alpha*MIN($A5,P$2))))</f>
        <v/>
      </c>
      <c r="Q5" s="21">
        <f>EXP(-UFR*($A5+Q$2))*(Alpha*MIN($A5,Q$2)-0.5*EXP(-Alpha*MAX($A5,Q$2))*(EXP(Alpha*MIN($A5,Q$2))-EXP(-Alpha*MIN($A5,Q$2))))</f>
        <v/>
      </c>
      <c r="R5" s="21">
        <f>EXP(-UFR*($A5+R$2))*(Alpha*MIN($A5,R$2)-0.5*EXP(-Alpha*MAX($A5,R$2))*(EXP(Alpha*MIN($A5,R$2))-EXP(-Alpha*MIN($A5,R$2))))</f>
        <v/>
      </c>
      <c r="S5" s="21">
        <f>EXP(-UFR*($A5+S$2))*(Alpha*MIN($A5,S$2)-0.5*EXP(-Alpha*MAX($A5,S$2))*(EXP(Alpha*MIN($A5,S$2))-EXP(-Alpha*MIN($A5,S$2))))</f>
        <v/>
      </c>
      <c r="T5" s="21">
        <f>EXP(-UFR*($A5+T$2))*(Alpha*MIN($A5,T$2)-0.5*EXP(-Alpha*MAX($A5,T$2))*(EXP(Alpha*MIN($A5,T$2))-EXP(-Alpha*MIN($A5,T$2))))</f>
        <v/>
      </c>
      <c r="U5" s="21">
        <f>EXP(-UFR*($A5+U$2))*(Alpha*MIN($A5,U$2)-0.5*EXP(-Alpha*MAX($A5,U$2))*(EXP(Alpha*MIN($A5,U$2))-EXP(-Alpha*MIN($A5,U$2))))</f>
        <v/>
      </c>
      <c r="V5" s="21">
        <f>EXP(-UFR*($A5+V$2))*(Alpha*MIN($A5,V$2)-0.5*EXP(-Alpha*MAX($A5,V$2))*(EXP(Alpha*MIN($A5,V$2))-EXP(-Alpha*MIN($A5,V$2))))</f>
        <v/>
      </c>
      <c r="W5" s="21">
        <f>EXP(-UFR*($A5+W$2))*(Alpha*MIN($A5,W$2)-0.5*EXP(-Alpha*MAX($A5,W$2))*(EXP(Alpha*MIN($A5,W$2))-EXP(-Alpha*MIN($A5,W$2))))</f>
        <v/>
      </c>
      <c r="X5" s="21">
        <f>EXP(-UFR*($A5+X$2))*(Alpha*MIN($A5,X$2)-0.5*EXP(-Alpha*MAX($A5,X$2))*(EXP(Alpha*MIN($A5,X$2))-EXP(-Alpha*MIN($A5,X$2))))</f>
        <v/>
      </c>
      <c r="Y5" s="21">
        <f>EXP(-UFR*($A5+Y$2))*(Alpha*MIN($A5,Y$2)-0.5*EXP(-Alpha*MAX($A5,Y$2))*(EXP(Alpha*MIN($A5,Y$2))-EXP(-Alpha*MIN($A5,Y$2))))</f>
        <v/>
      </c>
      <c r="Z5" s="21">
        <f>EXP(-UFR*($A5+Z$2))*(Alpha*MIN($A5,Z$2)-0.5*EXP(-Alpha*MAX($A5,Z$2))*(EXP(Alpha*MIN($A5,Z$2))-EXP(-Alpha*MIN($A5,Z$2))))</f>
        <v/>
      </c>
    </row>
    <row r="6">
      <c r="A6" s="20">
        <f>A5+1</f>
        <v/>
      </c>
      <c r="B6" s="21">
        <f>EXP(-UFR*($A6+B$2))*(Alpha*MIN($A6,B$2)-0.5*EXP(-Alpha*MAX($A6,B$2))*(EXP(Alpha*MIN($A6,B$2))-EXP(-Alpha*MIN($A6,B$2))))</f>
        <v/>
      </c>
      <c r="C6" s="21">
        <f>EXP(-UFR*($A6+C$2))*(Alpha*MIN($A6,C$2)-0.5*EXP(-Alpha*MAX($A6,C$2))*(EXP(Alpha*MIN($A6,C$2))-EXP(-Alpha*MIN($A6,C$2))))</f>
        <v/>
      </c>
      <c r="D6" s="21">
        <f>EXP(-UFR*($A6+D$2))*(Alpha*MIN($A6,D$2)-0.5*EXP(-Alpha*MAX($A6,D$2))*(EXP(Alpha*MIN($A6,D$2))-EXP(-Alpha*MIN($A6,D$2))))</f>
        <v/>
      </c>
      <c r="E6" s="21">
        <f>EXP(-UFR*($A6+E$2))*(Alpha*MIN($A6,E$2)-0.5*EXP(-Alpha*MAX($A6,E$2))*(EXP(Alpha*MIN($A6,E$2))-EXP(-Alpha*MIN($A6,E$2))))</f>
        <v/>
      </c>
      <c r="F6" s="21">
        <f>EXP(-UFR*($A6+F$2))*(Alpha*MIN($A6,F$2)-0.5*EXP(-Alpha*MAX($A6,F$2))*(EXP(Alpha*MIN($A6,F$2))-EXP(-Alpha*MIN($A6,F$2))))</f>
        <v/>
      </c>
      <c r="G6" s="21">
        <f>EXP(-UFR*($A6+G$2))*(Alpha*MIN($A6,G$2)-0.5*EXP(-Alpha*MAX($A6,G$2))*(EXP(Alpha*MIN($A6,G$2))-EXP(-Alpha*MIN($A6,G$2))))</f>
        <v/>
      </c>
      <c r="H6" s="21">
        <f>EXP(-UFR*($A6+H$2))*(Alpha*MIN($A6,H$2)-0.5*EXP(-Alpha*MAX($A6,H$2))*(EXP(Alpha*MIN($A6,H$2))-EXP(-Alpha*MIN($A6,H$2))))</f>
        <v/>
      </c>
      <c r="I6" s="21">
        <f>EXP(-UFR*($A6+I$2))*(Alpha*MIN($A6,I$2)-0.5*EXP(-Alpha*MAX($A6,I$2))*(EXP(Alpha*MIN($A6,I$2))-EXP(-Alpha*MIN($A6,I$2))))</f>
        <v/>
      </c>
      <c r="J6" s="21">
        <f>EXP(-UFR*($A6+J$2))*(Alpha*MIN($A6,J$2)-0.5*EXP(-Alpha*MAX($A6,J$2))*(EXP(Alpha*MIN($A6,J$2))-EXP(-Alpha*MIN($A6,J$2))))</f>
        <v/>
      </c>
      <c r="K6" s="21">
        <f>EXP(-UFR*($A6+K$2))*(Alpha*MIN($A6,K$2)-0.5*EXP(-Alpha*MAX($A6,K$2))*(EXP(Alpha*MIN($A6,K$2))-EXP(-Alpha*MIN($A6,K$2))))</f>
        <v/>
      </c>
      <c r="L6" s="21">
        <f>EXP(-UFR*($A6+L$2))*(Alpha*MIN($A6,L$2)-0.5*EXP(-Alpha*MAX($A6,L$2))*(EXP(Alpha*MIN($A6,L$2))-EXP(-Alpha*MIN($A6,L$2))))</f>
        <v/>
      </c>
      <c r="M6" s="21">
        <f>EXP(-UFR*($A6+M$2))*(Alpha*MIN($A6,M$2)-0.5*EXP(-Alpha*MAX($A6,M$2))*(EXP(Alpha*MIN($A6,M$2))-EXP(-Alpha*MIN($A6,M$2))))</f>
        <v/>
      </c>
      <c r="N6" s="21">
        <f>EXP(-UFR*($A6+N$2))*(Alpha*MIN($A6,N$2)-0.5*EXP(-Alpha*MAX($A6,N$2))*(EXP(Alpha*MIN($A6,N$2))-EXP(-Alpha*MIN($A6,N$2))))</f>
        <v/>
      </c>
      <c r="O6" s="21">
        <f>EXP(-UFR*($A6+O$2))*(Alpha*MIN($A6,O$2)-0.5*EXP(-Alpha*MAX($A6,O$2))*(EXP(Alpha*MIN($A6,O$2))-EXP(-Alpha*MIN($A6,O$2))))</f>
        <v/>
      </c>
      <c r="P6" s="21">
        <f>EXP(-UFR*($A6+P$2))*(Alpha*MIN($A6,P$2)-0.5*EXP(-Alpha*MAX($A6,P$2))*(EXP(Alpha*MIN($A6,P$2))-EXP(-Alpha*MIN($A6,P$2))))</f>
        <v/>
      </c>
      <c r="Q6" s="21">
        <f>EXP(-UFR*($A6+Q$2))*(Alpha*MIN($A6,Q$2)-0.5*EXP(-Alpha*MAX($A6,Q$2))*(EXP(Alpha*MIN($A6,Q$2))-EXP(-Alpha*MIN($A6,Q$2))))</f>
        <v/>
      </c>
      <c r="R6" s="21">
        <f>EXP(-UFR*($A6+R$2))*(Alpha*MIN($A6,R$2)-0.5*EXP(-Alpha*MAX($A6,R$2))*(EXP(Alpha*MIN($A6,R$2))-EXP(-Alpha*MIN($A6,R$2))))</f>
        <v/>
      </c>
      <c r="S6" s="21">
        <f>EXP(-UFR*($A6+S$2))*(Alpha*MIN($A6,S$2)-0.5*EXP(-Alpha*MAX($A6,S$2))*(EXP(Alpha*MIN($A6,S$2))-EXP(-Alpha*MIN($A6,S$2))))</f>
        <v/>
      </c>
      <c r="T6" s="21">
        <f>EXP(-UFR*($A6+T$2))*(Alpha*MIN($A6,T$2)-0.5*EXP(-Alpha*MAX($A6,T$2))*(EXP(Alpha*MIN($A6,T$2))-EXP(-Alpha*MIN($A6,T$2))))</f>
        <v/>
      </c>
      <c r="U6" s="21">
        <f>EXP(-UFR*($A6+U$2))*(Alpha*MIN($A6,U$2)-0.5*EXP(-Alpha*MAX($A6,U$2))*(EXP(Alpha*MIN($A6,U$2))-EXP(-Alpha*MIN($A6,U$2))))</f>
        <v/>
      </c>
      <c r="V6" s="21">
        <f>EXP(-UFR*($A6+V$2))*(Alpha*MIN($A6,V$2)-0.5*EXP(-Alpha*MAX($A6,V$2))*(EXP(Alpha*MIN($A6,V$2))-EXP(-Alpha*MIN($A6,V$2))))</f>
        <v/>
      </c>
      <c r="W6" s="21">
        <f>EXP(-UFR*($A6+W$2))*(Alpha*MIN($A6,W$2)-0.5*EXP(-Alpha*MAX($A6,W$2))*(EXP(Alpha*MIN($A6,W$2))-EXP(-Alpha*MIN($A6,W$2))))</f>
        <v/>
      </c>
      <c r="X6" s="21">
        <f>EXP(-UFR*($A6+X$2))*(Alpha*MIN($A6,X$2)-0.5*EXP(-Alpha*MAX($A6,X$2))*(EXP(Alpha*MIN($A6,X$2))-EXP(-Alpha*MIN($A6,X$2))))</f>
        <v/>
      </c>
      <c r="Y6" s="21">
        <f>EXP(-UFR*($A6+Y$2))*(Alpha*MIN($A6,Y$2)-0.5*EXP(-Alpha*MAX($A6,Y$2))*(EXP(Alpha*MIN($A6,Y$2))-EXP(-Alpha*MIN($A6,Y$2))))</f>
        <v/>
      </c>
      <c r="Z6" s="21">
        <f>EXP(-UFR*($A6+Z$2))*(Alpha*MIN($A6,Z$2)-0.5*EXP(-Alpha*MAX($A6,Z$2))*(EXP(Alpha*MIN($A6,Z$2))-EXP(-Alpha*MIN($A6,Z$2))))</f>
        <v/>
      </c>
    </row>
    <row r="7">
      <c r="A7" s="20">
        <f>A6+1</f>
        <v/>
      </c>
      <c r="B7" s="21">
        <f>EXP(-UFR*($A7+B$2))*(Alpha*MIN($A7,B$2)-0.5*EXP(-Alpha*MAX($A7,B$2))*(EXP(Alpha*MIN($A7,B$2))-EXP(-Alpha*MIN($A7,B$2))))</f>
        <v/>
      </c>
      <c r="C7" s="21">
        <f>EXP(-UFR*($A7+C$2))*(Alpha*MIN($A7,C$2)-0.5*EXP(-Alpha*MAX($A7,C$2))*(EXP(Alpha*MIN($A7,C$2))-EXP(-Alpha*MIN($A7,C$2))))</f>
        <v/>
      </c>
      <c r="D7" s="21">
        <f>EXP(-UFR*($A7+D$2))*(Alpha*MIN($A7,D$2)-0.5*EXP(-Alpha*MAX($A7,D$2))*(EXP(Alpha*MIN($A7,D$2))-EXP(-Alpha*MIN($A7,D$2))))</f>
        <v/>
      </c>
      <c r="E7" s="21">
        <f>EXP(-UFR*($A7+E$2))*(Alpha*MIN($A7,E$2)-0.5*EXP(-Alpha*MAX($A7,E$2))*(EXP(Alpha*MIN($A7,E$2))-EXP(-Alpha*MIN($A7,E$2))))</f>
        <v/>
      </c>
      <c r="F7" s="21">
        <f>EXP(-UFR*($A7+F$2))*(Alpha*MIN($A7,F$2)-0.5*EXP(-Alpha*MAX($A7,F$2))*(EXP(Alpha*MIN($A7,F$2))-EXP(-Alpha*MIN($A7,F$2))))</f>
        <v/>
      </c>
      <c r="G7" s="21">
        <f>EXP(-UFR*($A7+G$2))*(Alpha*MIN($A7,G$2)-0.5*EXP(-Alpha*MAX($A7,G$2))*(EXP(Alpha*MIN($A7,G$2))-EXP(-Alpha*MIN($A7,G$2))))</f>
        <v/>
      </c>
      <c r="H7" s="21">
        <f>EXP(-UFR*($A7+H$2))*(Alpha*MIN($A7,H$2)-0.5*EXP(-Alpha*MAX($A7,H$2))*(EXP(Alpha*MIN($A7,H$2))-EXP(-Alpha*MIN($A7,H$2))))</f>
        <v/>
      </c>
      <c r="I7" s="21">
        <f>EXP(-UFR*($A7+I$2))*(Alpha*MIN($A7,I$2)-0.5*EXP(-Alpha*MAX($A7,I$2))*(EXP(Alpha*MIN($A7,I$2))-EXP(-Alpha*MIN($A7,I$2))))</f>
        <v/>
      </c>
      <c r="J7" s="21">
        <f>EXP(-UFR*($A7+J$2))*(Alpha*MIN($A7,J$2)-0.5*EXP(-Alpha*MAX($A7,J$2))*(EXP(Alpha*MIN($A7,J$2))-EXP(-Alpha*MIN($A7,J$2))))</f>
        <v/>
      </c>
      <c r="K7" s="21">
        <f>EXP(-UFR*($A7+K$2))*(Alpha*MIN($A7,K$2)-0.5*EXP(-Alpha*MAX($A7,K$2))*(EXP(Alpha*MIN($A7,K$2))-EXP(-Alpha*MIN($A7,K$2))))</f>
        <v/>
      </c>
      <c r="L7" s="21">
        <f>EXP(-UFR*($A7+L$2))*(Alpha*MIN($A7,L$2)-0.5*EXP(-Alpha*MAX($A7,L$2))*(EXP(Alpha*MIN($A7,L$2))-EXP(-Alpha*MIN($A7,L$2))))</f>
        <v/>
      </c>
      <c r="M7" s="21">
        <f>EXP(-UFR*($A7+M$2))*(Alpha*MIN($A7,M$2)-0.5*EXP(-Alpha*MAX($A7,M$2))*(EXP(Alpha*MIN($A7,M$2))-EXP(-Alpha*MIN($A7,M$2))))</f>
        <v/>
      </c>
      <c r="N7" s="21">
        <f>EXP(-UFR*($A7+N$2))*(Alpha*MIN($A7,N$2)-0.5*EXP(-Alpha*MAX($A7,N$2))*(EXP(Alpha*MIN($A7,N$2))-EXP(-Alpha*MIN($A7,N$2))))</f>
        <v/>
      </c>
      <c r="O7" s="21">
        <f>EXP(-UFR*($A7+O$2))*(Alpha*MIN($A7,O$2)-0.5*EXP(-Alpha*MAX($A7,O$2))*(EXP(Alpha*MIN($A7,O$2))-EXP(-Alpha*MIN($A7,O$2))))</f>
        <v/>
      </c>
      <c r="P7" s="21">
        <f>EXP(-UFR*($A7+P$2))*(Alpha*MIN($A7,P$2)-0.5*EXP(-Alpha*MAX($A7,P$2))*(EXP(Alpha*MIN($A7,P$2))-EXP(-Alpha*MIN($A7,P$2))))</f>
        <v/>
      </c>
      <c r="Q7" s="21">
        <f>EXP(-UFR*($A7+Q$2))*(Alpha*MIN($A7,Q$2)-0.5*EXP(-Alpha*MAX($A7,Q$2))*(EXP(Alpha*MIN($A7,Q$2))-EXP(-Alpha*MIN($A7,Q$2))))</f>
        <v/>
      </c>
      <c r="R7" s="21">
        <f>EXP(-UFR*($A7+R$2))*(Alpha*MIN($A7,R$2)-0.5*EXP(-Alpha*MAX($A7,R$2))*(EXP(Alpha*MIN($A7,R$2))-EXP(-Alpha*MIN($A7,R$2))))</f>
        <v/>
      </c>
      <c r="S7" s="21">
        <f>EXP(-UFR*($A7+S$2))*(Alpha*MIN($A7,S$2)-0.5*EXP(-Alpha*MAX($A7,S$2))*(EXP(Alpha*MIN($A7,S$2))-EXP(-Alpha*MIN($A7,S$2))))</f>
        <v/>
      </c>
      <c r="T7" s="21">
        <f>EXP(-UFR*($A7+T$2))*(Alpha*MIN($A7,T$2)-0.5*EXP(-Alpha*MAX($A7,T$2))*(EXP(Alpha*MIN($A7,T$2))-EXP(-Alpha*MIN($A7,T$2))))</f>
        <v/>
      </c>
      <c r="U7" s="21">
        <f>EXP(-UFR*($A7+U$2))*(Alpha*MIN($A7,U$2)-0.5*EXP(-Alpha*MAX($A7,U$2))*(EXP(Alpha*MIN($A7,U$2))-EXP(-Alpha*MIN($A7,U$2))))</f>
        <v/>
      </c>
      <c r="V7" s="21">
        <f>EXP(-UFR*($A7+V$2))*(Alpha*MIN($A7,V$2)-0.5*EXP(-Alpha*MAX($A7,V$2))*(EXP(Alpha*MIN($A7,V$2))-EXP(-Alpha*MIN($A7,V$2))))</f>
        <v/>
      </c>
      <c r="W7" s="21">
        <f>EXP(-UFR*($A7+W$2))*(Alpha*MIN($A7,W$2)-0.5*EXP(-Alpha*MAX($A7,W$2))*(EXP(Alpha*MIN($A7,W$2))-EXP(-Alpha*MIN($A7,W$2))))</f>
        <v/>
      </c>
      <c r="X7" s="21">
        <f>EXP(-UFR*($A7+X$2))*(Alpha*MIN($A7,X$2)-0.5*EXP(-Alpha*MAX($A7,X$2))*(EXP(Alpha*MIN($A7,X$2))-EXP(-Alpha*MIN($A7,X$2))))</f>
        <v/>
      </c>
      <c r="Y7" s="21">
        <f>EXP(-UFR*($A7+Y$2))*(Alpha*MIN($A7,Y$2)-0.5*EXP(-Alpha*MAX($A7,Y$2))*(EXP(Alpha*MIN($A7,Y$2))-EXP(-Alpha*MIN($A7,Y$2))))</f>
        <v/>
      </c>
      <c r="Z7" s="21">
        <f>EXP(-UFR*($A7+Z$2))*(Alpha*MIN($A7,Z$2)-0.5*EXP(-Alpha*MAX($A7,Z$2))*(EXP(Alpha*MIN($A7,Z$2))-EXP(-Alpha*MIN($A7,Z$2))))</f>
        <v/>
      </c>
    </row>
    <row r="8">
      <c r="A8" s="20">
        <f>A7+1</f>
        <v/>
      </c>
      <c r="B8" s="21">
        <f>EXP(-UFR*($A8+B$2))*(Alpha*MIN($A8,B$2)-0.5*EXP(-Alpha*MAX($A8,B$2))*(EXP(Alpha*MIN($A8,B$2))-EXP(-Alpha*MIN($A8,B$2))))</f>
        <v/>
      </c>
      <c r="C8" s="21">
        <f>EXP(-UFR*($A8+C$2))*(Alpha*MIN($A8,C$2)-0.5*EXP(-Alpha*MAX($A8,C$2))*(EXP(Alpha*MIN($A8,C$2))-EXP(-Alpha*MIN($A8,C$2))))</f>
        <v/>
      </c>
      <c r="D8" s="21">
        <f>EXP(-UFR*($A8+D$2))*(Alpha*MIN($A8,D$2)-0.5*EXP(-Alpha*MAX($A8,D$2))*(EXP(Alpha*MIN($A8,D$2))-EXP(-Alpha*MIN($A8,D$2))))</f>
        <v/>
      </c>
      <c r="E8" s="21">
        <f>EXP(-UFR*($A8+E$2))*(Alpha*MIN($A8,E$2)-0.5*EXP(-Alpha*MAX($A8,E$2))*(EXP(Alpha*MIN($A8,E$2))-EXP(-Alpha*MIN($A8,E$2))))</f>
        <v/>
      </c>
      <c r="F8" s="21">
        <f>EXP(-UFR*($A8+F$2))*(Alpha*MIN($A8,F$2)-0.5*EXP(-Alpha*MAX($A8,F$2))*(EXP(Alpha*MIN($A8,F$2))-EXP(-Alpha*MIN($A8,F$2))))</f>
        <v/>
      </c>
      <c r="G8" s="21">
        <f>EXP(-UFR*($A8+G$2))*(Alpha*MIN($A8,G$2)-0.5*EXP(-Alpha*MAX($A8,G$2))*(EXP(Alpha*MIN($A8,G$2))-EXP(-Alpha*MIN($A8,G$2))))</f>
        <v/>
      </c>
      <c r="H8" s="21">
        <f>EXP(-UFR*($A8+H$2))*(Alpha*MIN($A8,H$2)-0.5*EXP(-Alpha*MAX($A8,H$2))*(EXP(Alpha*MIN($A8,H$2))-EXP(-Alpha*MIN($A8,H$2))))</f>
        <v/>
      </c>
      <c r="I8" s="21">
        <f>EXP(-UFR*($A8+I$2))*(Alpha*MIN($A8,I$2)-0.5*EXP(-Alpha*MAX($A8,I$2))*(EXP(Alpha*MIN($A8,I$2))-EXP(-Alpha*MIN($A8,I$2))))</f>
        <v/>
      </c>
      <c r="J8" s="21">
        <f>EXP(-UFR*($A8+J$2))*(Alpha*MIN($A8,J$2)-0.5*EXP(-Alpha*MAX($A8,J$2))*(EXP(Alpha*MIN($A8,J$2))-EXP(-Alpha*MIN($A8,J$2))))</f>
        <v/>
      </c>
      <c r="K8" s="21">
        <f>EXP(-UFR*($A8+K$2))*(Alpha*MIN($A8,K$2)-0.5*EXP(-Alpha*MAX($A8,K$2))*(EXP(Alpha*MIN($A8,K$2))-EXP(-Alpha*MIN($A8,K$2))))</f>
        <v/>
      </c>
      <c r="L8" s="21">
        <f>EXP(-UFR*($A8+L$2))*(Alpha*MIN($A8,L$2)-0.5*EXP(-Alpha*MAX($A8,L$2))*(EXP(Alpha*MIN($A8,L$2))-EXP(-Alpha*MIN($A8,L$2))))</f>
        <v/>
      </c>
      <c r="M8" s="21">
        <f>EXP(-UFR*($A8+M$2))*(Alpha*MIN($A8,M$2)-0.5*EXP(-Alpha*MAX($A8,M$2))*(EXP(Alpha*MIN($A8,M$2))-EXP(-Alpha*MIN($A8,M$2))))</f>
        <v/>
      </c>
      <c r="N8" s="21">
        <f>EXP(-UFR*($A8+N$2))*(Alpha*MIN($A8,N$2)-0.5*EXP(-Alpha*MAX($A8,N$2))*(EXP(Alpha*MIN($A8,N$2))-EXP(-Alpha*MIN($A8,N$2))))</f>
        <v/>
      </c>
      <c r="O8" s="21">
        <f>EXP(-UFR*($A8+O$2))*(Alpha*MIN($A8,O$2)-0.5*EXP(-Alpha*MAX($A8,O$2))*(EXP(Alpha*MIN($A8,O$2))-EXP(-Alpha*MIN($A8,O$2))))</f>
        <v/>
      </c>
      <c r="P8" s="21">
        <f>EXP(-UFR*($A8+P$2))*(Alpha*MIN($A8,P$2)-0.5*EXP(-Alpha*MAX($A8,P$2))*(EXP(Alpha*MIN($A8,P$2))-EXP(-Alpha*MIN($A8,P$2))))</f>
        <v/>
      </c>
      <c r="Q8" s="21">
        <f>EXP(-UFR*($A8+Q$2))*(Alpha*MIN($A8,Q$2)-0.5*EXP(-Alpha*MAX($A8,Q$2))*(EXP(Alpha*MIN($A8,Q$2))-EXP(-Alpha*MIN($A8,Q$2))))</f>
        <v/>
      </c>
      <c r="R8" s="21">
        <f>EXP(-UFR*($A8+R$2))*(Alpha*MIN($A8,R$2)-0.5*EXP(-Alpha*MAX($A8,R$2))*(EXP(Alpha*MIN($A8,R$2))-EXP(-Alpha*MIN($A8,R$2))))</f>
        <v/>
      </c>
      <c r="S8" s="21">
        <f>EXP(-UFR*($A8+S$2))*(Alpha*MIN($A8,S$2)-0.5*EXP(-Alpha*MAX($A8,S$2))*(EXP(Alpha*MIN($A8,S$2))-EXP(-Alpha*MIN($A8,S$2))))</f>
        <v/>
      </c>
      <c r="T8" s="21">
        <f>EXP(-UFR*($A8+T$2))*(Alpha*MIN($A8,T$2)-0.5*EXP(-Alpha*MAX($A8,T$2))*(EXP(Alpha*MIN($A8,T$2))-EXP(-Alpha*MIN($A8,T$2))))</f>
        <v/>
      </c>
      <c r="U8" s="21">
        <f>EXP(-UFR*($A8+U$2))*(Alpha*MIN($A8,U$2)-0.5*EXP(-Alpha*MAX($A8,U$2))*(EXP(Alpha*MIN($A8,U$2))-EXP(-Alpha*MIN($A8,U$2))))</f>
        <v/>
      </c>
      <c r="V8" s="21">
        <f>EXP(-UFR*($A8+V$2))*(Alpha*MIN($A8,V$2)-0.5*EXP(-Alpha*MAX($A8,V$2))*(EXP(Alpha*MIN($A8,V$2))-EXP(-Alpha*MIN($A8,V$2))))</f>
        <v/>
      </c>
      <c r="W8" s="21">
        <f>EXP(-UFR*($A8+W$2))*(Alpha*MIN($A8,W$2)-0.5*EXP(-Alpha*MAX($A8,W$2))*(EXP(Alpha*MIN($A8,W$2))-EXP(-Alpha*MIN($A8,W$2))))</f>
        <v/>
      </c>
      <c r="X8" s="21">
        <f>EXP(-UFR*($A8+X$2))*(Alpha*MIN($A8,X$2)-0.5*EXP(-Alpha*MAX($A8,X$2))*(EXP(Alpha*MIN($A8,X$2))-EXP(-Alpha*MIN($A8,X$2))))</f>
        <v/>
      </c>
      <c r="Y8" s="21">
        <f>EXP(-UFR*($A8+Y$2))*(Alpha*MIN($A8,Y$2)-0.5*EXP(-Alpha*MAX($A8,Y$2))*(EXP(Alpha*MIN($A8,Y$2))-EXP(-Alpha*MIN($A8,Y$2))))</f>
        <v/>
      </c>
      <c r="Z8" s="21">
        <f>EXP(-UFR*($A8+Z$2))*(Alpha*MIN($A8,Z$2)-0.5*EXP(-Alpha*MAX($A8,Z$2))*(EXP(Alpha*MIN($A8,Z$2))-EXP(-Alpha*MIN($A8,Z$2))))</f>
        <v/>
      </c>
    </row>
    <row r="9">
      <c r="A9" s="20">
        <f>A8+1</f>
        <v/>
      </c>
      <c r="B9" s="21">
        <f>EXP(-UFR*($A9+B$2))*(Alpha*MIN($A9,B$2)-0.5*EXP(-Alpha*MAX($A9,B$2))*(EXP(Alpha*MIN($A9,B$2))-EXP(-Alpha*MIN($A9,B$2))))</f>
        <v/>
      </c>
      <c r="C9" s="21">
        <f>EXP(-UFR*($A9+C$2))*(Alpha*MIN($A9,C$2)-0.5*EXP(-Alpha*MAX($A9,C$2))*(EXP(Alpha*MIN($A9,C$2))-EXP(-Alpha*MIN($A9,C$2))))</f>
        <v/>
      </c>
      <c r="D9" s="21">
        <f>EXP(-UFR*($A9+D$2))*(Alpha*MIN($A9,D$2)-0.5*EXP(-Alpha*MAX($A9,D$2))*(EXP(Alpha*MIN($A9,D$2))-EXP(-Alpha*MIN($A9,D$2))))</f>
        <v/>
      </c>
      <c r="E9" s="21">
        <f>EXP(-UFR*($A9+E$2))*(Alpha*MIN($A9,E$2)-0.5*EXP(-Alpha*MAX($A9,E$2))*(EXP(Alpha*MIN($A9,E$2))-EXP(-Alpha*MIN($A9,E$2))))</f>
        <v/>
      </c>
      <c r="F9" s="21">
        <f>EXP(-UFR*($A9+F$2))*(Alpha*MIN($A9,F$2)-0.5*EXP(-Alpha*MAX($A9,F$2))*(EXP(Alpha*MIN($A9,F$2))-EXP(-Alpha*MIN($A9,F$2))))</f>
        <v/>
      </c>
      <c r="G9" s="21">
        <f>EXP(-UFR*($A9+G$2))*(Alpha*MIN($A9,G$2)-0.5*EXP(-Alpha*MAX($A9,G$2))*(EXP(Alpha*MIN($A9,G$2))-EXP(-Alpha*MIN($A9,G$2))))</f>
        <v/>
      </c>
      <c r="H9" s="21">
        <f>EXP(-UFR*($A9+H$2))*(Alpha*MIN($A9,H$2)-0.5*EXP(-Alpha*MAX($A9,H$2))*(EXP(Alpha*MIN($A9,H$2))-EXP(-Alpha*MIN($A9,H$2))))</f>
        <v/>
      </c>
      <c r="I9" s="21">
        <f>EXP(-UFR*($A9+I$2))*(Alpha*MIN($A9,I$2)-0.5*EXP(-Alpha*MAX($A9,I$2))*(EXP(Alpha*MIN($A9,I$2))-EXP(-Alpha*MIN($A9,I$2))))</f>
        <v/>
      </c>
      <c r="J9" s="21">
        <f>EXP(-UFR*($A9+J$2))*(Alpha*MIN($A9,J$2)-0.5*EXP(-Alpha*MAX($A9,J$2))*(EXP(Alpha*MIN($A9,J$2))-EXP(-Alpha*MIN($A9,J$2))))</f>
        <v/>
      </c>
      <c r="K9" s="21">
        <f>EXP(-UFR*($A9+K$2))*(Alpha*MIN($A9,K$2)-0.5*EXP(-Alpha*MAX($A9,K$2))*(EXP(Alpha*MIN($A9,K$2))-EXP(-Alpha*MIN($A9,K$2))))</f>
        <v/>
      </c>
      <c r="L9" s="21">
        <f>EXP(-UFR*($A9+L$2))*(Alpha*MIN($A9,L$2)-0.5*EXP(-Alpha*MAX($A9,L$2))*(EXP(Alpha*MIN($A9,L$2))-EXP(-Alpha*MIN($A9,L$2))))</f>
        <v/>
      </c>
      <c r="M9" s="21">
        <f>EXP(-UFR*($A9+M$2))*(Alpha*MIN($A9,M$2)-0.5*EXP(-Alpha*MAX($A9,M$2))*(EXP(Alpha*MIN($A9,M$2))-EXP(-Alpha*MIN($A9,M$2))))</f>
        <v/>
      </c>
      <c r="N9" s="21">
        <f>EXP(-UFR*($A9+N$2))*(Alpha*MIN($A9,N$2)-0.5*EXP(-Alpha*MAX($A9,N$2))*(EXP(Alpha*MIN($A9,N$2))-EXP(-Alpha*MIN($A9,N$2))))</f>
        <v/>
      </c>
      <c r="O9" s="21">
        <f>EXP(-UFR*($A9+O$2))*(Alpha*MIN($A9,O$2)-0.5*EXP(-Alpha*MAX($A9,O$2))*(EXP(Alpha*MIN($A9,O$2))-EXP(-Alpha*MIN($A9,O$2))))</f>
        <v/>
      </c>
      <c r="P9" s="21">
        <f>EXP(-UFR*($A9+P$2))*(Alpha*MIN($A9,P$2)-0.5*EXP(-Alpha*MAX($A9,P$2))*(EXP(Alpha*MIN($A9,P$2))-EXP(-Alpha*MIN($A9,P$2))))</f>
        <v/>
      </c>
      <c r="Q9" s="21">
        <f>EXP(-UFR*($A9+Q$2))*(Alpha*MIN($A9,Q$2)-0.5*EXP(-Alpha*MAX($A9,Q$2))*(EXP(Alpha*MIN($A9,Q$2))-EXP(-Alpha*MIN($A9,Q$2))))</f>
        <v/>
      </c>
      <c r="R9" s="21">
        <f>EXP(-UFR*($A9+R$2))*(Alpha*MIN($A9,R$2)-0.5*EXP(-Alpha*MAX($A9,R$2))*(EXP(Alpha*MIN($A9,R$2))-EXP(-Alpha*MIN($A9,R$2))))</f>
        <v/>
      </c>
      <c r="S9" s="21">
        <f>EXP(-UFR*($A9+S$2))*(Alpha*MIN($A9,S$2)-0.5*EXP(-Alpha*MAX($A9,S$2))*(EXP(Alpha*MIN($A9,S$2))-EXP(-Alpha*MIN($A9,S$2))))</f>
        <v/>
      </c>
      <c r="T9" s="21">
        <f>EXP(-UFR*($A9+T$2))*(Alpha*MIN($A9,T$2)-0.5*EXP(-Alpha*MAX($A9,T$2))*(EXP(Alpha*MIN($A9,T$2))-EXP(-Alpha*MIN($A9,T$2))))</f>
        <v/>
      </c>
      <c r="U9" s="21">
        <f>EXP(-UFR*($A9+U$2))*(Alpha*MIN($A9,U$2)-0.5*EXP(-Alpha*MAX($A9,U$2))*(EXP(Alpha*MIN($A9,U$2))-EXP(-Alpha*MIN($A9,U$2))))</f>
        <v/>
      </c>
      <c r="V9" s="21">
        <f>EXP(-UFR*($A9+V$2))*(Alpha*MIN($A9,V$2)-0.5*EXP(-Alpha*MAX($A9,V$2))*(EXP(Alpha*MIN($A9,V$2))-EXP(-Alpha*MIN($A9,V$2))))</f>
        <v/>
      </c>
      <c r="W9" s="21">
        <f>EXP(-UFR*($A9+W$2))*(Alpha*MIN($A9,W$2)-0.5*EXP(-Alpha*MAX($A9,W$2))*(EXP(Alpha*MIN($A9,W$2))-EXP(-Alpha*MIN($A9,W$2))))</f>
        <v/>
      </c>
      <c r="X9" s="21">
        <f>EXP(-UFR*($A9+X$2))*(Alpha*MIN($A9,X$2)-0.5*EXP(-Alpha*MAX($A9,X$2))*(EXP(Alpha*MIN($A9,X$2))-EXP(-Alpha*MIN($A9,X$2))))</f>
        <v/>
      </c>
      <c r="Y9" s="21">
        <f>EXP(-UFR*($A9+Y$2))*(Alpha*MIN($A9,Y$2)-0.5*EXP(-Alpha*MAX($A9,Y$2))*(EXP(Alpha*MIN($A9,Y$2))-EXP(-Alpha*MIN($A9,Y$2))))</f>
        <v/>
      </c>
      <c r="Z9" s="21">
        <f>EXP(-UFR*($A9+Z$2))*(Alpha*MIN($A9,Z$2)-0.5*EXP(-Alpha*MAX($A9,Z$2))*(EXP(Alpha*MIN($A9,Z$2))-EXP(-Alpha*MIN($A9,Z$2))))</f>
        <v/>
      </c>
    </row>
    <row r="10">
      <c r="A10" s="20">
        <f>A9+1</f>
        <v/>
      </c>
      <c r="B10" s="21">
        <f>EXP(-UFR*($A10+B$2))*(Alpha*MIN($A10,B$2)-0.5*EXP(-Alpha*MAX($A10,B$2))*(EXP(Alpha*MIN($A10,B$2))-EXP(-Alpha*MIN($A10,B$2))))</f>
        <v/>
      </c>
      <c r="C10" s="21">
        <f>EXP(-UFR*($A10+C$2))*(Alpha*MIN($A10,C$2)-0.5*EXP(-Alpha*MAX($A10,C$2))*(EXP(Alpha*MIN($A10,C$2))-EXP(-Alpha*MIN($A10,C$2))))</f>
        <v/>
      </c>
      <c r="D10" s="21">
        <f>EXP(-UFR*($A10+D$2))*(Alpha*MIN($A10,D$2)-0.5*EXP(-Alpha*MAX($A10,D$2))*(EXP(Alpha*MIN($A10,D$2))-EXP(-Alpha*MIN($A10,D$2))))</f>
        <v/>
      </c>
      <c r="E10" s="21">
        <f>EXP(-UFR*($A10+E$2))*(Alpha*MIN($A10,E$2)-0.5*EXP(-Alpha*MAX($A10,E$2))*(EXP(Alpha*MIN($A10,E$2))-EXP(-Alpha*MIN($A10,E$2))))</f>
        <v/>
      </c>
      <c r="F10" s="21">
        <f>EXP(-UFR*($A10+F$2))*(Alpha*MIN($A10,F$2)-0.5*EXP(-Alpha*MAX($A10,F$2))*(EXP(Alpha*MIN($A10,F$2))-EXP(-Alpha*MIN($A10,F$2))))</f>
        <v/>
      </c>
      <c r="G10" s="21">
        <f>EXP(-UFR*($A10+G$2))*(Alpha*MIN($A10,G$2)-0.5*EXP(-Alpha*MAX($A10,G$2))*(EXP(Alpha*MIN($A10,G$2))-EXP(-Alpha*MIN($A10,G$2))))</f>
        <v/>
      </c>
      <c r="H10" s="21">
        <f>EXP(-UFR*($A10+H$2))*(Alpha*MIN($A10,H$2)-0.5*EXP(-Alpha*MAX($A10,H$2))*(EXP(Alpha*MIN($A10,H$2))-EXP(-Alpha*MIN($A10,H$2))))</f>
        <v/>
      </c>
      <c r="I10" s="21">
        <f>EXP(-UFR*($A10+I$2))*(Alpha*MIN($A10,I$2)-0.5*EXP(-Alpha*MAX($A10,I$2))*(EXP(Alpha*MIN($A10,I$2))-EXP(-Alpha*MIN($A10,I$2))))</f>
        <v/>
      </c>
      <c r="J10" s="21">
        <f>EXP(-UFR*($A10+J$2))*(Alpha*MIN($A10,J$2)-0.5*EXP(-Alpha*MAX($A10,J$2))*(EXP(Alpha*MIN($A10,J$2))-EXP(-Alpha*MIN($A10,J$2))))</f>
        <v/>
      </c>
      <c r="K10" s="21">
        <f>EXP(-UFR*($A10+K$2))*(Alpha*MIN($A10,K$2)-0.5*EXP(-Alpha*MAX($A10,K$2))*(EXP(Alpha*MIN($A10,K$2))-EXP(-Alpha*MIN($A10,K$2))))</f>
        <v/>
      </c>
      <c r="L10" s="21">
        <f>EXP(-UFR*($A10+L$2))*(Alpha*MIN($A10,L$2)-0.5*EXP(-Alpha*MAX($A10,L$2))*(EXP(Alpha*MIN($A10,L$2))-EXP(-Alpha*MIN($A10,L$2))))</f>
        <v/>
      </c>
      <c r="M10" s="21">
        <f>EXP(-UFR*($A10+M$2))*(Alpha*MIN($A10,M$2)-0.5*EXP(-Alpha*MAX($A10,M$2))*(EXP(Alpha*MIN($A10,M$2))-EXP(-Alpha*MIN($A10,M$2))))</f>
        <v/>
      </c>
      <c r="N10" s="21">
        <f>EXP(-UFR*($A10+N$2))*(Alpha*MIN($A10,N$2)-0.5*EXP(-Alpha*MAX($A10,N$2))*(EXP(Alpha*MIN($A10,N$2))-EXP(-Alpha*MIN($A10,N$2))))</f>
        <v/>
      </c>
      <c r="O10" s="21">
        <f>EXP(-UFR*($A10+O$2))*(Alpha*MIN($A10,O$2)-0.5*EXP(-Alpha*MAX($A10,O$2))*(EXP(Alpha*MIN($A10,O$2))-EXP(-Alpha*MIN($A10,O$2))))</f>
        <v/>
      </c>
      <c r="P10" s="21">
        <f>EXP(-UFR*($A10+P$2))*(Alpha*MIN($A10,P$2)-0.5*EXP(-Alpha*MAX($A10,P$2))*(EXP(Alpha*MIN($A10,P$2))-EXP(-Alpha*MIN($A10,P$2))))</f>
        <v/>
      </c>
      <c r="Q10" s="21">
        <f>EXP(-UFR*($A10+Q$2))*(Alpha*MIN($A10,Q$2)-0.5*EXP(-Alpha*MAX($A10,Q$2))*(EXP(Alpha*MIN($A10,Q$2))-EXP(-Alpha*MIN($A10,Q$2))))</f>
        <v/>
      </c>
      <c r="R10" s="21">
        <f>EXP(-UFR*($A10+R$2))*(Alpha*MIN($A10,R$2)-0.5*EXP(-Alpha*MAX($A10,R$2))*(EXP(Alpha*MIN($A10,R$2))-EXP(-Alpha*MIN($A10,R$2))))</f>
        <v/>
      </c>
      <c r="S10" s="21">
        <f>EXP(-UFR*($A10+S$2))*(Alpha*MIN($A10,S$2)-0.5*EXP(-Alpha*MAX($A10,S$2))*(EXP(Alpha*MIN($A10,S$2))-EXP(-Alpha*MIN($A10,S$2))))</f>
        <v/>
      </c>
      <c r="T10" s="21">
        <f>EXP(-UFR*($A10+T$2))*(Alpha*MIN($A10,T$2)-0.5*EXP(-Alpha*MAX($A10,T$2))*(EXP(Alpha*MIN($A10,T$2))-EXP(-Alpha*MIN($A10,T$2))))</f>
        <v/>
      </c>
      <c r="U10" s="21">
        <f>EXP(-UFR*($A10+U$2))*(Alpha*MIN($A10,U$2)-0.5*EXP(-Alpha*MAX($A10,U$2))*(EXP(Alpha*MIN($A10,U$2))-EXP(-Alpha*MIN($A10,U$2))))</f>
        <v/>
      </c>
      <c r="V10" s="21">
        <f>EXP(-UFR*($A10+V$2))*(Alpha*MIN($A10,V$2)-0.5*EXP(-Alpha*MAX($A10,V$2))*(EXP(Alpha*MIN($A10,V$2))-EXP(-Alpha*MIN($A10,V$2))))</f>
        <v/>
      </c>
      <c r="W10" s="21">
        <f>EXP(-UFR*($A10+W$2))*(Alpha*MIN($A10,W$2)-0.5*EXP(-Alpha*MAX($A10,W$2))*(EXP(Alpha*MIN($A10,W$2))-EXP(-Alpha*MIN($A10,W$2))))</f>
        <v/>
      </c>
      <c r="X10" s="21">
        <f>EXP(-UFR*($A10+X$2))*(Alpha*MIN($A10,X$2)-0.5*EXP(-Alpha*MAX($A10,X$2))*(EXP(Alpha*MIN($A10,X$2))-EXP(-Alpha*MIN($A10,X$2))))</f>
        <v/>
      </c>
      <c r="Y10" s="21">
        <f>EXP(-UFR*($A10+Y$2))*(Alpha*MIN($A10,Y$2)-0.5*EXP(-Alpha*MAX($A10,Y$2))*(EXP(Alpha*MIN($A10,Y$2))-EXP(-Alpha*MIN($A10,Y$2))))</f>
        <v/>
      </c>
      <c r="Z10" s="21">
        <f>EXP(-UFR*($A10+Z$2))*(Alpha*MIN($A10,Z$2)-0.5*EXP(-Alpha*MAX($A10,Z$2))*(EXP(Alpha*MIN($A10,Z$2))-EXP(-Alpha*MIN($A10,Z$2))))</f>
        <v/>
      </c>
    </row>
    <row r="11">
      <c r="A11" s="20">
        <f>A10+1</f>
        <v/>
      </c>
      <c r="B11" s="21">
        <f>EXP(-UFR*($A11+B$2))*(Alpha*MIN($A11,B$2)-0.5*EXP(-Alpha*MAX($A11,B$2))*(EXP(Alpha*MIN($A11,B$2))-EXP(-Alpha*MIN($A11,B$2))))</f>
        <v/>
      </c>
      <c r="C11" s="21">
        <f>EXP(-UFR*($A11+C$2))*(Alpha*MIN($A11,C$2)-0.5*EXP(-Alpha*MAX($A11,C$2))*(EXP(Alpha*MIN($A11,C$2))-EXP(-Alpha*MIN($A11,C$2))))</f>
        <v/>
      </c>
      <c r="D11" s="21">
        <f>EXP(-UFR*($A11+D$2))*(Alpha*MIN($A11,D$2)-0.5*EXP(-Alpha*MAX($A11,D$2))*(EXP(Alpha*MIN($A11,D$2))-EXP(-Alpha*MIN($A11,D$2))))</f>
        <v/>
      </c>
      <c r="E11" s="21">
        <f>EXP(-UFR*($A11+E$2))*(Alpha*MIN($A11,E$2)-0.5*EXP(-Alpha*MAX($A11,E$2))*(EXP(Alpha*MIN($A11,E$2))-EXP(-Alpha*MIN($A11,E$2))))</f>
        <v/>
      </c>
      <c r="F11" s="21">
        <f>EXP(-UFR*($A11+F$2))*(Alpha*MIN($A11,F$2)-0.5*EXP(-Alpha*MAX($A11,F$2))*(EXP(Alpha*MIN($A11,F$2))-EXP(-Alpha*MIN($A11,F$2))))</f>
        <v/>
      </c>
      <c r="G11" s="21">
        <f>EXP(-UFR*($A11+G$2))*(Alpha*MIN($A11,G$2)-0.5*EXP(-Alpha*MAX($A11,G$2))*(EXP(Alpha*MIN($A11,G$2))-EXP(-Alpha*MIN($A11,G$2))))</f>
        <v/>
      </c>
      <c r="H11" s="21">
        <f>EXP(-UFR*($A11+H$2))*(Alpha*MIN($A11,H$2)-0.5*EXP(-Alpha*MAX($A11,H$2))*(EXP(Alpha*MIN($A11,H$2))-EXP(-Alpha*MIN($A11,H$2))))</f>
        <v/>
      </c>
      <c r="I11" s="21">
        <f>EXP(-UFR*($A11+I$2))*(Alpha*MIN($A11,I$2)-0.5*EXP(-Alpha*MAX($A11,I$2))*(EXP(Alpha*MIN($A11,I$2))-EXP(-Alpha*MIN($A11,I$2))))</f>
        <v/>
      </c>
      <c r="J11" s="21">
        <f>EXP(-UFR*($A11+J$2))*(Alpha*MIN($A11,J$2)-0.5*EXP(-Alpha*MAX($A11,J$2))*(EXP(Alpha*MIN($A11,J$2))-EXP(-Alpha*MIN($A11,J$2))))</f>
        <v/>
      </c>
      <c r="K11" s="21">
        <f>EXP(-UFR*($A11+K$2))*(Alpha*MIN($A11,K$2)-0.5*EXP(-Alpha*MAX($A11,K$2))*(EXP(Alpha*MIN($A11,K$2))-EXP(-Alpha*MIN($A11,K$2))))</f>
        <v/>
      </c>
      <c r="L11" s="21">
        <f>EXP(-UFR*($A11+L$2))*(Alpha*MIN($A11,L$2)-0.5*EXP(-Alpha*MAX($A11,L$2))*(EXP(Alpha*MIN($A11,L$2))-EXP(-Alpha*MIN($A11,L$2))))</f>
        <v/>
      </c>
      <c r="M11" s="21">
        <f>EXP(-UFR*($A11+M$2))*(Alpha*MIN($A11,M$2)-0.5*EXP(-Alpha*MAX($A11,M$2))*(EXP(Alpha*MIN($A11,M$2))-EXP(-Alpha*MIN($A11,M$2))))</f>
        <v/>
      </c>
      <c r="N11" s="21">
        <f>EXP(-UFR*($A11+N$2))*(Alpha*MIN($A11,N$2)-0.5*EXP(-Alpha*MAX($A11,N$2))*(EXP(Alpha*MIN($A11,N$2))-EXP(-Alpha*MIN($A11,N$2))))</f>
        <v/>
      </c>
      <c r="O11" s="21">
        <f>EXP(-UFR*($A11+O$2))*(Alpha*MIN($A11,O$2)-0.5*EXP(-Alpha*MAX($A11,O$2))*(EXP(Alpha*MIN($A11,O$2))-EXP(-Alpha*MIN($A11,O$2))))</f>
        <v/>
      </c>
      <c r="P11" s="21">
        <f>EXP(-UFR*($A11+P$2))*(Alpha*MIN($A11,P$2)-0.5*EXP(-Alpha*MAX($A11,P$2))*(EXP(Alpha*MIN($A11,P$2))-EXP(-Alpha*MIN($A11,P$2))))</f>
        <v/>
      </c>
      <c r="Q11" s="21">
        <f>EXP(-UFR*($A11+Q$2))*(Alpha*MIN($A11,Q$2)-0.5*EXP(-Alpha*MAX($A11,Q$2))*(EXP(Alpha*MIN($A11,Q$2))-EXP(-Alpha*MIN($A11,Q$2))))</f>
        <v/>
      </c>
      <c r="R11" s="21">
        <f>EXP(-UFR*($A11+R$2))*(Alpha*MIN($A11,R$2)-0.5*EXP(-Alpha*MAX($A11,R$2))*(EXP(Alpha*MIN($A11,R$2))-EXP(-Alpha*MIN($A11,R$2))))</f>
        <v/>
      </c>
      <c r="S11" s="21">
        <f>EXP(-UFR*($A11+S$2))*(Alpha*MIN($A11,S$2)-0.5*EXP(-Alpha*MAX($A11,S$2))*(EXP(Alpha*MIN($A11,S$2))-EXP(-Alpha*MIN($A11,S$2))))</f>
        <v/>
      </c>
      <c r="T11" s="21">
        <f>EXP(-UFR*($A11+T$2))*(Alpha*MIN($A11,T$2)-0.5*EXP(-Alpha*MAX($A11,T$2))*(EXP(Alpha*MIN($A11,T$2))-EXP(-Alpha*MIN($A11,T$2))))</f>
        <v/>
      </c>
      <c r="U11" s="21">
        <f>EXP(-UFR*($A11+U$2))*(Alpha*MIN($A11,U$2)-0.5*EXP(-Alpha*MAX($A11,U$2))*(EXP(Alpha*MIN($A11,U$2))-EXP(-Alpha*MIN($A11,U$2))))</f>
        <v/>
      </c>
      <c r="V11" s="21">
        <f>EXP(-UFR*($A11+V$2))*(Alpha*MIN($A11,V$2)-0.5*EXP(-Alpha*MAX($A11,V$2))*(EXP(Alpha*MIN($A11,V$2))-EXP(-Alpha*MIN($A11,V$2))))</f>
        <v/>
      </c>
      <c r="W11" s="21">
        <f>EXP(-UFR*($A11+W$2))*(Alpha*MIN($A11,W$2)-0.5*EXP(-Alpha*MAX($A11,W$2))*(EXP(Alpha*MIN($A11,W$2))-EXP(-Alpha*MIN($A11,W$2))))</f>
        <v/>
      </c>
      <c r="X11" s="21">
        <f>EXP(-UFR*($A11+X$2))*(Alpha*MIN($A11,X$2)-0.5*EXP(-Alpha*MAX($A11,X$2))*(EXP(Alpha*MIN($A11,X$2))-EXP(-Alpha*MIN($A11,X$2))))</f>
        <v/>
      </c>
      <c r="Y11" s="21">
        <f>EXP(-UFR*($A11+Y$2))*(Alpha*MIN($A11,Y$2)-0.5*EXP(-Alpha*MAX($A11,Y$2))*(EXP(Alpha*MIN($A11,Y$2))-EXP(-Alpha*MIN($A11,Y$2))))</f>
        <v/>
      </c>
      <c r="Z11" s="21">
        <f>EXP(-UFR*($A11+Z$2))*(Alpha*MIN($A11,Z$2)-0.5*EXP(-Alpha*MAX($A11,Z$2))*(EXP(Alpha*MIN($A11,Z$2))-EXP(-Alpha*MIN($A11,Z$2))))</f>
        <v/>
      </c>
    </row>
    <row r="12">
      <c r="A12" s="20">
        <f>A11+1</f>
        <v/>
      </c>
      <c r="B12" s="21">
        <f>EXP(-UFR*($A12+B$2))*(Alpha*MIN($A12,B$2)-0.5*EXP(-Alpha*MAX($A12,B$2))*(EXP(Alpha*MIN($A12,B$2))-EXP(-Alpha*MIN($A12,B$2))))</f>
        <v/>
      </c>
      <c r="C12" s="21">
        <f>EXP(-UFR*($A12+C$2))*(Alpha*MIN($A12,C$2)-0.5*EXP(-Alpha*MAX($A12,C$2))*(EXP(Alpha*MIN($A12,C$2))-EXP(-Alpha*MIN($A12,C$2))))</f>
        <v/>
      </c>
      <c r="D12" s="21">
        <f>EXP(-UFR*($A12+D$2))*(Alpha*MIN($A12,D$2)-0.5*EXP(-Alpha*MAX($A12,D$2))*(EXP(Alpha*MIN($A12,D$2))-EXP(-Alpha*MIN($A12,D$2))))</f>
        <v/>
      </c>
      <c r="E12" s="21">
        <f>EXP(-UFR*($A12+E$2))*(Alpha*MIN($A12,E$2)-0.5*EXP(-Alpha*MAX($A12,E$2))*(EXP(Alpha*MIN($A12,E$2))-EXP(-Alpha*MIN($A12,E$2))))</f>
        <v/>
      </c>
      <c r="F12" s="21">
        <f>EXP(-UFR*($A12+F$2))*(Alpha*MIN($A12,F$2)-0.5*EXP(-Alpha*MAX($A12,F$2))*(EXP(Alpha*MIN($A12,F$2))-EXP(-Alpha*MIN($A12,F$2))))</f>
        <v/>
      </c>
      <c r="G12" s="21">
        <f>EXP(-UFR*($A12+G$2))*(Alpha*MIN($A12,G$2)-0.5*EXP(-Alpha*MAX($A12,G$2))*(EXP(Alpha*MIN($A12,G$2))-EXP(-Alpha*MIN($A12,G$2))))</f>
        <v/>
      </c>
      <c r="H12" s="21">
        <f>EXP(-UFR*($A12+H$2))*(Alpha*MIN($A12,H$2)-0.5*EXP(-Alpha*MAX($A12,H$2))*(EXP(Alpha*MIN($A12,H$2))-EXP(-Alpha*MIN($A12,H$2))))</f>
        <v/>
      </c>
      <c r="I12" s="21">
        <f>EXP(-UFR*($A12+I$2))*(Alpha*MIN($A12,I$2)-0.5*EXP(-Alpha*MAX($A12,I$2))*(EXP(Alpha*MIN($A12,I$2))-EXP(-Alpha*MIN($A12,I$2))))</f>
        <v/>
      </c>
      <c r="J12" s="21">
        <f>EXP(-UFR*($A12+J$2))*(Alpha*MIN($A12,J$2)-0.5*EXP(-Alpha*MAX($A12,J$2))*(EXP(Alpha*MIN($A12,J$2))-EXP(-Alpha*MIN($A12,J$2))))</f>
        <v/>
      </c>
      <c r="K12" s="21">
        <f>EXP(-UFR*($A12+K$2))*(Alpha*MIN($A12,K$2)-0.5*EXP(-Alpha*MAX($A12,K$2))*(EXP(Alpha*MIN($A12,K$2))-EXP(-Alpha*MIN($A12,K$2))))</f>
        <v/>
      </c>
      <c r="L12" s="21">
        <f>EXP(-UFR*($A12+L$2))*(Alpha*MIN($A12,L$2)-0.5*EXP(-Alpha*MAX($A12,L$2))*(EXP(Alpha*MIN($A12,L$2))-EXP(-Alpha*MIN($A12,L$2))))</f>
        <v/>
      </c>
      <c r="M12" s="21">
        <f>EXP(-UFR*($A12+M$2))*(Alpha*MIN($A12,M$2)-0.5*EXP(-Alpha*MAX($A12,M$2))*(EXP(Alpha*MIN($A12,M$2))-EXP(-Alpha*MIN($A12,M$2))))</f>
        <v/>
      </c>
      <c r="N12" s="21">
        <f>EXP(-UFR*($A12+N$2))*(Alpha*MIN($A12,N$2)-0.5*EXP(-Alpha*MAX($A12,N$2))*(EXP(Alpha*MIN($A12,N$2))-EXP(-Alpha*MIN($A12,N$2))))</f>
        <v/>
      </c>
      <c r="O12" s="21">
        <f>EXP(-UFR*($A12+O$2))*(Alpha*MIN($A12,O$2)-0.5*EXP(-Alpha*MAX($A12,O$2))*(EXP(Alpha*MIN($A12,O$2))-EXP(-Alpha*MIN($A12,O$2))))</f>
        <v/>
      </c>
      <c r="P12" s="21">
        <f>EXP(-UFR*($A12+P$2))*(Alpha*MIN($A12,P$2)-0.5*EXP(-Alpha*MAX($A12,P$2))*(EXP(Alpha*MIN($A12,P$2))-EXP(-Alpha*MIN($A12,P$2))))</f>
        <v/>
      </c>
      <c r="Q12" s="21">
        <f>EXP(-UFR*($A12+Q$2))*(Alpha*MIN($A12,Q$2)-0.5*EXP(-Alpha*MAX($A12,Q$2))*(EXP(Alpha*MIN($A12,Q$2))-EXP(-Alpha*MIN($A12,Q$2))))</f>
        <v/>
      </c>
      <c r="R12" s="21">
        <f>EXP(-UFR*($A12+R$2))*(Alpha*MIN($A12,R$2)-0.5*EXP(-Alpha*MAX($A12,R$2))*(EXP(Alpha*MIN($A12,R$2))-EXP(-Alpha*MIN($A12,R$2))))</f>
        <v/>
      </c>
      <c r="S12" s="21">
        <f>EXP(-UFR*($A12+S$2))*(Alpha*MIN($A12,S$2)-0.5*EXP(-Alpha*MAX($A12,S$2))*(EXP(Alpha*MIN($A12,S$2))-EXP(-Alpha*MIN($A12,S$2))))</f>
        <v/>
      </c>
      <c r="T12" s="21">
        <f>EXP(-UFR*($A12+T$2))*(Alpha*MIN($A12,T$2)-0.5*EXP(-Alpha*MAX($A12,T$2))*(EXP(Alpha*MIN($A12,T$2))-EXP(-Alpha*MIN($A12,T$2))))</f>
        <v/>
      </c>
      <c r="U12" s="21">
        <f>EXP(-UFR*($A12+U$2))*(Alpha*MIN($A12,U$2)-0.5*EXP(-Alpha*MAX($A12,U$2))*(EXP(Alpha*MIN($A12,U$2))-EXP(-Alpha*MIN($A12,U$2))))</f>
        <v/>
      </c>
      <c r="V12" s="21">
        <f>EXP(-UFR*($A12+V$2))*(Alpha*MIN($A12,V$2)-0.5*EXP(-Alpha*MAX($A12,V$2))*(EXP(Alpha*MIN($A12,V$2))-EXP(-Alpha*MIN($A12,V$2))))</f>
        <v/>
      </c>
      <c r="W12" s="21">
        <f>EXP(-UFR*($A12+W$2))*(Alpha*MIN($A12,W$2)-0.5*EXP(-Alpha*MAX($A12,W$2))*(EXP(Alpha*MIN($A12,W$2))-EXP(-Alpha*MIN($A12,W$2))))</f>
        <v/>
      </c>
      <c r="X12" s="21">
        <f>EXP(-UFR*($A12+X$2))*(Alpha*MIN($A12,X$2)-0.5*EXP(-Alpha*MAX($A12,X$2))*(EXP(Alpha*MIN($A12,X$2))-EXP(-Alpha*MIN($A12,X$2))))</f>
        <v/>
      </c>
      <c r="Y12" s="21">
        <f>EXP(-UFR*($A12+Y$2))*(Alpha*MIN($A12,Y$2)-0.5*EXP(-Alpha*MAX($A12,Y$2))*(EXP(Alpha*MIN($A12,Y$2))-EXP(-Alpha*MIN($A12,Y$2))))</f>
        <v/>
      </c>
      <c r="Z12" s="21">
        <f>EXP(-UFR*($A12+Z$2))*(Alpha*MIN($A12,Z$2)-0.5*EXP(-Alpha*MAX($A12,Z$2))*(EXP(Alpha*MIN($A12,Z$2))-EXP(-Alpha*MIN($A12,Z$2))))</f>
        <v/>
      </c>
    </row>
    <row r="13">
      <c r="A13" s="20">
        <f>A12+1</f>
        <v/>
      </c>
      <c r="B13" s="21">
        <f>EXP(-UFR*($A13+B$2))*(Alpha*MIN($A13,B$2)-0.5*EXP(-Alpha*MAX($A13,B$2))*(EXP(Alpha*MIN($A13,B$2))-EXP(-Alpha*MIN($A13,B$2))))</f>
        <v/>
      </c>
      <c r="C13" s="21">
        <f>EXP(-UFR*($A13+C$2))*(Alpha*MIN($A13,C$2)-0.5*EXP(-Alpha*MAX($A13,C$2))*(EXP(Alpha*MIN($A13,C$2))-EXP(-Alpha*MIN($A13,C$2))))</f>
        <v/>
      </c>
      <c r="D13" s="21">
        <f>EXP(-UFR*($A13+D$2))*(Alpha*MIN($A13,D$2)-0.5*EXP(-Alpha*MAX($A13,D$2))*(EXP(Alpha*MIN($A13,D$2))-EXP(-Alpha*MIN($A13,D$2))))</f>
        <v/>
      </c>
      <c r="E13" s="21">
        <f>EXP(-UFR*($A13+E$2))*(Alpha*MIN($A13,E$2)-0.5*EXP(-Alpha*MAX($A13,E$2))*(EXP(Alpha*MIN($A13,E$2))-EXP(-Alpha*MIN($A13,E$2))))</f>
        <v/>
      </c>
      <c r="F13" s="21">
        <f>EXP(-UFR*($A13+F$2))*(Alpha*MIN($A13,F$2)-0.5*EXP(-Alpha*MAX($A13,F$2))*(EXP(Alpha*MIN($A13,F$2))-EXP(-Alpha*MIN($A13,F$2))))</f>
        <v/>
      </c>
      <c r="G13" s="21">
        <f>EXP(-UFR*($A13+G$2))*(Alpha*MIN($A13,G$2)-0.5*EXP(-Alpha*MAX($A13,G$2))*(EXP(Alpha*MIN($A13,G$2))-EXP(-Alpha*MIN($A13,G$2))))</f>
        <v/>
      </c>
      <c r="H13" s="21">
        <f>EXP(-UFR*($A13+H$2))*(Alpha*MIN($A13,H$2)-0.5*EXP(-Alpha*MAX($A13,H$2))*(EXP(Alpha*MIN($A13,H$2))-EXP(-Alpha*MIN($A13,H$2))))</f>
        <v/>
      </c>
      <c r="I13" s="21">
        <f>EXP(-UFR*($A13+I$2))*(Alpha*MIN($A13,I$2)-0.5*EXP(-Alpha*MAX($A13,I$2))*(EXP(Alpha*MIN($A13,I$2))-EXP(-Alpha*MIN($A13,I$2))))</f>
        <v/>
      </c>
      <c r="J13" s="21">
        <f>EXP(-UFR*($A13+J$2))*(Alpha*MIN($A13,J$2)-0.5*EXP(-Alpha*MAX($A13,J$2))*(EXP(Alpha*MIN($A13,J$2))-EXP(-Alpha*MIN($A13,J$2))))</f>
        <v/>
      </c>
      <c r="K13" s="21">
        <f>EXP(-UFR*($A13+K$2))*(Alpha*MIN($A13,K$2)-0.5*EXP(-Alpha*MAX($A13,K$2))*(EXP(Alpha*MIN($A13,K$2))-EXP(-Alpha*MIN($A13,K$2))))</f>
        <v/>
      </c>
      <c r="L13" s="21">
        <f>EXP(-UFR*($A13+L$2))*(Alpha*MIN($A13,L$2)-0.5*EXP(-Alpha*MAX($A13,L$2))*(EXP(Alpha*MIN($A13,L$2))-EXP(-Alpha*MIN($A13,L$2))))</f>
        <v/>
      </c>
      <c r="M13" s="21">
        <f>EXP(-UFR*($A13+M$2))*(Alpha*MIN($A13,M$2)-0.5*EXP(-Alpha*MAX($A13,M$2))*(EXP(Alpha*MIN($A13,M$2))-EXP(-Alpha*MIN($A13,M$2))))</f>
        <v/>
      </c>
      <c r="N13" s="21">
        <f>EXP(-UFR*($A13+N$2))*(Alpha*MIN($A13,N$2)-0.5*EXP(-Alpha*MAX($A13,N$2))*(EXP(Alpha*MIN($A13,N$2))-EXP(-Alpha*MIN($A13,N$2))))</f>
        <v/>
      </c>
      <c r="O13" s="21">
        <f>EXP(-UFR*($A13+O$2))*(Alpha*MIN($A13,O$2)-0.5*EXP(-Alpha*MAX($A13,O$2))*(EXP(Alpha*MIN($A13,O$2))-EXP(-Alpha*MIN($A13,O$2))))</f>
        <v/>
      </c>
      <c r="P13" s="21">
        <f>EXP(-UFR*($A13+P$2))*(Alpha*MIN($A13,P$2)-0.5*EXP(-Alpha*MAX($A13,P$2))*(EXP(Alpha*MIN($A13,P$2))-EXP(-Alpha*MIN($A13,P$2))))</f>
        <v/>
      </c>
      <c r="Q13" s="21">
        <f>EXP(-UFR*($A13+Q$2))*(Alpha*MIN($A13,Q$2)-0.5*EXP(-Alpha*MAX($A13,Q$2))*(EXP(Alpha*MIN($A13,Q$2))-EXP(-Alpha*MIN($A13,Q$2))))</f>
        <v/>
      </c>
      <c r="R13" s="21">
        <f>EXP(-UFR*($A13+R$2))*(Alpha*MIN($A13,R$2)-0.5*EXP(-Alpha*MAX($A13,R$2))*(EXP(Alpha*MIN($A13,R$2))-EXP(-Alpha*MIN($A13,R$2))))</f>
        <v/>
      </c>
      <c r="S13" s="21">
        <f>EXP(-UFR*($A13+S$2))*(Alpha*MIN($A13,S$2)-0.5*EXP(-Alpha*MAX($A13,S$2))*(EXP(Alpha*MIN($A13,S$2))-EXP(-Alpha*MIN($A13,S$2))))</f>
        <v/>
      </c>
      <c r="T13" s="21">
        <f>EXP(-UFR*($A13+T$2))*(Alpha*MIN($A13,T$2)-0.5*EXP(-Alpha*MAX($A13,T$2))*(EXP(Alpha*MIN($A13,T$2))-EXP(-Alpha*MIN($A13,T$2))))</f>
        <v/>
      </c>
      <c r="U13" s="21">
        <f>EXP(-UFR*($A13+U$2))*(Alpha*MIN($A13,U$2)-0.5*EXP(-Alpha*MAX($A13,U$2))*(EXP(Alpha*MIN($A13,U$2))-EXP(-Alpha*MIN($A13,U$2))))</f>
        <v/>
      </c>
      <c r="V13" s="21">
        <f>EXP(-UFR*($A13+V$2))*(Alpha*MIN($A13,V$2)-0.5*EXP(-Alpha*MAX($A13,V$2))*(EXP(Alpha*MIN($A13,V$2))-EXP(-Alpha*MIN($A13,V$2))))</f>
        <v/>
      </c>
      <c r="W13" s="21">
        <f>EXP(-UFR*($A13+W$2))*(Alpha*MIN($A13,W$2)-0.5*EXP(-Alpha*MAX($A13,W$2))*(EXP(Alpha*MIN($A13,W$2))-EXP(-Alpha*MIN($A13,W$2))))</f>
        <v/>
      </c>
      <c r="X13" s="21">
        <f>EXP(-UFR*($A13+X$2))*(Alpha*MIN($A13,X$2)-0.5*EXP(-Alpha*MAX($A13,X$2))*(EXP(Alpha*MIN($A13,X$2))-EXP(-Alpha*MIN($A13,X$2))))</f>
        <v/>
      </c>
      <c r="Y13" s="21">
        <f>EXP(-UFR*($A13+Y$2))*(Alpha*MIN($A13,Y$2)-0.5*EXP(-Alpha*MAX($A13,Y$2))*(EXP(Alpha*MIN($A13,Y$2))-EXP(-Alpha*MIN($A13,Y$2))))</f>
        <v/>
      </c>
      <c r="Z13" s="21">
        <f>EXP(-UFR*($A13+Z$2))*(Alpha*MIN($A13,Z$2)-0.5*EXP(-Alpha*MAX($A13,Z$2))*(EXP(Alpha*MIN($A13,Z$2))-EXP(-Alpha*MIN($A13,Z$2))))</f>
        <v/>
      </c>
    </row>
    <row r="14">
      <c r="A14" s="20">
        <f>A13+1</f>
        <v/>
      </c>
      <c r="B14" s="21">
        <f>EXP(-UFR*($A14+B$2))*(Alpha*MIN($A14,B$2)-0.5*EXP(-Alpha*MAX($A14,B$2))*(EXP(Alpha*MIN($A14,B$2))-EXP(-Alpha*MIN($A14,B$2))))</f>
        <v/>
      </c>
      <c r="C14" s="21">
        <f>EXP(-UFR*($A14+C$2))*(Alpha*MIN($A14,C$2)-0.5*EXP(-Alpha*MAX($A14,C$2))*(EXP(Alpha*MIN($A14,C$2))-EXP(-Alpha*MIN($A14,C$2))))</f>
        <v/>
      </c>
      <c r="D14" s="21">
        <f>EXP(-UFR*($A14+D$2))*(Alpha*MIN($A14,D$2)-0.5*EXP(-Alpha*MAX($A14,D$2))*(EXP(Alpha*MIN($A14,D$2))-EXP(-Alpha*MIN($A14,D$2))))</f>
        <v/>
      </c>
      <c r="E14" s="21">
        <f>EXP(-UFR*($A14+E$2))*(Alpha*MIN($A14,E$2)-0.5*EXP(-Alpha*MAX($A14,E$2))*(EXP(Alpha*MIN($A14,E$2))-EXP(-Alpha*MIN($A14,E$2))))</f>
        <v/>
      </c>
      <c r="F14" s="21">
        <f>EXP(-UFR*($A14+F$2))*(Alpha*MIN($A14,F$2)-0.5*EXP(-Alpha*MAX($A14,F$2))*(EXP(Alpha*MIN($A14,F$2))-EXP(-Alpha*MIN($A14,F$2))))</f>
        <v/>
      </c>
      <c r="G14" s="21">
        <f>EXP(-UFR*($A14+G$2))*(Alpha*MIN($A14,G$2)-0.5*EXP(-Alpha*MAX($A14,G$2))*(EXP(Alpha*MIN($A14,G$2))-EXP(-Alpha*MIN($A14,G$2))))</f>
        <v/>
      </c>
      <c r="H14" s="21">
        <f>EXP(-UFR*($A14+H$2))*(Alpha*MIN($A14,H$2)-0.5*EXP(-Alpha*MAX($A14,H$2))*(EXP(Alpha*MIN($A14,H$2))-EXP(-Alpha*MIN($A14,H$2))))</f>
        <v/>
      </c>
      <c r="I14" s="21">
        <f>EXP(-UFR*($A14+I$2))*(Alpha*MIN($A14,I$2)-0.5*EXP(-Alpha*MAX($A14,I$2))*(EXP(Alpha*MIN($A14,I$2))-EXP(-Alpha*MIN($A14,I$2))))</f>
        <v/>
      </c>
      <c r="J14" s="21">
        <f>EXP(-UFR*($A14+J$2))*(Alpha*MIN($A14,J$2)-0.5*EXP(-Alpha*MAX($A14,J$2))*(EXP(Alpha*MIN($A14,J$2))-EXP(-Alpha*MIN($A14,J$2))))</f>
        <v/>
      </c>
      <c r="K14" s="21">
        <f>EXP(-UFR*($A14+K$2))*(Alpha*MIN($A14,K$2)-0.5*EXP(-Alpha*MAX($A14,K$2))*(EXP(Alpha*MIN($A14,K$2))-EXP(-Alpha*MIN($A14,K$2))))</f>
        <v/>
      </c>
      <c r="L14" s="21">
        <f>EXP(-UFR*($A14+L$2))*(Alpha*MIN($A14,L$2)-0.5*EXP(-Alpha*MAX($A14,L$2))*(EXP(Alpha*MIN($A14,L$2))-EXP(-Alpha*MIN($A14,L$2))))</f>
        <v/>
      </c>
      <c r="M14" s="21">
        <f>EXP(-UFR*($A14+M$2))*(Alpha*MIN($A14,M$2)-0.5*EXP(-Alpha*MAX($A14,M$2))*(EXP(Alpha*MIN($A14,M$2))-EXP(-Alpha*MIN($A14,M$2))))</f>
        <v/>
      </c>
      <c r="N14" s="21">
        <f>EXP(-UFR*($A14+N$2))*(Alpha*MIN($A14,N$2)-0.5*EXP(-Alpha*MAX($A14,N$2))*(EXP(Alpha*MIN($A14,N$2))-EXP(-Alpha*MIN($A14,N$2))))</f>
        <v/>
      </c>
      <c r="O14" s="21">
        <f>EXP(-UFR*($A14+O$2))*(Alpha*MIN($A14,O$2)-0.5*EXP(-Alpha*MAX($A14,O$2))*(EXP(Alpha*MIN($A14,O$2))-EXP(-Alpha*MIN($A14,O$2))))</f>
        <v/>
      </c>
      <c r="P14" s="21">
        <f>EXP(-UFR*($A14+P$2))*(Alpha*MIN($A14,P$2)-0.5*EXP(-Alpha*MAX($A14,P$2))*(EXP(Alpha*MIN($A14,P$2))-EXP(-Alpha*MIN($A14,P$2))))</f>
        <v/>
      </c>
      <c r="Q14" s="21">
        <f>EXP(-UFR*($A14+Q$2))*(Alpha*MIN($A14,Q$2)-0.5*EXP(-Alpha*MAX($A14,Q$2))*(EXP(Alpha*MIN($A14,Q$2))-EXP(-Alpha*MIN($A14,Q$2))))</f>
        <v/>
      </c>
      <c r="R14" s="21">
        <f>EXP(-UFR*($A14+R$2))*(Alpha*MIN($A14,R$2)-0.5*EXP(-Alpha*MAX($A14,R$2))*(EXP(Alpha*MIN($A14,R$2))-EXP(-Alpha*MIN($A14,R$2))))</f>
        <v/>
      </c>
      <c r="S14" s="21">
        <f>EXP(-UFR*($A14+S$2))*(Alpha*MIN($A14,S$2)-0.5*EXP(-Alpha*MAX($A14,S$2))*(EXP(Alpha*MIN($A14,S$2))-EXP(-Alpha*MIN($A14,S$2))))</f>
        <v/>
      </c>
      <c r="T14" s="21">
        <f>EXP(-UFR*($A14+T$2))*(Alpha*MIN($A14,T$2)-0.5*EXP(-Alpha*MAX($A14,T$2))*(EXP(Alpha*MIN($A14,T$2))-EXP(-Alpha*MIN($A14,T$2))))</f>
        <v/>
      </c>
      <c r="U14" s="21">
        <f>EXP(-UFR*($A14+U$2))*(Alpha*MIN($A14,U$2)-0.5*EXP(-Alpha*MAX($A14,U$2))*(EXP(Alpha*MIN($A14,U$2))-EXP(-Alpha*MIN($A14,U$2))))</f>
        <v/>
      </c>
      <c r="V14" s="21">
        <f>EXP(-UFR*($A14+V$2))*(Alpha*MIN($A14,V$2)-0.5*EXP(-Alpha*MAX($A14,V$2))*(EXP(Alpha*MIN($A14,V$2))-EXP(-Alpha*MIN($A14,V$2))))</f>
        <v/>
      </c>
      <c r="W14" s="21">
        <f>EXP(-UFR*($A14+W$2))*(Alpha*MIN($A14,W$2)-0.5*EXP(-Alpha*MAX($A14,W$2))*(EXP(Alpha*MIN($A14,W$2))-EXP(-Alpha*MIN($A14,W$2))))</f>
        <v/>
      </c>
      <c r="X14" s="21">
        <f>EXP(-UFR*($A14+X$2))*(Alpha*MIN($A14,X$2)-0.5*EXP(-Alpha*MAX($A14,X$2))*(EXP(Alpha*MIN($A14,X$2))-EXP(-Alpha*MIN($A14,X$2))))</f>
        <v/>
      </c>
      <c r="Y14" s="21">
        <f>EXP(-UFR*($A14+Y$2))*(Alpha*MIN($A14,Y$2)-0.5*EXP(-Alpha*MAX($A14,Y$2))*(EXP(Alpha*MIN($A14,Y$2))-EXP(-Alpha*MIN($A14,Y$2))))</f>
        <v/>
      </c>
      <c r="Z14" s="21">
        <f>EXP(-UFR*($A14+Z$2))*(Alpha*MIN($A14,Z$2)-0.5*EXP(-Alpha*MAX($A14,Z$2))*(EXP(Alpha*MIN($A14,Z$2))-EXP(-Alpha*MIN($A14,Z$2))))</f>
        <v/>
      </c>
    </row>
    <row r="15">
      <c r="A15" s="20">
        <f>A14+1</f>
        <v/>
      </c>
      <c r="B15" s="21">
        <f>EXP(-UFR*($A15+B$2))*(Alpha*MIN($A15,B$2)-0.5*EXP(-Alpha*MAX($A15,B$2))*(EXP(Alpha*MIN($A15,B$2))-EXP(-Alpha*MIN($A15,B$2))))</f>
        <v/>
      </c>
      <c r="C15" s="21">
        <f>EXP(-UFR*($A15+C$2))*(Alpha*MIN($A15,C$2)-0.5*EXP(-Alpha*MAX($A15,C$2))*(EXP(Alpha*MIN($A15,C$2))-EXP(-Alpha*MIN($A15,C$2))))</f>
        <v/>
      </c>
      <c r="D15" s="21">
        <f>EXP(-UFR*($A15+D$2))*(Alpha*MIN($A15,D$2)-0.5*EXP(-Alpha*MAX($A15,D$2))*(EXP(Alpha*MIN($A15,D$2))-EXP(-Alpha*MIN($A15,D$2))))</f>
        <v/>
      </c>
      <c r="E15" s="21">
        <f>EXP(-UFR*($A15+E$2))*(Alpha*MIN($A15,E$2)-0.5*EXP(-Alpha*MAX($A15,E$2))*(EXP(Alpha*MIN($A15,E$2))-EXP(-Alpha*MIN($A15,E$2))))</f>
        <v/>
      </c>
      <c r="F15" s="21">
        <f>EXP(-UFR*($A15+F$2))*(Alpha*MIN($A15,F$2)-0.5*EXP(-Alpha*MAX($A15,F$2))*(EXP(Alpha*MIN($A15,F$2))-EXP(-Alpha*MIN($A15,F$2))))</f>
        <v/>
      </c>
      <c r="G15" s="21">
        <f>EXP(-UFR*($A15+G$2))*(Alpha*MIN($A15,G$2)-0.5*EXP(-Alpha*MAX($A15,G$2))*(EXP(Alpha*MIN($A15,G$2))-EXP(-Alpha*MIN($A15,G$2))))</f>
        <v/>
      </c>
      <c r="H15" s="21">
        <f>EXP(-UFR*($A15+H$2))*(Alpha*MIN($A15,H$2)-0.5*EXP(-Alpha*MAX($A15,H$2))*(EXP(Alpha*MIN($A15,H$2))-EXP(-Alpha*MIN($A15,H$2))))</f>
        <v/>
      </c>
      <c r="I15" s="21">
        <f>EXP(-UFR*($A15+I$2))*(Alpha*MIN($A15,I$2)-0.5*EXP(-Alpha*MAX($A15,I$2))*(EXP(Alpha*MIN($A15,I$2))-EXP(-Alpha*MIN($A15,I$2))))</f>
        <v/>
      </c>
      <c r="J15" s="21">
        <f>EXP(-UFR*($A15+J$2))*(Alpha*MIN($A15,J$2)-0.5*EXP(-Alpha*MAX($A15,J$2))*(EXP(Alpha*MIN($A15,J$2))-EXP(-Alpha*MIN($A15,J$2))))</f>
        <v/>
      </c>
      <c r="K15" s="21">
        <f>EXP(-UFR*($A15+K$2))*(Alpha*MIN($A15,K$2)-0.5*EXP(-Alpha*MAX($A15,K$2))*(EXP(Alpha*MIN($A15,K$2))-EXP(-Alpha*MIN($A15,K$2))))</f>
        <v/>
      </c>
      <c r="L15" s="21">
        <f>EXP(-UFR*($A15+L$2))*(Alpha*MIN($A15,L$2)-0.5*EXP(-Alpha*MAX($A15,L$2))*(EXP(Alpha*MIN($A15,L$2))-EXP(-Alpha*MIN($A15,L$2))))</f>
        <v/>
      </c>
      <c r="M15" s="21">
        <f>EXP(-UFR*($A15+M$2))*(Alpha*MIN($A15,M$2)-0.5*EXP(-Alpha*MAX($A15,M$2))*(EXP(Alpha*MIN($A15,M$2))-EXP(-Alpha*MIN($A15,M$2))))</f>
        <v/>
      </c>
      <c r="N15" s="21">
        <f>EXP(-UFR*($A15+N$2))*(Alpha*MIN($A15,N$2)-0.5*EXP(-Alpha*MAX($A15,N$2))*(EXP(Alpha*MIN($A15,N$2))-EXP(-Alpha*MIN($A15,N$2))))</f>
        <v/>
      </c>
      <c r="O15" s="21">
        <f>EXP(-UFR*($A15+O$2))*(Alpha*MIN($A15,O$2)-0.5*EXP(-Alpha*MAX($A15,O$2))*(EXP(Alpha*MIN($A15,O$2))-EXP(-Alpha*MIN($A15,O$2))))</f>
        <v/>
      </c>
      <c r="P15" s="21">
        <f>EXP(-UFR*($A15+P$2))*(Alpha*MIN($A15,P$2)-0.5*EXP(-Alpha*MAX($A15,P$2))*(EXP(Alpha*MIN($A15,P$2))-EXP(-Alpha*MIN($A15,P$2))))</f>
        <v/>
      </c>
      <c r="Q15" s="21">
        <f>EXP(-UFR*($A15+Q$2))*(Alpha*MIN($A15,Q$2)-0.5*EXP(-Alpha*MAX($A15,Q$2))*(EXP(Alpha*MIN($A15,Q$2))-EXP(-Alpha*MIN($A15,Q$2))))</f>
        <v/>
      </c>
      <c r="R15" s="21">
        <f>EXP(-UFR*($A15+R$2))*(Alpha*MIN($A15,R$2)-0.5*EXP(-Alpha*MAX($A15,R$2))*(EXP(Alpha*MIN($A15,R$2))-EXP(-Alpha*MIN($A15,R$2))))</f>
        <v/>
      </c>
      <c r="S15" s="21">
        <f>EXP(-UFR*($A15+S$2))*(Alpha*MIN($A15,S$2)-0.5*EXP(-Alpha*MAX($A15,S$2))*(EXP(Alpha*MIN($A15,S$2))-EXP(-Alpha*MIN($A15,S$2))))</f>
        <v/>
      </c>
      <c r="T15" s="21">
        <f>EXP(-UFR*($A15+T$2))*(Alpha*MIN($A15,T$2)-0.5*EXP(-Alpha*MAX($A15,T$2))*(EXP(Alpha*MIN($A15,T$2))-EXP(-Alpha*MIN($A15,T$2))))</f>
        <v/>
      </c>
      <c r="U15" s="21">
        <f>EXP(-UFR*($A15+U$2))*(Alpha*MIN($A15,U$2)-0.5*EXP(-Alpha*MAX($A15,U$2))*(EXP(Alpha*MIN($A15,U$2))-EXP(-Alpha*MIN($A15,U$2))))</f>
        <v/>
      </c>
      <c r="V15" s="21">
        <f>EXP(-UFR*($A15+V$2))*(Alpha*MIN($A15,V$2)-0.5*EXP(-Alpha*MAX($A15,V$2))*(EXP(Alpha*MIN($A15,V$2))-EXP(-Alpha*MIN($A15,V$2))))</f>
        <v/>
      </c>
      <c r="W15" s="21">
        <f>EXP(-UFR*($A15+W$2))*(Alpha*MIN($A15,W$2)-0.5*EXP(-Alpha*MAX($A15,W$2))*(EXP(Alpha*MIN($A15,W$2))-EXP(-Alpha*MIN($A15,W$2))))</f>
        <v/>
      </c>
      <c r="X15" s="21">
        <f>EXP(-UFR*($A15+X$2))*(Alpha*MIN($A15,X$2)-0.5*EXP(-Alpha*MAX($A15,X$2))*(EXP(Alpha*MIN($A15,X$2))-EXP(-Alpha*MIN($A15,X$2))))</f>
        <v/>
      </c>
      <c r="Y15" s="21">
        <f>EXP(-UFR*($A15+Y$2))*(Alpha*MIN($A15,Y$2)-0.5*EXP(-Alpha*MAX($A15,Y$2))*(EXP(Alpha*MIN($A15,Y$2))-EXP(-Alpha*MIN($A15,Y$2))))</f>
        <v/>
      </c>
      <c r="Z15" s="21">
        <f>EXP(-UFR*($A15+Z$2))*(Alpha*MIN($A15,Z$2)-0.5*EXP(-Alpha*MAX($A15,Z$2))*(EXP(Alpha*MIN($A15,Z$2))-EXP(-Alpha*MIN($A15,Z$2))))</f>
        <v/>
      </c>
    </row>
    <row r="16">
      <c r="A16" s="20">
        <f>A15+1</f>
        <v/>
      </c>
      <c r="B16" s="21">
        <f>EXP(-UFR*($A16+B$2))*(Alpha*MIN($A16,B$2)-0.5*EXP(-Alpha*MAX($A16,B$2))*(EXP(Alpha*MIN($A16,B$2))-EXP(-Alpha*MIN($A16,B$2))))</f>
        <v/>
      </c>
      <c r="C16" s="21">
        <f>EXP(-UFR*($A16+C$2))*(Alpha*MIN($A16,C$2)-0.5*EXP(-Alpha*MAX($A16,C$2))*(EXP(Alpha*MIN($A16,C$2))-EXP(-Alpha*MIN($A16,C$2))))</f>
        <v/>
      </c>
      <c r="D16" s="21">
        <f>EXP(-UFR*($A16+D$2))*(Alpha*MIN($A16,D$2)-0.5*EXP(-Alpha*MAX($A16,D$2))*(EXP(Alpha*MIN($A16,D$2))-EXP(-Alpha*MIN($A16,D$2))))</f>
        <v/>
      </c>
      <c r="E16" s="21">
        <f>EXP(-UFR*($A16+E$2))*(Alpha*MIN($A16,E$2)-0.5*EXP(-Alpha*MAX($A16,E$2))*(EXP(Alpha*MIN($A16,E$2))-EXP(-Alpha*MIN($A16,E$2))))</f>
        <v/>
      </c>
      <c r="F16" s="21">
        <f>EXP(-UFR*($A16+F$2))*(Alpha*MIN($A16,F$2)-0.5*EXP(-Alpha*MAX($A16,F$2))*(EXP(Alpha*MIN($A16,F$2))-EXP(-Alpha*MIN($A16,F$2))))</f>
        <v/>
      </c>
      <c r="G16" s="21">
        <f>EXP(-UFR*($A16+G$2))*(Alpha*MIN($A16,G$2)-0.5*EXP(-Alpha*MAX($A16,G$2))*(EXP(Alpha*MIN($A16,G$2))-EXP(-Alpha*MIN($A16,G$2))))</f>
        <v/>
      </c>
      <c r="H16" s="21">
        <f>EXP(-UFR*($A16+H$2))*(Alpha*MIN($A16,H$2)-0.5*EXP(-Alpha*MAX($A16,H$2))*(EXP(Alpha*MIN($A16,H$2))-EXP(-Alpha*MIN($A16,H$2))))</f>
        <v/>
      </c>
      <c r="I16" s="21">
        <f>EXP(-UFR*($A16+I$2))*(Alpha*MIN($A16,I$2)-0.5*EXP(-Alpha*MAX($A16,I$2))*(EXP(Alpha*MIN($A16,I$2))-EXP(-Alpha*MIN($A16,I$2))))</f>
        <v/>
      </c>
      <c r="J16" s="21">
        <f>EXP(-UFR*($A16+J$2))*(Alpha*MIN($A16,J$2)-0.5*EXP(-Alpha*MAX($A16,J$2))*(EXP(Alpha*MIN($A16,J$2))-EXP(-Alpha*MIN($A16,J$2))))</f>
        <v/>
      </c>
      <c r="K16" s="21">
        <f>EXP(-UFR*($A16+K$2))*(Alpha*MIN($A16,K$2)-0.5*EXP(-Alpha*MAX($A16,K$2))*(EXP(Alpha*MIN($A16,K$2))-EXP(-Alpha*MIN($A16,K$2))))</f>
        <v/>
      </c>
      <c r="L16" s="21">
        <f>EXP(-UFR*($A16+L$2))*(Alpha*MIN($A16,L$2)-0.5*EXP(-Alpha*MAX($A16,L$2))*(EXP(Alpha*MIN($A16,L$2))-EXP(-Alpha*MIN($A16,L$2))))</f>
        <v/>
      </c>
      <c r="M16" s="21">
        <f>EXP(-UFR*($A16+M$2))*(Alpha*MIN($A16,M$2)-0.5*EXP(-Alpha*MAX($A16,M$2))*(EXP(Alpha*MIN($A16,M$2))-EXP(-Alpha*MIN($A16,M$2))))</f>
        <v/>
      </c>
      <c r="N16" s="21">
        <f>EXP(-UFR*($A16+N$2))*(Alpha*MIN($A16,N$2)-0.5*EXP(-Alpha*MAX($A16,N$2))*(EXP(Alpha*MIN($A16,N$2))-EXP(-Alpha*MIN($A16,N$2))))</f>
        <v/>
      </c>
      <c r="O16" s="21">
        <f>EXP(-UFR*($A16+O$2))*(Alpha*MIN($A16,O$2)-0.5*EXP(-Alpha*MAX($A16,O$2))*(EXP(Alpha*MIN($A16,O$2))-EXP(-Alpha*MIN($A16,O$2))))</f>
        <v/>
      </c>
      <c r="P16" s="21">
        <f>EXP(-UFR*($A16+P$2))*(Alpha*MIN($A16,P$2)-0.5*EXP(-Alpha*MAX($A16,P$2))*(EXP(Alpha*MIN($A16,P$2))-EXP(-Alpha*MIN($A16,P$2))))</f>
        <v/>
      </c>
      <c r="Q16" s="21">
        <f>EXP(-UFR*($A16+Q$2))*(Alpha*MIN($A16,Q$2)-0.5*EXP(-Alpha*MAX($A16,Q$2))*(EXP(Alpha*MIN($A16,Q$2))-EXP(-Alpha*MIN($A16,Q$2))))</f>
        <v/>
      </c>
      <c r="R16" s="21">
        <f>EXP(-UFR*($A16+R$2))*(Alpha*MIN($A16,R$2)-0.5*EXP(-Alpha*MAX($A16,R$2))*(EXP(Alpha*MIN($A16,R$2))-EXP(-Alpha*MIN($A16,R$2))))</f>
        <v/>
      </c>
      <c r="S16" s="21">
        <f>EXP(-UFR*($A16+S$2))*(Alpha*MIN($A16,S$2)-0.5*EXP(-Alpha*MAX($A16,S$2))*(EXP(Alpha*MIN($A16,S$2))-EXP(-Alpha*MIN($A16,S$2))))</f>
        <v/>
      </c>
      <c r="T16" s="21">
        <f>EXP(-UFR*($A16+T$2))*(Alpha*MIN($A16,T$2)-0.5*EXP(-Alpha*MAX($A16,T$2))*(EXP(Alpha*MIN($A16,T$2))-EXP(-Alpha*MIN($A16,T$2))))</f>
        <v/>
      </c>
      <c r="U16" s="21">
        <f>EXP(-UFR*($A16+U$2))*(Alpha*MIN($A16,U$2)-0.5*EXP(-Alpha*MAX($A16,U$2))*(EXP(Alpha*MIN($A16,U$2))-EXP(-Alpha*MIN($A16,U$2))))</f>
        <v/>
      </c>
      <c r="V16" s="21">
        <f>EXP(-UFR*($A16+V$2))*(Alpha*MIN($A16,V$2)-0.5*EXP(-Alpha*MAX($A16,V$2))*(EXP(Alpha*MIN($A16,V$2))-EXP(-Alpha*MIN($A16,V$2))))</f>
        <v/>
      </c>
      <c r="W16" s="21">
        <f>EXP(-UFR*($A16+W$2))*(Alpha*MIN($A16,W$2)-0.5*EXP(-Alpha*MAX($A16,W$2))*(EXP(Alpha*MIN($A16,W$2))-EXP(-Alpha*MIN($A16,W$2))))</f>
        <v/>
      </c>
      <c r="X16" s="21">
        <f>EXP(-UFR*($A16+X$2))*(Alpha*MIN($A16,X$2)-0.5*EXP(-Alpha*MAX($A16,X$2))*(EXP(Alpha*MIN($A16,X$2))-EXP(-Alpha*MIN($A16,X$2))))</f>
        <v/>
      </c>
      <c r="Y16" s="21">
        <f>EXP(-UFR*($A16+Y$2))*(Alpha*MIN($A16,Y$2)-0.5*EXP(-Alpha*MAX($A16,Y$2))*(EXP(Alpha*MIN($A16,Y$2))-EXP(-Alpha*MIN($A16,Y$2))))</f>
        <v/>
      </c>
      <c r="Z16" s="21">
        <f>EXP(-UFR*($A16+Z$2))*(Alpha*MIN($A16,Z$2)-0.5*EXP(-Alpha*MAX($A16,Z$2))*(EXP(Alpha*MIN($A16,Z$2))-EXP(-Alpha*MIN($A16,Z$2))))</f>
        <v/>
      </c>
    </row>
    <row r="17">
      <c r="A17" s="20">
        <f>A16+1</f>
        <v/>
      </c>
      <c r="B17" s="21">
        <f>EXP(-UFR*($A17+B$2))*(Alpha*MIN($A17,B$2)-0.5*EXP(-Alpha*MAX($A17,B$2))*(EXP(Alpha*MIN($A17,B$2))-EXP(-Alpha*MIN($A17,B$2))))</f>
        <v/>
      </c>
      <c r="C17" s="21">
        <f>EXP(-UFR*($A17+C$2))*(Alpha*MIN($A17,C$2)-0.5*EXP(-Alpha*MAX($A17,C$2))*(EXP(Alpha*MIN($A17,C$2))-EXP(-Alpha*MIN($A17,C$2))))</f>
        <v/>
      </c>
      <c r="D17" s="21">
        <f>EXP(-UFR*($A17+D$2))*(Alpha*MIN($A17,D$2)-0.5*EXP(-Alpha*MAX($A17,D$2))*(EXP(Alpha*MIN($A17,D$2))-EXP(-Alpha*MIN($A17,D$2))))</f>
        <v/>
      </c>
      <c r="E17" s="21">
        <f>EXP(-UFR*($A17+E$2))*(Alpha*MIN($A17,E$2)-0.5*EXP(-Alpha*MAX($A17,E$2))*(EXP(Alpha*MIN($A17,E$2))-EXP(-Alpha*MIN($A17,E$2))))</f>
        <v/>
      </c>
      <c r="F17" s="21">
        <f>EXP(-UFR*($A17+F$2))*(Alpha*MIN($A17,F$2)-0.5*EXP(-Alpha*MAX($A17,F$2))*(EXP(Alpha*MIN($A17,F$2))-EXP(-Alpha*MIN($A17,F$2))))</f>
        <v/>
      </c>
      <c r="G17" s="21">
        <f>EXP(-UFR*($A17+G$2))*(Alpha*MIN($A17,G$2)-0.5*EXP(-Alpha*MAX($A17,G$2))*(EXP(Alpha*MIN($A17,G$2))-EXP(-Alpha*MIN($A17,G$2))))</f>
        <v/>
      </c>
      <c r="H17" s="21">
        <f>EXP(-UFR*($A17+H$2))*(Alpha*MIN($A17,H$2)-0.5*EXP(-Alpha*MAX($A17,H$2))*(EXP(Alpha*MIN($A17,H$2))-EXP(-Alpha*MIN($A17,H$2))))</f>
        <v/>
      </c>
      <c r="I17" s="21">
        <f>EXP(-UFR*($A17+I$2))*(Alpha*MIN($A17,I$2)-0.5*EXP(-Alpha*MAX($A17,I$2))*(EXP(Alpha*MIN($A17,I$2))-EXP(-Alpha*MIN($A17,I$2))))</f>
        <v/>
      </c>
      <c r="J17" s="21">
        <f>EXP(-UFR*($A17+J$2))*(Alpha*MIN($A17,J$2)-0.5*EXP(-Alpha*MAX($A17,J$2))*(EXP(Alpha*MIN($A17,J$2))-EXP(-Alpha*MIN($A17,J$2))))</f>
        <v/>
      </c>
      <c r="K17" s="21">
        <f>EXP(-UFR*($A17+K$2))*(Alpha*MIN($A17,K$2)-0.5*EXP(-Alpha*MAX($A17,K$2))*(EXP(Alpha*MIN($A17,K$2))-EXP(-Alpha*MIN($A17,K$2))))</f>
        <v/>
      </c>
      <c r="L17" s="21">
        <f>EXP(-UFR*($A17+L$2))*(Alpha*MIN($A17,L$2)-0.5*EXP(-Alpha*MAX($A17,L$2))*(EXP(Alpha*MIN($A17,L$2))-EXP(-Alpha*MIN($A17,L$2))))</f>
        <v/>
      </c>
      <c r="M17" s="21">
        <f>EXP(-UFR*($A17+M$2))*(Alpha*MIN($A17,M$2)-0.5*EXP(-Alpha*MAX($A17,M$2))*(EXP(Alpha*MIN($A17,M$2))-EXP(-Alpha*MIN($A17,M$2))))</f>
        <v/>
      </c>
      <c r="N17" s="21">
        <f>EXP(-UFR*($A17+N$2))*(Alpha*MIN($A17,N$2)-0.5*EXP(-Alpha*MAX($A17,N$2))*(EXP(Alpha*MIN($A17,N$2))-EXP(-Alpha*MIN($A17,N$2))))</f>
        <v/>
      </c>
      <c r="O17" s="21">
        <f>EXP(-UFR*($A17+O$2))*(Alpha*MIN($A17,O$2)-0.5*EXP(-Alpha*MAX($A17,O$2))*(EXP(Alpha*MIN($A17,O$2))-EXP(-Alpha*MIN($A17,O$2))))</f>
        <v/>
      </c>
      <c r="P17" s="21">
        <f>EXP(-UFR*($A17+P$2))*(Alpha*MIN($A17,P$2)-0.5*EXP(-Alpha*MAX($A17,P$2))*(EXP(Alpha*MIN($A17,P$2))-EXP(-Alpha*MIN($A17,P$2))))</f>
        <v/>
      </c>
      <c r="Q17" s="21">
        <f>EXP(-UFR*($A17+Q$2))*(Alpha*MIN($A17,Q$2)-0.5*EXP(-Alpha*MAX($A17,Q$2))*(EXP(Alpha*MIN($A17,Q$2))-EXP(-Alpha*MIN($A17,Q$2))))</f>
        <v/>
      </c>
      <c r="R17" s="21">
        <f>EXP(-UFR*($A17+R$2))*(Alpha*MIN($A17,R$2)-0.5*EXP(-Alpha*MAX($A17,R$2))*(EXP(Alpha*MIN($A17,R$2))-EXP(-Alpha*MIN($A17,R$2))))</f>
        <v/>
      </c>
      <c r="S17" s="21">
        <f>EXP(-UFR*($A17+S$2))*(Alpha*MIN($A17,S$2)-0.5*EXP(-Alpha*MAX($A17,S$2))*(EXP(Alpha*MIN($A17,S$2))-EXP(-Alpha*MIN($A17,S$2))))</f>
        <v/>
      </c>
      <c r="T17" s="21">
        <f>EXP(-UFR*($A17+T$2))*(Alpha*MIN($A17,T$2)-0.5*EXP(-Alpha*MAX($A17,T$2))*(EXP(Alpha*MIN($A17,T$2))-EXP(-Alpha*MIN($A17,T$2))))</f>
        <v/>
      </c>
      <c r="U17" s="21">
        <f>EXP(-UFR*($A17+U$2))*(Alpha*MIN($A17,U$2)-0.5*EXP(-Alpha*MAX($A17,U$2))*(EXP(Alpha*MIN($A17,U$2))-EXP(-Alpha*MIN($A17,U$2))))</f>
        <v/>
      </c>
      <c r="V17" s="21">
        <f>EXP(-UFR*($A17+V$2))*(Alpha*MIN($A17,V$2)-0.5*EXP(-Alpha*MAX($A17,V$2))*(EXP(Alpha*MIN($A17,V$2))-EXP(-Alpha*MIN($A17,V$2))))</f>
        <v/>
      </c>
      <c r="W17" s="21">
        <f>EXP(-UFR*($A17+W$2))*(Alpha*MIN($A17,W$2)-0.5*EXP(-Alpha*MAX($A17,W$2))*(EXP(Alpha*MIN($A17,W$2))-EXP(-Alpha*MIN($A17,W$2))))</f>
        <v/>
      </c>
      <c r="X17" s="21">
        <f>EXP(-UFR*($A17+X$2))*(Alpha*MIN($A17,X$2)-0.5*EXP(-Alpha*MAX($A17,X$2))*(EXP(Alpha*MIN($A17,X$2))-EXP(-Alpha*MIN($A17,X$2))))</f>
        <v/>
      </c>
      <c r="Y17" s="21">
        <f>EXP(-UFR*($A17+Y$2))*(Alpha*MIN($A17,Y$2)-0.5*EXP(-Alpha*MAX($A17,Y$2))*(EXP(Alpha*MIN($A17,Y$2))-EXP(-Alpha*MIN($A17,Y$2))))</f>
        <v/>
      </c>
      <c r="Z17" s="21">
        <f>EXP(-UFR*($A17+Z$2))*(Alpha*MIN($A17,Z$2)-0.5*EXP(-Alpha*MAX($A17,Z$2))*(EXP(Alpha*MIN($A17,Z$2))-EXP(-Alpha*MIN($A17,Z$2))))</f>
        <v/>
      </c>
    </row>
    <row r="18">
      <c r="A18" s="20">
        <f>A17+1</f>
        <v/>
      </c>
      <c r="B18" s="21">
        <f>EXP(-UFR*($A18+B$2))*(Alpha*MIN($A18,B$2)-0.5*EXP(-Alpha*MAX($A18,B$2))*(EXP(Alpha*MIN($A18,B$2))-EXP(-Alpha*MIN($A18,B$2))))</f>
        <v/>
      </c>
      <c r="C18" s="21">
        <f>EXP(-UFR*($A18+C$2))*(Alpha*MIN($A18,C$2)-0.5*EXP(-Alpha*MAX($A18,C$2))*(EXP(Alpha*MIN($A18,C$2))-EXP(-Alpha*MIN($A18,C$2))))</f>
        <v/>
      </c>
      <c r="D18" s="21">
        <f>EXP(-UFR*($A18+D$2))*(Alpha*MIN($A18,D$2)-0.5*EXP(-Alpha*MAX($A18,D$2))*(EXP(Alpha*MIN($A18,D$2))-EXP(-Alpha*MIN($A18,D$2))))</f>
        <v/>
      </c>
      <c r="E18" s="21">
        <f>EXP(-UFR*($A18+E$2))*(Alpha*MIN($A18,E$2)-0.5*EXP(-Alpha*MAX($A18,E$2))*(EXP(Alpha*MIN($A18,E$2))-EXP(-Alpha*MIN($A18,E$2))))</f>
        <v/>
      </c>
      <c r="F18" s="21">
        <f>EXP(-UFR*($A18+F$2))*(Alpha*MIN($A18,F$2)-0.5*EXP(-Alpha*MAX($A18,F$2))*(EXP(Alpha*MIN($A18,F$2))-EXP(-Alpha*MIN($A18,F$2))))</f>
        <v/>
      </c>
      <c r="G18" s="21">
        <f>EXP(-UFR*($A18+G$2))*(Alpha*MIN($A18,G$2)-0.5*EXP(-Alpha*MAX($A18,G$2))*(EXP(Alpha*MIN($A18,G$2))-EXP(-Alpha*MIN($A18,G$2))))</f>
        <v/>
      </c>
      <c r="H18" s="21">
        <f>EXP(-UFR*($A18+H$2))*(Alpha*MIN($A18,H$2)-0.5*EXP(-Alpha*MAX($A18,H$2))*(EXP(Alpha*MIN($A18,H$2))-EXP(-Alpha*MIN($A18,H$2))))</f>
        <v/>
      </c>
      <c r="I18" s="21">
        <f>EXP(-UFR*($A18+I$2))*(Alpha*MIN($A18,I$2)-0.5*EXP(-Alpha*MAX($A18,I$2))*(EXP(Alpha*MIN($A18,I$2))-EXP(-Alpha*MIN($A18,I$2))))</f>
        <v/>
      </c>
      <c r="J18" s="21">
        <f>EXP(-UFR*($A18+J$2))*(Alpha*MIN($A18,J$2)-0.5*EXP(-Alpha*MAX($A18,J$2))*(EXP(Alpha*MIN($A18,J$2))-EXP(-Alpha*MIN($A18,J$2))))</f>
        <v/>
      </c>
      <c r="K18" s="21">
        <f>EXP(-UFR*($A18+K$2))*(Alpha*MIN($A18,K$2)-0.5*EXP(-Alpha*MAX($A18,K$2))*(EXP(Alpha*MIN($A18,K$2))-EXP(-Alpha*MIN($A18,K$2))))</f>
        <v/>
      </c>
      <c r="L18" s="21">
        <f>EXP(-UFR*($A18+L$2))*(Alpha*MIN($A18,L$2)-0.5*EXP(-Alpha*MAX($A18,L$2))*(EXP(Alpha*MIN($A18,L$2))-EXP(-Alpha*MIN($A18,L$2))))</f>
        <v/>
      </c>
      <c r="M18" s="21">
        <f>EXP(-UFR*($A18+M$2))*(Alpha*MIN($A18,M$2)-0.5*EXP(-Alpha*MAX($A18,M$2))*(EXP(Alpha*MIN($A18,M$2))-EXP(-Alpha*MIN($A18,M$2))))</f>
        <v/>
      </c>
      <c r="N18" s="21">
        <f>EXP(-UFR*($A18+N$2))*(Alpha*MIN($A18,N$2)-0.5*EXP(-Alpha*MAX($A18,N$2))*(EXP(Alpha*MIN($A18,N$2))-EXP(-Alpha*MIN($A18,N$2))))</f>
        <v/>
      </c>
      <c r="O18" s="21">
        <f>EXP(-UFR*($A18+O$2))*(Alpha*MIN($A18,O$2)-0.5*EXP(-Alpha*MAX($A18,O$2))*(EXP(Alpha*MIN($A18,O$2))-EXP(-Alpha*MIN($A18,O$2))))</f>
        <v/>
      </c>
      <c r="P18" s="21">
        <f>EXP(-UFR*($A18+P$2))*(Alpha*MIN($A18,P$2)-0.5*EXP(-Alpha*MAX($A18,P$2))*(EXP(Alpha*MIN($A18,P$2))-EXP(-Alpha*MIN($A18,P$2))))</f>
        <v/>
      </c>
      <c r="Q18" s="21">
        <f>EXP(-UFR*($A18+Q$2))*(Alpha*MIN($A18,Q$2)-0.5*EXP(-Alpha*MAX($A18,Q$2))*(EXP(Alpha*MIN($A18,Q$2))-EXP(-Alpha*MIN($A18,Q$2))))</f>
        <v/>
      </c>
      <c r="R18" s="21">
        <f>EXP(-UFR*($A18+R$2))*(Alpha*MIN($A18,R$2)-0.5*EXP(-Alpha*MAX($A18,R$2))*(EXP(Alpha*MIN($A18,R$2))-EXP(-Alpha*MIN($A18,R$2))))</f>
        <v/>
      </c>
      <c r="S18" s="21">
        <f>EXP(-UFR*($A18+S$2))*(Alpha*MIN($A18,S$2)-0.5*EXP(-Alpha*MAX($A18,S$2))*(EXP(Alpha*MIN($A18,S$2))-EXP(-Alpha*MIN($A18,S$2))))</f>
        <v/>
      </c>
      <c r="T18" s="21">
        <f>EXP(-UFR*($A18+T$2))*(Alpha*MIN($A18,T$2)-0.5*EXP(-Alpha*MAX($A18,T$2))*(EXP(Alpha*MIN($A18,T$2))-EXP(-Alpha*MIN($A18,T$2))))</f>
        <v/>
      </c>
      <c r="U18" s="21">
        <f>EXP(-UFR*($A18+U$2))*(Alpha*MIN($A18,U$2)-0.5*EXP(-Alpha*MAX($A18,U$2))*(EXP(Alpha*MIN($A18,U$2))-EXP(-Alpha*MIN($A18,U$2))))</f>
        <v/>
      </c>
      <c r="V18" s="21">
        <f>EXP(-UFR*($A18+V$2))*(Alpha*MIN($A18,V$2)-0.5*EXP(-Alpha*MAX($A18,V$2))*(EXP(Alpha*MIN($A18,V$2))-EXP(-Alpha*MIN($A18,V$2))))</f>
        <v/>
      </c>
      <c r="W18" s="21">
        <f>EXP(-UFR*($A18+W$2))*(Alpha*MIN($A18,W$2)-0.5*EXP(-Alpha*MAX($A18,W$2))*(EXP(Alpha*MIN($A18,W$2))-EXP(-Alpha*MIN($A18,W$2))))</f>
        <v/>
      </c>
      <c r="X18" s="21">
        <f>EXP(-UFR*($A18+X$2))*(Alpha*MIN($A18,X$2)-0.5*EXP(-Alpha*MAX($A18,X$2))*(EXP(Alpha*MIN($A18,X$2))-EXP(-Alpha*MIN($A18,X$2))))</f>
        <v/>
      </c>
      <c r="Y18" s="21">
        <f>EXP(-UFR*($A18+Y$2))*(Alpha*MIN($A18,Y$2)-0.5*EXP(-Alpha*MAX($A18,Y$2))*(EXP(Alpha*MIN($A18,Y$2))-EXP(-Alpha*MIN($A18,Y$2))))</f>
        <v/>
      </c>
      <c r="Z18" s="21">
        <f>EXP(-UFR*($A18+Z$2))*(Alpha*MIN($A18,Z$2)-0.5*EXP(-Alpha*MAX($A18,Z$2))*(EXP(Alpha*MIN($A18,Z$2))-EXP(-Alpha*MIN($A18,Z$2))))</f>
        <v/>
      </c>
    </row>
    <row r="19">
      <c r="A19" s="20">
        <f>A18+1</f>
        <v/>
      </c>
      <c r="B19" s="21">
        <f>EXP(-UFR*($A19+B$2))*(Alpha*MIN($A19,B$2)-0.5*EXP(-Alpha*MAX($A19,B$2))*(EXP(Alpha*MIN($A19,B$2))-EXP(-Alpha*MIN($A19,B$2))))</f>
        <v/>
      </c>
      <c r="C19" s="21">
        <f>EXP(-UFR*($A19+C$2))*(Alpha*MIN($A19,C$2)-0.5*EXP(-Alpha*MAX($A19,C$2))*(EXP(Alpha*MIN($A19,C$2))-EXP(-Alpha*MIN($A19,C$2))))</f>
        <v/>
      </c>
      <c r="D19" s="21">
        <f>EXP(-UFR*($A19+D$2))*(Alpha*MIN($A19,D$2)-0.5*EXP(-Alpha*MAX($A19,D$2))*(EXP(Alpha*MIN($A19,D$2))-EXP(-Alpha*MIN($A19,D$2))))</f>
        <v/>
      </c>
      <c r="E19" s="21">
        <f>EXP(-UFR*($A19+E$2))*(Alpha*MIN($A19,E$2)-0.5*EXP(-Alpha*MAX($A19,E$2))*(EXP(Alpha*MIN($A19,E$2))-EXP(-Alpha*MIN($A19,E$2))))</f>
        <v/>
      </c>
      <c r="F19" s="21">
        <f>EXP(-UFR*($A19+F$2))*(Alpha*MIN($A19,F$2)-0.5*EXP(-Alpha*MAX($A19,F$2))*(EXP(Alpha*MIN($A19,F$2))-EXP(-Alpha*MIN($A19,F$2))))</f>
        <v/>
      </c>
      <c r="G19" s="21">
        <f>EXP(-UFR*($A19+G$2))*(Alpha*MIN($A19,G$2)-0.5*EXP(-Alpha*MAX($A19,G$2))*(EXP(Alpha*MIN($A19,G$2))-EXP(-Alpha*MIN($A19,G$2))))</f>
        <v/>
      </c>
      <c r="H19" s="21">
        <f>EXP(-UFR*($A19+H$2))*(Alpha*MIN($A19,H$2)-0.5*EXP(-Alpha*MAX($A19,H$2))*(EXP(Alpha*MIN($A19,H$2))-EXP(-Alpha*MIN($A19,H$2))))</f>
        <v/>
      </c>
      <c r="I19" s="21">
        <f>EXP(-UFR*($A19+I$2))*(Alpha*MIN($A19,I$2)-0.5*EXP(-Alpha*MAX($A19,I$2))*(EXP(Alpha*MIN($A19,I$2))-EXP(-Alpha*MIN($A19,I$2))))</f>
        <v/>
      </c>
      <c r="J19" s="21">
        <f>EXP(-UFR*($A19+J$2))*(Alpha*MIN($A19,J$2)-0.5*EXP(-Alpha*MAX($A19,J$2))*(EXP(Alpha*MIN($A19,J$2))-EXP(-Alpha*MIN($A19,J$2))))</f>
        <v/>
      </c>
      <c r="K19" s="21">
        <f>EXP(-UFR*($A19+K$2))*(Alpha*MIN($A19,K$2)-0.5*EXP(-Alpha*MAX($A19,K$2))*(EXP(Alpha*MIN($A19,K$2))-EXP(-Alpha*MIN($A19,K$2))))</f>
        <v/>
      </c>
      <c r="L19" s="21">
        <f>EXP(-UFR*($A19+L$2))*(Alpha*MIN($A19,L$2)-0.5*EXP(-Alpha*MAX($A19,L$2))*(EXP(Alpha*MIN($A19,L$2))-EXP(-Alpha*MIN($A19,L$2))))</f>
        <v/>
      </c>
      <c r="M19" s="21">
        <f>EXP(-UFR*($A19+M$2))*(Alpha*MIN($A19,M$2)-0.5*EXP(-Alpha*MAX($A19,M$2))*(EXP(Alpha*MIN($A19,M$2))-EXP(-Alpha*MIN($A19,M$2))))</f>
        <v/>
      </c>
      <c r="N19" s="21">
        <f>EXP(-UFR*($A19+N$2))*(Alpha*MIN($A19,N$2)-0.5*EXP(-Alpha*MAX($A19,N$2))*(EXP(Alpha*MIN($A19,N$2))-EXP(-Alpha*MIN($A19,N$2))))</f>
        <v/>
      </c>
      <c r="O19" s="21">
        <f>EXP(-UFR*($A19+O$2))*(Alpha*MIN($A19,O$2)-0.5*EXP(-Alpha*MAX($A19,O$2))*(EXP(Alpha*MIN($A19,O$2))-EXP(-Alpha*MIN($A19,O$2))))</f>
        <v/>
      </c>
      <c r="P19" s="21">
        <f>EXP(-UFR*($A19+P$2))*(Alpha*MIN($A19,P$2)-0.5*EXP(-Alpha*MAX($A19,P$2))*(EXP(Alpha*MIN($A19,P$2))-EXP(-Alpha*MIN($A19,P$2))))</f>
        <v/>
      </c>
      <c r="Q19" s="21">
        <f>EXP(-UFR*($A19+Q$2))*(Alpha*MIN($A19,Q$2)-0.5*EXP(-Alpha*MAX($A19,Q$2))*(EXP(Alpha*MIN($A19,Q$2))-EXP(-Alpha*MIN($A19,Q$2))))</f>
        <v/>
      </c>
      <c r="R19" s="21">
        <f>EXP(-UFR*($A19+R$2))*(Alpha*MIN($A19,R$2)-0.5*EXP(-Alpha*MAX($A19,R$2))*(EXP(Alpha*MIN($A19,R$2))-EXP(-Alpha*MIN($A19,R$2))))</f>
        <v/>
      </c>
      <c r="S19" s="21">
        <f>EXP(-UFR*($A19+S$2))*(Alpha*MIN($A19,S$2)-0.5*EXP(-Alpha*MAX($A19,S$2))*(EXP(Alpha*MIN($A19,S$2))-EXP(-Alpha*MIN($A19,S$2))))</f>
        <v/>
      </c>
      <c r="T19" s="21">
        <f>EXP(-UFR*($A19+T$2))*(Alpha*MIN($A19,T$2)-0.5*EXP(-Alpha*MAX($A19,T$2))*(EXP(Alpha*MIN($A19,T$2))-EXP(-Alpha*MIN($A19,T$2))))</f>
        <v/>
      </c>
      <c r="U19" s="21">
        <f>EXP(-UFR*($A19+U$2))*(Alpha*MIN($A19,U$2)-0.5*EXP(-Alpha*MAX($A19,U$2))*(EXP(Alpha*MIN($A19,U$2))-EXP(-Alpha*MIN($A19,U$2))))</f>
        <v/>
      </c>
      <c r="V19" s="21">
        <f>EXP(-UFR*($A19+V$2))*(Alpha*MIN($A19,V$2)-0.5*EXP(-Alpha*MAX($A19,V$2))*(EXP(Alpha*MIN($A19,V$2))-EXP(-Alpha*MIN($A19,V$2))))</f>
        <v/>
      </c>
      <c r="W19" s="21">
        <f>EXP(-UFR*($A19+W$2))*(Alpha*MIN($A19,W$2)-0.5*EXP(-Alpha*MAX($A19,W$2))*(EXP(Alpha*MIN($A19,W$2))-EXP(-Alpha*MIN($A19,W$2))))</f>
        <v/>
      </c>
      <c r="X19" s="21">
        <f>EXP(-UFR*($A19+X$2))*(Alpha*MIN($A19,X$2)-0.5*EXP(-Alpha*MAX($A19,X$2))*(EXP(Alpha*MIN($A19,X$2))-EXP(-Alpha*MIN($A19,X$2))))</f>
        <v/>
      </c>
      <c r="Y19" s="21">
        <f>EXP(-UFR*($A19+Y$2))*(Alpha*MIN($A19,Y$2)-0.5*EXP(-Alpha*MAX($A19,Y$2))*(EXP(Alpha*MIN($A19,Y$2))-EXP(-Alpha*MIN($A19,Y$2))))</f>
        <v/>
      </c>
      <c r="Z19" s="21">
        <f>EXP(-UFR*($A19+Z$2))*(Alpha*MIN($A19,Z$2)-0.5*EXP(-Alpha*MAX($A19,Z$2))*(EXP(Alpha*MIN($A19,Z$2))-EXP(-Alpha*MIN($A19,Z$2))))</f>
        <v/>
      </c>
    </row>
    <row r="20">
      <c r="A20" s="20">
        <f>A19+1</f>
        <v/>
      </c>
      <c r="B20" s="21">
        <f>EXP(-UFR*($A20+B$2))*(Alpha*MIN($A20,B$2)-0.5*EXP(-Alpha*MAX($A20,B$2))*(EXP(Alpha*MIN($A20,B$2))-EXP(-Alpha*MIN($A20,B$2))))</f>
        <v/>
      </c>
      <c r="C20" s="21">
        <f>EXP(-UFR*($A20+C$2))*(Alpha*MIN($A20,C$2)-0.5*EXP(-Alpha*MAX($A20,C$2))*(EXP(Alpha*MIN($A20,C$2))-EXP(-Alpha*MIN($A20,C$2))))</f>
        <v/>
      </c>
      <c r="D20" s="21">
        <f>EXP(-UFR*($A20+D$2))*(Alpha*MIN($A20,D$2)-0.5*EXP(-Alpha*MAX($A20,D$2))*(EXP(Alpha*MIN($A20,D$2))-EXP(-Alpha*MIN($A20,D$2))))</f>
        <v/>
      </c>
      <c r="E20" s="21">
        <f>EXP(-UFR*($A20+E$2))*(Alpha*MIN($A20,E$2)-0.5*EXP(-Alpha*MAX($A20,E$2))*(EXP(Alpha*MIN($A20,E$2))-EXP(-Alpha*MIN($A20,E$2))))</f>
        <v/>
      </c>
      <c r="F20" s="21">
        <f>EXP(-UFR*($A20+F$2))*(Alpha*MIN($A20,F$2)-0.5*EXP(-Alpha*MAX($A20,F$2))*(EXP(Alpha*MIN($A20,F$2))-EXP(-Alpha*MIN($A20,F$2))))</f>
        <v/>
      </c>
      <c r="G20" s="21">
        <f>EXP(-UFR*($A20+G$2))*(Alpha*MIN($A20,G$2)-0.5*EXP(-Alpha*MAX($A20,G$2))*(EXP(Alpha*MIN($A20,G$2))-EXP(-Alpha*MIN($A20,G$2))))</f>
        <v/>
      </c>
      <c r="H20" s="21">
        <f>EXP(-UFR*($A20+H$2))*(Alpha*MIN($A20,H$2)-0.5*EXP(-Alpha*MAX($A20,H$2))*(EXP(Alpha*MIN($A20,H$2))-EXP(-Alpha*MIN($A20,H$2))))</f>
        <v/>
      </c>
      <c r="I20" s="21">
        <f>EXP(-UFR*($A20+I$2))*(Alpha*MIN($A20,I$2)-0.5*EXP(-Alpha*MAX($A20,I$2))*(EXP(Alpha*MIN($A20,I$2))-EXP(-Alpha*MIN($A20,I$2))))</f>
        <v/>
      </c>
      <c r="J20" s="21">
        <f>EXP(-UFR*($A20+J$2))*(Alpha*MIN($A20,J$2)-0.5*EXP(-Alpha*MAX($A20,J$2))*(EXP(Alpha*MIN($A20,J$2))-EXP(-Alpha*MIN($A20,J$2))))</f>
        <v/>
      </c>
      <c r="K20" s="21">
        <f>EXP(-UFR*($A20+K$2))*(Alpha*MIN($A20,K$2)-0.5*EXP(-Alpha*MAX($A20,K$2))*(EXP(Alpha*MIN($A20,K$2))-EXP(-Alpha*MIN($A20,K$2))))</f>
        <v/>
      </c>
      <c r="L20" s="21">
        <f>EXP(-UFR*($A20+L$2))*(Alpha*MIN($A20,L$2)-0.5*EXP(-Alpha*MAX($A20,L$2))*(EXP(Alpha*MIN($A20,L$2))-EXP(-Alpha*MIN($A20,L$2))))</f>
        <v/>
      </c>
      <c r="M20" s="21">
        <f>EXP(-UFR*($A20+M$2))*(Alpha*MIN($A20,M$2)-0.5*EXP(-Alpha*MAX($A20,M$2))*(EXP(Alpha*MIN($A20,M$2))-EXP(-Alpha*MIN($A20,M$2))))</f>
        <v/>
      </c>
      <c r="N20" s="21">
        <f>EXP(-UFR*($A20+N$2))*(Alpha*MIN($A20,N$2)-0.5*EXP(-Alpha*MAX($A20,N$2))*(EXP(Alpha*MIN($A20,N$2))-EXP(-Alpha*MIN($A20,N$2))))</f>
        <v/>
      </c>
      <c r="O20" s="21">
        <f>EXP(-UFR*($A20+O$2))*(Alpha*MIN($A20,O$2)-0.5*EXP(-Alpha*MAX($A20,O$2))*(EXP(Alpha*MIN($A20,O$2))-EXP(-Alpha*MIN($A20,O$2))))</f>
        <v/>
      </c>
      <c r="P20" s="21">
        <f>EXP(-UFR*($A20+P$2))*(Alpha*MIN($A20,P$2)-0.5*EXP(-Alpha*MAX($A20,P$2))*(EXP(Alpha*MIN($A20,P$2))-EXP(-Alpha*MIN($A20,P$2))))</f>
        <v/>
      </c>
      <c r="Q20" s="21">
        <f>EXP(-UFR*($A20+Q$2))*(Alpha*MIN($A20,Q$2)-0.5*EXP(-Alpha*MAX($A20,Q$2))*(EXP(Alpha*MIN($A20,Q$2))-EXP(-Alpha*MIN($A20,Q$2))))</f>
        <v/>
      </c>
      <c r="R20" s="21">
        <f>EXP(-UFR*($A20+R$2))*(Alpha*MIN($A20,R$2)-0.5*EXP(-Alpha*MAX($A20,R$2))*(EXP(Alpha*MIN($A20,R$2))-EXP(-Alpha*MIN($A20,R$2))))</f>
        <v/>
      </c>
      <c r="S20" s="21">
        <f>EXP(-UFR*($A20+S$2))*(Alpha*MIN($A20,S$2)-0.5*EXP(-Alpha*MAX($A20,S$2))*(EXP(Alpha*MIN($A20,S$2))-EXP(-Alpha*MIN($A20,S$2))))</f>
        <v/>
      </c>
      <c r="T20" s="21">
        <f>EXP(-UFR*($A20+T$2))*(Alpha*MIN($A20,T$2)-0.5*EXP(-Alpha*MAX($A20,T$2))*(EXP(Alpha*MIN($A20,T$2))-EXP(-Alpha*MIN($A20,T$2))))</f>
        <v/>
      </c>
      <c r="U20" s="21">
        <f>EXP(-UFR*($A20+U$2))*(Alpha*MIN($A20,U$2)-0.5*EXP(-Alpha*MAX($A20,U$2))*(EXP(Alpha*MIN($A20,U$2))-EXP(-Alpha*MIN($A20,U$2))))</f>
        <v/>
      </c>
      <c r="V20" s="21">
        <f>EXP(-UFR*($A20+V$2))*(Alpha*MIN($A20,V$2)-0.5*EXP(-Alpha*MAX($A20,V$2))*(EXP(Alpha*MIN($A20,V$2))-EXP(-Alpha*MIN($A20,V$2))))</f>
        <v/>
      </c>
      <c r="W20" s="21">
        <f>EXP(-UFR*($A20+W$2))*(Alpha*MIN($A20,W$2)-0.5*EXP(-Alpha*MAX($A20,W$2))*(EXP(Alpha*MIN($A20,W$2))-EXP(-Alpha*MIN($A20,W$2))))</f>
        <v/>
      </c>
      <c r="X20" s="21">
        <f>EXP(-UFR*($A20+X$2))*(Alpha*MIN($A20,X$2)-0.5*EXP(-Alpha*MAX($A20,X$2))*(EXP(Alpha*MIN($A20,X$2))-EXP(-Alpha*MIN($A20,X$2))))</f>
        <v/>
      </c>
      <c r="Y20" s="21">
        <f>EXP(-UFR*($A20+Y$2))*(Alpha*MIN($A20,Y$2)-0.5*EXP(-Alpha*MAX($A20,Y$2))*(EXP(Alpha*MIN($A20,Y$2))-EXP(-Alpha*MIN($A20,Y$2))))</f>
        <v/>
      </c>
      <c r="Z20" s="21">
        <f>EXP(-UFR*($A20+Z$2))*(Alpha*MIN($A20,Z$2)-0.5*EXP(-Alpha*MAX($A20,Z$2))*(EXP(Alpha*MIN($A20,Z$2))-EXP(-Alpha*MIN($A20,Z$2))))</f>
        <v/>
      </c>
    </row>
    <row r="21">
      <c r="A21" s="20">
        <f>A20+1</f>
        <v/>
      </c>
      <c r="B21" s="21">
        <f>EXP(-UFR*($A21+B$2))*(Alpha*MIN($A21,B$2)-0.5*EXP(-Alpha*MAX($A21,B$2))*(EXP(Alpha*MIN($A21,B$2))-EXP(-Alpha*MIN($A21,B$2))))</f>
        <v/>
      </c>
      <c r="C21" s="21">
        <f>EXP(-UFR*($A21+C$2))*(Alpha*MIN($A21,C$2)-0.5*EXP(-Alpha*MAX($A21,C$2))*(EXP(Alpha*MIN($A21,C$2))-EXP(-Alpha*MIN($A21,C$2))))</f>
        <v/>
      </c>
      <c r="D21" s="21">
        <f>EXP(-UFR*($A21+D$2))*(Alpha*MIN($A21,D$2)-0.5*EXP(-Alpha*MAX($A21,D$2))*(EXP(Alpha*MIN($A21,D$2))-EXP(-Alpha*MIN($A21,D$2))))</f>
        <v/>
      </c>
      <c r="E21" s="21">
        <f>EXP(-UFR*($A21+E$2))*(Alpha*MIN($A21,E$2)-0.5*EXP(-Alpha*MAX($A21,E$2))*(EXP(Alpha*MIN($A21,E$2))-EXP(-Alpha*MIN($A21,E$2))))</f>
        <v/>
      </c>
      <c r="F21" s="21">
        <f>EXP(-UFR*($A21+F$2))*(Alpha*MIN($A21,F$2)-0.5*EXP(-Alpha*MAX($A21,F$2))*(EXP(Alpha*MIN($A21,F$2))-EXP(-Alpha*MIN($A21,F$2))))</f>
        <v/>
      </c>
      <c r="G21" s="21">
        <f>EXP(-UFR*($A21+G$2))*(Alpha*MIN($A21,G$2)-0.5*EXP(-Alpha*MAX($A21,G$2))*(EXP(Alpha*MIN($A21,G$2))-EXP(-Alpha*MIN($A21,G$2))))</f>
        <v/>
      </c>
      <c r="H21" s="21">
        <f>EXP(-UFR*($A21+H$2))*(Alpha*MIN($A21,H$2)-0.5*EXP(-Alpha*MAX($A21,H$2))*(EXP(Alpha*MIN($A21,H$2))-EXP(-Alpha*MIN($A21,H$2))))</f>
        <v/>
      </c>
      <c r="I21" s="21">
        <f>EXP(-UFR*($A21+I$2))*(Alpha*MIN($A21,I$2)-0.5*EXP(-Alpha*MAX($A21,I$2))*(EXP(Alpha*MIN($A21,I$2))-EXP(-Alpha*MIN($A21,I$2))))</f>
        <v/>
      </c>
      <c r="J21" s="21">
        <f>EXP(-UFR*($A21+J$2))*(Alpha*MIN($A21,J$2)-0.5*EXP(-Alpha*MAX($A21,J$2))*(EXP(Alpha*MIN($A21,J$2))-EXP(-Alpha*MIN($A21,J$2))))</f>
        <v/>
      </c>
      <c r="K21" s="21">
        <f>EXP(-UFR*($A21+K$2))*(Alpha*MIN($A21,K$2)-0.5*EXP(-Alpha*MAX($A21,K$2))*(EXP(Alpha*MIN($A21,K$2))-EXP(-Alpha*MIN($A21,K$2))))</f>
        <v/>
      </c>
      <c r="L21" s="21">
        <f>EXP(-UFR*($A21+L$2))*(Alpha*MIN($A21,L$2)-0.5*EXP(-Alpha*MAX($A21,L$2))*(EXP(Alpha*MIN($A21,L$2))-EXP(-Alpha*MIN($A21,L$2))))</f>
        <v/>
      </c>
      <c r="M21" s="21">
        <f>EXP(-UFR*($A21+M$2))*(Alpha*MIN($A21,M$2)-0.5*EXP(-Alpha*MAX($A21,M$2))*(EXP(Alpha*MIN($A21,M$2))-EXP(-Alpha*MIN($A21,M$2))))</f>
        <v/>
      </c>
      <c r="N21" s="21">
        <f>EXP(-UFR*($A21+N$2))*(Alpha*MIN($A21,N$2)-0.5*EXP(-Alpha*MAX($A21,N$2))*(EXP(Alpha*MIN($A21,N$2))-EXP(-Alpha*MIN($A21,N$2))))</f>
        <v/>
      </c>
      <c r="O21" s="21">
        <f>EXP(-UFR*($A21+O$2))*(Alpha*MIN($A21,O$2)-0.5*EXP(-Alpha*MAX($A21,O$2))*(EXP(Alpha*MIN($A21,O$2))-EXP(-Alpha*MIN($A21,O$2))))</f>
        <v/>
      </c>
      <c r="P21" s="21">
        <f>EXP(-UFR*($A21+P$2))*(Alpha*MIN($A21,P$2)-0.5*EXP(-Alpha*MAX($A21,P$2))*(EXP(Alpha*MIN($A21,P$2))-EXP(-Alpha*MIN($A21,P$2))))</f>
        <v/>
      </c>
      <c r="Q21" s="21">
        <f>EXP(-UFR*($A21+Q$2))*(Alpha*MIN($A21,Q$2)-0.5*EXP(-Alpha*MAX($A21,Q$2))*(EXP(Alpha*MIN($A21,Q$2))-EXP(-Alpha*MIN($A21,Q$2))))</f>
        <v/>
      </c>
      <c r="R21" s="21">
        <f>EXP(-UFR*($A21+R$2))*(Alpha*MIN($A21,R$2)-0.5*EXP(-Alpha*MAX($A21,R$2))*(EXP(Alpha*MIN($A21,R$2))-EXP(-Alpha*MIN($A21,R$2))))</f>
        <v/>
      </c>
      <c r="S21" s="21">
        <f>EXP(-UFR*($A21+S$2))*(Alpha*MIN($A21,S$2)-0.5*EXP(-Alpha*MAX($A21,S$2))*(EXP(Alpha*MIN($A21,S$2))-EXP(-Alpha*MIN($A21,S$2))))</f>
        <v/>
      </c>
      <c r="T21" s="21">
        <f>EXP(-UFR*($A21+T$2))*(Alpha*MIN($A21,T$2)-0.5*EXP(-Alpha*MAX($A21,T$2))*(EXP(Alpha*MIN($A21,T$2))-EXP(-Alpha*MIN($A21,T$2))))</f>
        <v/>
      </c>
      <c r="U21" s="21">
        <f>EXP(-UFR*($A21+U$2))*(Alpha*MIN($A21,U$2)-0.5*EXP(-Alpha*MAX($A21,U$2))*(EXP(Alpha*MIN($A21,U$2))-EXP(-Alpha*MIN($A21,U$2))))</f>
        <v/>
      </c>
      <c r="V21" s="21">
        <f>EXP(-UFR*($A21+V$2))*(Alpha*MIN($A21,V$2)-0.5*EXP(-Alpha*MAX($A21,V$2))*(EXP(Alpha*MIN($A21,V$2))-EXP(-Alpha*MIN($A21,V$2))))</f>
        <v/>
      </c>
      <c r="W21" s="21">
        <f>EXP(-UFR*($A21+W$2))*(Alpha*MIN($A21,W$2)-0.5*EXP(-Alpha*MAX($A21,W$2))*(EXP(Alpha*MIN($A21,W$2))-EXP(-Alpha*MIN($A21,W$2))))</f>
        <v/>
      </c>
      <c r="X21" s="21">
        <f>EXP(-UFR*($A21+X$2))*(Alpha*MIN($A21,X$2)-0.5*EXP(-Alpha*MAX($A21,X$2))*(EXP(Alpha*MIN($A21,X$2))-EXP(-Alpha*MIN($A21,X$2))))</f>
        <v/>
      </c>
      <c r="Y21" s="21">
        <f>EXP(-UFR*($A21+Y$2))*(Alpha*MIN($A21,Y$2)-0.5*EXP(-Alpha*MAX($A21,Y$2))*(EXP(Alpha*MIN($A21,Y$2))-EXP(-Alpha*MIN($A21,Y$2))))</f>
        <v/>
      </c>
      <c r="Z21" s="21">
        <f>EXP(-UFR*($A21+Z$2))*(Alpha*MIN($A21,Z$2)-0.5*EXP(-Alpha*MAX($A21,Z$2))*(EXP(Alpha*MIN($A21,Z$2))-EXP(-Alpha*MIN($A21,Z$2))))</f>
        <v/>
      </c>
    </row>
    <row r="22">
      <c r="A22" s="20">
        <f>A21+1</f>
        <v/>
      </c>
      <c r="B22" s="21">
        <f>EXP(-UFR*($A22+B$2))*(Alpha*MIN($A22,B$2)-0.5*EXP(-Alpha*MAX($A22,B$2))*(EXP(Alpha*MIN($A22,B$2))-EXP(-Alpha*MIN($A22,B$2))))</f>
        <v/>
      </c>
      <c r="C22" s="21">
        <f>EXP(-UFR*($A22+C$2))*(Alpha*MIN($A22,C$2)-0.5*EXP(-Alpha*MAX($A22,C$2))*(EXP(Alpha*MIN($A22,C$2))-EXP(-Alpha*MIN($A22,C$2))))</f>
        <v/>
      </c>
      <c r="D22" s="21">
        <f>EXP(-UFR*($A22+D$2))*(Alpha*MIN($A22,D$2)-0.5*EXP(-Alpha*MAX($A22,D$2))*(EXP(Alpha*MIN($A22,D$2))-EXP(-Alpha*MIN($A22,D$2))))</f>
        <v/>
      </c>
      <c r="E22" s="21">
        <f>EXP(-UFR*($A22+E$2))*(Alpha*MIN($A22,E$2)-0.5*EXP(-Alpha*MAX($A22,E$2))*(EXP(Alpha*MIN($A22,E$2))-EXP(-Alpha*MIN($A22,E$2))))</f>
        <v/>
      </c>
      <c r="F22" s="21">
        <f>EXP(-UFR*($A22+F$2))*(Alpha*MIN($A22,F$2)-0.5*EXP(-Alpha*MAX($A22,F$2))*(EXP(Alpha*MIN($A22,F$2))-EXP(-Alpha*MIN($A22,F$2))))</f>
        <v/>
      </c>
      <c r="G22" s="21">
        <f>EXP(-UFR*($A22+G$2))*(Alpha*MIN($A22,G$2)-0.5*EXP(-Alpha*MAX($A22,G$2))*(EXP(Alpha*MIN($A22,G$2))-EXP(-Alpha*MIN($A22,G$2))))</f>
        <v/>
      </c>
      <c r="H22" s="21">
        <f>EXP(-UFR*($A22+H$2))*(Alpha*MIN($A22,H$2)-0.5*EXP(-Alpha*MAX($A22,H$2))*(EXP(Alpha*MIN($A22,H$2))-EXP(-Alpha*MIN($A22,H$2))))</f>
        <v/>
      </c>
      <c r="I22" s="21">
        <f>EXP(-UFR*($A22+I$2))*(Alpha*MIN($A22,I$2)-0.5*EXP(-Alpha*MAX($A22,I$2))*(EXP(Alpha*MIN($A22,I$2))-EXP(-Alpha*MIN($A22,I$2))))</f>
        <v/>
      </c>
      <c r="J22" s="21">
        <f>EXP(-UFR*($A22+J$2))*(Alpha*MIN($A22,J$2)-0.5*EXP(-Alpha*MAX($A22,J$2))*(EXP(Alpha*MIN($A22,J$2))-EXP(-Alpha*MIN($A22,J$2))))</f>
        <v/>
      </c>
      <c r="K22" s="21">
        <f>EXP(-UFR*($A22+K$2))*(Alpha*MIN($A22,K$2)-0.5*EXP(-Alpha*MAX($A22,K$2))*(EXP(Alpha*MIN($A22,K$2))-EXP(-Alpha*MIN($A22,K$2))))</f>
        <v/>
      </c>
      <c r="L22" s="21">
        <f>EXP(-UFR*($A22+L$2))*(Alpha*MIN($A22,L$2)-0.5*EXP(-Alpha*MAX($A22,L$2))*(EXP(Alpha*MIN($A22,L$2))-EXP(-Alpha*MIN($A22,L$2))))</f>
        <v/>
      </c>
      <c r="M22" s="21">
        <f>EXP(-UFR*($A22+M$2))*(Alpha*MIN($A22,M$2)-0.5*EXP(-Alpha*MAX($A22,M$2))*(EXP(Alpha*MIN($A22,M$2))-EXP(-Alpha*MIN($A22,M$2))))</f>
        <v/>
      </c>
      <c r="N22" s="21">
        <f>EXP(-UFR*($A22+N$2))*(Alpha*MIN($A22,N$2)-0.5*EXP(-Alpha*MAX($A22,N$2))*(EXP(Alpha*MIN($A22,N$2))-EXP(-Alpha*MIN($A22,N$2))))</f>
        <v/>
      </c>
      <c r="O22" s="21">
        <f>EXP(-UFR*($A22+O$2))*(Alpha*MIN($A22,O$2)-0.5*EXP(-Alpha*MAX($A22,O$2))*(EXP(Alpha*MIN($A22,O$2))-EXP(-Alpha*MIN($A22,O$2))))</f>
        <v/>
      </c>
      <c r="P22" s="21">
        <f>EXP(-UFR*($A22+P$2))*(Alpha*MIN($A22,P$2)-0.5*EXP(-Alpha*MAX($A22,P$2))*(EXP(Alpha*MIN($A22,P$2))-EXP(-Alpha*MIN($A22,P$2))))</f>
        <v/>
      </c>
      <c r="Q22" s="21">
        <f>EXP(-UFR*($A22+Q$2))*(Alpha*MIN($A22,Q$2)-0.5*EXP(-Alpha*MAX($A22,Q$2))*(EXP(Alpha*MIN($A22,Q$2))-EXP(-Alpha*MIN($A22,Q$2))))</f>
        <v/>
      </c>
      <c r="R22" s="21">
        <f>EXP(-UFR*($A22+R$2))*(Alpha*MIN($A22,R$2)-0.5*EXP(-Alpha*MAX($A22,R$2))*(EXP(Alpha*MIN($A22,R$2))-EXP(-Alpha*MIN($A22,R$2))))</f>
        <v/>
      </c>
      <c r="S22" s="21">
        <f>EXP(-UFR*($A22+S$2))*(Alpha*MIN($A22,S$2)-0.5*EXP(-Alpha*MAX($A22,S$2))*(EXP(Alpha*MIN($A22,S$2))-EXP(-Alpha*MIN($A22,S$2))))</f>
        <v/>
      </c>
      <c r="T22" s="21">
        <f>EXP(-UFR*($A22+T$2))*(Alpha*MIN($A22,T$2)-0.5*EXP(-Alpha*MAX($A22,T$2))*(EXP(Alpha*MIN($A22,T$2))-EXP(-Alpha*MIN($A22,T$2))))</f>
        <v/>
      </c>
      <c r="U22" s="21">
        <f>EXP(-UFR*($A22+U$2))*(Alpha*MIN($A22,U$2)-0.5*EXP(-Alpha*MAX($A22,U$2))*(EXP(Alpha*MIN($A22,U$2))-EXP(-Alpha*MIN($A22,U$2))))</f>
        <v/>
      </c>
      <c r="V22" s="21">
        <f>EXP(-UFR*($A22+V$2))*(Alpha*MIN($A22,V$2)-0.5*EXP(-Alpha*MAX($A22,V$2))*(EXP(Alpha*MIN($A22,V$2))-EXP(-Alpha*MIN($A22,V$2))))</f>
        <v/>
      </c>
      <c r="W22" s="21">
        <f>EXP(-UFR*($A22+W$2))*(Alpha*MIN($A22,W$2)-0.5*EXP(-Alpha*MAX($A22,W$2))*(EXP(Alpha*MIN($A22,W$2))-EXP(-Alpha*MIN($A22,W$2))))</f>
        <v/>
      </c>
      <c r="X22" s="21">
        <f>EXP(-UFR*($A22+X$2))*(Alpha*MIN($A22,X$2)-0.5*EXP(-Alpha*MAX($A22,X$2))*(EXP(Alpha*MIN($A22,X$2))-EXP(-Alpha*MIN($A22,X$2))))</f>
        <v/>
      </c>
      <c r="Y22" s="21">
        <f>EXP(-UFR*($A22+Y$2))*(Alpha*MIN($A22,Y$2)-0.5*EXP(-Alpha*MAX($A22,Y$2))*(EXP(Alpha*MIN($A22,Y$2))-EXP(-Alpha*MIN($A22,Y$2))))</f>
        <v/>
      </c>
      <c r="Z22" s="21">
        <f>EXP(-UFR*($A22+Z$2))*(Alpha*MIN($A22,Z$2)-0.5*EXP(-Alpha*MAX($A22,Z$2))*(EXP(Alpha*MIN($A22,Z$2))-EXP(-Alpha*MIN($A22,Z$2))))</f>
        <v/>
      </c>
    </row>
    <row r="23">
      <c r="A23" s="20">
        <f>A22+1</f>
        <v/>
      </c>
      <c r="B23" s="21">
        <f>EXP(-UFR*($A23+B$2))*(Alpha*MIN($A23,B$2)-0.5*EXP(-Alpha*MAX($A23,B$2))*(EXP(Alpha*MIN($A23,B$2))-EXP(-Alpha*MIN($A23,B$2))))</f>
        <v/>
      </c>
      <c r="C23" s="21">
        <f>EXP(-UFR*($A23+C$2))*(Alpha*MIN($A23,C$2)-0.5*EXP(-Alpha*MAX($A23,C$2))*(EXP(Alpha*MIN($A23,C$2))-EXP(-Alpha*MIN($A23,C$2))))</f>
        <v/>
      </c>
      <c r="D23" s="21">
        <f>EXP(-UFR*($A23+D$2))*(Alpha*MIN($A23,D$2)-0.5*EXP(-Alpha*MAX($A23,D$2))*(EXP(Alpha*MIN($A23,D$2))-EXP(-Alpha*MIN($A23,D$2))))</f>
        <v/>
      </c>
      <c r="E23" s="21">
        <f>EXP(-UFR*($A23+E$2))*(Alpha*MIN($A23,E$2)-0.5*EXP(-Alpha*MAX($A23,E$2))*(EXP(Alpha*MIN($A23,E$2))-EXP(-Alpha*MIN($A23,E$2))))</f>
        <v/>
      </c>
      <c r="F23" s="21">
        <f>EXP(-UFR*($A23+F$2))*(Alpha*MIN($A23,F$2)-0.5*EXP(-Alpha*MAX($A23,F$2))*(EXP(Alpha*MIN($A23,F$2))-EXP(-Alpha*MIN($A23,F$2))))</f>
        <v/>
      </c>
      <c r="G23" s="21">
        <f>EXP(-UFR*($A23+G$2))*(Alpha*MIN($A23,G$2)-0.5*EXP(-Alpha*MAX($A23,G$2))*(EXP(Alpha*MIN($A23,G$2))-EXP(-Alpha*MIN($A23,G$2))))</f>
        <v/>
      </c>
      <c r="H23" s="21">
        <f>EXP(-UFR*($A23+H$2))*(Alpha*MIN($A23,H$2)-0.5*EXP(-Alpha*MAX($A23,H$2))*(EXP(Alpha*MIN($A23,H$2))-EXP(-Alpha*MIN($A23,H$2))))</f>
        <v/>
      </c>
      <c r="I23" s="21">
        <f>EXP(-UFR*($A23+I$2))*(Alpha*MIN($A23,I$2)-0.5*EXP(-Alpha*MAX($A23,I$2))*(EXP(Alpha*MIN($A23,I$2))-EXP(-Alpha*MIN($A23,I$2))))</f>
        <v/>
      </c>
      <c r="J23" s="21">
        <f>EXP(-UFR*($A23+J$2))*(Alpha*MIN($A23,J$2)-0.5*EXP(-Alpha*MAX($A23,J$2))*(EXP(Alpha*MIN($A23,J$2))-EXP(-Alpha*MIN($A23,J$2))))</f>
        <v/>
      </c>
      <c r="K23" s="21">
        <f>EXP(-UFR*($A23+K$2))*(Alpha*MIN($A23,K$2)-0.5*EXP(-Alpha*MAX($A23,K$2))*(EXP(Alpha*MIN($A23,K$2))-EXP(-Alpha*MIN($A23,K$2))))</f>
        <v/>
      </c>
      <c r="L23" s="21">
        <f>EXP(-UFR*($A23+L$2))*(Alpha*MIN($A23,L$2)-0.5*EXP(-Alpha*MAX($A23,L$2))*(EXP(Alpha*MIN($A23,L$2))-EXP(-Alpha*MIN($A23,L$2))))</f>
        <v/>
      </c>
      <c r="M23" s="21">
        <f>EXP(-UFR*($A23+M$2))*(Alpha*MIN($A23,M$2)-0.5*EXP(-Alpha*MAX($A23,M$2))*(EXP(Alpha*MIN($A23,M$2))-EXP(-Alpha*MIN($A23,M$2))))</f>
        <v/>
      </c>
      <c r="N23" s="21">
        <f>EXP(-UFR*($A23+N$2))*(Alpha*MIN($A23,N$2)-0.5*EXP(-Alpha*MAX($A23,N$2))*(EXP(Alpha*MIN($A23,N$2))-EXP(-Alpha*MIN($A23,N$2))))</f>
        <v/>
      </c>
      <c r="O23" s="21">
        <f>EXP(-UFR*($A23+O$2))*(Alpha*MIN($A23,O$2)-0.5*EXP(-Alpha*MAX($A23,O$2))*(EXP(Alpha*MIN($A23,O$2))-EXP(-Alpha*MIN($A23,O$2))))</f>
        <v/>
      </c>
      <c r="P23" s="21">
        <f>EXP(-UFR*($A23+P$2))*(Alpha*MIN($A23,P$2)-0.5*EXP(-Alpha*MAX($A23,P$2))*(EXP(Alpha*MIN($A23,P$2))-EXP(-Alpha*MIN($A23,P$2))))</f>
        <v/>
      </c>
      <c r="Q23" s="21">
        <f>EXP(-UFR*($A23+Q$2))*(Alpha*MIN($A23,Q$2)-0.5*EXP(-Alpha*MAX($A23,Q$2))*(EXP(Alpha*MIN($A23,Q$2))-EXP(-Alpha*MIN($A23,Q$2))))</f>
        <v/>
      </c>
      <c r="R23" s="21">
        <f>EXP(-UFR*($A23+R$2))*(Alpha*MIN($A23,R$2)-0.5*EXP(-Alpha*MAX($A23,R$2))*(EXP(Alpha*MIN($A23,R$2))-EXP(-Alpha*MIN($A23,R$2))))</f>
        <v/>
      </c>
      <c r="S23" s="21">
        <f>EXP(-UFR*($A23+S$2))*(Alpha*MIN($A23,S$2)-0.5*EXP(-Alpha*MAX($A23,S$2))*(EXP(Alpha*MIN($A23,S$2))-EXP(-Alpha*MIN($A23,S$2))))</f>
        <v/>
      </c>
      <c r="T23" s="21">
        <f>EXP(-UFR*($A23+T$2))*(Alpha*MIN($A23,T$2)-0.5*EXP(-Alpha*MAX($A23,T$2))*(EXP(Alpha*MIN($A23,T$2))-EXP(-Alpha*MIN($A23,T$2))))</f>
        <v/>
      </c>
      <c r="U23" s="21">
        <f>EXP(-UFR*($A23+U$2))*(Alpha*MIN($A23,U$2)-0.5*EXP(-Alpha*MAX($A23,U$2))*(EXP(Alpha*MIN($A23,U$2))-EXP(-Alpha*MIN($A23,U$2))))</f>
        <v/>
      </c>
      <c r="V23" s="21">
        <f>EXP(-UFR*($A23+V$2))*(Alpha*MIN($A23,V$2)-0.5*EXP(-Alpha*MAX($A23,V$2))*(EXP(Alpha*MIN($A23,V$2))-EXP(-Alpha*MIN($A23,V$2))))</f>
        <v/>
      </c>
      <c r="W23" s="21">
        <f>EXP(-UFR*($A23+W$2))*(Alpha*MIN($A23,W$2)-0.5*EXP(-Alpha*MAX($A23,W$2))*(EXP(Alpha*MIN($A23,W$2))-EXP(-Alpha*MIN($A23,W$2))))</f>
        <v/>
      </c>
      <c r="X23" s="21">
        <f>EXP(-UFR*($A23+X$2))*(Alpha*MIN($A23,X$2)-0.5*EXP(-Alpha*MAX($A23,X$2))*(EXP(Alpha*MIN($A23,X$2))-EXP(-Alpha*MIN($A23,X$2))))</f>
        <v/>
      </c>
      <c r="Y23" s="21">
        <f>EXP(-UFR*($A23+Y$2))*(Alpha*MIN($A23,Y$2)-0.5*EXP(-Alpha*MAX($A23,Y$2))*(EXP(Alpha*MIN($A23,Y$2))-EXP(-Alpha*MIN($A23,Y$2))))</f>
        <v/>
      </c>
      <c r="Z23" s="21">
        <f>EXP(-UFR*($A23+Z$2))*(Alpha*MIN($A23,Z$2)-0.5*EXP(-Alpha*MAX($A23,Z$2))*(EXP(Alpha*MIN($A23,Z$2))-EXP(-Alpha*MIN($A23,Z$2))))</f>
        <v/>
      </c>
    </row>
    <row r="24">
      <c r="A24" s="20">
        <f>A23+1</f>
        <v/>
      </c>
      <c r="B24" s="21">
        <f>EXP(-UFR*($A24+B$2))*(Alpha*MIN($A24,B$2)-0.5*EXP(-Alpha*MAX($A24,B$2))*(EXP(Alpha*MIN($A24,B$2))-EXP(-Alpha*MIN($A24,B$2))))</f>
        <v/>
      </c>
      <c r="C24" s="21">
        <f>EXP(-UFR*($A24+C$2))*(Alpha*MIN($A24,C$2)-0.5*EXP(-Alpha*MAX($A24,C$2))*(EXP(Alpha*MIN($A24,C$2))-EXP(-Alpha*MIN($A24,C$2))))</f>
        <v/>
      </c>
      <c r="D24" s="21">
        <f>EXP(-UFR*($A24+D$2))*(Alpha*MIN($A24,D$2)-0.5*EXP(-Alpha*MAX($A24,D$2))*(EXP(Alpha*MIN($A24,D$2))-EXP(-Alpha*MIN($A24,D$2))))</f>
        <v/>
      </c>
      <c r="E24" s="21">
        <f>EXP(-UFR*($A24+E$2))*(Alpha*MIN($A24,E$2)-0.5*EXP(-Alpha*MAX($A24,E$2))*(EXP(Alpha*MIN($A24,E$2))-EXP(-Alpha*MIN($A24,E$2))))</f>
        <v/>
      </c>
      <c r="F24" s="21">
        <f>EXP(-UFR*($A24+F$2))*(Alpha*MIN($A24,F$2)-0.5*EXP(-Alpha*MAX($A24,F$2))*(EXP(Alpha*MIN($A24,F$2))-EXP(-Alpha*MIN($A24,F$2))))</f>
        <v/>
      </c>
      <c r="G24" s="21">
        <f>EXP(-UFR*($A24+G$2))*(Alpha*MIN($A24,G$2)-0.5*EXP(-Alpha*MAX($A24,G$2))*(EXP(Alpha*MIN($A24,G$2))-EXP(-Alpha*MIN($A24,G$2))))</f>
        <v/>
      </c>
      <c r="H24" s="21">
        <f>EXP(-UFR*($A24+H$2))*(Alpha*MIN($A24,H$2)-0.5*EXP(-Alpha*MAX($A24,H$2))*(EXP(Alpha*MIN($A24,H$2))-EXP(-Alpha*MIN($A24,H$2))))</f>
        <v/>
      </c>
      <c r="I24" s="21">
        <f>EXP(-UFR*($A24+I$2))*(Alpha*MIN($A24,I$2)-0.5*EXP(-Alpha*MAX($A24,I$2))*(EXP(Alpha*MIN($A24,I$2))-EXP(-Alpha*MIN($A24,I$2))))</f>
        <v/>
      </c>
      <c r="J24" s="21">
        <f>EXP(-UFR*($A24+J$2))*(Alpha*MIN($A24,J$2)-0.5*EXP(-Alpha*MAX($A24,J$2))*(EXP(Alpha*MIN($A24,J$2))-EXP(-Alpha*MIN($A24,J$2))))</f>
        <v/>
      </c>
      <c r="K24" s="21">
        <f>EXP(-UFR*($A24+K$2))*(Alpha*MIN($A24,K$2)-0.5*EXP(-Alpha*MAX($A24,K$2))*(EXP(Alpha*MIN($A24,K$2))-EXP(-Alpha*MIN($A24,K$2))))</f>
        <v/>
      </c>
      <c r="L24" s="21">
        <f>EXP(-UFR*($A24+L$2))*(Alpha*MIN($A24,L$2)-0.5*EXP(-Alpha*MAX($A24,L$2))*(EXP(Alpha*MIN($A24,L$2))-EXP(-Alpha*MIN($A24,L$2))))</f>
        <v/>
      </c>
      <c r="M24" s="21">
        <f>EXP(-UFR*($A24+M$2))*(Alpha*MIN($A24,M$2)-0.5*EXP(-Alpha*MAX($A24,M$2))*(EXP(Alpha*MIN($A24,M$2))-EXP(-Alpha*MIN($A24,M$2))))</f>
        <v/>
      </c>
      <c r="N24" s="21">
        <f>EXP(-UFR*($A24+N$2))*(Alpha*MIN($A24,N$2)-0.5*EXP(-Alpha*MAX($A24,N$2))*(EXP(Alpha*MIN($A24,N$2))-EXP(-Alpha*MIN($A24,N$2))))</f>
        <v/>
      </c>
      <c r="O24" s="21">
        <f>EXP(-UFR*($A24+O$2))*(Alpha*MIN($A24,O$2)-0.5*EXP(-Alpha*MAX($A24,O$2))*(EXP(Alpha*MIN($A24,O$2))-EXP(-Alpha*MIN($A24,O$2))))</f>
        <v/>
      </c>
      <c r="P24" s="21">
        <f>EXP(-UFR*($A24+P$2))*(Alpha*MIN($A24,P$2)-0.5*EXP(-Alpha*MAX($A24,P$2))*(EXP(Alpha*MIN($A24,P$2))-EXP(-Alpha*MIN($A24,P$2))))</f>
        <v/>
      </c>
      <c r="Q24" s="21">
        <f>EXP(-UFR*($A24+Q$2))*(Alpha*MIN($A24,Q$2)-0.5*EXP(-Alpha*MAX($A24,Q$2))*(EXP(Alpha*MIN($A24,Q$2))-EXP(-Alpha*MIN($A24,Q$2))))</f>
        <v/>
      </c>
      <c r="R24" s="21">
        <f>EXP(-UFR*($A24+R$2))*(Alpha*MIN($A24,R$2)-0.5*EXP(-Alpha*MAX($A24,R$2))*(EXP(Alpha*MIN($A24,R$2))-EXP(-Alpha*MIN($A24,R$2))))</f>
        <v/>
      </c>
      <c r="S24" s="21">
        <f>EXP(-UFR*($A24+S$2))*(Alpha*MIN($A24,S$2)-0.5*EXP(-Alpha*MAX($A24,S$2))*(EXP(Alpha*MIN($A24,S$2))-EXP(-Alpha*MIN($A24,S$2))))</f>
        <v/>
      </c>
      <c r="T24" s="21">
        <f>EXP(-UFR*($A24+T$2))*(Alpha*MIN($A24,T$2)-0.5*EXP(-Alpha*MAX($A24,T$2))*(EXP(Alpha*MIN($A24,T$2))-EXP(-Alpha*MIN($A24,T$2))))</f>
        <v/>
      </c>
      <c r="U24" s="21">
        <f>EXP(-UFR*($A24+U$2))*(Alpha*MIN($A24,U$2)-0.5*EXP(-Alpha*MAX($A24,U$2))*(EXP(Alpha*MIN($A24,U$2))-EXP(-Alpha*MIN($A24,U$2))))</f>
        <v/>
      </c>
      <c r="V24" s="21">
        <f>EXP(-UFR*($A24+V$2))*(Alpha*MIN($A24,V$2)-0.5*EXP(-Alpha*MAX($A24,V$2))*(EXP(Alpha*MIN($A24,V$2))-EXP(-Alpha*MIN($A24,V$2))))</f>
        <v/>
      </c>
      <c r="W24" s="21">
        <f>EXP(-UFR*($A24+W$2))*(Alpha*MIN($A24,W$2)-0.5*EXP(-Alpha*MAX($A24,W$2))*(EXP(Alpha*MIN($A24,W$2))-EXP(-Alpha*MIN($A24,W$2))))</f>
        <v/>
      </c>
      <c r="X24" s="21">
        <f>EXP(-UFR*($A24+X$2))*(Alpha*MIN($A24,X$2)-0.5*EXP(-Alpha*MAX($A24,X$2))*(EXP(Alpha*MIN($A24,X$2))-EXP(-Alpha*MIN($A24,X$2))))</f>
        <v/>
      </c>
      <c r="Y24" s="21">
        <f>EXP(-UFR*($A24+Y$2))*(Alpha*MIN($A24,Y$2)-0.5*EXP(-Alpha*MAX($A24,Y$2))*(EXP(Alpha*MIN($A24,Y$2))-EXP(-Alpha*MIN($A24,Y$2))))</f>
        <v/>
      </c>
      <c r="Z24" s="21">
        <f>EXP(-UFR*($A24+Z$2))*(Alpha*MIN($A24,Z$2)-0.5*EXP(-Alpha*MAX($A24,Z$2))*(EXP(Alpha*MIN($A24,Z$2))-EXP(-Alpha*MIN($A24,Z$2))))</f>
        <v/>
      </c>
    </row>
    <row r="25">
      <c r="A25" s="20">
        <f>A24+1</f>
        <v/>
      </c>
      <c r="B25" s="21">
        <f>EXP(-UFR*($A25+B$2))*(Alpha*MIN($A25,B$2)-0.5*EXP(-Alpha*MAX($A25,B$2))*(EXP(Alpha*MIN($A25,B$2))-EXP(-Alpha*MIN($A25,B$2))))</f>
        <v/>
      </c>
      <c r="C25" s="21">
        <f>EXP(-UFR*($A25+C$2))*(Alpha*MIN($A25,C$2)-0.5*EXP(-Alpha*MAX($A25,C$2))*(EXP(Alpha*MIN($A25,C$2))-EXP(-Alpha*MIN($A25,C$2))))</f>
        <v/>
      </c>
      <c r="D25" s="21">
        <f>EXP(-UFR*($A25+D$2))*(Alpha*MIN($A25,D$2)-0.5*EXP(-Alpha*MAX($A25,D$2))*(EXP(Alpha*MIN($A25,D$2))-EXP(-Alpha*MIN($A25,D$2))))</f>
        <v/>
      </c>
      <c r="E25" s="21">
        <f>EXP(-UFR*($A25+E$2))*(Alpha*MIN($A25,E$2)-0.5*EXP(-Alpha*MAX($A25,E$2))*(EXP(Alpha*MIN($A25,E$2))-EXP(-Alpha*MIN($A25,E$2))))</f>
        <v/>
      </c>
      <c r="F25" s="21">
        <f>EXP(-UFR*($A25+F$2))*(Alpha*MIN($A25,F$2)-0.5*EXP(-Alpha*MAX($A25,F$2))*(EXP(Alpha*MIN($A25,F$2))-EXP(-Alpha*MIN($A25,F$2))))</f>
        <v/>
      </c>
      <c r="G25" s="21">
        <f>EXP(-UFR*($A25+G$2))*(Alpha*MIN($A25,G$2)-0.5*EXP(-Alpha*MAX($A25,G$2))*(EXP(Alpha*MIN($A25,G$2))-EXP(-Alpha*MIN($A25,G$2))))</f>
        <v/>
      </c>
      <c r="H25" s="21">
        <f>EXP(-UFR*($A25+H$2))*(Alpha*MIN($A25,H$2)-0.5*EXP(-Alpha*MAX($A25,H$2))*(EXP(Alpha*MIN($A25,H$2))-EXP(-Alpha*MIN($A25,H$2))))</f>
        <v/>
      </c>
      <c r="I25" s="21">
        <f>EXP(-UFR*($A25+I$2))*(Alpha*MIN($A25,I$2)-0.5*EXP(-Alpha*MAX($A25,I$2))*(EXP(Alpha*MIN($A25,I$2))-EXP(-Alpha*MIN($A25,I$2))))</f>
        <v/>
      </c>
      <c r="J25" s="21">
        <f>EXP(-UFR*($A25+J$2))*(Alpha*MIN($A25,J$2)-0.5*EXP(-Alpha*MAX($A25,J$2))*(EXP(Alpha*MIN($A25,J$2))-EXP(-Alpha*MIN($A25,J$2))))</f>
        <v/>
      </c>
      <c r="K25" s="21">
        <f>EXP(-UFR*($A25+K$2))*(Alpha*MIN($A25,K$2)-0.5*EXP(-Alpha*MAX($A25,K$2))*(EXP(Alpha*MIN($A25,K$2))-EXP(-Alpha*MIN($A25,K$2))))</f>
        <v/>
      </c>
      <c r="L25" s="21">
        <f>EXP(-UFR*($A25+L$2))*(Alpha*MIN($A25,L$2)-0.5*EXP(-Alpha*MAX($A25,L$2))*(EXP(Alpha*MIN($A25,L$2))-EXP(-Alpha*MIN($A25,L$2))))</f>
        <v/>
      </c>
      <c r="M25" s="21">
        <f>EXP(-UFR*($A25+M$2))*(Alpha*MIN($A25,M$2)-0.5*EXP(-Alpha*MAX($A25,M$2))*(EXP(Alpha*MIN($A25,M$2))-EXP(-Alpha*MIN($A25,M$2))))</f>
        <v/>
      </c>
      <c r="N25" s="21">
        <f>EXP(-UFR*($A25+N$2))*(Alpha*MIN($A25,N$2)-0.5*EXP(-Alpha*MAX($A25,N$2))*(EXP(Alpha*MIN($A25,N$2))-EXP(-Alpha*MIN($A25,N$2))))</f>
        <v/>
      </c>
      <c r="O25" s="21">
        <f>EXP(-UFR*($A25+O$2))*(Alpha*MIN($A25,O$2)-0.5*EXP(-Alpha*MAX($A25,O$2))*(EXP(Alpha*MIN($A25,O$2))-EXP(-Alpha*MIN($A25,O$2))))</f>
        <v/>
      </c>
      <c r="P25" s="21">
        <f>EXP(-UFR*($A25+P$2))*(Alpha*MIN($A25,P$2)-0.5*EXP(-Alpha*MAX($A25,P$2))*(EXP(Alpha*MIN($A25,P$2))-EXP(-Alpha*MIN($A25,P$2))))</f>
        <v/>
      </c>
      <c r="Q25" s="21">
        <f>EXP(-UFR*($A25+Q$2))*(Alpha*MIN($A25,Q$2)-0.5*EXP(-Alpha*MAX($A25,Q$2))*(EXP(Alpha*MIN($A25,Q$2))-EXP(-Alpha*MIN($A25,Q$2))))</f>
        <v/>
      </c>
      <c r="R25" s="21">
        <f>EXP(-UFR*($A25+R$2))*(Alpha*MIN($A25,R$2)-0.5*EXP(-Alpha*MAX($A25,R$2))*(EXP(Alpha*MIN($A25,R$2))-EXP(-Alpha*MIN($A25,R$2))))</f>
        <v/>
      </c>
      <c r="S25" s="21">
        <f>EXP(-UFR*($A25+S$2))*(Alpha*MIN($A25,S$2)-0.5*EXP(-Alpha*MAX($A25,S$2))*(EXP(Alpha*MIN($A25,S$2))-EXP(-Alpha*MIN($A25,S$2))))</f>
        <v/>
      </c>
      <c r="T25" s="21">
        <f>EXP(-UFR*($A25+T$2))*(Alpha*MIN($A25,T$2)-0.5*EXP(-Alpha*MAX($A25,T$2))*(EXP(Alpha*MIN($A25,T$2))-EXP(-Alpha*MIN($A25,T$2))))</f>
        <v/>
      </c>
      <c r="U25" s="21">
        <f>EXP(-UFR*($A25+U$2))*(Alpha*MIN($A25,U$2)-0.5*EXP(-Alpha*MAX($A25,U$2))*(EXP(Alpha*MIN($A25,U$2))-EXP(-Alpha*MIN($A25,U$2))))</f>
        <v/>
      </c>
      <c r="V25" s="21">
        <f>EXP(-UFR*($A25+V$2))*(Alpha*MIN($A25,V$2)-0.5*EXP(-Alpha*MAX($A25,V$2))*(EXP(Alpha*MIN($A25,V$2))-EXP(-Alpha*MIN($A25,V$2))))</f>
        <v/>
      </c>
      <c r="W25" s="21">
        <f>EXP(-UFR*($A25+W$2))*(Alpha*MIN($A25,W$2)-0.5*EXP(-Alpha*MAX($A25,W$2))*(EXP(Alpha*MIN($A25,W$2))-EXP(-Alpha*MIN($A25,W$2))))</f>
        <v/>
      </c>
      <c r="X25" s="21">
        <f>EXP(-UFR*($A25+X$2))*(Alpha*MIN($A25,X$2)-0.5*EXP(-Alpha*MAX($A25,X$2))*(EXP(Alpha*MIN($A25,X$2))-EXP(-Alpha*MIN($A25,X$2))))</f>
        <v/>
      </c>
      <c r="Y25" s="21">
        <f>EXP(-UFR*($A25+Y$2))*(Alpha*MIN($A25,Y$2)-0.5*EXP(-Alpha*MAX($A25,Y$2))*(EXP(Alpha*MIN($A25,Y$2))-EXP(-Alpha*MIN($A25,Y$2))))</f>
        <v/>
      </c>
      <c r="Z25" s="21">
        <f>EXP(-UFR*($A25+Z$2))*(Alpha*MIN($A25,Z$2)-0.5*EXP(-Alpha*MAX($A25,Z$2))*(EXP(Alpha*MIN($A25,Z$2))-EXP(-Alpha*MIN($A25,Z$2))))</f>
        <v/>
      </c>
    </row>
    <row r="26">
      <c r="A26" s="20">
        <f>A25+1</f>
        <v/>
      </c>
      <c r="B26" s="21">
        <f>EXP(-UFR*($A26+B$2))*(Alpha*MIN($A26,B$2)-0.5*EXP(-Alpha*MAX($A26,B$2))*(EXP(Alpha*MIN($A26,B$2))-EXP(-Alpha*MIN($A26,B$2))))</f>
        <v/>
      </c>
      <c r="C26" s="21">
        <f>EXP(-UFR*($A26+C$2))*(Alpha*MIN($A26,C$2)-0.5*EXP(-Alpha*MAX($A26,C$2))*(EXP(Alpha*MIN($A26,C$2))-EXP(-Alpha*MIN($A26,C$2))))</f>
        <v/>
      </c>
      <c r="D26" s="21">
        <f>EXP(-UFR*($A26+D$2))*(Alpha*MIN($A26,D$2)-0.5*EXP(-Alpha*MAX($A26,D$2))*(EXP(Alpha*MIN($A26,D$2))-EXP(-Alpha*MIN($A26,D$2))))</f>
        <v/>
      </c>
      <c r="E26" s="21">
        <f>EXP(-UFR*($A26+E$2))*(Alpha*MIN($A26,E$2)-0.5*EXP(-Alpha*MAX($A26,E$2))*(EXP(Alpha*MIN($A26,E$2))-EXP(-Alpha*MIN($A26,E$2))))</f>
        <v/>
      </c>
      <c r="F26" s="21">
        <f>EXP(-UFR*($A26+F$2))*(Alpha*MIN($A26,F$2)-0.5*EXP(-Alpha*MAX($A26,F$2))*(EXP(Alpha*MIN($A26,F$2))-EXP(-Alpha*MIN($A26,F$2))))</f>
        <v/>
      </c>
      <c r="G26" s="21">
        <f>EXP(-UFR*($A26+G$2))*(Alpha*MIN($A26,G$2)-0.5*EXP(-Alpha*MAX($A26,G$2))*(EXP(Alpha*MIN($A26,G$2))-EXP(-Alpha*MIN($A26,G$2))))</f>
        <v/>
      </c>
      <c r="H26" s="21">
        <f>EXP(-UFR*($A26+H$2))*(Alpha*MIN($A26,H$2)-0.5*EXP(-Alpha*MAX($A26,H$2))*(EXP(Alpha*MIN($A26,H$2))-EXP(-Alpha*MIN($A26,H$2))))</f>
        <v/>
      </c>
      <c r="I26" s="21">
        <f>EXP(-UFR*($A26+I$2))*(Alpha*MIN($A26,I$2)-0.5*EXP(-Alpha*MAX($A26,I$2))*(EXP(Alpha*MIN($A26,I$2))-EXP(-Alpha*MIN($A26,I$2))))</f>
        <v/>
      </c>
      <c r="J26" s="21">
        <f>EXP(-UFR*($A26+J$2))*(Alpha*MIN($A26,J$2)-0.5*EXP(-Alpha*MAX($A26,J$2))*(EXP(Alpha*MIN($A26,J$2))-EXP(-Alpha*MIN($A26,J$2))))</f>
        <v/>
      </c>
      <c r="K26" s="21">
        <f>EXP(-UFR*($A26+K$2))*(Alpha*MIN($A26,K$2)-0.5*EXP(-Alpha*MAX($A26,K$2))*(EXP(Alpha*MIN($A26,K$2))-EXP(-Alpha*MIN($A26,K$2))))</f>
        <v/>
      </c>
      <c r="L26" s="21">
        <f>EXP(-UFR*($A26+L$2))*(Alpha*MIN($A26,L$2)-0.5*EXP(-Alpha*MAX($A26,L$2))*(EXP(Alpha*MIN($A26,L$2))-EXP(-Alpha*MIN($A26,L$2))))</f>
        <v/>
      </c>
      <c r="M26" s="21">
        <f>EXP(-UFR*($A26+M$2))*(Alpha*MIN($A26,M$2)-0.5*EXP(-Alpha*MAX($A26,M$2))*(EXP(Alpha*MIN($A26,M$2))-EXP(-Alpha*MIN($A26,M$2))))</f>
        <v/>
      </c>
      <c r="N26" s="21">
        <f>EXP(-UFR*($A26+N$2))*(Alpha*MIN($A26,N$2)-0.5*EXP(-Alpha*MAX($A26,N$2))*(EXP(Alpha*MIN($A26,N$2))-EXP(-Alpha*MIN($A26,N$2))))</f>
        <v/>
      </c>
      <c r="O26" s="21">
        <f>EXP(-UFR*($A26+O$2))*(Alpha*MIN($A26,O$2)-0.5*EXP(-Alpha*MAX($A26,O$2))*(EXP(Alpha*MIN($A26,O$2))-EXP(-Alpha*MIN($A26,O$2))))</f>
        <v/>
      </c>
      <c r="P26" s="21">
        <f>EXP(-UFR*($A26+P$2))*(Alpha*MIN($A26,P$2)-0.5*EXP(-Alpha*MAX($A26,P$2))*(EXP(Alpha*MIN($A26,P$2))-EXP(-Alpha*MIN($A26,P$2))))</f>
        <v/>
      </c>
      <c r="Q26" s="21">
        <f>EXP(-UFR*($A26+Q$2))*(Alpha*MIN($A26,Q$2)-0.5*EXP(-Alpha*MAX($A26,Q$2))*(EXP(Alpha*MIN($A26,Q$2))-EXP(-Alpha*MIN($A26,Q$2))))</f>
        <v/>
      </c>
      <c r="R26" s="21">
        <f>EXP(-UFR*($A26+R$2))*(Alpha*MIN($A26,R$2)-0.5*EXP(-Alpha*MAX($A26,R$2))*(EXP(Alpha*MIN($A26,R$2))-EXP(-Alpha*MIN($A26,R$2))))</f>
        <v/>
      </c>
      <c r="S26" s="21">
        <f>EXP(-UFR*($A26+S$2))*(Alpha*MIN($A26,S$2)-0.5*EXP(-Alpha*MAX($A26,S$2))*(EXP(Alpha*MIN($A26,S$2))-EXP(-Alpha*MIN($A26,S$2))))</f>
        <v/>
      </c>
      <c r="T26" s="21">
        <f>EXP(-UFR*($A26+T$2))*(Alpha*MIN($A26,T$2)-0.5*EXP(-Alpha*MAX($A26,T$2))*(EXP(Alpha*MIN($A26,T$2))-EXP(-Alpha*MIN($A26,T$2))))</f>
        <v/>
      </c>
      <c r="U26" s="21">
        <f>EXP(-UFR*($A26+U$2))*(Alpha*MIN($A26,U$2)-0.5*EXP(-Alpha*MAX($A26,U$2))*(EXP(Alpha*MIN($A26,U$2))-EXP(-Alpha*MIN($A26,U$2))))</f>
        <v/>
      </c>
      <c r="V26" s="21">
        <f>EXP(-UFR*($A26+V$2))*(Alpha*MIN($A26,V$2)-0.5*EXP(-Alpha*MAX($A26,V$2))*(EXP(Alpha*MIN($A26,V$2))-EXP(-Alpha*MIN($A26,V$2))))</f>
        <v/>
      </c>
      <c r="W26" s="21">
        <f>EXP(-UFR*($A26+W$2))*(Alpha*MIN($A26,W$2)-0.5*EXP(-Alpha*MAX($A26,W$2))*(EXP(Alpha*MIN($A26,W$2))-EXP(-Alpha*MIN($A26,W$2))))</f>
        <v/>
      </c>
      <c r="X26" s="21">
        <f>EXP(-UFR*($A26+X$2))*(Alpha*MIN($A26,X$2)-0.5*EXP(-Alpha*MAX($A26,X$2))*(EXP(Alpha*MIN($A26,X$2))-EXP(-Alpha*MIN($A26,X$2))))</f>
        <v/>
      </c>
      <c r="Y26" s="21">
        <f>EXP(-UFR*($A26+Y$2))*(Alpha*MIN($A26,Y$2)-0.5*EXP(-Alpha*MAX($A26,Y$2))*(EXP(Alpha*MIN($A26,Y$2))-EXP(-Alpha*MIN($A26,Y$2))))</f>
        <v/>
      </c>
      <c r="Z26" s="21">
        <f>EXP(-UFR*($A26+Z$2))*(Alpha*MIN($A26,Z$2)-0.5*EXP(-Alpha*MAX($A26,Z$2))*(EXP(Alpha*MIN($A26,Z$2))-EXP(-Alpha*MIN($A26,Z$2))))</f>
        <v/>
      </c>
    </row>
    <row r="27">
      <c r="A27" s="20">
        <f>A26+1</f>
        <v/>
      </c>
      <c r="B27" s="21">
        <f>EXP(-UFR*($A27+B$2))*(Alpha*MIN($A27,B$2)-0.5*EXP(-Alpha*MAX($A27,B$2))*(EXP(Alpha*MIN($A27,B$2))-EXP(-Alpha*MIN($A27,B$2))))</f>
        <v/>
      </c>
      <c r="C27" s="21">
        <f>EXP(-UFR*($A27+C$2))*(Alpha*MIN($A27,C$2)-0.5*EXP(-Alpha*MAX($A27,C$2))*(EXP(Alpha*MIN($A27,C$2))-EXP(-Alpha*MIN($A27,C$2))))</f>
        <v/>
      </c>
      <c r="D27" s="21">
        <f>EXP(-UFR*($A27+D$2))*(Alpha*MIN($A27,D$2)-0.5*EXP(-Alpha*MAX($A27,D$2))*(EXP(Alpha*MIN($A27,D$2))-EXP(-Alpha*MIN($A27,D$2))))</f>
        <v/>
      </c>
      <c r="E27" s="21">
        <f>EXP(-UFR*($A27+E$2))*(Alpha*MIN($A27,E$2)-0.5*EXP(-Alpha*MAX($A27,E$2))*(EXP(Alpha*MIN($A27,E$2))-EXP(-Alpha*MIN($A27,E$2))))</f>
        <v/>
      </c>
      <c r="F27" s="21">
        <f>EXP(-UFR*($A27+F$2))*(Alpha*MIN($A27,F$2)-0.5*EXP(-Alpha*MAX($A27,F$2))*(EXP(Alpha*MIN($A27,F$2))-EXP(-Alpha*MIN($A27,F$2))))</f>
        <v/>
      </c>
      <c r="G27" s="21">
        <f>EXP(-UFR*($A27+G$2))*(Alpha*MIN($A27,G$2)-0.5*EXP(-Alpha*MAX($A27,G$2))*(EXP(Alpha*MIN($A27,G$2))-EXP(-Alpha*MIN($A27,G$2))))</f>
        <v/>
      </c>
      <c r="H27" s="21">
        <f>EXP(-UFR*($A27+H$2))*(Alpha*MIN($A27,H$2)-0.5*EXP(-Alpha*MAX($A27,H$2))*(EXP(Alpha*MIN($A27,H$2))-EXP(-Alpha*MIN($A27,H$2))))</f>
        <v/>
      </c>
      <c r="I27" s="21">
        <f>EXP(-UFR*($A27+I$2))*(Alpha*MIN($A27,I$2)-0.5*EXP(-Alpha*MAX($A27,I$2))*(EXP(Alpha*MIN($A27,I$2))-EXP(-Alpha*MIN($A27,I$2))))</f>
        <v/>
      </c>
      <c r="J27" s="21">
        <f>EXP(-UFR*($A27+J$2))*(Alpha*MIN($A27,J$2)-0.5*EXP(-Alpha*MAX($A27,J$2))*(EXP(Alpha*MIN($A27,J$2))-EXP(-Alpha*MIN($A27,J$2))))</f>
        <v/>
      </c>
      <c r="K27" s="21">
        <f>EXP(-UFR*($A27+K$2))*(Alpha*MIN($A27,K$2)-0.5*EXP(-Alpha*MAX($A27,K$2))*(EXP(Alpha*MIN($A27,K$2))-EXP(-Alpha*MIN($A27,K$2))))</f>
        <v/>
      </c>
      <c r="L27" s="21">
        <f>EXP(-UFR*($A27+L$2))*(Alpha*MIN($A27,L$2)-0.5*EXP(-Alpha*MAX($A27,L$2))*(EXP(Alpha*MIN($A27,L$2))-EXP(-Alpha*MIN($A27,L$2))))</f>
        <v/>
      </c>
      <c r="M27" s="21">
        <f>EXP(-UFR*($A27+M$2))*(Alpha*MIN($A27,M$2)-0.5*EXP(-Alpha*MAX($A27,M$2))*(EXP(Alpha*MIN($A27,M$2))-EXP(-Alpha*MIN($A27,M$2))))</f>
        <v/>
      </c>
      <c r="N27" s="21">
        <f>EXP(-UFR*($A27+N$2))*(Alpha*MIN($A27,N$2)-0.5*EXP(-Alpha*MAX($A27,N$2))*(EXP(Alpha*MIN($A27,N$2))-EXP(-Alpha*MIN($A27,N$2))))</f>
        <v/>
      </c>
      <c r="O27" s="21">
        <f>EXP(-UFR*($A27+O$2))*(Alpha*MIN($A27,O$2)-0.5*EXP(-Alpha*MAX($A27,O$2))*(EXP(Alpha*MIN($A27,O$2))-EXP(-Alpha*MIN($A27,O$2))))</f>
        <v/>
      </c>
      <c r="P27" s="21">
        <f>EXP(-UFR*($A27+P$2))*(Alpha*MIN($A27,P$2)-0.5*EXP(-Alpha*MAX($A27,P$2))*(EXP(Alpha*MIN($A27,P$2))-EXP(-Alpha*MIN($A27,P$2))))</f>
        <v/>
      </c>
      <c r="Q27" s="21">
        <f>EXP(-UFR*($A27+Q$2))*(Alpha*MIN($A27,Q$2)-0.5*EXP(-Alpha*MAX($A27,Q$2))*(EXP(Alpha*MIN($A27,Q$2))-EXP(-Alpha*MIN($A27,Q$2))))</f>
        <v/>
      </c>
      <c r="R27" s="21">
        <f>EXP(-UFR*($A27+R$2))*(Alpha*MIN($A27,R$2)-0.5*EXP(-Alpha*MAX($A27,R$2))*(EXP(Alpha*MIN($A27,R$2))-EXP(-Alpha*MIN($A27,R$2))))</f>
        <v/>
      </c>
      <c r="S27" s="21">
        <f>EXP(-UFR*($A27+S$2))*(Alpha*MIN($A27,S$2)-0.5*EXP(-Alpha*MAX($A27,S$2))*(EXP(Alpha*MIN($A27,S$2))-EXP(-Alpha*MIN($A27,S$2))))</f>
        <v/>
      </c>
      <c r="T27" s="21">
        <f>EXP(-UFR*($A27+T$2))*(Alpha*MIN($A27,T$2)-0.5*EXP(-Alpha*MAX($A27,T$2))*(EXP(Alpha*MIN($A27,T$2))-EXP(-Alpha*MIN($A27,T$2))))</f>
        <v/>
      </c>
      <c r="U27" s="21">
        <f>EXP(-UFR*($A27+U$2))*(Alpha*MIN($A27,U$2)-0.5*EXP(-Alpha*MAX($A27,U$2))*(EXP(Alpha*MIN($A27,U$2))-EXP(-Alpha*MIN($A27,U$2))))</f>
        <v/>
      </c>
      <c r="V27" s="21">
        <f>EXP(-UFR*($A27+V$2))*(Alpha*MIN($A27,V$2)-0.5*EXP(-Alpha*MAX($A27,V$2))*(EXP(Alpha*MIN($A27,V$2))-EXP(-Alpha*MIN($A27,V$2))))</f>
        <v/>
      </c>
      <c r="W27" s="21">
        <f>EXP(-UFR*($A27+W$2))*(Alpha*MIN($A27,W$2)-0.5*EXP(-Alpha*MAX($A27,W$2))*(EXP(Alpha*MIN($A27,W$2))-EXP(-Alpha*MIN($A27,W$2))))</f>
        <v/>
      </c>
      <c r="X27" s="21">
        <f>EXP(-UFR*($A27+X$2))*(Alpha*MIN($A27,X$2)-0.5*EXP(-Alpha*MAX($A27,X$2))*(EXP(Alpha*MIN($A27,X$2))-EXP(-Alpha*MIN($A27,X$2))))</f>
        <v/>
      </c>
      <c r="Y27" s="21">
        <f>EXP(-UFR*($A27+Y$2))*(Alpha*MIN($A27,Y$2)-0.5*EXP(-Alpha*MAX($A27,Y$2))*(EXP(Alpha*MIN($A27,Y$2))-EXP(-Alpha*MIN($A27,Y$2))))</f>
        <v/>
      </c>
      <c r="Z27" s="21">
        <f>EXP(-UFR*($A27+Z$2))*(Alpha*MIN($A27,Z$2)-0.5*EXP(-Alpha*MAX($A27,Z$2))*(EXP(Alpha*MIN($A27,Z$2))-EXP(-Alpha*MIN($A27,Z$2))))</f>
        <v/>
      </c>
    </row>
    <row r="28">
      <c r="A28" s="20">
        <f>A27+1</f>
        <v/>
      </c>
      <c r="B28" s="21">
        <f>EXP(-UFR*($A28+B$2))*(Alpha*MIN($A28,B$2)-0.5*EXP(-Alpha*MAX($A28,B$2))*(EXP(Alpha*MIN($A28,B$2))-EXP(-Alpha*MIN($A28,B$2))))</f>
        <v/>
      </c>
      <c r="C28" s="21">
        <f>EXP(-UFR*($A28+C$2))*(Alpha*MIN($A28,C$2)-0.5*EXP(-Alpha*MAX($A28,C$2))*(EXP(Alpha*MIN($A28,C$2))-EXP(-Alpha*MIN($A28,C$2))))</f>
        <v/>
      </c>
      <c r="D28" s="21">
        <f>EXP(-UFR*($A28+D$2))*(Alpha*MIN($A28,D$2)-0.5*EXP(-Alpha*MAX($A28,D$2))*(EXP(Alpha*MIN($A28,D$2))-EXP(-Alpha*MIN($A28,D$2))))</f>
        <v/>
      </c>
      <c r="E28" s="21">
        <f>EXP(-UFR*($A28+E$2))*(Alpha*MIN($A28,E$2)-0.5*EXP(-Alpha*MAX($A28,E$2))*(EXP(Alpha*MIN($A28,E$2))-EXP(-Alpha*MIN($A28,E$2))))</f>
        <v/>
      </c>
      <c r="F28" s="21">
        <f>EXP(-UFR*($A28+F$2))*(Alpha*MIN($A28,F$2)-0.5*EXP(-Alpha*MAX($A28,F$2))*(EXP(Alpha*MIN($A28,F$2))-EXP(-Alpha*MIN($A28,F$2))))</f>
        <v/>
      </c>
      <c r="G28" s="21">
        <f>EXP(-UFR*($A28+G$2))*(Alpha*MIN($A28,G$2)-0.5*EXP(-Alpha*MAX($A28,G$2))*(EXP(Alpha*MIN($A28,G$2))-EXP(-Alpha*MIN($A28,G$2))))</f>
        <v/>
      </c>
      <c r="H28" s="21">
        <f>EXP(-UFR*($A28+H$2))*(Alpha*MIN($A28,H$2)-0.5*EXP(-Alpha*MAX($A28,H$2))*(EXP(Alpha*MIN($A28,H$2))-EXP(-Alpha*MIN($A28,H$2))))</f>
        <v/>
      </c>
      <c r="I28" s="21">
        <f>EXP(-UFR*($A28+I$2))*(Alpha*MIN($A28,I$2)-0.5*EXP(-Alpha*MAX($A28,I$2))*(EXP(Alpha*MIN($A28,I$2))-EXP(-Alpha*MIN($A28,I$2))))</f>
        <v/>
      </c>
      <c r="J28" s="21">
        <f>EXP(-UFR*($A28+J$2))*(Alpha*MIN($A28,J$2)-0.5*EXP(-Alpha*MAX($A28,J$2))*(EXP(Alpha*MIN($A28,J$2))-EXP(-Alpha*MIN($A28,J$2))))</f>
        <v/>
      </c>
      <c r="K28" s="21">
        <f>EXP(-UFR*($A28+K$2))*(Alpha*MIN($A28,K$2)-0.5*EXP(-Alpha*MAX($A28,K$2))*(EXP(Alpha*MIN($A28,K$2))-EXP(-Alpha*MIN($A28,K$2))))</f>
        <v/>
      </c>
      <c r="L28" s="21">
        <f>EXP(-UFR*($A28+L$2))*(Alpha*MIN($A28,L$2)-0.5*EXP(-Alpha*MAX($A28,L$2))*(EXP(Alpha*MIN($A28,L$2))-EXP(-Alpha*MIN($A28,L$2))))</f>
        <v/>
      </c>
      <c r="M28" s="21">
        <f>EXP(-UFR*($A28+M$2))*(Alpha*MIN($A28,M$2)-0.5*EXP(-Alpha*MAX($A28,M$2))*(EXP(Alpha*MIN($A28,M$2))-EXP(-Alpha*MIN($A28,M$2))))</f>
        <v/>
      </c>
      <c r="N28" s="21">
        <f>EXP(-UFR*($A28+N$2))*(Alpha*MIN($A28,N$2)-0.5*EXP(-Alpha*MAX($A28,N$2))*(EXP(Alpha*MIN($A28,N$2))-EXP(-Alpha*MIN($A28,N$2))))</f>
        <v/>
      </c>
      <c r="O28" s="21">
        <f>EXP(-UFR*($A28+O$2))*(Alpha*MIN($A28,O$2)-0.5*EXP(-Alpha*MAX($A28,O$2))*(EXP(Alpha*MIN($A28,O$2))-EXP(-Alpha*MIN($A28,O$2))))</f>
        <v/>
      </c>
      <c r="P28" s="21">
        <f>EXP(-UFR*($A28+P$2))*(Alpha*MIN($A28,P$2)-0.5*EXP(-Alpha*MAX($A28,P$2))*(EXP(Alpha*MIN($A28,P$2))-EXP(-Alpha*MIN($A28,P$2))))</f>
        <v/>
      </c>
      <c r="Q28" s="21">
        <f>EXP(-UFR*($A28+Q$2))*(Alpha*MIN($A28,Q$2)-0.5*EXP(-Alpha*MAX($A28,Q$2))*(EXP(Alpha*MIN($A28,Q$2))-EXP(-Alpha*MIN($A28,Q$2))))</f>
        <v/>
      </c>
      <c r="R28" s="21">
        <f>EXP(-UFR*($A28+R$2))*(Alpha*MIN($A28,R$2)-0.5*EXP(-Alpha*MAX($A28,R$2))*(EXP(Alpha*MIN($A28,R$2))-EXP(-Alpha*MIN($A28,R$2))))</f>
        <v/>
      </c>
      <c r="S28" s="21">
        <f>EXP(-UFR*($A28+S$2))*(Alpha*MIN($A28,S$2)-0.5*EXP(-Alpha*MAX($A28,S$2))*(EXP(Alpha*MIN($A28,S$2))-EXP(-Alpha*MIN($A28,S$2))))</f>
        <v/>
      </c>
      <c r="T28" s="21">
        <f>EXP(-UFR*($A28+T$2))*(Alpha*MIN($A28,T$2)-0.5*EXP(-Alpha*MAX($A28,T$2))*(EXP(Alpha*MIN($A28,T$2))-EXP(-Alpha*MIN($A28,T$2))))</f>
        <v/>
      </c>
      <c r="U28" s="21">
        <f>EXP(-UFR*($A28+U$2))*(Alpha*MIN($A28,U$2)-0.5*EXP(-Alpha*MAX($A28,U$2))*(EXP(Alpha*MIN($A28,U$2))-EXP(-Alpha*MIN($A28,U$2))))</f>
        <v/>
      </c>
      <c r="V28" s="21">
        <f>EXP(-UFR*($A28+V$2))*(Alpha*MIN($A28,V$2)-0.5*EXP(-Alpha*MAX($A28,V$2))*(EXP(Alpha*MIN($A28,V$2))-EXP(-Alpha*MIN($A28,V$2))))</f>
        <v/>
      </c>
      <c r="W28" s="21">
        <f>EXP(-UFR*($A28+W$2))*(Alpha*MIN($A28,W$2)-0.5*EXP(-Alpha*MAX($A28,W$2))*(EXP(Alpha*MIN($A28,W$2))-EXP(-Alpha*MIN($A28,W$2))))</f>
        <v/>
      </c>
      <c r="X28" s="21">
        <f>EXP(-UFR*($A28+X$2))*(Alpha*MIN($A28,X$2)-0.5*EXP(-Alpha*MAX($A28,X$2))*(EXP(Alpha*MIN($A28,X$2))-EXP(-Alpha*MIN($A28,X$2))))</f>
        <v/>
      </c>
      <c r="Y28" s="21">
        <f>EXP(-UFR*($A28+Y$2))*(Alpha*MIN($A28,Y$2)-0.5*EXP(-Alpha*MAX($A28,Y$2))*(EXP(Alpha*MIN($A28,Y$2))-EXP(-Alpha*MIN($A28,Y$2))))</f>
        <v/>
      </c>
      <c r="Z28" s="21">
        <f>EXP(-UFR*($A28+Z$2))*(Alpha*MIN($A28,Z$2)-0.5*EXP(-Alpha*MAX($A28,Z$2))*(EXP(Alpha*MIN($A28,Z$2))-EXP(-Alpha*MIN($A28,Z$2))))</f>
        <v/>
      </c>
    </row>
    <row r="29">
      <c r="A29" s="20">
        <f>A28+1</f>
        <v/>
      </c>
      <c r="B29" s="21">
        <f>EXP(-UFR*($A29+B$2))*(Alpha*MIN($A29,B$2)-0.5*EXP(-Alpha*MAX($A29,B$2))*(EXP(Alpha*MIN($A29,B$2))-EXP(-Alpha*MIN($A29,B$2))))</f>
        <v/>
      </c>
      <c r="C29" s="21">
        <f>EXP(-UFR*($A29+C$2))*(Alpha*MIN($A29,C$2)-0.5*EXP(-Alpha*MAX($A29,C$2))*(EXP(Alpha*MIN($A29,C$2))-EXP(-Alpha*MIN($A29,C$2))))</f>
        <v/>
      </c>
      <c r="D29" s="21">
        <f>EXP(-UFR*($A29+D$2))*(Alpha*MIN($A29,D$2)-0.5*EXP(-Alpha*MAX($A29,D$2))*(EXP(Alpha*MIN($A29,D$2))-EXP(-Alpha*MIN($A29,D$2))))</f>
        <v/>
      </c>
      <c r="E29" s="21">
        <f>EXP(-UFR*($A29+E$2))*(Alpha*MIN($A29,E$2)-0.5*EXP(-Alpha*MAX($A29,E$2))*(EXP(Alpha*MIN($A29,E$2))-EXP(-Alpha*MIN($A29,E$2))))</f>
        <v/>
      </c>
      <c r="F29" s="21">
        <f>EXP(-UFR*($A29+F$2))*(Alpha*MIN($A29,F$2)-0.5*EXP(-Alpha*MAX($A29,F$2))*(EXP(Alpha*MIN($A29,F$2))-EXP(-Alpha*MIN($A29,F$2))))</f>
        <v/>
      </c>
      <c r="G29" s="21">
        <f>EXP(-UFR*($A29+G$2))*(Alpha*MIN($A29,G$2)-0.5*EXP(-Alpha*MAX($A29,G$2))*(EXP(Alpha*MIN($A29,G$2))-EXP(-Alpha*MIN($A29,G$2))))</f>
        <v/>
      </c>
      <c r="H29" s="21">
        <f>EXP(-UFR*($A29+H$2))*(Alpha*MIN($A29,H$2)-0.5*EXP(-Alpha*MAX($A29,H$2))*(EXP(Alpha*MIN($A29,H$2))-EXP(-Alpha*MIN($A29,H$2))))</f>
        <v/>
      </c>
      <c r="I29" s="21">
        <f>EXP(-UFR*($A29+I$2))*(Alpha*MIN($A29,I$2)-0.5*EXP(-Alpha*MAX($A29,I$2))*(EXP(Alpha*MIN($A29,I$2))-EXP(-Alpha*MIN($A29,I$2))))</f>
        <v/>
      </c>
      <c r="J29" s="21">
        <f>EXP(-UFR*($A29+J$2))*(Alpha*MIN($A29,J$2)-0.5*EXP(-Alpha*MAX($A29,J$2))*(EXP(Alpha*MIN($A29,J$2))-EXP(-Alpha*MIN($A29,J$2))))</f>
        <v/>
      </c>
      <c r="K29" s="21">
        <f>EXP(-UFR*($A29+K$2))*(Alpha*MIN($A29,K$2)-0.5*EXP(-Alpha*MAX($A29,K$2))*(EXP(Alpha*MIN($A29,K$2))-EXP(-Alpha*MIN($A29,K$2))))</f>
        <v/>
      </c>
      <c r="L29" s="21">
        <f>EXP(-UFR*($A29+L$2))*(Alpha*MIN($A29,L$2)-0.5*EXP(-Alpha*MAX($A29,L$2))*(EXP(Alpha*MIN($A29,L$2))-EXP(-Alpha*MIN($A29,L$2))))</f>
        <v/>
      </c>
      <c r="M29" s="21">
        <f>EXP(-UFR*($A29+M$2))*(Alpha*MIN($A29,M$2)-0.5*EXP(-Alpha*MAX($A29,M$2))*(EXP(Alpha*MIN($A29,M$2))-EXP(-Alpha*MIN($A29,M$2))))</f>
        <v/>
      </c>
      <c r="N29" s="21">
        <f>EXP(-UFR*($A29+N$2))*(Alpha*MIN($A29,N$2)-0.5*EXP(-Alpha*MAX($A29,N$2))*(EXP(Alpha*MIN($A29,N$2))-EXP(-Alpha*MIN($A29,N$2))))</f>
        <v/>
      </c>
      <c r="O29" s="21">
        <f>EXP(-UFR*($A29+O$2))*(Alpha*MIN($A29,O$2)-0.5*EXP(-Alpha*MAX($A29,O$2))*(EXP(Alpha*MIN($A29,O$2))-EXP(-Alpha*MIN($A29,O$2))))</f>
        <v/>
      </c>
      <c r="P29" s="21">
        <f>EXP(-UFR*($A29+P$2))*(Alpha*MIN($A29,P$2)-0.5*EXP(-Alpha*MAX($A29,P$2))*(EXP(Alpha*MIN($A29,P$2))-EXP(-Alpha*MIN($A29,P$2))))</f>
        <v/>
      </c>
      <c r="Q29" s="21">
        <f>EXP(-UFR*($A29+Q$2))*(Alpha*MIN($A29,Q$2)-0.5*EXP(-Alpha*MAX($A29,Q$2))*(EXP(Alpha*MIN($A29,Q$2))-EXP(-Alpha*MIN($A29,Q$2))))</f>
        <v/>
      </c>
      <c r="R29" s="21">
        <f>EXP(-UFR*($A29+R$2))*(Alpha*MIN($A29,R$2)-0.5*EXP(-Alpha*MAX($A29,R$2))*(EXP(Alpha*MIN($A29,R$2))-EXP(-Alpha*MIN($A29,R$2))))</f>
        <v/>
      </c>
      <c r="S29" s="21">
        <f>EXP(-UFR*($A29+S$2))*(Alpha*MIN($A29,S$2)-0.5*EXP(-Alpha*MAX($A29,S$2))*(EXP(Alpha*MIN($A29,S$2))-EXP(-Alpha*MIN($A29,S$2))))</f>
        <v/>
      </c>
      <c r="T29" s="21">
        <f>EXP(-UFR*($A29+T$2))*(Alpha*MIN($A29,T$2)-0.5*EXP(-Alpha*MAX($A29,T$2))*(EXP(Alpha*MIN($A29,T$2))-EXP(-Alpha*MIN($A29,T$2))))</f>
        <v/>
      </c>
      <c r="U29" s="21">
        <f>EXP(-UFR*($A29+U$2))*(Alpha*MIN($A29,U$2)-0.5*EXP(-Alpha*MAX($A29,U$2))*(EXP(Alpha*MIN($A29,U$2))-EXP(-Alpha*MIN($A29,U$2))))</f>
        <v/>
      </c>
      <c r="V29" s="21">
        <f>EXP(-UFR*($A29+V$2))*(Alpha*MIN($A29,V$2)-0.5*EXP(-Alpha*MAX($A29,V$2))*(EXP(Alpha*MIN($A29,V$2))-EXP(-Alpha*MIN($A29,V$2))))</f>
        <v/>
      </c>
      <c r="W29" s="21">
        <f>EXP(-UFR*($A29+W$2))*(Alpha*MIN($A29,W$2)-0.5*EXP(-Alpha*MAX($A29,W$2))*(EXP(Alpha*MIN($A29,W$2))-EXP(-Alpha*MIN($A29,W$2))))</f>
        <v/>
      </c>
      <c r="X29" s="21">
        <f>EXP(-UFR*($A29+X$2))*(Alpha*MIN($A29,X$2)-0.5*EXP(-Alpha*MAX($A29,X$2))*(EXP(Alpha*MIN($A29,X$2))-EXP(-Alpha*MIN($A29,X$2))))</f>
        <v/>
      </c>
      <c r="Y29" s="21">
        <f>EXP(-UFR*($A29+Y$2))*(Alpha*MIN($A29,Y$2)-0.5*EXP(-Alpha*MAX($A29,Y$2))*(EXP(Alpha*MIN($A29,Y$2))-EXP(-Alpha*MIN($A29,Y$2))))</f>
        <v/>
      </c>
      <c r="Z29" s="21">
        <f>EXP(-UFR*($A29+Z$2))*(Alpha*MIN($A29,Z$2)-0.5*EXP(-Alpha*MAX($A29,Z$2))*(EXP(Alpha*MIN($A29,Z$2))-EXP(-Alpha*MIN($A29,Z$2))))</f>
        <v/>
      </c>
    </row>
    <row r="30">
      <c r="A30" s="20">
        <f>A29+1</f>
        <v/>
      </c>
      <c r="B30" s="21">
        <f>EXP(-UFR*($A30+B$2))*(Alpha*MIN($A30,B$2)-0.5*EXP(-Alpha*MAX($A30,B$2))*(EXP(Alpha*MIN($A30,B$2))-EXP(-Alpha*MIN($A30,B$2))))</f>
        <v/>
      </c>
      <c r="C30" s="21">
        <f>EXP(-UFR*($A30+C$2))*(Alpha*MIN($A30,C$2)-0.5*EXP(-Alpha*MAX($A30,C$2))*(EXP(Alpha*MIN($A30,C$2))-EXP(-Alpha*MIN($A30,C$2))))</f>
        <v/>
      </c>
      <c r="D30" s="21">
        <f>EXP(-UFR*($A30+D$2))*(Alpha*MIN($A30,D$2)-0.5*EXP(-Alpha*MAX($A30,D$2))*(EXP(Alpha*MIN($A30,D$2))-EXP(-Alpha*MIN($A30,D$2))))</f>
        <v/>
      </c>
      <c r="E30" s="21">
        <f>EXP(-UFR*($A30+E$2))*(Alpha*MIN($A30,E$2)-0.5*EXP(-Alpha*MAX($A30,E$2))*(EXP(Alpha*MIN($A30,E$2))-EXP(-Alpha*MIN($A30,E$2))))</f>
        <v/>
      </c>
      <c r="F30" s="21">
        <f>EXP(-UFR*($A30+F$2))*(Alpha*MIN($A30,F$2)-0.5*EXP(-Alpha*MAX($A30,F$2))*(EXP(Alpha*MIN($A30,F$2))-EXP(-Alpha*MIN($A30,F$2))))</f>
        <v/>
      </c>
      <c r="G30" s="21">
        <f>EXP(-UFR*($A30+G$2))*(Alpha*MIN($A30,G$2)-0.5*EXP(-Alpha*MAX($A30,G$2))*(EXP(Alpha*MIN($A30,G$2))-EXP(-Alpha*MIN($A30,G$2))))</f>
        <v/>
      </c>
      <c r="H30" s="21">
        <f>EXP(-UFR*($A30+H$2))*(Alpha*MIN($A30,H$2)-0.5*EXP(-Alpha*MAX($A30,H$2))*(EXP(Alpha*MIN($A30,H$2))-EXP(-Alpha*MIN($A30,H$2))))</f>
        <v/>
      </c>
      <c r="I30" s="21">
        <f>EXP(-UFR*($A30+I$2))*(Alpha*MIN($A30,I$2)-0.5*EXP(-Alpha*MAX($A30,I$2))*(EXP(Alpha*MIN($A30,I$2))-EXP(-Alpha*MIN($A30,I$2))))</f>
        <v/>
      </c>
      <c r="J30" s="21">
        <f>EXP(-UFR*($A30+J$2))*(Alpha*MIN($A30,J$2)-0.5*EXP(-Alpha*MAX($A30,J$2))*(EXP(Alpha*MIN($A30,J$2))-EXP(-Alpha*MIN($A30,J$2))))</f>
        <v/>
      </c>
      <c r="K30" s="21">
        <f>EXP(-UFR*($A30+K$2))*(Alpha*MIN($A30,K$2)-0.5*EXP(-Alpha*MAX($A30,K$2))*(EXP(Alpha*MIN($A30,K$2))-EXP(-Alpha*MIN($A30,K$2))))</f>
        <v/>
      </c>
      <c r="L30" s="21">
        <f>EXP(-UFR*($A30+L$2))*(Alpha*MIN($A30,L$2)-0.5*EXP(-Alpha*MAX($A30,L$2))*(EXP(Alpha*MIN($A30,L$2))-EXP(-Alpha*MIN($A30,L$2))))</f>
        <v/>
      </c>
      <c r="M30" s="21">
        <f>EXP(-UFR*($A30+M$2))*(Alpha*MIN($A30,M$2)-0.5*EXP(-Alpha*MAX($A30,M$2))*(EXP(Alpha*MIN($A30,M$2))-EXP(-Alpha*MIN($A30,M$2))))</f>
        <v/>
      </c>
      <c r="N30" s="21">
        <f>EXP(-UFR*($A30+N$2))*(Alpha*MIN($A30,N$2)-0.5*EXP(-Alpha*MAX($A30,N$2))*(EXP(Alpha*MIN($A30,N$2))-EXP(-Alpha*MIN($A30,N$2))))</f>
        <v/>
      </c>
      <c r="O30" s="21">
        <f>EXP(-UFR*($A30+O$2))*(Alpha*MIN($A30,O$2)-0.5*EXP(-Alpha*MAX($A30,O$2))*(EXP(Alpha*MIN($A30,O$2))-EXP(-Alpha*MIN($A30,O$2))))</f>
        <v/>
      </c>
      <c r="P30" s="21">
        <f>EXP(-UFR*($A30+P$2))*(Alpha*MIN($A30,P$2)-0.5*EXP(-Alpha*MAX($A30,P$2))*(EXP(Alpha*MIN($A30,P$2))-EXP(-Alpha*MIN($A30,P$2))))</f>
        <v/>
      </c>
      <c r="Q30" s="21">
        <f>EXP(-UFR*($A30+Q$2))*(Alpha*MIN($A30,Q$2)-0.5*EXP(-Alpha*MAX($A30,Q$2))*(EXP(Alpha*MIN($A30,Q$2))-EXP(-Alpha*MIN($A30,Q$2))))</f>
        <v/>
      </c>
      <c r="R30" s="21">
        <f>EXP(-UFR*($A30+R$2))*(Alpha*MIN($A30,R$2)-0.5*EXP(-Alpha*MAX($A30,R$2))*(EXP(Alpha*MIN($A30,R$2))-EXP(-Alpha*MIN($A30,R$2))))</f>
        <v/>
      </c>
      <c r="S30" s="21">
        <f>EXP(-UFR*($A30+S$2))*(Alpha*MIN($A30,S$2)-0.5*EXP(-Alpha*MAX($A30,S$2))*(EXP(Alpha*MIN($A30,S$2))-EXP(-Alpha*MIN($A30,S$2))))</f>
        <v/>
      </c>
      <c r="T30" s="21">
        <f>EXP(-UFR*($A30+T$2))*(Alpha*MIN($A30,T$2)-0.5*EXP(-Alpha*MAX($A30,T$2))*(EXP(Alpha*MIN($A30,T$2))-EXP(-Alpha*MIN($A30,T$2))))</f>
        <v/>
      </c>
      <c r="U30" s="21">
        <f>EXP(-UFR*($A30+U$2))*(Alpha*MIN($A30,U$2)-0.5*EXP(-Alpha*MAX($A30,U$2))*(EXP(Alpha*MIN($A30,U$2))-EXP(-Alpha*MIN($A30,U$2))))</f>
        <v/>
      </c>
      <c r="V30" s="21">
        <f>EXP(-UFR*($A30+V$2))*(Alpha*MIN($A30,V$2)-0.5*EXP(-Alpha*MAX($A30,V$2))*(EXP(Alpha*MIN($A30,V$2))-EXP(-Alpha*MIN($A30,V$2))))</f>
        <v/>
      </c>
      <c r="W30" s="21">
        <f>EXP(-UFR*($A30+W$2))*(Alpha*MIN($A30,W$2)-0.5*EXP(-Alpha*MAX($A30,W$2))*(EXP(Alpha*MIN($A30,W$2))-EXP(-Alpha*MIN($A30,W$2))))</f>
        <v/>
      </c>
      <c r="X30" s="21">
        <f>EXP(-UFR*($A30+X$2))*(Alpha*MIN($A30,X$2)-0.5*EXP(-Alpha*MAX($A30,X$2))*(EXP(Alpha*MIN($A30,X$2))-EXP(-Alpha*MIN($A30,X$2))))</f>
        <v/>
      </c>
      <c r="Y30" s="21">
        <f>EXP(-UFR*($A30+Y$2))*(Alpha*MIN($A30,Y$2)-0.5*EXP(-Alpha*MAX($A30,Y$2))*(EXP(Alpha*MIN($A30,Y$2))-EXP(-Alpha*MIN($A30,Y$2))))</f>
        <v/>
      </c>
      <c r="Z30" s="21">
        <f>EXP(-UFR*($A30+Z$2))*(Alpha*MIN($A30,Z$2)-0.5*EXP(-Alpha*MAX($A30,Z$2))*(EXP(Alpha*MIN($A30,Z$2))-EXP(-Alpha*MIN($A30,Z$2))))</f>
        <v/>
      </c>
    </row>
    <row r="31">
      <c r="A31" s="20">
        <f>A30+1</f>
        <v/>
      </c>
      <c r="B31" s="21">
        <f>EXP(-UFR*($A31+B$2))*(Alpha*MIN($A31,B$2)-0.5*EXP(-Alpha*MAX($A31,B$2))*(EXP(Alpha*MIN($A31,B$2))-EXP(-Alpha*MIN($A31,B$2))))</f>
        <v/>
      </c>
      <c r="C31" s="21">
        <f>EXP(-UFR*($A31+C$2))*(Alpha*MIN($A31,C$2)-0.5*EXP(-Alpha*MAX($A31,C$2))*(EXP(Alpha*MIN($A31,C$2))-EXP(-Alpha*MIN($A31,C$2))))</f>
        <v/>
      </c>
      <c r="D31" s="21">
        <f>EXP(-UFR*($A31+D$2))*(Alpha*MIN($A31,D$2)-0.5*EXP(-Alpha*MAX($A31,D$2))*(EXP(Alpha*MIN($A31,D$2))-EXP(-Alpha*MIN($A31,D$2))))</f>
        <v/>
      </c>
      <c r="E31" s="21">
        <f>EXP(-UFR*($A31+E$2))*(Alpha*MIN($A31,E$2)-0.5*EXP(-Alpha*MAX($A31,E$2))*(EXP(Alpha*MIN($A31,E$2))-EXP(-Alpha*MIN($A31,E$2))))</f>
        <v/>
      </c>
      <c r="F31" s="21">
        <f>EXP(-UFR*($A31+F$2))*(Alpha*MIN($A31,F$2)-0.5*EXP(-Alpha*MAX($A31,F$2))*(EXP(Alpha*MIN($A31,F$2))-EXP(-Alpha*MIN($A31,F$2))))</f>
        <v/>
      </c>
      <c r="G31" s="21">
        <f>EXP(-UFR*($A31+G$2))*(Alpha*MIN($A31,G$2)-0.5*EXP(-Alpha*MAX($A31,G$2))*(EXP(Alpha*MIN($A31,G$2))-EXP(-Alpha*MIN($A31,G$2))))</f>
        <v/>
      </c>
      <c r="H31" s="21">
        <f>EXP(-UFR*($A31+H$2))*(Alpha*MIN($A31,H$2)-0.5*EXP(-Alpha*MAX($A31,H$2))*(EXP(Alpha*MIN($A31,H$2))-EXP(-Alpha*MIN($A31,H$2))))</f>
        <v/>
      </c>
      <c r="I31" s="21">
        <f>EXP(-UFR*($A31+I$2))*(Alpha*MIN($A31,I$2)-0.5*EXP(-Alpha*MAX($A31,I$2))*(EXP(Alpha*MIN($A31,I$2))-EXP(-Alpha*MIN($A31,I$2))))</f>
        <v/>
      </c>
      <c r="J31" s="21">
        <f>EXP(-UFR*($A31+J$2))*(Alpha*MIN($A31,J$2)-0.5*EXP(-Alpha*MAX($A31,J$2))*(EXP(Alpha*MIN($A31,J$2))-EXP(-Alpha*MIN($A31,J$2))))</f>
        <v/>
      </c>
      <c r="K31" s="21">
        <f>EXP(-UFR*($A31+K$2))*(Alpha*MIN($A31,K$2)-0.5*EXP(-Alpha*MAX($A31,K$2))*(EXP(Alpha*MIN($A31,K$2))-EXP(-Alpha*MIN($A31,K$2))))</f>
        <v/>
      </c>
      <c r="L31" s="21">
        <f>EXP(-UFR*($A31+L$2))*(Alpha*MIN($A31,L$2)-0.5*EXP(-Alpha*MAX($A31,L$2))*(EXP(Alpha*MIN($A31,L$2))-EXP(-Alpha*MIN($A31,L$2))))</f>
        <v/>
      </c>
      <c r="M31" s="21">
        <f>EXP(-UFR*($A31+M$2))*(Alpha*MIN($A31,M$2)-0.5*EXP(-Alpha*MAX($A31,M$2))*(EXP(Alpha*MIN($A31,M$2))-EXP(-Alpha*MIN($A31,M$2))))</f>
        <v/>
      </c>
      <c r="N31" s="21">
        <f>EXP(-UFR*($A31+N$2))*(Alpha*MIN($A31,N$2)-0.5*EXP(-Alpha*MAX($A31,N$2))*(EXP(Alpha*MIN($A31,N$2))-EXP(-Alpha*MIN($A31,N$2))))</f>
        <v/>
      </c>
      <c r="O31" s="21">
        <f>EXP(-UFR*($A31+O$2))*(Alpha*MIN($A31,O$2)-0.5*EXP(-Alpha*MAX($A31,O$2))*(EXP(Alpha*MIN($A31,O$2))-EXP(-Alpha*MIN($A31,O$2))))</f>
        <v/>
      </c>
      <c r="P31" s="21">
        <f>EXP(-UFR*($A31+P$2))*(Alpha*MIN($A31,P$2)-0.5*EXP(-Alpha*MAX($A31,P$2))*(EXP(Alpha*MIN($A31,P$2))-EXP(-Alpha*MIN($A31,P$2))))</f>
        <v/>
      </c>
      <c r="Q31" s="21">
        <f>EXP(-UFR*($A31+Q$2))*(Alpha*MIN($A31,Q$2)-0.5*EXP(-Alpha*MAX($A31,Q$2))*(EXP(Alpha*MIN($A31,Q$2))-EXP(-Alpha*MIN($A31,Q$2))))</f>
        <v/>
      </c>
      <c r="R31" s="21">
        <f>EXP(-UFR*($A31+R$2))*(Alpha*MIN($A31,R$2)-0.5*EXP(-Alpha*MAX($A31,R$2))*(EXP(Alpha*MIN($A31,R$2))-EXP(-Alpha*MIN($A31,R$2))))</f>
        <v/>
      </c>
      <c r="S31" s="21">
        <f>EXP(-UFR*($A31+S$2))*(Alpha*MIN($A31,S$2)-0.5*EXP(-Alpha*MAX($A31,S$2))*(EXP(Alpha*MIN($A31,S$2))-EXP(-Alpha*MIN($A31,S$2))))</f>
        <v/>
      </c>
      <c r="T31" s="21">
        <f>EXP(-UFR*($A31+T$2))*(Alpha*MIN($A31,T$2)-0.5*EXP(-Alpha*MAX($A31,T$2))*(EXP(Alpha*MIN($A31,T$2))-EXP(-Alpha*MIN($A31,T$2))))</f>
        <v/>
      </c>
      <c r="U31" s="21">
        <f>EXP(-UFR*($A31+U$2))*(Alpha*MIN($A31,U$2)-0.5*EXP(-Alpha*MAX($A31,U$2))*(EXP(Alpha*MIN($A31,U$2))-EXP(-Alpha*MIN($A31,U$2))))</f>
        <v/>
      </c>
      <c r="V31" s="21">
        <f>EXP(-UFR*($A31+V$2))*(Alpha*MIN($A31,V$2)-0.5*EXP(-Alpha*MAX($A31,V$2))*(EXP(Alpha*MIN($A31,V$2))-EXP(-Alpha*MIN($A31,V$2))))</f>
        <v/>
      </c>
      <c r="W31" s="21">
        <f>EXP(-UFR*($A31+W$2))*(Alpha*MIN($A31,W$2)-0.5*EXP(-Alpha*MAX($A31,W$2))*(EXP(Alpha*MIN($A31,W$2))-EXP(-Alpha*MIN($A31,W$2))))</f>
        <v/>
      </c>
      <c r="X31" s="21">
        <f>EXP(-UFR*($A31+X$2))*(Alpha*MIN($A31,X$2)-0.5*EXP(-Alpha*MAX($A31,X$2))*(EXP(Alpha*MIN($A31,X$2))-EXP(-Alpha*MIN($A31,X$2))))</f>
        <v/>
      </c>
      <c r="Y31" s="21">
        <f>EXP(-UFR*($A31+Y$2))*(Alpha*MIN($A31,Y$2)-0.5*EXP(-Alpha*MAX($A31,Y$2))*(EXP(Alpha*MIN($A31,Y$2))-EXP(-Alpha*MIN($A31,Y$2))))</f>
        <v/>
      </c>
      <c r="Z31" s="21">
        <f>EXP(-UFR*($A31+Z$2))*(Alpha*MIN($A31,Z$2)-0.5*EXP(-Alpha*MAX($A31,Z$2))*(EXP(Alpha*MIN($A31,Z$2))-EXP(-Alpha*MIN($A31,Z$2))))</f>
        <v/>
      </c>
    </row>
    <row r="32">
      <c r="A32" s="20">
        <f>A31+1</f>
        <v/>
      </c>
      <c r="B32" s="21">
        <f>EXP(-UFR*($A32+B$2))*(Alpha*MIN($A32,B$2)-0.5*EXP(-Alpha*MAX($A32,B$2))*(EXP(Alpha*MIN($A32,B$2))-EXP(-Alpha*MIN($A32,B$2))))</f>
        <v/>
      </c>
      <c r="C32" s="21">
        <f>EXP(-UFR*($A32+C$2))*(Alpha*MIN($A32,C$2)-0.5*EXP(-Alpha*MAX($A32,C$2))*(EXP(Alpha*MIN($A32,C$2))-EXP(-Alpha*MIN($A32,C$2))))</f>
        <v/>
      </c>
      <c r="D32" s="21">
        <f>EXP(-UFR*($A32+D$2))*(Alpha*MIN($A32,D$2)-0.5*EXP(-Alpha*MAX($A32,D$2))*(EXP(Alpha*MIN($A32,D$2))-EXP(-Alpha*MIN($A32,D$2))))</f>
        <v/>
      </c>
      <c r="E32" s="21">
        <f>EXP(-UFR*($A32+E$2))*(Alpha*MIN($A32,E$2)-0.5*EXP(-Alpha*MAX($A32,E$2))*(EXP(Alpha*MIN($A32,E$2))-EXP(-Alpha*MIN($A32,E$2))))</f>
        <v/>
      </c>
      <c r="F32" s="21">
        <f>EXP(-UFR*($A32+F$2))*(Alpha*MIN($A32,F$2)-0.5*EXP(-Alpha*MAX($A32,F$2))*(EXP(Alpha*MIN($A32,F$2))-EXP(-Alpha*MIN($A32,F$2))))</f>
        <v/>
      </c>
      <c r="G32" s="21">
        <f>EXP(-UFR*($A32+G$2))*(Alpha*MIN($A32,G$2)-0.5*EXP(-Alpha*MAX($A32,G$2))*(EXP(Alpha*MIN($A32,G$2))-EXP(-Alpha*MIN($A32,G$2))))</f>
        <v/>
      </c>
      <c r="H32" s="21">
        <f>EXP(-UFR*($A32+H$2))*(Alpha*MIN($A32,H$2)-0.5*EXP(-Alpha*MAX($A32,H$2))*(EXP(Alpha*MIN($A32,H$2))-EXP(-Alpha*MIN($A32,H$2))))</f>
        <v/>
      </c>
      <c r="I32" s="21">
        <f>EXP(-UFR*($A32+I$2))*(Alpha*MIN($A32,I$2)-0.5*EXP(-Alpha*MAX($A32,I$2))*(EXP(Alpha*MIN($A32,I$2))-EXP(-Alpha*MIN($A32,I$2))))</f>
        <v/>
      </c>
      <c r="J32" s="21">
        <f>EXP(-UFR*($A32+J$2))*(Alpha*MIN($A32,J$2)-0.5*EXP(-Alpha*MAX($A32,J$2))*(EXP(Alpha*MIN($A32,J$2))-EXP(-Alpha*MIN($A32,J$2))))</f>
        <v/>
      </c>
      <c r="K32" s="21">
        <f>EXP(-UFR*($A32+K$2))*(Alpha*MIN($A32,K$2)-0.5*EXP(-Alpha*MAX($A32,K$2))*(EXP(Alpha*MIN($A32,K$2))-EXP(-Alpha*MIN($A32,K$2))))</f>
        <v/>
      </c>
      <c r="L32" s="21">
        <f>EXP(-UFR*($A32+L$2))*(Alpha*MIN($A32,L$2)-0.5*EXP(-Alpha*MAX($A32,L$2))*(EXP(Alpha*MIN($A32,L$2))-EXP(-Alpha*MIN($A32,L$2))))</f>
        <v/>
      </c>
      <c r="M32" s="21">
        <f>EXP(-UFR*($A32+M$2))*(Alpha*MIN($A32,M$2)-0.5*EXP(-Alpha*MAX($A32,M$2))*(EXP(Alpha*MIN($A32,M$2))-EXP(-Alpha*MIN($A32,M$2))))</f>
        <v/>
      </c>
      <c r="N32" s="21">
        <f>EXP(-UFR*($A32+N$2))*(Alpha*MIN($A32,N$2)-0.5*EXP(-Alpha*MAX($A32,N$2))*(EXP(Alpha*MIN($A32,N$2))-EXP(-Alpha*MIN($A32,N$2))))</f>
        <v/>
      </c>
      <c r="O32" s="21">
        <f>EXP(-UFR*($A32+O$2))*(Alpha*MIN($A32,O$2)-0.5*EXP(-Alpha*MAX($A32,O$2))*(EXP(Alpha*MIN($A32,O$2))-EXP(-Alpha*MIN($A32,O$2))))</f>
        <v/>
      </c>
      <c r="P32" s="21">
        <f>EXP(-UFR*($A32+P$2))*(Alpha*MIN($A32,P$2)-0.5*EXP(-Alpha*MAX($A32,P$2))*(EXP(Alpha*MIN($A32,P$2))-EXP(-Alpha*MIN($A32,P$2))))</f>
        <v/>
      </c>
      <c r="Q32" s="21">
        <f>EXP(-UFR*($A32+Q$2))*(Alpha*MIN($A32,Q$2)-0.5*EXP(-Alpha*MAX($A32,Q$2))*(EXP(Alpha*MIN($A32,Q$2))-EXP(-Alpha*MIN($A32,Q$2))))</f>
        <v/>
      </c>
      <c r="R32" s="21">
        <f>EXP(-UFR*($A32+R$2))*(Alpha*MIN($A32,R$2)-0.5*EXP(-Alpha*MAX($A32,R$2))*(EXP(Alpha*MIN($A32,R$2))-EXP(-Alpha*MIN($A32,R$2))))</f>
        <v/>
      </c>
      <c r="S32" s="21">
        <f>EXP(-UFR*($A32+S$2))*(Alpha*MIN($A32,S$2)-0.5*EXP(-Alpha*MAX($A32,S$2))*(EXP(Alpha*MIN($A32,S$2))-EXP(-Alpha*MIN($A32,S$2))))</f>
        <v/>
      </c>
      <c r="T32" s="21">
        <f>EXP(-UFR*($A32+T$2))*(Alpha*MIN($A32,T$2)-0.5*EXP(-Alpha*MAX($A32,T$2))*(EXP(Alpha*MIN($A32,T$2))-EXP(-Alpha*MIN($A32,T$2))))</f>
        <v/>
      </c>
      <c r="U32" s="21">
        <f>EXP(-UFR*($A32+U$2))*(Alpha*MIN($A32,U$2)-0.5*EXP(-Alpha*MAX($A32,U$2))*(EXP(Alpha*MIN($A32,U$2))-EXP(-Alpha*MIN($A32,U$2))))</f>
        <v/>
      </c>
      <c r="V32" s="21">
        <f>EXP(-UFR*($A32+V$2))*(Alpha*MIN($A32,V$2)-0.5*EXP(-Alpha*MAX($A32,V$2))*(EXP(Alpha*MIN($A32,V$2))-EXP(-Alpha*MIN($A32,V$2))))</f>
        <v/>
      </c>
      <c r="W32" s="21">
        <f>EXP(-UFR*($A32+W$2))*(Alpha*MIN($A32,W$2)-0.5*EXP(-Alpha*MAX($A32,W$2))*(EXP(Alpha*MIN($A32,W$2))-EXP(-Alpha*MIN($A32,W$2))))</f>
        <v/>
      </c>
      <c r="X32" s="21">
        <f>EXP(-UFR*($A32+X$2))*(Alpha*MIN($A32,X$2)-0.5*EXP(-Alpha*MAX($A32,X$2))*(EXP(Alpha*MIN($A32,X$2))-EXP(-Alpha*MIN($A32,X$2))))</f>
        <v/>
      </c>
      <c r="Y32" s="21">
        <f>EXP(-UFR*($A32+Y$2))*(Alpha*MIN($A32,Y$2)-0.5*EXP(-Alpha*MAX($A32,Y$2))*(EXP(Alpha*MIN($A32,Y$2))-EXP(-Alpha*MIN($A32,Y$2))))</f>
        <v/>
      </c>
      <c r="Z32" s="21">
        <f>EXP(-UFR*($A32+Z$2))*(Alpha*MIN($A32,Z$2)-0.5*EXP(-Alpha*MAX($A32,Z$2))*(EXP(Alpha*MIN($A32,Z$2))-EXP(-Alpha*MIN($A32,Z$2))))</f>
        <v/>
      </c>
    </row>
    <row r="33">
      <c r="A33" s="20">
        <f>A32+1</f>
        <v/>
      </c>
      <c r="B33" s="21">
        <f>EXP(-UFR*($A33+B$2))*(Alpha*MIN($A33,B$2)-0.5*EXP(-Alpha*MAX($A33,B$2))*(EXP(Alpha*MIN($A33,B$2))-EXP(-Alpha*MIN($A33,B$2))))</f>
        <v/>
      </c>
      <c r="C33" s="21">
        <f>EXP(-UFR*($A33+C$2))*(Alpha*MIN($A33,C$2)-0.5*EXP(-Alpha*MAX($A33,C$2))*(EXP(Alpha*MIN($A33,C$2))-EXP(-Alpha*MIN($A33,C$2))))</f>
        <v/>
      </c>
      <c r="D33" s="21">
        <f>EXP(-UFR*($A33+D$2))*(Alpha*MIN($A33,D$2)-0.5*EXP(-Alpha*MAX($A33,D$2))*(EXP(Alpha*MIN($A33,D$2))-EXP(-Alpha*MIN($A33,D$2))))</f>
        <v/>
      </c>
      <c r="E33" s="21">
        <f>EXP(-UFR*($A33+E$2))*(Alpha*MIN($A33,E$2)-0.5*EXP(-Alpha*MAX($A33,E$2))*(EXP(Alpha*MIN($A33,E$2))-EXP(-Alpha*MIN($A33,E$2))))</f>
        <v/>
      </c>
      <c r="F33" s="21">
        <f>EXP(-UFR*($A33+F$2))*(Alpha*MIN($A33,F$2)-0.5*EXP(-Alpha*MAX($A33,F$2))*(EXP(Alpha*MIN($A33,F$2))-EXP(-Alpha*MIN($A33,F$2))))</f>
        <v/>
      </c>
      <c r="G33" s="21">
        <f>EXP(-UFR*($A33+G$2))*(Alpha*MIN($A33,G$2)-0.5*EXP(-Alpha*MAX($A33,G$2))*(EXP(Alpha*MIN($A33,G$2))-EXP(-Alpha*MIN($A33,G$2))))</f>
        <v/>
      </c>
      <c r="H33" s="21">
        <f>EXP(-UFR*($A33+H$2))*(Alpha*MIN($A33,H$2)-0.5*EXP(-Alpha*MAX($A33,H$2))*(EXP(Alpha*MIN($A33,H$2))-EXP(-Alpha*MIN($A33,H$2))))</f>
        <v/>
      </c>
      <c r="I33" s="21">
        <f>EXP(-UFR*($A33+I$2))*(Alpha*MIN($A33,I$2)-0.5*EXP(-Alpha*MAX($A33,I$2))*(EXP(Alpha*MIN($A33,I$2))-EXP(-Alpha*MIN($A33,I$2))))</f>
        <v/>
      </c>
      <c r="J33" s="21">
        <f>EXP(-UFR*($A33+J$2))*(Alpha*MIN($A33,J$2)-0.5*EXP(-Alpha*MAX($A33,J$2))*(EXP(Alpha*MIN($A33,J$2))-EXP(-Alpha*MIN($A33,J$2))))</f>
        <v/>
      </c>
      <c r="K33" s="21">
        <f>EXP(-UFR*($A33+K$2))*(Alpha*MIN($A33,K$2)-0.5*EXP(-Alpha*MAX($A33,K$2))*(EXP(Alpha*MIN($A33,K$2))-EXP(-Alpha*MIN($A33,K$2))))</f>
        <v/>
      </c>
      <c r="L33" s="21">
        <f>EXP(-UFR*($A33+L$2))*(Alpha*MIN($A33,L$2)-0.5*EXP(-Alpha*MAX($A33,L$2))*(EXP(Alpha*MIN($A33,L$2))-EXP(-Alpha*MIN($A33,L$2))))</f>
        <v/>
      </c>
      <c r="M33" s="21">
        <f>EXP(-UFR*($A33+M$2))*(Alpha*MIN($A33,M$2)-0.5*EXP(-Alpha*MAX($A33,M$2))*(EXP(Alpha*MIN($A33,M$2))-EXP(-Alpha*MIN($A33,M$2))))</f>
        <v/>
      </c>
      <c r="N33" s="21">
        <f>EXP(-UFR*($A33+N$2))*(Alpha*MIN($A33,N$2)-0.5*EXP(-Alpha*MAX($A33,N$2))*(EXP(Alpha*MIN($A33,N$2))-EXP(-Alpha*MIN($A33,N$2))))</f>
        <v/>
      </c>
      <c r="O33" s="21">
        <f>EXP(-UFR*($A33+O$2))*(Alpha*MIN($A33,O$2)-0.5*EXP(-Alpha*MAX($A33,O$2))*(EXP(Alpha*MIN($A33,O$2))-EXP(-Alpha*MIN($A33,O$2))))</f>
        <v/>
      </c>
      <c r="P33" s="21">
        <f>EXP(-UFR*($A33+P$2))*(Alpha*MIN($A33,P$2)-0.5*EXP(-Alpha*MAX($A33,P$2))*(EXP(Alpha*MIN($A33,P$2))-EXP(-Alpha*MIN($A33,P$2))))</f>
        <v/>
      </c>
      <c r="Q33" s="21">
        <f>EXP(-UFR*($A33+Q$2))*(Alpha*MIN($A33,Q$2)-0.5*EXP(-Alpha*MAX($A33,Q$2))*(EXP(Alpha*MIN($A33,Q$2))-EXP(-Alpha*MIN($A33,Q$2))))</f>
        <v/>
      </c>
      <c r="R33" s="21">
        <f>EXP(-UFR*($A33+R$2))*(Alpha*MIN($A33,R$2)-0.5*EXP(-Alpha*MAX($A33,R$2))*(EXP(Alpha*MIN($A33,R$2))-EXP(-Alpha*MIN($A33,R$2))))</f>
        <v/>
      </c>
      <c r="S33" s="21">
        <f>EXP(-UFR*($A33+S$2))*(Alpha*MIN($A33,S$2)-0.5*EXP(-Alpha*MAX($A33,S$2))*(EXP(Alpha*MIN($A33,S$2))-EXP(-Alpha*MIN($A33,S$2))))</f>
        <v/>
      </c>
      <c r="T33" s="21">
        <f>EXP(-UFR*($A33+T$2))*(Alpha*MIN($A33,T$2)-0.5*EXP(-Alpha*MAX($A33,T$2))*(EXP(Alpha*MIN($A33,T$2))-EXP(-Alpha*MIN($A33,T$2))))</f>
        <v/>
      </c>
      <c r="U33" s="21">
        <f>EXP(-UFR*($A33+U$2))*(Alpha*MIN($A33,U$2)-0.5*EXP(-Alpha*MAX($A33,U$2))*(EXP(Alpha*MIN($A33,U$2))-EXP(-Alpha*MIN($A33,U$2))))</f>
        <v/>
      </c>
      <c r="V33" s="21">
        <f>EXP(-UFR*($A33+V$2))*(Alpha*MIN($A33,V$2)-0.5*EXP(-Alpha*MAX($A33,V$2))*(EXP(Alpha*MIN($A33,V$2))-EXP(-Alpha*MIN($A33,V$2))))</f>
        <v/>
      </c>
      <c r="W33" s="21">
        <f>EXP(-UFR*($A33+W$2))*(Alpha*MIN($A33,W$2)-0.5*EXP(-Alpha*MAX($A33,W$2))*(EXP(Alpha*MIN($A33,W$2))-EXP(-Alpha*MIN($A33,W$2))))</f>
        <v/>
      </c>
      <c r="X33" s="21">
        <f>EXP(-UFR*($A33+X$2))*(Alpha*MIN($A33,X$2)-0.5*EXP(-Alpha*MAX($A33,X$2))*(EXP(Alpha*MIN($A33,X$2))-EXP(-Alpha*MIN($A33,X$2))))</f>
        <v/>
      </c>
      <c r="Y33" s="21">
        <f>EXP(-UFR*($A33+Y$2))*(Alpha*MIN($A33,Y$2)-0.5*EXP(-Alpha*MAX($A33,Y$2))*(EXP(Alpha*MIN($A33,Y$2))-EXP(-Alpha*MIN($A33,Y$2))))</f>
        <v/>
      </c>
      <c r="Z33" s="21">
        <f>EXP(-UFR*($A33+Z$2))*(Alpha*MIN($A33,Z$2)-0.5*EXP(-Alpha*MAX($A33,Z$2))*(EXP(Alpha*MIN($A33,Z$2))-EXP(-Alpha*MIN($A33,Z$2))))</f>
        <v/>
      </c>
    </row>
    <row r="34">
      <c r="A34" s="20">
        <f>A33+1</f>
        <v/>
      </c>
      <c r="B34" s="21">
        <f>EXP(-UFR*($A34+B$2))*(Alpha*MIN($A34,B$2)-0.5*EXP(-Alpha*MAX($A34,B$2))*(EXP(Alpha*MIN($A34,B$2))-EXP(-Alpha*MIN($A34,B$2))))</f>
        <v/>
      </c>
      <c r="C34" s="21">
        <f>EXP(-UFR*($A34+C$2))*(Alpha*MIN($A34,C$2)-0.5*EXP(-Alpha*MAX($A34,C$2))*(EXP(Alpha*MIN($A34,C$2))-EXP(-Alpha*MIN($A34,C$2))))</f>
        <v/>
      </c>
      <c r="D34" s="21">
        <f>EXP(-UFR*($A34+D$2))*(Alpha*MIN($A34,D$2)-0.5*EXP(-Alpha*MAX($A34,D$2))*(EXP(Alpha*MIN($A34,D$2))-EXP(-Alpha*MIN($A34,D$2))))</f>
        <v/>
      </c>
      <c r="E34" s="21">
        <f>EXP(-UFR*($A34+E$2))*(Alpha*MIN($A34,E$2)-0.5*EXP(-Alpha*MAX($A34,E$2))*(EXP(Alpha*MIN($A34,E$2))-EXP(-Alpha*MIN($A34,E$2))))</f>
        <v/>
      </c>
      <c r="F34" s="21">
        <f>EXP(-UFR*($A34+F$2))*(Alpha*MIN($A34,F$2)-0.5*EXP(-Alpha*MAX($A34,F$2))*(EXP(Alpha*MIN($A34,F$2))-EXP(-Alpha*MIN($A34,F$2))))</f>
        <v/>
      </c>
      <c r="G34" s="21">
        <f>EXP(-UFR*($A34+G$2))*(Alpha*MIN($A34,G$2)-0.5*EXP(-Alpha*MAX($A34,G$2))*(EXP(Alpha*MIN($A34,G$2))-EXP(-Alpha*MIN($A34,G$2))))</f>
        <v/>
      </c>
      <c r="H34" s="21">
        <f>EXP(-UFR*($A34+H$2))*(Alpha*MIN($A34,H$2)-0.5*EXP(-Alpha*MAX($A34,H$2))*(EXP(Alpha*MIN($A34,H$2))-EXP(-Alpha*MIN($A34,H$2))))</f>
        <v/>
      </c>
      <c r="I34" s="21">
        <f>EXP(-UFR*($A34+I$2))*(Alpha*MIN($A34,I$2)-0.5*EXP(-Alpha*MAX($A34,I$2))*(EXP(Alpha*MIN($A34,I$2))-EXP(-Alpha*MIN($A34,I$2))))</f>
        <v/>
      </c>
      <c r="J34" s="21">
        <f>EXP(-UFR*($A34+J$2))*(Alpha*MIN($A34,J$2)-0.5*EXP(-Alpha*MAX($A34,J$2))*(EXP(Alpha*MIN($A34,J$2))-EXP(-Alpha*MIN($A34,J$2))))</f>
        <v/>
      </c>
      <c r="K34" s="21">
        <f>EXP(-UFR*($A34+K$2))*(Alpha*MIN($A34,K$2)-0.5*EXP(-Alpha*MAX($A34,K$2))*(EXP(Alpha*MIN($A34,K$2))-EXP(-Alpha*MIN($A34,K$2))))</f>
        <v/>
      </c>
      <c r="L34" s="21">
        <f>EXP(-UFR*($A34+L$2))*(Alpha*MIN($A34,L$2)-0.5*EXP(-Alpha*MAX($A34,L$2))*(EXP(Alpha*MIN($A34,L$2))-EXP(-Alpha*MIN($A34,L$2))))</f>
        <v/>
      </c>
      <c r="M34" s="21">
        <f>EXP(-UFR*($A34+M$2))*(Alpha*MIN($A34,M$2)-0.5*EXP(-Alpha*MAX($A34,M$2))*(EXP(Alpha*MIN($A34,M$2))-EXP(-Alpha*MIN($A34,M$2))))</f>
        <v/>
      </c>
      <c r="N34" s="21">
        <f>EXP(-UFR*($A34+N$2))*(Alpha*MIN($A34,N$2)-0.5*EXP(-Alpha*MAX($A34,N$2))*(EXP(Alpha*MIN($A34,N$2))-EXP(-Alpha*MIN($A34,N$2))))</f>
        <v/>
      </c>
      <c r="O34" s="21">
        <f>EXP(-UFR*($A34+O$2))*(Alpha*MIN($A34,O$2)-0.5*EXP(-Alpha*MAX($A34,O$2))*(EXP(Alpha*MIN($A34,O$2))-EXP(-Alpha*MIN($A34,O$2))))</f>
        <v/>
      </c>
      <c r="P34" s="21">
        <f>EXP(-UFR*($A34+P$2))*(Alpha*MIN($A34,P$2)-0.5*EXP(-Alpha*MAX($A34,P$2))*(EXP(Alpha*MIN($A34,P$2))-EXP(-Alpha*MIN($A34,P$2))))</f>
        <v/>
      </c>
      <c r="Q34" s="21">
        <f>EXP(-UFR*($A34+Q$2))*(Alpha*MIN($A34,Q$2)-0.5*EXP(-Alpha*MAX($A34,Q$2))*(EXP(Alpha*MIN($A34,Q$2))-EXP(-Alpha*MIN($A34,Q$2))))</f>
        <v/>
      </c>
      <c r="R34" s="21">
        <f>EXP(-UFR*($A34+R$2))*(Alpha*MIN($A34,R$2)-0.5*EXP(-Alpha*MAX($A34,R$2))*(EXP(Alpha*MIN($A34,R$2))-EXP(-Alpha*MIN($A34,R$2))))</f>
        <v/>
      </c>
      <c r="S34" s="21">
        <f>EXP(-UFR*($A34+S$2))*(Alpha*MIN($A34,S$2)-0.5*EXP(-Alpha*MAX($A34,S$2))*(EXP(Alpha*MIN($A34,S$2))-EXP(-Alpha*MIN($A34,S$2))))</f>
        <v/>
      </c>
      <c r="T34" s="21">
        <f>EXP(-UFR*($A34+T$2))*(Alpha*MIN($A34,T$2)-0.5*EXP(-Alpha*MAX($A34,T$2))*(EXP(Alpha*MIN($A34,T$2))-EXP(-Alpha*MIN($A34,T$2))))</f>
        <v/>
      </c>
      <c r="U34" s="21">
        <f>EXP(-UFR*($A34+U$2))*(Alpha*MIN($A34,U$2)-0.5*EXP(-Alpha*MAX($A34,U$2))*(EXP(Alpha*MIN($A34,U$2))-EXP(-Alpha*MIN($A34,U$2))))</f>
        <v/>
      </c>
      <c r="V34" s="21">
        <f>EXP(-UFR*($A34+V$2))*(Alpha*MIN($A34,V$2)-0.5*EXP(-Alpha*MAX($A34,V$2))*(EXP(Alpha*MIN($A34,V$2))-EXP(-Alpha*MIN($A34,V$2))))</f>
        <v/>
      </c>
      <c r="W34" s="21">
        <f>EXP(-UFR*($A34+W$2))*(Alpha*MIN($A34,W$2)-0.5*EXP(-Alpha*MAX($A34,W$2))*(EXP(Alpha*MIN($A34,W$2))-EXP(-Alpha*MIN($A34,W$2))))</f>
        <v/>
      </c>
      <c r="X34" s="21">
        <f>EXP(-UFR*($A34+X$2))*(Alpha*MIN($A34,X$2)-0.5*EXP(-Alpha*MAX($A34,X$2))*(EXP(Alpha*MIN($A34,X$2))-EXP(-Alpha*MIN($A34,X$2))))</f>
        <v/>
      </c>
      <c r="Y34" s="21">
        <f>EXP(-UFR*($A34+Y$2))*(Alpha*MIN($A34,Y$2)-0.5*EXP(-Alpha*MAX($A34,Y$2))*(EXP(Alpha*MIN($A34,Y$2))-EXP(-Alpha*MIN($A34,Y$2))))</f>
        <v/>
      </c>
      <c r="Z34" s="21">
        <f>EXP(-UFR*($A34+Z$2))*(Alpha*MIN($A34,Z$2)-0.5*EXP(-Alpha*MAX($A34,Z$2))*(EXP(Alpha*MIN($A34,Z$2))-EXP(-Alpha*MIN($A34,Z$2))))</f>
        <v/>
      </c>
    </row>
    <row r="35">
      <c r="A35" s="20">
        <f>A34+1</f>
        <v/>
      </c>
      <c r="B35" s="21">
        <f>EXP(-UFR*($A35+B$2))*(Alpha*MIN($A35,B$2)-0.5*EXP(-Alpha*MAX($A35,B$2))*(EXP(Alpha*MIN($A35,B$2))-EXP(-Alpha*MIN($A35,B$2))))</f>
        <v/>
      </c>
      <c r="C35" s="21">
        <f>EXP(-UFR*($A35+C$2))*(Alpha*MIN($A35,C$2)-0.5*EXP(-Alpha*MAX($A35,C$2))*(EXP(Alpha*MIN($A35,C$2))-EXP(-Alpha*MIN($A35,C$2))))</f>
        <v/>
      </c>
      <c r="D35" s="21">
        <f>EXP(-UFR*($A35+D$2))*(Alpha*MIN($A35,D$2)-0.5*EXP(-Alpha*MAX($A35,D$2))*(EXP(Alpha*MIN($A35,D$2))-EXP(-Alpha*MIN($A35,D$2))))</f>
        <v/>
      </c>
      <c r="E35" s="21">
        <f>EXP(-UFR*($A35+E$2))*(Alpha*MIN($A35,E$2)-0.5*EXP(-Alpha*MAX($A35,E$2))*(EXP(Alpha*MIN($A35,E$2))-EXP(-Alpha*MIN($A35,E$2))))</f>
        <v/>
      </c>
      <c r="F35" s="21">
        <f>EXP(-UFR*($A35+F$2))*(Alpha*MIN($A35,F$2)-0.5*EXP(-Alpha*MAX($A35,F$2))*(EXP(Alpha*MIN($A35,F$2))-EXP(-Alpha*MIN($A35,F$2))))</f>
        <v/>
      </c>
      <c r="G35" s="21">
        <f>EXP(-UFR*($A35+G$2))*(Alpha*MIN($A35,G$2)-0.5*EXP(-Alpha*MAX($A35,G$2))*(EXP(Alpha*MIN($A35,G$2))-EXP(-Alpha*MIN($A35,G$2))))</f>
        <v/>
      </c>
      <c r="H35" s="21">
        <f>EXP(-UFR*($A35+H$2))*(Alpha*MIN($A35,H$2)-0.5*EXP(-Alpha*MAX($A35,H$2))*(EXP(Alpha*MIN($A35,H$2))-EXP(-Alpha*MIN($A35,H$2))))</f>
        <v/>
      </c>
      <c r="I35" s="21">
        <f>EXP(-UFR*($A35+I$2))*(Alpha*MIN($A35,I$2)-0.5*EXP(-Alpha*MAX($A35,I$2))*(EXP(Alpha*MIN($A35,I$2))-EXP(-Alpha*MIN($A35,I$2))))</f>
        <v/>
      </c>
      <c r="J35" s="21">
        <f>EXP(-UFR*($A35+J$2))*(Alpha*MIN($A35,J$2)-0.5*EXP(-Alpha*MAX($A35,J$2))*(EXP(Alpha*MIN($A35,J$2))-EXP(-Alpha*MIN($A35,J$2))))</f>
        <v/>
      </c>
      <c r="K35" s="21">
        <f>EXP(-UFR*($A35+K$2))*(Alpha*MIN($A35,K$2)-0.5*EXP(-Alpha*MAX($A35,K$2))*(EXP(Alpha*MIN($A35,K$2))-EXP(-Alpha*MIN($A35,K$2))))</f>
        <v/>
      </c>
      <c r="L35" s="21">
        <f>EXP(-UFR*($A35+L$2))*(Alpha*MIN($A35,L$2)-0.5*EXP(-Alpha*MAX($A35,L$2))*(EXP(Alpha*MIN($A35,L$2))-EXP(-Alpha*MIN($A35,L$2))))</f>
        <v/>
      </c>
      <c r="M35" s="21">
        <f>EXP(-UFR*($A35+M$2))*(Alpha*MIN($A35,M$2)-0.5*EXP(-Alpha*MAX($A35,M$2))*(EXP(Alpha*MIN($A35,M$2))-EXP(-Alpha*MIN($A35,M$2))))</f>
        <v/>
      </c>
      <c r="N35" s="21">
        <f>EXP(-UFR*($A35+N$2))*(Alpha*MIN($A35,N$2)-0.5*EXP(-Alpha*MAX($A35,N$2))*(EXP(Alpha*MIN($A35,N$2))-EXP(-Alpha*MIN($A35,N$2))))</f>
        <v/>
      </c>
      <c r="O35" s="21">
        <f>EXP(-UFR*($A35+O$2))*(Alpha*MIN($A35,O$2)-0.5*EXP(-Alpha*MAX($A35,O$2))*(EXP(Alpha*MIN($A35,O$2))-EXP(-Alpha*MIN($A35,O$2))))</f>
        <v/>
      </c>
      <c r="P35" s="21">
        <f>EXP(-UFR*($A35+P$2))*(Alpha*MIN($A35,P$2)-0.5*EXP(-Alpha*MAX($A35,P$2))*(EXP(Alpha*MIN($A35,P$2))-EXP(-Alpha*MIN($A35,P$2))))</f>
        <v/>
      </c>
      <c r="Q35" s="21">
        <f>EXP(-UFR*($A35+Q$2))*(Alpha*MIN($A35,Q$2)-0.5*EXP(-Alpha*MAX($A35,Q$2))*(EXP(Alpha*MIN($A35,Q$2))-EXP(-Alpha*MIN($A35,Q$2))))</f>
        <v/>
      </c>
      <c r="R35" s="21">
        <f>EXP(-UFR*($A35+R$2))*(Alpha*MIN($A35,R$2)-0.5*EXP(-Alpha*MAX($A35,R$2))*(EXP(Alpha*MIN($A35,R$2))-EXP(-Alpha*MIN($A35,R$2))))</f>
        <v/>
      </c>
      <c r="S35" s="21">
        <f>EXP(-UFR*($A35+S$2))*(Alpha*MIN($A35,S$2)-0.5*EXP(-Alpha*MAX($A35,S$2))*(EXP(Alpha*MIN($A35,S$2))-EXP(-Alpha*MIN($A35,S$2))))</f>
        <v/>
      </c>
      <c r="T35" s="21">
        <f>EXP(-UFR*($A35+T$2))*(Alpha*MIN($A35,T$2)-0.5*EXP(-Alpha*MAX($A35,T$2))*(EXP(Alpha*MIN($A35,T$2))-EXP(-Alpha*MIN($A35,T$2))))</f>
        <v/>
      </c>
      <c r="U35" s="21">
        <f>EXP(-UFR*($A35+U$2))*(Alpha*MIN($A35,U$2)-0.5*EXP(-Alpha*MAX($A35,U$2))*(EXP(Alpha*MIN($A35,U$2))-EXP(-Alpha*MIN($A35,U$2))))</f>
        <v/>
      </c>
      <c r="V35" s="21">
        <f>EXP(-UFR*($A35+V$2))*(Alpha*MIN($A35,V$2)-0.5*EXP(-Alpha*MAX($A35,V$2))*(EXP(Alpha*MIN($A35,V$2))-EXP(-Alpha*MIN($A35,V$2))))</f>
        <v/>
      </c>
      <c r="W35" s="21">
        <f>EXP(-UFR*($A35+W$2))*(Alpha*MIN($A35,W$2)-0.5*EXP(-Alpha*MAX($A35,W$2))*(EXP(Alpha*MIN($A35,W$2))-EXP(-Alpha*MIN($A35,W$2))))</f>
        <v/>
      </c>
      <c r="X35" s="21">
        <f>EXP(-UFR*($A35+X$2))*(Alpha*MIN($A35,X$2)-0.5*EXP(-Alpha*MAX($A35,X$2))*(EXP(Alpha*MIN($A35,X$2))-EXP(-Alpha*MIN($A35,X$2))))</f>
        <v/>
      </c>
      <c r="Y35" s="21">
        <f>EXP(-UFR*($A35+Y$2))*(Alpha*MIN($A35,Y$2)-0.5*EXP(-Alpha*MAX($A35,Y$2))*(EXP(Alpha*MIN($A35,Y$2))-EXP(-Alpha*MIN($A35,Y$2))))</f>
        <v/>
      </c>
      <c r="Z35" s="21">
        <f>EXP(-UFR*($A35+Z$2))*(Alpha*MIN($A35,Z$2)-0.5*EXP(-Alpha*MAX($A35,Z$2))*(EXP(Alpha*MIN($A35,Z$2))-EXP(-Alpha*MIN($A35,Z$2))))</f>
        <v/>
      </c>
    </row>
    <row r="36">
      <c r="A36" s="20">
        <f>A35+1</f>
        <v/>
      </c>
      <c r="B36" s="21">
        <f>EXP(-UFR*($A36+B$2))*(Alpha*MIN($A36,B$2)-0.5*EXP(-Alpha*MAX($A36,B$2))*(EXP(Alpha*MIN($A36,B$2))-EXP(-Alpha*MIN($A36,B$2))))</f>
        <v/>
      </c>
      <c r="C36" s="21">
        <f>EXP(-UFR*($A36+C$2))*(Alpha*MIN($A36,C$2)-0.5*EXP(-Alpha*MAX($A36,C$2))*(EXP(Alpha*MIN($A36,C$2))-EXP(-Alpha*MIN($A36,C$2))))</f>
        <v/>
      </c>
      <c r="D36" s="21">
        <f>EXP(-UFR*($A36+D$2))*(Alpha*MIN($A36,D$2)-0.5*EXP(-Alpha*MAX($A36,D$2))*(EXP(Alpha*MIN($A36,D$2))-EXP(-Alpha*MIN($A36,D$2))))</f>
        <v/>
      </c>
      <c r="E36" s="21">
        <f>EXP(-UFR*($A36+E$2))*(Alpha*MIN($A36,E$2)-0.5*EXP(-Alpha*MAX($A36,E$2))*(EXP(Alpha*MIN($A36,E$2))-EXP(-Alpha*MIN($A36,E$2))))</f>
        <v/>
      </c>
      <c r="F36" s="21">
        <f>EXP(-UFR*($A36+F$2))*(Alpha*MIN($A36,F$2)-0.5*EXP(-Alpha*MAX($A36,F$2))*(EXP(Alpha*MIN($A36,F$2))-EXP(-Alpha*MIN($A36,F$2))))</f>
        <v/>
      </c>
      <c r="G36" s="21">
        <f>EXP(-UFR*($A36+G$2))*(Alpha*MIN($A36,G$2)-0.5*EXP(-Alpha*MAX($A36,G$2))*(EXP(Alpha*MIN($A36,G$2))-EXP(-Alpha*MIN($A36,G$2))))</f>
        <v/>
      </c>
      <c r="H36" s="21">
        <f>EXP(-UFR*($A36+H$2))*(Alpha*MIN($A36,H$2)-0.5*EXP(-Alpha*MAX($A36,H$2))*(EXP(Alpha*MIN($A36,H$2))-EXP(-Alpha*MIN($A36,H$2))))</f>
        <v/>
      </c>
      <c r="I36" s="21">
        <f>EXP(-UFR*($A36+I$2))*(Alpha*MIN($A36,I$2)-0.5*EXP(-Alpha*MAX($A36,I$2))*(EXP(Alpha*MIN($A36,I$2))-EXP(-Alpha*MIN($A36,I$2))))</f>
        <v/>
      </c>
      <c r="J36" s="21">
        <f>EXP(-UFR*($A36+J$2))*(Alpha*MIN($A36,J$2)-0.5*EXP(-Alpha*MAX($A36,J$2))*(EXP(Alpha*MIN($A36,J$2))-EXP(-Alpha*MIN($A36,J$2))))</f>
        <v/>
      </c>
      <c r="K36" s="21">
        <f>EXP(-UFR*($A36+K$2))*(Alpha*MIN($A36,K$2)-0.5*EXP(-Alpha*MAX($A36,K$2))*(EXP(Alpha*MIN($A36,K$2))-EXP(-Alpha*MIN($A36,K$2))))</f>
        <v/>
      </c>
      <c r="L36" s="21">
        <f>EXP(-UFR*($A36+L$2))*(Alpha*MIN($A36,L$2)-0.5*EXP(-Alpha*MAX($A36,L$2))*(EXP(Alpha*MIN($A36,L$2))-EXP(-Alpha*MIN($A36,L$2))))</f>
        <v/>
      </c>
      <c r="M36" s="21">
        <f>EXP(-UFR*($A36+M$2))*(Alpha*MIN($A36,M$2)-0.5*EXP(-Alpha*MAX($A36,M$2))*(EXP(Alpha*MIN($A36,M$2))-EXP(-Alpha*MIN($A36,M$2))))</f>
        <v/>
      </c>
      <c r="N36" s="21">
        <f>EXP(-UFR*($A36+N$2))*(Alpha*MIN($A36,N$2)-0.5*EXP(-Alpha*MAX($A36,N$2))*(EXP(Alpha*MIN($A36,N$2))-EXP(-Alpha*MIN($A36,N$2))))</f>
        <v/>
      </c>
      <c r="O36" s="21">
        <f>EXP(-UFR*($A36+O$2))*(Alpha*MIN($A36,O$2)-0.5*EXP(-Alpha*MAX($A36,O$2))*(EXP(Alpha*MIN($A36,O$2))-EXP(-Alpha*MIN($A36,O$2))))</f>
        <v/>
      </c>
      <c r="P36" s="21">
        <f>EXP(-UFR*($A36+P$2))*(Alpha*MIN($A36,P$2)-0.5*EXP(-Alpha*MAX($A36,P$2))*(EXP(Alpha*MIN($A36,P$2))-EXP(-Alpha*MIN($A36,P$2))))</f>
        <v/>
      </c>
      <c r="Q36" s="21">
        <f>EXP(-UFR*($A36+Q$2))*(Alpha*MIN($A36,Q$2)-0.5*EXP(-Alpha*MAX($A36,Q$2))*(EXP(Alpha*MIN($A36,Q$2))-EXP(-Alpha*MIN($A36,Q$2))))</f>
        <v/>
      </c>
      <c r="R36" s="21">
        <f>EXP(-UFR*($A36+R$2))*(Alpha*MIN($A36,R$2)-0.5*EXP(-Alpha*MAX($A36,R$2))*(EXP(Alpha*MIN($A36,R$2))-EXP(-Alpha*MIN($A36,R$2))))</f>
        <v/>
      </c>
      <c r="S36" s="21">
        <f>EXP(-UFR*($A36+S$2))*(Alpha*MIN($A36,S$2)-0.5*EXP(-Alpha*MAX($A36,S$2))*(EXP(Alpha*MIN($A36,S$2))-EXP(-Alpha*MIN($A36,S$2))))</f>
        <v/>
      </c>
      <c r="T36" s="21">
        <f>EXP(-UFR*($A36+T$2))*(Alpha*MIN($A36,T$2)-0.5*EXP(-Alpha*MAX($A36,T$2))*(EXP(Alpha*MIN($A36,T$2))-EXP(-Alpha*MIN($A36,T$2))))</f>
        <v/>
      </c>
      <c r="U36" s="21">
        <f>EXP(-UFR*($A36+U$2))*(Alpha*MIN($A36,U$2)-0.5*EXP(-Alpha*MAX($A36,U$2))*(EXP(Alpha*MIN($A36,U$2))-EXP(-Alpha*MIN($A36,U$2))))</f>
        <v/>
      </c>
      <c r="V36" s="21">
        <f>EXP(-UFR*($A36+V$2))*(Alpha*MIN($A36,V$2)-0.5*EXP(-Alpha*MAX($A36,V$2))*(EXP(Alpha*MIN($A36,V$2))-EXP(-Alpha*MIN($A36,V$2))))</f>
        <v/>
      </c>
      <c r="W36" s="21">
        <f>EXP(-UFR*($A36+W$2))*(Alpha*MIN($A36,W$2)-0.5*EXP(-Alpha*MAX($A36,W$2))*(EXP(Alpha*MIN($A36,W$2))-EXP(-Alpha*MIN($A36,W$2))))</f>
        <v/>
      </c>
      <c r="X36" s="21">
        <f>EXP(-UFR*($A36+X$2))*(Alpha*MIN($A36,X$2)-0.5*EXP(-Alpha*MAX($A36,X$2))*(EXP(Alpha*MIN($A36,X$2))-EXP(-Alpha*MIN($A36,X$2))))</f>
        <v/>
      </c>
      <c r="Y36" s="21">
        <f>EXP(-UFR*($A36+Y$2))*(Alpha*MIN($A36,Y$2)-0.5*EXP(-Alpha*MAX($A36,Y$2))*(EXP(Alpha*MIN($A36,Y$2))-EXP(-Alpha*MIN($A36,Y$2))))</f>
        <v/>
      </c>
      <c r="Z36" s="21">
        <f>EXP(-UFR*($A36+Z$2))*(Alpha*MIN($A36,Z$2)-0.5*EXP(-Alpha*MAX($A36,Z$2))*(EXP(Alpha*MIN($A36,Z$2))-EXP(-Alpha*MIN($A36,Z$2))))</f>
        <v/>
      </c>
    </row>
    <row r="37">
      <c r="A37" s="20">
        <f>A36+1</f>
        <v/>
      </c>
      <c r="B37" s="21">
        <f>EXP(-UFR*($A37+B$2))*(Alpha*MIN($A37,B$2)-0.5*EXP(-Alpha*MAX($A37,B$2))*(EXP(Alpha*MIN($A37,B$2))-EXP(-Alpha*MIN($A37,B$2))))</f>
        <v/>
      </c>
      <c r="C37" s="21">
        <f>EXP(-UFR*($A37+C$2))*(Alpha*MIN($A37,C$2)-0.5*EXP(-Alpha*MAX($A37,C$2))*(EXP(Alpha*MIN($A37,C$2))-EXP(-Alpha*MIN($A37,C$2))))</f>
        <v/>
      </c>
      <c r="D37" s="21">
        <f>EXP(-UFR*($A37+D$2))*(Alpha*MIN($A37,D$2)-0.5*EXP(-Alpha*MAX($A37,D$2))*(EXP(Alpha*MIN($A37,D$2))-EXP(-Alpha*MIN($A37,D$2))))</f>
        <v/>
      </c>
      <c r="E37" s="21">
        <f>EXP(-UFR*($A37+E$2))*(Alpha*MIN($A37,E$2)-0.5*EXP(-Alpha*MAX($A37,E$2))*(EXP(Alpha*MIN($A37,E$2))-EXP(-Alpha*MIN($A37,E$2))))</f>
        <v/>
      </c>
      <c r="F37" s="21">
        <f>EXP(-UFR*($A37+F$2))*(Alpha*MIN($A37,F$2)-0.5*EXP(-Alpha*MAX($A37,F$2))*(EXP(Alpha*MIN($A37,F$2))-EXP(-Alpha*MIN($A37,F$2))))</f>
        <v/>
      </c>
      <c r="G37" s="21">
        <f>EXP(-UFR*($A37+G$2))*(Alpha*MIN($A37,G$2)-0.5*EXP(-Alpha*MAX($A37,G$2))*(EXP(Alpha*MIN($A37,G$2))-EXP(-Alpha*MIN($A37,G$2))))</f>
        <v/>
      </c>
      <c r="H37" s="21">
        <f>EXP(-UFR*($A37+H$2))*(Alpha*MIN($A37,H$2)-0.5*EXP(-Alpha*MAX($A37,H$2))*(EXP(Alpha*MIN($A37,H$2))-EXP(-Alpha*MIN($A37,H$2))))</f>
        <v/>
      </c>
      <c r="I37" s="21">
        <f>EXP(-UFR*($A37+I$2))*(Alpha*MIN($A37,I$2)-0.5*EXP(-Alpha*MAX($A37,I$2))*(EXP(Alpha*MIN($A37,I$2))-EXP(-Alpha*MIN($A37,I$2))))</f>
        <v/>
      </c>
      <c r="J37" s="21">
        <f>EXP(-UFR*($A37+J$2))*(Alpha*MIN($A37,J$2)-0.5*EXP(-Alpha*MAX($A37,J$2))*(EXP(Alpha*MIN($A37,J$2))-EXP(-Alpha*MIN($A37,J$2))))</f>
        <v/>
      </c>
      <c r="K37" s="21">
        <f>EXP(-UFR*($A37+K$2))*(Alpha*MIN($A37,K$2)-0.5*EXP(-Alpha*MAX($A37,K$2))*(EXP(Alpha*MIN($A37,K$2))-EXP(-Alpha*MIN($A37,K$2))))</f>
        <v/>
      </c>
      <c r="L37" s="21">
        <f>EXP(-UFR*($A37+L$2))*(Alpha*MIN($A37,L$2)-0.5*EXP(-Alpha*MAX($A37,L$2))*(EXP(Alpha*MIN($A37,L$2))-EXP(-Alpha*MIN($A37,L$2))))</f>
        <v/>
      </c>
      <c r="M37" s="21">
        <f>EXP(-UFR*($A37+M$2))*(Alpha*MIN($A37,M$2)-0.5*EXP(-Alpha*MAX($A37,M$2))*(EXP(Alpha*MIN($A37,M$2))-EXP(-Alpha*MIN($A37,M$2))))</f>
        <v/>
      </c>
      <c r="N37" s="21">
        <f>EXP(-UFR*($A37+N$2))*(Alpha*MIN($A37,N$2)-0.5*EXP(-Alpha*MAX($A37,N$2))*(EXP(Alpha*MIN($A37,N$2))-EXP(-Alpha*MIN($A37,N$2))))</f>
        <v/>
      </c>
      <c r="O37" s="21">
        <f>EXP(-UFR*($A37+O$2))*(Alpha*MIN($A37,O$2)-0.5*EXP(-Alpha*MAX($A37,O$2))*(EXP(Alpha*MIN($A37,O$2))-EXP(-Alpha*MIN($A37,O$2))))</f>
        <v/>
      </c>
      <c r="P37" s="21">
        <f>EXP(-UFR*($A37+P$2))*(Alpha*MIN($A37,P$2)-0.5*EXP(-Alpha*MAX($A37,P$2))*(EXP(Alpha*MIN($A37,P$2))-EXP(-Alpha*MIN($A37,P$2))))</f>
        <v/>
      </c>
      <c r="Q37" s="21">
        <f>EXP(-UFR*($A37+Q$2))*(Alpha*MIN($A37,Q$2)-0.5*EXP(-Alpha*MAX($A37,Q$2))*(EXP(Alpha*MIN($A37,Q$2))-EXP(-Alpha*MIN($A37,Q$2))))</f>
        <v/>
      </c>
      <c r="R37" s="21">
        <f>EXP(-UFR*($A37+R$2))*(Alpha*MIN($A37,R$2)-0.5*EXP(-Alpha*MAX($A37,R$2))*(EXP(Alpha*MIN($A37,R$2))-EXP(-Alpha*MIN($A37,R$2))))</f>
        <v/>
      </c>
      <c r="S37" s="21">
        <f>EXP(-UFR*($A37+S$2))*(Alpha*MIN($A37,S$2)-0.5*EXP(-Alpha*MAX($A37,S$2))*(EXP(Alpha*MIN($A37,S$2))-EXP(-Alpha*MIN($A37,S$2))))</f>
        <v/>
      </c>
      <c r="T37" s="21">
        <f>EXP(-UFR*($A37+T$2))*(Alpha*MIN($A37,T$2)-0.5*EXP(-Alpha*MAX($A37,T$2))*(EXP(Alpha*MIN($A37,T$2))-EXP(-Alpha*MIN($A37,T$2))))</f>
        <v/>
      </c>
      <c r="U37" s="21">
        <f>EXP(-UFR*($A37+U$2))*(Alpha*MIN($A37,U$2)-0.5*EXP(-Alpha*MAX($A37,U$2))*(EXP(Alpha*MIN($A37,U$2))-EXP(-Alpha*MIN($A37,U$2))))</f>
        <v/>
      </c>
      <c r="V37" s="21">
        <f>EXP(-UFR*($A37+V$2))*(Alpha*MIN($A37,V$2)-0.5*EXP(-Alpha*MAX($A37,V$2))*(EXP(Alpha*MIN($A37,V$2))-EXP(-Alpha*MIN($A37,V$2))))</f>
        <v/>
      </c>
      <c r="W37" s="21">
        <f>EXP(-UFR*($A37+W$2))*(Alpha*MIN($A37,W$2)-0.5*EXP(-Alpha*MAX($A37,W$2))*(EXP(Alpha*MIN($A37,W$2))-EXP(-Alpha*MIN($A37,W$2))))</f>
        <v/>
      </c>
      <c r="X37" s="21">
        <f>EXP(-UFR*($A37+X$2))*(Alpha*MIN($A37,X$2)-0.5*EXP(-Alpha*MAX($A37,X$2))*(EXP(Alpha*MIN($A37,X$2))-EXP(-Alpha*MIN($A37,X$2))))</f>
        <v/>
      </c>
      <c r="Y37" s="21">
        <f>EXP(-UFR*($A37+Y$2))*(Alpha*MIN($A37,Y$2)-0.5*EXP(-Alpha*MAX($A37,Y$2))*(EXP(Alpha*MIN($A37,Y$2))-EXP(-Alpha*MIN($A37,Y$2))))</f>
        <v/>
      </c>
      <c r="Z37" s="21">
        <f>EXP(-UFR*($A37+Z$2))*(Alpha*MIN($A37,Z$2)-0.5*EXP(-Alpha*MAX($A37,Z$2))*(EXP(Alpha*MIN($A37,Z$2))-EXP(-Alpha*MIN($A37,Z$2))))</f>
        <v/>
      </c>
    </row>
    <row r="38">
      <c r="A38" s="20">
        <f>A37+1</f>
        <v/>
      </c>
      <c r="B38" s="21">
        <f>EXP(-UFR*($A38+B$2))*(Alpha*MIN($A38,B$2)-0.5*EXP(-Alpha*MAX($A38,B$2))*(EXP(Alpha*MIN($A38,B$2))-EXP(-Alpha*MIN($A38,B$2))))</f>
        <v/>
      </c>
      <c r="C38" s="21">
        <f>EXP(-UFR*($A38+C$2))*(Alpha*MIN($A38,C$2)-0.5*EXP(-Alpha*MAX($A38,C$2))*(EXP(Alpha*MIN($A38,C$2))-EXP(-Alpha*MIN($A38,C$2))))</f>
        <v/>
      </c>
      <c r="D38" s="21">
        <f>EXP(-UFR*($A38+D$2))*(Alpha*MIN($A38,D$2)-0.5*EXP(-Alpha*MAX($A38,D$2))*(EXP(Alpha*MIN($A38,D$2))-EXP(-Alpha*MIN($A38,D$2))))</f>
        <v/>
      </c>
      <c r="E38" s="21">
        <f>EXP(-UFR*($A38+E$2))*(Alpha*MIN($A38,E$2)-0.5*EXP(-Alpha*MAX($A38,E$2))*(EXP(Alpha*MIN($A38,E$2))-EXP(-Alpha*MIN($A38,E$2))))</f>
        <v/>
      </c>
      <c r="F38" s="21">
        <f>EXP(-UFR*($A38+F$2))*(Alpha*MIN($A38,F$2)-0.5*EXP(-Alpha*MAX($A38,F$2))*(EXP(Alpha*MIN($A38,F$2))-EXP(-Alpha*MIN($A38,F$2))))</f>
        <v/>
      </c>
      <c r="G38" s="21">
        <f>EXP(-UFR*($A38+G$2))*(Alpha*MIN($A38,G$2)-0.5*EXP(-Alpha*MAX($A38,G$2))*(EXP(Alpha*MIN($A38,G$2))-EXP(-Alpha*MIN($A38,G$2))))</f>
        <v/>
      </c>
      <c r="H38" s="21">
        <f>EXP(-UFR*($A38+H$2))*(Alpha*MIN($A38,H$2)-0.5*EXP(-Alpha*MAX($A38,H$2))*(EXP(Alpha*MIN($A38,H$2))-EXP(-Alpha*MIN($A38,H$2))))</f>
        <v/>
      </c>
      <c r="I38" s="21">
        <f>EXP(-UFR*($A38+I$2))*(Alpha*MIN($A38,I$2)-0.5*EXP(-Alpha*MAX($A38,I$2))*(EXP(Alpha*MIN($A38,I$2))-EXP(-Alpha*MIN($A38,I$2))))</f>
        <v/>
      </c>
      <c r="J38" s="21">
        <f>EXP(-UFR*($A38+J$2))*(Alpha*MIN($A38,J$2)-0.5*EXP(-Alpha*MAX($A38,J$2))*(EXP(Alpha*MIN($A38,J$2))-EXP(-Alpha*MIN($A38,J$2))))</f>
        <v/>
      </c>
      <c r="K38" s="21">
        <f>EXP(-UFR*($A38+K$2))*(Alpha*MIN($A38,K$2)-0.5*EXP(-Alpha*MAX($A38,K$2))*(EXP(Alpha*MIN($A38,K$2))-EXP(-Alpha*MIN($A38,K$2))))</f>
        <v/>
      </c>
      <c r="L38" s="21">
        <f>EXP(-UFR*($A38+L$2))*(Alpha*MIN($A38,L$2)-0.5*EXP(-Alpha*MAX($A38,L$2))*(EXP(Alpha*MIN($A38,L$2))-EXP(-Alpha*MIN($A38,L$2))))</f>
        <v/>
      </c>
      <c r="M38" s="21">
        <f>EXP(-UFR*($A38+M$2))*(Alpha*MIN($A38,M$2)-0.5*EXP(-Alpha*MAX($A38,M$2))*(EXP(Alpha*MIN($A38,M$2))-EXP(-Alpha*MIN($A38,M$2))))</f>
        <v/>
      </c>
      <c r="N38" s="21">
        <f>EXP(-UFR*($A38+N$2))*(Alpha*MIN($A38,N$2)-0.5*EXP(-Alpha*MAX($A38,N$2))*(EXP(Alpha*MIN($A38,N$2))-EXP(-Alpha*MIN($A38,N$2))))</f>
        <v/>
      </c>
      <c r="O38" s="21">
        <f>EXP(-UFR*($A38+O$2))*(Alpha*MIN($A38,O$2)-0.5*EXP(-Alpha*MAX($A38,O$2))*(EXP(Alpha*MIN($A38,O$2))-EXP(-Alpha*MIN($A38,O$2))))</f>
        <v/>
      </c>
      <c r="P38" s="21">
        <f>EXP(-UFR*($A38+P$2))*(Alpha*MIN($A38,P$2)-0.5*EXP(-Alpha*MAX($A38,P$2))*(EXP(Alpha*MIN($A38,P$2))-EXP(-Alpha*MIN($A38,P$2))))</f>
        <v/>
      </c>
      <c r="Q38" s="21">
        <f>EXP(-UFR*($A38+Q$2))*(Alpha*MIN($A38,Q$2)-0.5*EXP(-Alpha*MAX($A38,Q$2))*(EXP(Alpha*MIN($A38,Q$2))-EXP(-Alpha*MIN($A38,Q$2))))</f>
        <v/>
      </c>
      <c r="R38" s="21">
        <f>EXP(-UFR*($A38+R$2))*(Alpha*MIN($A38,R$2)-0.5*EXP(-Alpha*MAX($A38,R$2))*(EXP(Alpha*MIN($A38,R$2))-EXP(-Alpha*MIN($A38,R$2))))</f>
        <v/>
      </c>
      <c r="S38" s="21">
        <f>EXP(-UFR*($A38+S$2))*(Alpha*MIN($A38,S$2)-0.5*EXP(-Alpha*MAX($A38,S$2))*(EXP(Alpha*MIN($A38,S$2))-EXP(-Alpha*MIN($A38,S$2))))</f>
        <v/>
      </c>
      <c r="T38" s="21">
        <f>EXP(-UFR*($A38+T$2))*(Alpha*MIN($A38,T$2)-0.5*EXP(-Alpha*MAX($A38,T$2))*(EXP(Alpha*MIN($A38,T$2))-EXP(-Alpha*MIN($A38,T$2))))</f>
        <v/>
      </c>
      <c r="U38" s="21">
        <f>EXP(-UFR*($A38+U$2))*(Alpha*MIN($A38,U$2)-0.5*EXP(-Alpha*MAX($A38,U$2))*(EXP(Alpha*MIN($A38,U$2))-EXP(-Alpha*MIN($A38,U$2))))</f>
        <v/>
      </c>
      <c r="V38" s="21">
        <f>EXP(-UFR*($A38+V$2))*(Alpha*MIN($A38,V$2)-0.5*EXP(-Alpha*MAX($A38,V$2))*(EXP(Alpha*MIN($A38,V$2))-EXP(-Alpha*MIN($A38,V$2))))</f>
        <v/>
      </c>
      <c r="W38" s="21">
        <f>EXP(-UFR*($A38+W$2))*(Alpha*MIN($A38,W$2)-0.5*EXP(-Alpha*MAX($A38,W$2))*(EXP(Alpha*MIN($A38,W$2))-EXP(-Alpha*MIN($A38,W$2))))</f>
        <v/>
      </c>
      <c r="X38" s="21">
        <f>EXP(-UFR*($A38+X$2))*(Alpha*MIN($A38,X$2)-0.5*EXP(-Alpha*MAX($A38,X$2))*(EXP(Alpha*MIN($A38,X$2))-EXP(-Alpha*MIN($A38,X$2))))</f>
        <v/>
      </c>
      <c r="Y38" s="21">
        <f>EXP(-UFR*($A38+Y$2))*(Alpha*MIN($A38,Y$2)-0.5*EXP(-Alpha*MAX($A38,Y$2))*(EXP(Alpha*MIN($A38,Y$2))-EXP(-Alpha*MIN($A38,Y$2))))</f>
        <v/>
      </c>
      <c r="Z38" s="21">
        <f>EXP(-UFR*($A38+Z$2))*(Alpha*MIN($A38,Z$2)-0.5*EXP(-Alpha*MAX($A38,Z$2))*(EXP(Alpha*MIN($A38,Z$2))-EXP(-Alpha*MIN($A38,Z$2))))</f>
        <v/>
      </c>
    </row>
    <row r="39">
      <c r="A39" s="20">
        <f>A38+1</f>
        <v/>
      </c>
      <c r="B39" s="21">
        <f>EXP(-UFR*($A39+B$2))*(Alpha*MIN($A39,B$2)-0.5*EXP(-Alpha*MAX($A39,B$2))*(EXP(Alpha*MIN($A39,B$2))-EXP(-Alpha*MIN($A39,B$2))))</f>
        <v/>
      </c>
      <c r="C39" s="21">
        <f>EXP(-UFR*($A39+C$2))*(Alpha*MIN($A39,C$2)-0.5*EXP(-Alpha*MAX($A39,C$2))*(EXP(Alpha*MIN($A39,C$2))-EXP(-Alpha*MIN($A39,C$2))))</f>
        <v/>
      </c>
      <c r="D39" s="21">
        <f>EXP(-UFR*($A39+D$2))*(Alpha*MIN($A39,D$2)-0.5*EXP(-Alpha*MAX($A39,D$2))*(EXP(Alpha*MIN($A39,D$2))-EXP(-Alpha*MIN($A39,D$2))))</f>
        <v/>
      </c>
      <c r="E39" s="21">
        <f>EXP(-UFR*($A39+E$2))*(Alpha*MIN($A39,E$2)-0.5*EXP(-Alpha*MAX($A39,E$2))*(EXP(Alpha*MIN($A39,E$2))-EXP(-Alpha*MIN($A39,E$2))))</f>
        <v/>
      </c>
      <c r="F39" s="21">
        <f>EXP(-UFR*($A39+F$2))*(Alpha*MIN($A39,F$2)-0.5*EXP(-Alpha*MAX($A39,F$2))*(EXP(Alpha*MIN($A39,F$2))-EXP(-Alpha*MIN($A39,F$2))))</f>
        <v/>
      </c>
      <c r="G39" s="21">
        <f>EXP(-UFR*($A39+G$2))*(Alpha*MIN($A39,G$2)-0.5*EXP(-Alpha*MAX($A39,G$2))*(EXP(Alpha*MIN($A39,G$2))-EXP(-Alpha*MIN($A39,G$2))))</f>
        <v/>
      </c>
      <c r="H39" s="21">
        <f>EXP(-UFR*($A39+H$2))*(Alpha*MIN($A39,H$2)-0.5*EXP(-Alpha*MAX($A39,H$2))*(EXP(Alpha*MIN($A39,H$2))-EXP(-Alpha*MIN($A39,H$2))))</f>
        <v/>
      </c>
      <c r="I39" s="21">
        <f>EXP(-UFR*($A39+I$2))*(Alpha*MIN($A39,I$2)-0.5*EXP(-Alpha*MAX($A39,I$2))*(EXP(Alpha*MIN($A39,I$2))-EXP(-Alpha*MIN($A39,I$2))))</f>
        <v/>
      </c>
      <c r="J39" s="21">
        <f>EXP(-UFR*($A39+J$2))*(Alpha*MIN($A39,J$2)-0.5*EXP(-Alpha*MAX($A39,J$2))*(EXP(Alpha*MIN($A39,J$2))-EXP(-Alpha*MIN($A39,J$2))))</f>
        <v/>
      </c>
      <c r="K39" s="21">
        <f>EXP(-UFR*($A39+K$2))*(Alpha*MIN($A39,K$2)-0.5*EXP(-Alpha*MAX($A39,K$2))*(EXP(Alpha*MIN($A39,K$2))-EXP(-Alpha*MIN($A39,K$2))))</f>
        <v/>
      </c>
      <c r="L39" s="21">
        <f>EXP(-UFR*($A39+L$2))*(Alpha*MIN($A39,L$2)-0.5*EXP(-Alpha*MAX($A39,L$2))*(EXP(Alpha*MIN($A39,L$2))-EXP(-Alpha*MIN($A39,L$2))))</f>
        <v/>
      </c>
      <c r="M39" s="21">
        <f>EXP(-UFR*($A39+M$2))*(Alpha*MIN($A39,M$2)-0.5*EXP(-Alpha*MAX($A39,M$2))*(EXP(Alpha*MIN($A39,M$2))-EXP(-Alpha*MIN($A39,M$2))))</f>
        <v/>
      </c>
      <c r="N39" s="21">
        <f>EXP(-UFR*($A39+N$2))*(Alpha*MIN($A39,N$2)-0.5*EXP(-Alpha*MAX($A39,N$2))*(EXP(Alpha*MIN($A39,N$2))-EXP(-Alpha*MIN($A39,N$2))))</f>
        <v/>
      </c>
      <c r="O39" s="21">
        <f>EXP(-UFR*($A39+O$2))*(Alpha*MIN($A39,O$2)-0.5*EXP(-Alpha*MAX($A39,O$2))*(EXP(Alpha*MIN($A39,O$2))-EXP(-Alpha*MIN($A39,O$2))))</f>
        <v/>
      </c>
      <c r="P39" s="21">
        <f>EXP(-UFR*($A39+P$2))*(Alpha*MIN($A39,P$2)-0.5*EXP(-Alpha*MAX($A39,P$2))*(EXP(Alpha*MIN($A39,P$2))-EXP(-Alpha*MIN($A39,P$2))))</f>
        <v/>
      </c>
      <c r="Q39" s="21">
        <f>EXP(-UFR*($A39+Q$2))*(Alpha*MIN($A39,Q$2)-0.5*EXP(-Alpha*MAX($A39,Q$2))*(EXP(Alpha*MIN($A39,Q$2))-EXP(-Alpha*MIN($A39,Q$2))))</f>
        <v/>
      </c>
      <c r="R39" s="21">
        <f>EXP(-UFR*($A39+R$2))*(Alpha*MIN($A39,R$2)-0.5*EXP(-Alpha*MAX($A39,R$2))*(EXP(Alpha*MIN($A39,R$2))-EXP(-Alpha*MIN($A39,R$2))))</f>
        <v/>
      </c>
      <c r="S39" s="21">
        <f>EXP(-UFR*($A39+S$2))*(Alpha*MIN($A39,S$2)-0.5*EXP(-Alpha*MAX($A39,S$2))*(EXP(Alpha*MIN($A39,S$2))-EXP(-Alpha*MIN($A39,S$2))))</f>
        <v/>
      </c>
      <c r="T39" s="21">
        <f>EXP(-UFR*($A39+T$2))*(Alpha*MIN($A39,T$2)-0.5*EXP(-Alpha*MAX($A39,T$2))*(EXP(Alpha*MIN($A39,T$2))-EXP(-Alpha*MIN($A39,T$2))))</f>
        <v/>
      </c>
      <c r="U39" s="21">
        <f>EXP(-UFR*($A39+U$2))*(Alpha*MIN($A39,U$2)-0.5*EXP(-Alpha*MAX($A39,U$2))*(EXP(Alpha*MIN($A39,U$2))-EXP(-Alpha*MIN($A39,U$2))))</f>
        <v/>
      </c>
      <c r="V39" s="21">
        <f>EXP(-UFR*($A39+V$2))*(Alpha*MIN($A39,V$2)-0.5*EXP(-Alpha*MAX($A39,V$2))*(EXP(Alpha*MIN($A39,V$2))-EXP(-Alpha*MIN($A39,V$2))))</f>
        <v/>
      </c>
      <c r="W39" s="21">
        <f>EXP(-UFR*($A39+W$2))*(Alpha*MIN($A39,W$2)-0.5*EXP(-Alpha*MAX($A39,W$2))*(EXP(Alpha*MIN($A39,W$2))-EXP(-Alpha*MIN($A39,W$2))))</f>
        <v/>
      </c>
      <c r="X39" s="21">
        <f>EXP(-UFR*($A39+X$2))*(Alpha*MIN($A39,X$2)-0.5*EXP(-Alpha*MAX($A39,X$2))*(EXP(Alpha*MIN($A39,X$2))-EXP(-Alpha*MIN($A39,X$2))))</f>
        <v/>
      </c>
      <c r="Y39" s="21">
        <f>EXP(-UFR*($A39+Y$2))*(Alpha*MIN($A39,Y$2)-0.5*EXP(-Alpha*MAX($A39,Y$2))*(EXP(Alpha*MIN($A39,Y$2))-EXP(-Alpha*MIN($A39,Y$2))))</f>
        <v/>
      </c>
      <c r="Z39" s="21">
        <f>EXP(-UFR*($A39+Z$2))*(Alpha*MIN($A39,Z$2)-0.5*EXP(-Alpha*MAX($A39,Z$2))*(EXP(Alpha*MIN($A39,Z$2))-EXP(-Alpha*MIN($A39,Z$2))))</f>
        <v/>
      </c>
    </row>
    <row r="40">
      <c r="A40" s="20">
        <f>A39+1</f>
        <v/>
      </c>
      <c r="B40" s="21">
        <f>EXP(-UFR*($A40+B$2))*(Alpha*MIN($A40,B$2)-0.5*EXP(-Alpha*MAX($A40,B$2))*(EXP(Alpha*MIN($A40,B$2))-EXP(-Alpha*MIN($A40,B$2))))</f>
        <v/>
      </c>
      <c r="C40" s="21">
        <f>EXP(-UFR*($A40+C$2))*(Alpha*MIN($A40,C$2)-0.5*EXP(-Alpha*MAX($A40,C$2))*(EXP(Alpha*MIN($A40,C$2))-EXP(-Alpha*MIN($A40,C$2))))</f>
        <v/>
      </c>
      <c r="D40" s="21">
        <f>EXP(-UFR*($A40+D$2))*(Alpha*MIN($A40,D$2)-0.5*EXP(-Alpha*MAX($A40,D$2))*(EXP(Alpha*MIN($A40,D$2))-EXP(-Alpha*MIN($A40,D$2))))</f>
        <v/>
      </c>
      <c r="E40" s="21">
        <f>EXP(-UFR*($A40+E$2))*(Alpha*MIN($A40,E$2)-0.5*EXP(-Alpha*MAX($A40,E$2))*(EXP(Alpha*MIN($A40,E$2))-EXP(-Alpha*MIN($A40,E$2))))</f>
        <v/>
      </c>
      <c r="F40" s="21">
        <f>EXP(-UFR*($A40+F$2))*(Alpha*MIN($A40,F$2)-0.5*EXP(-Alpha*MAX($A40,F$2))*(EXP(Alpha*MIN($A40,F$2))-EXP(-Alpha*MIN($A40,F$2))))</f>
        <v/>
      </c>
      <c r="G40" s="21">
        <f>EXP(-UFR*($A40+G$2))*(Alpha*MIN($A40,G$2)-0.5*EXP(-Alpha*MAX($A40,G$2))*(EXP(Alpha*MIN($A40,G$2))-EXP(-Alpha*MIN($A40,G$2))))</f>
        <v/>
      </c>
      <c r="H40" s="21">
        <f>EXP(-UFR*($A40+H$2))*(Alpha*MIN($A40,H$2)-0.5*EXP(-Alpha*MAX($A40,H$2))*(EXP(Alpha*MIN($A40,H$2))-EXP(-Alpha*MIN($A40,H$2))))</f>
        <v/>
      </c>
      <c r="I40" s="21">
        <f>EXP(-UFR*($A40+I$2))*(Alpha*MIN($A40,I$2)-0.5*EXP(-Alpha*MAX($A40,I$2))*(EXP(Alpha*MIN($A40,I$2))-EXP(-Alpha*MIN($A40,I$2))))</f>
        <v/>
      </c>
      <c r="J40" s="21">
        <f>EXP(-UFR*($A40+J$2))*(Alpha*MIN($A40,J$2)-0.5*EXP(-Alpha*MAX($A40,J$2))*(EXP(Alpha*MIN($A40,J$2))-EXP(-Alpha*MIN($A40,J$2))))</f>
        <v/>
      </c>
      <c r="K40" s="21">
        <f>EXP(-UFR*($A40+K$2))*(Alpha*MIN($A40,K$2)-0.5*EXP(-Alpha*MAX($A40,K$2))*(EXP(Alpha*MIN($A40,K$2))-EXP(-Alpha*MIN($A40,K$2))))</f>
        <v/>
      </c>
      <c r="L40" s="21">
        <f>EXP(-UFR*($A40+L$2))*(Alpha*MIN($A40,L$2)-0.5*EXP(-Alpha*MAX($A40,L$2))*(EXP(Alpha*MIN($A40,L$2))-EXP(-Alpha*MIN($A40,L$2))))</f>
        <v/>
      </c>
      <c r="M40" s="21">
        <f>EXP(-UFR*($A40+M$2))*(Alpha*MIN($A40,M$2)-0.5*EXP(-Alpha*MAX($A40,M$2))*(EXP(Alpha*MIN($A40,M$2))-EXP(-Alpha*MIN($A40,M$2))))</f>
        <v/>
      </c>
      <c r="N40" s="21">
        <f>EXP(-UFR*($A40+N$2))*(Alpha*MIN($A40,N$2)-0.5*EXP(-Alpha*MAX($A40,N$2))*(EXP(Alpha*MIN($A40,N$2))-EXP(-Alpha*MIN($A40,N$2))))</f>
        <v/>
      </c>
      <c r="O40" s="21">
        <f>EXP(-UFR*($A40+O$2))*(Alpha*MIN($A40,O$2)-0.5*EXP(-Alpha*MAX($A40,O$2))*(EXP(Alpha*MIN($A40,O$2))-EXP(-Alpha*MIN($A40,O$2))))</f>
        <v/>
      </c>
      <c r="P40" s="21">
        <f>EXP(-UFR*($A40+P$2))*(Alpha*MIN($A40,P$2)-0.5*EXP(-Alpha*MAX($A40,P$2))*(EXP(Alpha*MIN($A40,P$2))-EXP(-Alpha*MIN($A40,P$2))))</f>
        <v/>
      </c>
      <c r="Q40" s="21">
        <f>EXP(-UFR*($A40+Q$2))*(Alpha*MIN($A40,Q$2)-0.5*EXP(-Alpha*MAX($A40,Q$2))*(EXP(Alpha*MIN($A40,Q$2))-EXP(-Alpha*MIN($A40,Q$2))))</f>
        <v/>
      </c>
      <c r="R40" s="21">
        <f>EXP(-UFR*($A40+R$2))*(Alpha*MIN($A40,R$2)-0.5*EXP(-Alpha*MAX($A40,R$2))*(EXP(Alpha*MIN($A40,R$2))-EXP(-Alpha*MIN($A40,R$2))))</f>
        <v/>
      </c>
      <c r="S40" s="21">
        <f>EXP(-UFR*($A40+S$2))*(Alpha*MIN($A40,S$2)-0.5*EXP(-Alpha*MAX($A40,S$2))*(EXP(Alpha*MIN($A40,S$2))-EXP(-Alpha*MIN($A40,S$2))))</f>
        <v/>
      </c>
      <c r="T40" s="21">
        <f>EXP(-UFR*($A40+T$2))*(Alpha*MIN($A40,T$2)-0.5*EXP(-Alpha*MAX($A40,T$2))*(EXP(Alpha*MIN($A40,T$2))-EXP(-Alpha*MIN($A40,T$2))))</f>
        <v/>
      </c>
      <c r="U40" s="21">
        <f>EXP(-UFR*($A40+U$2))*(Alpha*MIN($A40,U$2)-0.5*EXP(-Alpha*MAX($A40,U$2))*(EXP(Alpha*MIN($A40,U$2))-EXP(-Alpha*MIN($A40,U$2))))</f>
        <v/>
      </c>
      <c r="V40" s="21">
        <f>EXP(-UFR*($A40+V$2))*(Alpha*MIN($A40,V$2)-0.5*EXP(-Alpha*MAX($A40,V$2))*(EXP(Alpha*MIN($A40,V$2))-EXP(-Alpha*MIN($A40,V$2))))</f>
        <v/>
      </c>
      <c r="W40" s="21">
        <f>EXP(-UFR*($A40+W$2))*(Alpha*MIN($A40,W$2)-0.5*EXP(-Alpha*MAX($A40,W$2))*(EXP(Alpha*MIN($A40,W$2))-EXP(-Alpha*MIN($A40,W$2))))</f>
        <v/>
      </c>
      <c r="X40" s="21">
        <f>EXP(-UFR*($A40+X$2))*(Alpha*MIN($A40,X$2)-0.5*EXP(-Alpha*MAX($A40,X$2))*(EXP(Alpha*MIN($A40,X$2))-EXP(-Alpha*MIN($A40,X$2))))</f>
        <v/>
      </c>
      <c r="Y40" s="21">
        <f>EXP(-UFR*($A40+Y$2))*(Alpha*MIN($A40,Y$2)-0.5*EXP(-Alpha*MAX($A40,Y$2))*(EXP(Alpha*MIN($A40,Y$2))-EXP(-Alpha*MIN($A40,Y$2))))</f>
        <v/>
      </c>
      <c r="Z40" s="21">
        <f>EXP(-UFR*($A40+Z$2))*(Alpha*MIN($A40,Z$2)-0.5*EXP(-Alpha*MAX($A40,Z$2))*(EXP(Alpha*MIN($A40,Z$2))-EXP(-Alpha*MIN($A40,Z$2))))</f>
        <v/>
      </c>
    </row>
    <row r="41">
      <c r="A41" s="20">
        <f>A40+1</f>
        <v/>
      </c>
      <c r="B41" s="21">
        <f>EXP(-UFR*($A41+B$2))*(Alpha*MIN($A41,B$2)-0.5*EXP(-Alpha*MAX($A41,B$2))*(EXP(Alpha*MIN($A41,B$2))-EXP(-Alpha*MIN($A41,B$2))))</f>
        <v/>
      </c>
      <c r="C41" s="21">
        <f>EXP(-UFR*($A41+C$2))*(Alpha*MIN($A41,C$2)-0.5*EXP(-Alpha*MAX($A41,C$2))*(EXP(Alpha*MIN($A41,C$2))-EXP(-Alpha*MIN($A41,C$2))))</f>
        <v/>
      </c>
      <c r="D41" s="21">
        <f>EXP(-UFR*($A41+D$2))*(Alpha*MIN($A41,D$2)-0.5*EXP(-Alpha*MAX($A41,D$2))*(EXP(Alpha*MIN($A41,D$2))-EXP(-Alpha*MIN($A41,D$2))))</f>
        <v/>
      </c>
      <c r="E41" s="21">
        <f>EXP(-UFR*($A41+E$2))*(Alpha*MIN($A41,E$2)-0.5*EXP(-Alpha*MAX($A41,E$2))*(EXP(Alpha*MIN($A41,E$2))-EXP(-Alpha*MIN($A41,E$2))))</f>
        <v/>
      </c>
      <c r="F41" s="21">
        <f>EXP(-UFR*($A41+F$2))*(Alpha*MIN($A41,F$2)-0.5*EXP(-Alpha*MAX($A41,F$2))*(EXP(Alpha*MIN($A41,F$2))-EXP(-Alpha*MIN($A41,F$2))))</f>
        <v/>
      </c>
      <c r="G41" s="21">
        <f>EXP(-UFR*($A41+G$2))*(Alpha*MIN($A41,G$2)-0.5*EXP(-Alpha*MAX($A41,G$2))*(EXP(Alpha*MIN($A41,G$2))-EXP(-Alpha*MIN($A41,G$2))))</f>
        <v/>
      </c>
      <c r="H41" s="21">
        <f>EXP(-UFR*($A41+H$2))*(Alpha*MIN($A41,H$2)-0.5*EXP(-Alpha*MAX($A41,H$2))*(EXP(Alpha*MIN($A41,H$2))-EXP(-Alpha*MIN($A41,H$2))))</f>
        <v/>
      </c>
      <c r="I41" s="21">
        <f>EXP(-UFR*($A41+I$2))*(Alpha*MIN($A41,I$2)-0.5*EXP(-Alpha*MAX($A41,I$2))*(EXP(Alpha*MIN($A41,I$2))-EXP(-Alpha*MIN($A41,I$2))))</f>
        <v/>
      </c>
      <c r="J41" s="21">
        <f>EXP(-UFR*($A41+J$2))*(Alpha*MIN($A41,J$2)-0.5*EXP(-Alpha*MAX($A41,J$2))*(EXP(Alpha*MIN($A41,J$2))-EXP(-Alpha*MIN($A41,J$2))))</f>
        <v/>
      </c>
      <c r="K41" s="21">
        <f>EXP(-UFR*($A41+K$2))*(Alpha*MIN($A41,K$2)-0.5*EXP(-Alpha*MAX($A41,K$2))*(EXP(Alpha*MIN($A41,K$2))-EXP(-Alpha*MIN($A41,K$2))))</f>
        <v/>
      </c>
      <c r="L41" s="21">
        <f>EXP(-UFR*($A41+L$2))*(Alpha*MIN($A41,L$2)-0.5*EXP(-Alpha*MAX($A41,L$2))*(EXP(Alpha*MIN($A41,L$2))-EXP(-Alpha*MIN($A41,L$2))))</f>
        <v/>
      </c>
      <c r="M41" s="21">
        <f>EXP(-UFR*($A41+M$2))*(Alpha*MIN($A41,M$2)-0.5*EXP(-Alpha*MAX($A41,M$2))*(EXP(Alpha*MIN($A41,M$2))-EXP(-Alpha*MIN($A41,M$2))))</f>
        <v/>
      </c>
      <c r="N41" s="21">
        <f>EXP(-UFR*($A41+N$2))*(Alpha*MIN($A41,N$2)-0.5*EXP(-Alpha*MAX($A41,N$2))*(EXP(Alpha*MIN($A41,N$2))-EXP(-Alpha*MIN($A41,N$2))))</f>
        <v/>
      </c>
      <c r="O41" s="21">
        <f>EXP(-UFR*($A41+O$2))*(Alpha*MIN($A41,O$2)-0.5*EXP(-Alpha*MAX($A41,O$2))*(EXP(Alpha*MIN($A41,O$2))-EXP(-Alpha*MIN($A41,O$2))))</f>
        <v/>
      </c>
      <c r="P41" s="21">
        <f>EXP(-UFR*($A41+P$2))*(Alpha*MIN($A41,P$2)-0.5*EXP(-Alpha*MAX($A41,P$2))*(EXP(Alpha*MIN($A41,P$2))-EXP(-Alpha*MIN($A41,P$2))))</f>
        <v/>
      </c>
      <c r="Q41" s="21">
        <f>EXP(-UFR*($A41+Q$2))*(Alpha*MIN($A41,Q$2)-0.5*EXP(-Alpha*MAX($A41,Q$2))*(EXP(Alpha*MIN($A41,Q$2))-EXP(-Alpha*MIN($A41,Q$2))))</f>
        <v/>
      </c>
      <c r="R41" s="21">
        <f>EXP(-UFR*($A41+R$2))*(Alpha*MIN($A41,R$2)-0.5*EXP(-Alpha*MAX($A41,R$2))*(EXP(Alpha*MIN($A41,R$2))-EXP(-Alpha*MIN($A41,R$2))))</f>
        <v/>
      </c>
      <c r="S41" s="21">
        <f>EXP(-UFR*($A41+S$2))*(Alpha*MIN($A41,S$2)-0.5*EXP(-Alpha*MAX($A41,S$2))*(EXP(Alpha*MIN($A41,S$2))-EXP(-Alpha*MIN($A41,S$2))))</f>
        <v/>
      </c>
      <c r="T41" s="21">
        <f>EXP(-UFR*($A41+T$2))*(Alpha*MIN($A41,T$2)-0.5*EXP(-Alpha*MAX($A41,T$2))*(EXP(Alpha*MIN($A41,T$2))-EXP(-Alpha*MIN($A41,T$2))))</f>
        <v/>
      </c>
      <c r="U41" s="21">
        <f>EXP(-UFR*($A41+U$2))*(Alpha*MIN($A41,U$2)-0.5*EXP(-Alpha*MAX($A41,U$2))*(EXP(Alpha*MIN($A41,U$2))-EXP(-Alpha*MIN($A41,U$2))))</f>
        <v/>
      </c>
      <c r="V41" s="21">
        <f>EXP(-UFR*($A41+V$2))*(Alpha*MIN($A41,V$2)-0.5*EXP(-Alpha*MAX($A41,V$2))*(EXP(Alpha*MIN($A41,V$2))-EXP(-Alpha*MIN($A41,V$2))))</f>
        <v/>
      </c>
      <c r="W41" s="21">
        <f>EXP(-UFR*($A41+W$2))*(Alpha*MIN($A41,W$2)-0.5*EXP(-Alpha*MAX($A41,W$2))*(EXP(Alpha*MIN($A41,W$2))-EXP(-Alpha*MIN($A41,W$2))))</f>
        <v/>
      </c>
      <c r="X41" s="21">
        <f>EXP(-UFR*($A41+X$2))*(Alpha*MIN($A41,X$2)-0.5*EXP(-Alpha*MAX($A41,X$2))*(EXP(Alpha*MIN($A41,X$2))-EXP(-Alpha*MIN($A41,X$2))))</f>
        <v/>
      </c>
      <c r="Y41" s="21">
        <f>EXP(-UFR*($A41+Y$2))*(Alpha*MIN($A41,Y$2)-0.5*EXP(-Alpha*MAX($A41,Y$2))*(EXP(Alpha*MIN($A41,Y$2))-EXP(-Alpha*MIN($A41,Y$2))))</f>
        <v/>
      </c>
      <c r="Z41" s="21">
        <f>EXP(-UFR*($A41+Z$2))*(Alpha*MIN($A41,Z$2)-0.5*EXP(-Alpha*MAX($A41,Z$2))*(EXP(Alpha*MIN($A41,Z$2))-EXP(-Alpha*MIN($A41,Z$2))))</f>
        <v/>
      </c>
    </row>
    <row r="42">
      <c r="A42" s="20">
        <f>A41+1</f>
        <v/>
      </c>
      <c r="B42" s="21">
        <f>EXP(-UFR*($A42+B$2))*(Alpha*MIN($A42,B$2)-0.5*EXP(-Alpha*MAX($A42,B$2))*(EXP(Alpha*MIN($A42,B$2))-EXP(-Alpha*MIN($A42,B$2))))</f>
        <v/>
      </c>
      <c r="C42" s="21">
        <f>EXP(-UFR*($A42+C$2))*(Alpha*MIN($A42,C$2)-0.5*EXP(-Alpha*MAX($A42,C$2))*(EXP(Alpha*MIN($A42,C$2))-EXP(-Alpha*MIN($A42,C$2))))</f>
        <v/>
      </c>
      <c r="D42" s="21">
        <f>EXP(-UFR*($A42+D$2))*(Alpha*MIN($A42,D$2)-0.5*EXP(-Alpha*MAX($A42,D$2))*(EXP(Alpha*MIN($A42,D$2))-EXP(-Alpha*MIN($A42,D$2))))</f>
        <v/>
      </c>
      <c r="E42" s="21">
        <f>EXP(-UFR*($A42+E$2))*(Alpha*MIN($A42,E$2)-0.5*EXP(-Alpha*MAX($A42,E$2))*(EXP(Alpha*MIN($A42,E$2))-EXP(-Alpha*MIN($A42,E$2))))</f>
        <v/>
      </c>
      <c r="F42" s="21">
        <f>EXP(-UFR*($A42+F$2))*(Alpha*MIN($A42,F$2)-0.5*EXP(-Alpha*MAX($A42,F$2))*(EXP(Alpha*MIN($A42,F$2))-EXP(-Alpha*MIN($A42,F$2))))</f>
        <v/>
      </c>
      <c r="G42" s="21">
        <f>EXP(-UFR*($A42+G$2))*(Alpha*MIN($A42,G$2)-0.5*EXP(-Alpha*MAX($A42,G$2))*(EXP(Alpha*MIN($A42,G$2))-EXP(-Alpha*MIN($A42,G$2))))</f>
        <v/>
      </c>
      <c r="H42" s="21">
        <f>EXP(-UFR*($A42+H$2))*(Alpha*MIN($A42,H$2)-0.5*EXP(-Alpha*MAX($A42,H$2))*(EXP(Alpha*MIN($A42,H$2))-EXP(-Alpha*MIN($A42,H$2))))</f>
        <v/>
      </c>
      <c r="I42" s="21">
        <f>EXP(-UFR*($A42+I$2))*(Alpha*MIN($A42,I$2)-0.5*EXP(-Alpha*MAX($A42,I$2))*(EXP(Alpha*MIN($A42,I$2))-EXP(-Alpha*MIN($A42,I$2))))</f>
        <v/>
      </c>
      <c r="J42" s="21">
        <f>EXP(-UFR*($A42+J$2))*(Alpha*MIN($A42,J$2)-0.5*EXP(-Alpha*MAX($A42,J$2))*(EXP(Alpha*MIN($A42,J$2))-EXP(-Alpha*MIN($A42,J$2))))</f>
        <v/>
      </c>
      <c r="K42" s="21">
        <f>EXP(-UFR*($A42+K$2))*(Alpha*MIN($A42,K$2)-0.5*EXP(-Alpha*MAX($A42,K$2))*(EXP(Alpha*MIN($A42,K$2))-EXP(-Alpha*MIN($A42,K$2))))</f>
        <v/>
      </c>
      <c r="L42" s="21">
        <f>EXP(-UFR*($A42+L$2))*(Alpha*MIN($A42,L$2)-0.5*EXP(-Alpha*MAX($A42,L$2))*(EXP(Alpha*MIN($A42,L$2))-EXP(-Alpha*MIN($A42,L$2))))</f>
        <v/>
      </c>
      <c r="M42" s="21">
        <f>EXP(-UFR*($A42+M$2))*(Alpha*MIN($A42,M$2)-0.5*EXP(-Alpha*MAX($A42,M$2))*(EXP(Alpha*MIN($A42,M$2))-EXP(-Alpha*MIN($A42,M$2))))</f>
        <v/>
      </c>
      <c r="N42" s="21">
        <f>EXP(-UFR*($A42+N$2))*(Alpha*MIN($A42,N$2)-0.5*EXP(-Alpha*MAX($A42,N$2))*(EXP(Alpha*MIN($A42,N$2))-EXP(-Alpha*MIN($A42,N$2))))</f>
        <v/>
      </c>
      <c r="O42" s="21">
        <f>EXP(-UFR*($A42+O$2))*(Alpha*MIN($A42,O$2)-0.5*EXP(-Alpha*MAX($A42,O$2))*(EXP(Alpha*MIN($A42,O$2))-EXP(-Alpha*MIN($A42,O$2))))</f>
        <v/>
      </c>
      <c r="P42" s="21">
        <f>EXP(-UFR*($A42+P$2))*(Alpha*MIN($A42,P$2)-0.5*EXP(-Alpha*MAX($A42,P$2))*(EXP(Alpha*MIN($A42,P$2))-EXP(-Alpha*MIN($A42,P$2))))</f>
        <v/>
      </c>
      <c r="Q42" s="21">
        <f>EXP(-UFR*($A42+Q$2))*(Alpha*MIN($A42,Q$2)-0.5*EXP(-Alpha*MAX($A42,Q$2))*(EXP(Alpha*MIN($A42,Q$2))-EXP(-Alpha*MIN($A42,Q$2))))</f>
        <v/>
      </c>
      <c r="R42" s="21">
        <f>EXP(-UFR*($A42+R$2))*(Alpha*MIN($A42,R$2)-0.5*EXP(-Alpha*MAX($A42,R$2))*(EXP(Alpha*MIN($A42,R$2))-EXP(-Alpha*MIN($A42,R$2))))</f>
        <v/>
      </c>
      <c r="S42" s="21">
        <f>EXP(-UFR*($A42+S$2))*(Alpha*MIN($A42,S$2)-0.5*EXP(-Alpha*MAX($A42,S$2))*(EXP(Alpha*MIN($A42,S$2))-EXP(-Alpha*MIN($A42,S$2))))</f>
        <v/>
      </c>
      <c r="T42" s="21">
        <f>EXP(-UFR*($A42+T$2))*(Alpha*MIN($A42,T$2)-0.5*EXP(-Alpha*MAX($A42,T$2))*(EXP(Alpha*MIN($A42,T$2))-EXP(-Alpha*MIN($A42,T$2))))</f>
        <v/>
      </c>
      <c r="U42" s="21">
        <f>EXP(-UFR*($A42+U$2))*(Alpha*MIN($A42,U$2)-0.5*EXP(-Alpha*MAX($A42,U$2))*(EXP(Alpha*MIN($A42,U$2))-EXP(-Alpha*MIN($A42,U$2))))</f>
        <v/>
      </c>
      <c r="V42" s="21">
        <f>EXP(-UFR*($A42+V$2))*(Alpha*MIN($A42,V$2)-0.5*EXP(-Alpha*MAX($A42,V$2))*(EXP(Alpha*MIN($A42,V$2))-EXP(-Alpha*MIN($A42,V$2))))</f>
        <v/>
      </c>
      <c r="W42" s="21">
        <f>EXP(-UFR*($A42+W$2))*(Alpha*MIN($A42,W$2)-0.5*EXP(-Alpha*MAX($A42,W$2))*(EXP(Alpha*MIN($A42,W$2))-EXP(-Alpha*MIN($A42,W$2))))</f>
        <v/>
      </c>
      <c r="X42" s="21">
        <f>EXP(-UFR*($A42+X$2))*(Alpha*MIN($A42,X$2)-0.5*EXP(-Alpha*MAX($A42,X$2))*(EXP(Alpha*MIN($A42,X$2))-EXP(-Alpha*MIN($A42,X$2))))</f>
        <v/>
      </c>
      <c r="Y42" s="21">
        <f>EXP(-UFR*($A42+Y$2))*(Alpha*MIN($A42,Y$2)-0.5*EXP(-Alpha*MAX($A42,Y$2))*(EXP(Alpha*MIN($A42,Y$2))-EXP(-Alpha*MIN($A42,Y$2))))</f>
        <v/>
      </c>
      <c r="Z42" s="21">
        <f>EXP(-UFR*($A42+Z$2))*(Alpha*MIN($A42,Z$2)-0.5*EXP(-Alpha*MAX($A42,Z$2))*(EXP(Alpha*MIN($A42,Z$2))-EXP(-Alpha*MIN($A42,Z$2))))</f>
        <v/>
      </c>
    </row>
    <row r="43">
      <c r="A43" s="20">
        <f>A42+1</f>
        <v/>
      </c>
      <c r="B43" s="21">
        <f>EXP(-UFR*($A43+B$2))*(Alpha*MIN($A43,B$2)-0.5*EXP(-Alpha*MAX($A43,B$2))*(EXP(Alpha*MIN($A43,B$2))-EXP(-Alpha*MIN($A43,B$2))))</f>
        <v/>
      </c>
      <c r="C43" s="21">
        <f>EXP(-UFR*($A43+C$2))*(Alpha*MIN($A43,C$2)-0.5*EXP(-Alpha*MAX($A43,C$2))*(EXP(Alpha*MIN($A43,C$2))-EXP(-Alpha*MIN($A43,C$2))))</f>
        <v/>
      </c>
      <c r="D43" s="21">
        <f>EXP(-UFR*($A43+D$2))*(Alpha*MIN($A43,D$2)-0.5*EXP(-Alpha*MAX($A43,D$2))*(EXP(Alpha*MIN($A43,D$2))-EXP(-Alpha*MIN($A43,D$2))))</f>
        <v/>
      </c>
      <c r="E43" s="21">
        <f>EXP(-UFR*($A43+E$2))*(Alpha*MIN($A43,E$2)-0.5*EXP(-Alpha*MAX($A43,E$2))*(EXP(Alpha*MIN($A43,E$2))-EXP(-Alpha*MIN($A43,E$2))))</f>
        <v/>
      </c>
      <c r="F43" s="21">
        <f>EXP(-UFR*($A43+F$2))*(Alpha*MIN($A43,F$2)-0.5*EXP(-Alpha*MAX($A43,F$2))*(EXP(Alpha*MIN($A43,F$2))-EXP(-Alpha*MIN($A43,F$2))))</f>
        <v/>
      </c>
      <c r="G43" s="21">
        <f>EXP(-UFR*($A43+G$2))*(Alpha*MIN($A43,G$2)-0.5*EXP(-Alpha*MAX($A43,G$2))*(EXP(Alpha*MIN($A43,G$2))-EXP(-Alpha*MIN($A43,G$2))))</f>
        <v/>
      </c>
      <c r="H43" s="21">
        <f>EXP(-UFR*($A43+H$2))*(Alpha*MIN($A43,H$2)-0.5*EXP(-Alpha*MAX($A43,H$2))*(EXP(Alpha*MIN($A43,H$2))-EXP(-Alpha*MIN($A43,H$2))))</f>
        <v/>
      </c>
      <c r="I43" s="21">
        <f>EXP(-UFR*($A43+I$2))*(Alpha*MIN($A43,I$2)-0.5*EXP(-Alpha*MAX($A43,I$2))*(EXP(Alpha*MIN($A43,I$2))-EXP(-Alpha*MIN($A43,I$2))))</f>
        <v/>
      </c>
      <c r="J43" s="21">
        <f>EXP(-UFR*($A43+J$2))*(Alpha*MIN($A43,J$2)-0.5*EXP(-Alpha*MAX($A43,J$2))*(EXP(Alpha*MIN($A43,J$2))-EXP(-Alpha*MIN($A43,J$2))))</f>
        <v/>
      </c>
      <c r="K43" s="21">
        <f>EXP(-UFR*($A43+K$2))*(Alpha*MIN($A43,K$2)-0.5*EXP(-Alpha*MAX($A43,K$2))*(EXP(Alpha*MIN($A43,K$2))-EXP(-Alpha*MIN($A43,K$2))))</f>
        <v/>
      </c>
      <c r="L43" s="21">
        <f>EXP(-UFR*($A43+L$2))*(Alpha*MIN($A43,L$2)-0.5*EXP(-Alpha*MAX($A43,L$2))*(EXP(Alpha*MIN($A43,L$2))-EXP(-Alpha*MIN($A43,L$2))))</f>
        <v/>
      </c>
      <c r="M43" s="21">
        <f>EXP(-UFR*($A43+M$2))*(Alpha*MIN($A43,M$2)-0.5*EXP(-Alpha*MAX($A43,M$2))*(EXP(Alpha*MIN($A43,M$2))-EXP(-Alpha*MIN($A43,M$2))))</f>
        <v/>
      </c>
      <c r="N43" s="21">
        <f>EXP(-UFR*($A43+N$2))*(Alpha*MIN($A43,N$2)-0.5*EXP(-Alpha*MAX($A43,N$2))*(EXP(Alpha*MIN($A43,N$2))-EXP(-Alpha*MIN($A43,N$2))))</f>
        <v/>
      </c>
      <c r="O43" s="21">
        <f>EXP(-UFR*($A43+O$2))*(Alpha*MIN($A43,O$2)-0.5*EXP(-Alpha*MAX($A43,O$2))*(EXP(Alpha*MIN($A43,O$2))-EXP(-Alpha*MIN($A43,O$2))))</f>
        <v/>
      </c>
      <c r="P43" s="21">
        <f>EXP(-UFR*($A43+P$2))*(Alpha*MIN($A43,P$2)-0.5*EXP(-Alpha*MAX($A43,P$2))*(EXP(Alpha*MIN($A43,P$2))-EXP(-Alpha*MIN($A43,P$2))))</f>
        <v/>
      </c>
      <c r="Q43" s="21">
        <f>EXP(-UFR*($A43+Q$2))*(Alpha*MIN($A43,Q$2)-0.5*EXP(-Alpha*MAX($A43,Q$2))*(EXP(Alpha*MIN($A43,Q$2))-EXP(-Alpha*MIN($A43,Q$2))))</f>
        <v/>
      </c>
      <c r="R43" s="21">
        <f>EXP(-UFR*($A43+R$2))*(Alpha*MIN($A43,R$2)-0.5*EXP(-Alpha*MAX($A43,R$2))*(EXP(Alpha*MIN($A43,R$2))-EXP(-Alpha*MIN($A43,R$2))))</f>
        <v/>
      </c>
      <c r="S43" s="21">
        <f>EXP(-UFR*($A43+S$2))*(Alpha*MIN($A43,S$2)-0.5*EXP(-Alpha*MAX($A43,S$2))*(EXP(Alpha*MIN($A43,S$2))-EXP(-Alpha*MIN($A43,S$2))))</f>
        <v/>
      </c>
      <c r="T43" s="21">
        <f>EXP(-UFR*($A43+T$2))*(Alpha*MIN($A43,T$2)-0.5*EXP(-Alpha*MAX($A43,T$2))*(EXP(Alpha*MIN($A43,T$2))-EXP(-Alpha*MIN($A43,T$2))))</f>
        <v/>
      </c>
      <c r="U43" s="21">
        <f>EXP(-UFR*($A43+U$2))*(Alpha*MIN($A43,U$2)-0.5*EXP(-Alpha*MAX($A43,U$2))*(EXP(Alpha*MIN($A43,U$2))-EXP(-Alpha*MIN($A43,U$2))))</f>
        <v/>
      </c>
      <c r="V43" s="21">
        <f>EXP(-UFR*($A43+V$2))*(Alpha*MIN($A43,V$2)-0.5*EXP(-Alpha*MAX($A43,V$2))*(EXP(Alpha*MIN($A43,V$2))-EXP(-Alpha*MIN($A43,V$2))))</f>
        <v/>
      </c>
      <c r="W43" s="21">
        <f>EXP(-UFR*($A43+W$2))*(Alpha*MIN($A43,W$2)-0.5*EXP(-Alpha*MAX($A43,W$2))*(EXP(Alpha*MIN($A43,W$2))-EXP(-Alpha*MIN($A43,W$2))))</f>
        <v/>
      </c>
      <c r="X43" s="21">
        <f>EXP(-UFR*($A43+X$2))*(Alpha*MIN($A43,X$2)-0.5*EXP(-Alpha*MAX($A43,X$2))*(EXP(Alpha*MIN($A43,X$2))-EXP(-Alpha*MIN($A43,X$2))))</f>
        <v/>
      </c>
      <c r="Y43" s="21">
        <f>EXP(-UFR*($A43+Y$2))*(Alpha*MIN($A43,Y$2)-0.5*EXP(-Alpha*MAX($A43,Y$2))*(EXP(Alpha*MIN($A43,Y$2))-EXP(-Alpha*MIN($A43,Y$2))))</f>
        <v/>
      </c>
      <c r="Z43" s="21">
        <f>EXP(-UFR*($A43+Z$2))*(Alpha*MIN($A43,Z$2)-0.5*EXP(-Alpha*MAX($A43,Z$2))*(EXP(Alpha*MIN($A43,Z$2))-EXP(-Alpha*MIN($A43,Z$2))))</f>
        <v/>
      </c>
    </row>
    <row r="44">
      <c r="A44" s="20">
        <f>A43+1</f>
        <v/>
      </c>
      <c r="B44" s="21">
        <f>EXP(-UFR*($A44+B$2))*(Alpha*MIN($A44,B$2)-0.5*EXP(-Alpha*MAX($A44,B$2))*(EXP(Alpha*MIN($A44,B$2))-EXP(-Alpha*MIN($A44,B$2))))</f>
        <v/>
      </c>
      <c r="C44" s="21">
        <f>EXP(-UFR*($A44+C$2))*(Alpha*MIN($A44,C$2)-0.5*EXP(-Alpha*MAX($A44,C$2))*(EXP(Alpha*MIN($A44,C$2))-EXP(-Alpha*MIN($A44,C$2))))</f>
        <v/>
      </c>
      <c r="D44" s="21">
        <f>EXP(-UFR*($A44+D$2))*(Alpha*MIN($A44,D$2)-0.5*EXP(-Alpha*MAX($A44,D$2))*(EXP(Alpha*MIN($A44,D$2))-EXP(-Alpha*MIN($A44,D$2))))</f>
        <v/>
      </c>
      <c r="E44" s="21">
        <f>EXP(-UFR*($A44+E$2))*(Alpha*MIN($A44,E$2)-0.5*EXP(-Alpha*MAX($A44,E$2))*(EXP(Alpha*MIN($A44,E$2))-EXP(-Alpha*MIN($A44,E$2))))</f>
        <v/>
      </c>
      <c r="F44" s="21">
        <f>EXP(-UFR*($A44+F$2))*(Alpha*MIN($A44,F$2)-0.5*EXP(-Alpha*MAX($A44,F$2))*(EXP(Alpha*MIN($A44,F$2))-EXP(-Alpha*MIN($A44,F$2))))</f>
        <v/>
      </c>
      <c r="G44" s="21">
        <f>EXP(-UFR*($A44+G$2))*(Alpha*MIN($A44,G$2)-0.5*EXP(-Alpha*MAX($A44,G$2))*(EXP(Alpha*MIN($A44,G$2))-EXP(-Alpha*MIN($A44,G$2))))</f>
        <v/>
      </c>
      <c r="H44" s="21">
        <f>EXP(-UFR*($A44+H$2))*(Alpha*MIN($A44,H$2)-0.5*EXP(-Alpha*MAX($A44,H$2))*(EXP(Alpha*MIN($A44,H$2))-EXP(-Alpha*MIN($A44,H$2))))</f>
        <v/>
      </c>
      <c r="I44" s="21">
        <f>EXP(-UFR*($A44+I$2))*(Alpha*MIN($A44,I$2)-0.5*EXP(-Alpha*MAX($A44,I$2))*(EXP(Alpha*MIN($A44,I$2))-EXP(-Alpha*MIN($A44,I$2))))</f>
        <v/>
      </c>
      <c r="J44" s="21">
        <f>EXP(-UFR*($A44+J$2))*(Alpha*MIN($A44,J$2)-0.5*EXP(-Alpha*MAX($A44,J$2))*(EXP(Alpha*MIN($A44,J$2))-EXP(-Alpha*MIN($A44,J$2))))</f>
        <v/>
      </c>
      <c r="K44" s="21">
        <f>EXP(-UFR*($A44+K$2))*(Alpha*MIN($A44,K$2)-0.5*EXP(-Alpha*MAX($A44,K$2))*(EXP(Alpha*MIN($A44,K$2))-EXP(-Alpha*MIN($A44,K$2))))</f>
        <v/>
      </c>
      <c r="L44" s="21">
        <f>EXP(-UFR*($A44+L$2))*(Alpha*MIN($A44,L$2)-0.5*EXP(-Alpha*MAX($A44,L$2))*(EXP(Alpha*MIN($A44,L$2))-EXP(-Alpha*MIN($A44,L$2))))</f>
        <v/>
      </c>
      <c r="M44" s="21">
        <f>EXP(-UFR*($A44+M$2))*(Alpha*MIN($A44,M$2)-0.5*EXP(-Alpha*MAX($A44,M$2))*(EXP(Alpha*MIN($A44,M$2))-EXP(-Alpha*MIN($A44,M$2))))</f>
        <v/>
      </c>
      <c r="N44" s="21">
        <f>EXP(-UFR*($A44+N$2))*(Alpha*MIN($A44,N$2)-0.5*EXP(-Alpha*MAX($A44,N$2))*(EXP(Alpha*MIN($A44,N$2))-EXP(-Alpha*MIN($A44,N$2))))</f>
        <v/>
      </c>
      <c r="O44" s="21">
        <f>EXP(-UFR*($A44+O$2))*(Alpha*MIN($A44,O$2)-0.5*EXP(-Alpha*MAX($A44,O$2))*(EXP(Alpha*MIN($A44,O$2))-EXP(-Alpha*MIN($A44,O$2))))</f>
        <v/>
      </c>
      <c r="P44" s="21">
        <f>EXP(-UFR*($A44+P$2))*(Alpha*MIN($A44,P$2)-0.5*EXP(-Alpha*MAX($A44,P$2))*(EXP(Alpha*MIN($A44,P$2))-EXP(-Alpha*MIN($A44,P$2))))</f>
        <v/>
      </c>
      <c r="Q44" s="21">
        <f>EXP(-UFR*($A44+Q$2))*(Alpha*MIN($A44,Q$2)-0.5*EXP(-Alpha*MAX($A44,Q$2))*(EXP(Alpha*MIN($A44,Q$2))-EXP(-Alpha*MIN($A44,Q$2))))</f>
        <v/>
      </c>
      <c r="R44" s="21">
        <f>EXP(-UFR*($A44+R$2))*(Alpha*MIN($A44,R$2)-0.5*EXP(-Alpha*MAX($A44,R$2))*(EXP(Alpha*MIN($A44,R$2))-EXP(-Alpha*MIN($A44,R$2))))</f>
        <v/>
      </c>
      <c r="S44" s="21">
        <f>EXP(-UFR*($A44+S$2))*(Alpha*MIN($A44,S$2)-0.5*EXP(-Alpha*MAX($A44,S$2))*(EXP(Alpha*MIN($A44,S$2))-EXP(-Alpha*MIN($A44,S$2))))</f>
        <v/>
      </c>
      <c r="T44" s="21">
        <f>EXP(-UFR*($A44+T$2))*(Alpha*MIN($A44,T$2)-0.5*EXP(-Alpha*MAX($A44,T$2))*(EXP(Alpha*MIN($A44,T$2))-EXP(-Alpha*MIN($A44,T$2))))</f>
        <v/>
      </c>
      <c r="U44" s="21">
        <f>EXP(-UFR*($A44+U$2))*(Alpha*MIN($A44,U$2)-0.5*EXP(-Alpha*MAX($A44,U$2))*(EXP(Alpha*MIN($A44,U$2))-EXP(-Alpha*MIN($A44,U$2))))</f>
        <v/>
      </c>
      <c r="V44" s="21">
        <f>EXP(-UFR*($A44+V$2))*(Alpha*MIN($A44,V$2)-0.5*EXP(-Alpha*MAX($A44,V$2))*(EXP(Alpha*MIN($A44,V$2))-EXP(-Alpha*MIN($A44,V$2))))</f>
        <v/>
      </c>
      <c r="W44" s="21">
        <f>EXP(-UFR*($A44+W$2))*(Alpha*MIN($A44,W$2)-0.5*EXP(-Alpha*MAX($A44,W$2))*(EXP(Alpha*MIN($A44,W$2))-EXP(-Alpha*MIN($A44,W$2))))</f>
        <v/>
      </c>
      <c r="X44" s="21">
        <f>EXP(-UFR*($A44+X$2))*(Alpha*MIN($A44,X$2)-0.5*EXP(-Alpha*MAX($A44,X$2))*(EXP(Alpha*MIN($A44,X$2))-EXP(-Alpha*MIN($A44,X$2))))</f>
        <v/>
      </c>
      <c r="Y44" s="21">
        <f>EXP(-UFR*($A44+Y$2))*(Alpha*MIN($A44,Y$2)-0.5*EXP(-Alpha*MAX($A44,Y$2))*(EXP(Alpha*MIN($A44,Y$2))-EXP(-Alpha*MIN($A44,Y$2))))</f>
        <v/>
      </c>
      <c r="Z44" s="21">
        <f>EXP(-UFR*($A44+Z$2))*(Alpha*MIN($A44,Z$2)-0.5*EXP(-Alpha*MAX($A44,Z$2))*(EXP(Alpha*MIN($A44,Z$2))-EXP(-Alpha*MIN($A44,Z$2))))</f>
        <v/>
      </c>
    </row>
    <row r="45">
      <c r="A45" s="20">
        <f>A44+1</f>
        <v/>
      </c>
      <c r="B45" s="21">
        <f>EXP(-UFR*($A45+B$2))*(Alpha*MIN($A45,B$2)-0.5*EXP(-Alpha*MAX($A45,B$2))*(EXP(Alpha*MIN($A45,B$2))-EXP(-Alpha*MIN($A45,B$2))))</f>
        <v/>
      </c>
      <c r="C45" s="21">
        <f>EXP(-UFR*($A45+C$2))*(Alpha*MIN($A45,C$2)-0.5*EXP(-Alpha*MAX($A45,C$2))*(EXP(Alpha*MIN($A45,C$2))-EXP(-Alpha*MIN($A45,C$2))))</f>
        <v/>
      </c>
      <c r="D45" s="21">
        <f>EXP(-UFR*($A45+D$2))*(Alpha*MIN($A45,D$2)-0.5*EXP(-Alpha*MAX($A45,D$2))*(EXP(Alpha*MIN($A45,D$2))-EXP(-Alpha*MIN($A45,D$2))))</f>
        <v/>
      </c>
      <c r="E45" s="21">
        <f>EXP(-UFR*($A45+E$2))*(Alpha*MIN($A45,E$2)-0.5*EXP(-Alpha*MAX($A45,E$2))*(EXP(Alpha*MIN($A45,E$2))-EXP(-Alpha*MIN($A45,E$2))))</f>
        <v/>
      </c>
      <c r="F45" s="21">
        <f>EXP(-UFR*($A45+F$2))*(Alpha*MIN($A45,F$2)-0.5*EXP(-Alpha*MAX($A45,F$2))*(EXP(Alpha*MIN($A45,F$2))-EXP(-Alpha*MIN($A45,F$2))))</f>
        <v/>
      </c>
      <c r="G45" s="21">
        <f>EXP(-UFR*($A45+G$2))*(Alpha*MIN($A45,G$2)-0.5*EXP(-Alpha*MAX($A45,G$2))*(EXP(Alpha*MIN($A45,G$2))-EXP(-Alpha*MIN($A45,G$2))))</f>
        <v/>
      </c>
      <c r="H45" s="21">
        <f>EXP(-UFR*($A45+H$2))*(Alpha*MIN($A45,H$2)-0.5*EXP(-Alpha*MAX($A45,H$2))*(EXP(Alpha*MIN($A45,H$2))-EXP(-Alpha*MIN($A45,H$2))))</f>
        <v/>
      </c>
      <c r="I45" s="21">
        <f>EXP(-UFR*($A45+I$2))*(Alpha*MIN($A45,I$2)-0.5*EXP(-Alpha*MAX($A45,I$2))*(EXP(Alpha*MIN($A45,I$2))-EXP(-Alpha*MIN($A45,I$2))))</f>
        <v/>
      </c>
      <c r="J45" s="21">
        <f>EXP(-UFR*($A45+J$2))*(Alpha*MIN($A45,J$2)-0.5*EXP(-Alpha*MAX($A45,J$2))*(EXP(Alpha*MIN($A45,J$2))-EXP(-Alpha*MIN($A45,J$2))))</f>
        <v/>
      </c>
      <c r="K45" s="21">
        <f>EXP(-UFR*($A45+K$2))*(Alpha*MIN($A45,K$2)-0.5*EXP(-Alpha*MAX($A45,K$2))*(EXP(Alpha*MIN($A45,K$2))-EXP(-Alpha*MIN($A45,K$2))))</f>
        <v/>
      </c>
      <c r="L45" s="21">
        <f>EXP(-UFR*($A45+L$2))*(Alpha*MIN($A45,L$2)-0.5*EXP(-Alpha*MAX($A45,L$2))*(EXP(Alpha*MIN($A45,L$2))-EXP(-Alpha*MIN($A45,L$2))))</f>
        <v/>
      </c>
      <c r="M45" s="21">
        <f>EXP(-UFR*($A45+M$2))*(Alpha*MIN($A45,M$2)-0.5*EXP(-Alpha*MAX($A45,M$2))*(EXP(Alpha*MIN($A45,M$2))-EXP(-Alpha*MIN($A45,M$2))))</f>
        <v/>
      </c>
      <c r="N45" s="21">
        <f>EXP(-UFR*($A45+N$2))*(Alpha*MIN($A45,N$2)-0.5*EXP(-Alpha*MAX($A45,N$2))*(EXP(Alpha*MIN($A45,N$2))-EXP(-Alpha*MIN($A45,N$2))))</f>
        <v/>
      </c>
      <c r="O45" s="21">
        <f>EXP(-UFR*($A45+O$2))*(Alpha*MIN($A45,O$2)-0.5*EXP(-Alpha*MAX($A45,O$2))*(EXP(Alpha*MIN($A45,O$2))-EXP(-Alpha*MIN($A45,O$2))))</f>
        <v/>
      </c>
      <c r="P45" s="21">
        <f>EXP(-UFR*($A45+P$2))*(Alpha*MIN($A45,P$2)-0.5*EXP(-Alpha*MAX($A45,P$2))*(EXP(Alpha*MIN($A45,P$2))-EXP(-Alpha*MIN($A45,P$2))))</f>
        <v/>
      </c>
      <c r="Q45" s="21">
        <f>EXP(-UFR*($A45+Q$2))*(Alpha*MIN($A45,Q$2)-0.5*EXP(-Alpha*MAX($A45,Q$2))*(EXP(Alpha*MIN($A45,Q$2))-EXP(-Alpha*MIN($A45,Q$2))))</f>
        <v/>
      </c>
      <c r="R45" s="21">
        <f>EXP(-UFR*($A45+R$2))*(Alpha*MIN($A45,R$2)-0.5*EXP(-Alpha*MAX($A45,R$2))*(EXP(Alpha*MIN($A45,R$2))-EXP(-Alpha*MIN($A45,R$2))))</f>
        <v/>
      </c>
      <c r="S45" s="21">
        <f>EXP(-UFR*($A45+S$2))*(Alpha*MIN($A45,S$2)-0.5*EXP(-Alpha*MAX($A45,S$2))*(EXP(Alpha*MIN($A45,S$2))-EXP(-Alpha*MIN($A45,S$2))))</f>
        <v/>
      </c>
      <c r="T45" s="21">
        <f>EXP(-UFR*($A45+T$2))*(Alpha*MIN($A45,T$2)-0.5*EXP(-Alpha*MAX($A45,T$2))*(EXP(Alpha*MIN($A45,T$2))-EXP(-Alpha*MIN($A45,T$2))))</f>
        <v/>
      </c>
      <c r="U45" s="21">
        <f>EXP(-UFR*($A45+U$2))*(Alpha*MIN($A45,U$2)-0.5*EXP(-Alpha*MAX($A45,U$2))*(EXP(Alpha*MIN($A45,U$2))-EXP(-Alpha*MIN($A45,U$2))))</f>
        <v/>
      </c>
      <c r="V45" s="21">
        <f>EXP(-UFR*($A45+V$2))*(Alpha*MIN($A45,V$2)-0.5*EXP(-Alpha*MAX($A45,V$2))*(EXP(Alpha*MIN($A45,V$2))-EXP(-Alpha*MIN($A45,V$2))))</f>
        <v/>
      </c>
      <c r="W45" s="21">
        <f>EXP(-UFR*($A45+W$2))*(Alpha*MIN($A45,W$2)-0.5*EXP(-Alpha*MAX($A45,W$2))*(EXP(Alpha*MIN($A45,W$2))-EXP(-Alpha*MIN($A45,W$2))))</f>
        <v/>
      </c>
      <c r="X45" s="21">
        <f>EXP(-UFR*($A45+X$2))*(Alpha*MIN($A45,X$2)-0.5*EXP(-Alpha*MAX($A45,X$2))*(EXP(Alpha*MIN($A45,X$2))-EXP(-Alpha*MIN($A45,X$2))))</f>
        <v/>
      </c>
      <c r="Y45" s="21">
        <f>EXP(-UFR*($A45+Y$2))*(Alpha*MIN($A45,Y$2)-0.5*EXP(-Alpha*MAX($A45,Y$2))*(EXP(Alpha*MIN($A45,Y$2))-EXP(-Alpha*MIN($A45,Y$2))))</f>
        <v/>
      </c>
      <c r="Z45" s="21">
        <f>EXP(-UFR*($A45+Z$2))*(Alpha*MIN($A45,Z$2)-0.5*EXP(-Alpha*MAX($A45,Z$2))*(EXP(Alpha*MIN($A45,Z$2))-EXP(-Alpha*MIN($A45,Z$2))))</f>
        <v/>
      </c>
    </row>
    <row r="46">
      <c r="A46" s="20">
        <f>A45+1</f>
        <v/>
      </c>
      <c r="B46" s="21">
        <f>EXP(-UFR*($A46+B$2))*(Alpha*MIN($A46,B$2)-0.5*EXP(-Alpha*MAX($A46,B$2))*(EXP(Alpha*MIN($A46,B$2))-EXP(-Alpha*MIN($A46,B$2))))</f>
        <v/>
      </c>
      <c r="C46" s="21">
        <f>EXP(-UFR*($A46+C$2))*(Alpha*MIN($A46,C$2)-0.5*EXP(-Alpha*MAX($A46,C$2))*(EXP(Alpha*MIN($A46,C$2))-EXP(-Alpha*MIN($A46,C$2))))</f>
        <v/>
      </c>
      <c r="D46" s="21">
        <f>EXP(-UFR*($A46+D$2))*(Alpha*MIN($A46,D$2)-0.5*EXP(-Alpha*MAX($A46,D$2))*(EXP(Alpha*MIN($A46,D$2))-EXP(-Alpha*MIN($A46,D$2))))</f>
        <v/>
      </c>
      <c r="E46" s="21">
        <f>EXP(-UFR*($A46+E$2))*(Alpha*MIN($A46,E$2)-0.5*EXP(-Alpha*MAX($A46,E$2))*(EXP(Alpha*MIN($A46,E$2))-EXP(-Alpha*MIN($A46,E$2))))</f>
        <v/>
      </c>
      <c r="F46" s="21">
        <f>EXP(-UFR*($A46+F$2))*(Alpha*MIN($A46,F$2)-0.5*EXP(-Alpha*MAX($A46,F$2))*(EXP(Alpha*MIN($A46,F$2))-EXP(-Alpha*MIN($A46,F$2))))</f>
        <v/>
      </c>
      <c r="G46" s="21">
        <f>EXP(-UFR*($A46+G$2))*(Alpha*MIN($A46,G$2)-0.5*EXP(-Alpha*MAX($A46,G$2))*(EXP(Alpha*MIN($A46,G$2))-EXP(-Alpha*MIN($A46,G$2))))</f>
        <v/>
      </c>
      <c r="H46" s="21">
        <f>EXP(-UFR*($A46+H$2))*(Alpha*MIN($A46,H$2)-0.5*EXP(-Alpha*MAX($A46,H$2))*(EXP(Alpha*MIN($A46,H$2))-EXP(-Alpha*MIN($A46,H$2))))</f>
        <v/>
      </c>
      <c r="I46" s="21">
        <f>EXP(-UFR*($A46+I$2))*(Alpha*MIN($A46,I$2)-0.5*EXP(-Alpha*MAX($A46,I$2))*(EXP(Alpha*MIN($A46,I$2))-EXP(-Alpha*MIN($A46,I$2))))</f>
        <v/>
      </c>
      <c r="J46" s="21">
        <f>EXP(-UFR*($A46+J$2))*(Alpha*MIN($A46,J$2)-0.5*EXP(-Alpha*MAX($A46,J$2))*(EXP(Alpha*MIN($A46,J$2))-EXP(-Alpha*MIN($A46,J$2))))</f>
        <v/>
      </c>
      <c r="K46" s="21">
        <f>EXP(-UFR*($A46+K$2))*(Alpha*MIN($A46,K$2)-0.5*EXP(-Alpha*MAX($A46,K$2))*(EXP(Alpha*MIN($A46,K$2))-EXP(-Alpha*MIN($A46,K$2))))</f>
        <v/>
      </c>
      <c r="L46" s="21">
        <f>EXP(-UFR*($A46+L$2))*(Alpha*MIN($A46,L$2)-0.5*EXP(-Alpha*MAX($A46,L$2))*(EXP(Alpha*MIN($A46,L$2))-EXP(-Alpha*MIN($A46,L$2))))</f>
        <v/>
      </c>
      <c r="M46" s="21">
        <f>EXP(-UFR*($A46+M$2))*(Alpha*MIN($A46,M$2)-0.5*EXP(-Alpha*MAX($A46,M$2))*(EXP(Alpha*MIN($A46,M$2))-EXP(-Alpha*MIN($A46,M$2))))</f>
        <v/>
      </c>
      <c r="N46" s="21">
        <f>EXP(-UFR*($A46+N$2))*(Alpha*MIN($A46,N$2)-0.5*EXP(-Alpha*MAX($A46,N$2))*(EXP(Alpha*MIN($A46,N$2))-EXP(-Alpha*MIN($A46,N$2))))</f>
        <v/>
      </c>
      <c r="O46" s="21">
        <f>EXP(-UFR*($A46+O$2))*(Alpha*MIN($A46,O$2)-0.5*EXP(-Alpha*MAX($A46,O$2))*(EXP(Alpha*MIN($A46,O$2))-EXP(-Alpha*MIN($A46,O$2))))</f>
        <v/>
      </c>
      <c r="P46" s="21">
        <f>EXP(-UFR*($A46+P$2))*(Alpha*MIN($A46,P$2)-0.5*EXP(-Alpha*MAX($A46,P$2))*(EXP(Alpha*MIN($A46,P$2))-EXP(-Alpha*MIN($A46,P$2))))</f>
        <v/>
      </c>
      <c r="Q46" s="21">
        <f>EXP(-UFR*($A46+Q$2))*(Alpha*MIN($A46,Q$2)-0.5*EXP(-Alpha*MAX($A46,Q$2))*(EXP(Alpha*MIN($A46,Q$2))-EXP(-Alpha*MIN($A46,Q$2))))</f>
        <v/>
      </c>
      <c r="R46" s="21">
        <f>EXP(-UFR*($A46+R$2))*(Alpha*MIN($A46,R$2)-0.5*EXP(-Alpha*MAX($A46,R$2))*(EXP(Alpha*MIN($A46,R$2))-EXP(-Alpha*MIN($A46,R$2))))</f>
        <v/>
      </c>
      <c r="S46" s="21">
        <f>EXP(-UFR*($A46+S$2))*(Alpha*MIN($A46,S$2)-0.5*EXP(-Alpha*MAX($A46,S$2))*(EXP(Alpha*MIN($A46,S$2))-EXP(-Alpha*MIN($A46,S$2))))</f>
        <v/>
      </c>
      <c r="T46" s="21">
        <f>EXP(-UFR*($A46+T$2))*(Alpha*MIN($A46,T$2)-0.5*EXP(-Alpha*MAX($A46,T$2))*(EXP(Alpha*MIN($A46,T$2))-EXP(-Alpha*MIN($A46,T$2))))</f>
        <v/>
      </c>
      <c r="U46" s="21">
        <f>EXP(-UFR*($A46+U$2))*(Alpha*MIN($A46,U$2)-0.5*EXP(-Alpha*MAX($A46,U$2))*(EXP(Alpha*MIN($A46,U$2))-EXP(-Alpha*MIN($A46,U$2))))</f>
        <v/>
      </c>
      <c r="V46" s="21">
        <f>EXP(-UFR*($A46+V$2))*(Alpha*MIN($A46,V$2)-0.5*EXP(-Alpha*MAX($A46,V$2))*(EXP(Alpha*MIN($A46,V$2))-EXP(-Alpha*MIN($A46,V$2))))</f>
        <v/>
      </c>
      <c r="W46" s="21">
        <f>EXP(-UFR*($A46+W$2))*(Alpha*MIN($A46,W$2)-0.5*EXP(-Alpha*MAX($A46,W$2))*(EXP(Alpha*MIN($A46,W$2))-EXP(-Alpha*MIN($A46,W$2))))</f>
        <v/>
      </c>
      <c r="X46" s="21">
        <f>EXP(-UFR*($A46+X$2))*(Alpha*MIN($A46,X$2)-0.5*EXP(-Alpha*MAX($A46,X$2))*(EXP(Alpha*MIN($A46,X$2))-EXP(-Alpha*MIN($A46,X$2))))</f>
        <v/>
      </c>
      <c r="Y46" s="21">
        <f>EXP(-UFR*($A46+Y$2))*(Alpha*MIN($A46,Y$2)-0.5*EXP(-Alpha*MAX($A46,Y$2))*(EXP(Alpha*MIN($A46,Y$2))-EXP(-Alpha*MIN($A46,Y$2))))</f>
        <v/>
      </c>
      <c r="Z46" s="21">
        <f>EXP(-UFR*($A46+Z$2))*(Alpha*MIN($A46,Z$2)-0.5*EXP(-Alpha*MAX($A46,Z$2))*(EXP(Alpha*MIN($A46,Z$2))-EXP(-Alpha*MIN($A46,Z$2))))</f>
        <v/>
      </c>
    </row>
    <row r="47">
      <c r="A47" s="20">
        <f>A46+1</f>
        <v/>
      </c>
      <c r="B47" s="21">
        <f>EXP(-UFR*($A47+B$2))*(Alpha*MIN($A47,B$2)-0.5*EXP(-Alpha*MAX($A47,B$2))*(EXP(Alpha*MIN($A47,B$2))-EXP(-Alpha*MIN($A47,B$2))))</f>
        <v/>
      </c>
      <c r="C47" s="21">
        <f>EXP(-UFR*($A47+C$2))*(Alpha*MIN($A47,C$2)-0.5*EXP(-Alpha*MAX($A47,C$2))*(EXP(Alpha*MIN($A47,C$2))-EXP(-Alpha*MIN($A47,C$2))))</f>
        <v/>
      </c>
      <c r="D47" s="21">
        <f>EXP(-UFR*($A47+D$2))*(Alpha*MIN($A47,D$2)-0.5*EXP(-Alpha*MAX($A47,D$2))*(EXP(Alpha*MIN($A47,D$2))-EXP(-Alpha*MIN($A47,D$2))))</f>
        <v/>
      </c>
      <c r="E47" s="21">
        <f>EXP(-UFR*($A47+E$2))*(Alpha*MIN($A47,E$2)-0.5*EXP(-Alpha*MAX($A47,E$2))*(EXP(Alpha*MIN($A47,E$2))-EXP(-Alpha*MIN($A47,E$2))))</f>
        <v/>
      </c>
      <c r="F47" s="21">
        <f>EXP(-UFR*($A47+F$2))*(Alpha*MIN($A47,F$2)-0.5*EXP(-Alpha*MAX($A47,F$2))*(EXP(Alpha*MIN($A47,F$2))-EXP(-Alpha*MIN($A47,F$2))))</f>
        <v/>
      </c>
      <c r="G47" s="21">
        <f>EXP(-UFR*($A47+G$2))*(Alpha*MIN($A47,G$2)-0.5*EXP(-Alpha*MAX($A47,G$2))*(EXP(Alpha*MIN($A47,G$2))-EXP(-Alpha*MIN($A47,G$2))))</f>
        <v/>
      </c>
      <c r="H47" s="21">
        <f>EXP(-UFR*($A47+H$2))*(Alpha*MIN($A47,H$2)-0.5*EXP(-Alpha*MAX($A47,H$2))*(EXP(Alpha*MIN($A47,H$2))-EXP(-Alpha*MIN($A47,H$2))))</f>
        <v/>
      </c>
      <c r="I47" s="21">
        <f>EXP(-UFR*($A47+I$2))*(Alpha*MIN($A47,I$2)-0.5*EXP(-Alpha*MAX($A47,I$2))*(EXP(Alpha*MIN($A47,I$2))-EXP(-Alpha*MIN($A47,I$2))))</f>
        <v/>
      </c>
      <c r="J47" s="21">
        <f>EXP(-UFR*($A47+J$2))*(Alpha*MIN($A47,J$2)-0.5*EXP(-Alpha*MAX($A47,J$2))*(EXP(Alpha*MIN($A47,J$2))-EXP(-Alpha*MIN($A47,J$2))))</f>
        <v/>
      </c>
      <c r="K47" s="21">
        <f>EXP(-UFR*($A47+K$2))*(Alpha*MIN($A47,K$2)-0.5*EXP(-Alpha*MAX($A47,K$2))*(EXP(Alpha*MIN($A47,K$2))-EXP(-Alpha*MIN($A47,K$2))))</f>
        <v/>
      </c>
      <c r="L47" s="21">
        <f>EXP(-UFR*($A47+L$2))*(Alpha*MIN($A47,L$2)-0.5*EXP(-Alpha*MAX($A47,L$2))*(EXP(Alpha*MIN($A47,L$2))-EXP(-Alpha*MIN($A47,L$2))))</f>
        <v/>
      </c>
      <c r="M47" s="21">
        <f>EXP(-UFR*($A47+M$2))*(Alpha*MIN($A47,M$2)-0.5*EXP(-Alpha*MAX($A47,M$2))*(EXP(Alpha*MIN($A47,M$2))-EXP(-Alpha*MIN($A47,M$2))))</f>
        <v/>
      </c>
      <c r="N47" s="21">
        <f>EXP(-UFR*($A47+N$2))*(Alpha*MIN($A47,N$2)-0.5*EXP(-Alpha*MAX($A47,N$2))*(EXP(Alpha*MIN($A47,N$2))-EXP(-Alpha*MIN($A47,N$2))))</f>
        <v/>
      </c>
      <c r="O47" s="21">
        <f>EXP(-UFR*($A47+O$2))*(Alpha*MIN($A47,O$2)-0.5*EXP(-Alpha*MAX($A47,O$2))*(EXP(Alpha*MIN($A47,O$2))-EXP(-Alpha*MIN($A47,O$2))))</f>
        <v/>
      </c>
      <c r="P47" s="21">
        <f>EXP(-UFR*($A47+P$2))*(Alpha*MIN($A47,P$2)-0.5*EXP(-Alpha*MAX($A47,P$2))*(EXP(Alpha*MIN($A47,P$2))-EXP(-Alpha*MIN($A47,P$2))))</f>
        <v/>
      </c>
      <c r="Q47" s="21">
        <f>EXP(-UFR*($A47+Q$2))*(Alpha*MIN($A47,Q$2)-0.5*EXP(-Alpha*MAX($A47,Q$2))*(EXP(Alpha*MIN($A47,Q$2))-EXP(-Alpha*MIN($A47,Q$2))))</f>
        <v/>
      </c>
      <c r="R47" s="21">
        <f>EXP(-UFR*($A47+R$2))*(Alpha*MIN($A47,R$2)-0.5*EXP(-Alpha*MAX($A47,R$2))*(EXP(Alpha*MIN($A47,R$2))-EXP(-Alpha*MIN($A47,R$2))))</f>
        <v/>
      </c>
      <c r="S47" s="21">
        <f>EXP(-UFR*($A47+S$2))*(Alpha*MIN($A47,S$2)-0.5*EXP(-Alpha*MAX($A47,S$2))*(EXP(Alpha*MIN($A47,S$2))-EXP(-Alpha*MIN($A47,S$2))))</f>
        <v/>
      </c>
      <c r="T47" s="21">
        <f>EXP(-UFR*($A47+T$2))*(Alpha*MIN($A47,T$2)-0.5*EXP(-Alpha*MAX($A47,T$2))*(EXP(Alpha*MIN($A47,T$2))-EXP(-Alpha*MIN($A47,T$2))))</f>
        <v/>
      </c>
      <c r="U47" s="21">
        <f>EXP(-UFR*($A47+U$2))*(Alpha*MIN($A47,U$2)-0.5*EXP(-Alpha*MAX($A47,U$2))*(EXP(Alpha*MIN($A47,U$2))-EXP(-Alpha*MIN($A47,U$2))))</f>
        <v/>
      </c>
      <c r="V47" s="21">
        <f>EXP(-UFR*($A47+V$2))*(Alpha*MIN($A47,V$2)-0.5*EXP(-Alpha*MAX($A47,V$2))*(EXP(Alpha*MIN($A47,V$2))-EXP(-Alpha*MIN($A47,V$2))))</f>
        <v/>
      </c>
      <c r="W47" s="21">
        <f>EXP(-UFR*($A47+W$2))*(Alpha*MIN($A47,W$2)-0.5*EXP(-Alpha*MAX($A47,W$2))*(EXP(Alpha*MIN($A47,W$2))-EXP(-Alpha*MIN($A47,W$2))))</f>
        <v/>
      </c>
      <c r="X47" s="21">
        <f>EXP(-UFR*($A47+X$2))*(Alpha*MIN($A47,X$2)-0.5*EXP(-Alpha*MAX($A47,X$2))*(EXP(Alpha*MIN($A47,X$2))-EXP(-Alpha*MIN($A47,X$2))))</f>
        <v/>
      </c>
      <c r="Y47" s="21">
        <f>EXP(-UFR*($A47+Y$2))*(Alpha*MIN($A47,Y$2)-0.5*EXP(-Alpha*MAX($A47,Y$2))*(EXP(Alpha*MIN($A47,Y$2))-EXP(-Alpha*MIN($A47,Y$2))))</f>
        <v/>
      </c>
      <c r="Z47" s="21">
        <f>EXP(-UFR*($A47+Z$2))*(Alpha*MIN($A47,Z$2)-0.5*EXP(-Alpha*MAX($A47,Z$2))*(EXP(Alpha*MIN($A47,Z$2))-EXP(-Alpha*MIN($A47,Z$2))))</f>
        <v/>
      </c>
    </row>
    <row r="48">
      <c r="A48" s="20">
        <f>A47+1</f>
        <v/>
      </c>
      <c r="B48" s="21">
        <f>EXP(-UFR*($A48+B$2))*(Alpha*MIN($A48,B$2)-0.5*EXP(-Alpha*MAX($A48,B$2))*(EXP(Alpha*MIN($A48,B$2))-EXP(-Alpha*MIN($A48,B$2))))</f>
        <v/>
      </c>
      <c r="C48" s="21">
        <f>EXP(-UFR*($A48+C$2))*(Alpha*MIN($A48,C$2)-0.5*EXP(-Alpha*MAX($A48,C$2))*(EXP(Alpha*MIN($A48,C$2))-EXP(-Alpha*MIN($A48,C$2))))</f>
        <v/>
      </c>
      <c r="D48" s="21">
        <f>EXP(-UFR*($A48+D$2))*(Alpha*MIN($A48,D$2)-0.5*EXP(-Alpha*MAX($A48,D$2))*(EXP(Alpha*MIN($A48,D$2))-EXP(-Alpha*MIN($A48,D$2))))</f>
        <v/>
      </c>
      <c r="E48" s="21">
        <f>EXP(-UFR*($A48+E$2))*(Alpha*MIN($A48,E$2)-0.5*EXP(-Alpha*MAX($A48,E$2))*(EXP(Alpha*MIN($A48,E$2))-EXP(-Alpha*MIN($A48,E$2))))</f>
        <v/>
      </c>
      <c r="F48" s="21">
        <f>EXP(-UFR*($A48+F$2))*(Alpha*MIN($A48,F$2)-0.5*EXP(-Alpha*MAX($A48,F$2))*(EXP(Alpha*MIN($A48,F$2))-EXP(-Alpha*MIN($A48,F$2))))</f>
        <v/>
      </c>
      <c r="G48" s="21">
        <f>EXP(-UFR*($A48+G$2))*(Alpha*MIN($A48,G$2)-0.5*EXP(-Alpha*MAX($A48,G$2))*(EXP(Alpha*MIN($A48,G$2))-EXP(-Alpha*MIN($A48,G$2))))</f>
        <v/>
      </c>
      <c r="H48" s="21">
        <f>EXP(-UFR*($A48+H$2))*(Alpha*MIN($A48,H$2)-0.5*EXP(-Alpha*MAX($A48,H$2))*(EXP(Alpha*MIN($A48,H$2))-EXP(-Alpha*MIN($A48,H$2))))</f>
        <v/>
      </c>
      <c r="I48" s="21">
        <f>EXP(-UFR*($A48+I$2))*(Alpha*MIN($A48,I$2)-0.5*EXP(-Alpha*MAX($A48,I$2))*(EXP(Alpha*MIN($A48,I$2))-EXP(-Alpha*MIN($A48,I$2))))</f>
        <v/>
      </c>
      <c r="J48" s="21">
        <f>EXP(-UFR*($A48+J$2))*(Alpha*MIN($A48,J$2)-0.5*EXP(-Alpha*MAX($A48,J$2))*(EXP(Alpha*MIN($A48,J$2))-EXP(-Alpha*MIN($A48,J$2))))</f>
        <v/>
      </c>
      <c r="K48" s="21">
        <f>EXP(-UFR*($A48+K$2))*(Alpha*MIN($A48,K$2)-0.5*EXP(-Alpha*MAX($A48,K$2))*(EXP(Alpha*MIN($A48,K$2))-EXP(-Alpha*MIN($A48,K$2))))</f>
        <v/>
      </c>
      <c r="L48" s="21">
        <f>EXP(-UFR*($A48+L$2))*(Alpha*MIN($A48,L$2)-0.5*EXP(-Alpha*MAX($A48,L$2))*(EXP(Alpha*MIN($A48,L$2))-EXP(-Alpha*MIN($A48,L$2))))</f>
        <v/>
      </c>
      <c r="M48" s="21">
        <f>EXP(-UFR*($A48+M$2))*(Alpha*MIN($A48,M$2)-0.5*EXP(-Alpha*MAX($A48,M$2))*(EXP(Alpha*MIN($A48,M$2))-EXP(-Alpha*MIN($A48,M$2))))</f>
        <v/>
      </c>
      <c r="N48" s="21">
        <f>EXP(-UFR*($A48+N$2))*(Alpha*MIN($A48,N$2)-0.5*EXP(-Alpha*MAX($A48,N$2))*(EXP(Alpha*MIN($A48,N$2))-EXP(-Alpha*MIN($A48,N$2))))</f>
        <v/>
      </c>
      <c r="O48" s="21">
        <f>EXP(-UFR*($A48+O$2))*(Alpha*MIN($A48,O$2)-0.5*EXP(-Alpha*MAX($A48,O$2))*(EXP(Alpha*MIN($A48,O$2))-EXP(-Alpha*MIN($A48,O$2))))</f>
        <v/>
      </c>
      <c r="P48" s="21">
        <f>EXP(-UFR*($A48+P$2))*(Alpha*MIN($A48,P$2)-0.5*EXP(-Alpha*MAX($A48,P$2))*(EXP(Alpha*MIN($A48,P$2))-EXP(-Alpha*MIN($A48,P$2))))</f>
        <v/>
      </c>
      <c r="Q48" s="21">
        <f>EXP(-UFR*($A48+Q$2))*(Alpha*MIN($A48,Q$2)-0.5*EXP(-Alpha*MAX($A48,Q$2))*(EXP(Alpha*MIN($A48,Q$2))-EXP(-Alpha*MIN($A48,Q$2))))</f>
        <v/>
      </c>
      <c r="R48" s="21">
        <f>EXP(-UFR*($A48+R$2))*(Alpha*MIN($A48,R$2)-0.5*EXP(-Alpha*MAX($A48,R$2))*(EXP(Alpha*MIN($A48,R$2))-EXP(-Alpha*MIN($A48,R$2))))</f>
        <v/>
      </c>
      <c r="S48" s="21">
        <f>EXP(-UFR*($A48+S$2))*(Alpha*MIN($A48,S$2)-0.5*EXP(-Alpha*MAX($A48,S$2))*(EXP(Alpha*MIN($A48,S$2))-EXP(-Alpha*MIN($A48,S$2))))</f>
        <v/>
      </c>
      <c r="T48" s="21">
        <f>EXP(-UFR*($A48+T$2))*(Alpha*MIN($A48,T$2)-0.5*EXP(-Alpha*MAX($A48,T$2))*(EXP(Alpha*MIN($A48,T$2))-EXP(-Alpha*MIN($A48,T$2))))</f>
        <v/>
      </c>
      <c r="U48" s="21">
        <f>EXP(-UFR*($A48+U$2))*(Alpha*MIN($A48,U$2)-0.5*EXP(-Alpha*MAX($A48,U$2))*(EXP(Alpha*MIN($A48,U$2))-EXP(-Alpha*MIN($A48,U$2))))</f>
        <v/>
      </c>
      <c r="V48" s="21">
        <f>EXP(-UFR*($A48+V$2))*(Alpha*MIN($A48,V$2)-0.5*EXP(-Alpha*MAX($A48,V$2))*(EXP(Alpha*MIN($A48,V$2))-EXP(-Alpha*MIN($A48,V$2))))</f>
        <v/>
      </c>
      <c r="W48" s="21">
        <f>EXP(-UFR*($A48+W$2))*(Alpha*MIN($A48,W$2)-0.5*EXP(-Alpha*MAX($A48,W$2))*(EXP(Alpha*MIN($A48,W$2))-EXP(-Alpha*MIN($A48,W$2))))</f>
        <v/>
      </c>
      <c r="X48" s="21">
        <f>EXP(-UFR*($A48+X$2))*(Alpha*MIN($A48,X$2)-0.5*EXP(-Alpha*MAX($A48,X$2))*(EXP(Alpha*MIN($A48,X$2))-EXP(-Alpha*MIN($A48,X$2))))</f>
        <v/>
      </c>
      <c r="Y48" s="21">
        <f>EXP(-UFR*($A48+Y$2))*(Alpha*MIN($A48,Y$2)-0.5*EXP(-Alpha*MAX($A48,Y$2))*(EXP(Alpha*MIN($A48,Y$2))-EXP(-Alpha*MIN($A48,Y$2))))</f>
        <v/>
      </c>
      <c r="Z48" s="21">
        <f>EXP(-UFR*($A48+Z$2))*(Alpha*MIN($A48,Z$2)-0.5*EXP(-Alpha*MAX($A48,Z$2))*(EXP(Alpha*MIN($A48,Z$2))-EXP(-Alpha*MIN($A48,Z$2))))</f>
        <v/>
      </c>
    </row>
    <row r="49">
      <c r="A49" s="20">
        <f>A48+1</f>
        <v/>
      </c>
      <c r="B49" s="21">
        <f>EXP(-UFR*($A49+B$2))*(Alpha*MIN($A49,B$2)-0.5*EXP(-Alpha*MAX($A49,B$2))*(EXP(Alpha*MIN($A49,B$2))-EXP(-Alpha*MIN($A49,B$2))))</f>
        <v/>
      </c>
      <c r="C49" s="21">
        <f>EXP(-UFR*($A49+C$2))*(Alpha*MIN($A49,C$2)-0.5*EXP(-Alpha*MAX($A49,C$2))*(EXP(Alpha*MIN($A49,C$2))-EXP(-Alpha*MIN($A49,C$2))))</f>
        <v/>
      </c>
      <c r="D49" s="21">
        <f>EXP(-UFR*($A49+D$2))*(Alpha*MIN($A49,D$2)-0.5*EXP(-Alpha*MAX($A49,D$2))*(EXP(Alpha*MIN($A49,D$2))-EXP(-Alpha*MIN($A49,D$2))))</f>
        <v/>
      </c>
      <c r="E49" s="21">
        <f>EXP(-UFR*($A49+E$2))*(Alpha*MIN($A49,E$2)-0.5*EXP(-Alpha*MAX($A49,E$2))*(EXP(Alpha*MIN($A49,E$2))-EXP(-Alpha*MIN($A49,E$2))))</f>
        <v/>
      </c>
      <c r="F49" s="21">
        <f>EXP(-UFR*($A49+F$2))*(Alpha*MIN($A49,F$2)-0.5*EXP(-Alpha*MAX($A49,F$2))*(EXP(Alpha*MIN($A49,F$2))-EXP(-Alpha*MIN($A49,F$2))))</f>
        <v/>
      </c>
      <c r="G49" s="21">
        <f>EXP(-UFR*($A49+G$2))*(Alpha*MIN($A49,G$2)-0.5*EXP(-Alpha*MAX($A49,G$2))*(EXP(Alpha*MIN($A49,G$2))-EXP(-Alpha*MIN($A49,G$2))))</f>
        <v/>
      </c>
      <c r="H49" s="21">
        <f>EXP(-UFR*($A49+H$2))*(Alpha*MIN($A49,H$2)-0.5*EXP(-Alpha*MAX($A49,H$2))*(EXP(Alpha*MIN($A49,H$2))-EXP(-Alpha*MIN($A49,H$2))))</f>
        <v/>
      </c>
      <c r="I49" s="21">
        <f>EXP(-UFR*($A49+I$2))*(Alpha*MIN($A49,I$2)-0.5*EXP(-Alpha*MAX($A49,I$2))*(EXP(Alpha*MIN($A49,I$2))-EXP(-Alpha*MIN($A49,I$2))))</f>
        <v/>
      </c>
      <c r="J49" s="21">
        <f>EXP(-UFR*($A49+J$2))*(Alpha*MIN($A49,J$2)-0.5*EXP(-Alpha*MAX($A49,J$2))*(EXP(Alpha*MIN($A49,J$2))-EXP(-Alpha*MIN($A49,J$2))))</f>
        <v/>
      </c>
      <c r="K49" s="21">
        <f>EXP(-UFR*($A49+K$2))*(Alpha*MIN($A49,K$2)-0.5*EXP(-Alpha*MAX($A49,K$2))*(EXP(Alpha*MIN($A49,K$2))-EXP(-Alpha*MIN($A49,K$2))))</f>
        <v/>
      </c>
      <c r="L49" s="21">
        <f>EXP(-UFR*($A49+L$2))*(Alpha*MIN($A49,L$2)-0.5*EXP(-Alpha*MAX($A49,L$2))*(EXP(Alpha*MIN($A49,L$2))-EXP(-Alpha*MIN($A49,L$2))))</f>
        <v/>
      </c>
      <c r="M49" s="21">
        <f>EXP(-UFR*($A49+M$2))*(Alpha*MIN($A49,M$2)-0.5*EXP(-Alpha*MAX($A49,M$2))*(EXP(Alpha*MIN($A49,M$2))-EXP(-Alpha*MIN($A49,M$2))))</f>
        <v/>
      </c>
      <c r="N49" s="21">
        <f>EXP(-UFR*($A49+N$2))*(Alpha*MIN($A49,N$2)-0.5*EXP(-Alpha*MAX($A49,N$2))*(EXP(Alpha*MIN($A49,N$2))-EXP(-Alpha*MIN($A49,N$2))))</f>
        <v/>
      </c>
      <c r="O49" s="21">
        <f>EXP(-UFR*($A49+O$2))*(Alpha*MIN($A49,O$2)-0.5*EXP(-Alpha*MAX($A49,O$2))*(EXP(Alpha*MIN($A49,O$2))-EXP(-Alpha*MIN($A49,O$2))))</f>
        <v/>
      </c>
      <c r="P49" s="21">
        <f>EXP(-UFR*($A49+P$2))*(Alpha*MIN($A49,P$2)-0.5*EXP(-Alpha*MAX($A49,P$2))*(EXP(Alpha*MIN($A49,P$2))-EXP(-Alpha*MIN($A49,P$2))))</f>
        <v/>
      </c>
      <c r="Q49" s="21">
        <f>EXP(-UFR*($A49+Q$2))*(Alpha*MIN($A49,Q$2)-0.5*EXP(-Alpha*MAX($A49,Q$2))*(EXP(Alpha*MIN($A49,Q$2))-EXP(-Alpha*MIN($A49,Q$2))))</f>
        <v/>
      </c>
      <c r="R49" s="21">
        <f>EXP(-UFR*($A49+R$2))*(Alpha*MIN($A49,R$2)-0.5*EXP(-Alpha*MAX($A49,R$2))*(EXP(Alpha*MIN($A49,R$2))-EXP(-Alpha*MIN($A49,R$2))))</f>
        <v/>
      </c>
      <c r="S49" s="21">
        <f>EXP(-UFR*($A49+S$2))*(Alpha*MIN($A49,S$2)-0.5*EXP(-Alpha*MAX($A49,S$2))*(EXP(Alpha*MIN($A49,S$2))-EXP(-Alpha*MIN($A49,S$2))))</f>
        <v/>
      </c>
      <c r="T49" s="21">
        <f>EXP(-UFR*($A49+T$2))*(Alpha*MIN($A49,T$2)-0.5*EXP(-Alpha*MAX($A49,T$2))*(EXP(Alpha*MIN($A49,T$2))-EXP(-Alpha*MIN($A49,T$2))))</f>
        <v/>
      </c>
      <c r="U49" s="21">
        <f>EXP(-UFR*($A49+U$2))*(Alpha*MIN($A49,U$2)-0.5*EXP(-Alpha*MAX($A49,U$2))*(EXP(Alpha*MIN($A49,U$2))-EXP(-Alpha*MIN($A49,U$2))))</f>
        <v/>
      </c>
      <c r="V49" s="21">
        <f>EXP(-UFR*($A49+V$2))*(Alpha*MIN($A49,V$2)-0.5*EXP(-Alpha*MAX($A49,V$2))*(EXP(Alpha*MIN($A49,V$2))-EXP(-Alpha*MIN($A49,V$2))))</f>
        <v/>
      </c>
      <c r="W49" s="21">
        <f>EXP(-UFR*($A49+W$2))*(Alpha*MIN($A49,W$2)-0.5*EXP(-Alpha*MAX($A49,W$2))*(EXP(Alpha*MIN($A49,W$2))-EXP(-Alpha*MIN($A49,W$2))))</f>
        <v/>
      </c>
      <c r="X49" s="21">
        <f>EXP(-UFR*($A49+X$2))*(Alpha*MIN($A49,X$2)-0.5*EXP(-Alpha*MAX($A49,X$2))*(EXP(Alpha*MIN($A49,X$2))-EXP(-Alpha*MIN($A49,X$2))))</f>
        <v/>
      </c>
      <c r="Y49" s="21">
        <f>EXP(-UFR*($A49+Y$2))*(Alpha*MIN($A49,Y$2)-0.5*EXP(-Alpha*MAX($A49,Y$2))*(EXP(Alpha*MIN($A49,Y$2))-EXP(-Alpha*MIN($A49,Y$2))))</f>
        <v/>
      </c>
      <c r="Z49" s="21">
        <f>EXP(-UFR*($A49+Z$2))*(Alpha*MIN($A49,Z$2)-0.5*EXP(-Alpha*MAX($A49,Z$2))*(EXP(Alpha*MIN($A49,Z$2))-EXP(-Alpha*MIN($A49,Z$2))))</f>
        <v/>
      </c>
    </row>
    <row r="50">
      <c r="A50" s="20">
        <f>A49+1</f>
        <v/>
      </c>
      <c r="B50" s="21">
        <f>EXP(-UFR*($A50+B$2))*(Alpha*MIN($A50,B$2)-0.5*EXP(-Alpha*MAX($A50,B$2))*(EXP(Alpha*MIN($A50,B$2))-EXP(-Alpha*MIN($A50,B$2))))</f>
        <v/>
      </c>
      <c r="C50" s="21">
        <f>EXP(-UFR*($A50+C$2))*(Alpha*MIN($A50,C$2)-0.5*EXP(-Alpha*MAX($A50,C$2))*(EXP(Alpha*MIN($A50,C$2))-EXP(-Alpha*MIN($A50,C$2))))</f>
        <v/>
      </c>
      <c r="D50" s="21">
        <f>EXP(-UFR*($A50+D$2))*(Alpha*MIN($A50,D$2)-0.5*EXP(-Alpha*MAX($A50,D$2))*(EXP(Alpha*MIN($A50,D$2))-EXP(-Alpha*MIN($A50,D$2))))</f>
        <v/>
      </c>
      <c r="E50" s="21">
        <f>EXP(-UFR*($A50+E$2))*(Alpha*MIN($A50,E$2)-0.5*EXP(-Alpha*MAX($A50,E$2))*(EXP(Alpha*MIN($A50,E$2))-EXP(-Alpha*MIN($A50,E$2))))</f>
        <v/>
      </c>
      <c r="F50" s="21">
        <f>EXP(-UFR*($A50+F$2))*(Alpha*MIN($A50,F$2)-0.5*EXP(-Alpha*MAX($A50,F$2))*(EXP(Alpha*MIN($A50,F$2))-EXP(-Alpha*MIN($A50,F$2))))</f>
        <v/>
      </c>
      <c r="G50" s="21">
        <f>EXP(-UFR*($A50+G$2))*(Alpha*MIN($A50,G$2)-0.5*EXP(-Alpha*MAX($A50,G$2))*(EXP(Alpha*MIN($A50,G$2))-EXP(-Alpha*MIN($A50,G$2))))</f>
        <v/>
      </c>
      <c r="H50" s="21">
        <f>EXP(-UFR*($A50+H$2))*(Alpha*MIN($A50,H$2)-0.5*EXP(-Alpha*MAX($A50,H$2))*(EXP(Alpha*MIN($A50,H$2))-EXP(-Alpha*MIN($A50,H$2))))</f>
        <v/>
      </c>
      <c r="I50" s="21">
        <f>EXP(-UFR*($A50+I$2))*(Alpha*MIN($A50,I$2)-0.5*EXP(-Alpha*MAX($A50,I$2))*(EXP(Alpha*MIN($A50,I$2))-EXP(-Alpha*MIN($A50,I$2))))</f>
        <v/>
      </c>
      <c r="J50" s="21">
        <f>EXP(-UFR*($A50+J$2))*(Alpha*MIN($A50,J$2)-0.5*EXP(-Alpha*MAX($A50,J$2))*(EXP(Alpha*MIN($A50,J$2))-EXP(-Alpha*MIN($A50,J$2))))</f>
        <v/>
      </c>
      <c r="K50" s="21">
        <f>EXP(-UFR*($A50+K$2))*(Alpha*MIN($A50,K$2)-0.5*EXP(-Alpha*MAX($A50,K$2))*(EXP(Alpha*MIN($A50,K$2))-EXP(-Alpha*MIN($A50,K$2))))</f>
        <v/>
      </c>
      <c r="L50" s="21">
        <f>EXP(-UFR*($A50+L$2))*(Alpha*MIN($A50,L$2)-0.5*EXP(-Alpha*MAX($A50,L$2))*(EXP(Alpha*MIN($A50,L$2))-EXP(-Alpha*MIN($A50,L$2))))</f>
        <v/>
      </c>
      <c r="M50" s="21">
        <f>EXP(-UFR*($A50+M$2))*(Alpha*MIN($A50,M$2)-0.5*EXP(-Alpha*MAX($A50,M$2))*(EXP(Alpha*MIN($A50,M$2))-EXP(-Alpha*MIN($A50,M$2))))</f>
        <v/>
      </c>
      <c r="N50" s="21">
        <f>EXP(-UFR*($A50+N$2))*(Alpha*MIN($A50,N$2)-0.5*EXP(-Alpha*MAX($A50,N$2))*(EXP(Alpha*MIN($A50,N$2))-EXP(-Alpha*MIN($A50,N$2))))</f>
        <v/>
      </c>
      <c r="O50" s="21">
        <f>EXP(-UFR*($A50+O$2))*(Alpha*MIN($A50,O$2)-0.5*EXP(-Alpha*MAX($A50,O$2))*(EXP(Alpha*MIN($A50,O$2))-EXP(-Alpha*MIN($A50,O$2))))</f>
        <v/>
      </c>
      <c r="P50" s="21">
        <f>EXP(-UFR*($A50+P$2))*(Alpha*MIN($A50,P$2)-0.5*EXP(-Alpha*MAX($A50,P$2))*(EXP(Alpha*MIN($A50,P$2))-EXP(-Alpha*MIN($A50,P$2))))</f>
        <v/>
      </c>
      <c r="Q50" s="21">
        <f>EXP(-UFR*($A50+Q$2))*(Alpha*MIN($A50,Q$2)-0.5*EXP(-Alpha*MAX($A50,Q$2))*(EXP(Alpha*MIN($A50,Q$2))-EXP(-Alpha*MIN($A50,Q$2))))</f>
        <v/>
      </c>
      <c r="R50" s="21">
        <f>EXP(-UFR*($A50+R$2))*(Alpha*MIN($A50,R$2)-0.5*EXP(-Alpha*MAX($A50,R$2))*(EXP(Alpha*MIN($A50,R$2))-EXP(-Alpha*MIN($A50,R$2))))</f>
        <v/>
      </c>
      <c r="S50" s="21">
        <f>EXP(-UFR*($A50+S$2))*(Alpha*MIN($A50,S$2)-0.5*EXP(-Alpha*MAX($A50,S$2))*(EXP(Alpha*MIN($A50,S$2))-EXP(-Alpha*MIN($A50,S$2))))</f>
        <v/>
      </c>
      <c r="T50" s="21">
        <f>EXP(-UFR*($A50+T$2))*(Alpha*MIN($A50,T$2)-0.5*EXP(-Alpha*MAX($A50,T$2))*(EXP(Alpha*MIN($A50,T$2))-EXP(-Alpha*MIN($A50,T$2))))</f>
        <v/>
      </c>
      <c r="U50" s="21">
        <f>EXP(-UFR*($A50+U$2))*(Alpha*MIN($A50,U$2)-0.5*EXP(-Alpha*MAX($A50,U$2))*(EXP(Alpha*MIN($A50,U$2))-EXP(-Alpha*MIN($A50,U$2))))</f>
        <v/>
      </c>
      <c r="V50" s="21">
        <f>EXP(-UFR*($A50+V$2))*(Alpha*MIN($A50,V$2)-0.5*EXP(-Alpha*MAX($A50,V$2))*(EXP(Alpha*MIN($A50,V$2))-EXP(-Alpha*MIN($A50,V$2))))</f>
        <v/>
      </c>
      <c r="W50" s="21">
        <f>EXP(-UFR*($A50+W$2))*(Alpha*MIN($A50,W$2)-0.5*EXP(-Alpha*MAX($A50,W$2))*(EXP(Alpha*MIN($A50,W$2))-EXP(-Alpha*MIN($A50,W$2))))</f>
        <v/>
      </c>
      <c r="X50" s="21">
        <f>EXP(-UFR*($A50+X$2))*(Alpha*MIN($A50,X$2)-0.5*EXP(-Alpha*MAX($A50,X$2))*(EXP(Alpha*MIN($A50,X$2))-EXP(-Alpha*MIN($A50,X$2))))</f>
        <v/>
      </c>
      <c r="Y50" s="21">
        <f>EXP(-UFR*($A50+Y$2))*(Alpha*MIN($A50,Y$2)-0.5*EXP(-Alpha*MAX($A50,Y$2))*(EXP(Alpha*MIN($A50,Y$2))-EXP(-Alpha*MIN($A50,Y$2))))</f>
        <v/>
      </c>
      <c r="Z50" s="21">
        <f>EXP(-UFR*($A50+Z$2))*(Alpha*MIN($A50,Z$2)-0.5*EXP(-Alpha*MAX($A50,Z$2))*(EXP(Alpha*MIN($A50,Z$2))-EXP(-Alpha*MIN($A50,Z$2))))</f>
        <v/>
      </c>
    </row>
    <row r="51">
      <c r="A51" s="20">
        <f>A50+1</f>
        <v/>
      </c>
      <c r="B51" s="21">
        <f>EXP(-UFR*($A51+B$2))*(Alpha*MIN($A51,B$2)-0.5*EXP(-Alpha*MAX($A51,B$2))*(EXP(Alpha*MIN($A51,B$2))-EXP(-Alpha*MIN($A51,B$2))))</f>
        <v/>
      </c>
      <c r="C51" s="21">
        <f>EXP(-UFR*($A51+C$2))*(Alpha*MIN($A51,C$2)-0.5*EXP(-Alpha*MAX($A51,C$2))*(EXP(Alpha*MIN($A51,C$2))-EXP(-Alpha*MIN($A51,C$2))))</f>
        <v/>
      </c>
      <c r="D51" s="21">
        <f>EXP(-UFR*($A51+D$2))*(Alpha*MIN($A51,D$2)-0.5*EXP(-Alpha*MAX($A51,D$2))*(EXP(Alpha*MIN($A51,D$2))-EXP(-Alpha*MIN($A51,D$2))))</f>
        <v/>
      </c>
      <c r="E51" s="21">
        <f>EXP(-UFR*($A51+E$2))*(Alpha*MIN($A51,E$2)-0.5*EXP(-Alpha*MAX($A51,E$2))*(EXP(Alpha*MIN($A51,E$2))-EXP(-Alpha*MIN($A51,E$2))))</f>
        <v/>
      </c>
      <c r="F51" s="21">
        <f>EXP(-UFR*($A51+F$2))*(Alpha*MIN($A51,F$2)-0.5*EXP(-Alpha*MAX($A51,F$2))*(EXP(Alpha*MIN($A51,F$2))-EXP(-Alpha*MIN($A51,F$2))))</f>
        <v/>
      </c>
      <c r="G51" s="21">
        <f>EXP(-UFR*($A51+G$2))*(Alpha*MIN($A51,G$2)-0.5*EXP(-Alpha*MAX($A51,G$2))*(EXP(Alpha*MIN($A51,G$2))-EXP(-Alpha*MIN($A51,G$2))))</f>
        <v/>
      </c>
      <c r="H51" s="21">
        <f>EXP(-UFR*($A51+H$2))*(Alpha*MIN($A51,H$2)-0.5*EXP(-Alpha*MAX($A51,H$2))*(EXP(Alpha*MIN($A51,H$2))-EXP(-Alpha*MIN($A51,H$2))))</f>
        <v/>
      </c>
      <c r="I51" s="21">
        <f>EXP(-UFR*($A51+I$2))*(Alpha*MIN($A51,I$2)-0.5*EXP(-Alpha*MAX($A51,I$2))*(EXP(Alpha*MIN($A51,I$2))-EXP(-Alpha*MIN($A51,I$2))))</f>
        <v/>
      </c>
      <c r="J51" s="21">
        <f>EXP(-UFR*($A51+J$2))*(Alpha*MIN($A51,J$2)-0.5*EXP(-Alpha*MAX($A51,J$2))*(EXP(Alpha*MIN($A51,J$2))-EXP(-Alpha*MIN($A51,J$2))))</f>
        <v/>
      </c>
      <c r="K51" s="21">
        <f>EXP(-UFR*($A51+K$2))*(Alpha*MIN($A51,K$2)-0.5*EXP(-Alpha*MAX($A51,K$2))*(EXP(Alpha*MIN($A51,K$2))-EXP(-Alpha*MIN($A51,K$2))))</f>
        <v/>
      </c>
      <c r="L51" s="21">
        <f>EXP(-UFR*($A51+L$2))*(Alpha*MIN($A51,L$2)-0.5*EXP(-Alpha*MAX($A51,L$2))*(EXP(Alpha*MIN($A51,L$2))-EXP(-Alpha*MIN($A51,L$2))))</f>
        <v/>
      </c>
      <c r="M51" s="21">
        <f>EXP(-UFR*($A51+M$2))*(Alpha*MIN($A51,M$2)-0.5*EXP(-Alpha*MAX($A51,M$2))*(EXP(Alpha*MIN($A51,M$2))-EXP(-Alpha*MIN($A51,M$2))))</f>
        <v/>
      </c>
      <c r="N51" s="21">
        <f>EXP(-UFR*($A51+N$2))*(Alpha*MIN($A51,N$2)-0.5*EXP(-Alpha*MAX($A51,N$2))*(EXP(Alpha*MIN($A51,N$2))-EXP(-Alpha*MIN($A51,N$2))))</f>
        <v/>
      </c>
      <c r="O51" s="21">
        <f>EXP(-UFR*($A51+O$2))*(Alpha*MIN($A51,O$2)-0.5*EXP(-Alpha*MAX($A51,O$2))*(EXP(Alpha*MIN($A51,O$2))-EXP(-Alpha*MIN($A51,O$2))))</f>
        <v/>
      </c>
      <c r="P51" s="21">
        <f>EXP(-UFR*($A51+P$2))*(Alpha*MIN($A51,P$2)-0.5*EXP(-Alpha*MAX($A51,P$2))*(EXP(Alpha*MIN($A51,P$2))-EXP(-Alpha*MIN($A51,P$2))))</f>
        <v/>
      </c>
      <c r="Q51" s="21">
        <f>EXP(-UFR*($A51+Q$2))*(Alpha*MIN($A51,Q$2)-0.5*EXP(-Alpha*MAX($A51,Q$2))*(EXP(Alpha*MIN($A51,Q$2))-EXP(-Alpha*MIN($A51,Q$2))))</f>
        <v/>
      </c>
      <c r="R51" s="21">
        <f>EXP(-UFR*($A51+R$2))*(Alpha*MIN($A51,R$2)-0.5*EXP(-Alpha*MAX($A51,R$2))*(EXP(Alpha*MIN($A51,R$2))-EXP(-Alpha*MIN($A51,R$2))))</f>
        <v/>
      </c>
      <c r="S51" s="21">
        <f>EXP(-UFR*($A51+S$2))*(Alpha*MIN($A51,S$2)-0.5*EXP(-Alpha*MAX($A51,S$2))*(EXP(Alpha*MIN($A51,S$2))-EXP(-Alpha*MIN($A51,S$2))))</f>
        <v/>
      </c>
      <c r="T51" s="21">
        <f>EXP(-UFR*($A51+T$2))*(Alpha*MIN($A51,T$2)-0.5*EXP(-Alpha*MAX($A51,T$2))*(EXP(Alpha*MIN($A51,T$2))-EXP(-Alpha*MIN($A51,T$2))))</f>
        <v/>
      </c>
      <c r="U51" s="21">
        <f>EXP(-UFR*($A51+U$2))*(Alpha*MIN($A51,U$2)-0.5*EXP(-Alpha*MAX($A51,U$2))*(EXP(Alpha*MIN($A51,U$2))-EXP(-Alpha*MIN($A51,U$2))))</f>
        <v/>
      </c>
      <c r="V51" s="21">
        <f>EXP(-UFR*($A51+V$2))*(Alpha*MIN($A51,V$2)-0.5*EXP(-Alpha*MAX($A51,V$2))*(EXP(Alpha*MIN($A51,V$2))-EXP(-Alpha*MIN($A51,V$2))))</f>
        <v/>
      </c>
      <c r="W51" s="21">
        <f>EXP(-UFR*($A51+W$2))*(Alpha*MIN($A51,W$2)-0.5*EXP(-Alpha*MAX($A51,W$2))*(EXP(Alpha*MIN($A51,W$2))-EXP(-Alpha*MIN($A51,W$2))))</f>
        <v/>
      </c>
      <c r="X51" s="21">
        <f>EXP(-UFR*($A51+X$2))*(Alpha*MIN($A51,X$2)-0.5*EXP(-Alpha*MAX($A51,X$2))*(EXP(Alpha*MIN($A51,X$2))-EXP(-Alpha*MIN($A51,X$2))))</f>
        <v/>
      </c>
      <c r="Y51" s="21">
        <f>EXP(-UFR*($A51+Y$2))*(Alpha*MIN($A51,Y$2)-0.5*EXP(-Alpha*MAX($A51,Y$2))*(EXP(Alpha*MIN($A51,Y$2))-EXP(-Alpha*MIN($A51,Y$2))))</f>
        <v/>
      </c>
      <c r="Z51" s="21">
        <f>EXP(-UFR*($A51+Z$2))*(Alpha*MIN($A51,Z$2)-0.5*EXP(-Alpha*MAX($A51,Z$2))*(EXP(Alpha*MIN($A51,Z$2))-EXP(-Alpha*MIN($A51,Z$2))))</f>
        <v/>
      </c>
    </row>
    <row r="52">
      <c r="A52" s="20">
        <f>A51+1</f>
        <v/>
      </c>
      <c r="B52" s="21">
        <f>EXP(-UFR*($A52+B$2))*(Alpha*MIN($A52,B$2)-0.5*EXP(-Alpha*MAX($A52,B$2))*(EXP(Alpha*MIN($A52,B$2))-EXP(-Alpha*MIN($A52,B$2))))</f>
        <v/>
      </c>
      <c r="C52" s="21">
        <f>EXP(-UFR*($A52+C$2))*(Alpha*MIN($A52,C$2)-0.5*EXP(-Alpha*MAX($A52,C$2))*(EXP(Alpha*MIN($A52,C$2))-EXP(-Alpha*MIN($A52,C$2))))</f>
        <v/>
      </c>
      <c r="D52" s="21">
        <f>EXP(-UFR*($A52+D$2))*(Alpha*MIN($A52,D$2)-0.5*EXP(-Alpha*MAX($A52,D$2))*(EXP(Alpha*MIN($A52,D$2))-EXP(-Alpha*MIN($A52,D$2))))</f>
        <v/>
      </c>
      <c r="E52" s="21">
        <f>EXP(-UFR*($A52+E$2))*(Alpha*MIN($A52,E$2)-0.5*EXP(-Alpha*MAX($A52,E$2))*(EXP(Alpha*MIN($A52,E$2))-EXP(-Alpha*MIN($A52,E$2))))</f>
        <v/>
      </c>
      <c r="F52" s="21">
        <f>EXP(-UFR*($A52+F$2))*(Alpha*MIN($A52,F$2)-0.5*EXP(-Alpha*MAX($A52,F$2))*(EXP(Alpha*MIN($A52,F$2))-EXP(-Alpha*MIN($A52,F$2))))</f>
        <v/>
      </c>
      <c r="G52" s="21">
        <f>EXP(-UFR*($A52+G$2))*(Alpha*MIN($A52,G$2)-0.5*EXP(-Alpha*MAX($A52,G$2))*(EXP(Alpha*MIN($A52,G$2))-EXP(-Alpha*MIN($A52,G$2))))</f>
        <v/>
      </c>
      <c r="H52" s="21">
        <f>EXP(-UFR*($A52+H$2))*(Alpha*MIN($A52,H$2)-0.5*EXP(-Alpha*MAX($A52,H$2))*(EXP(Alpha*MIN($A52,H$2))-EXP(-Alpha*MIN($A52,H$2))))</f>
        <v/>
      </c>
      <c r="I52" s="21">
        <f>EXP(-UFR*($A52+I$2))*(Alpha*MIN($A52,I$2)-0.5*EXP(-Alpha*MAX($A52,I$2))*(EXP(Alpha*MIN($A52,I$2))-EXP(-Alpha*MIN($A52,I$2))))</f>
        <v/>
      </c>
      <c r="J52" s="21">
        <f>EXP(-UFR*($A52+J$2))*(Alpha*MIN($A52,J$2)-0.5*EXP(-Alpha*MAX($A52,J$2))*(EXP(Alpha*MIN($A52,J$2))-EXP(-Alpha*MIN($A52,J$2))))</f>
        <v/>
      </c>
      <c r="K52" s="21">
        <f>EXP(-UFR*($A52+K$2))*(Alpha*MIN($A52,K$2)-0.5*EXP(-Alpha*MAX($A52,K$2))*(EXP(Alpha*MIN($A52,K$2))-EXP(-Alpha*MIN($A52,K$2))))</f>
        <v/>
      </c>
      <c r="L52" s="21">
        <f>EXP(-UFR*($A52+L$2))*(Alpha*MIN($A52,L$2)-0.5*EXP(-Alpha*MAX($A52,L$2))*(EXP(Alpha*MIN($A52,L$2))-EXP(-Alpha*MIN($A52,L$2))))</f>
        <v/>
      </c>
      <c r="M52" s="21">
        <f>EXP(-UFR*($A52+M$2))*(Alpha*MIN($A52,M$2)-0.5*EXP(-Alpha*MAX($A52,M$2))*(EXP(Alpha*MIN($A52,M$2))-EXP(-Alpha*MIN($A52,M$2))))</f>
        <v/>
      </c>
      <c r="N52" s="21">
        <f>EXP(-UFR*($A52+N$2))*(Alpha*MIN($A52,N$2)-0.5*EXP(-Alpha*MAX($A52,N$2))*(EXP(Alpha*MIN($A52,N$2))-EXP(-Alpha*MIN($A52,N$2))))</f>
        <v/>
      </c>
      <c r="O52" s="21">
        <f>EXP(-UFR*($A52+O$2))*(Alpha*MIN($A52,O$2)-0.5*EXP(-Alpha*MAX($A52,O$2))*(EXP(Alpha*MIN($A52,O$2))-EXP(-Alpha*MIN($A52,O$2))))</f>
        <v/>
      </c>
      <c r="P52" s="21">
        <f>EXP(-UFR*($A52+P$2))*(Alpha*MIN($A52,P$2)-0.5*EXP(-Alpha*MAX($A52,P$2))*(EXP(Alpha*MIN($A52,P$2))-EXP(-Alpha*MIN($A52,P$2))))</f>
        <v/>
      </c>
      <c r="Q52" s="21">
        <f>EXP(-UFR*($A52+Q$2))*(Alpha*MIN($A52,Q$2)-0.5*EXP(-Alpha*MAX($A52,Q$2))*(EXP(Alpha*MIN($A52,Q$2))-EXP(-Alpha*MIN($A52,Q$2))))</f>
        <v/>
      </c>
      <c r="R52" s="21">
        <f>EXP(-UFR*($A52+R$2))*(Alpha*MIN($A52,R$2)-0.5*EXP(-Alpha*MAX($A52,R$2))*(EXP(Alpha*MIN($A52,R$2))-EXP(-Alpha*MIN($A52,R$2))))</f>
        <v/>
      </c>
      <c r="S52" s="21">
        <f>EXP(-UFR*($A52+S$2))*(Alpha*MIN($A52,S$2)-0.5*EXP(-Alpha*MAX($A52,S$2))*(EXP(Alpha*MIN($A52,S$2))-EXP(-Alpha*MIN($A52,S$2))))</f>
        <v/>
      </c>
      <c r="T52" s="21">
        <f>EXP(-UFR*($A52+T$2))*(Alpha*MIN($A52,T$2)-0.5*EXP(-Alpha*MAX($A52,T$2))*(EXP(Alpha*MIN($A52,T$2))-EXP(-Alpha*MIN($A52,T$2))))</f>
        <v/>
      </c>
      <c r="U52" s="21">
        <f>EXP(-UFR*($A52+U$2))*(Alpha*MIN($A52,U$2)-0.5*EXP(-Alpha*MAX($A52,U$2))*(EXP(Alpha*MIN($A52,U$2))-EXP(-Alpha*MIN($A52,U$2))))</f>
        <v/>
      </c>
      <c r="V52" s="21">
        <f>EXP(-UFR*($A52+V$2))*(Alpha*MIN($A52,V$2)-0.5*EXP(-Alpha*MAX($A52,V$2))*(EXP(Alpha*MIN($A52,V$2))-EXP(-Alpha*MIN($A52,V$2))))</f>
        <v/>
      </c>
      <c r="W52" s="21">
        <f>EXP(-UFR*($A52+W$2))*(Alpha*MIN($A52,W$2)-0.5*EXP(-Alpha*MAX($A52,W$2))*(EXP(Alpha*MIN($A52,W$2))-EXP(-Alpha*MIN($A52,W$2))))</f>
        <v/>
      </c>
      <c r="X52" s="21">
        <f>EXP(-UFR*($A52+X$2))*(Alpha*MIN($A52,X$2)-0.5*EXP(-Alpha*MAX($A52,X$2))*(EXP(Alpha*MIN($A52,X$2))-EXP(-Alpha*MIN($A52,X$2))))</f>
        <v/>
      </c>
      <c r="Y52" s="21">
        <f>EXP(-UFR*($A52+Y$2))*(Alpha*MIN($A52,Y$2)-0.5*EXP(-Alpha*MAX($A52,Y$2))*(EXP(Alpha*MIN($A52,Y$2))-EXP(-Alpha*MIN($A52,Y$2))))</f>
        <v/>
      </c>
      <c r="Z52" s="21">
        <f>EXP(-UFR*($A52+Z$2))*(Alpha*MIN($A52,Z$2)-0.5*EXP(-Alpha*MAX($A52,Z$2))*(EXP(Alpha*MIN($A52,Z$2))-EXP(-Alpha*MIN($A52,Z$2))))</f>
        <v/>
      </c>
    </row>
    <row r="53">
      <c r="A53" s="20">
        <f>A52+1</f>
        <v/>
      </c>
      <c r="B53" s="21">
        <f>EXP(-UFR*($A53+B$2))*(Alpha*MIN($A53,B$2)-0.5*EXP(-Alpha*MAX($A53,B$2))*(EXP(Alpha*MIN($A53,B$2))-EXP(-Alpha*MIN($A53,B$2))))</f>
        <v/>
      </c>
      <c r="C53" s="21">
        <f>EXP(-UFR*($A53+C$2))*(Alpha*MIN($A53,C$2)-0.5*EXP(-Alpha*MAX($A53,C$2))*(EXP(Alpha*MIN($A53,C$2))-EXP(-Alpha*MIN($A53,C$2))))</f>
        <v/>
      </c>
      <c r="D53" s="21">
        <f>EXP(-UFR*($A53+D$2))*(Alpha*MIN($A53,D$2)-0.5*EXP(-Alpha*MAX($A53,D$2))*(EXP(Alpha*MIN($A53,D$2))-EXP(-Alpha*MIN($A53,D$2))))</f>
        <v/>
      </c>
      <c r="E53" s="21">
        <f>EXP(-UFR*($A53+E$2))*(Alpha*MIN($A53,E$2)-0.5*EXP(-Alpha*MAX($A53,E$2))*(EXP(Alpha*MIN($A53,E$2))-EXP(-Alpha*MIN($A53,E$2))))</f>
        <v/>
      </c>
      <c r="F53" s="21">
        <f>EXP(-UFR*($A53+F$2))*(Alpha*MIN($A53,F$2)-0.5*EXP(-Alpha*MAX($A53,F$2))*(EXP(Alpha*MIN($A53,F$2))-EXP(-Alpha*MIN($A53,F$2))))</f>
        <v/>
      </c>
      <c r="G53" s="21">
        <f>EXP(-UFR*($A53+G$2))*(Alpha*MIN($A53,G$2)-0.5*EXP(-Alpha*MAX($A53,G$2))*(EXP(Alpha*MIN($A53,G$2))-EXP(-Alpha*MIN($A53,G$2))))</f>
        <v/>
      </c>
      <c r="H53" s="21">
        <f>EXP(-UFR*($A53+H$2))*(Alpha*MIN($A53,H$2)-0.5*EXP(-Alpha*MAX($A53,H$2))*(EXP(Alpha*MIN($A53,H$2))-EXP(-Alpha*MIN($A53,H$2))))</f>
        <v/>
      </c>
      <c r="I53" s="21">
        <f>EXP(-UFR*($A53+I$2))*(Alpha*MIN($A53,I$2)-0.5*EXP(-Alpha*MAX($A53,I$2))*(EXP(Alpha*MIN($A53,I$2))-EXP(-Alpha*MIN($A53,I$2))))</f>
        <v/>
      </c>
      <c r="J53" s="21">
        <f>EXP(-UFR*($A53+J$2))*(Alpha*MIN($A53,J$2)-0.5*EXP(-Alpha*MAX($A53,J$2))*(EXP(Alpha*MIN($A53,J$2))-EXP(-Alpha*MIN($A53,J$2))))</f>
        <v/>
      </c>
      <c r="K53" s="21">
        <f>EXP(-UFR*($A53+K$2))*(Alpha*MIN($A53,K$2)-0.5*EXP(-Alpha*MAX($A53,K$2))*(EXP(Alpha*MIN($A53,K$2))-EXP(-Alpha*MIN($A53,K$2))))</f>
        <v/>
      </c>
      <c r="L53" s="21">
        <f>EXP(-UFR*($A53+L$2))*(Alpha*MIN($A53,L$2)-0.5*EXP(-Alpha*MAX($A53,L$2))*(EXP(Alpha*MIN($A53,L$2))-EXP(-Alpha*MIN($A53,L$2))))</f>
        <v/>
      </c>
      <c r="M53" s="21">
        <f>EXP(-UFR*($A53+M$2))*(Alpha*MIN($A53,M$2)-0.5*EXP(-Alpha*MAX($A53,M$2))*(EXP(Alpha*MIN($A53,M$2))-EXP(-Alpha*MIN($A53,M$2))))</f>
        <v/>
      </c>
      <c r="N53" s="21">
        <f>EXP(-UFR*($A53+N$2))*(Alpha*MIN($A53,N$2)-0.5*EXP(-Alpha*MAX($A53,N$2))*(EXP(Alpha*MIN($A53,N$2))-EXP(-Alpha*MIN($A53,N$2))))</f>
        <v/>
      </c>
      <c r="O53" s="21">
        <f>EXP(-UFR*($A53+O$2))*(Alpha*MIN($A53,O$2)-0.5*EXP(-Alpha*MAX($A53,O$2))*(EXP(Alpha*MIN($A53,O$2))-EXP(-Alpha*MIN($A53,O$2))))</f>
        <v/>
      </c>
      <c r="P53" s="21">
        <f>EXP(-UFR*($A53+P$2))*(Alpha*MIN($A53,P$2)-0.5*EXP(-Alpha*MAX($A53,P$2))*(EXP(Alpha*MIN($A53,P$2))-EXP(-Alpha*MIN($A53,P$2))))</f>
        <v/>
      </c>
      <c r="Q53" s="21">
        <f>EXP(-UFR*($A53+Q$2))*(Alpha*MIN($A53,Q$2)-0.5*EXP(-Alpha*MAX($A53,Q$2))*(EXP(Alpha*MIN($A53,Q$2))-EXP(-Alpha*MIN($A53,Q$2))))</f>
        <v/>
      </c>
      <c r="R53" s="21">
        <f>EXP(-UFR*($A53+R$2))*(Alpha*MIN($A53,R$2)-0.5*EXP(-Alpha*MAX($A53,R$2))*(EXP(Alpha*MIN($A53,R$2))-EXP(-Alpha*MIN($A53,R$2))))</f>
        <v/>
      </c>
      <c r="S53" s="21">
        <f>EXP(-UFR*($A53+S$2))*(Alpha*MIN($A53,S$2)-0.5*EXP(-Alpha*MAX($A53,S$2))*(EXP(Alpha*MIN($A53,S$2))-EXP(-Alpha*MIN($A53,S$2))))</f>
        <v/>
      </c>
      <c r="T53" s="21">
        <f>EXP(-UFR*($A53+T$2))*(Alpha*MIN($A53,T$2)-0.5*EXP(-Alpha*MAX($A53,T$2))*(EXP(Alpha*MIN($A53,T$2))-EXP(-Alpha*MIN($A53,T$2))))</f>
        <v/>
      </c>
      <c r="U53" s="21">
        <f>EXP(-UFR*($A53+U$2))*(Alpha*MIN($A53,U$2)-0.5*EXP(-Alpha*MAX($A53,U$2))*(EXP(Alpha*MIN($A53,U$2))-EXP(-Alpha*MIN($A53,U$2))))</f>
        <v/>
      </c>
      <c r="V53" s="21">
        <f>EXP(-UFR*($A53+V$2))*(Alpha*MIN($A53,V$2)-0.5*EXP(-Alpha*MAX($A53,V$2))*(EXP(Alpha*MIN($A53,V$2))-EXP(-Alpha*MIN($A53,V$2))))</f>
        <v/>
      </c>
      <c r="W53" s="21">
        <f>EXP(-UFR*($A53+W$2))*(Alpha*MIN($A53,W$2)-0.5*EXP(-Alpha*MAX($A53,W$2))*(EXP(Alpha*MIN($A53,W$2))-EXP(-Alpha*MIN($A53,W$2))))</f>
        <v/>
      </c>
      <c r="X53" s="21">
        <f>EXP(-UFR*($A53+X$2))*(Alpha*MIN($A53,X$2)-0.5*EXP(-Alpha*MAX($A53,X$2))*(EXP(Alpha*MIN($A53,X$2))-EXP(-Alpha*MIN($A53,X$2))))</f>
        <v/>
      </c>
      <c r="Y53" s="21">
        <f>EXP(-UFR*($A53+Y$2))*(Alpha*MIN($A53,Y$2)-0.5*EXP(-Alpha*MAX($A53,Y$2))*(EXP(Alpha*MIN($A53,Y$2))-EXP(-Alpha*MIN($A53,Y$2))))</f>
        <v/>
      </c>
      <c r="Z53" s="21">
        <f>EXP(-UFR*($A53+Z$2))*(Alpha*MIN($A53,Z$2)-0.5*EXP(-Alpha*MAX($A53,Z$2))*(EXP(Alpha*MIN($A53,Z$2))-EXP(-Alpha*MIN($A53,Z$2))))</f>
        <v/>
      </c>
    </row>
    <row r="54">
      <c r="A54" s="20">
        <f>A53+1</f>
        <v/>
      </c>
      <c r="B54" s="21">
        <f>EXP(-UFR*($A54+B$2))*(Alpha*MIN($A54,B$2)-0.5*EXP(-Alpha*MAX($A54,B$2))*(EXP(Alpha*MIN($A54,B$2))-EXP(-Alpha*MIN($A54,B$2))))</f>
        <v/>
      </c>
      <c r="C54" s="21">
        <f>EXP(-UFR*($A54+C$2))*(Alpha*MIN($A54,C$2)-0.5*EXP(-Alpha*MAX($A54,C$2))*(EXP(Alpha*MIN($A54,C$2))-EXP(-Alpha*MIN($A54,C$2))))</f>
        <v/>
      </c>
      <c r="D54" s="21">
        <f>EXP(-UFR*($A54+D$2))*(Alpha*MIN($A54,D$2)-0.5*EXP(-Alpha*MAX($A54,D$2))*(EXP(Alpha*MIN($A54,D$2))-EXP(-Alpha*MIN($A54,D$2))))</f>
        <v/>
      </c>
      <c r="E54" s="21">
        <f>EXP(-UFR*($A54+E$2))*(Alpha*MIN($A54,E$2)-0.5*EXP(-Alpha*MAX($A54,E$2))*(EXP(Alpha*MIN($A54,E$2))-EXP(-Alpha*MIN($A54,E$2))))</f>
        <v/>
      </c>
      <c r="F54" s="21">
        <f>EXP(-UFR*($A54+F$2))*(Alpha*MIN($A54,F$2)-0.5*EXP(-Alpha*MAX($A54,F$2))*(EXP(Alpha*MIN($A54,F$2))-EXP(-Alpha*MIN($A54,F$2))))</f>
        <v/>
      </c>
      <c r="G54" s="21">
        <f>EXP(-UFR*($A54+G$2))*(Alpha*MIN($A54,G$2)-0.5*EXP(-Alpha*MAX($A54,G$2))*(EXP(Alpha*MIN($A54,G$2))-EXP(-Alpha*MIN($A54,G$2))))</f>
        <v/>
      </c>
      <c r="H54" s="21">
        <f>EXP(-UFR*($A54+H$2))*(Alpha*MIN($A54,H$2)-0.5*EXP(-Alpha*MAX($A54,H$2))*(EXP(Alpha*MIN($A54,H$2))-EXP(-Alpha*MIN($A54,H$2))))</f>
        <v/>
      </c>
      <c r="I54" s="21">
        <f>EXP(-UFR*($A54+I$2))*(Alpha*MIN($A54,I$2)-0.5*EXP(-Alpha*MAX($A54,I$2))*(EXP(Alpha*MIN($A54,I$2))-EXP(-Alpha*MIN($A54,I$2))))</f>
        <v/>
      </c>
      <c r="J54" s="21">
        <f>EXP(-UFR*($A54+J$2))*(Alpha*MIN($A54,J$2)-0.5*EXP(-Alpha*MAX($A54,J$2))*(EXP(Alpha*MIN($A54,J$2))-EXP(-Alpha*MIN($A54,J$2))))</f>
        <v/>
      </c>
      <c r="K54" s="21">
        <f>EXP(-UFR*($A54+K$2))*(Alpha*MIN($A54,K$2)-0.5*EXP(-Alpha*MAX($A54,K$2))*(EXP(Alpha*MIN($A54,K$2))-EXP(-Alpha*MIN($A54,K$2))))</f>
        <v/>
      </c>
      <c r="L54" s="21">
        <f>EXP(-UFR*($A54+L$2))*(Alpha*MIN($A54,L$2)-0.5*EXP(-Alpha*MAX($A54,L$2))*(EXP(Alpha*MIN($A54,L$2))-EXP(-Alpha*MIN($A54,L$2))))</f>
        <v/>
      </c>
      <c r="M54" s="21">
        <f>EXP(-UFR*($A54+M$2))*(Alpha*MIN($A54,M$2)-0.5*EXP(-Alpha*MAX($A54,M$2))*(EXP(Alpha*MIN($A54,M$2))-EXP(-Alpha*MIN($A54,M$2))))</f>
        <v/>
      </c>
      <c r="N54" s="21">
        <f>EXP(-UFR*($A54+N$2))*(Alpha*MIN($A54,N$2)-0.5*EXP(-Alpha*MAX($A54,N$2))*(EXP(Alpha*MIN($A54,N$2))-EXP(-Alpha*MIN($A54,N$2))))</f>
        <v/>
      </c>
      <c r="O54" s="21">
        <f>EXP(-UFR*($A54+O$2))*(Alpha*MIN($A54,O$2)-0.5*EXP(-Alpha*MAX($A54,O$2))*(EXP(Alpha*MIN($A54,O$2))-EXP(-Alpha*MIN($A54,O$2))))</f>
        <v/>
      </c>
      <c r="P54" s="21">
        <f>EXP(-UFR*($A54+P$2))*(Alpha*MIN($A54,P$2)-0.5*EXP(-Alpha*MAX($A54,P$2))*(EXP(Alpha*MIN($A54,P$2))-EXP(-Alpha*MIN($A54,P$2))))</f>
        <v/>
      </c>
      <c r="Q54" s="21">
        <f>EXP(-UFR*($A54+Q$2))*(Alpha*MIN($A54,Q$2)-0.5*EXP(-Alpha*MAX($A54,Q$2))*(EXP(Alpha*MIN($A54,Q$2))-EXP(-Alpha*MIN($A54,Q$2))))</f>
        <v/>
      </c>
      <c r="R54" s="21">
        <f>EXP(-UFR*($A54+R$2))*(Alpha*MIN($A54,R$2)-0.5*EXP(-Alpha*MAX($A54,R$2))*(EXP(Alpha*MIN($A54,R$2))-EXP(-Alpha*MIN($A54,R$2))))</f>
        <v/>
      </c>
      <c r="S54" s="21">
        <f>EXP(-UFR*($A54+S$2))*(Alpha*MIN($A54,S$2)-0.5*EXP(-Alpha*MAX($A54,S$2))*(EXP(Alpha*MIN($A54,S$2))-EXP(-Alpha*MIN($A54,S$2))))</f>
        <v/>
      </c>
      <c r="T54" s="21">
        <f>EXP(-UFR*($A54+T$2))*(Alpha*MIN($A54,T$2)-0.5*EXP(-Alpha*MAX($A54,T$2))*(EXP(Alpha*MIN($A54,T$2))-EXP(-Alpha*MIN($A54,T$2))))</f>
        <v/>
      </c>
      <c r="U54" s="21">
        <f>EXP(-UFR*($A54+U$2))*(Alpha*MIN($A54,U$2)-0.5*EXP(-Alpha*MAX($A54,U$2))*(EXP(Alpha*MIN($A54,U$2))-EXP(-Alpha*MIN($A54,U$2))))</f>
        <v/>
      </c>
      <c r="V54" s="21">
        <f>EXP(-UFR*($A54+V$2))*(Alpha*MIN($A54,V$2)-0.5*EXP(-Alpha*MAX($A54,V$2))*(EXP(Alpha*MIN($A54,V$2))-EXP(-Alpha*MIN($A54,V$2))))</f>
        <v/>
      </c>
      <c r="W54" s="21">
        <f>EXP(-UFR*($A54+W$2))*(Alpha*MIN($A54,W$2)-0.5*EXP(-Alpha*MAX($A54,W$2))*(EXP(Alpha*MIN($A54,W$2))-EXP(-Alpha*MIN($A54,W$2))))</f>
        <v/>
      </c>
      <c r="X54" s="21">
        <f>EXP(-UFR*($A54+X$2))*(Alpha*MIN($A54,X$2)-0.5*EXP(-Alpha*MAX($A54,X$2))*(EXP(Alpha*MIN($A54,X$2))-EXP(-Alpha*MIN($A54,X$2))))</f>
        <v/>
      </c>
      <c r="Y54" s="21">
        <f>EXP(-UFR*($A54+Y$2))*(Alpha*MIN($A54,Y$2)-0.5*EXP(-Alpha*MAX($A54,Y$2))*(EXP(Alpha*MIN($A54,Y$2))-EXP(-Alpha*MIN($A54,Y$2))))</f>
        <v/>
      </c>
      <c r="Z54" s="21">
        <f>EXP(-UFR*($A54+Z$2))*(Alpha*MIN($A54,Z$2)-0.5*EXP(-Alpha*MAX($A54,Z$2))*(EXP(Alpha*MIN($A54,Z$2))-EXP(-Alpha*MIN($A54,Z$2))))</f>
        <v/>
      </c>
    </row>
    <row r="55">
      <c r="A55" s="20">
        <f>A54+1</f>
        <v/>
      </c>
      <c r="B55" s="21">
        <f>EXP(-UFR*($A55+B$2))*(Alpha*MIN($A55,B$2)-0.5*EXP(-Alpha*MAX($A55,B$2))*(EXP(Alpha*MIN($A55,B$2))-EXP(-Alpha*MIN($A55,B$2))))</f>
        <v/>
      </c>
      <c r="C55" s="21">
        <f>EXP(-UFR*($A55+C$2))*(Alpha*MIN($A55,C$2)-0.5*EXP(-Alpha*MAX($A55,C$2))*(EXP(Alpha*MIN($A55,C$2))-EXP(-Alpha*MIN($A55,C$2))))</f>
        <v/>
      </c>
      <c r="D55" s="21">
        <f>EXP(-UFR*($A55+D$2))*(Alpha*MIN($A55,D$2)-0.5*EXP(-Alpha*MAX($A55,D$2))*(EXP(Alpha*MIN($A55,D$2))-EXP(-Alpha*MIN($A55,D$2))))</f>
        <v/>
      </c>
      <c r="E55" s="21">
        <f>EXP(-UFR*($A55+E$2))*(Alpha*MIN($A55,E$2)-0.5*EXP(-Alpha*MAX($A55,E$2))*(EXP(Alpha*MIN($A55,E$2))-EXP(-Alpha*MIN($A55,E$2))))</f>
        <v/>
      </c>
      <c r="F55" s="21">
        <f>EXP(-UFR*($A55+F$2))*(Alpha*MIN($A55,F$2)-0.5*EXP(-Alpha*MAX($A55,F$2))*(EXP(Alpha*MIN($A55,F$2))-EXP(-Alpha*MIN($A55,F$2))))</f>
        <v/>
      </c>
      <c r="G55" s="21">
        <f>EXP(-UFR*($A55+G$2))*(Alpha*MIN($A55,G$2)-0.5*EXP(-Alpha*MAX($A55,G$2))*(EXP(Alpha*MIN($A55,G$2))-EXP(-Alpha*MIN($A55,G$2))))</f>
        <v/>
      </c>
      <c r="H55" s="21">
        <f>EXP(-UFR*($A55+H$2))*(Alpha*MIN($A55,H$2)-0.5*EXP(-Alpha*MAX($A55,H$2))*(EXP(Alpha*MIN($A55,H$2))-EXP(-Alpha*MIN($A55,H$2))))</f>
        <v/>
      </c>
      <c r="I55" s="21">
        <f>EXP(-UFR*($A55+I$2))*(Alpha*MIN($A55,I$2)-0.5*EXP(-Alpha*MAX($A55,I$2))*(EXP(Alpha*MIN($A55,I$2))-EXP(-Alpha*MIN($A55,I$2))))</f>
        <v/>
      </c>
      <c r="J55" s="21">
        <f>EXP(-UFR*($A55+J$2))*(Alpha*MIN($A55,J$2)-0.5*EXP(-Alpha*MAX($A55,J$2))*(EXP(Alpha*MIN($A55,J$2))-EXP(-Alpha*MIN($A55,J$2))))</f>
        <v/>
      </c>
      <c r="K55" s="21">
        <f>EXP(-UFR*($A55+K$2))*(Alpha*MIN($A55,K$2)-0.5*EXP(-Alpha*MAX($A55,K$2))*(EXP(Alpha*MIN($A55,K$2))-EXP(-Alpha*MIN($A55,K$2))))</f>
        <v/>
      </c>
      <c r="L55" s="21">
        <f>EXP(-UFR*($A55+L$2))*(Alpha*MIN($A55,L$2)-0.5*EXP(-Alpha*MAX($A55,L$2))*(EXP(Alpha*MIN($A55,L$2))-EXP(-Alpha*MIN($A55,L$2))))</f>
        <v/>
      </c>
      <c r="M55" s="21">
        <f>EXP(-UFR*($A55+M$2))*(Alpha*MIN($A55,M$2)-0.5*EXP(-Alpha*MAX($A55,M$2))*(EXP(Alpha*MIN($A55,M$2))-EXP(-Alpha*MIN($A55,M$2))))</f>
        <v/>
      </c>
      <c r="N55" s="21">
        <f>EXP(-UFR*($A55+N$2))*(Alpha*MIN($A55,N$2)-0.5*EXP(-Alpha*MAX($A55,N$2))*(EXP(Alpha*MIN($A55,N$2))-EXP(-Alpha*MIN($A55,N$2))))</f>
        <v/>
      </c>
      <c r="O55" s="21">
        <f>EXP(-UFR*($A55+O$2))*(Alpha*MIN($A55,O$2)-0.5*EXP(-Alpha*MAX($A55,O$2))*(EXP(Alpha*MIN($A55,O$2))-EXP(-Alpha*MIN($A55,O$2))))</f>
        <v/>
      </c>
      <c r="P55" s="21">
        <f>EXP(-UFR*($A55+P$2))*(Alpha*MIN($A55,P$2)-0.5*EXP(-Alpha*MAX($A55,P$2))*(EXP(Alpha*MIN($A55,P$2))-EXP(-Alpha*MIN($A55,P$2))))</f>
        <v/>
      </c>
      <c r="Q55" s="21">
        <f>EXP(-UFR*($A55+Q$2))*(Alpha*MIN($A55,Q$2)-0.5*EXP(-Alpha*MAX($A55,Q$2))*(EXP(Alpha*MIN($A55,Q$2))-EXP(-Alpha*MIN($A55,Q$2))))</f>
        <v/>
      </c>
      <c r="R55" s="21">
        <f>EXP(-UFR*($A55+R$2))*(Alpha*MIN($A55,R$2)-0.5*EXP(-Alpha*MAX($A55,R$2))*(EXP(Alpha*MIN($A55,R$2))-EXP(-Alpha*MIN($A55,R$2))))</f>
        <v/>
      </c>
      <c r="S55" s="21">
        <f>EXP(-UFR*($A55+S$2))*(Alpha*MIN($A55,S$2)-0.5*EXP(-Alpha*MAX($A55,S$2))*(EXP(Alpha*MIN($A55,S$2))-EXP(-Alpha*MIN($A55,S$2))))</f>
        <v/>
      </c>
      <c r="T55" s="21">
        <f>EXP(-UFR*($A55+T$2))*(Alpha*MIN($A55,T$2)-0.5*EXP(-Alpha*MAX($A55,T$2))*(EXP(Alpha*MIN($A55,T$2))-EXP(-Alpha*MIN($A55,T$2))))</f>
        <v/>
      </c>
      <c r="U55" s="21">
        <f>EXP(-UFR*($A55+U$2))*(Alpha*MIN($A55,U$2)-0.5*EXP(-Alpha*MAX($A55,U$2))*(EXP(Alpha*MIN($A55,U$2))-EXP(-Alpha*MIN($A55,U$2))))</f>
        <v/>
      </c>
      <c r="V55" s="21">
        <f>EXP(-UFR*($A55+V$2))*(Alpha*MIN($A55,V$2)-0.5*EXP(-Alpha*MAX($A55,V$2))*(EXP(Alpha*MIN($A55,V$2))-EXP(-Alpha*MIN($A55,V$2))))</f>
        <v/>
      </c>
      <c r="W55" s="21">
        <f>EXP(-UFR*($A55+W$2))*(Alpha*MIN($A55,W$2)-0.5*EXP(-Alpha*MAX($A55,W$2))*(EXP(Alpha*MIN($A55,W$2))-EXP(-Alpha*MIN($A55,W$2))))</f>
        <v/>
      </c>
      <c r="X55" s="21">
        <f>EXP(-UFR*($A55+X$2))*(Alpha*MIN($A55,X$2)-0.5*EXP(-Alpha*MAX($A55,X$2))*(EXP(Alpha*MIN($A55,X$2))-EXP(-Alpha*MIN($A55,X$2))))</f>
        <v/>
      </c>
      <c r="Y55" s="21">
        <f>EXP(-UFR*($A55+Y$2))*(Alpha*MIN($A55,Y$2)-0.5*EXP(-Alpha*MAX($A55,Y$2))*(EXP(Alpha*MIN($A55,Y$2))-EXP(-Alpha*MIN($A55,Y$2))))</f>
        <v/>
      </c>
      <c r="Z55" s="21">
        <f>EXP(-UFR*($A55+Z$2))*(Alpha*MIN($A55,Z$2)-0.5*EXP(-Alpha*MAX($A55,Z$2))*(EXP(Alpha*MIN($A55,Z$2))-EXP(-Alpha*MIN($A55,Z$2))))</f>
        <v/>
      </c>
    </row>
    <row r="56">
      <c r="A56" s="20">
        <f>A55+1</f>
        <v/>
      </c>
      <c r="B56" s="21">
        <f>EXP(-UFR*($A56+B$2))*(Alpha*MIN($A56,B$2)-0.5*EXP(-Alpha*MAX($A56,B$2))*(EXP(Alpha*MIN($A56,B$2))-EXP(-Alpha*MIN($A56,B$2))))</f>
        <v/>
      </c>
      <c r="C56" s="21">
        <f>EXP(-UFR*($A56+C$2))*(Alpha*MIN($A56,C$2)-0.5*EXP(-Alpha*MAX($A56,C$2))*(EXP(Alpha*MIN($A56,C$2))-EXP(-Alpha*MIN($A56,C$2))))</f>
        <v/>
      </c>
      <c r="D56" s="21">
        <f>EXP(-UFR*($A56+D$2))*(Alpha*MIN($A56,D$2)-0.5*EXP(-Alpha*MAX($A56,D$2))*(EXP(Alpha*MIN($A56,D$2))-EXP(-Alpha*MIN($A56,D$2))))</f>
        <v/>
      </c>
      <c r="E56" s="21">
        <f>EXP(-UFR*($A56+E$2))*(Alpha*MIN($A56,E$2)-0.5*EXP(-Alpha*MAX($A56,E$2))*(EXP(Alpha*MIN($A56,E$2))-EXP(-Alpha*MIN($A56,E$2))))</f>
        <v/>
      </c>
      <c r="F56" s="21">
        <f>EXP(-UFR*($A56+F$2))*(Alpha*MIN($A56,F$2)-0.5*EXP(-Alpha*MAX($A56,F$2))*(EXP(Alpha*MIN($A56,F$2))-EXP(-Alpha*MIN($A56,F$2))))</f>
        <v/>
      </c>
      <c r="G56" s="21">
        <f>EXP(-UFR*($A56+G$2))*(Alpha*MIN($A56,G$2)-0.5*EXP(-Alpha*MAX($A56,G$2))*(EXP(Alpha*MIN($A56,G$2))-EXP(-Alpha*MIN($A56,G$2))))</f>
        <v/>
      </c>
      <c r="H56" s="21">
        <f>EXP(-UFR*($A56+H$2))*(Alpha*MIN($A56,H$2)-0.5*EXP(-Alpha*MAX($A56,H$2))*(EXP(Alpha*MIN($A56,H$2))-EXP(-Alpha*MIN($A56,H$2))))</f>
        <v/>
      </c>
      <c r="I56" s="21">
        <f>EXP(-UFR*($A56+I$2))*(Alpha*MIN($A56,I$2)-0.5*EXP(-Alpha*MAX($A56,I$2))*(EXP(Alpha*MIN($A56,I$2))-EXP(-Alpha*MIN($A56,I$2))))</f>
        <v/>
      </c>
      <c r="J56" s="21">
        <f>EXP(-UFR*($A56+J$2))*(Alpha*MIN($A56,J$2)-0.5*EXP(-Alpha*MAX($A56,J$2))*(EXP(Alpha*MIN($A56,J$2))-EXP(-Alpha*MIN($A56,J$2))))</f>
        <v/>
      </c>
      <c r="K56" s="21">
        <f>EXP(-UFR*($A56+K$2))*(Alpha*MIN($A56,K$2)-0.5*EXP(-Alpha*MAX($A56,K$2))*(EXP(Alpha*MIN($A56,K$2))-EXP(-Alpha*MIN($A56,K$2))))</f>
        <v/>
      </c>
      <c r="L56" s="21">
        <f>EXP(-UFR*($A56+L$2))*(Alpha*MIN($A56,L$2)-0.5*EXP(-Alpha*MAX($A56,L$2))*(EXP(Alpha*MIN($A56,L$2))-EXP(-Alpha*MIN($A56,L$2))))</f>
        <v/>
      </c>
      <c r="M56" s="21">
        <f>EXP(-UFR*($A56+M$2))*(Alpha*MIN($A56,M$2)-0.5*EXP(-Alpha*MAX($A56,M$2))*(EXP(Alpha*MIN($A56,M$2))-EXP(-Alpha*MIN($A56,M$2))))</f>
        <v/>
      </c>
      <c r="N56" s="21">
        <f>EXP(-UFR*($A56+N$2))*(Alpha*MIN($A56,N$2)-0.5*EXP(-Alpha*MAX($A56,N$2))*(EXP(Alpha*MIN($A56,N$2))-EXP(-Alpha*MIN($A56,N$2))))</f>
        <v/>
      </c>
      <c r="O56" s="21">
        <f>EXP(-UFR*($A56+O$2))*(Alpha*MIN($A56,O$2)-0.5*EXP(-Alpha*MAX($A56,O$2))*(EXP(Alpha*MIN($A56,O$2))-EXP(-Alpha*MIN($A56,O$2))))</f>
        <v/>
      </c>
      <c r="P56" s="21">
        <f>EXP(-UFR*($A56+P$2))*(Alpha*MIN($A56,P$2)-0.5*EXP(-Alpha*MAX($A56,P$2))*(EXP(Alpha*MIN($A56,P$2))-EXP(-Alpha*MIN($A56,P$2))))</f>
        <v/>
      </c>
      <c r="Q56" s="21">
        <f>EXP(-UFR*($A56+Q$2))*(Alpha*MIN($A56,Q$2)-0.5*EXP(-Alpha*MAX($A56,Q$2))*(EXP(Alpha*MIN($A56,Q$2))-EXP(-Alpha*MIN($A56,Q$2))))</f>
        <v/>
      </c>
      <c r="R56" s="21">
        <f>EXP(-UFR*($A56+R$2))*(Alpha*MIN($A56,R$2)-0.5*EXP(-Alpha*MAX($A56,R$2))*(EXP(Alpha*MIN($A56,R$2))-EXP(-Alpha*MIN($A56,R$2))))</f>
        <v/>
      </c>
      <c r="S56" s="21">
        <f>EXP(-UFR*($A56+S$2))*(Alpha*MIN($A56,S$2)-0.5*EXP(-Alpha*MAX($A56,S$2))*(EXP(Alpha*MIN($A56,S$2))-EXP(-Alpha*MIN($A56,S$2))))</f>
        <v/>
      </c>
      <c r="T56" s="21">
        <f>EXP(-UFR*($A56+T$2))*(Alpha*MIN($A56,T$2)-0.5*EXP(-Alpha*MAX($A56,T$2))*(EXP(Alpha*MIN($A56,T$2))-EXP(-Alpha*MIN($A56,T$2))))</f>
        <v/>
      </c>
      <c r="U56" s="21">
        <f>EXP(-UFR*($A56+U$2))*(Alpha*MIN($A56,U$2)-0.5*EXP(-Alpha*MAX($A56,U$2))*(EXP(Alpha*MIN($A56,U$2))-EXP(-Alpha*MIN($A56,U$2))))</f>
        <v/>
      </c>
      <c r="V56" s="21">
        <f>EXP(-UFR*($A56+V$2))*(Alpha*MIN($A56,V$2)-0.5*EXP(-Alpha*MAX($A56,V$2))*(EXP(Alpha*MIN($A56,V$2))-EXP(-Alpha*MIN($A56,V$2))))</f>
        <v/>
      </c>
      <c r="W56" s="21">
        <f>EXP(-UFR*($A56+W$2))*(Alpha*MIN($A56,W$2)-0.5*EXP(-Alpha*MAX($A56,W$2))*(EXP(Alpha*MIN($A56,W$2))-EXP(-Alpha*MIN($A56,W$2))))</f>
        <v/>
      </c>
      <c r="X56" s="21">
        <f>EXP(-UFR*($A56+X$2))*(Alpha*MIN($A56,X$2)-0.5*EXP(-Alpha*MAX($A56,X$2))*(EXP(Alpha*MIN($A56,X$2))-EXP(-Alpha*MIN($A56,X$2))))</f>
        <v/>
      </c>
      <c r="Y56" s="21">
        <f>EXP(-UFR*($A56+Y$2))*(Alpha*MIN($A56,Y$2)-0.5*EXP(-Alpha*MAX($A56,Y$2))*(EXP(Alpha*MIN($A56,Y$2))-EXP(-Alpha*MIN($A56,Y$2))))</f>
        <v/>
      </c>
      <c r="Z56" s="21">
        <f>EXP(-UFR*($A56+Z$2))*(Alpha*MIN($A56,Z$2)-0.5*EXP(-Alpha*MAX($A56,Z$2))*(EXP(Alpha*MIN($A56,Z$2))-EXP(-Alpha*MIN($A56,Z$2))))</f>
        <v/>
      </c>
    </row>
    <row r="57">
      <c r="A57" s="20">
        <f>A56+1</f>
        <v/>
      </c>
      <c r="B57" s="21">
        <f>EXP(-UFR*($A57+B$2))*(Alpha*MIN($A57,B$2)-0.5*EXP(-Alpha*MAX($A57,B$2))*(EXP(Alpha*MIN($A57,B$2))-EXP(-Alpha*MIN($A57,B$2))))</f>
        <v/>
      </c>
      <c r="C57" s="21">
        <f>EXP(-UFR*($A57+C$2))*(Alpha*MIN($A57,C$2)-0.5*EXP(-Alpha*MAX($A57,C$2))*(EXP(Alpha*MIN($A57,C$2))-EXP(-Alpha*MIN($A57,C$2))))</f>
        <v/>
      </c>
      <c r="D57" s="21">
        <f>EXP(-UFR*($A57+D$2))*(Alpha*MIN($A57,D$2)-0.5*EXP(-Alpha*MAX($A57,D$2))*(EXP(Alpha*MIN($A57,D$2))-EXP(-Alpha*MIN($A57,D$2))))</f>
        <v/>
      </c>
      <c r="E57" s="21">
        <f>EXP(-UFR*($A57+E$2))*(Alpha*MIN($A57,E$2)-0.5*EXP(-Alpha*MAX($A57,E$2))*(EXP(Alpha*MIN($A57,E$2))-EXP(-Alpha*MIN($A57,E$2))))</f>
        <v/>
      </c>
      <c r="F57" s="21">
        <f>EXP(-UFR*($A57+F$2))*(Alpha*MIN($A57,F$2)-0.5*EXP(-Alpha*MAX($A57,F$2))*(EXP(Alpha*MIN($A57,F$2))-EXP(-Alpha*MIN($A57,F$2))))</f>
        <v/>
      </c>
      <c r="G57" s="21">
        <f>EXP(-UFR*($A57+G$2))*(Alpha*MIN($A57,G$2)-0.5*EXP(-Alpha*MAX($A57,G$2))*(EXP(Alpha*MIN($A57,G$2))-EXP(-Alpha*MIN($A57,G$2))))</f>
        <v/>
      </c>
      <c r="H57" s="21">
        <f>EXP(-UFR*($A57+H$2))*(Alpha*MIN($A57,H$2)-0.5*EXP(-Alpha*MAX($A57,H$2))*(EXP(Alpha*MIN($A57,H$2))-EXP(-Alpha*MIN($A57,H$2))))</f>
        <v/>
      </c>
      <c r="I57" s="21">
        <f>EXP(-UFR*($A57+I$2))*(Alpha*MIN($A57,I$2)-0.5*EXP(-Alpha*MAX($A57,I$2))*(EXP(Alpha*MIN($A57,I$2))-EXP(-Alpha*MIN($A57,I$2))))</f>
        <v/>
      </c>
      <c r="J57" s="21">
        <f>EXP(-UFR*($A57+J$2))*(Alpha*MIN($A57,J$2)-0.5*EXP(-Alpha*MAX($A57,J$2))*(EXP(Alpha*MIN($A57,J$2))-EXP(-Alpha*MIN($A57,J$2))))</f>
        <v/>
      </c>
      <c r="K57" s="21">
        <f>EXP(-UFR*($A57+K$2))*(Alpha*MIN($A57,K$2)-0.5*EXP(-Alpha*MAX($A57,K$2))*(EXP(Alpha*MIN($A57,K$2))-EXP(-Alpha*MIN($A57,K$2))))</f>
        <v/>
      </c>
      <c r="L57" s="21">
        <f>EXP(-UFR*($A57+L$2))*(Alpha*MIN($A57,L$2)-0.5*EXP(-Alpha*MAX($A57,L$2))*(EXP(Alpha*MIN($A57,L$2))-EXP(-Alpha*MIN($A57,L$2))))</f>
        <v/>
      </c>
      <c r="M57" s="21">
        <f>EXP(-UFR*($A57+M$2))*(Alpha*MIN($A57,M$2)-0.5*EXP(-Alpha*MAX($A57,M$2))*(EXP(Alpha*MIN($A57,M$2))-EXP(-Alpha*MIN($A57,M$2))))</f>
        <v/>
      </c>
      <c r="N57" s="21">
        <f>EXP(-UFR*($A57+N$2))*(Alpha*MIN($A57,N$2)-0.5*EXP(-Alpha*MAX($A57,N$2))*(EXP(Alpha*MIN($A57,N$2))-EXP(-Alpha*MIN($A57,N$2))))</f>
        <v/>
      </c>
      <c r="O57" s="21">
        <f>EXP(-UFR*($A57+O$2))*(Alpha*MIN($A57,O$2)-0.5*EXP(-Alpha*MAX($A57,O$2))*(EXP(Alpha*MIN($A57,O$2))-EXP(-Alpha*MIN($A57,O$2))))</f>
        <v/>
      </c>
      <c r="P57" s="21">
        <f>EXP(-UFR*($A57+P$2))*(Alpha*MIN($A57,P$2)-0.5*EXP(-Alpha*MAX($A57,P$2))*(EXP(Alpha*MIN($A57,P$2))-EXP(-Alpha*MIN($A57,P$2))))</f>
        <v/>
      </c>
      <c r="Q57" s="21">
        <f>EXP(-UFR*($A57+Q$2))*(Alpha*MIN($A57,Q$2)-0.5*EXP(-Alpha*MAX($A57,Q$2))*(EXP(Alpha*MIN($A57,Q$2))-EXP(-Alpha*MIN($A57,Q$2))))</f>
        <v/>
      </c>
      <c r="R57" s="21">
        <f>EXP(-UFR*($A57+R$2))*(Alpha*MIN($A57,R$2)-0.5*EXP(-Alpha*MAX($A57,R$2))*(EXP(Alpha*MIN($A57,R$2))-EXP(-Alpha*MIN($A57,R$2))))</f>
        <v/>
      </c>
      <c r="S57" s="21">
        <f>EXP(-UFR*($A57+S$2))*(Alpha*MIN($A57,S$2)-0.5*EXP(-Alpha*MAX($A57,S$2))*(EXP(Alpha*MIN($A57,S$2))-EXP(-Alpha*MIN($A57,S$2))))</f>
        <v/>
      </c>
      <c r="T57" s="21">
        <f>EXP(-UFR*($A57+T$2))*(Alpha*MIN($A57,T$2)-0.5*EXP(-Alpha*MAX($A57,T$2))*(EXP(Alpha*MIN($A57,T$2))-EXP(-Alpha*MIN($A57,T$2))))</f>
        <v/>
      </c>
      <c r="U57" s="21">
        <f>EXP(-UFR*($A57+U$2))*(Alpha*MIN($A57,U$2)-0.5*EXP(-Alpha*MAX($A57,U$2))*(EXP(Alpha*MIN($A57,U$2))-EXP(-Alpha*MIN($A57,U$2))))</f>
        <v/>
      </c>
      <c r="V57" s="21">
        <f>EXP(-UFR*($A57+V$2))*(Alpha*MIN($A57,V$2)-0.5*EXP(-Alpha*MAX($A57,V$2))*(EXP(Alpha*MIN($A57,V$2))-EXP(-Alpha*MIN($A57,V$2))))</f>
        <v/>
      </c>
      <c r="W57" s="21">
        <f>EXP(-UFR*($A57+W$2))*(Alpha*MIN($A57,W$2)-0.5*EXP(-Alpha*MAX($A57,W$2))*(EXP(Alpha*MIN($A57,W$2))-EXP(-Alpha*MIN($A57,W$2))))</f>
        <v/>
      </c>
      <c r="X57" s="21">
        <f>EXP(-UFR*($A57+X$2))*(Alpha*MIN($A57,X$2)-0.5*EXP(-Alpha*MAX($A57,X$2))*(EXP(Alpha*MIN($A57,X$2))-EXP(-Alpha*MIN($A57,X$2))))</f>
        <v/>
      </c>
      <c r="Y57" s="21">
        <f>EXP(-UFR*($A57+Y$2))*(Alpha*MIN($A57,Y$2)-0.5*EXP(-Alpha*MAX($A57,Y$2))*(EXP(Alpha*MIN($A57,Y$2))-EXP(-Alpha*MIN($A57,Y$2))))</f>
        <v/>
      </c>
      <c r="Z57" s="21">
        <f>EXP(-UFR*($A57+Z$2))*(Alpha*MIN($A57,Z$2)-0.5*EXP(-Alpha*MAX($A57,Z$2))*(EXP(Alpha*MIN($A57,Z$2))-EXP(-Alpha*MIN($A57,Z$2))))</f>
        <v/>
      </c>
    </row>
    <row r="58">
      <c r="A58" s="20">
        <f>A57+1</f>
        <v/>
      </c>
      <c r="B58" s="21">
        <f>EXP(-UFR*($A58+B$2))*(Alpha*MIN($A58,B$2)-0.5*EXP(-Alpha*MAX($A58,B$2))*(EXP(Alpha*MIN($A58,B$2))-EXP(-Alpha*MIN($A58,B$2))))</f>
        <v/>
      </c>
      <c r="C58" s="21">
        <f>EXP(-UFR*($A58+C$2))*(Alpha*MIN($A58,C$2)-0.5*EXP(-Alpha*MAX($A58,C$2))*(EXP(Alpha*MIN($A58,C$2))-EXP(-Alpha*MIN($A58,C$2))))</f>
        <v/>
      </c>
      <c r="D58" s="21">
        <f>EXP(-UFR*($A58+D$2))*(Alpha*MIN($A58,D$2)-0.5*EXP(-Alpha*MAX($A58,D$2))*(EXP(Alpha*MIN($A58,D$2))-EXP(-Alpha*MIN($A58,D$2))))</f>
        <v/>
      </c>
      <c r="E58" s="21">
        <f>EXP(-UFR*($A58+E$2))*(Alpha*MIN($A58,E$2)-0.5*EXP(-Alpha*MAX($A58,E$2))*(EXP(Alpha*MIN($A58,E$2))-EXP(-Alpha*MIN($A58,E$2))))</f>
        <v/>
      </c>
      <c r="F58" s="21">
        <f>EXP(-UFR*($A58+F$2))*(Alpha*MIN($A58,F$2)-0.5*EXP(-Alpha*MAX($A58,F$2))*(EXP(Alpha*MIN($A58,F$2))-EXP(-Alpha*MIN($A58,F$2))))</f>
        <v/>
      </c>
      <c r="G58" s="21">
        <f>EXP(-UFR*($A58+G$2))*(Alpha*MIN($A58,G$2)-0.5*EXP(-Alpha*MAX($A58,G$2))*(EXP(Alpha*MIN($A58,G$2))-EXP(-Alpha*MIN($A58,G$2))))</f>
        <v/>
      </c>
      <c r="H58" s="21">
        <f>EXP(-UFR*($A58+H$2))*(Alpha*MIN($A58,H$2)-0.5*EXP(-Alpha*MAX($A58,H$2))*(EXP(Alpha*MIN($A58,H$2))-EXP(-Alpha*MIN($A58,H$2))))</f>
        <v/>
      </c>
      <c r="I58" s="21">
        <f>EXP(-UFR*($A58+I$2))*(Alpha*MIN($A58,I$2)-0.5*EXP(-Alpha*MAX($A58,I$2))*(EXP(Alpha*MIN($A58,I$2))-EXP(-Alpha*MIN($A58,I$2))))</f>
        <v/>
      </c>
      <c r="J58" s="21">
        <f>EXP(-UFR*($A58+J$2))*(Alpha*MIN($A58,J$2)-0.5*EXP(-Alpha*MAX($A58,J$2))*(EXP(Alpha*MIN($A58,J$2))-EXP(-Alpha*MIN($A58,J$2))))</f>
        <v/>
      </c>
      <c r="K58" s="21">
        <f>EXP(-UFR*($A58+K$2))*(Alpha*MIN($A58,K$2)-0.5*EXP(-Alpha*MAX($A58,K$2))*(EXP(Alpha*MIN($A58,K$2))-EXP(-Alpha*MIN($A58,K$2))))</f>
        <v/>
      </c>
      <c r="L58" s="21">
        <f>EXP(-UFR*($A58+L$2))*(Alpha*MIN($A58,L$2)-0.5*EXP(-Alpha*MAX($A58,L$2))*(EXP(Alpha*MIN($A58,L$2))-EXP(-Alpha*MIN($A58,L$2))))</f>
        <v/>
      </c>
      <c r="M58" s="21">
        <f>EXP(-UFR*($A58+M$2))*(Alpha*MIN($A58,M$2)-0.5*EXP(-Alpha*MAX($A58,M$2))*(EXP(Alpha*MIN($A58,M$2))-EXP(-Alpha*MIN($A58,M$2))))</f>
        <v/>
      </c>
      <c r="N58" s="21">
        <f>EXP(-UFR*($A58+N$2))*(Alpha*MIN($A58,N$2)-0.5*EXP(-Alpha*MAX($A58,N$2))*(EXP(Alpha*MIN($A58,N$2))-EXP(-Alpha*MIN($A58,N$2))))</f>
        <v/>
      </c>
      <c r="O58" s="21">
        <f>EXP(-UFR*($A58+O$2))*(Alpha*MIN($A58,O$2)-0.5*EXP(-Alpha*MAX($A58,O$2))*(EXP(Alpha*MIN($A58,O$2))-EXP(-Alpha*MIN($A58,O$2))))</f>
        <v/>
      </c>
      <c r="P58" s="21">
        <f>EXP(-UFR*($A58+P$2))*(Alpha*MIN($A58,P$2)-0.5*EXP(-Alpha*MAX($A58,P$2))*(EXP(Alpha*MIN($A58,P$2))-EXP(-Alpha*MIN($A58,P$2))))</f>
        <v/>
      </c>
      <c r="Q58" s="21">
        <f>EXP(-UFR*($A58+Q$2))*(Alpha*MIN($A58,Q$2)-0.5*EXP(-Alpha*MAX($A58,Q$2))*(EXP(Alpha*MIN($A58,Q$2))-EXP(-Alpha*MIN($A58,Q$2))))</f>
        <v/>
      </c>
      <c r="R58" s="21">
        <f>EXP(-UFR*($A58+R$2))*(Alpha*MIN($A58,R$2)-0.5*EXP(-Alpha*MAX($A58,R$2))*(EXP(Alpha*MIN($A58,R$2))-EXP(-Alpha*MIN($A58,R$2))))</f>
        <v/>
      </c>
      <c r="S58" s="21">
        <f>EXP(-UFR*($A58+S$2))*(Alpha*MIN($A58,S$2)-0.5*EXP(-Alpha*MAX($A58,S$2))*(EXP(Alpha*MIN($A58,S$2))-EXP(-Alpha*MIN($A58,S$2))))</f>
        <v/>
      </c>
      <c r="T58" s="21">
        <f>EXP(-UFR*($A58+T$2))*(Alpha*MIN($A58,T$2)-0.5*EXP(-Alpha*MAX($A58,T$2))*(EXP(Alpha*MIN($A58,T$2))-EXP(-Alpha*MIN($A58,T$2))))</f>
        <v/>
      </c>
      <c r="U58" s="21">
        <f>EXP(-UFR*($A58+U$2))*(Alpha*MIN($A58,U$2)-0.5*EXP(-Alpha*MAX($A58,U$2))*(EXP(Alpha*MIN($A58,U$2))-EXP(-Alpha*MIN($A58,U$2))))</f>
        <v/>
      </c>
      <c r="V58" s="21">
        <f>EXP(-UFR*($A58+V$2))*(Alpha*MIN($A58,V$2)-0.5*EXP(-Alpha*MAX($A58,V$2))*(EXP(Alpha*MIN($A58,V$2))-EXP(-Alpha*MIN($A58,V$2))))</f>
        <v/>
      </c>
      <c r="W58" s="21">
        <f>EXP(-UFR*($A58+W$2))*(Alpha*MIN($A58,W$2)-0.5*EXP(-Alpha*MAX($A58,W$2))*(EXP(Alpha*MIN($A58,W$2))-EXP(-Alpha*MIN($A58,W$2))))</f>
        <v/>
      </c>
      <c r="X58" s="21">
        <f>EXP(-UFR*($A58+X$2))*(Alpha*MIN($A58,X$2)-0.5*EXP(-Alpha*MAX($A58,X$2))*(EXP(Alpha*MIN($A58,X$2))-EXP(-Alpha*MIN($A58,X$2))))</f>
        <v/>
      </c>
      <c r="Y58" s="21">
        <f>EXP(-UFR*($A58+Y$2))*(Alpha*MIN($A58,Y$2)-0.5*EXP(-Alpha*MAX($A58,Y$2))*(EXP(Alpha*MIN($A58,Y$2))-EXP(-Alpha*MIN($A58,Y$2))))</f>
        <v/>
      </c>
      <c r="Z58" s="21">
        <f>EXP(-UFR*($A58+Z$2))*(Alpha*MIN($A58,Z$2)-0.5*EXP(-Alpha*MAX($A58,Z$2))*(EXP(Alpha*MIN($A58,Z$2))-EXP(-Alpha*MIN($A58,Z$2))))</f>
        <v/>
      </c>
    </row>
    <row r="59">
      <c r="A59" s="20">
        <f>A58+1</f>
        <v/>
      </c>
      <c r="B59" s="21">
        <f>EXP(-UFR*($A59+B$2))*(Alpha*MIN($A59,B$2)-0.5*EXP(-Alpha*MAX($A59,B$2))*(EXP(Alpha*MIN($A59,B$2))-EXP(-Alpha*MIN($A59,B$2))))</f>
        <v/>
      </c>
      <c r="C59" s="21">
        <f>EXP(-UFR*($A59+C$2))*(Alpha*MIN($A59,C$2)-0.5*EXP(-Alpha*MAX($A59,C$2))*(EXP(Alpha*MIN($A59,C$2))-EXP(-Alpha*MIN($A59,C$2))))</f>
        <v/>
      </c>
      <c r="D59" s="21">
        <f>EXP(-UFR*($A59+D$2))*(Alpha*MIN($A59,D$2)-0.5*EXP(-Alpha*MAX($A59,D$2))*(EXP(Alpha*MIN($A59,D$2))-EXP(-Alpha*MIN($A59,D$2))))</f>
        <v/>
      </c>
      <c r="E59" s="21">
        <f>EXP(-UFR*($A59+E$2))*(Alpha*MIN($A59,E$2)-0.5*EXP(-Alpha*MAX($A59,E$2))*(EXP(Alpha*MIN($A59,E$2))-EXP(-Alpha*MIN($A59,E$2))))</f>
        <v/>
      </c>
      <c r="F59" s="21">
        <f>EXP(-UFR*($A59+F$2))*(Alpha*MIN($A59,F$2)-0.5*EXP(-Alpha*MAX($A59,F$2))*(EXP(Alpha*MIN($A59,F$2))-EXP(-Alpha*MIN($A59,F$2))))</f>
        <v/>
      </c>
      <c r="G59" s="21">
        <f>EXP(-UFR*($A59+G$2))*(Alpha*MIN($A59,G$2)-0.5*EXP(-Alpha*MAX($A59,G$2))*(EXP(Alpha*MIN($A59,G$2))-EXP(-Alpha*MIN($A59,G$2))))</f>
        <v/>
      </c>
      <c r="H59" s="21">
        <f>EXP(-UFR*($A59+H$2))*(Alpha*MIN($A59,H$2)-0.5*EXP(-Alpha*MAX($A59,H$2))*(EXP(Alpha*MIN($A59,H$2))-EXP(-Alpha*MIN($A59,H$2))))</f>
        <v/>
      </c>
      <c r="I59" s="21">
        <f>EXP(-UFR*($A59+I$2))*(Alpha*MIN($A59,I$2)-0.5*EXP(-Alpha*MAX($A59,I$2))*(EXP(Alpha*MIN($A59,I$2))-EXP(-Alpha*MIN($A59,I$2))))</f>
        <v/>
      </c>
      <c r="J59" s="21">
        <f>EXP(-UFR*($A59+J$2))*(Alpha*MIN($A59,J$2)-0.5*EXP(-Alpha*MAX($A59,J$2))*(EXP(Alpha*MIN($A59,J$2))-EXP(-Alpha*MIN($A59,J$2))))</f>
        <v/>
      </c>
      <c r="K59" s="21">
        <f>EXP(-UFR*($A59+K$2))*(Alpha*MIN($A59,K$2)-0.5*EXP(-Alpha*MAX($A59,K$2))*(EXP(Alpha*MIN($A59,K$2))-EXP(-Alpha*MIN($A59,K$2))))</f>
        <v/>
      </c>
      <c r="L59" s="21">
        <f>EXP(-UFR*($A59+L$2))*(Alpha*MIN($A59,L$2)-0.5*EXP(-Alpha*MAX($A59,L$2))*(EXP(Alpha*MIN($A59,L$2))-EXP(-Alpha*MIN($A59,L$2))))</f>
        <v/>
      </c>
      <c r="M59" s="21">
        <f>EXP(-UFR*($A59+M$2))*(Alpha*MIN($A59,M$2)-0.5*EXP(-Alpha*MAX($A59,M$2))*(EXP(Alpha*MIN($A59,M$2))-EXP(-Alpha*MIN($A59,M$2))))</f>
        <v/>
      </c>
      <c r="N59" s="21">
        <f>EXP(-UFR*($A59+N$2))*(Alpha*MIN($A59,N$2)-0.5*EXP(-Alpha*MAX($A59,N$2))*(EXP(Alpha*MIN($A59,N$2))-EXP(-Alpha*MIN($A59,N$2))))</f>
        <v/>
      </c>
      <c r="O59" s="21">
        <f>EXP(-UFR*($A59+O$2))*(Alpha*MIN($A59,O$2)-0.5*EXP(-Alpha*MAX($A59,O$2))*(EXP(Alpha*MIN($A59,O$2))-EXP(-Alpha*MIN($A59,O$2))))</f>
        <v/>
      </c>
      <c r="P59" s="21">
        <f>EXP(-UFR*($A59+P$2))*(Alpha*MIN($A59,P$2)-0.5*EXP(-Alpha*MAX($A59,P$2))*(EXP(Alpha*MIN($A59,P$2))-EXP(-Alpha*MIN($A59,P$2))))</f>
        <v/>
      </c>
      <c r="Q59" s="21">
        <f>EXP(-UFR*($A59+Q$2))*(Alpha*MIN($A59,Q$2)-0.5*EXP(-Alpha*MAX($A59,Q$2))*(EXP(Alpha*MIN($A59,Q$2))-EXP(-Alpha*MIN($A59,Q$2))))</f>
        <v/>
      </c>
      <c r="R59" s="21">
        <f>EXP(-UFR*($A59+R$2))*(Alpha*MIN($A59,R$2)-0.5*EXP(-Alpha*MAX($A59,R$2))*(EXP(Alpha*MIN($A59,R$2))-EXP(-Alpha*MIN($A59,R$2))))</f>
        <v/>
      </c>
      <c r="S59" s="21">
        <f>EXP(-UFR*($A59+S$2))*(Alpha*MIN($A59,S$2)-0.5*EXP(-Alpha*MAX($A59,S$2))*(EXP(Alpha*MIN($A59,S$2))-EXP(-Alpha*MIN($A59,S$2))))</f>
        <v/>
      </c>
      <c r="T59" s="21">
        <f>EXP(-UFR*($A59+T$2))*(Alpha*MIN($A59,T$2)-0.5*EXP(-Alpha*MAX($A59,T$2))*(EXP(Alpha*MIN($A59,T$2))-EXP(-Alpha*MIN($A59,T$2))))</f>
        <v/>
      </c>
      <c r="U59" s="21">
        <f>EXP(-UFR*($A59+U$2))*(Alpha*MIN($A59,U$2)-0.5*EXP(-Alpha*MAX($A59,U$2))*(EXP(Alpha*MIN($A59,U$2))-EXP(-Alpha*MIN($A59,U$2))))</f>
        <v/>
      </c>
      <c r="V59" s="21">
        <f>EXP(-UFR*($A59+V$2))*(Alpha*MIN($A59,V$2)-0.5*EXP(-Alpha*MAX($A59,V$2))*(EXP(Alpha*MIN($A59,V$2))-EXP(-Alpha*MIN($A59,V$2))))</f>
        <v/>
      </c>
      <c r="W59" s="21">
        <f>EXP(-UFR*($A59+W$2))*(Alpha*MIN($A59,W$2)-0.5*EXP(-Alpha*MAX($A59,W$2))*(EXP(Alpha*MIN($A59,W$2))-EXP(-Alpha*MIN($A59,W$2))))</f>
        <v/>
      </c>
      <c r="X59" s="21">
        <f>EXP(-UFR*($A59+X$2))*(Alpha*MIN($A59,X$2)-0.5*EXP(-Alpha*MAX($A59,X$2))*(EXP(Alpha*MIN($A59,X$2))-EXP(-Alpha*MIN($A59,X$2))))</f>
        <v/>
      </c>
      <c r="Y59" s="21">
        <f>EXP(-UFR*($A59+Y$2))*(Alpha*MIN($A59,Y$2)-0.5*EXP(-Alpha*MAX($A59,Y$2))*(EXP(Alpha*MIN($A59,Y$2))-EXP(-Alpha*MIN($A59,Y$2))))</f>
        <v/>
      </c>
      <c r="Z59" s="21">
        <f>EXP(-UFR*($A59+Z$2))*(Alpha*MIN($A59,Z$2)-0.5*EXP(-Alpha*MAX($A59,Z$2))*(EXP(Alpha*MIN($A59,Z$2))-EXP(-Alpha*MIN($A59,Z$2))))</f>
        <v/>
      </c>
    </row>
    <row r="60">
      <c r="A60" s="20">
        <f>A59+1</f>
        <v/>
      </c>
      <c r="B60" s="21">
        <f>EXP(-UFR*($A60+B$2))*(Alpha*MIN($A60,B$2)-0.5*EXP(-Alpha*MAX($A60,B$2))*(EXP(Alpha*MIN($A60,B$2))-EXP(-Alpha*MIN($A60,B$2))))</f>
        <v/>
      </c>
      <c r="C60" s="21">
        <f>EXP(-UFR*($A60+C$2))*(Alpha*MIN($A60,C$2)-0.5*EXP(-Alpha*MAX($A60,C$2))*(EXP(Alpha*MIN($A60,C$2))-EXP(-Alpha*MIN($A60,C$2))))</f>
        <v/>
      </c>
      <c r="D60" s="21">
        <f>EXP(-UFR*($A60+D$2))*(Alpha*MIN($A60,D$2)-0.5*EXP(-Alpha*MAX($A60,D$2))*(EXP(Alpha*MIN($A60,D$2))-EXP(-Alpha*MIN($A60,D$2))))</f>
        <v/>
      </c>
      <c r="E60" s="21">
        <f>EXP(-UFR*($A60+E$2))*(Alpha*MIN($A60,E$2)-0.5*EXP(-Alpha*MAX($A60,E$2))*(EXP(Alpha*MIN($A60,E$2))-EXP(-Alpha*MIN($A60,E$2))))</f>
        <v/>
      </c>
      <c r="F60" s="21">
        <f>EXP(-UFR*($A60+F$2))*(Alpha*MIN($A60,F$2)-0.5*EXP(-Alpha*MAX($A60,F$2))*(EXP(Alpha*MIN($A60,F$2))-EXP(-Alpha*MIN($A60,F$2))))</f>
        <v/>
      </c>
      <c r="G60" s="21">
        <f>EXP(-UFR*($A60+G$2))*(Alpha*MIN($A60,G$2)-0.5*EXP(-Alpha*MAX($A60,G$2))*(EXP(Alpha*MIN($A60,G$2))-EXP(-Alpha*MIN($A60,G$2))))</f>
        <v/>
      </c>
      <c r="H60" s="21">
        <f>EXP(-UFR*($A60+H$2))*(Alpha*MIN($A60,H$2)-0.5*EXP(-Alpha*MAX($A60,H$2))*(EXP(Alpha*MIN($A60,H$2))-EXP(-Alpha*MIN($A60,H$2))))</f>
        <v/>
      </c>
      <c r="I60" s="21">
        <f>EXP(-UFR*($A60+I$2))*(Alpha*MIN($A60,I$2)-0.5*EXP(-Alpha*MAX($A60,I$2))*(EXP(Alpha*MIN($A60,I$2))-EXP(-Alpha*MIN($A60,I$2))))</f>
        <v/>
      </c>
      <c r="J60" s="21">
        <f>EXP(-UFR*($A60+J$2))*(Alpha*MIN($A60,J$2)-0.5*EXP(-Alpha*MAX($A60,J$2))*(EXP(Alpha*MIN($A60,J$2))-EXP(-Alpha*MIN($A60,J$2))))</f>
        <v/>
      </c>
      <c r="K60" s="21">
        <f>EXP(-UFR*($A60+K$2))*(Alpha*MIN($A60,K$2)-0.5*EXP(-Alpha*MAX($A60,K$2))*(EXP(Alpha*MIN($A60,K$2))-EXP(-Alpha*MIN($A60,K$2))))</f>
        <v/>
      </c>
      <c r="L60" s="21">
        <f>EXP(-UFR*($A60+L$2))*(Alpha*MIN($A60,L$2)-0.5*EXP(-Alpha*MAX($A60,L$2))*(EXP(Alpha*MIN($A60,L$2))-EXP(-Alpha*MIN($A60,L$2))))</f>
        <v/>
      </c>
      <c r="M60" s="21">
        <f>EXP(-UFR*($A60+M$2))*(Alpha*MIN($A60,M$2)-0.5*EXP(-Alpha*MAX($A60,M$2))*(EXP(Alpha*MIN($A60,M$2))-EXP(-Alpha*MIN($A60,M$2))))</f>
        <v/>
      </c>
      <c r="N60" s="21">
        <f>EXP(-UFR*($A60+N$2))*(Alpha*MIN($A60,N$2)-0.5*EXP(-Alpha*MAX($A60,N$2))*(EXP(Alpha*MIN($A60,N$2))-EXP(-Alpha*MIN($A60,N$2))))</f>
        <v/>
      </c>
      <c r="O60" s="21">
        <f>EXP(-UFR*($A60+O$2))*(Alpha*MIN($A60,O$2)-0.5*EXP(-Alpha*MAX($A60,O$2))*(EXP(Alpha*MIN($A60,O$2))-EXP(-Alpha*MIN($A60,O$2))))</f>
        <v/>
      </c>
      <c r="P60" s="21">
        <f>EXP(-UFR*($A60+P$2))*(Alpha*MIN($A60,P$2)-0.5*EXP(-Alpha*MAX($A60,P$2))*(EXP(Alpha*MIN($A60,P$2))-EXP(-Alpha*MIN($A60,P$2))))</f>
        <v/>
      </c>
      <c r="Q60" s="21">
        <f>EXP(-UFR*($A60+Q$2))*(Alpha*MIN($A60,Q$2)-0.5*EXP(-Alpha*MAX($A60,Q$2))*(EXP(Alpha*MIN($A60,Q$2))-EXP(-Alpha*MIN($A60,Q$2))))</f>
        <v/>
      </c>
      <c r="R60" s="21">
        <f>EXP(-UFR*($A60+R$2))*(Alpha*MIN($A60,R$2)-0.5*EXP(-Alpha*MAX($A60,R$2))*(EXP(Alpha*MIN($A60,R$2))-EXP(-Alpha*MIN($A60,R$2))))</f>
        <v/>
      </c>
      <c r="S60" s="21">
        <f>EXP(-UFR*($A60+S$2))*(Alpha*MIN($A60,S$2)-0.5*EXP(-Alpha*MAX($A60,S$2))*(EXP(Alpha*MIN($A60,S$2))-EXP(-Alpha*MIN($A60,S$2))))</f>
        <v/>
      </c>
      <c r="T60" s="21">
        <f>EXP(-UFR*($A60+T$2))*(Alpha*MIN($A60,T$2)-0.5*EXP(-Alpha*MAX($A60,T$2))*(EXP(Alpha*MIN($A60,T$2))-EXP(-Alpha*MIN($A60,T$2))))</f>
        <v/>
      </c>
      <c r="U60" s="21">
        <f>EXP(-UFR*($A60+U$2))*(Alpha*MIN($A60,U$2)-0.5*EXP(-Alpha*MAX($A60,U$2))*(EXP(Alpha*MIN($A60,U$2))-EXP(-Alpha*MIN($A60,U$2))))</f>
        <v/>
      </c>
      <c r="V60" s="21">
        <f>EXP(-UFR*($A60+V$2))*(Alpha*MIN($A60,V$2)-0.5*EXP(-Alpha*MAX($A60,V$2))*(EXP(Alpha*MIN($A60,V$2))-EXP(-Alpha*MIN($A60,V$2))))</f>
        <v/>
      </c>
      <c r="W60" s="21">
        <f>EXP(-UFR*($A60+W$2))*(Alpha*MIN($A60,W$2)-0.5*EXP(-Alpha*MAX($A60,W$2))*(EXP(Alpha*MIN($A60,W$2))-EXP(-Alpha*MIN($A60,W$2))))</f>
        <v/>
      </c>
      <c r="X60" s="21">
        <f>EXP(-UFR*($A60+X$2))*(Alpha*MIN($A60,X$2)-0.5*EXP(-Alpha*MAX($A60,X$2))*(EXP(Alpha*MIN($A60,X$2))-EXP(-Alpha*MIN($A60,X$2))))</f>
        <v/>
      </c>
      <c r="Y60" s="21">
        <f>EXP(-UFR*($A60+Y$2))*(Alpha*MIN($A60,Y$2)-0.5*EXP(-Alpha*MAX($A60,Y$2))*(EXP(Alpha*MIN($A60,Y$2))-EXP(-Alpha*MIN($A60,Y$2))))</f>
        <v/>
      </c>
      <c r="Z60" s="21">
        <f>EXP(-UFR*($A60+Z$2))*(Alpha*MIN($A60,Z$2)-0.5*EXP(-Alpha*MAX($A60,Z$2))*(EXP(Alpha*MIN($A60,Z$2))-EXP(-Alpha*MIN($A60,Z$2))))</f>
        <v/>
      </c>
    </row>
    <row r="61">
      <c r="A61" s="20">
        <f>A60+1</f>
        <v/>
      </c>
      <c r="B61" s="21">
        <f>EXP(-UFR*($A61+B$2))*(Alpha*MIN($A61,B$2)-0.5*EXP(-Alpha*MAX($A61,B$2))*(EXP(Alpha*MIN($A61,B$2))-EXP(-Alpha*MIN($A61,B$2))))</f>
        <v/>
      </c>
      <c r="C61" s="21">
        <f>EXP(-UFR*($A61+C$2))*(Alpha*MIN($A61,C$2)-0.5*EXP(-Alpha*MAX($A61,C$2))*(EXP(Alpha*MIN($A61,C$2))-EXP(-Alpha*MIN($A61,C$2))))</f>
        <v/>
      </c>
      <c r="D61" s="21">
        <f>EXP(-UFR*($A61+D$2))*(Alpha*MIN($A61,D$2)-0.5*EXP(-Alpha*MAX($A61,D$2))*(EXP(Alpha*MIN($A61,D$2))-EXP(-Alpha*MIN($A61,D$2))))</f>
        <v/>
      </c>
      <c r="E61" s="21">
        <f>EXP(-UFR*($A61+E$2))*(Alpha*MIN($A61,E$2)-0.5*EXP(-Alpha*MAX($A61,E$2))*(EXP(Alpha*MIN($A61,E$2))-EXP(-Alpha*MIN($A61,E$2))))</f>
        <v/>
      </c>
      <c r="F61" s="21">
        <f>EXP(-UFR*($A61+F$2))*(Alpha*MIN($A61,F$2)-0.5*EXP(-Alpha*MAX($A61,F$2))*(EXP(Alpha*MIN($A61,F$2))-EXP(-Alpha*MIN($A61,F$2))))</f>
        <v/>
      </c>
      <c r="G61" s="21">
        <f>EXP(-UFR*($A61+G$2))*(Alpha*MIN($A61,G$2)-0.5*EXP(-Alpha*MAX($A61,G$2))*(EXP(Alpha*MIN($A61,G$2))-EXP(-Alpha*MIN($A61,G$2))))</f>
        <v/>
      </c>
      <c r="H61" s="21">
        <f>EXP(-UFR*($A61+H$2))*(Alpha*MIN($A61,H$2)-0.5*EXP(-Alpha*MAX($A61,H$2))*(EXP(Alpha*MIN($A61,H$2))-EXP(-Alpha*MIN($A61,H$2))))</f>
        <v/>
      </c>
      <c r="I61" s="21">
        <f>EXP(-UFR*($A61+I$2))*(Alpha*MIN($A61,I$2)-0.5*EXP(-Alpha*MAX($A61,I$2))*(EXP(Alpha*MIN($A61,I$2))-EXP(-Alpha*MIN($A61,I$2))))</f>
        <v/>
      </c>
      <c r="J61" s="21">
        <f>EXP(-UFR*($A61+J$2))*(Alpha*MIN($A61,J$2)-0.5*EXP(-Alpha*MAX($A61,J$2))*(EXP(Alpha*MIN($A61,J$2))-EXP(-Alpha*MIN($A61,J$2))))</f>
        <v/>
      </c>
      <c r="K61" s="21">
        <f>EXP(-UFR*($A61+K$2))*(Alpha*MIN($A61,K$2)-0.5*EXP(-Alpha*MAX($A61,K$2))*(EXP(Alpha*MIN($A61,K$2))-EXP(-Alpha*MIN($A61,K$2))))</f>
        <v/>
      </c>
      <c r="L61" s="21">
        <f>EXP(-UFR*($A61+L$2))*(Alpha*MIN($A61,L$2)-0.5*EXP(-Alpha*MAX($A61,L$2))*(EXP(Alpha*MIN($A61,L$2))-EXP(-Alpha*MIN($A61,L$2))))</f>
        <v/>
      </c>
      <c r="M61" s="21">
        <f>EXP(-UFR*($A61+M$2))*(Alpha*MIN($A61,M$2)-0.5*EXP(-Alpha*MAX($A61,M$2))*(EXP(Alpha*MIN($A61,M$2))-EXP(-Alpha*MIN($A61,M$2))))</f>
        <v/>
      </c>
      <c r="N61" s="21">
        <f>EXP(-UFR*($A61+N$2))*(Alpha*MIN($A61,N$2)-0.5*EXP(-Alpha*MAX($A61,N$2))*(EXP(Alpha*MIN($A61,N$2))-EXP(-Alpha*MIN($A61,N$2))))</f>
        <v/>
      </c>
      <c r="O61" s="21">
        <f>EXP(-UFR*($A61+O$2))*(Alpha*MIN($A61,O$2)-0.5*EXP(-Alpha*MAX($A61,O$2))*(EXP(Alpha*MIN($A61,O$2))-EXP(-Alpha*MIN($A61,O$2))))</f>
        <v/>
      </c>
      <c r="P61" s="21">
        <f>EXP(-UFR*($A61+P$2))*(Alpha*MIN($A61,P$2)-0.5*EXP(-Alpha*MAX($A61,P$2))*(EXP(Alpha*MIN($A61,P$2))-EXP(-Alpha*MIN($A61,P$2))))</f>
        <v/>
      </c>
      <c r="Q61" s="21">
        <f>EXP(-UFR*($A61+Q$2))*(Alpha*MIN($A61,Q$2)-0.5*EXP(-Alpha*MAX($A61,Q$2))*(EXP(Alpha*MIN($A61,Q$2))-EXP(-Alpha*MIN($A61,Q$2))))</f>
        <v/>
      </c>
      <c r="R61" s="21">
        <f>EXP(-UFR*($A61+R$2))*(Alpha*MIN($A61,R$2)-0.5*EXP(-Alpha*MAX($A61,R$2))*(EXP(Alpha*MIN($A61,R$2))-EXP(-Alpha*MIN($A61,R$2))))</f>
        <v/>
      </c>
      <c r="S61" s="21">
        <f>EXP(-UFR*($A61+S$2))*(Alpha*MIN($A61,S$2)-0.5*EXP(-Alpha*MAX($A61,S$2))*(EXP(Alpha*MIN($A61,S$2))-EXP(-Alpha*MIN($A61,S$2))))</f>
        <v/>
      </c>
      <c r="T61" s="21">
        <f>EXP(-UFR*($A61+T$2))*(Alpha*MIN($A61,T$2)-0.5*EXP(-Alpha*MAX($A61,T$2))*(EXP(Alpha*MIN($A61,T$2))-EXP(-Alpha*MIN($A61,T$2))))</f>
        <v/>
      </c>
      <c r="U61" s="21">
        <f>EXP(-UFR*($A61+U$2))*(Alpha*MIN($A61,U$2)-0.5*EXP(-Alpha*MAX($A61,U$2))*(EXP(Alpha*MIN($A61,U$2))-EXP(-Alpha*MIN($A61,U$2))))</f>
        <v/>
      </c>
      <c r="V61" s="21">
        <f>EXP(-UFR*($A61+V$2))*(Alpha*MIN($A61,V$2)-0.5*EXP(-Alpha*MAX($A61,V$2))*(EXP(Alpha*MIN($A61,V$2))-EXP(-Alpha*MIN($A61,V$2))))</f>
        <v/>
      </c>
      <c r="W61" s="21">
        <f>EXP(-UFR*($A61+W$2))*(Alpha*MIN($A61,W$2)-0.5*EXP(-Alpha*MAX($A61,W$2))*(EXP(Alpha*MIN($A61,W$2))-EXP(-Alpha*MIN($A61,W$2))))</f>
        <v/>
      </c>
      <c r="X61" s="21">
        <f>EXP(-UFR*($A61+X$2))*(Alpha*MIN($A61,X$2)-0.5*EXP(-Alpha*MAX($A61,X$2))*(EXP(Alpha*MIN($A61,X$2))-EXP(-Alpha*MIN($A61,X$2))))</f>
        <v/>
      </c>
      <c r="Y61" s="21">
        <f>EXP(-UFR*($A61+Y$2))*(Alpha*MIN($A61,Y$2)-0.5*EXP(-Alpha*MAX($A61,Y$2))*(EXP(Alpha*MIN($A61,Y$2))-EXP(-Alpha*MIN($A61,Y$2))))</f>
        <v/>
      </c>
      <c r="Z61" s="21">
        <f>EXP(-UFR*($A61+Z$2))*(Alpha*MIN($A61,Z$2)-0.5*EXP(-Alpha*MAX($A61,Z$2))*(EXP(Alpha*MIN($A61,Z$2))-EXP(-Alpha*MIN($A61,Z$2))))</f>
        <v/>
      </c>
    </row>
    <row r="62">
      <c r="A62" s="20">
        <f>A61+1</f>
        <v/>
      </c>
      <c r="B62" s="21">
        <f>EXP(-UFR*($A62+B$2))*(Alpha*MIN($A62,B$2)-0.5*EXP(-Alpha*MAX($A62,B$2))*(EXP(Alpha*MIN($A62,B$2))-EXP(-Alpha*MIN($A62,B$2))))</f>
        <v/>
      </c>
      <c r="C62" s="21">
        <f>EXP(-UFR*($A62+C$2))*(Alpha*MIN($A62,C$2)-0.5*EXP(-Alpha*MAX($A62,C$2))*(EXP(Alpha*MIN($A62,C$2))-EXP(-Alpha*MIN($A62,C$2))))</f>
        <v/>
      </c>
      <c r="D62" s="21">
        <f>EXP(-UFR*($A62+D$2))*(Alpha*MIN($A62,D$2)-0.5*EXP(-Alpha*MAX($A62,D$2))*(EXP(Alpha*MIN($A62,D$2))-EXP(-Alpha*MIN($A62,D$2))))</f>
        <v/>
      </c>
      <c r="E62" s="21">
        <f>EXP(-UFR*($A62+E$2))*(Alpha*MIN($A62,E$2)-0.5*EXP(-Alpha*MAX($A62,E$2))*(EXP(Alpha*MIN($A62,E$2))-EXP(-Alpha*MIN($A62,E$2))))</f>
        <v/>
      </c>
      <c r="F62" s="21">
        <f>EXP(-UFR*($A62+F$2))*(Alpha*MIN($A62,F$2)-0.5*EXP(-Alpha*MAX($A62,F$2))*(EXP(Alpha*MIN($A62,F$2))-EXP(-Alpha*MIN($A62,F$2))))</f>
        <v/>
      </c>
      <c r="G62" s="21">
        <f>EXP(-UFR*($A62+G$2))*(Alpha*MIN($A62,G$2)-0.5*EXP(-Alpha*MAX($A62,G$2))*(EXP(Alpha*MIN($A62,G$2))-EXP(-Alpha*MIN($A62,G$2))))</f>
        <v/>
      </c>
      <c r="H62" s="21">
        <f>EXP(-UFR*($A62+H$2))*(Alpha*MIN($A62,H$2)-0.5*EXP(-Alpha*MAX($A62,H$2))*(EXP(Alpha*MIN($A62,H$2))-EXP(-Alpha*MIN($A62,H$2))))</f>
        <v/>
      </c>
      <c r="I62" s="21">
        <f>EXP(-UFR*($A62+I$2))*(Alpha*MIN($A62,I$2)-0.5*EXP(-Alpha*MAX($A62,I$2))*(EXP(Alpha*MIN($A62,I$2))-EXP(-Alpha*MIN($A62,I$2))))</f>
        <v/>
      </c>
      <c r="J62" s="21">
        <f>EXP(-UFR*($A62+J$2))*(Alpha*MIN($A62,J$2)-0.5*EXP(-Alpha*MAX($A62,J$2))*(EXP(Alpha*MIN($A62,J$2))-EXP(-Alpha*MIN($A62,J$2))))</f>
        <v/>
      </c>
      <c r="K62" s="21">
        <f>EXP(-UFR*($A62+K$2))*(Alpha*MIN($A62,K$2)-0.5*EXP(-Alpha*MAX($A62,K$2))*(EXP(Alpha*MIN($A62,K$2))-EXP(-Alpha*MIN($A62,K$2))))</f>
        <v/>
      </c>
      <c r="L62" s="21">
        <f>EXP(-UFR*($A62+L$2))*(Alpha*MIN($A62,L$2)-0.5*EXP(-Alpha*MAX($A62,L$2))*(EXP(Alpha*MIN($A62,L$2))-EXP(-Alpha*MIN($A62,L$2))))</f>
        <v/>
      </c>
      <c r="M62" s="21">
        <f>EXP(-UFR*($A62+M$2))*(Alpha*MIN($A62,M$2)-0.5*EXP(-Alpha*MAX($A62,M$2))*(EXP(Alpha*MIN($A62,M$2))-EXP(-Alpha*MIN($A62,M$2))))</f>
        <v/>
      </c>
      <c r="N62" s="21">
        <f>EXP(-UFR*($A62+N$2))*(Alpha*MIN($A62,N$2)-0.5*EXP(-Alpha*MAX($A62,N$2))*(EXP(Alpha*MIN($A62,N$2))-EXP(-Alpha*MIN($A62,N$2))))</f>
        <v/>
      </c>
      <c r="O62" s="21">
        <f>EXP(-UFR*($A62+O$2))*(Alpha*MIN($A62,O$2)-0.5*EXP(-Alpha*MAX($A62,O$2))*(EXP(Alpha*MIN($A62,O$2))-EXP(-Alpha*MIN($A62,O$2))))</f>
        <v/>
      </c>
      <c r="P62" s="21">
        <f>EXP(-UFR*($A62+P$2))*(Alpha*MIN($A62,P$2)-0.5*EXP(-Alpha*MAX($A62,P$2))*(EXP(Alpha*MIN($A62,P$2))-EXP(-Alpha*MIN($A62,P$2))))</f>
        <v/>
      </c>
      <c r="Q62" s="21">
        <f>EXP(-UFR*($A62+Q$2))*(Alpha*MIN($A62,Q$2)-0.5*EXP(-Alpha*MAX($A62,Q$2))*(EXP(Alpha*MIN($A62,Q$2))-EXP(-Alpha*MIN($A62,Q$2))))</f>
        <v/>
      </c>
      <c r="R62" s="21">
        <f>EXP(-UFR*($A62+R$2))*(Alpha*MIN($A62,R$2)-0.5*EXP(-Alpha*MAX($A62,R$2))*(EXP(Alpha*MIN($A62,R$2))-EXP(-Alpha*MIN($A62,R$2))))</f>
        <v/>
      </c>
      <c r="S62" s="21">
        <f>EXP(-UFR*($A62+S$2))*(Alpha*MIN($A62,S$2)-0.5*EXP(-Alpha*MAX($A62,S$2))*(EXP(Alpha*MIN($A62,S$2))-EXP(-Alpha*MIN($A62,S$2))))</f>
        <v/>
      </c>
      <c r="T62" s="21">
        <f>EXP(-UFR*($A62+T$2))*(Alpha*MIN($A62,T$2)-0.5*EXP(-Alpha*MAX($A62,T$2))*(EXP(Alpha*MIN($A62,T$2))-EXP(-Alpha*MIN($A62,T$2))))</f>
        <v/>
      </c>
      <c r="U62" s="21">
        <f>EXP(-UFR*($A62+U$2))*(Alpha*MIN($A62,U$2)-0.5*EXP(-Alpha*MAX($A62,U$2))*(EXP(Alpha*MIN($A62,U$2))-EXP(-Alpha*MIN($A62,U$2))))</f>
        <v/>
      </c>
      <c r="V62" s="21">
        <f>EXP(-UFR*($A62+V$2))*(Alpha*MIN($A62,V$2)-0.5*EXP(-Alpha*MAX($A62,V$2))*(EXP(Alpha*MIN($A62,V$2))-EXP(-Alpha*MIN($A62,V$2))))</f>
        <v/>
      </c>
      <c r="W62" s="21">
        <f>EXP(-UFR*($A62+W$2))*(Alpha*MIN($A62,W$2)-0.5*EXP(-Alpha*MAX($A62,W$2))*(EXP(Alpha*MIN($A62,W$2))-EXP(-Alpha*MIN($A62,W$2))))</f>
        <v/>
      </c>
      <c r="X62" s="21">
        <f>EXP(-UFR*($A62+X$2))*(Alpha*MIN($A62,X$2)-0.5*EXP(-Alpha*MAX($A62,X$2))*(EXP(Alpha*MIN($A62,X$2))-EXP(-Alpha*MIN($A62,X$2))))</f>
        <v/>
      </c>
      <c r="Y62" s="21">
        <f>EXP(-UFR*($A62+Y$2))*(Alpha*MIN($A62,Y$2)-0.5*EXP(-Alpha*MAX($A62,Y$2))*(EXP(Alpha*MIN($A62,Y$2))-EXP(-Alpha*MIN($A62,Y$2))))</f>
        <v/>
      </c>
      <c r="Z62" s="21">
        <f>EXP(-UFR*($A62+Z$2))*(Alpha*MIN($A62,Z$2)-0.5*EXP(-Alpha*MAX($A62,Z$2))*(EXP(Alpha*MIN($A62,Z$2))-EXP(-Alpha*MIN($A62,Z$2))))</f>
        <v/>
      </c>
    </row>
    <row r="63">
      <c r="A63" s="20">
        <f>A62+1</f>
        <v/>
      </c>
      <c r="B63" s="21">
        <f>EXP(-UFR*($A63+B$2))*(Alpha*MIN($A63,B$2)-0.5*EXP(-Alpha*MAX($A63,B$2))*(EXP(Alpha*MIN($A63,B$2))-EXP(-Alpha*MIN($A63,B$2))))</f>
        <v/>
      </c>
      <c r="C63" s="21">
        <f>EXP(-UFR*($A63+C$2))*(Alpha*MIN($A63,C$2)-0.5*EXP(-Alpha*MAX($A63,C$2))*(EXP(Alpha*MIN($A63,C$2))-EXP(-Alpha*MIN($A63,C$2))))</f>
        <v/>
      </c>
      <c r="D63" s="21">
        <f>EXP(-UFR*($A63+D$2))*(Alpha*MIN($A63,D$2)-0.5*EXP(-Alpha*MAX($A63,D$2))*(EXP(Alpha*MIN($A63,D$2))-EXP(-Alpha*MIN($A63,D$2))))</f>
        <v/>
      </c>
      <c r="E63" s="21">
        <f>EXP(-UFR*($A63+E$2))*(Alpha*MIN($A63,E$2)-0.5*EXP(-Alpha*MAX($A63,E$2))*(EXP(Alpha*MIN($A63,E$2))-EXP(-Alpha*MIN($A63,E$2))))</f>
        <v/>
      </c>
      <c r="F63" s="21">
        <f>EXP(-UFR*($A63+F$2))*(Alpha*MIN($A63,F$2)-0.5*EXP(-Alpha*MAX($A63,F$2))*(EXP(Alpha*MIN($A63,F$2))-EXP(-Alpha*MIN($A63,F$2))))</f>
        <v/>
      </c>
      <c r="G63" s="21">
        <f>EXP(-UFR*($A63+G$2))*(Alpha*MIN($A63,G$2)-0.5*EXP(-Alpha*MAX($A63,G$2))*(EXP(Alpha*MIN($A63,G$2))-EXP(-Alpha*MIN($A63,G$2))))</f>
        <v/>
      </c>
      <c r="H63" s="21">
        <f>EXP(-UFR*($A63+H$2))*(Alpha*MIN($A63,H$2)-0.5*EXP(-Alpha*MAX($A63,H$2))*(EXP(Alpha*MIN($A63,H$2))-EXP(-Alpha*MIN($A63,H$2))))</f>
        <v/>
      </c>
      <c r="I63" s="21">
        <f>EXP(-UFR*($A63+I$2))*(Alpha*MIN($A63,I$2)-0.5*EXP(-Alpha*MAX($A63,I$2))*(EXP(Alpha*MIN($A63,I$2))-EXP(-Alpha*MIN($A63,I$2))))</f>
        <v/>
      </c>
      <c r="J63" s="21">
        <f>EXP(-UFR*($A63+J$2))*(Alpha*MIN($A63,J$2)-0.5*EXP(-Alpha*MAX($A63,J$2))*(EXP(Alpha*MIN($A63,J$2))-EXP(-Alpha*MIN($A63,J$2))))</f>
        <v/>
      </c>
      <c r="K63" s="21">
        <f>EXP(-UFR*($A63+K$2))*(Alpha*MIN($A63,K$2)-0.5*EXP(-Alpha*MAX($A63,K$2))*(EXP(Alpha*MIN($A63,K$2))-EXP(-Alpha*MIN($A63,K$2))))</f>
        <v/>
      </c>
      <c r="L63" s="21">
        <f>EXP(-UFR*($A63+L$2))*(Alpha*MIN($A63,L$2)-0.5*EXP(-Alpha*MAX($A63,L$2))*(EXP(Alpha*MIN($A63,L$2))-EXP(-Alpha*MIN($A63,L$2))))</f>
        <v/>
      </c>
      <c r="M63" s="21">
        <f>EXP(-UFR*($A63+M$2))*(Alpha*MIN($A63,M$2)-0.5*EXP(-Alpha*MAX($A63,M$2))*(EXP(Alpha*MIN($A63,M$2))-EXP(-Alpha*MIN($A63,M$2))))</f>
        <v/>
      </c>
      <c r="N63" s="21">
        <f>EXP(-UFR*($A63+N$2))*(Alpha*MIN($A63,N$2)-0.5*EXP(-Alpha*MAX($A63,N$2))*(EXP(Alpha*MIN($A63,N$2))-EXP(-Alpha*MIN($A63,N$2))))</f>
        <v/>
      </c>
      <c r="O63" s="21">
        <f>EXP(-UFR*($A63+O$2))*(Alpha*MIN($A63,O$2)-0.5*EXP(-Alpha*MAX($A63,O$2))*(EXP(Alpha*MIN($A63,O$2))-EXP(-Alpha*MIN($A63,O$2))))</f>
        <v/>
      </c>
      <c r="P63" s="21">
        <f>EXP(-UFR*($A63+P$2))*(Alpha*MIN($A63,P$2)-0.5*EXP(-Alpha*MAX($A63,P$2))*(EXP(Alpha*MIN($A63,P$2))-EXP(-Alpha*MIN($A63,P$2))))</f>
        <v/>
      </c>
      <c r="Q63" s="21">
        <f>EXP(-UFR*($A63+Q$2))*(Alpha*MIN($A63,Q$2)-0.5*EXP(-Alpha*MAX($A63,Q$2))*(EXP(Alpha*MIN($A63,Q$2))-EXP(-Alpha*MIN($A63,Q$2))))</f>
        <v/>
      </c>
      <c r="R63" s="21">
        <f>EXP(-UFR*($A63+R$2))*(Alpha*MIN($A63,R$2)-0.5*EXP(-Alpha*MAX($A63,R$2))*(EXP(Alpha*MIN($A63,R$2))-EXP(-Alpha*MIN($A63,R$2))))</f>
        <v/>
      </c>
      <c r="S63" s="21">
        <f>EXP(-UFR*($A63+S$2))*(Alpha*MIN($A63,S$2)-0.5*EXP(-Alpha*MAX($A63,S$2))*(EXP(Alpha*MIN($A63,S$2))-EXP(-Alpha*MIN($A63,S$2))))</f>
        <v/>
      </c>
      <c r="T63" s="21">
        <f>EXP(-UFR*($A63+T$2))*(Alpha*MIN($A63,T$2)-0.5*EXP(-Alpha*MAX($A63,T$2))*(EXP(Alpha*MIN($A63,T$2))-EXP(-Alpha*MIN($A63,T$2))))</f>
        <v/>
      </c>
      <c r="U63" s="21">
        <f>EXP(-UFR*($A63+U$2))*(Alpha*MIN($A63,U$2)-0.5*EXP(-Alpha*MAX($A63,U$2))*(EXP(Alpha*MIN($A63,U$2))-EXP(-Alpha*MIN($A63,U$2))))</f>
        <v/>
      </c>
      <c r="V63" s="21">
        <f>EXP(-UFR*($A63+V$2))*(Alpha*MIN($A63,V$2)-0.5*EXP(-Alpha*MAX($A63,V$2))*(EXP(Alpha*MIN($A63,V$2))-EXP(-Alpha*MIN($A63,V$2))))</f>
        <v/>
      </c>
      <c r="W63" s="21">
        <f>EXP(-UFR*($A63+W$2))*(Alpha*MIN($A63,W$2)-0.5*EXP(-Alpha*MAX($A63,W$2))*(EXP(Alpha*MIN($A63,W$2))-EXP(-Alpha*MIN($A63,W$2))))</f>
        <v/>
      </c>
      <c r="X63" s="21">
        <f>EXP(-UFR*($A63+X$2))*(Alpha*MIN($A63,X$2)-0.5*EXP(-Alpha*MAX($A63,X$2))*(EXP(Alpha*MIN($A63,X$2))-EXP(-Alpha*MIN($A63,X$2))))</f>
        <v/>
      </c>
      <c r="Y63" s="21">
        <f>EXP(-UFR*($A63+Y$2))*(Alpha*MIN($A63,Y$2)-0.5*EXP(-Alpha*MAX($A63,Y$2))*(EXP(Alpha*MIN($A63,Y$2))-EXP(-Alpha*MIN($A63,Y$2))))</f>
        <v/>
      </c>
      <c r="Z63" s="21">
        <f>EXP(-UFR*($A63+Z$2))*(Alpha*MIN($A63,Z$2)-0.5*EXP(-Alpha*MAX($A63,Z$2))*(EXP(Alpha*MIN($A63,Z$2))-EXP(-Alpha*MIN($A63,Z$2))))</f>
        <v/>
      </c>
    </row>
    <row r="64">
      <c r="A64" s="20">
        <f>A63+1</f>
        <v/>
      </c>
      <c r="B64" s="21">
        <f>EXP(-UFR*($A64+B$2))*(Alpha*MIN($A64,B$2)-0.5*EXP(-Alpha*MAX($A64,B$2))*(EXP(Alpha*MIN($A64,B$2))-EXP(-Alpha*MIN($A64,B$2))))</f>
        <v/>
      </c>
      <c r="C64" s="21">
        <f>EXP(-UFR*($A64+C$2))*(Alpha*MIN($A64,C$2)-0.5*EXP(-Alpha*MAX($A64,C$2))*(EXP(Alpha*MIN($A64,C$2))-EXP(-Alpha*MIN($A64,C$2))))</f>
        <v/>
      </c>
      <c r="D64" s="21">
        <f>EXP(-UFR*($A64+D$2))*(Alpha*MIN($A64,D$2)-0.5*EXP(-Alpha*MAX($A64,D$2))*(EXP(Alpha*MIN($A64,D$2))-EXP(-Alpha*MIN($A64,D$2))))</f>
        <v/>
      </c>
      <c r="E64" s="21">
        <f>EXP(-UFR*($A64+E$2))*(Alpha*MIN($A64,E$2)-0.5*EXP(-Alpha*MAX($A64,E$2))*(EXP(Alpha*MIN($A64,E$2))-EXP(-Alpha*MIN($A64,E$2))))</f>
        <v/>
      </c>
      <c r="F64" s="21">
        <f>EXP(-UFR*($A64+F$2))*(Alpha*MIN($A64,F$2)-0.5*EXP(-Alpha*MAX($A64,F$2))*(EXP(Alpha*MIN($A64,F$2))-EXP(-Alpha*MIN($A64,F$2))))</f>
        <v/>
      </c>
      <c r="G64" s="21">
        <f>EXP(-UFR*($A64+G$2))*(Alpha*MIN($A64,G$2)-0.5*EXP(-Alpha*MAX($A64,G$2))*(EXP(Alpha*MIN($A64,G$2))-EXP(-Alpha*MIN($A64,G$2))))</f>
        <v/>
      </c>
      <c r="H64" s="21">
        <f>EXP(-UFR*($A64+H$2))*(Alpha*MIN($A64,H$2)-0.5*EXP(-Alpha*MAX($A64,H$2))*(EXP(Alpha*MIN($A64,H$2))-EXP(-Alpha*MIN($A64,H$2))))</f>
        <v/>
      </c>
      <c r="I64" s="21">
        <f>EXP(-UFR*($A64+I$2))*(Alpha*MIN($A64,I$2)-0.5*EXP(-Alpha*MAX($A64,I$2))*(EXP(Alpha*MIN($A64,I$2))-EXP(-Alpha*MIN($A64,I$2))))</f>
        <v/>
      </c>
      <c r="J64" s="21">
        <f>EXP(-UFR*($A64+J$2))*(Alpha*MIN($A64,J$2)-0.5*EXP(-Alpha*MAX($A64,J$2))*(EXP(Alpha*MIN($A64,J$2))-EXP(-Alpha*MIN($A64,J$2))))</f>
        <v/>
      </c>
      <c r="K64" s="21">
        <f>EXP(-UFR*($A64+K$2))*(Alpha*MIN($A64,K$2)-0.5*EXP(-Alpha*MAX($A64,K$2))*(EXP(Alpha*MIN($A64,K$2))-EXP(-Alpha*MIN($A64,K$2))))</f>
        <v/>
      </c>
      <c r="L64" s="21">
        <f>EXP(-UFR*($A64+L$2))*(Alpha*MIN($A64,L$2)-0.5*EXP(-Alpha*MAX($A64,L$2))*(EXP(Alpha*MIN($A64,L$2))-EXP(-Alpha*MIN($A64,L$2))))</f>
        <v/>
      </c>
      <c r="M64" s="21">
        <f>EXP(-UFR*($A64+M$2))*(Alpha*MIN($A64,M$2)-0.5*EXP(-Alpha*MAX($A64,M$2))*(EXP(Alpha*MIN($A64,M$2))-EXP(-Alpha*MIN($A64,M$2))))</f>
        <v/>
      </c>
      <c r="N64" s="21">
        <f>EXP(-UFR*($A64+N$2))*(Alpha*MIN($A64,N$2)-0.5*EXP(-Alpha*MAX($A64,N$2))*(EXP(Alpha*MIN($A64,N$2))-EXP(-Alpha*MIN($A64,N$2))))</f>
        <v/>
      </c>
      <c r="O64" s="21">
        <f>EXP(-UFR*($A64+O$2))*(Alpha*MIN($A64,O$2)-0.5*EXP(-Alpha*MAX($A64,O$2))*(EXP(Alpha*MIN($A64,O$2))-EXP(-Alpha*MIN($A64,O$2))))</f>
        <v/>
      </c>
      <c r="P64" s="21">
        <f>EXP(-UFR*($A64+P$2))*(Alpha*MIN($A64,P$2)-0.5*EXP(-Alpha*MAX($A64,P$2))*(EXP(Alpha*MIN($A64,P$2))-EXP(-Alpha*MIN($A64,P$2))))</f>
        <v/>
      </c>
      <c r="Q64" s="21">
        <f>EXP(-UFR*($A64+Q$2))*(Alpha*MIN($A64,Q$2)-0.5*EXP(-Alpha*MAX($A64,Q$2))*(EXP(Alpha*MIN($A64,Q$2))-EXP(-Alpha*MIN($A64,Q$2))))</f>
        <v/>
      </c>
      <c r="R64" s="21">
        <f>EXP(-UFR*($A64+R$2))*(Alpha*MIN($A64,R$2)-0.5*EXP(-Alpha*MAX($A64,R$2))*(EXP(Alpha*MIN($A64,R$2))-EXP(-Alpha*MIN($A64,R$2))))</f>
        <v/>
      </c>
      <c r="S64" s="21">
        <f>EXP(-UFR*($A64+S$2))*(Alpha*MIN($A64,S$2)-0.5*EXP(-Alpha*MAX($A64,S$2))*(EXP(Alpha*MIN($A64,S$2))-EXP(-Alpha*MIN($A64,S$2))))</f>
        <v/>
      </c>
      <c r="T64" s="21">
        <f>EXP(-UFR*($A64+T$2))*(Alpha*MIN($A64,T$2)-0.5*EXP(-Alpha*MAX($A64,T$2))*(EXP(Alpha*MIN($A64,T$2))-EXP(-Alpha*MIN($A64,T$2))))</f>
        <v/>
      </c>
      <c r="U64" s="21">
        <f>EXP(-UFR*($A64+U$2))*(Alpha*MIN($A64,U$2)-0.5*EXP(-Alpha*MAX($A64,U$2))*(EXP(Alpha*MIN($A64,U$2))-EXP(-Alpha*MIN($A64,U$2))))</f>
        <v/>
      </c>
      <c r="V64" s="21">
        <f>EXP(-UFR*($A64+V$2))*(Alpha*MIN($A64,V$2)-0.5*EXP(-Alpha*MAX($A64,V$2))*(EXP(Alpha*MIN($A64,V$2))-EXP(-Alpha*MIN($A64,V$2))))</f>
        <v/>
      </c>
      <c r="W64" s="21">
        <f>EXP(-UFR*($A64+W$2))*(Alpha*MIN($A64,W$2)-0.5*EXP(-Alpha*MAX($A64,W$2))*(EXP(Alpha*MIN($A64,W$2))-EXP(-Alpha*MIN($A64,W$2))))</f>
        <v/>
      </c>
      <c r="X64" s="21">
        <f>EXP(-UFR*($A64+X$2))*(Alpha*MIN($A64,X$2)-0.5*EXP(-Alpha*MAX($A64,X$2))*(EXP(Alpha*MIN($A64,X$2))-EXP(-Alpha*MIN($A64,X$2))))</f>
        <v/>
      </c>
      <c r="Y64" s="21">
        <f>EXP(-UFR*($A64+Y$2))*(Alpha*MIN($A64,Y$2)-0.5*EXP(-Alpha*MAX($A64,Y$2))*(EXP(Alpha*MIN($A64,Y$2))-EXP(-Alpha*MIN($A64,Y$2))))</f>
        <v/>
      </c>
      <c r="Z64" s="21">
        <f>EXP(-UFR*($A64+Z$2))*(Alpha*MIN($A64,Z$2)-0.5*EXP(-Alpha*MAX($A64,Z$2))*(EXP(Alpha*MIN($A64,Z$2))-EXP(-Alpha*MIN($A64,Z$2))))</f>
        <v/>
      </c>
    </row>
    <row r="65">
      <c r="A65" s="20">
        <f>A64+1</f>
        <v/>
      </c>
      <c r="B65" s="21">
        <f>EXP(-UFR*($A65+B$2))*(Alpha*MIN($A65,B$2)-0.5*EXP(-Alpha*MAX($A65,B$2))*(EXP(Alpha*MIN($A65,B$2))-EXP(-Alpha*MIN($A65,B$2))))</f>
        <v/>
      </c>
      <c r="C65" s="21">
        <f>EXP(-UFR*($A65+C$2))*(Alpha*MIN($A65,C$2)-0.5*EXP(-Alpha*MAX($A65,C$2))*(EXP(Alpha*MIN($A65,C$2))-EXP(-Alpha*MIN($A65,C$2))))</f>
        <v/>
      </c>
      <c r="D65" s="21">
        <f>EXP(-UFR*($A65+D$2))*(Alpha*MIN($A65,D$2)-0.5*EXP(-Alpha*MAX($A65,D$2))*(EXP(Alpha*MIN($A65,D$2))-EXP(-Alpha*MIN($A65,D$2))))</f>
        <v/>
      </c>
      <c r="E65" s="21">
        <f>EXP(-UFR*($A65+E$2))*(Alpha*MIN($A65,E$2)-0.5*EXP(-Alpha*MAX($A65,E$2))*(EXP(Alpha*MIN($A65,E$2))-EXP(-Alpha*MIN($A65,E$2))))</f>
        <v/>
      </c>
      <c r="F65" s="21">
        <f>EXP(-UFR*($A65+F$2))*(Alpha*MIN($A65,F$2)-0.5*EXP(-Alpha*MAX($A65,F$2))*(EXP(Alpha*MIN($A65,F$2))-EXP(-Alpha*MIN($A65,F$2))))</f>
        <v/>
      </c>
      <c r="G65" s="21">
        <f>EXP(-UFR*($A65+G$2))*(Alpha*MIN($A65,G$2)-0.5*EXP(-Alpha*MAX($A65,G$2))*(EXP(Alpha*MIN($A65,G$2))-EXP(-Alpha*MIN($A65,G$2))))</f>
        <v/>
      </c>
      <c r="H65" s="21">
        <f>EXP(-UFR*($A65+H$2))*(Alpha*MIN($A65,H$2)-0.5*EXP(-Alpha*MAX($A65,H$2))*(EXP(Alpha*MIN($A65,H$2))-EXP(-Alpha*MIN($A65,H$2))))</f>
        <v/>
      </c>
      <c r="I65" s="21">
        <f>EXP(-UFR*($A65+I$2))*(Alpha*MIN($A65,I$2)-0.5*EXP(-Alpha*MAX($A65,I$2))*(EXP(Alpha*MIN($A65,I$2))-EXP(-Alpha*MIN($A65,I$2))))</f>
        <v/>
      </c>
      <c r="J65" s="21">
        <f>EXP(-UFR*($A65+J$2))*(Alpha*MIN($A65,J$2)-0.5*EXP(-Alpha*MAX($A65,J$2))*(EXP(Alpha*MIN($A65,J$2))-EXP(-Alpha*MIN($A65,J$2))))</f>
        <v/>
      </c>
      <c r="K65" s="21">
        <f>EXP(-UFR*($A65+K$2))*(Alpha*MIN($A65,K$2)-0.5*EXP(-Alpha*MAX($A65,K$2))*(EXP(Alpha*MIN($A65,K$2))-EXP(-Alpha*MIN($A65,K$2))))</f>
        <v/>
      </c>
      <c r="L65" s="21">
        <f>EXP(-UFR*($A65+L$2))*(Alpha*MIN($A65,L$2)-0.5*EXP(-Alpha*MAX($A65,L$2))*(EXP(Alpha*MIN($A65,L$2))-EXP(-Alpha*MIN($A65,L$2))))</f>
        <v/>
      </c>
      <c r="M65" s="21">
        <f>EXP(-UFR*($A65+M$2))*(Alpha*MIN($A65,M$2)-0.5*EXP(-Alpha*MAX($A65,M$2))*(EXP(Alpha*MIN($A65,M$2))-EXP(-Alpha*MIN($A65,M$2))))</f>
        <v/>
      </c>
      <c r="N65" s="21">
        <f>EXP(-UFR*($A65+N$2))*(Alpha*MIN($A65,N$2)-0.5*EXP(-Alpha*MAX($A65,N$2))*(EXP(Alpha*MIN($A65,N$2))-EXP(-Alpha*MIN($A65,N$2))))</f>
        <v/>
      </c>
      <c r="O65" s="21">
        <f>EXP(-UFR*($A65+O$2))*(Alpha*MIN($A65,O$2)-0.5*EXP(-Alpha*MAX($A65,O$2))*(EXP(Alpha*MIN($A65,O$2))-EXP(-Alpha*MIN($A65,O$2))))</f>
        <v/>
      </c>
      <c r="P65" s="21">
        <f>EXP(-UFR*($A65+P$2))*(Alpha*MIN($A65,P$2)-0.5*EXP(-Alpha*MAX($A65,P$2))*(EXP(Alpha*MIN($A65,P$2))-EXP(-Alpha*MIN($A65,P$2))))</f>
        <v/>
      </c>
      <c r="Q65" s="21">
        <f>EXP(-UFR*($A65+Q$2))*(Alpha*MIN($A65,Q$2)-0.5*EXP(-Alpha*MAX($A65,Q$2))*(EXP(Alpha*MIN($A65,Q$2))-EXP(-Alpha*MIN($A65,Q$2))))</f>
        <v/>
      </c>
      <c r="R65" s="21">
        <f>EXP(-UFR*($A65+R$2))*(Alpha*MIN($A65,R$2)-0.5*EXP(-Alpha*MAX($A65,R$2))*(EXP(Alpha*MIN($A65,R$2))-EXP(-Alpha*MIN($A65,R$2))))</f>
        <v/>
      </c>
      <c r="S65" s="21">
        <f>EXP(-UFR*($A65+S$2))*(Alpha*MIN($A65,S$2)-0.5*EXP(-Alpha*MAX($A65,S$2))*(EXP(Alpha*MIN($A65,S$2))-EXP(-Alpha*MIN($A65,S$2))))</f>
        <v/>
      </c>
      <c r="T65" s="21">
        <f>EXP(-UFR*($A65+T$2))*(Alpha*MIN($A65,T$2)-0.5*EXP(-Alpha*MAX($A65,T$2))*(EXP(Alpha*MIN($A65,T$2))-EXP(-Alpha*MIN($A65,T$2))))</f>
        <v/>
      </c>
      <c r="U65" s="21">
        <f>EXP(-UFR*($A65+U$2))*(Alpha*MIN($A65,U$2)-0.5*EXP(-Alpha*MAX($A65,U$2))*(EXP(Alpha*MIN($A65,U$2))-EXP(-Alpha*MIN($A65,U$2))))</f>
        <v/>
      </c>
      <c r="V65" s="21">
        <f>EXP(-UFR*($A65+V$2))*(Alpha*MIN($A65,V$2)-0.5*EXP(-Alpha*MAX($A65,V$2))*(EXP(Alpha*MIN($A65,V$2))-EXP(-Alpha*MIN($A65,V$2))))</f>
        <v/>
      </c>
      <c r="W65" s="21">
        <f>EXP(-UFR*($A65+W$2))*(Alpha*MIN($A65,W$2)-0.5*EXP(-Alpha*MAX($A65,W$2))*(EXP(Alpha*MIN($A65,W$2))-EXP(-Alpha*MIN($A65,W$2))))</f>
        <v/>
      </c>
      <c r="X65" s="21">
        <f>EXP(-UFR*($A65+X$2))*(Alpha*MIN($A65,X$2)-0.5*EXP(-Alpha*MAX($A65,X$2))*(EXP(Alpha*MIN($A65,X$2))-EXP(-Alpha*MIN($A65,X$2))))</f>
        <v/>
      </c>
      <c r="Y65" s="21">
        <f>EXP(-UFR*($A65+Y$2))*(Alpha*MIN($A65,Y$2)-0.5*EXP(-Alpha*MAX($A65,Y$2))*(EXP(Alpha*MIN($A65,Y$2))-EXP(-Alpha*MIN($A65,Y$2))))</f>
        <v/>
      </c>
      <c r="Z65" s="21">
        <f>EXP(-UFR*($A65+Z$2))*(Alpha*MIN($A65,Z$2)-0.5*EXP(-Alpha*MAX($A65,Z$2))*(EXP(Alpha*MIN($A65,Z$2))-EXP(-Alpha*MIN($A65,Z$2))))</f>
        <v/>
      </c>
    </row>
    <row r="66">
      <c r="A66" s="20">
        <f>A65+1</f>
        <v/>
      </c>
      <c r="B66" s="21">
        <f>EXP(-UFR*($A66+B$2))*(Alpha*MIN($A66,B$2)-0.5*EXP(-Alpha*MAX($A66,B$2))*(EXP(Alpha*MIN($A66,B$2))-EXP(-Alpha*MIN($A66,B$2))))</f>
        <v/>
      </c>
      <c r="C66" s="21">
        <f>EXP(-UFR*($A66+C$2))*(Alpha*MIN($A66,C$2)-0.5*EXP(-Alpha*MAX($A66,C$2))*(EXP(Alpha*MIN($A66,C$2))-EXP(-Alpha*MIN($A66,C$2))))</f>
        <v/>
      </c>
      <c r="D66" s="21">
        <f>EXP(-UFR*($A66+D$2))*(Alpha*MIN($A66,D$2)-0.5*EXP(-Alpha*MAX($A66,D$2))*(EXP(Alpha*MIN($A66,D$2))-EXP(-Alpha*MIN($A66,D$2))))</f>
        <v/>
      </c>
      <c r="E66" s="21">
        <f>EXP(-UFR*($A66+E$2))*(Alpha*MIN($A66,E$2)-0.5*EXP(-Alpha*MAX($A66,E$2))*(EXP(Alpha*MIN($A66,E$2))-EXP(-Alpha*MIN($A66,E$2))))</f>
        <v/>
      </c>
      <c r="F66" s="21">
        <f>EXP(-UFR*($A66+F$2))*(Alpha*MIN($A66,F$2)-0.5*EXP(-Alpha*MAX($A66,F$2))*(EXP(Alpha*MIN($A66,F$2))-EXP(-Alpha*MIN($A66,F$2))))</f>
        <v/>
      </c>
      <c r="G66" s="21">
        <f>EXP(-UFR*($A66+G$2))*(Alpha*MIN($A66,G$2)-0.5*EXP(-Alpha*MAX($A66,G$2))*(EXP(Alpha*MIN($A66,G$2))-EXP(-Alpha*MIN($A66,G$2))))</f>
        <v/>
      </c>
      <c r="H66" s="21">
        <f>EXP(-UFR*($A66+H$2))*(Alpha*MIN($A66,H$2)-0.5*EXP(-Alpha*MAX($A66,H$2))*(EXP(Alpha*MIN($A66,H$2))-EXP(-Alpha*MIN($A66,H$2))))</f>
        <v/>
      </c>
      <c r="I66" s="21">
        <f>EXP(-UFR*($A66+I$2))*(Alpha*MIN($A66,I$2)-0.5*EXP(-Alpha*MAX($A66,I$2))*(EXP(Alpha*MIN($A66,I$2))-EXP(-Alpha*MIN($A66,I$2))))</f>
        <v/>
      </c>
      <c r="J66" s="21">
        <f>EXP(-UFR*($A66+J$2))*(Alpha*MIN($A66,J$2)-0.5*EXP(-Alpha*MAX($A66,J$2))*(EXP(Alpha*MIN($A66,J$2))-EXP(-Alpha*MIN($A66,J$2))))</f>
        <v/>
      </c>
      <c r="K66" s="21">
        <f>EXP(-UFR*($A66+K$2))*(Alpha*MIN($A66,K$2)-0.5*EXP(-Alpha*MAX($A66,K$2))*(EXP(Alpha*MIN($A66,K$2))-EXP(-Alpha*MIN($A66,K$2))))</f>
        <v/>
      </c>
      <c r="L66" s="21">
        <f>EXP(-UFR*($A66+L$2))*(Alpha*MIN($A66,L$2)-0.5*EXP(-Alpha*MAX($A66,L$2))*(EXP(Alpha*MIN($A66,L$2))-EXP(-Alpha*MIN($A66,L$2))))</f>
        <v/>
      </c>
      <c r="M66" s="21">
        <f>EXP(-UFR*($A66+M$2))*(Alpha*MIN($A66,M$2)-0.5*EXP(-Alpha*MAX($A66,M$2))*(EXP(Alpha*MIN($A66,M$2))-EXP(-Alpha*MIN($A66,M$2))))</f>
        <v/>
      </c>
      <c r="N66" s="21">
        <f>EXP(-UFR*($A66+N$2))*(Alpha*MIN($A66,N$2)-0.5*EXP(-Alpha*MAX($A66,N$2))*(EXP(Alpha*MIN($A66,N$2))-EXP(-Alpha*MIN($A66,N$2))))</f>
        <v/>
      </c>
      <c r="O66" s="21">
        <f>EXP(-UFR*($A66+O$2))*(Alpha*MIN($A66,O$2)-0.5*EXP(-Alpha*MAX($A66,O$2))*(EXP(Alpha*MIN($A66,O$2))-EXP(-Alpha*MIN($A66,O$2))))</f>
        <v/>
      </c>
      <c r="P66" s="21">
        <f>EXP(-UFR*($A66+P$2))*(Alpha*MIN($A66,P$2)-0.5*EXP(-Alpha*MAX($A66,P$2))*(EXP(Alpha*MIN($A66,P$2))-EXP(-Alpha*MIN($A66,P$2))))</f>
        <v/>
      </c>
      <c r="Q66" s="21">
        <f>EXP(-UFR*($A66+Q$2))*(Alpha*MIN($A66,Q$2)-0.5*EXP(-Alpha*MAX($A66,Q$2))*(EXP(Alpha*MIN($A66,Q$2))-EXP(-Alpha*MIN($A66,Q$2))))</f>
        <v/>
      </c>
      <c r="R66" s="21">
        <f>EXP(-UFR*($A66+R$2))*(Alpha*MIN($A66,R$2)-0.5*EXP(-Alpha*MAX($A66,R$2))*(EXP(Alpha*MIN($A66,R$2))-EXP(-Alpha*MIN($A66,R$2))))</f>
        <v/>
      </c>
      <c r="S66" s="21">
        <f>EXP(-UFR*($A66+S$2))*(Alpha*MIN($A66,S$2)-0.5*EXP(-Alpha*MAX($A66,S$2))*(EXP(Alpha*MIN($A66,S$2))-EXP(-Alpha*MIN($A66,S$2))))</f>
        <v/>
      </c>
      <c r="T66" s="21">
        <f>EXP(-UFR*($A66+T$2))*(Alpha*MIN($A66,T$2)-0.5*EXP(-Alpha*MAX($A66,T$2))*(EXP(Alpha*MIN($A66,T$2))-EXP(-Alpha*MIN($A66,T$2))))</f>
        <v/>
      </c>
      <c r="U66" s="21">
        <f>EXP(-UFR*($A66+U$2))*(Alpha*MIN($A66,U$2)-0.5*EXP(-Alpha*MAX($A66,U$2))*(EXP(Alpha*MIN($A66,U$2))-EXP(-Alpha*MIN($A66,U$2))))</f>
        <v/>
      </c>
      <c r="V66" s="21">
        <f>EXP(-UFR*($A66+V$2))*(Alpha*MIN($A66,V$2)-0.5*EXP(-Alpha*MAX($A66,V$2))*(EXP(Alpha*MIN($A66,V$2))-EXP(-Alpha*MIN($A66,V$2))))</f>
        <v/>
      </c>
      <c r="W66" s="21">
        <f>EXP(-UFR*($A66+W$2))*(Alpha*MIN($A66,W$2)-0.5*EXP(-Alpha*MAX($A66,W$2))*(EXP(Alpha*MIN($A66,W$2))-EXP(-Alpha*MIN($A66,W$2))))</f>
        <v/>
      </c>
      <c r="X66" s="21">
        <f>EXP(-UFR*($A66+X$2))*(Alpha*MIN($A66,X$2)-0.5*EXP(-Alpha*MAX($A66,X$2))*(EXP(Alpha*MIN($A66,X$2))-EXP(-Alpha*MIN($A66,X$2))))</f>
        <v/>
      </c>
      <c r="Y66" s="21">
        <f>EXP(-UFR*($A66+Y$2))*(Alpha*MIN($A66,Y$2)-0.5*EXP(-Alpha*MAX($A66,Y$2))*(EXP(Alpha*MIN($A66,Y$2))-EXP(-Alpha*MIN($A66,Y$2))))</f>
        <v/>
      </c>
      <c r="Z66" s="21">
        <f>EXP(-UFR*($A66+Z$2))*(Alpha*MIN($A66,Z$2)-0.5*EXP(-Alpha*MAX($A66,Z$2))*(EXP(Alpha*MIN($A66,Z$2))-EXP(-Alpha*MIN($A66,Z$2))))</f>
        <v/>
      </c>
    </row>
    <row r="67">
      <c r="A67" s="20">
        <f>A66+1</f>
        <v/>
      </c>
      <c r="B67" s="21">
        <f>EXP(-UFR*($A67+B$2))*(Alpha*MIN($A67,B$2)-0.5*EXP(-Alpha*MAX($A67,B$2))*(EXP(Alpha*MIN($A67,B$2))-EXP(-Alpha*MIN($A67,B$2))))</f>
        <v/>
      </c>
      <c r="C67" s="21">
        <f>EXP(-UFR*($A67+C$2))*(Alpha*MIN($A67,C$2)-0.5*EXP(-Alpha*MAX($A67,C$2))*(EXP(Alpha*MIN($A67,C$2))-EXP(-Alpha*MIN($A67,C$2))))</f>
        <v/>
      </c>
      <c r="D67" s="21">
        <f>EXP(-UFR*($A67+D$2))*(Alpha*MIN($A67,D$2)-0.5*EXP(-Alpha*MAX($A67,D$2))*(EXP(Alpha*MIN($A67,D$2))-EXP(-Alpha*MIN($A67,D$2))))</f>
        <v/>
      </c>
      <c r="E67" s="21">
        <f>EXP(-UFR*($A67+E$2))*(Alpha*MIN($A67,E$2)-0.5*EXP(-Alpha*MAX($A67,E$2))*(EXP(Alpha*MIN($A67,E$2))-EXP(-Alpha*MIN($A67,E$2))))</f>
        <v/>
      </c>
      <c r="F67" s="21">
        <f>EXP(-UFR*($A67+F$2))*(Alpha*MIN($A67,F$2)-0.5*EXP(-Alpha*MAX($A67,F$2))*(EXP(Alpha*MIN($A67,F$2))-EXP(-Alpha*MIN($A67,F$2))))</f>
        <v/>
      </c>
      <c r="G67" s="21">
        <f>EXP(-UFR*($A67+G$2))*(Alpha*MIN($A67,G$2)-0.5*EXP(-Alpha*MAX($A67,G$2))*(EXP(Alpha*MIN($A67,G$2))-EXP(-Alpha*MIN($A67,G$2))))</f>
        <v/>
      </c>
      <c r="H67" s="21">
        <f>EXP(-UFR*($A67+H$2))*(Alpha*MIN($A67,H$2)-0.5*EXP(-Alpha*MAX($A67,H$2))*(EXP(Alpha*MIN($A67,H$2))-EXP(-Alpha*MIN($A67,H$2))))</f>
        <v/>
      </c>
      <c r="I67" s="21">
        <f>EXP(-UFR*($A67+I$2))*(Alpha*MIN($A67,I$2)-0.5*EXP(-Alpha*MAX($A67,I$2))*(EXP(Alpha*MIN($A67,I$2))-EXP(-Alpha*MIN($A67,I$2))))</f>
        <v/>
      </c>
      <c r="J67" s="21">
        <f>EXP(-UFR*($A67+J$2))*(Alpha*MIN($A67,J$2)-0.5*EXP(-Alpha*MAX($A67,J$2))*(EXP(Alpha*MIN($A67,J$2))-EXP(-Alpha*MIN($A67,J$2))))</f>
        <v/>
      </c>
      <c r="K67" s="21">
        <f>EXP(-UFR*($A67+K$2))*(Alpha*MIN($A67,K$2)-0.5*EXP(-Alpha*MAX($A67,K$2))*(EXP(Alpha*MIN($A67,K$2))-EXP(-Alpha*MIN($A67,K$2))))</f>
        <v/>
      </c>
      <c r="L67" s="21">
        <f>EXP(-UFR*($A67+L$2))*(Alpha*MIN($A67,L$2)-0.5*EXP(-Alpha*MAX($A67,L$2))*(EXP(Alpha*MIN($A67,L$2))-EXP(-Alpha*MIN($A67,L$2))))</f>
        <v/>
      </c>
      <c r="M67" s="21">
        <f>EXP(-UFR*($A67+M$2))*(Alpha*MIN($A67,M$2)-0.5*EXP(-Alpha*MAX($A67,M$2))*(EXP(Alpha*MIN($A67,M$2))-EXP(-Alpha*MIN($A67,M$2))))</f>
        <v/>
      </c>
      <c r="N67" s="21">
        <f>EXP(-UFR*($A67+N$2))*(Alpha*MIN($A67,N$2)-0.5*EXP(-Alpha*MAX($A67,N$2))*(EXP(Alpha*MIN($A67,N$2))-EXP(-Alpha*MIN($A67,N$2))))</f>
        <v/>
      </c>
      <c r="O67" s="21">
        <f>EXP(-UFR*($A67+O$2))*(Alpha*MIN($A67,O$2)-0.5*EXP(-Alpha*MAX($A67,O$2))*(EXP(Alpha*MIN($A67,O$2))-EXP(-Alpha*MIN($A67,O$2))))</f>
        <v/>
      </c>
      <c r="P67" s="21">
        <f>EXP(-UFR*($A67+P$2))*(Alpha*MIN($A67,P$2)-0.5*EXP(-Alpha*MAX($A67,P$2))*(EXP(Alpha*MIN($A67,P$2))-EXP(-Alpha*MIN($A67,P$2))))</f>
        <v/>
      </c>
      <c r="Q67" s="21">
        <f>EXP(-UFR*($A67+Q$2))*(Alpha*MIN($A67,Q$2)-0.5*EXP(-Alpha*MAX($A67,Q$2))*(EXP(Alpha*MIN($A67,Q$2))-EXP(-Alpha*MIN($A67,Q$2))))</f>
        <v/>
      </c>
      <c r="R67" s="21">
        <f>EXP(-UFR*($A67+R$2))*(Alpha*MIN($A67,R$2)-0.5*EXP(-Alpha*MAX($A67,R$2))*(EXP(Alpha*MIN($A67,R$2))-EXP(-Alpha*MIN($A67,R$2))))</f>
        <v/>
      </c>
      <c r="S67" s="21">
        <f>EXP(-UFR*($A67+S$2))*(Alpha*MIN($A67,S$2)-0.5*EXP(-Alpha*MAX($A67,S$2))*(EXP(Alpha*MIN($A67,S$2))-EXP(-Alpha*MIN($A67,S$2))))</f>
        <v/>
      </c>
      <c r="T67" s="21">
        <f>EXP(-UFR*($A67+T$2))*(Alpha*MIN($A67,T$2)-0.5*EXP(-Alpha*MAX($A67,T$2))*(EXP(Alpha*MIN($A67,T$2))-EXP(-Alpha*MIN($A67,T$2))))</f>
        <v/>
      </c>
      <c r="U67" s="21">
        <f>EXP(-UFR*($A67+U$2))*(Alpha*MIN($A67,U$2)-0.5*EXP(-Alpha*MAX($A67,U$2))*(EXP(Alpha*MIN($A67,U$2))-EXP(-Alpha*MIN($A67,U$2))))</f>
        <v/>
      </c>
      <c r="V67" s="21">
        <f>EXP(-UFR*($A67+V$2))*(Alpha*MIN($A67,V$2)-0.5*EXP(-Alpha*MAX($A67,V$2))*(EXP(Alpha*MIN($A67,V$2))-EXP(-Alpha*MIN($A67,V$2))))</f>
        <v/>
      </c>
      <c r="W67" s="21">
        <f>EXP(-UFR*($A67+W$2))*(Alpha*MIN($A67,W$2)-0.5*EXP(-Alpha*MAX($A67,W$2))*(EXP(Alpha*MIN($A67,W$2))-EXP(-Alpha*MIN($A67,W$2))))</f>
        <v/>
      </c>
      <c r="X67" s="21">
        <f>EXP(-UFR*($A67+X$2))*(Alpha*MIN($A67,X$2)-0.5*EXP(-Alpha*MAX($A67,X$2))*(EXP(Alpha*MIN($A67,X$2))-EXP(-Alpha*MIN($A67,X$2))))</f>
        <v/>
      </c>
      <c r="Y67" s="21">
        <f>EXP(-UFR*($A67+Y$2))*(Alpha*MIN($A67,Y$2)-0.5*EXP(-Alpha*MAX($A67,Y$2))*(EXP(Alpha*MIN($A67,Y$2))-EXP(-Alpha*MIN($A67,Y$2))))</f>
        <v/>
      </c>
      <c r="Z67" s="21">
        <f>EXP(-UFR*($A67+Z$2))*(Alpha*MIN($A67,Z$2)-0.5*EXP(-Alpha*MAX($A67,Z$2))*(EXP(Alpha*MIN($A67,Z$2))-EXP(-Alpha*MIN($A67,Z$2))))</f>
        <v/>
      </c>
    </row>
    <row r="68">
      <c r="A68" s="20">
        <f>A67+1</f>
        <v/>
      </c>
      <c r="B68" s="21">
        <f>EXP(-UFR*($A68+B$2))*(Alpha*MIN($A68,B$2)-0.5*EXP(-Alpha*MAX($A68,B$2))*(EXP(Alpha*MIN($A68,B$2))-EXP(-Alpha*MIN($A68,B$2))))</f>
        <v/>
      </c>
      <c r="C68" s="21">
        <f>EXP(-UFR*($A68+C$2))*(Alpha*MIN($A68,C$2)-0.5*EXP(-Alpha*MAX($A68,C$2))*(EXP(Alpha*MIN($A68,C$2))-EXP(-Alpha*MIN($A68,C$2))))</f>
        <v/>
      </c>
      <c r="D68" s="21">
        <f>EXP(-UFR*($A68+D$2))*(Alpha*MIN($A68,D$2)-0.5*EXP(-Alpha*MAX($A68,D$2))*(EXP(Alpha*MIN($A68,D$2))-EXP(-Alpha*MIN($A68,D$2))))</f>
        <v/>
      </c>
      <c r="E68" s="21">
        <f>EXP(-UFR*($A68+E$2))*(Alpha*MIN($A68,E$2)-0.5*EXP(-Alpha*MAX($A68,E$2))*(EXP(Alpha*MIN($A68,E$2))-EXP(-Alpha*MIN($A68,E$2))))</f>
        <v/>
      </c>
      <c r="F68" s="21">
        <f>EXP(-UFR*($A68+F$2))*(Alpha*MIN($A68,F$2)-0.5*EXP(-Alpha*MAX($A68,F$2))*(EXP(Alpha*MIN($A68,F$2))-EXP(-Alpha*MIN($A68,F$2))))</f>
        <v/>
      </c>
      <c r="G68" s="21">
        <f>EXP(-UFR*($A68+G$2))*(Alpha*MIN($A68,G$2)-0.5*EXP(-Alpha*MAX($A68,G$2))*(EXP(Alpha*MIN($A68,G$2))-EXP(-Alpha*MIN($A68,G$2))))</f>
        <v/>
      </c>
      <c r="H68" s="21">
        <f>EXP(-UFR*($A68+H$2))*(Alpha*MIN($A68,H$2)-0.5*EXP(-Alpha*MAX($A68,H$2))*(EXP(Alpha*MIN($A68,H$2))-EXP(-Alpha*MIN($A68,H$2))))</f>
        <v/>
      </c>
      <c r="I68" s="21">
        <f>EXP(-UFR*($A68+I$2))*(Alpha*MIN($A68,I$2)-0.5*EXP(-Alpha*MAX($A68,I$2))*(EXP(Alpha*MIN($A68,I$2))-EXP(-Alpha*MIN($A68,I$2))))</f>
        <v/>
      </c>
      <c r="J68" s="21">
        <f>EXP(-UFR*($A68+J$2))*(Alpha*MIN($A68,J$2)-0.5*EXP(-Alpha*MAX($A68,J$2))*(EXP(Alpha*MIN($A68,J$2))-EXP(-Alpha*MIN($A68,J$2))))</f>
        <v/>
      </c>
      <c r="K68" s="21">
        <f>EXP(-UFR*($A68+K$2))*(Alpha*MIN($A68,K$2)-0.5*EXP(-Alpha*MAX($A68,K$2))*(EXP(Alpha*MIN($A68,K$2))-EXP(-Alpha*MIN($A68,K$2))))</f>
        <v/>
      </c>
      <c r="L68" s="21">
        <f>EXP(-UFR*($A68+L$2))*(Alpha*MIN($A68,L$2)-0.5*EXP(-Alpha*MAX($A68,L$2))*(EXP(Alpha*MIN($A68,L$2))-EXP(-Alpha*MIN($A68,L$2))))</f>
        <v/>
      </c>
      <c r="M68" s="21">
        <f>EXP(-UFR*($A68+M$2))*(Alpha*MIN($A68,M$2)-0.5*EXP(-Alpha*MAX($A68,M$2))*(EXP(Alpha*MIN($A68,M$2))-EXP(-Alpha*MIN($A68,M$2))))</f>
        <v/>
      </c>
      <c r="N68" s="21">
        <f>EXP(-UFR*($A68+N$2))*(Alpha*MIN($A68,N$2)-0.5*EXP(-Alpha*MAX($A68,N$2))*(EXP(Alpha*MIN($A68,N$2))-EXP(-Alpha*MIN($A68,N$2))))</f>
        <v/>
      </c>
      <c r="O68" s="21">
        <f>EXP(-UFR*($A68+O$2))*(Alpha*MIN($A68,O$2)-0.5*EXP(-Alpha*MAX($A68,O$2))*(EXP(Alpha*MIN($A68,O$2))-EXP(-Alpha*MIN($A68,O$2))))</f>
        <v/>
      </c>
      <c r="P68" s="21">
        <f>EXP(-UFR*($A68+P$2))*(Alpha*MIN($A68,P$2)-0.5*EXP(-Alpha*MAX($A68,P$2))*(EXP(Alpha*MIN($A68,P$2))-EXP(-Alpha*MIN($A68,P$2))))</f>
        <v/>
      </c>
      <c r="Q68" s="21">
        <f>EXP(-UFR*($A68+Q$2))*(Alpha*MIN($A68,Q$2)-0.5*EXP(-Alpha*MAX($A68,Q$2))*(EXP(Alpha*MIN($A68,Q$2))-EXP(-Alpha*MIN($A68,Q$2))))</f>
        <v/>
      </c>
      <c r="R68" s="21">
        <f>EXP(-UFR*($A68+R$2))*(Alpha*MIN($A68,R$2)-0.5*EXP(-Alpha*MAX($A68,R$2))*(EXP(Alpha*MIN($A68,R$2))-EXP(-Alpha*MIN($A68,R$2))))</f>
        <v/>
      </c>
      <c r="S68" s="21">
        <f>EXP(-UFR*($A68+S$2))*(Alpha*MIN($A68,S$2)-0.5*EXP(-Alpha*MAX($A68,S$2))*(EXP(Alpha*MIN($A68,S$2))-EXP(-Alpha*MIN($A68,S$2))))</f>
        <v/>
      </c>
      <c r="T68" s="21">
        <f>EXP(-UFR*($A68+T$2))*(Alpha*MIN($A68,T$2)-0.5*EXP(-Alpha*MAX($A68,T$2))*(EXP(Alpha*MIN($A68,T$2))-EXP(-Alpha*MIN($A68,T$2))))</f>
        <v/>
      </c>
      <c r="U68" s="21">
        <f>EXP(-UFR*($A68+U$2))*(Alpha*MIN($A68,U$2)-0.5*EXP(-Alpha*MAX($A68,U$2))*(EXP(Alpha*MIN($A68,U$2))-EXP(-Alpha*MIN($A68,U$2))))</f>
        <v/>
      </c>
      <c r="V68" s="21">
        <f>EXP(-UFR*($A68+V$2))*(Alpha*MIN($A68,V$2)-0.5*EXP(-Alpha*MAX($A68,V$2))*(EXP(Alpha*MIN($A68,V$2))-EXP(-Alpha*MIN($A68,V$2))))</f>
        <v/>
      </c>
      <c r="W68" s="21">
        <f>EXP(-UFR*($A68+W$2))*(Alpha*MIN($A68,W$2)-0.5*EXP(-Alpha*MAX($A68,W$2))*(EXP(Alpha*MIN($A68,W$2))-EXP(-Alpha*MIN($A68,W$2))))</f>
        <v/>
      </c>
      <c r="X68" s="21">
        <f>EXP(-UFR*($A68+X$2))*(Alpha*MIN($A68,X$2)-0.5*EXP(-Alpha*MAX($A68,X$2))*(EXP(Alpha*MIN($A68,X$2))-EXP(-Alpha*MIN($A68,X$2))))</f>
        <v/>
      </c>
      <c r="Y68" s="21">
        <f>EXP(-UFR*($A68+Y$2))*(Alpha*MIN($A68,Y$2)-0.5*EXP(-Alpha*MAX($A68,Y$2))*(EXP(Alpha*MIN($A68,Y$2))-EXP(-Alpha*MIN($A68,Y$2))))</f>
        <v/>
      </c>
      <c r="Z68" s="21">
        <f>EXP(-UFR*($A68+Z$2))*(Alpha*MIN($A68,Z$2)-0.5*EXP(-Alpha*MAX($A68,Z$2))*(EXP(Alpha*MIN($A68,Z$2))-EXP(-Alpha*MIN($A68,Z$2))))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3" t="inlineStr">
        <is>
          <t>Calibration of the ζ vector: ζ = W⁻¹ (m − μ), solved with a native MINVERSE/MMULT array formula (formula (5), QIS5 technical paper)</t>
        </is>
      </c>
    </row>
    <row r="2">
      <c r="A2" s="10" t="inlineStr">
        <is>
          <t>j</t>
        </is>
      </c>
      <c r="B2" s="10" t="inlineStr">
        <is>
          <t>Maturity u_j</t>
        </is>
      </c>
      <c r="C2" s="10" t="inlineStr">
        <is>
          <t>Spot rate p.a.</t>
        </is>
      </c>
      <c r="D2" s="10" t="inlineStr">
        <is>
          <t>Bond price m_j</t>
        </is>
      </c>
      <c r="E2" s="10" t="inlineStr">
        <is>
          <t>UFR price μ_j</t>
        </is>
      </c>
      <c r="F2" s="10" t="inlineStr">
        <is>
          <t>m_j − μ_j</t>
        </is>
      </c>
      <c r="G2" s="10" t="inlineStr">
        <is>
          <t>ζ_j</t>
        </is>
      </c>
    </row>
    <row r="3">
      <c r="A3" s="17" t="inlineStr">
        <is>
          <t>j</t>
        </is>
      </c>
      <c r="B3" s="17" t="inlineStr">
        <is>
          <t>u</t>
        </is>
      </c>
      <c r="C3" s="17" t="inlineStr">
        <is>
          <t>spot_rates</t>
        </is>
      </c>
      <c r="D3" s="17" t="inlineStr">
        <is>
          <t>m</t>
        </is>
      </c>
      <c r="E3" s="17" t="inlineStr">
        <is>
          <t>mu</t>
        </is>
      </c>
      <c r="F3" s="17" t="inlineStr"/>
      <c r="G3" s="17" t="inlineStr">
        <is>
          <t>zeta</t>
        </is>
      </c>
    </row>
    <row r="4">
      <c r="A4" s="20" t="n">
        <v>1</v>
      </c>
      <c r="B4" s="22">
        <f>INDEX(SpotMaturities,A4)</f>
        <v/>
      </c>
      <c r="C4" s="23">
        <f>INDEX(SpotRates,A4)</f>
        <v/>
      </c>
      <c r="D4" s="24">
        <f>(1+C4)^(-B4)</f>
        <v/>
      </c>
      <c r="E4" s="21">
        <f>EXP(-UFR*B4)</f>
        <v/>
      </c>
      <c r="F4" s="24">
        <f>D4-E4</f>
        <v/>
      </c>
      <c r="G4" s="25">
        <f t="array" ref="G4:G28">MMULT(MINVERSE(WMatrix),DVec)</f>
        <v/>
      </c>
    </row>
    <row r="5">
      <c r="A5" s="20">
        <f>A4+1</f>
        <v/>
      </c>
      <c r="B5" s="22">
        <f>INDEX(SpotMaturities,A5)</f>
        <v/>
      </c>
      <c r="C5" s="23">
        <f>INDEX(SpotRates,A5)</f>
        <v/>
      </c>
      <c r="D5" s="24">
        <f>(1+C5)^(-B5)</f>
        <v/>
      </c>
      <c r="E5" s="21">
        <f>EXP(-UFR*B5)</f>
        <v/>
      </c>
      <c r="F5" s="24">
        <f>D5-E5</f>
        <v/>
      </c>
      <c r="G5" s="25" t="n"/>
    </row>
    <row r="6">
      <c r="A6" s="20">
        <f>A5+1</f>
        <v/>
      </c>
      <c r="B6" s="22">
        <f>INDEX(SpotMaturities,A6)</f>
        <v/>
      </c>
      <c r="C6" s="23">
        <f>INDEX(SpotRates,A6)</f>
        <v/>
      </c>
      <c r="D6" s="24">
        <f>(1+C6)^(-B6)</f>
        <v/>
      </c>
      <c r="E6" s="21">
        <f>EXP(-UFR*B6)</f>
        <v/>
      </c>
      <c r="F6" s="24">
        <f>D6-E6</f>
        <v/>
      </c>
      <c r="G6" s="25" t="n"/>
    </row>
    <row r="7">
      <c r="A7" s="20">
        <f>A6+1</f>
        <v/>
      </c>
      <c r="B7" s="22">
        <f>INDEX(SpotMaturities,A7)</f>
        <v/>
      </c>
      <c r="C7" s="23">
        <f>INDEX(SpotRates,A7)</f>
        <v/>
      </c>
      <c r="D7" s="24">
        <f>(1+C7)^(-B7)</f>
        <v/>
      </c>
      <c r="E7" s="21">
        <f>EXP(-UFR*B7)</f>
        <v/>
      </c>
      <c r="F7" s="24">
        <f>D7-E7</f>
        <v/>
      </c>
      <c r="G7" s="25" t="n"/>
    </row>
    <row r="8">
      <c r="A8" s="20">
        <f>A7+1</f>
        <v/>
      </c>
      <c r="B8" s="22">
        <f>INDEX(SpotMaturities,A8)</f>
        <v/>
      </c>
      <c r="C8" s="23">
        <f>INDEX(SpotRates,A8)</f>
        <v/>
      </c>
      <c r="D8" s="24">
        <f>(1+C8)^(-B8)</f>
        <v/>
      </c>
      <c r="E8" s="21">
        <f>EXP(-UFR*B8)</f>
        <v/>
      </c>
      <c r="F8" s="24">
        <f>D8-E8</f>
        <v/>
      </c>
      <c r="G8" s="25" t="n"/>
    </row>
    <row r="9">
      <c r="A9" s="20">
        <f>A8+1</f>
        <v/>
      </c>
      <c r="B9" s="22">
        <f>INDEX(SpotMaturities,A9)</f>
        <v/>
      </c>
      <c r="C9" s="23">
        <f>INDEX(SpotRates,A9)</f>
        <v/>
      </c>
      <c r="D9" s="24">
        <f>(1+C9)^(-B9)</f>
        <v/>
      </c>
      <c r="E9" s="21">
        <f>EXP(-UFR*B9)</f>
        <v/>
      </c>
      <c r="F9" s="24">
        <f>D9-E9</f>
        <v/>
      </c>
      <c r="G9" s="25" t="n"/>
    </row>
    <row r="10">
      <c r="A10" s="20">
        <f>A9+1</f>
        <v/>
      </c>
      <c r="B10" s="22">
        <f>INDEX(SpotMaturities,A10)</f>
        <v/>
      </c>
      <c r="C10" s="23">
        <f>INDEX(SpotRates,A10)</f>
        <v/>
      </c>
      <c r="D10" s="24">
        <f>(1+C10)^(-B10)</f>
        <v/>
      </c>
      <c r="E10" s="21">
        <f>EXP(-UFR*B10)</f>
        <v/>
      </c>
      <c r="F10" s="24">
        <f>D10-E10</f>
        <v/>
      </c>
      <c r="G10" s="25" t="n"/>
    </row>
    <row r="11">
      <c r="A11" s="20">
        <f>A10+1</f>
        <v/>
      </c>
      <c r="B11" s="22">
        <f>INDEX(SpotMaturities,A11)</f>
        <v/>
      </c>
      <c r="C11" s="23">
        <f>INDEX(SpotRates,A11)</f>
        <v/>
      </c>
      <c r="D11" s="24">
        <f>(1+C11)^(-B11)</f>
        <v/>
      </c>
      <c r="E11" s="21">
        <f>EXP(-UFR*B11)</f>
        <v/>
      </c>
      <c r="F11" s="24">
        <f>D11-E11</f>
        <v/>
      </c>
      <c r="G11" s="25" t="n"/>
    </row>
    <row r="12">
      <c r="A12" s="20">
        <f>A11+1</f>
        <v/>
      </c>
      <c r="B12" s="22">
        <f>INDEX(SpotMaturities,A12)</f>
        <v/>
      </c>
      <c r="C12" s="23">
        <f>INDEX(SpotRates,A12)</f>
        <v/>
      </c>
      <c r="D12" s="24">
        <f>(1+C12)^(-B12)</f>
        <v/>
      </c>
      <c r="E12" s="21">
        <f>EXP(-UFR*B12)</f>
        <v/>
      </c>
      <c r="F12" s="24">
        <f>D12-E12</f>
        <v/>
      </c>
      <c r="G12" s="25" t="n"/>
    </row>
    <row r="13">
      <c r="A13" s="20">
        <f>A12+1</f>
        <v/>
      </c>
      <c r="B13" s="22">
        <f>INDEX(SpotMaturities,A13)</f>
        <v/>
      </c>
      <c r="C13" s="23">
        <f>INDEX(SpotRates,A13)</f>
        <v/>
      </c>
      <c r="D13" s="24">
        <f>(1+C13)^(-B13)</f>
        <v/>
      </c>
      <c r="E13" s="21">
        <f>EXP(-UFR*B13)</f>
        <v/>
      </c>
      <c r="F13" s="24">
        <f>D13-E13</f>
        <v/>
      </c>
      <c r="G13" s="25" t="n"/>
    </row>
    <row r="14">
      <c r="A14" s="20">
        <f>A13+1</f>
        <v/>
      </c>
      <c r="B14" s="22">
        <f>INDEX(SpotMaturities,A14)</f>
        <v/>
      </c>
      <c r="C14" s="23">
        <f>INDEX(SpotRates,A14)</f>
        <v/>
      </c>
      <c r="D14" s="24">
        <f>(1+C14)^(-B14)</f>
        <v/>
      </c>
      <c r="E14" s="21">
        <f>EXP(-UFR*B14)</f>
        <v/>
      </c>
      <c r="F14" s="24">
        <f>D14-E14</f>
        <v/>
      </c>
      <c r="G14" s="25" t="n"/>
    </row>
    <row r="15">
      <c r="A15" s="20">
        <f>A14+1</f>
        <v/>
      </c>
      <c r="B15" s="22">
        <f>INDEX(SpotMaturities,A15)</f>
        <v/>
      </c>
      <c r="C15" s="23">
        <f>INDEX(SpotRates,A15)</f>
        <v/>
      </c>
      <c r="D15" s="24">
        <f>(1+C15)^(-B15)</f>
        <v/>
      </c>
      <c r="E15" s="21">
        <f>EXP(-UFR*B15)</f>
        <v/>
      </c>
      <c r="F15" s="24">
        <f>D15-E15</f>
        <v/>
      </c>
      <c r="G15" s="25" t="n"/>
    </row>
    <row r="16">
      <c r="A16" s="20">
        <f>A15+1</f>
        <v/>
      </c>
      <c r="B16" s="22">
        <f>INDEX(SpotMaturities,A16)</f>
        <v/>
      </c>
      <c r="C16" s="23">
        <f>INDEX(SpotRates,A16)</f>
        <v/>
      </c>
      <c r="D16" s="24">
        <f>(1+C16)^(-B16)</f>
        <v/>
      </c>
      <c r="E16" s="21">
        <f>EXP(-UFR*B16)</f>
        <v/>
      </c>
      <c r="F16" s="24">
        <f>D16-E16</f>
        <v/>
      </c>
      <c r="G16" s="25" t="n"/>
    </row>
    <row r="17">
      <c r="A17" s="20">
        <f>A16+1</f>
        <v/>
      </c>
      <c r="B17" s="22">
        <f>INDEX(SpotMaturities,A17)</f>
        <v/>
      </c>
      <c r="C17" s="23">
        <f>INDEX(SpotRates,A17)</f>
        <v/>
      </c>
      <c r="D17" s="24">
        <f>(1+C17)^(-B17)</f>
        <v/>
      </c>
      <c r="E17" s="21">
        <f>EXP(-UFR*B17)</f>
        <v/>
      </c>
      <c r="F17" s="24">
        <f>D17-E17</f>
        <v/>
      </c>
      <c r="G17" s="25" t="n"/>
    </row>
    <row r="18">
      <c r="A18" s="20">
        <f>A17+1</f>
        <v/>
      </c>
      <c r="B18" s="22">
        <f>INDEX(SpotMaturities,A18)</f>
        <v/>
      </c>
      <c r="C18" s="23">
        <f>INDEX(SpotRates,A18)</f>
        <v/>
      </c>
      <c r="D18" s="24">
        <f>(1+C18)^(-B18)</f>
        <v/>
      </c>
      <c r="E18" s="21">
        <f>EXP(-UFR*B18)</f>
        <v/>
      </c>
      <c r="F18" s="24">
        <f>D18-E18</f>
        <v/>
      </c>
      <c r="G18" s="25" t="n"/>
    </row>
    <row r="19">
      <c r="A19" s="20">
        <f>A18+1</f>
        <v/>
      </c>
      <c r="B19" s="22">
        <f>INDEX(SpotMaturities,A19)</f>
        <v/>
      </c>
      <c r="C19" s="23">
        <f>INDEX(SpotRates,A19)</f>
        <v/>
      </c>
      <c r="D19" s="24">
        <f>(1+C19)^(-B19)</f>
        <v/>
      </c>
      <c r="E19" s="21">
        <f>EXP(-UFR*B19)</f>
        <v/>
      </c>
      <c r="F19" s="24">
        <f>D19-E19</f>
        <v/>
      </c>
      <c r="G19" s="25" t="n"/>
    </row>
    <row r="20">
      <c r="A20" s="20">
        <f>A19+1</f>
        <v/>
      </c>
      <c r="B20" s="22">
        <f>INDEX(SpotMaturities,A20)</f>
        <v/>
      </c>
      <c r="C20" s="23">
        <f>INDEX(SpotRates,A20)</f>
        <v/>
      </c>
      <c r="D20" s="24">
        <f>(1+C20)^(-B20)</f>
        <v/>
      </c>
      <c r="E20" s="21">
        <f>EXP(-UFR*B20)</f>
        <v/>
      </c>
      <c r="F20" s="24">
        <f>D20-E20</f>
        <v/>
      </c>
      <c r="G20" s="25" t="n"/>
    </row>
    <row r="21">
      <c r="A21" s="20">
        <f>A20+1</f>
        <v/>
      </c>
      <c r="B21" s="22">
        <f>INDEX(SpotMaturities,A21)</f>
        <v/>
      </c>
      <c r="C21" s="23">
        <f>INDEX(SpotRates,A21)</f>
        <v/>
      </c>
      <c r="D21" s="24">
        <f>(1+C21)^(-B21)</f>
        <v/>
      </c>
      <c r="E21" s="21">
        <f>EXP(-UFR*B21)</f>
        <v/>
      </c>
      <c r="F21" s="24">
        <f>D21-E21</f>
        <v/>
      </c>
      <c r="G21" s="25" t="n"/>
    </row>
    <row r="22">
      <c r="A22" s="20">
        <f>A21+1</f>
        <v/>
      </c>
      <c r="B22" s="22">
        <f>INDEX(SpotMaturities,A22)</f>
        <v/>
      </c>
      <c r="C22" s="23">
        <f>INDEX(SpotRates,A22)</f>
        <v/>
      </c>
      <c r="D22" s="24">
        <f>(1+C22)^(-B22)</f>
        <v/>
      </c>
      <c r="E22" s="21">
        <f>EXP(-UFR*B22)</f>
        <v/>
      </c>
      <c r="F22" s="24">
        <f>D22-E22</f>
        <v/>
      </c>
      <c r="G22" s="25" t="n"/>
    </row>
    <row r="23">
      <c r="A23" s="20">
        <f>A22+1</f>
        <v/>
      </c>
      <c r="B23" s="22">
        <f>INDEX(SpotMaturities,A23)</f>
        <v/>
      </c>
      <c r="C23" s="23">
        <f>INDEX(SpotRates,A23)</f>
        <v/>
      </c>
      <c r="D23" s="24">
        <f>(1+C23)^(-B23)</f>
        <v/>
      </c>
      <c r="E23" s="21">
        <f>EXP(-UFR*B23)</f>
        <v/>
      </c>
      <c r="F23" s="24">
        <f>D23-E23</f>
        <v/>
      </c>
      <c r="G23" s="25" t="n"/>
    </row>
    <row r="24">
      <c r="A24" s="20">
        <f>A23+1</f>
        <v/>
      </c>
      <c r="B24" s="22">
        <f>INDEX(SpotMaturities,A24)</f>
        <v/>
      </c>
      <c r="C24" s="23">
        <f>INDEX(SpotRates,A24)</f>
        <v/>
      </c>
      <c r="D24" s="24">
        <f>(1+C24)^(-B24)</f>
        <v/>
      </c>
      <c r="E24" s="21">
        <f>EXP(-UFR*B24)</f>
        <v/>
      </c>
      <c r="F24" s="24">
        <f>D24-E24</f>
        <v/>
      </c>
      <c r="G24" s="25" t="n"/>
    </row>
    <row r="25">
      <c r="A25" s="20">
        <f>A24+1</f>
        <v/>
      </c>
      <c r="B25" s="22">
        <f>INDEX(SpotMaturities,A25)</f>
        <v/>
      </c>
      <c r="C25" s="23">
        <f>INDEX(SpotRates,A25)</f>
        <v/>
      </c>
      <c r="D25" s="24">
        <f>(1+C25)^(-B25)</f>
        <v/>
      </c>
      <c r="E25" s="21">
        <f>EXP(-UFR*B25)</f>
        <v/>
      </c>
      <c r="F25" s="24">
        <f>D25-E25</f>
        <v/>
      </c>
      <c r="G25" s="25" t="n"/>
    </row>
    <row r="26">
      <c r="A26" s="20">
        <f>A25+1</f>
        <v/>
      </c>
      <c r="B26" s="22">
        <f>INDEX(SpotMaturities,A26)</f>
        <v/>
      </c>
      <c r="C26" s="23">
        <f>INDEX(SpotRates,A26)</f>
        <v/>
      </c>
      <c r="D26" s="24">
        <f>(1+C26)^(-B26)</f>
        <v/>
      </c>
      <c r="E26" s="21">
        <f>EXP(-UFR*B26)</f>
        <v/>
      </c>
      <c r="F26" s="24">
        <f>D26-E26</f>
        <v/>
      </c>
      <c r="G26" s="25" t="n"/>
    </row>
    <row r="27">
      <c r="A27" s="20">
        <f>A26+1</f>
        <v/>
      </c>
      <c r="B27" s="22">
        <f>INDEX(SpotMaturities,A27)</f>
        <v/>
      </c>
      <c r="C27" s="23">
        <f>INDEX(SpotRates,A27)</f>
        <v/>
      </c>
      <c r="D27" s="24">
        <f>(1+C27)^(-B27)</f>
        <v/>
      </c>
      <c r="E27" s="21">
        <f>EXP(-UFR*B27)</f>
        <v/>
      </c>
      <c r="F27" s="24">
        <f>D27-E27</f>
        <v/>
      </c>
      <c r="G27" s="25" t="n"/>
    </row>
    <row r="28">
      <c r="A28" s="20">
        <f>A27+1</f>
        <v/>
      </c>
      <c r="B28" s="22">
        <f>INDEX(SpotMaturities,A28)</f>
        <v/>
      </c>
      <c r="C28" s="23">
        <f>INDEX(SpotRates,A28)</f>
        <v/>
      </c>
      <c r="D28" s="24">
        <f>(1+C28)^(-B28)</f>
        <v/>
      </c>
      <c r="E28" s="21">
        <f>EXP(-UFR*B28)</f>
        <v/>
      </c>
      <c r="F28" s="24">
        <f>D28-E28</f>
        <v/>
      </c>
      <c r="G28" s="2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E6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4" customWidth="1" min="5" max="5"/>
  </cols>
  <sheetData>
    <row r="1">
      <c r="A1" s="3" t="inlineStr">
        <is>
          <t>Extrapolated curve: P(t) = μ(t) + Σj ζj·W(t,uj) (formula (6)); R(t) = (1/P(t))^(1/t) − 1</t>
        </is>
      </c>
    </row>
    <row r="2">
      <c r="A2" s="10" t="inlineStr">
        <is>
          <t>Time t (years)</t>
        </is>
      </c>
      <c r="B2" s="10" t="inlineStr">
        <is>
          <t>UFR price μ(t)</t>
        </is>
      </c>
      <c r="C2" s="10" t="inlineStr">
        <is>
          <t>Bond price P(t)</t>
        </is>
      </c>
      <c r="D2" s="10" t="inlineStr">
        <is>
          <t>Spot rate R(t)</t>
        </is>
      </c>
      <c r="E2" s="10" t="inlineStr">
        <is>
          <t>Observed spot rate</t>
        </is>
      </c>
    </row>
    <row r="3">
      <c r="A3" s="17" t="inlineStr">
        <is>
          <t>u</t>
        </is>
      </c>
      <c r="B3" s="17" t="inlineStr">
        <is>
          <t>mu</t>
        </is>
      </c>
      <c r="C3" s="17" t="inlineStr">
        <is>
          <t>P</t>
        </is>
      </c>
      <c r="D3" s="17" t="inlineStr">
        <is>
          <t>R</t>
        </is>
      </c>
      <c r="E3" s="17" t="inlineStr">
        <is>
          <t>spot_rates</t>
        </is>
      </c>
    </row>
    <row r="4">
      <c r="A4" s="20" t="n">
        <v>1</v>
      </c>
      <c r="B4" s="21">
        <f>EXP(-UFR*A4)</f>
        <v/>
      </c>
      <c r="C4" s="21">
        <f t="array" ref="C4">B4+MMULT(INDEX(WGrid,A4,0),ZetaVec)</f>
        <v/>
      </c>
      <c r="D4" s="26">
        <f>(1/C4)^(1/A4)-1</f>
        <v/>
      </c>
      <c r="E4" s="23">
        <f>IF(A4&lt;=N_Obs,INDEX(SpotRates,A4),"")</f>
        <v/>
      </c>
    </row>
    <row r="5">
      <c r="A5" s="20">
        <f>A4+1</f>
        <v/>
      </c>
      <c r="B5" s="21">
        <f>EXP(-UFR*A5)</f>
        <v/>
      </c>
      <c r="C5" s="21">
        <f t="array" ref="C5">B5+MMULT(INDEX(WGrid,A5,0),ZetaVec)</f>
        <v/>
      </c>
      <c r="D5" s="26">
        <f>(1/C5)^(1/A5)-1</f>
        <v/>
      </c>
      <c r="E5" s="23">
        <f>IF(A5&lt;=N_Obs,INDEX(SpotRates,A5),"")</f>
        <v/>
      </c>
    </row>
    <row r="6">
      <c r="A6" s="20">
        <f>A5+1</f>
        <v/>
      </c>
      <c r="B6" s="21">
        <f>EXP(-UFR*A6)</f>
        <v/>
      </c>
      <c r="C6" s="21">
        <f t="array" ref="C6">B6+MMULT(INDEX(WGrid,A6,0),ZetaVec)</f>
        <v/>
      </c>
      <c r="D6" s="26">
        <f>(1/C6)^(1/A6)-1</f>
        <v/>
      </c>
      <c r="E6" s="23">
        <f>IF(A6&lt;=N_Obs,INDEX(SpotRates,A6),"")</f>
        <v/>
      </c>
    </row>
    <row r="7">
      <c r="A7" s="20">
        <f>A6+1</f>
        <v/>
      </c>
      <c r="B7" s="21">
        <f>EXP(-UFR*A7)</f>
        <v/>
      </c>
      <c r="C7" s="21">
        <f t="array" ref="C7">B7+MMULT(INDEX(WGrid,A7,0),ZetaVec)</f>
        <v/>
      </c>
      <c r="D7" s="26">
        <f>(1/C7)^(1/A7)-1</f>
        <v/>
      </c>
      <c r="E7" s="23">
        <f>IF(A7&lt;=N_Obs,INDEX(SpotRates,A7),"")</f>
        <v/>
      </c>
    </row>
    <row r="8">
      <c r="A8" s="20">
        <f>A7+1</f>
        <v/>
      </c>
      <c r="B8" s="21">
        <f>EXP(-UFR*A8)</f>
        <v/>
      </c>
      <c r="C8" s="21">
        <f t="array" ref="C8">B8+MMULT(INDEX(WGrid,A8,0),ZetaVec)</f>
        <v/>
      </c>
      <c r="D8" s="26">
        <f>(1/C8)^(1/A8)-1</f>
        <v/>
      </c>
      <c r="E8" s="23">
        <f>IF(A8&lt;=N_Obs,INDEX(SpotRates,A8),"")</f>
        <v/>
      </c>
    </row>
    <row r="9">
      <c r="A9" s="20">
        <f>A8+1</f>
        <v/>
      </c>
      <c r="B9" s="21">
        <f>EXP(-UFR*A9)</f>
        <v/>
      </c>
      <c r="C9" s="21">
        <f t="array" ref="C9">B9+MMULT(INDEX(WGrid,A9,0),ZetaVec)</f>
        <v/>
      </c>
      <c r="D9" s="26">
        <f>(1/C9)^(1/A9)-1</f>
        <v/>
      </c>
      <c r="E9" s="23">
        <f>IF(A9&lt;=N_Obs,INDEX(SpotRates,A9),"")</f>
        <v/>
      </c>
    </row>
    <row r="10">
      <c r="A10" s="20">
        <f>A9+1</f>
        <v/>
      </c>
      <c r="B10" s="21">
        <f>EXP(-UFR*A10)</f>
        <v/>
      </c>
      <c r="C10" s="21">
        <f t="array" ref="C10">B10+MMULT(INDEX(WGrid,A10,0),ZetaVec)</f>
        <v/>
      </c>
      <c r="D10" s="26">
        <f>(1/C10)^(1/A10)-1</f>
        <v/>
      </c>
      <c r="E10" s="23">
        <f>IF(A10&lt;=N_Obs,INDEX(SpotRates,A10),"")</f>
        <v/>
      </c>
    </row>
    <row r="11">
      <c r="A11" s="20">
        <f>A10+1</f>
        <v/>
      </c>
      <c r="B11" s="21">
        <f>EXP(-UFR*A11)</f>
        <v/>
      </c>
      <c r="C11" s="21">
        <f t="array" ref="C11">B11+MMULT(INDEX(WGrid,A11,0),ZetaVec)</f>
        <v/>
      </c>
      <c r="D11" s="26">
        <f>(1/C11)^(1/A11)-1</f>
        <v/>
      </c>
      <c r="E11" s="23">
        <f>IF(A11&lt;=N_Obs,INDEX(SpotRates,A11),"")</f>
        <v/>
      </c>
    </row>
    <row r="12">
      <c r="A12" s="20">
        <f>A11+1</f>
        <v/>
      </c>
      <c r="B12" s="21">
        <f>EXP(-UFR*A12)</f>
        <v/>
      </c>
      <c r="C12" s="21">
        <f t="array" ref="C12">B12+MMULT(INDEX(WGrid,A12,0),ZetaVec)</f>
        <v/>
      </c>
      <c r="D12" s="26">
        <f>(1/C12)^(1/A12)-1</f>
        <v/>
      </c>
      <c r="E12" s="23">
        <f>IF(A12&lt;=N_Obs,INDEX(SpotRates,A12),"")</f>
        <v/>
      </c>
    </row>
    <row r="13">
      <c r="A13" s="20">
        <f>A12+1</f>
        <v/>
      </c>
      <c r="B13" s="21">
        <f>EXP(-UFR*A13)</f>
        <v/>
      </c>
      <c r="C13" s="21">
        <f t="array" ref="C13">B13+MMULT(INDEX(WGrid,A13,0),ZetaVec)</f>
        <v/>
      </c>
      <c r="D13" s="26">
        <f>(1/C13)^(1/A13)-1</f>
        <v/>
      </c>
      <c r="E13" s="23">
        <f>IF(A13&lt;=N_Obs,INDEX(SpotRates,A13),"")</f>
        <v/>
      </c>
    </row>
    <row r="14">
      <c r="A14" s="20">
        <f>A13+1</f>
        <v/>
      </c>
      <c r="B14" s="21">
        <f>EXP(-UFR*A14)</f>
        <v/>
      </c>
      <c r="C14" s="21">
        <f t="array" ref="C14">B14+MMULT(INDEX(WGrid,A14,0),ZetaVec)</f>
        <v/>
      </c>
      <c r="D14" s="26">
        <f>(1/C14)^(1/A14)-1</f>
        <v/>
      </c>
      <c r="E14" s="23">
        <f>IF(A14&lt;=N_Obs,INDEX(SpotRates,A14),"")</f>
        <v/>
      </c>
    </row>
    <row r="15">
      <c r="A15" s="20">
        <f>A14+1</f>
        <v/>
      </c>
      <c r="B15" s="21">
        <f>EXP(-UFR*A15)</f>
        <v/>
      </c>
      <c r="C15" s="21">
        <f t="array" ref="C15">B15+MMULT(INDEX(WGrid,A15,0),ZetaVec)</f>
        <v/>
      </c>
      <c r="D15" s="26">
        <f>(1/C15)^(1/A15)-1</f>
        <v/>
      </c>
      <c r="E15" s="23">
        <f>IF(A15&lt;=N_Obs,INDEX(SpotRates,A15),"")</f>
        <v/>
      </c>
    </row>
    <row r="16">
      <c r="A16" s="20">
        <f>A15+1</f>
        <v/>
      </c>
      <c r="B16" s="21">
        <f>EXP(-UFR*A16)</f>
        <v/>
      </c>
      <c r="C16" s="21">
        <f t="array" ref="C16">B16+MMULT(INDEX(WGrid,A16,0),ZetaVec)</f>
        <v/>
      </c>
      <c r="D16" s="26">
        <f>(1/C16)^(1/A16)-1</f>
        <v/>
      </c>
      <c r="E16" s="23">
        <f>IF(A16&lt;=N_Obs,INDEX(SpotRates,A16),"")</f>
        <v/>
      </c>
    </row>
    <row r="17">
      <c r="A17" s="20">
        <f>A16+1</f>
        <v/>
      </c>
      <c r="B17" s="21">
        <f>EXP(-UFR*A17)</f>
        <v/>
      </c>
      <c r="C17" s="21">
        <f t="array" ref="C17">B17+MMULT(INDEX(WGrid,A17,0),ZetaVec)</f>
        <v/>
      </c>
      <c r="D17" s="26">
        <f>(1/C17)^(1/A17)-1</f>
        <v/>
      </c>
      <c r="E17" s="23">
        <f>IF(A17&lt;=N_Obs,INDEX(SpotRates,A17),"")</f>
        <v/>
      </c>
    </row>
    <row r="18">
      <c r="A18" s="20">
        <f>A17+1</f>
        <v/>
      </c>
      <c r="B18" s="21">
        <f>EXP(-UFR*A18)</f>
        <v/>
      </c>
      <c r="C18" s="21">
        <f t="array" ref="C18">B18+MMULT(INDEX(WGrid,A18,0),ZetaVec)</f>
        <v/>
      </c>
      <c r="D18" s="26">
        <f>(1/C18)^(1/A18)-1</f>
        <v/>
      </c>
      <c r="E18" s="23">
        <f>IF(A18&lt;=N_Obs,INDEX(SpotRates,A18),"")</f>
        <v/>
      </c>
    </row>
    <row r="19">
      <c r="A19" s="20">
        <f>A18+1</f>
        <v/>
      </c>
      <c r="B19" s="21">
        <f>EXP(-UFR*A19)</f>
        <v/>
      </c>
      <c r="C19" s="21">
        <f t="array" ref="C19">B19+MMULT(INDEX(WGrid,A19,0),ZetaVec)</f>
        <v/>
      </c>
      <c r="D19" s="26">
        <f>(1/C19)^(1/A19)-1</f>
        <v/>
      </c>
      <c r="E19" s="23">
        <f>IF(A19&lt;=N_Obs,INDEX(SpotRates,A19),"")</f>
        <v/>
      </c>
    </row>
    <row r="20">
      <c r="A20" s="20">
        <f>A19+1</f>
        <v/>
      </c>
      <c r="B20" s="21">
        <f>EXP(-UFR*A20)</f>
        <v/>
      </c>
      <c r="C20" s="21">
        <f t="array" ref="C20">B20+MMULT(INDEX(WGrid,A20,0),ZetaVec)</f>
        <v/>
      </c>
      <c r="D20" s="26">
        <f>(1/C20)^(1/A20)-1</f>
        <v/>
      </c>
      <c r="E20" s="23">
        <f>IF(A20&lt;=N_Obs,INDEX(SpotRates,A20),"")</f>
        <v/>
      </c>
    </row>
    <row r="21">
      <c r="A21" s="20">
        <f>A20+1</f>
        <v/>
      </c>
      <c r="B21" s="21">
        <f>EXP(-UFR*A21)</f>
        <v/>
      </c>
      <c r="C21" s="21">
        <f t="array" ref="C21">B21+MMULT(INDEX(WGrid,A21,0),ZetaVec)</f>
        <v/>
      </c>
      <c r="D21" s="26">
        <f>(1/C21)^(1/A21)-1</f>
        <v/>
      </c>
      <c r="E21" s="23">
        <f>IF(A21&lt;=N_Obs,INDEX(SpotRates,A21),"")</f>
        <v/>
      </c>
    </row>
    <row r="22">
      <c r="A22" s="20">
        <f>A21+1</f>
        <v/>
      </c>
      <c r="B22" s="21">
        <f>EXP(-UFR*A22)</f>
        <v/>
      </c>
      <c r="C22" s="21">
        <f t="array" ref="C22">B22+MMULT(INDEX(WGrid,A22,0),ZetaVec)</f>
        <v/>
      </c>
      <c r="D22" s="26">
        <f>(1/C22)^(1/A22)-1</f>
        <v/>
      </c>
      <c r="E22" s="23">
        <f>IF(A22&lt;=N_Obs,INDEX(SpotRates,A22),"")</f>
        <v/>
      </c>
    </row>
    <row r="23">
      <c r="A23" s="20">
        <f>A22+1</f>
        <v/>
      </c>
      <c r="B23" s="21">
        <f>EXP(-UFR*A23)</f>
        <v/>
      </c>
      <c r="C23" s="21">
        <f t="array" ref="C23">B23+MMULT(INDEX(WGrid,A23,0),ZetaVec)</f>
        <v/>
      </c>
      <c r="D23" s="26">
        <f>(1/C23)^(1/A23)-1</f>
        <v/>
      </c>
      <c r="E23" s="23">
        <f>IF(A23&lt;=N_Obs,INDEX(SpotRates,A23),"")</f>
        <v/>
      </c>
    </row>
    <row r="24">
      <c r="A24" s="20">
        <f>A23+1</f>
        <v/>
      </c>
      <c r="B24" s="21">
        <f>EXP(-UFR*A24)</f>
        <v/>
      </c>
      <c r="C24" s="21">
        <f t="array" ref="C24">B24+MMULT(INDEX(WGrid,A24,0),ZetaVec)</f>
        <v/>
      </c>
      <c r="D24" s="26">
        <f>(1/C24)^(1/A24)-1</f>
        <v/>
      </c>
      <c r="E24" s="23">
        <f>IF(A24&lt;=N_Obs,INDEX(SpotRates,A24),"")</f>
        <v/>
      </c>
    </row>
    <row r="25">
      <c r="A25" s="20">
        <f>A24+1</f>
        <v/>
      </c>
      <c r="B25" s="21">
        <f>EXP(-UFR*A25)</f>
        <v/>
      </c>
      <c r="C25" s="21">
        <f t="array" ref="C25">B25+MMULT(INDEX(WGrid,A25,0),ZetaVec)</f>
        <v/>
      </c>
      <c r="D25" s="26">
        <f>(1/C25)^(1/A25)-1</f>
        <v/>
      </c>
      <c r="E25" s="23">
        <f>IF(A25&lt;=N_Obs,INDEX(SpotRates,A25),"")</f>
        <v/>
      </c>
    </row>
    <row r="26">
      <c r="A26" s="20">
        <f>A25+1</f>
        <v/>
      </c>
      <c r="B26" s="21">
        <f>EXP(-UFR*A26)</f>
        <v/>
      </c>
      <c r="C26" s="21">
        <f t="array" ref="C26">B26+MMULT(INDEX(WGrid,A26,0),ZetaVec)</f>
        <v/>
      </c>
      <c r="D26" s="26">
        <f>(1/C26)^(1/A26)-1</f>
        <v/>
      </c>
      <c r="E26" s="23">
        <f>IF(A26&lt;=N_Obs,INDEX(SpotRates,A26),"")</f>
        <v/>
      </c>
    </row>
    <row r="27">
      <c r="A27" s="20">
        <f>A26+1</f>
        <v/>
      </c>
      <c r="B27" s="21">
        <f>EXP(-UFR*A27)</f>
        <v/>
      </c>
      <c r="C27" s="21">
        <f t="array" ref="C27">B27+MMULT(INDEX(WGrid,A27,0),ZetaVec)</f>
        <v/>
      </c>
      <c r="D27" s="26">
        <f>(1/C27)^(1/A27)-1</f>
        <v/>
      </c>
      <c r="E27" s="23">
        <f>IF(A27&lt;=N_Obs,INDEX(SpotRates,A27),"")</f>
        <v/>
      </c>
    </row>
    <row r="28">
      <c r="A28" s="20">
        <f>A27+1</f>
        <v/>
      </c>
      <c r="B28" s="21">
        <f>EXP(-UFR*A28)</f>
        <v/>
      </c>
      <c r="C28" s="21">
        <f t="array" ref="C28">B28+MMULT(INDEX(WGrid,A28,0),ZetaVec)</f>
        <v/>
      </c>
      <c r="D28" s="26">
        <f>(1/C28)^(1/A28)-1</f>
        <v/>
      </c>
      <c r="E28" s="23">
        <f>IF(A28&lt;=N_Obs,INDEX(SpotRates,A28),"")</f>
        <v/>
      </c>
    </row>
    <row r="29">
      <c r="A29" s="20">
        <f>A28+1</f>
        <v/>
      </c>
      <c r="B29" s="21">
        <f>EXP(-UFR*A29)</f>
        <v/>
      </c>
      <c r="C29" s="21">
        <f t="array" ref="C29">B29+MMULT(INDEX(WGrid,A29,0),ZetaVec)</f>
        <v/>
      </c>
      <c r="D29" s="26">
        <f>(1/C29)^(1/A29)-1</f>
        <v/>
      </c>
      <c r="E29" s="23">
        <f>IF(A29&lt;=N_Obs,INDEX(SpotRates,A29),"")</f>
        <v/>
      </c>
    </row>
    <row r="30">
      <c r="A30" s="20">
        <f>A29+1</f>
        <v/>
      </c>
      <c r="B30" s="21">
        <f>EXP(-UFR*A30)</f>
        <v/>
      </c>
      <c r="C30" s="21">
        <f t="array" ref="C30">B30+MMULT(INDEX(WGrid,A30,0),ZetaVec)</f>
        <v/>
      </c>
      <c r="D30" s="26">
        <f>(1/C30)^(1/A30)-1</f>
        <v/>
      </c>
      <c r="E30" s="23">
        <f>IF(A30&lt;=N_Obs,INDEX(SpotRates,A30),"")</f>
        <v/>
      </c>
    </row>
    <row r="31">
      <c r="A31" s="20">
        <f>A30+1</f>
        <v/>
      </c>
      <c r="B31" s="21">
        <f>EXP(-UFR*A31)</f>
        <v/>
      </c>
      <c r="C31" s="21">
        <f t="array" ref="C31">B31+MMULT(INDEX(WGrid,A31,0),ZetaVec)</f>
        <v/>
      </c>
      <c r="D31" s="26">
        <f>(1/C31)^(1/A31)-1</f>
        <v/>
      </c>
      <c r="E31" s="23">
        <f>IF(A31&lt;=N_Obs,INDEX(SpotRates,A31),"")</f>
        <v/>
      </c>
    </row>
    <row r="32">
      <c r="A32" s="20">
        <f>A31+1</f>
        <v/>
      </c>
      <c r="B32" s="21">
        <f>EXP(-UFR*A32)</f>
        <v/>
      </c>
      <c r="C32" s="21">
        <f t="array" ref="C32">B32+MMULT(INDEX(WGrid,A32,0),ZetaVec)</f>
        <v/>
      </c>
      <c r="D32" s="26">
        <f>(1/C32)^(1/A32)-1</f>
        <v/>
      </c>
      <c r="E32" s="23">
        <f>IF(A32&lt;=N_Obs,INDEX(SpotRates,A32),"")</f>
        <v/>
      </c>
    </row>
    <row r="33">
      <c r="A33" s="20">
        <f>A32+1</f>
        <v/>
      </c>
      <c r="B33" s="21">
        <f>EXP(-UFR*A33)</f>
        <v/>
      </c>
      <c r="C33" s="21">
        <f t="array" ref="C33">B33+MMULT(INDEX(WGrid,A33,0),ZetaVec)</f>
        <v/>
      </c>
      <c r="D33" s="26">
        <f>(1/C33)^(1/A33)-1</f>
        <v/>
      </c>
      <c r="E33" s="23">
        <f>IF(A33&lt;=N_Obs,INDEX(SpotRates,A33),"")</f>
        <v/>
      </c>
    </row>
    <row r="34">
      <c r="A34" s="20">
        <f>A33+1</f>
        <v/>
      </c>
      <c r="B34" s="21">
        <f>EXP(-UFR*A34)</f>
        <v/>
      </c>
      <c r="C34" s="21">
        <f t="array" ref="C34">B34+MMULT(INDEX(WGrid,A34,0),ZetaVec)</f>
        <v/>
      </c>
      <c r="D34" s="26">
        <f>(1/C34)^(1/A34)-1</f>
        <v/>
      </c>
      <c r="E34" s="23">
        <f>IF(A34&lt;=N_Obs,INDEX(SpotRates,A34),"")</f>
        <v/>
      </c>
    </row>
    <row r="35">
      <c r="A35" s="20">
        <f>A34+1</f>
        <v/>
      </c>
      <c r="B35" s="21">
        <f>EXP(-UFR*A35)</f>
        <v/>
      </c>
      <c r="C35" s="21">
        <f t="array" ref="C35">B35+MMULT(INDEX(WGrid,A35,0),ZetaVec)</f>
        <v/>
      </c>
      <c r="D35" s="26">
        <f>(1/C35)^(1/A35)-1</f>
        <v/>
      </c>
      <c r="E35" s="23">
        <f>IF(A35&lt;=N_Obs,INDEX(SpotRates,A35),"")</f>
        <v/>
      </c>
    </row>
    <row r="36">
      <c r="A36" s="20">
        <f>A35+1</f>
        <v/>
      </c>
      <c r="B36" s="21">
        <f>EXP(-UFR*A36)</f>
        <v/>
      </c>
      <c r="C36" s="21">
        <f t="array" ref="C36">B36+MMULT(INDEX(WGrid,A36,0),ZetaVec)</f>
        <v/>
      </c>
      <c r="D36" s="26">
        <f>(1/C36)^(1/A36)-1</f>
        <v/>
      </c>
      <c r="E36" s="23">
        <f>IF(A36&lt;=N_Obs,INDEX(SpotRates,A36),"")</f>
        <v/>
      </c>
    </row>
    <row r="37">
      <c r="A37" s="20">
        <f>A36+1</f>
        <v/>
      </c>
      <c r="B37" s="21">
        <f>EXP(-UFR*A37)</f>
        <v/>
      </c>
      <c r="C37" s="21">
        <f t="array" ref="C37">B37+MMULT(INDEX(WGrid,A37,0),ZetaVec)</f>
        <v/>
      </c>
      <c r="D37" s="26">
        <f>(1/C37)^(1/A37)-1</f>
        <v/>
      </c>
      <c r="E37" s="23">
        <f>IF(A37&lt;=N_Obs,INDEX(SpotRates,A37),"")</f>
        <v/>
      </c>
    </row>
    <row r="38">
      <c r="A38" s="20">
        <f>A37+1</f>
        <v/>
      </c>
      <c r="B38" s="21">
        <f>EXP(-UFR*A38)</f>
        <v/>
      </c>
      <c r="C38" s="21">
        <f t="array" ref="C38">B38+MMULT(INDEX(WGrid,A38,0),ZetaVec)</f>
        <v/>
      </c>
      <c r="D38" s="26">
        <f>(1/C38)^(1/A38)-1</f>
        <v/>
      </c>
      <c r="E38" s="23">
        <f>IF(A38&lt;=N_Obs,INDEX(SpotRates,A38),"")</f>
        <v/>
      </c>
    </row>
    <row r="39">
      <c r="A39" s="20">
        <f>A38+1</f>
        <v/>
      </c>
      <c r="B39" s="21">
        <f>EXP(-UFR*A39)</f>
        <v/>
      </c>
      <c r="C39" s="21">
        <f t="array" ref="C39">B39+MMULT(INDEX(WGrid,A39,0),ZetaVec)</f>
        <v/>
      </c>
      <c r="D39" s="26">
        <f>(1/C39)^(1/A39)-1</f>
        <v/>
      </c>
      <c r="E39" s="23">
        <f>IF(A39&lt;=N_Obs,INDEX(SpotRates,A39),"")</f>
        <v/>
      </c>
    </row>
    <row r="40">
      <c r="A40" s="20">
        <f>A39+1</f>
        <v/>
      </c>
      <c r="B40" s="21">
        <f>EXP(-UFR*A40)</f>
        <v/>
      </c>
      <c r="C40" s="21">
        <f t="array" ref="C40">B40+MMULT(INDEX(WGrid,A40,0),ZetaVec)</f>
        <v/>
      </c>
      <c r="D40" s="26">
        <f>(1/C40)^(1/A40)-1</f>
        <v/>
      </c>
      <c r="E40" s="23">
        <f>IF(A40&lt;=N_Obs,INDEX(SpotRates,A40),"")</f>
        <v/>
      </c>
    </row>
    <row r="41">
      <c r="A41" s="20">
        <f>A40+1</f>
        <v/>
      </c>
      <c r="B41" s="21">
        <f>EXP(-UFR*A41)</f>
        <v/>
      </c>
      <c r="C41" s="21">
        <f t="array" ref="C41">B41+MMULT(INDEX(WGrid,A41,0),ZetaVec)</f>
        <v/>
      </c>
      <c r="D41" s="26">
        <f>(1/C41)^(1/A41)-1</f>
        <v/>
      </c>
      <c r="E41" s="23">
        <f>IF(A41&lt;=N_Obs,INDEX(SpotRates,A41),"")</f>
        <v/>
      </c>
    </row>
    <row r="42">
      <c r="A42" s="20">
        <f>A41+1</f>
        <v/>
      </c>
      <c r="B42" s="21">
        <f>EXP(-UFR*A42)</f>
        <v/>
      </c>
      <c r="C42" s="21">
        <f t="array" ref="C42">B42+MMULT(INDEX(WGrid,A42,0),ZetaVec)</f>
        <v/>
      </c>
      <c r="D42" s="26">
        <f>(1/C42)^(1/A42)-1</f>
        <v/>
      </c>
      <c r="E42" s="23">
        <f>IF(A42&lt;=N_Obs,INDEX(SpotRates,A42),"")</f>
        <v/>
      </c>
    </row>
    <row r="43">
      <c r="A43" s="20">
        <f>A42+1</f>
        <v/>
      </c>
      <c r="B43" s="21">
        <f>EXP(-UFR*A43)</f>
        <v/>
      </c>
      <c r="C43" s="21">
        <f t="array" ref="C43">B43+MMULT(INDEX(WGrid,A43,0),ZetaVec)</f>
        <v/>
      </c>
      <c r="D43" s="26">
        <f>(1/C43)^(1/A43)-1</f>
        <v/>
      </c>
      <c r="E43" s="23">
        <f>IF(A43&lt;=N_Obs,INDEX(SpotRates,A43),"")</f>
        <v/>
      </c>
    </row>
    <row r="44">
      <c r="A44" s="20">
        <f>A43+1</f>
        <v/>
      </c>
      <c r="B44" s="21">
        <f>EXP(-UFR*A44)</f>
        <v/>
      </c>
      <c r="C44" s="21">
        <f t="array" ref="C44">B44+MMULT(INDEX(WGrid,A44,0),ZetaVec)</f>
        <v/>
      </c>
      <c r="D44" s="26">
        <f>(1/C44)^(1/A44)-1</f>
        <v/>
      </c>
      <c r="E44" s="23">
        <f>IF(A44&lt;=N_Obs,INDEX(SpotRates,A44),"")</f>
        <v/>
      </c>
    </row>
    <row r="45">
      <c r="A45" s="20">
        <f>A44+1</f>
        <v/>
      </c>
      <c r="B45" s="21">
        <f>EXP(-UFR*A45)</f>
        <v/>
      </c>
      <c r="C45" s="21">
        <f t="array" ref="C45">B45+MMULT(INDEX(WGrid,A45,0),ZetaVec)</f>
        <v/>
      </c>
      <c r="D45" s="26">
        <f>(1/C45)^(1/A45)-1</f>
        <v/>
      </c>
      <c r="E45" s="23">
        <f>IF(A45&lt;=N_Obs,INDEX(SpotRates,A45),"")</f>
        <v/>
      </c>
    </row>
    <row r="46">
      <c r="A46" s="20">
        <f>A45+1</f>
        <v/>
      </c>
      <c r="B46" s="21">
        <f>EXP(-UFR*A46)</f>
        <v/>
      </c>
      <c r="C46" s="21">
        <f t="array" ref="C46">B46+MMULT(INDEX(WGrid,A46,0),ZetaVec)</f>
        <v/>
      </c>
      <c r="D46" s="26">
        <f>(1/C46)^(1/A46)-1</f>
        <v/>
      </c>
      <c r="E46" s="23">
        <f>IF(A46&lt;=N_Obs,INDEX(SpotRates,A46),"")</f>
        <v/>
      </c>
    </row>
    <row r="47">
      <c r="A47" s="20">
        <f>A46+1</f>
        <v/>
      </c>
      <c r="B47" s="21">
        <f>EXP(-UFR*A47)</f>
        <v/>
      </c>
      <c r="C47" s="21">
        <f t="array" ref="C47">B47+MMULT(INDEX(WGrid,A47,0),ZetaVec)</f>
        <v/>
      </c>
      <c r="D47" s="26">
        <f>(1/C47)^(1/A47)-1</f>
        <v/>
      </c>
      <c r="E47" s="23">
        <f>IF(A47&lt;=N_Obs,INDEX(SpotRates,A47),"")</f>
        <v/>
      </c>
    </row>
    <row r="48">
      <c r="A48" s="20">
        <f>A47+1</f>
        <v/>
      </c>
      <c r="B48" s="21">
        <f>EXP(-UFR*A48)</f>
        <v/>
      </c>
      <c r="C48" s="21">
        <f t="array" ref="C48">B48+MMULT(INDEX(WGrid,A48,0),ZetaVec)</f>
        <v/>
      </c>
      <c r="D48" s="26">
        <f>(1/C48)^(1/A48)-1</f>
        <v/>
      </c>
      <c r="E48" s="23">
        <f>IF(A48&lt;=N_Obs,INDEX(SpotRates,A48),"")</f>
        <v/>
      </c>
    </row>
    <row r="49">
      <c r="A49" s="20">
        <f>A48+1</f>
        <v/>
      </c>
      <c r="B49" s="21">
        <f>EXP(-UFR*A49)</f>
        <v/>
      </c>
      <c r="C49" s="21">
        <f t="array" ref="C49">B49+MMULT(INDEX(WGrid,A49,0),ZetaVec)</f>
        <v/>
      </c>
      <c r="D49" s="26">
        <f>(1/C49)^(1/A49)-1</f>
        <v/>
      </c>
      <c r="E49" s="23">
        <f>IF(A49&lt;=N_Obs,INDEX(SpotRates,A49),"")</f>
        <v/>
      </c>
    </row>
    <row r="50">
      <c r="A50" s="20">
        <f>A49+1</f>
        <v/>
      </c>
      <c r="B50" s="21">
        <f>EXP(-UFR*A50)</f>
        <v/>
      </c>
      <c r="C50" s="21">
        <f t="array" ref="C50">B50+MMULT(INDEX(WGrid,A50,0),ZetaVec)</f>
        <v/>
      </c>
      <c r="D50" s="26">
        <f>(1/C50)^(1/A50)-1</f>
        <v/>
      </c>
      <c r="E50" s="23">
        <f>IF(A50&lt;=N_Obs,INDEX(SpotRates,A50),"")</f>
        <v/>
      </c>
    </row>
    <row r="51">
      <c r="A51" s="20">
        <f>A50+1</f>
        <v/>
      </c>
      <c r="B51" s="21">
        <f>EXP(-UFR*A51)</f>
        <v/>
      </c>
      <c r="C51" s="21">
        <f t="array" ref="C51">B51+MMULT(INDEX(WGrid,A51,0),ZetaVec)</f>
        <v/>
      </c>
      <c r="D51" s="26">
        <f>(1/C51)^(1/A51)-1</f>
        <v/>
      </c>
      <c r="E51" s="23">
        <f>IF(A51&lt;=N_Obs,INDEX(SpotRates,A51),"")</f>
        <v/>
      </c>
    </row>
    <row r="52">
      <c r="A52" s="20">
        <f>A51+1</f>
        <v/>
      </c>
      <c r="B52" s="21">
        <f>EXP(-UFR*A52)</f>
        <v/>
      </c>
      <c r="C52" s="21">
        <f t="array" ref="C52">B52+MMULT(INDEX(WGrid,A52,0),ZetaVec)</f>
        <v/>
      </c>
      <c r="D52" s="26">
        <f>(1/C52)^(1/A52)-1</f>
        <v/>
      </c>
      <c r="E52" s="23">
        <f>IF(A52&lt;=N_Obs,INDEX(SpotRates,A52),"")</f>
        <v/>
      </c>
    </row>
    <row r="53">
      <c r="A53" s="20">
        <f>A52+1</f>
        <v/>
      </c>
      <c r="B53" s="21">
        <f>EXP(-UFR*A53)</f>
        <v/>
      </c>
      <c r="C53" s="21">
        <f t="array" ref="C53">B53+MMULT(INDEX(WGrid,A53,0),ZetaVec)</f>
        <v/>
      </c>
      <c r="D53" s="26">
        <f>(1/C53)^(1/A53)-1</f>
        <v/>
      </c>
      <c r="E53" s="23">
        <f>IF(A53&lt;=N_Obs,INDEX(SpotRates,A53),"")</f>
        <v/>
      </c>
    </row>
    <row r="54">
      <c r="A54" s="20">
        <f>A53+1</f>
        <v/>
      </c>
      <c r="B54" s="21">
        <f>EXP(-UFR*A54)</f>
        <v/>
      </c>
      <c r="C54" s="21">
        <f t="array" ref="C54">B54+MMULT(INDEX(WGrid,A54,0),ZetaVec)</f>
        <v/>
      </c>
      <c r="D54" s="26">
        <f>(1/C54)^(1/A54)-1</f>
        <v/>
      </c>
      <c r="E54" s="23">
        <f>IF(A54&lt;=N_Obs,INDEX(SpotRates,A54),"")</f>
        <v/>
      </c>
    </row>
    <row r="55">
      <c r="A55" s="20">
        <f>A54+1</f>
        <v/>
      </c>
      <c r="B55" s="21">
        <f>EXP(-UFR*A55)</f>
        <v/>
      </c>
      <c r="C55" s="21">
        <f t="array" ref="C55">B55+MMULT(INDEX(WGrid,A55,0),ZetaVec)</f>
        <v/>
      </c>
      <c r="D55" s="26">
        <f>(1/C55)^(1/A55)-1</f>
        <v/>
      </c>
      <c r="E55" s="23">
        <f>IF(A55&lt;=N_Obs,INDEX(SpotRates,A55),"")</f>
        <v/>
      </c>
    </row>
    <row r="56">
      <c r="A56" s="20">
        <f>A55+1</f>
        <v/>
      </c>
      <c r="B56" s="21">
        <f>EXP(-UFR*A56)</f>
        <v/>
      </c>
      <c r="C56" s="21">
        <f t="array" ref="C56">B56+MMULT(INDEX(WGrid,A56,0),ZetaVec)</f>
        <v/>
      </c>
      <c r="D56" s="26">
        <f>(1/C56)^(1/A56)-1</f>
        <v/>
      </c>
      <c r="E56" s="23">
        <f>IF(A56&lt;=N_Obs,INDEX(SpotRates,A56),"")</f>
        <v/>
      </c>
    </row>
    <row r="57">
      <c r="A57" s="20">
        <f>A56+1</f>
        <v/>
      </c>
      <c r="B57" s="21">
        <f>EXP(-UFR*A57)</f>
        <v/>
      </c>
      <c r="C57" s="21">
        <f t="array" ref="C57">B57+MMULT(INDEX(WGrid,A57,0),ZetaVec)</f>
        <v/>
      </c>
      <c r="D57" s="26">
        <f>(1/C57)^(1/A57)-1</f>
        <v/>
      </c>
      <c r="E57" s="23">
        <f>IF(A57&lt;=N_Obs,INDEX(SpotRates,A57),"")</f>
        <v/>
      </c>
    </row>
    <row r="58">
      <c r="A58" s="20">
        <f>A57+1</f>
        <v/>
      </c>
      <c r="B58" s="21">
        <f>EXP(-UFR*A58)</f>
        <v/>
      </c>
      <c r="C58" s="21">
        <f t="array" ref="C58">B58+MMULT(INDEX(WGrid,A58,0),ZetaVec)</f>
        <v/>
      </c>
      <c r="D58" s="26">
        <f>(1/C58)^(1/A58)-1</f>
        <v/>
      </c>
      <c r="E58" s="23">
        <f>IF(A58&lt;=N_Obs,INDEX(SpotRates,A58),"")</f>
        <v/>
      </c>
    </row>
    <row r="59">
      <c r="A59" s="20">
        <f>A58+1</f>
        <v/>
      </c>
      <c r="B59" s="21">
        <f>EXP(-UFR*A59)</f>
        <v/>
      </c>
      <c r="C59" s="21">
        <f t="array" ref="C59">B59+MMULT(INDEX(WGrid,A59,0),ZetaVec)</f>
        <v/>
      </c>
      <c r="D59" s="26">
        <f>(1/C59)^(1/A59)-1</f>
        <v/>
      </c>
      <c r="E59" s="23">
        <f>IF(A59&lt;=N_Obs,INDEX(SpotRates,A59),"")</f>
        <v/>
      </c>
    </row>
    <row r="60">
      <c r="A60" s="20">
        <f>A59+1</f>
        <v/>
      </c>
      <c r="B60" s="21">
        <f>EXP(-UFR*A60)</f>
        <v/>
      </c>
      <c r="C60" s="21">
        <f t="array" ref="C60">B60+MMULT(INDEX(WGrid,A60,0),ZetaVec)</f>
        <v/>
      </c>
      <c r="D60" s="26">
        <f>(1/C60)^(1/A60)-1</f>
        <v/>
      </c>
      <c r="E60" s="23">
        <f>IF(A60&lt;=N_Obs,INDEX(SpotRates,A60),"")</f>
        <v/>
      </c>
    </row>
    <row r="61">
      <c r="A61" s="20">
        <f>A60+1</f>
        <v/>
      </c>
      <c r="B61" s="21">
        <f>EXP(-UFR*A61)</f>
        <v/>
      </c>
      <c r="C61" s="21">
        <f t="array" ref="C61">B61+MMULT(INDEX(WGrid,A61,0),ZetaVec)</f>
        <v/>
      </c>
      <c r="D61" s="26">
        <f>(1/C61)^(1/A61)-1</f>
        <v/>
      </c>
      <c r="E61" s="23">
        <f>IF(A61&lt;=N_Obs,INDEX(SpotRates,A61),"")</f>
        <v/>
      </c>
    </row>
    <row r="62">
      <c r="A62" s="20">
        <f>A61+1</f>
        <v/>
      </c>
      <c r="B62" s="21">
        <f>EXP(-UFR*A62)</f>
        <v/>
      </c>
      <c r="C62" s="21">
        <f t="array" ref="C62">B62+MMULT(INDEX(WGrid,A62,0),ZetaVec)</f>
        <v/>
      </c>
      <c r="D62" s="26">
        <f>(1/C62)^(1/A62)-1</f>
        <v/>
      </c>
      <c r="E62" s="23">
        <f>IF(A62&lt;=N_Obs,INDEX(SpotRates,A62),"")</f>
        <v/>
      </c>
    </row>
    <row r="63">
      <c r="A63" s="20">
        <f>A62+1</f>
        <v/>
      </c>
      <c r="B63" s="21">
        <f>EXP(-UFR*A63)</f>
        <v/>
      </c>
      <c r="C63" s="21">
        <f t="array" ref="C63">B63+MMULT(INDEX(WGrid,A63,0),ZetaVec)</f>
        <v/>
      </c>
      <c r="D63" s="26">
        <f>(1/C63)^(1/A63)-1</f>
        <v/>
      </c>
      <c r="E63" s="23">
        <f>IF(A63&lt;=N_Obs,INDEX(SpotRates,A63),"")</f>
        <v/>
      </c>
    </row>
    <row r="64">
      <c r="A64" s="20">
        <f>A63+1</f>
        <v/>
      </c>
      <c r="B64" s="21">
        <f>EXP(-UFR*A64)</f>
        <v/>
      </c>
      <c r="C64" s="21">
        <f t="array" ref="C64">B64+MMULT(INDEX(WGrid,A64,0),ZetaVec)</f>
        <v/>
      </c>
      <c r="D64" s="26">
        <f>(1/C64)^(1/A64)-1</f>
        <v/>
      </c>
      <c r="E64" s="23">
        <f>IF(A64&lt;=N_Obs,INDEX(SpotRates,A64),"")</f>
        <v/>
      </c>
    </row>
    <row r="65">
      <c r="A65" s="20">
        <f>A64+1</f>
        <v/>
      </c>
      <c r="B65" s="21">
        <f>EXP(-UFR*A65)</f>
        <v/>
      </c>
      <c r="C65" s="21">
        <f t="array" ref="C65">B65+MMULT(INDEX(WGrid,A65,0),ZetaVec)</f>
        <v/>
      </c>
      <c r="D65" s="26">
        <f>(1/C65)^(1/A65)-1</f>
        <v/>
      </c>
      <c r="E65" s="23">
        <f>IF(A65&lt;=N_Obs,INDEX(SpotRates,A65),"")</f>
        <v/>
      </c>
    </row>
    <row r="66">
      <c r="A66" s="20">
        <f>A65+1</f>
        <v/>
      </c>
      <c r="B66" s="21">
        <f>EXP(-UFR*A66)</f>
        <v/>
      </c>
      <c r="C66" s="21">
        <f t="array" ref="C66">B66+MMULT(INDEX(WGrid,A66,0),ZetaVec)</f>
        <v/>
      </c>
      <c r="D66" s="26">
        <f>(1/C66)^(1/A66)-1</f>
        <v/>
      </c>
      <c r="E66" s="23">
        <f>IF(A66&lt;=N_Obs,INDEX(SpotRates,A66),"")</f>
        <v/>
      </c>
    </row>
    <row r="67">
      <c r="A67" s="20">
        <f>A66+1</f>
        <v/>
      </c>
      <c r="B67" s="21">
        <f>EXP(-UFR*A67)</f>
        <v/>
      </c>
      <c r="C67" s="21">
        <f t="array" ref="C67">B67+MMULT(INDEX(WGrid,A67,0),ZetaVec)</f>
        <v/>
      </c>
      <c r="D67" s="26">
        <f>(1/C67)^(1/A67)-1</f>
        <v/>
      </c>
      <c r="E67" s="23">
        <f>IF(A67&lt;=N_Obs,INDEX(SpotRates,A67),"")</f>
        <v/>
      </c>
    </row>
    <row r="68">
      <c r="A68" s="20">
        <f>A67+1</f>
        <v/>
      </c>
      <c r="B68" s="21">
        <f>EXP(-UFR*A68)</f>
        <v/>
      </c>
      <c r="C68" s="21">
        <f t="array" ref="C68">B68+MMULT(INDEX(WGrid,A68,0),ZetaVec)</f>
        <v/>
      </c>
      <c r="D68" s="26">
        <f>(1/C68)^(1/A68)-1</f>
        <v/>
      </c>
      <c r="E68" s="23">
        <f>IF(A68&lt;=N_Obs,INDEX(SpotRates,A68),"")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B2:E22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14" customWidth="1" min="3" max="3"/>
    <col width="14" customWidth="1" min="4" max="4"/>
    <col width="14" customWidth="1" min="5" max="5"/>
  </cols>
  <sheetData>
    <row r="2">
      <c r="B2" s="3" t="inlineStr">
        <is>
          <t>Curve at the reporting maturity</t>
        </is>
      </c>
    </row>
    <row r="3">
      <c r="B3" s="10" t="inlineStr">
        <is>
          <t>Item</t>
        </is>
      </c>
      <c r="C3" s="10" t="inlineStr">
        <is>
          <t>Value</t>
        </is>
      </c>
      <c r="D3" s="10" t="inlineStr"/>
    </row>
    <row r="4">
      <c r="B4" s="5" t="inlineStr">
        <is>
          <t>Reporting maturity (years)</t>
        </is>
      </c>
      <c r="C4" s="27">
        <f>SelMaturity</f>
        <v/>
      </c>
      <c r="D4" s="12" t="inlineStr"/>
    </row>
    <row r="5">
      <c r="B5" s="5" t="inlineStr">
        <is>
          <t>Bond price P(t)</t>
        </is>
      </c>
      <c r="C5" s="28">
        <f>INDEX(Ext_P,SelMaturity)</f>
        <v/>
      </c>
      <c r="D5" s="12" t="inlineStr"/>
    </row>
    <row r="6">
      <c r="B6" s="5" t="inlineStr">
        <is>
          <t>Spot rate R(t)</t>
        </is>
      </c>
      <c r="C6" s="29">
        <f>INDEX(Ext_R,SelMaturity)</f>
        <v/>
      </c>
      <c r="D6" s="12" t="inlineStr"/>
    </row>
    <row r="7">
      <c r="B7" s="5" t="inlineStr">
        <is>
          <t>UFR (annual compound)</t>
        </is>
      </c>
      <c r="C7" s="29">
        <f>UFR_Annual</f>
        <v/>
      </c>
      <c r="D7" s="12" t="inlineStr"/>
    </row>
    <row r="8">
      <c r="B8" s="5" t="inlineStr">
        <is>
          <t>Gap to UFR</t>
        </is>
      </c>
      <c r="C8" s="29">
        <f>UFR_Annual-INDEX(Ext_R,SelMaturity)</f>
        <v/>
      </c>
      <c r="D8" s="12" t="inlineStr">
        <is>
          <t>Convergence towards the UFR is gradual at the calibrated α (see Assumptions)</t>
        </is>
      </c>
    </row>
    <row r="10">
      <c r="B10" s="3" t="inlineStr">
        <is>
          <t>Curve at key durations</t>
        </is>
      </c>
    </row>
    <row r="11">
      <c r="B11" s="10" t="inlineStr">
        <is>
          <t>Maturity</t>
        </is>
      </c>
      <c r="C11" s="10" t="inlineStr">
        <is>
          <t>Fitted R(t)</t>
        </is>
      </c>
      <c r="D11" s="10" t="inlineStr">
        <is>
          <t>Observed</t>
        </is>
      </c>
      <c r="E11" s="10" t="inlineStr">
        <is>
          <t>Bond price P(t)</t>
        </is>
      </c>
    </row>
    <row r="12">
      <c r="B12" s="11" t="n">
        <v>1</v>
      </c>
      <c r="C12" s="29">
        <f>INDEX(Ext_R,B12)</f>
        <v/>
      </c>
      <c r="D12" s="29">
        <f>IF(B12&lt;=N_Obs,INDEX(SpotRates,B12),"")</f>
        <v/>
      </c>
      <c r="E12" s="28">
        <f>INDEX(Ext_P,B12)</f>
        <v/>
      </c>
    </row>
    <row r="13">
      <c r="B13" s="11" t="n">
        <v>5</v>
      </c>
      <c r="C13" s="29">
        <f>INDEX(Ext_R,B13)</f>
        <v/>
      </c>
      <c r="D13" s="29">
        <f>IF(B13&lt;=N_Obs,INDEX(SpotRates,B13),"")</f>
        <v/>
      </c>
      <c r="E13" s="28">
        <f>INDEX(Ext_P,B13)</f>
        <v/>
      </c>
    </row>
    <row r="14">
      <c r="B14" s="11" t="n">
        <v>10</v>
      </c>
      <c r="C14" s="29">
        <f>INDEX(Ext_R,B14)</f>
        <v/>
      </c>
      <c r="D14" s="29">
        <f>IF(B14&lt;=N_Obs,INDEX(SpotRates,B14),"")</f>
        <v/>
      </c>
      <c r="E14" s="28">
        <f>INDEX(Ext_P,B14)</f>
        <v/>
      </c>
    </row>
    <row r="15">
      <c r="B15" s="11" t="n">
        <v>15</v>
      </c>
      <c r="C15" s="29">
        <f>INDEX(Ext_R,B15)</f>
        <v/>
      </c>
      <c r="D15" s="29">
        <f>IF(B15&lt;=N_Obs,INDEX(SpotRates,B15),"")</f>
        <v/>
      </c>
      <c r="E15" s="28">
        <f>INDEX(Ext_P,B15)</f>
        <v/>
      </c>
    </row>
    <row r="16">
      <c r="B16" s="11" t="n">
        <v>20</v>
      </c>
      <c r="C16" s="29">
        <f>INDEX(Ext_R,B16)</f>
        <v/>
      </c>
      <c r="D16" s="29">
        <f>IF(B16&lt;=N_Obs,INDEX(SpotRates,B16),"")</f>
        <v/>
      </c>
      <c r="E16" s="28">
        <f>INDEX(Ext_P,B16)</f>
        <v/>
      </c>
    </row>
    <row r="17">
      <c r="B17" s="11" t="n">
        <v>25</v>
      </c>
      <c r="C17" s="29">
        <f>INDEX(Ext_R,B17)</f>
        <v/>
      </c>
      <c r="D17" s="29">
        <f>IF(B17&lt;=N_Obs,INDEX(SpotRates,B17),"")</f>
        <v/>
      </c>
      <c r="E17" s="28">
        <f>INDEX(Ext_P,B17)</f>
        <v/>
      </c>
    </row>
    <row r="18">
      <c r="B18" s="11" t="n">
        <v>30</v>
      </c>
      <c r="C18" s="29">
        <f>INDEX(Ext_R,B18)</f>
        <v/>
      </c>
      <c r="D18" s="29">
        <f>IF(B18&lt;=N_Obs,INDEX(SpotRates,B18),"")</f>
        <v/>
      </c>
      <c r="E18" s="28">
        <f>INDEX(Ext_P,B18)</f>
        <v/>
      </c>
    </row>
    <row r="19">
      <c r="B19" s="11" t="n">
        <v>40</v>
      </c>
      <c r="C19" s="29">
        <f>INDEX(Ext_R,B19)</f>
        <v/>
      </c>
      <c r="D19" s="29">
        <f>IF(B19&lt;=N_Obs,INDEX(SpotRates,B19),"")</f>
        <v/>
      </c>
      <c r="E19" s="28">
        <f>INDEX(Ext_P,B19)</f>
        <v/>
      </c>
    </row>
    <row r="20">
      <c r="B20" s="11" t="n">
        <v>50</v>
      </c>
      <c r="C20" s="29">
        <f>INDEX(Ext_R,B20)</f>
        <v/>
      </c>
      <c r="D20" s="29">
        <f>IF(B20&lt;=N_Obs,INDEX(SpotRates,B20),"")</f>
        <v/>
      </c>
      <c r="E20" s="28">
        <f>INDEX(Ext_P,B20)</f>
        <v/>
      </c>
    </row>
    <row r="21">
      <c r="B21" s="11" t="n">
        <v>60</v>
      </c>
      <c r="C21" s="29">
        <f>INDEX(Ext_R,B21)</f>
        <v/>
      </c>
      <c r="D21" s="29">
        <f>IF(B21&lt;=N_Obs,INDEX(SpotRates,B21),"")</f>
        <v/>
      </c>
      <c r="E21" s="28">
        <f>INDEX(Ext_P,B21)</f>
        <v/>
      </c>
    </row>
    <row r="22">
      <c r="B22" s="11" t="n">
        <v>65</v>
      </c>
      <c r="C22" s="29">
        <f>INDEX(Ext_R,B22)</f>
        <v/>
      </c>
      <c r="D22" s="29">
        <f>IF(B22&lt;=N_Obs,INDEX(SpotRates,B22),"")</f>
        <v/>
      </c>
      <c r="E22" s="28">
        <f>INDEX(Ext_P,B22)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B2:D11"/>
  <sheetViews>
    <sheetView showGridLines="0" workbookViewId="0">
      <selection activeCell="A1" sqref="A1"/>
    </sheetView>
  </sheetViews>
  <sheetFormatPr baseColWidth="8" defaultRowHeight="15"/>
  <cols>
    <col width="46" customWidth="1" min="2" max="2"/>
    <col width="10" customWidth="1" min="3" max="3"/>
    <col width="76" customWidth="1" min="4" max="4"/>
  </cols>
  <sheetData>
    <row r="2">
      <c r="B2" s="3" t="inlineStr">
        <is>
          <t>Internal consistency checks</t>
        </is>
      </c>
    </row>
    <row r="3">
      <c r="B3" s="10" t="inlineStr">
        <is>
          <t>Check</t>
        </is>
      </c>
      <c r="C3" s="10" t="inlineStr">
        <is>
          <t>Result</t>
        </is>
      </c>
      <c r="D3" s="10" t="inlineStr">
        <is>
          <t>Description</t>
        </is>
      </c>
    </row>
    <row r="4">
      <c r="B4" s="5" t="inlineStr">
        <is>
          <t>Fitted rates reproduce observed spot rates</t>
        </is>
      </c>
      <c r="C4" s="30">
        <f t="array" ref="C4">SUMPRODUCT(--(ABS(R_Fitted_Obs-SpotRates)&gt;0.00000001))=0</f>
        <v/>
      </c>
      <c r="D4" s="31" t="inlineStr">
        <is>
          <t>R(t) equals the observed spot rate at every observed maturity t = 1 … 25 (within 1e-8 absolute — the fit is exact up to matrix-inversion rounding).</t>
        </is>
      </c>
    </row>
    <row r="5">
      <c r="B5" s="5" t="inlineStr">
        <is>
          <t>Fitted prices reproduce observed bond prices</t>
        </is>
      </c>
      <c r="C5" s="30">
        <f t="array" ref="C5">SUMPRODUCT(--(ABS(P_Fitted_Obs-MVec)&gt;0.00000001))=0</f>
        <v/>
      </c>
      <c r="D5" s="31" t="inlineStr">
        <is>
          <t>P(t) equals the observed zero-coupon bond price m(t) at every observed maturity.</t>
        </is>
      </c>
    </row>
    <row r="6">
      <c r="B6" s="5" t="inlineStr">
        <is>
          <t>Wilson matrix is symmetric</t>
        </is>
      </c>
      <c r="C6" s="30">
        <f t="array" ref="C6">SUMPRODUCT(--(ABS(WMatrix-TRANSPOSE(WMatrix))&gt;0.000000000001))=0</f>
        <v/>
      </c>
      <c r="D6" s="31" t="inlineStr">
        <is>
          <t>W(t, u) = W(u, t) by construction; a violation indicates a copy/paste error in the Wilson grid.</t>
        </is>
      </c>
    </row>
    <row r="7">
      <c r="B7" s="5" t="inlineStr">
        <is>
          <t>ζ solves the calibration system</t>
        </is>
      </c>
      <c r="C7" s="30">
        <f t="array" ref="C7">SUMPRODUCT(--(ABS(MMULT(WMatrix,ZetaVec)-DVec)&gt;0.00000001))=0</f>
        <v/>
      </c>
      <c r="D7" s="31" t="inlineStr">
        <is>
          <t>W·ζ reproduces m − μ: the array solve on Calibration is internally consistent.</t>
        </is>
      </c>
    </row>
    <row r="8">
      <c r="B8" s="5" t="inlineStr">
        <is>
          <t>Extrapolated bond prices are positive</t>
        </is>
      </c>
      <c r="C8" s="30">
        <f>MIN(Ext_P)&gt;0</f>
        <v/>
      </c>
      <c r="D8" s="31" t="inlineStr">
        <is>
          <t>P(t) &gt; 0 at every projected maturity.</t>
        </is>
      </c>
    </row>
    <row r="9">
      <c r="B9" s="5" t="inlineStr">
        <is>
          <t>Grid length matches the stated horizon</t>
        </is>
      </c>
      <c r="C9" s="30">
        <f>ROWS(Ext_R)=T_Max</f>
        <v/>
      </c>
      <c r="D9" s="31" t="inlineStr">
        <is>
          <t>The Extrapolation grid covers exactly T_Max years (structural check).</t>
        </is>
      </c>
    </row>
    <row r="11">
      <c r="B11" s="3" t="inlineStr">
        <is>
          <t>ALL CHECKS PASS</t>
        </is>
      </c>
      <c r="C11" s="32">
        <f>AND(C4:C9)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 codeName="Sheet10">
    <outlinePr summaryBelow="1" summaryRight="1"/>
    <pageSetUpPr/>
  </sheetPr>
  <dimension ref="A1:F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6" customWidth="1" min="5" max="5"/>
    <col width="14" customWidth="1" min="6" max="6"/>
  </cols>
  <sheetData>
    <row r="1">
      <c r="A1" s="3" t="inlineStr">
        <is>
          <t>lifelib smithwilson results (reconciliation target). Generated by verification/generate_reference_smithwilson.py.</t>
        </is>
      </c>
    </row>
    <row r="2">
      <c r="A2" s="10" t="inlineStr">
        <is>
          <t>t</t>
        </is>
      </c>
      <c r="B2" s="10" t="inlineStr">
        <is>
          <t>P(t)</t>
        </is>
      </c>
      <c r="C2" s="10" t="inlineStr">
        <is>
          <t>R(t)</t>
        </is>
      </c>
      <c r="E2" s="10" t="inlineStr">
        <is>
          <t>j</t>
        </is>
      </c>
      <c r="F2" s="10" t="inlineStr">
        <is>
          <t>ζ_j</t>
        </is>
      </c>
    </row>
    <row r="3">
      <c r="A3" s="7" t="n">
        <v>1</v>
      </c>
      <c r="B3" s="33" t="n">
        <v>1.008095002873214</v>
      </c>
      <c r="C3" s="18" t="n">
        <v>-0.00803000000014098</v>
      </c>
      <c r="E3" s="7" t="n">
        <v>1</v>
      </c>
      <c r="F3" s="34" t="n">
        <v>-2.735674279557202</v>
      </c>
    </row>
    <row r="4">
      <c r="A4" s="7" t="n">
        <v>2</v>
      </c>
      <c r="B4" s="33" t="n">
        <v>1.016480958380971</v>
      </c>
      <c r="C4" s="18" t="n">
        <v>-0.008140000000118164</v>
      </c>
      <c r="E4" s="7" t="n">
        <v>2</v>
      </c>
      <c r="F4" s="34" t="n">
        <v>1.809094717417224</v>
      </c>
    </row>
    <row r="5">
      <c r="A5" s="7" t="n">
        <v>3</v>
      </c>
      <c r="B5" s="33" t="n">
        <v>1.023707935069923</v>
      </c>
      <c r="C5" s="18" t="n">
        <v>-0.007780000000080611</v>
      </c>
      <c r="E5" s="7" t="n">
        <v>3</v>
      </c>
      <c r="F5" s="34" t="n">
        <v>-0.9549973204739217</v>
      </c>
    </row>
    <row r="6">
      <c r="A6" s="7" t="n">
        <v>4</v>
      </c>
      <c r="B6" s="33" t="n">
        <v>1.029533344395476</v>
      </c>
      <c r="C6" s="18" t="n">
        <v>-0.007250000000089685</v>
      </c>
      <c r="E6" s="7" t="n">
        <v>4</v>
      </c>
      <c r="F6" s="34" t="n">
        <v>0.2099830579063564</v>
      </c>
    </row>
    <row r="7">
      <c r="A7" s="7" t="n">
        <v>5</v>
      </c>
      <c r="B7" s="33" t="n">
        <v>1.033247484873971</v>
      </c>
      <c r="C7" s="18" t="n">
        <v>-0.006520000000078352</v>
      </c>
      <c r="E7" s="7" t="n">
        <v>5</v>
      </c>
      <c r="F7" s="34" t="n">
        <v>1.576403169990044</v>
      </c>
    </row>
    <row r="8">
      <c r="A8" s="7" t="n">
        <v>6</v>
      </c>
      <c r="B8" s="33" t="n">
        <v>1.034580602645363</v>
      </c>
      <c r="C8" s="18" t="n">
        <v>-0.005650000000075761</v>
      </c>
      <c r="E8" s="7" t="n">
        <v>6</v>
      </c>
      <c r="F8" s="34" t="n">
        <v>-2.731098516749171</v>
      </c>
    </row>
    <row r="9">
      <c r="A9" s="7" t="n">
        <v>7</v>
      </c>
      <c r="B9" s="33" t="n">
        <v>1.034254522393807</v>
      </c>
      <c r="C9" s="18" t="n">
        <v>-0.004800000000065197</v>
      </c>
      <c r="E9" s="7" t="n">
        <v>7</v>
      </c>
      <c r="F9" s="34" t="n">
        <v>4.945430740981465</v>
      </c>
    </row>
    <row r="10">
      <c r="A10" s="7" t="n">
        <v>8</v>
      </c>
      <c r="B10" s="33" t="n">
        <v>1.031837622636551</v>
      </c>
      <c r="C10" s="18" t="n">
        <v>-0.0039100000000587</v>
      </c>
      <c r="E10" s="7" t="n">
        <v>8</v>
      </c>
      <c r="F10" s="34" t="n">
        <v>-9.762550715893667</v>
      </c>
    </row>
    <row r="11">
      <c r="A11" s="7" t="n">
        <v>9</v>
      </c>
      <c r="B11" s="33" t="n">
        <v>1.028615968008578</v>
      </c>
      <c r="C11" s="18" t="n">
        <v>-0.00313000000003949</v>
      </c>
      <c r="E11" s="7" t="n">
        <v>9</v>
      </c>
      <c r="F11" s="34" t="n">
        <v>15.14436991130515</v>
      </c>
    </row>
    <row r="12">
      <c r="A12" s="7" t="n">
        <v>10</v>
      </c>
      <c r="B12" s="33" t="n">
        <v>1.021654049161878</v>
      </c>
      <c r="C12" s="18" t="n">
        <v>-0.00214000000003467</v>
      </c>
      <c r="E12" s="7" t="n">
        <v>10</v>
      </c>
      <c r="F12" s="34" t="n">
        <v>-14.8714543123815</v>
      </c>
    </row>
    <row r="13">
      <c r="A13" s="7" t="n">
        <v>11</v>
      </c>
      <c r="B13" s="33" t="n">
        <v>1.015530148646066</v>
      </c>
      <c r="C13" s="18" t="n">
        <v>-0.001400000000036927</v>
      </c>
      <c r="E13" s="7" t="n">
        <v>11</v>
      </c>
      <c r="F13" s="34" t="n">
        <v>11.09005424575662</v>
      </c>
    </row>
    <row r="14">
      <c r="A14" s="7" t="n">
        <v>12</v>
      </c>
      <c r="B14" s="33" t="n">
        <v>1.008075123953825</v>
      </c>
      <c r="C14" s="18" t="n">
        <v>-0.0006700000000362527</v>
      </c>
      <c r="E14" s="7" t="n">
        <v>12</v>
      </c>
      <c r="F14" s="34" t="n">
        <v>-8.639161626286295</v>
      </c>
    </row>
    <row r="15">
      <c r="A15" s="7" t="n">
        <v>13</v>
      </c>
      <c r="B15" s="33" t="n">
        <v>1.001040582633484</v>
      </c>
      <c r="C15" s="18" t="n">
        <v>-8.000000003449692e-05</v>
      </c>
      <c r="E15" s="7" t="n">
        <v>13</v>
      </c>
      <c r="F15" s="34" t="n">
        <v>4.843475098145063</v>
      </c>
    </row>
    <row r="16">
      <c r="A16" s="7" t="n">
        <v>14</v>
      </c>
      <c r="B16" s="33" t="n">
        <v>0.992887236376624</v>
      </c>
      <c r="C16" s="18" t="n">
        <v>0.0005099999999662597</v>
      </c>
      <c r="E16" s="7" t="n">
        <v>14</v>
      </c>
      <c r="F16" s="34" t="n">
        <v>0.2051601842995296</v>
      </c>
    </row>
    <row r="17">
      <c r="A17" s="7" t="n">
        <v>15</v>
      </c>
      <c r="B17" s="33" t="n">
        <v>0.9839391155423981</v>
      </c>
      <c r="C17" s="18" t="n">
        <v>0.001079999999967107</v>
      </c>
      <c r="E17" s="7" t="n">
        <v>15</v>
      </c>
      <c r="F17" s="34" t="n">
        <v>-0.9742955977053498</v>
      </c>
    </row>
    <row r="18">
      <c r="A18" s="7" t="n">
        <v>16</v>
      </c>
      <c r="B18" s="33" t="n">
        <v>0.975212091970258</v>
      </c>
      <c r="C18" s="18" t="n">
        <v>0.001569999999968541</v>
      </c>
      <c r="E18" s="7" t="n">
        <v>16</v>
      </c>
      <c r="F18" s="34" t="n">
        <v>0.005417168789790594</v>
      </c>
    </row>
    <row r="19">
      <c r="A19" s="7" t="n">
        <v>17</v>
      </c>
      <c r="B19" s="33" t="n">
        <v>0.9670964417070402</v>
      </c>
      <c r="C19" s="18" t="n">
        <v>0.001969999999968941</v>
      </c>
      <c r="E19" s="7" t="n">
        <v>17</v>
      </c>
      <c r="F19" s="34" t="n">
        <v>0.1154796702230669</v>
      </c>
    </row>
    <row r="20">
      <c r="A20" s="7" t="n">
        <v>18</v>
      </c>
      <c r="B20" s="33" t="n">
        <v>0.9598355748456188</v>
      </c>
      <c r="C20" s="18" t="n">
        <v>0.002279999999969418</v>
      </c>
      <c r="E20" s="7" t="n">
        <v>18</v>
      </c>
      <c r="F20" s="34" t="n">
        <v>-0.4372209278644732</v>
      </c>
    </row>
    <row r="21">
      <c r="A21" s="7" t="n">
        <v>19</v>
      </c>
      <c r="B21" s="33" t="n">
        <v>0.9536670012392509</v>
      </c>
      <c r="C21" s="18" t="n">
        <v>0.002499999999970637</v>
      </c>
      <c r="E21" s="7" t="n">
        <v>19</v>
      </c>
      <c r="F21" s="34" t="n">
        <v>0.08612462884593697</v>
      </c>
    </row>
    <row r="22">
      <c r="A22" s="7" t="n">
        <v>20</v>
      </c>
      <c r="B22" s="33" t="n">
        <v>0.9486357051379782</v>
      </c>
      <c r="C22" s="18" t="n">
        <v>0.002639999999971776</v>
      </c>
      <c r="E22" s="7" t="n">
        <v>20</v>
      </c>
      <c r="F22" s="34" t="n">
        <v>-0.3435772429475037</v>
      </c>
    </row>
    <row r="23">
      <c r="A23" s="7" t="n">
        <v>21</v>
      </c>
      <c r="B23" s="33" t="n">
        <v>0.944751805199866</v>
      </c>
      <c r="C23" s="18" t="n">
        <v>0.002709999999972901</v>
      </c>
      <c r="E23" s="7" t="n">
        <v>21</v>
      </c>
      <c r="F23" s="34" t="n">
        <v>-3.174361742552719</v>
      </c>
    </row>
    <row r="24">
      <c r="A24" s="7" t="n">
        <v>22</v>
      </c>
      <c r="B24" s="33" t="n">
        <v>0.9415784904230895</v>
      </c>
      <c r="C24" s="18" t="n">
        <v>0.002739999999974208</v>
      </c>
      <c r="E24" s="7" t="n">
        <v>22</v>
      </c>
      <c r="F24" s="34" t="n">
        <v>2.937949945897344</v>
      </c>
    </row>
    <row r="25">
      <c r="A25" s="7" t="n">
        <v>23</v>
      </c>
      <c r="B25" s="33" t="n">
        <v>0.937714255596787</v>
      </c>
      <c r="C25" s="18" t="n">
        <v>0.002799999999975267</v>
      </c>
      <c r="E25" s="7" t="n">
        <v>23</v>
      </c>
      <c r="F25" s="34" t="n">
        <v>-0.8736993844740937</v>
      </c>
    </row>
    <row r="26">
      <c r="A26" s="7" t="n">
        <v>24</v>
      </c>
      <c r="B26" s="33" t="n">
        <v>0.9326375986204954</v>
      </c>
      <c r="C26" s="18" t="n">
        <v>0.002909999999976209</v>
      </c>
      <c r="E26" s="7" t="n">
        <v>24</v>
      </c>
      <c r="F26" s="34" t="n">
        <v>-0.761407615290409</v>
      </c>
    </row>
    <row r="27">
      <c r="A27" s="7" t="n">
        <v>25</v>
      </c>
      <c r="B27" s="33" t="n">
        <v>0.9257686680700798</v>
      </c>
      <c r="C27" s="18" t="n">
        <v>0.003089999999977611</v>
      </c>
      <c r="E27" s="7" t="n">
        <v>25</v>
      </c>
      <c r="F27" s="34" t="n">
        <v>2.796974053587746</v>
      </c>
    </row>
    <row r="28">
      <c r="A28" s="7" t="n">
        <v>26</v>
      </c>
      <c r="B28" s="33" t="n">
        <v>0.9164727450573122</v>
      </c>
      <c r="C28" s="18" t="n">
        <v>0.003360362255063087</v>
      </c>
    </row>
    <row r="29">
      <c r="A29" s="7" t="n">
        <v>27</v>
      </c>
      <c r="B29" s="33" t="n">
        <v>0.904996453613663</v>
      </c>
      <c r="C29" s="18" t="n">
        <v>0.003704037645387181</v>
      </c>
    </row>
    <row r="30">
      <c r="A30" s="7" t="n">
        <v>28</v>
      </c>
      <c r="B30" s="33" t="n">
        <v>0.8917564183061149</v>
      </c>
      <c r="C30" s="18" t="n">
        <v>0.004099890841794629</v>
      </c>
    </row>
    <row r="31">
      <c r="A31" s="7" t="n">
        <v>29</v>
      </c>
      <c r="B31" s="33" t="n">
        <v>0.8771058711126855</v>
      </c>
      <c r="C31" s="18" t="n">
        <v>0.004531878533509115</v>
      </c>
    </row>
    <row r="32">
      <c r="A32" s="7" t="n">
        <v>30</v>
      </c>
      <c r="B32" s="33" t="n">
        <v>0.8613439492725694</v>
      </c>
      <c r="C32" s="18" t="n">
        <v>0.004987777012599892</v>
      </c>
    </row>
    <row r="33">
      <c r="A33" s="7" t="n">
        <v>31</v>
      </c>
      <c r="B33" s="33" t="n">
        <v>0.8447236387803474</v>
      </c>
      <c r="C33" s="18" t="n">
        <v>0.0054582538906216</v>
      </c>
    </row>
    <row r="34">
      <c r="A34" s="7" t="n">
        <v>32</v>
      </c>
      <c r="B34" s="33" t="n">
        <v>0.8274585605426648</v>
      </c>
      <c r="C34" s="18" t="n">
        <v>0.005936182553667013</v>
      </c>
    </row>
    <row r="35">
      <c r="A35" s="7" t="n">
        <v>33</v>
      </c>
      <c r="B35" s="33" t="n">
        <v>0.8097287675625107</v>
      </c>
      <c r="C35" s="18" t="n">
        <v>0.006416130355916483</v>
      </c>
    </row>
    <row r="36">
      <c r="A36" s="7" t="n">
        <v>34</v>
      </c>
      <c r="B36" s="33" t="n">
        <v>0.7916856970305297</v>
      </c>
      <c r="C36" s="18" t="n">
        <v>0.006893972808676985</v>
      </c>
    </row>
    <row r="37">
      <c r="A37" s="7" t="n">
        <v>35</v>
      </c>
      <c r="B37" s="33" t="n">
        <v>0.7734564002774893</v>
      </c>
      <c r="C37" s="18" t="n">
        <v>0.007366600230626963</v>
      </c>
    </row>
    <row r="38">
      <c r="A38" s="7" t="n">
        <v>36</v>
      </c>
      <c r="B38" s="33" t="n">
        <v>0.7551471556599474</v>
      </c>
      <c r="C38" s="18" t="n">
        <v>0.007831692982268823</v>
      </c>
    </row>
    <row r="39">
      <c r="A39" s="7" t="n">
        <v>37</v>
      </c>
      <c r="B39" s="33" t="n">
        <v>0.7368465541697957</v>
      </c>
      <c r="C39" s="18" t="n">
        <v>0.008287548071604922</v>
      </c>
    </row>
    <row r="40">
      <c r="A40" s="7" t="n">
        <v>38</v>
      </c>
      <c r="B40" s="33" t="n">
        <v>0.7186281344988577</v>
      </c>
      <c r="C40" s="18" t="n">
        <v>0.008732944580674751</v>
      </c>
    </row>
    <row r="41">
      <c r="A41" s="7" t="n">
        <v>39</v>
      </c>
      <c r="B41" s="33" t="n">
        <v>0.7005526331300265</v>
      </c>
      <c r="C41" s="18" t="n">
        <v>0.009167038666472394</v>
      </c>
    </row>
    <row r="42">
      <c r="A42" s="7" t="n">
        <v>40</v>
      </c>
      <c r="B42" s="33" t="n">
        <v>0.6826699054889713</v>
      </c>
      <c r="C42" s="18" t="n">
        <v>0.009589281258411297</v>
      </c>
    </row>
    <row r="43">
      <c r="A43" s="7" t="n">
        <v>41</v>
      </c>
      <c r="B43" s="33" t="n">
        <v>0.6650205660407331</v>
      </c>
      <c r="C43" s="18" t="n">
        <v>0.009999353290988333</v>
      </c>
    </row>
    <row r="44">
      <c r="A44" s="7" t="n">
        <v>42</v>
      </c>
      <c r="B44" s="33" t="n">
        <v>0.6476373882502831</v>
      </c>
      <c r="C44" s="18" t="n">
        <v>0.01039711456673387</v>
      </c>
    </row>
    <row r="45">
      <c r="A45" s="7" t="n">
        <v>43</v>
      </c>
      <c r="B45" s="33" t="n">
        <v>0.6305464993745401</v>
      </c>
      <c r="C45" s="18" t="n">
        <v>0.01078256327272498</v>
      </c>
    </row>
    <row r="46">
      <c r="A46" s="7" t="n">
        <v>44</v>
      </c>
      <c r="B46" s="33" t="n">
        <v>0.6137683999665988</v>
      </c>
      <c r="C46" s="18" t="n">
        <v>0.0111558038656463</v>
      </c>
    </row>
    <row r="47">
      <c r="A47" s="7" t="n">
        <v>45</v>
      </c>
      <c r="B47" s="33" t="n">
        <v>0.5973188336266231</v>
      </c>
      <c r="C47" s="18" t="n">
        <v>0.01151702155997092</v>
      </c>
    </row>
    <row r="48">
      <c r="A48" s="7" t="n">
        <v>46</v>
      </c>
      <c r="B48" s="33" t="n">
        <v>0.5812095288190695</v>
      </c>
      <c r="C48" s="18" t="n">
        <v>0.01186646204712782</v>
      </c>
    </row>
    <row r="49">
      <c r="A49" s="7" t="n">
        <v>47</v>
      </c>
      <c r="B49" s="33" t="n">
        <v>0.5654488314017534</v>
      </c>
      <c r="C49" s="18" t="n">
        <v>0.01220441537329231</v>
      </c>
    </row>
    <row r="50">
      <c r="A50" s="7" t="n">
        <v>48</v>
      </c>
      <c r="B50" s="33" t="n">
        <v>0.5500422437996344</v>
      </c>
      <c r="C50" s="18" t="n">
        <v>0.01253120313343903</v>
      </c>
    </row>
    <row r="51">
      <c r="A51" s="7" t="n">
        <v>49</v>
      </c>
      <c r="B51" s="33" t="n">
        <v>0.5349928844379392</v>
      </c>
      <c r="C51" s="18" t="n">
        <v>0.01284716831687849</v>
      </c>
    </row>
    <row r="52">
      <c r="A52" s="7" t="n">
        <v>50</v>
      </c>
      <c r="B52" s="33" t="n">
        <v>0.520301879068393</v>
      </c>
      <c r="C52" s="18" t="n">
        <v>0.01315266727737407</v>
      </c>
    </row>
    <row r="53">
      <c r="A53" s="7" t="n">
        <v>51</v>
      </c>
      <c r="B53" s="33" t="n">
        <v>0.5059686939294117</v>
      </c>
      <c r="C53" s="18" t="n">
        <v>0.01344806340858629</v>
      </c>
    </row>
    <row r="54">
      <c r="A54" s="7" t="n">
        <v>52</v>
      </c>
      <c r="B54" s="33" t="n">
        <v>0.4919914192343484</v>
      </c>
      <c r="C54" s="18" t="n">
        <v>0.0137337221900653</v>
      </c>
    </row>
    <row r="55">
      <c r="A55" s="7" t="n">
        <v>53</v>
      </c>
      <c r="B55" s="33" t="n">
        <v>0.4783670102458182</v>
      </c>
      <c r="C55" s="18" t="n">
        <v>0.01401000733559199</v>
      </c>
    </row>
    <row r="56">
      <c r="A56" s="7" t="n">
        <v>54</v>
      </c>
      <c r="B56" s="33" t="n">
        <v>0.4650914921375028</v>
      </c>
      <c r="C56" s="18" t="n">
        <v>0.01427727782841481</v>
      </c>
    </row>
    <row r="57">
      <c r="A57" s="7" t="n">
        <v>55</v>
      </c>
      <c r="B57" s="33" t="n">
        <v>0.4521601339421755</v>
      </c>
      <c r="C57" s="18" t="n">
        <v>0.01453588566984232</v>
      </c>
    </row>
    <row r="58">
      <c r="A58" s="7" t="n">
        <v>56</v>
      </c>
      <c r="B58" s="33" t="n">
        <v>0.4395675961131334</v>
      </c>
      <c r="C58" s="18" t="n">
        <v>0.01478617420112704</v>
      </c>
    </row>
    <row r="59">
      <c r="A59" s="7" t="n">
        <v>57</v>
      </c>
      <c r="B59" s="33" t="n">
        <v>0.4273080555670165</v>
      </c>
      <c r="C59" s="18" t="n">
        <v>0.01502847688536879</v>
      </c>
    </row>
    <row r="60">
      <c r="A60" s="7" t="n">
        <v>58</v>
      </c>
      <c r="B60" s="33" t="n">
        <v>0.4153753115126383</v>
      </c>
      <c r="C60" s="18" t="n">
        <v>0.01526311645770018</v>
      </c>
    </row>
    <row r="61">
      <c r="A61" s="7" t="n">
        <v>59</v>
      </c>
      <c r="B61" s="33" t="n">
        <v>0.4037628748889616</v>
      </c>
      <c r="C61" s="18" t="n">
        <v>0.01549040436937887</v>
      </c>
    </row>
    <row r="62">
      <c r="A62" s="7" t="n">
        <v>60</v>
      </c>
      <c r="B62" s="33" t="n">
        <v>0.3924640438241258</v>
      </c>
      <c r="C62" s="18" t="n">
        <v>0.01571064046542348</v>
      </c>
    </row>
    <row r="63">
      <c r="A63" s="7" t="n">
        <v>61</v>
      </c>
      <c r="B63" s="33" t="n">
        <v>0.3814719671757206</v>
      </c>
      <c r="C63" s="18" t="n">
        <v>0.0159241128467924</v>
      </c>
    </row>
    <row r="64">
      <c r="A64" s="7" t="n">
        <v>62</v>
      </c>
      <c r="B64" s="33" t="n">
        <v>0.3707796979122781</v>
      </c>
      <c r="C64" s="18" t="n">
        <v>0.01613109787732547</v>
      </c>
    </row>
    <row r="65">
      <c r="A65" s="7" t="n">
        <v>63</v>
      </c>
      <c r="B65" s="33" t="n">
        <v>0.360380237839169</v>
      </c>
      <c r="C65" s="18" t="n">
        <v>0.01633186030315747</v>
      </c>
    </row>
    <row r="66">
      <c r="A66" s="7" t="n">
        <v>64</v>
      </c>
      <c r="B66" s="33" t="n">
        <v>0.3502665749527768</v>
      </c>
      <c r="C66" s="18" t="n">
        <v>0.01652665345842808</v>
      </c>
    </row>
    <row r="67">
      <c r="A67" s="7" t="n">
        <v>65</v>
      </c>
      <c r="B67" s="33" t="n">
        <v>0.340431714519473</v>
      </c>
      <c r="C67" s="18" t="n">
        <v>0.01671571953608475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 codeName="Sheet11">
    <outlinePr summaryBelow="1" summaryRight="1"/>
    <pageSetUpPr/>
  </sheetPr>
  <dimension ref="B1:H13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3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2" customWidth="1" min="8" max="8"/>
  </cols>
  <sheetData>
    <row r="1">
      <c r="B1" s="3" t="inlineStr">
        <is>
          <t>Full-curve reconciliation vs lifelib</t>
        </is>
      </c>
    </row>
    <row r="2">
      <c r="B2" s="12" t="inlineStr">
        <is>
          <t>Filled by the RunCurveReconciliation macro (see Control sheet for the tolerance).</t>
        </is>
      </c>
    </row>
    <row r="4">
      <c r="B4" s="5" t="inlineStr">
        <is>
          <t>Values compared</t>
        </is>
      </c>
      <c r="C4" s="35" t="n"/>
    </row>
    <row r="5">
      <c r="B5" s="5" t="inlineStr">
        <is>
          <t>Reconciled within tolerance</t>
        </is>
      </c>
      <c r="C5" s="35" t="n"/>
    </row>
    <row r="6">
      <c r="B6" s="5" t="inlineStr">
        <is>
          <t>Mismatches</t>
        </is>
      </c>
      <c r="C6" s="35" t="n"/>
    </row>
    <row r="7">
      <c r="B7" s="5" t="inlineStr">
        <is>
          <t>Max |diff| ζ</t>
        </is>
      </c>
      <c r="C7" s="35" t="n"/>
    </row>
    <row r="8">
      <c r="B8" s="5" t="inlineStr">
        <is>
          <t>Max |diff| P ÷ max(1,|lifelib|)</t>
        </is>
      </c>
      <c r="C8" s="35" t="n"/>
    </row>
    <row r="9">
      <c r="B9" s="5" t="inlineStr">
        <is>
          <t>Max |diff| R ÷ max(1,|lifelib|)</t>
        </is>
      </c>
      <c r="C9" s="35" t="n"/>
    </row>
    <row r="10">
      <c r="B10" s="5" t="inlineStr">
        <is>
          <t>Run time (seconds)</t>
        </is>
      </c>
      <c r="C10" s="35" t="n"/>
    </row>
    <row r="11">
      <c r="B11" s="3" t="inlineStr">
        <is>
          <t>RECONCILIATION RESULT</t>
        </is>
      </c>
      <c r="C11" s="35" t="n"/>
    </row>
    <row r="13">
      <c r="B13" s="10" t="inlineStr">
        <is>
          <t>quantity</t>
        </is>
      </c>
      <c r="C13" s="10" t="inlineStr">
        <is>
          <t>index</t>
        </is>
      </c>
      <c r="D13" s="10" t="inlineStr">
        <is>
          <t>workbook</t>
        </is>
      </c>
      <c r="E13" s="10" t="inlineStr">
        <is>
          <t>lifelib</t>
        </is>
      </c>
      <c r="F13" s="10" t="inlineStr">
        <is>
          <t>|diff|</t>
        </is>
      </c>
      <c r="G13" s="10" t="inlineStr">
        <is>
          <t>rel diff</t>
        </is>
      </c>
      <c r="H13" s="10" t="inlineStr">
        <is>
          <t>reconciles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2026-08-04T13:04:48Z</dcterms:created>
  <dcterms:modified xmlns:dcterms="http://purl.org/dc/terms/" xmlns:xsi="http://www.w3.org/2001/XMLSchema-instance" xsi:type="dcterms:W3CDTF">2026-08-04T13:04:48Z</dcterms:modified>
</cp:coreProperties>
</file>